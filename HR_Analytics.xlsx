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0ab391e1a154dc/ドキュメント/Portfolio/2. MiniPortfolio_HR-Analysis/"/>
    </mc:Choice>
  </mc:AlternateContent>
  <xr:revisionPtr revIDLastSave="18" documentId="8_{438C4DA4-9059-4AA2-AE5C-2C620330DE55}" xr6:coauthVersionLast="47" xr6:coauthVersionMax="47" xr10:uidLastSave="{9926F2C9-3E28-477A-AE15-909099DDA17C}"/>
  <bookViews>
    <workbookView xWindow="-108" yWindow="-108" windowWidth="23256" windowHeight="12456" activeTab="4" xr2:uid="{1A3E305D-48B2-4ECA-AE9B-F2AE4FD0C1C8}"/>
  </bookViews>
  <sheets>
    <sheet name="1. Raw-Dataset" sheetId="7" r:id="rId1"/>
    <sheet name="2. Cleaned-Dataset" sheetId="6" r:id="rId2"/>
    <sheet name="3. Insights" sheetId="3" r:id="rId3"/>
    <sheet name="4. Dashboard" sheetId="4" r:id="rId4"/>
    <sheet name="States-LookupTable" sheetId="8" r:id="rId5"/>
  </sheets>
  <definedNames>
    <definedName name="ExternalData_1" localSheetId="1" hidden="1">'2. Cleaned-Dataset'!$A$1:$S$2846</definedName>
    <definedName name="_xlnm.Print_Area" localSheetId="0">'1. Raw-Dataset'!$A$1:$P$2845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D4" i="6" a="1"/>
  <c r="D4" i="6" s="1"/>
  <c r="M17" i="3" a="1"/>
  <c r="M17" i="3" s="1"/>
  <c r="K17" i="3" a="1"/>
  <c r="K17" i="3" s="1"/>
  <c r="B18" i="3" a="1"/>
  <c r="B18" i="3" s="1"/>
  <c r="C17" i="3" a="1"/>
  <c r="C17" i="3" s="1"/>
  <c r="I17" i="3" a="1"/>
  <c r="J16" i="3" a="1"/>
  <c r="M19" i="3" s="1" a="1"/>
  <c r="M19" i="3" s="1"/>
  <c r="C8" i="3"/>
  <c r="C7" i="3"/>
  <c r="C6" i="3"/>
  <c r="C5" i="3"/>
  <c r="I4" i="3" a="1"/>
  <c r="J5" i="3" s="1"/>
  <c r="C4" i="3"/>
  <c r="G2846" i="6"/>
  <c r="D2846" i="6"/>
  <c r="D2846" i="6" a="1"/>
  <c r="B2846" i="6"/>
  <c r="G2845" i="6"/>
  <c r="D2845" i="6"/>
  <c r="D2845" i="6" a="1"/>
  <c r="B2845" i="6"/>
  <c r="G2844" i="6"/>
  <c r="D2844" i="6" a="1"/>
  <c r="D2844" i="6" s="1"/>
  <c r="B2844" i="6"/>
  <c r="G2843" i="6"/>
  <c r="D2843" i="6" a="1"/>
  <c r="D2843" i="6" s="1"/>
  <c r="B2843" i="6"/>
  <c r="G2842" i="6"/>
  <c r="D2842" i="6"/>
  <c r="D2842" i="6" a="1"/>
  <c r="B2842" i="6"/>
  <c r="G2841" i="6"/>
  <c r="D2841" i="6" a="1"/>
  <c r="D2841" i="6" s="1"/>
  <c r="B2841" i="6"/>
  <c r="G2840" i="6"/>
  <c r="D2840" i="6" a="1"/>
  <c r="D2840" i="6" s="1"/>
  <c r="B2840" i="6"/>
  <c r="G2839" i="6"/>
  <c r="D2839" i="6"/>
  <c r="D2839" i="6" a="1"/>
  <c r="B2839" i="6"/>
  <c r="G2838" i="6"/>
  <c r="D2838" i="6" a="1"/>
  <c r="D2838" i="6" s="1"/>
  <c r="B2838" i="6"/>
  <c r="G2837" i="6"/>
  <c r="D2837" i="6" a="1"/>
  <c r="D2837" i="6" s="1"/>
  <c r="B2837" i="6"/>
  <c r="G2836" i="6"/>
  <c r="D2836" i="6"/>
  <c r="D2836" i="6" a="1"/>
  <c r="B2836" i="6"/>
  <c r="G2835" i="6"/>
  <c r="D2835" i="6" a="1"/>
  <c r="D2835" i="6" s="1"/>
  <c r="B2835" i="6"/>
  <c r="G2834" i="6"/>
  <c r="D2834" i="6"/>
  <c r="D2834" i="6" a="1"/>
  <c r="B2834" i="6"/>
  <c r="G2833" i="6"/>
  <c r="D2833" i="6"/>
  <c r="D2833" i="6" a="1"/>
  <c r="B2833" i="6"/>
  <c r="G2832" i="6"/>
  <c r="D2832" i="6" a="1"/>
  <c r="D2832" i="6" s="1"/>
  <c r="B2832" i="6"/>
  <c r="G2831" i="6"/>
  <c r="D2831" i="6" a="1"/>
  <c r="D2831" i="6" s="1"/>
  <c r="B2831" i="6"/>
  <c r="G2830" i="6"/>
  <c r="D2830" i="6"/>
  <c r="D2830" i="6" a="1"/>
  <c r="B2830" i="6"/>
  <c r="G2829" i="6"/>
  <c r="D2829" i="6" a="1"/>
  <c r="D2829" i="6" s="1"/>
  <c r="B2829" i="6"/>
  <c r="G2828" i="6"/>
  <c r="D2828" i="6" a="1"/>
  <c r="D2828" i="6" s="1"/>
  <c r="B2828" i="6"/>
  <c r="G2827" i="6"/>
  <c r="D2827" i="6"/>
  <c r="D2827" i="6" a="1"/>
  <c r="B2827" i="6"/>
  <c r="G2826" i="6"/>
  <c r="D2826" i="6" a="1"/>
  <c r="D2826" i="6" s="1"/>
  <c r="B2826" i="6"/>
  <c r="G2825" i="6"/>
  <c r="D2825" i="6" a="1"/>
  <c r="D2825" i="6" s="1"/>
  <c r="B2825" i="6"/>
  <c r="G2824" i="6"/>
  <c r="D2824" i="6"/>
  <c r="D2824" i="6" a="1"/>
  <c r="B2824" i="6"/>
  <c r="G2823" i="6"/>
  <c r="D2823" i="6" a="1"/>
  <c r="D2823" i="6" s="1"/>
  <c r="B2823" i="6"/>
  <c r="G2822" i="6"/>
  <c r="D2822" i="6" a="1"/>
  <c r="D2822" i="6" s="1"/>
  <c r="B2822" i="6"/>
  <c r="G2821" i="6"/>
  <c r="D2821" i="6"/>
  <c r="D2821" i="6" a="1"/>
  <c r="B2821" i="6"/>
  <c r="G2820" i="6"/>
  <c r="D2820" i="6" a="1"/>
  <c r="D2820" i="6" s="1"/>
  <c r="B2820" i="6"/>
  <c r="G2819" i="6"/>
  <c r="D2819" i="6" a="1"/>
  <c r="D2819" i="6" s="1"/>
  <c r="B2819" i="6"/>
  <c r="G2818" i="6"/>
  <c r="D2818" i="6"/>
  <c r="D2818" i="6" a="1"/>
  <c r="B2818" i="6"/>
  <c r="G2817" i="6"/>
  <c r="D2817" i="6" a="1"/>
  <c r="D2817" i="6" s="1"/>
  <c r="B2817" i="6"/>
  <c r="G2816" i="6"/>
  <c r="D2816" i="6" a="1"/>
  <c r="D2816" i="6" s="1"/>
  <c r="B2816" i="6"/>
  <c r="G2815" i="6"/>
  <c r="D2815" i="6"/>
  <c r="D2815" i="6" a="1"/>
  <c r="B2815" i="6"/>
  <c r="G2814" i="6"/>
  <c r="D2814" i="6" a="1"/>
  <c r="D2814" i="6" s="1"/>
  <c r="B2814" i="6"/>
  <c r="G2813" i="6"/>
  <c r="D2813" i="6"/>
  <c r="D2813" i="6" a="1"/>
  <c r="B2813" i="6"/>
  <c r="G2812" i="6"/>
  <c r="D2812" i="6"/>
  <c r="D2812" i="6" a="1"/>
  <c r="B2812" i="6"/>
  <c r="G2811" i="6"/>
  <c r="D2811" i="6" a="1"/>
  <c r="D2811" i="6" s="1"/>
  <c r="B2811" i="6"/>
  <c r="G2810" i="6"/>
  <c r="D2810" i="6"/>
  <c r="D2810" i="6" a="1"/>
  <c r="B2810" i="6"/>
  <c r="G2809" i="6"/>
  <c r="D2809" i="6"/>
  <c r="D2809" i="6" a="1"/>
  <c r="B2809" i="6"/>
  <c r="G2808" i="6"/>
  <c r="D2808" i="6" a="1"/>
  <c r="D2808" i="6" s="1"/>
  <c r="B2808" i="6"/>
  <c r="G2807" i="6"/>
  <c r="D2807" i="6" a="1"/>
  <c r="D2807" i="6" s="1"/>
  <c r="B2807" i="6"/>
  <c r="G2806" i="6"/>
  <c r="D2806" i="6"/>
  <c r="D2806" i="6" a="1"/>
  <c r="B2806" i="6"/>
  <c r="G2805" i="6"/>
  <c r="D2805" i="6" a="1"/>
  <c r="D2805" i="6" s="1"/>
  <c r="B2805" i="6"/>
  <c r="G2804" i="6"/>
  <c r="D2804" i="6" a="1"/>
  <c r="D2804" i="6" s="1"/>
  <c r="B2804" i="6"/>
  <c r="G2803" i="6"/>
  <c r="D2803" i="6"/>
  <c r="D2803" i="6" a="1"/>
  <c r="B2803" i="6"/>
  <c r="G2802" i="6"/>
  <c r="D2802" i="6" a="1"/>
  <c r="D2802" i="6" s="1"/>
  <c r="B2802" i="6"/>
  <c r="G2801" i="6"/>
  <c r="D2801" i="6" a="1"/>
  <c r="D2801" i="6" s="1"/>
  <c r="B2801" i="6"/>
  <c r="G2800" i="6"/>
  <c r="D2800" i="6"/>
  <c r="D2800" i="6" a="1"/>
  <c r="B2800" i="6"/>
  <c r="G2799" i="6"/>
  <c r="D2799" i="6" a="1"/>
  <c r="D2799" i="6" s="1"/>
  <c r="B2799" i="6"/>
  <c r="G2798" i="6"/>
  <c r="D2798" i="6"/>
  <c r="D2798" i="6" a="1"/>
  <c r="B2798" i="6"/>
  <c r="G2797" i="6"/>
  <c r="D2797" i="6"/>
  <c r="D2797" i="6" a="1"/>
  <c r="B2797" i="6"/>
  <c r="G2796" i="6"/>
  <c r="D2796" i="6" a="1"/>
  <c r="D2796" i="6" s="1"/>
  <c r="B2796" i="6"/>
  <c r="G2795" i="6"/>
  <c r="D2795" i="6" a="1"/>
  <c r="D2795" i="6" s="1"/>
  <c r="B2795" i="6"/>
  <c r="G2794" i="6"/>
  <c r="D2794" i="6"/>
  <c r="D2794" i="6" a="1"/>
  <c r="B2794" i="6"/>
  <c r="G2793" i="6"/>
  <c r="D2793" i="6" a="1"/>
  <c r="D2793" i="6" s="1"/>
  <c r="B2793" i="6"/>
  <c r="G2792" i="6"/>
  <c r="D2792" i="6" a="1"/>
  <c r="D2792" i="6" s="1"/>
  <c r="B2792" i="6"/>
  <c r="G2791" i="6"/>
  <c r="D2791" i="6"/>
  <c r="D2791" i="6" a="1"/>
  <c r="B2791" i="6"/>
  <c r="G2790" i="6"/>
  <c r="D2790" i="6" a="1"/>
  <c r="D2790" i="6" s="1"/>
  <c r="B2790" i="6"/>
  <c r="G2789" i="6"/>
  <c r="D2789" i="6"/>
  <c r="D2789" i="6" a="1"/>
  <c r="B2789" i="6"/>
  <c r="G2788" i="6"/>
  <c r="D2788" i="6"/>
  <c r="D2788" i="6" a="1"/>
  <c r="B2788" i="6"/>
  <c r="G2787" i="6"/>
  <c r="D2787" i="6" a="1"/>
  <c r="D2787" i="6" s="1"/>
  <c r="B2787" i="6"/>
  <c r="G2786" i="6"/>
  <c r="D2786" i="6"/>
  <c r="D2786" i="6" a="1"/>
  <c r="B2786" i="6"/>
  <c r="G2785" i="6"/>
  <c r="D2785" i="6"/>
  <c r="D2785" i="6" a="1"/>
  <c r="B2785" i="6"/>
  <c r="G2784" i="6"/>
  <c r="D2784" i="6" a="1"/>
  <c r="D2784" i="6" s="1"/>
  <c r="B2784" i="6"/>
  <c r="G2783" i="6"/>
  <c r="D2783" i="6" a="1"/>
  <c r="D2783" i="6" s="1"/>
  <c r="B2783" i="6"/>
  <c r="G2782" i="6"/>
  <c r="D2782" i="6"/>
  <c r="D2782" i="6" a="1"/>
  <c r="B2782" i="6"/>
  <c r="G2781" i="6"/>
  <c r="D2781" i="6" a="1"/>
  <c r="D2781" i="6" s="1"/>
  <c r="B2781" i="6"/>
  <c r="G2780" i="6"/>
  <c r="D2780" i="6" a="1"/>
  <c r="D2780" i="6" s="1"/>
  <c r="B2780" i="6"/>
  <c r="G2779" i="6"/>
  <c r="D2779" i="6"/>
  <c r="D2779" i="6" a="1"/>
  <c r="B2779" i="6"/>
  <c r="G2778" i="6"/>
  <c r="D2778" i="6" a="1"/>
  <c r="D2778" i="6" s="1"/>
  <c r="B2778" i="6"/>
  <c r="G2777" i="6"/>
  <c r="D2777" i="6"/>
  <c r="D2777" i="6" a="1"/>
  <c r="B2777" i="6"/>
  <c r="G2776" i="6"/>
  <c r="D2776" i="6"/>
  <c r="D2776" i="6" a="1"/>
  <c r="B2776" i="6"/>
  <c r="G2775" i="6"/>
  <c r="D2775" i="6" a="1"/>
  <c r="D2775" i="6" s="1"/>
  <c r="B2775" i="6"/>
  <c r="G2774" i="6"/>
  <c r="D2774" i="6"/>
  <c r="D2774" i="6" a="1"/>
  <c r="B2774" i="6"/>
  <c r="G2773" i="6"/>
  <c r="D2773" i="6"/>
  <c r="D2773" i="6" a="1"/>
  <c r="B2773" i="6"/>
  <c r="G2772" i="6"/>
  <c r="D2772" i="6" a="1"/>
  <c r="D2772" i="6" s="1"/>
  <c r="B2772" i="6"/>
  <c r="G2771" i="6"/>
  <c r="D2771" i="6" a="1"/>
  <c r="D2771" i="6" s="1"/>
  <c r="B2771" i="6"/>
  <c r="G2770" i="6"/>
  <c r="D2770" i="6"/>
  <c r="D2770" i="6" a="1"/>
  <c r="B2770" i="6"/>
  <c r="G2769" i="6"/>
  <c r="D2769" i="6" a="1"/>
  <c r="D2769" i="6" s="1"/>
  <c r="B2769" i="6"/>
  <c r="G2768" i="6"/>
  <c r="D2768" i="6"/>
  <c r="D2768" i="6" a="1"/>
  <c r="B2768" i="6"/>
  <c r="G2767" i="6"/>
  <c r="D2767" i="6"/>
  <c r="D2767" i="6" a="1"/>
  <c r="B2767" i="6"/>
  <c r="G2766" i="6"/>
  <c r="D2766" i="6" a="1"/>
  <c r="D2766" i="6" s="1"/>
  <c r="B2766" i="6"/>
  <c r="G2765" i="6"/>
  <c r="D2765" i="6" a="1"/>
  <c r="D2765" i="6" s="1"/>
  <c r="B2765" i="6"/>
  <c r="G2764" i="6"/>
  <c r="D2764" i="6"/>
  <c r="D2764" i="6" a="1"/>
  <c r="B2764" i="6"/>
  <c r="G2763" i="6"/>
  <c r="D2763" i="6" a="1"/>
  <c r="D2763" i="6" s="1"/>
  <c r="B2763" i="6"/>
  <c r="G2762" i="6"/>
  <c r="D2762" i="6"/>
  <c r="D2762" i="6" a="1"/>
  <c r="B2762" i="6"/>
  <c r="G2761" i="6"/>
  <c r="D2761" i="6"/>
  <c r="D2761" i="6" a="1"/>
  <c r="B2761" i="6"/>
  <c r="G2760" i="6"/>
  <c r="D2760" i="6" a="1"/>
  <c r="D2760" i="6" s="1"/>
  <c r="B2760" i="6"/>
  <c r="G2759" i="6"/>
  <c r="D2759" i="6"/>
  <c r="D2759" i="6" a="1"/>
  <c r="B2759" i="6"/>
  <c r="G2758" i="6"/>
  <c r="D2758" i="6"/>
  <c r="D2758" i="6" a="1"/>
  <c r="B2758" i="6"/>
  <c r="G2757" i="6"/>
  <c r="D2757" i="6" a="1"/>
  <c r="D2757" i="6" s="1"/>
  <c r="B2757" i="6"/>
  <c r="G2756" i="6"/>
  <c r="D2756" i="6"/>
  <c r="D2756" i="6" a="1"/>
  <c r="B2756" i="6"/>
  <c r="G2755" i="6"/>
  <c r="D2755" i="6"/>
  <c r="D2755" i="6" a="1"/>
  <c r="B2755" i="6"/>
  <c r="G2754" i="6"/>
  <c r="D2754" i="6" a="1"/>
  <c r="D2754" i="6" s="1"/>
  <c r="B2754" i="6"/>
  <c r="G2753" i="6"/>
  <c r="D2753" i="6" a="1"/>
  <c r="D2753" i="6" s="1"/>
  <c r="B2753" i="6"/>
  <c r="G2752" i="6"/>
  <c r="D2752" i="6"/>
  <c r="D2752" i="6" a="1"/>
  <c r="B2752" i="6"/>
  <c r="G2751" i="6"/>
  <c r="D2751" i="6" a="1"/>
  <c r="D2751" i="6" s="1"/>
  <c r="B2751" i="6"/>
  <c r="G2750" i="6"/>
  <c r="D2750" i="6" a="1"/>
  <c r="D2750" i="6" s="1"/>
  <c r="B2750" i="6"/>
  <c r="G2749" i="6"/>
  <c r="D2749" i="6"/>
  <c r="D2749" i="6" a="1"/>
  <c r="B2749" i="6"/>
  <c r="G2748" i="6"/>
  <c r="D2748" i="6" a="1"/>
  <c r="D2748" i="6" s="1"/>
  <c r="B2748" i="6"/>
  <c r="G2747" i="6"/>
  <c r="D2747" i="6" a="1"/>
  <c r="D2747" i="6" s="1"/>
  <c r="B2747" i="6"/>
  <c r="G2746" i="6"/>
  <c r="D2746" i="6"/>
  <c r="D2746" i="6" a="1"/>
  <c r="B2746" i="6"/>
  <c r="G2745" i="6"/>
  <c r="D2745" i="6" a="1"/>
  <c r="D2745" i="6" s="1"/>
  <c r="B2745" i="6"/>
  <c r="G2744" i="6"/>
  <c r="D2744" i="6"/>
  <c r="D2744" i="6" a="1"/>
  <c r="B2744" i="6"/>
  <c r="G2743" i="6"/>
  <c r="D2743" i="6"/>
  <c r="D2743" i="6" a="1"/>
  <c r="B2743" i="6"/>
  <c r="G2742" i="6"/>
  <c r="D2742" i="6" a="1"/>
  <c r="D2742" i="6" s="1"/>
  <c r="B2742" i="6"/>
  <c r="G2741" i="6"/>
  <c r="D2741" i="6"/>
  <c r="D2741" i="6" a="1"/>
  <c r="B2741" i="6"/>
  <c r="G2740" i="6"/>
  <c r="D2740" i="6"/>
  <c r="D2740" i="6" a="1"/>
  <c r="B2740" i="6"/>
  <c r="G2739" i="6"/>
  <c r="D2739" i="6" a="1"/>
  <c r="D2739" i="6" s="1"/>
  <c r="B2739" i="6"/>
  <c r="G2738" i="6"/>
  <c r="D2738" i="6"/>
  <c r="D2738" i="6" a="1"/>
  <c r="B2738" i="6"/>
  <c r="G2737" i="6"/>
  <c r="D2737" i="6"/>
  <c r="D2737" i="6" a="1"/>
  <c r="B2737" i="6"/>
  <c r="G2736" i="6"/>
  <c r="D2736" i="6" a="1"/>
  <c r="D2736" i="6" s="1"/>
  <c r="B2736" i="6"/>
  <c r="G2735" i="6"/>
  <c r="D2735" i="6" a="1"/>
  <c r="D2735" i="6" s="1"/>
  <c r="B2735" i="6"/>
  <c r="G2734" i="6"/>
  <c r="D2734" i="6"/>
  <c r="D2734" i="6" a="1"/>
  <c r="B2734" i="6"/>
  <c r="G2733" i="6"/>
  <c r="D2733" i="6" a="1"/>
  <c r="D2733" i="6" s="1"/>
  <c r="B2733" i="6"/>
  <c r="G2732" i="6"/>
  <c r="D2732" i="6" a="1"/>
  <c r="D2732" i="6" s="1"/>
  <c r="B2732" i="6"/>
  <c r="G2731" i="6"/>
  <c r="D2731" i="6"/>
  <c r="D2731" i="6" a="1"/>
  <c r="B2731" i="6"/>
  <c r="G2730" i="6"/>
  <c r="D2730" i="6" a="1"/>
  <c r="D2730" i="6" s="1"/>
  <c r="B2730" i="6"/>
  <c r="G2729" i="6"/>
  <c r="D2729" i="6" a="1"/>
  <c r="D2729" i="6" s="1"/>
  <c r="B2729" i="6"/>
  <c r="G2728" i="6"/>
  <c r="D2728" i="6"/>
  <c r="D2728" i="6" a="1"/>
  <c r="B2728" i="6"/>
  <c r="G2727" i="6"/>
  <c r="D2727" i="6" a="1"/>
  <c r="D2727" i="6" s="1"/>
  <c r="B2727" i="6"/>
  <c r="G2726" i="6"/>
  <c r="D2726" i="6"/>
  <c r="D2726" i="6" a="1"/>
  <c r="B2726" i="6"/>
  <c r="G2725" i="6"/>
  <c r="D2725" i="6"/>
  <c r="D2725" i="6" a="1"/>
  <c r="B2725" i="6"/>
  <c r="G2724" i="6"/>
  <c r="D2724" i="6" a="1"/>
  <c r="D2724" i="6" s="1"/>
  <c r="B2724" i="6"/>
  <c r="G2723" i="6"/>
  <c r="D2723" i="6" a="1"/>
  <c r="D2723" i="6" s="1"/>
  <c r="B2723" i="6"/>
  <c r="G2722" i="6"/>
  <c r="D2722" i="6"/>
  <c r="D2722" i="6" a="1"/>
  <c r="B2722" i="6"/>
  <c r="G2721" i="6"/>
  <c r="D2721" i="6" a="1"/>
  <c r="D2721" i="6" s="1"/>
  <c r="B2721" i="6"/>
  <c r="G2720" i="6"/>
  <c r="D2720" i="6" a="1"/>
  <c r="D2720" i="6" s="1"/>
  <c r="B2720" i="6"/>
  <c r="G2719" i="6"/>
  <c r="D2719" i="6"/>
  <c r="D2719" i="6" a="1"/>
  <c r="B2719" i="6"/>
  <c r="G2718" i="6"/>
  <c r="D2718" i="6" a="1"/>
  <c r="D2718" i="6" s="1"/>
  <c r="B2718" i="6"/>
  <c r="G2717" i="6"/>
  <c r="D2717" i="6" a="1"/>
  <c r="D2717" i="6" s="1"/>
  <c r="B2717" i="6"/>
  <c r="G2716" i="6"/>
  <c r="D2716" i="6" a="1"/>
  <c r="D2716" i="6" s="1"/>
  <c r="B2716" i="6"/>
  <c r="G2715" i="6"/>
  <c r="D2715" i="6" a="1"/>
  <c r="D2715" i="6" s="1"/>
  <c r="B2715" i="6"/>
  <c r="G2714" i="6"/>
  <c r="D2714" i="6" a="1"/>
  <c r="D2714" i="6" s="1"/>
  <c r="B2714" i="6"/>
  <c r="G2713" i="6"/>
  <c r="D2713" i="6" a="1"/>
  <c r="D2713" i="6" s="1"/>
  <c r="B2713" i="6"/>
  <c r="G2712" i="6"/>
  <c r="D2712" i="6" a="1"/>
  <c r="D2712" i="6" s="1"/>
  <c r="B2712" i="6"/>
  <c r="G2711" i="6"/>
  <c r="D2711" i="6"/>
  <c r="D2711" i="6" a="1"/>
  <c r="B2711" i="6"/>
  <c r="G2710" i="6"/>
  <c r="D2710" i="6" a="1"/>
  <c r="D2710" i="6" s="1"/>
  <c r="B2710" i="6"/>
  <c r="G2709" i="6"/>
  <c r="D2709" i="6"/>
  <c r="D2709" i="6" a="1"/>
  <c r="B2709" i="6"/>
  <c r="G2708" i="6"/>
  <c r="D2708" i="6"/>
  <c r="D2708" i="6" a="1"/>
  <c r="B2708" i="6"/>
  <c r="G2707" i="6"/>
  <c r="D2707" i="6" a="1"/>
  <c r="D2707" i="6" s="1"/>
  <c r="B2707" i="6"/>
  <c r="G2706" i="6"/>
  <c r="D2706" i="6" a="1"/>
  <c r="D2706" i="6" s="1"/>
  <c r="B2706" i="6"/>
  <c r="G2705" i="6"/>
  <c r="D2705" i="6" a="1"/>
  <c r="D2705" i="6" s="1"/>
  <c r="B2705" i="6"/>
  <c r="G2704" i="6"/>
  <c r="D2704" i="6" a="1"/>
  <c r="D2704" i="6" s="1"/>
  <c r="B2704" i="6"/>
  <c r="G2703" i="6"/>
  <c r="D2703" i="6" a="1"/>
  <c r="D2703" i="6" s="1"/>
  <c r="B2703" i="6"/>
  <c r="G2702" i="6"/>
  <c r="D2702" i="6" a="1"/>
  <c r="D2702" i="6" s="1"/>
  <c r="B2702" i="6"/>
  <c r="G2701" i="6"/>
  <c r="D2701" i="6" a="1"/>
  <c r="D2701" i="6" s="1"/>
  <c r="B2701" i="6"/>
  <c r="G2700" i="6"/>
  <c r="D2700" i="6" a="1"/>
  <c r="D2700" i="6" s="1"/>
  <c r="B2700" i="6"/>
  <c r="G2699" i="6"/>
  <c r="D2699" i="6" a="1"/>
  <c r="D2699" i="6" s="1"/>
  <c r="B2699" i="6"/>
  <c r="G2698" i="6"/>
  <c r="D2698" i="6" a="1"/>
  <c r="D2698" i="6" s="1"/>
  <c r="B2698" i="6"/>
  <c r="G2697" i="6"/>
  <c r="D2697" i="6"/>
  <c r="D2697" i="6" a="1"/>
  <c r="B2697" i="6"/>
  <c r="G2696" i="6"/>
  <c r="D2696" i="6"/>
  <c r="D2696" i="6" a="1"/>
  <c r="B2696" i="6"/>
  <c r="G2695" i="6"/>
  <c r="D2695" i="6" a="1"/>
  <c r="D2695" i="6" s="1"/>
  <c r="B2695" i="6"/>
  <c r="G2694" i="6"/>
  <c r="D2694" i="6"/>
  <c r="D2694" i="6" a="1"/>
  <c r="B2694" i="6"/>
  <c r="G2693" i="6"/>
  <c r="D2693" i="6" a="1"/>
  <c r="D2693" i="6" s="1"/>
  <c r="B2693" i="6"/>
  <c r="G2692" i="6"/>
  <c r="D2692" i="6" a="1"/>
  <c r="D2692" i="6" s="1"/>
  <c r="B2692" i="6"/>
  <c r="G2691" i="6"/>
  <c r="D2691" i="6" a="1"/>
  <c r="D2691" i="6" s="1"/>
  <c r="B2691" i="6"/>
  <c r="G2690" i="6"/>
  <c r="D2690" i="6"/>
  <c r="D2690" i="6" a="1"/>
  <c r="B2690" i="6"/>
  <c r="G2689" i="6"/>
  <c r="D2689" i="6" a="1"/>
  <c r="D2689" i="6" s="1"/>
  <c r="B2689" i="6"/>
  <c r="G2688" i="6"/>
  <c r="D2688" i="6" a="1"/>
  <c r="D2688" i="6" s="1"/>
  <c r="B2688" i="6"/>
  <c r="G2687" i="6"/>
  <c r="D2687" i="6" a="1"/>
  <c r="D2687" i="6" s="1"/>
  <c r="B2687" i="6"/>
  <c r="G2686" i="6"/>
  <c r="D2686" i="6" a="1"/>
  <c r="D2686" i="6" s="1"/>
  <c r="B2686" i="6"/>
  <c r="G2685" i="6"/>
  <c r="D2685" i="6" a="1"/>
  <c r="D2685" i="6" s="1"/>
  <c r="B2685" i="6"/>
  <c r="G2684" i="6"/>
  <c r="D2684" i="6"/>
  <c r="D2684" i="6" a="1"/>
  <c r="B2684" i="6"/>
  <c r="G2683" i="6"/>
  <c r="D2683" i="6" a="1"/>
  <c r="D2683" i="6" s="1"/>
  <c r="B2683" i="6"/>
  <c r="G2682" i="6"/>
  <c r="D2682" i="6" a="1"/>
  <c r="D2682" i="6" s="1"/>
  <c r="B2682" i="6"/>
  <c r="G2681" i="6"/>
  <c r="D2681" i="6" a="1"/>
  <c r="D2681" i="6" s="1"/>
  <c r="B2681" i="6"/>
  <c r="G2680" i="6"/>
  <c r="D2680" i="6" a="1"/>
  <c r="D2680" i="6" s="1"/>
  <c r="B2680" i="6"/>
  <c r="G2679" i="6"/>
  <c r="D2679" i="6" a="1"/>
  <c r="D2679" i="6" s="1"/>
  <c r="B2679" i="6"/>
  <c r="G2678" i="6"/>
  <c r="D2678" i="6"/>
  <c r="D2678" i="6" a="1"/>
  <c r="B2678" i="6"/>
  <c r="G2677" i="6"/>
  <c r="D2677" i="6" a="1"/>
  <c r="D2677" i="6" s="1"/>
  <c r="B2677" i="6"/>
  <c r="G2676" i="6"/>
  <c r="D2676" i="6" a="1"/>
  <c r="D2676" i="6" s="1"/>
  <c r="B2676" i="6"/>
  <c r="G2675" i="6"/>
  <c r="D2675" i="6" a="1"/>
  <c r="D2675" i="6" s="1"/>
  <c r="B2675" i="6"/>
  <c r="G2674" i="6"/>
  <c r="D2674" i="6" a="1"/>
  <c r="D2674" i="6" s="1"/>
  <c r="B2674" i="6"/>
  <c r="G2673" i="6"/>
  <c r="D2673" i="6"/>
  <c r="D2673" i="6" a="1"/>
  <c r="B2673" i="6"/>
  <c r="G2672" i="6"/>
  <c r="D2672" i="6" a="1"/>
  <c r="D2672" i="6" s="1"/>
  <c r="B2672" i="6"/>
  <c r="G2671" i="6"/>
  <c r="D2671" i="6" a="1"/>
  <c r="D2671" i="6" s="1"/>
  <c r="B2671" i="6"/>
  <c r="G2670" i="6"/>
  <c r="D2670" i="6"/>
  <c r="D2670" i="6" a="1"/>
  <c r="B2670" i="6"/>
  <c r="G2669" i="6"/>
  <c r="D2669" i="6" a="1"/>
  <c r="D2669" i="6" s="1"/>
  <c r="B2669" i="6"/>
  <c r="G2668" i="6"/>
  <c r="D2668" i="6" a="1"/>
  <c r="D2668" i="6" s="1"/>
  <c r="B2668" i="6"/>
  <c r="G2667" i="6"/>
  <c r="D2667" i="6" a="1"/>
  <c r="D2667" i="6" s="1"/>
  <c r="B2667" i="6"/>
  <c r="G2666" i="6"/>
  <c r="D2666" i="6" a="1"/>
  <c r="D2666" i="6" s="1"/>
  <c r="B2666" i="6"/>
  <c r="G2665" i="6"/>
  <c r="D2665" i="6" a="1"/>
  <c r="D2665" i="6" s="1"/>
  <c r="B2665" i="6"/>
  <c r="G2664" i="6"/>
  <c r="D2664" i="6" a="1"/>
  <c r="D2664" i="6" s="1"/>
  <c r="B2664" i="6"/>
  <c r="G2663" i="6"/>
  <c r="D2663" i="6" a="1"/>
  <c r="D2663" i="6" s="1"/>
  <c r="B2663" i="6"/>
  <c r="G2662" i="6"/>
  <c r="D2662" i="6" a="1"/>
  <c r="D2662" i="6" s="1"/>
  <c r="B2662" i="6"/>
  <c r="G2661" i="6"/>
  <c r="D2661" i="6"/>
  <c r="D2661" i="6" a="1"/>
  <c r="B2661" i="6"/>
  <c r="G2660" i="6"/>
  <c r="D2660" i="6"/>
  <c r="D2660" i="6" a="1"/>
  <c r="B2660" i="6"/>
  <c r="G2659" i="6"/>
  <c r="D2659" i="6" a="1"/>
  <c r="D2659" i="6" s="1"/>
  <c r="B2659" i="6"/>
  <c r="G2658" i="6"/>
  <c r="D2658" i="6" a="1"/>
  <c r="D2658" i="6" s="1"/>
  <c r="B2658" i="6"/>
  <c r="G2657" i="6"/>
  <c r="D2657" i="6"/>
  <c r="D2657" i="6" a="1"/>
  <c r="B2657" i="6"/>
  <c r="G2656" i="6"/>
  <c r="D2656" i="6" a="1"/>
  <c r="D2656" i="6" s="1"/>
  <c r="B2656" i="6"/>
  <c r="G2655" i="6"/>
  <c r="D2655" i="6" a="1"/>
  <c r="D2655" i="6" s="1"/>
  <c r="B2655" i="6"/>
  <c r="G2654" i="6"/>
  <c r="D2654" i="6" a="1"/>
  <c r="D2654" i="6" s="1"/>
  <c r="B2654" i="6"/>
  <c r="G2653" i="6"/>
  <c r="D2653" i="6" a="1"/>
  <c r="D2653" i="6" s="1"/>
  <c r="B2653" i="6"/>
  <c r="G2652" i="6"/>
  <c r="D2652" i="6"/>
  <c r="D2652" i="6" a="1"/>
  <c r="B2652" i="6"/>
  <c r="G2651" i="6"/>
  <c r="D2651" i="6" a="1"/>
  <c r="D2651" i="6" s="1"/>
  <c r="B2651" i="6"/>
  <c r="G2650" i="6"/>
  <c r="D2650" i="6" a="1"/>
  <c r="D2650" i="6" s="1"/>
  <c r="B2650" i="6"/>
  <c r="G2649" i="6"/>
  <c r="D2649" i="6"/>
  <c r="D2649" i="6" a="1"/>
  <c r="B2649" i="6"/>
  <c r="G2648" i="6"/>
  <c r="D2648" i="6"/>
  <c r="D2648" i="6" a="1"/>
  <c r="B2648" i="6"/>
  <c r="G2647" i="6"/>
  <c r="D2647" i="6" a="1"/>
  <c r="D2647" i="6" s="1"/>
  <c r="B2647" i="6"/>
  <c r="G2646" i="6"/>
  <c r="D2646" i="6" a="1"/>
  <c r="D2646" i="6" s="1"/>
  <c r="B2646" i="6"/>
  <c r="G2645" i="6"/>
  <c r="D2645" i="6"/>
  <c r="D2645" i="6" a="1"/>
  <c r="B2645" i="6"/>
  <c r="G2644" i="6"/>
  <c r="D2644" i="6" a="1"/>
  <c r="D2644" i="6" s="1"/>
  <c r="B2644" i="6"/>
  <c r="G2643" i="6"/>
  <c r="D2643" i="6" a="1"/>
  <c r="D2643" i="6" s="1"/>
  <c r="B2643" i="6"/>
  <c r="G2642" i="6"/>
  <c r="D2642" i="6"/>
  <c r="D2642" i="6" a="1"/>
  <c r="B2642" i="6"/>
  <c r="G2641" i="6"/>
  <c r="D2641" i="6" a="1"/>
  <c r="D2641" i="6" s="1"/>
  <c r="B2641" i="6"/>
  <c r="G2640" i="6"/>
  <c r="D2640" i="6" a="1"/>
  <c r="D2640" i="6" s="1"/>
  <c r="B2640" i="6"/>
  <c r="G2639" i="6"/>
  <c r="D2639" i="6" a="1"/>
  <c r="D2639" i="6" s="1"/>
  <c r="B2639" i="6"/>
  <c r="G2638" i="6"/>
  <c r="D2638" i="6" a="1"/>
  <c r="D2638" i="6" s="1"/>
  <c r="B2638" i="6"/>
  <c r="G2637" i="6"/>
  <c r="D2637" i="6"/>
  <c r="D2637" i="6" a="1"/>
  <c r="B2637" i="6"/>
  <c r="G2636" i="6"/>
  <c r="D2636" i="6"/>
  <c r="D2636" i="6" a="1"/>
  <c r="B2636" i="6"/>
  <c r="G2635" i="6"/>
  <c r="D2635" i="6" a="1"/>
  <c r="D2635" i="6" s="1"/>
  <c r="B2635" i="6"/>
  <c r="G2634" i="6"/>
  <c r="D2634" i="6" a="1"/>
  <c r="D2634" i="6" s="1"/>
  <c r="B2634" i="6"/>
  <c r="G2633" i="6"/>
  <c r="D2633" i="6" a="1"/>
  <c r="D2633" i="6" s="1"/>
  <c r="B2633" i="6"/>
  <c r="G2632" i="6"/>
  <c r="D2632" i="6" a="1"/>
  <c r="D2632" i="6" s="1"/>
  <c r="B2632" i="6"/>
  <c r="G2631" i="6"/>
  <c r="D2631" i="6"/>
  <c r="D2631" i="6" a="1"/>
  <c r="B2631" i="6"/>
  <c r="G2630" i="6"/>
  <c r="D2630" i="6" a="1"/>
  <c r="D2630" i="6" s="1"/>
  <c r="B2630" i="6"/>
  <c r="G2629" i="6"/>
  <c r="D2629" i="6" a="1"/>
  <c r="D2629" i="6" s="1"/>
  <c r="B2629" i="6"/>
  <c r="G2628" i="6"/>
  <c r="D2628" i="6" a="1"/>
  <c r="D2628" i="6" s="1"/>
  <c r="B2628" i="6"/>
  <c r="G2627" i="6"/>
  <c r="D2627" i="6" a="1"/>
  <c r="D2627" i="6" s="1"/>
  <c r="B2627" i="6"/>
  <c r="G2626" i="6"/>
  <c r="D2626" i="6" a="1"/>
  <c r="D2626" i="6" s="1"/>
  <c r="B2626" i="6"/>
  <c r="G2625" i="6"/>
  <c r="D2625" i="6"/>
  <c r="D2625" i="6" a="1"/>
  <c r="B2625" i="6"/>
  <c r="G2624" i="6"/>
  <c r="D2624" i="6"/>
  <c r="D2624" i="6" a="1"/>
  <c r="B2624" i="6"/>
  <c r="G2623" i="6"/>
  <c r="D2623" i="6" a="1"/>
  <c r="D2623" i="6" s="1"/>
  <c r="B2623" i="6"/>
  <c r="G2622" i="6"/>
  <c r="D2622" i="6"/>
  <c r="D2622" i="6" a="1"/>
  <c r="B2622" i="6"/>
  <c r="G2621" i="6"/>
  <c r="D2621" i="6"/>
  <c r="D2621" i="6" a="1"/>
  <c r="B2621" i="6"/>
  <c r="G2620" i="6"/>
  <c r="D2620" i="6" a="1"/>
  <c r="D2620" i="6" s="1"/>
  <c r="B2620" i="6"/>
  <c r="G2619" i="6"/>
  <c r="D2619" i="6"/>
  <c r="D2619" i="6" a="1"/>
  <c r="B2619" i="6"/>
  <c r="G2618" i="6"/>
  <c r="D2618" i="6" a="1"/>
  <c r="D2618" i="6" s="1"/>
  <c r="B2618" i="6"/>
  <c r="G2617" i="6"/>
  <c r="D2617" i="6" a="1"/>
  <c r="D2617" i="6" s="1"/>
  <c r="B2617" i="6"/>
  <c r="G2616" i="6"/>
  <c r="D2616" i="6" a="1"/>
  <c r="D2616" i="6" s="1"/>
  <c r="B2616" i="6"/>
  <c r="G2615" i="6"/>
  <c r="D2615" i="6" a="1"/>
  <c r="D2615" i="6" s="1"/>
  <c r="B2615" i="6"/>
  <c r="G2614" i="6"/>
  <c r="D2614" i="6" a="1"/>
  <c r="D2614" i="6" s="1"/>
  <c r="B2614" i="6"/>
  <c r="G2613" i="6"/>
  <c r="D2613" i="6" a="1"/>
  <c r="D2613" i="6" s="1"/>
  <c r="B2613" i="6"/>
  <c r="G2612" i="6"/>
  <c r="D2612" i="6"/>
  <c r="D2612" i="6" a="1"/>
  <c r="B2612" i="6"/>
  <c r="G2611" i="6"/>
  <c r="D2611" i="6" a="1"/>
  <c r="D2611" i="6" s="1"/>
  <c r="B2611" i="6"/>
  <c r="G2610" i="6"/>
  <c r="D2610" i="6" a="1"/>
  <c r="D2610" i="6" s="1"/>
  <c r="B2610" i="6"/>
  <c r="G2609" i="6"/>
  <c r="D2609" i="6" a="1"/>
  <c r="D2609" i="6" s="1"/>
  <c r="B2609" i="6"/>
  <c r="G2608" i="6"/>
  <c r="D2608" i="6" a="1"/>
  <c r="D2608" i="6" s="1"/>
  <c r="B2608" i="6"/>
  <c r="G2607" i="6"/>
  <c r="D2607" i="6" a="1"/>
  <c r="D2607" i="6" s="1"/>
  <c r="B2607" i="6"/>
  <c r="G2606" i="6"/>
  <c r="D2606" i="6" a="1"/>
  <c r="D2606" i="6" s="1"/>
  <c r="B2606" i="6"/>
  <c r="G2605" i="6"/>
  <c r="D2605" i="6" a="1"/>
  <c r="D2605" i="6" s="1"/>
  <c r="B2605" i="6"/>
  <c r="G2604" i="6"/>
  <c r="D2604" i="6" a="1"/>
  <c r="D2604" i="6" s="1"/>
  <c r="B2604" i="6"/>
  <c r="G2603" i="6"/>
  <c r="D2603" i="6"/>
  <c r="D2603" i="6" a="1"/>
  <c r="B2603" i="6"/>
  <c r="G2602" i="6"/>
  <c r="D2602" i="6" a="1"/>
  <c r="D2602" i="6" s="1"/>
  <c r="B2602" i="6"/>
  <c r="G2601" i="6"/>
  <c r="D2601" i="6"/>
  <c r="D2601" i="6" a="1"/>
  <c r="B2601" i="6"/>
  <c r="G2600" i="6"/>
  <c r="D2600" i="6"/>
  <c r="D2600" i="6" a="1"/>
  <c r="B2600" i="6"/>
  <c r="G2599" i="6"/>
  <c r="D2599" i="6" a="1"/>
  <c r="D2599" i="6" s="1"/>
  <c r="B2599" i="6"/>
  <c r="G2598" i="6"/>
  <c r="D2598" i="6" a="1"/>
  <c r="D2598" i="6" s="1"/>
  <c r="B2598" i="6"/>
  <c r="G2597" i="6"/>
  <c r="D2597" i="6" a="1"/>
  <c r="D2597" i="6" s="1"/>
  <c r="B2597" i="6"/>
  <c r="G2596" i="6"/>
  <c r="D2596" i="6" a="1"/>
  <c r="D2596" i="6" s="1"/>
  <c r="B2596" i="6"/>
  <c r="G2595" i="6"/>
  <c r="D2595" i="6" a="1"/>
  <c r="D2595" i="6" s="1"/>
  <c r="B2595" i="6"/>
  <c r="G2594" i="6"/>
  <c r="D2594" i="6" a="1"/>
  <c r="D2594" i="6" s="1"/>
  <c r="B2594" i="6"/>
  <c r="G2593" i="6"/>
  <c r="D2593" i="6" a="1"/>
  <c r="D2593" i="6" s="1"/>
  <c r="B2593" i="6"/>
  <c r="G2592" i="6"/>
  <c r="D2592" i="6" a="1"/>
  <c r="D2592" i="6" s="1"/>
  <c r="B2592" i="6"/>
  <c r="G2591" i="6"/>
  <c r="D2591" i="6" a="1"/>
  <c r="D2591" i="6" s="1"/>
  <c r="B2591" i="6"/>
  <c r="G2590" i="6"/>
  <c r="D2590" i="6" a="1"/>
  <c r="D2590" i="6" s="1"/>
  <c r="B2590" i="6"/>
  <c r="G2589" i="6"/>
  <c r="D2589" i="6"/>
  <c r="D2589" i="6" a="1"/>
  <c r="B2589" i="6"/>
  <c r="G2588" i="6"/>
  <c r="D2588" i="6"/>
  <c r="D2588" i="6" a="1"/>
  <c r="B2588" i="6"/>
  <c r="G2587" i="6"/>
  <c r="D2587" i="6" a="1"/>
  <c r="D2587" i="6" s="1"/>
  <c r="B2587" i="6"/>
  <c r="G2586" i="6"/>
  <c r="D2586" i="6" a="1"/>
  <c r="D2586" i="6" s="1"/>
  <c r="B2586" i="6"/>
  <c r="G2585" i="6"/>
  <c r="D2585" i="6" a="1"/>
  <c r="D2585" i="6" s="1"/>
  <c r="B2585" i="6"/>
  <c r="G2584" i="6"/>
  <c r="D2584" i="6" a="1"/>
  <c r="D2584" i="6" s="1"/>
  <c r="B2584" i="6"/>
  <c r="G2583" i="6"/>
  <c r="D2583" i="6"/>
  <c r="D2583" i="6" a="1"/>
  <c r="B2583" i="6"/>
  <c r="G2582" i="6"/>
  <c r="D2582" i="6"/>
  <c r="D2582" i="6" a="1"/>
  <c r="B2582" i="6"/>
  <c r="G2581" i="6"/>
  <c r="D2581" i="6" a="1"/>
  <c r="D2581" i="6" s="1"/>
  <c r="B2581" i="6"/>
  <c r="G2580" i="6"/>
  <c r="D2580" i="6" a="1"/>
  <c r="D2580" i="6" s="1"/>
  <c r="B2580" i="6"/>
  <c r="G2579" i="6"/>
  <c r="D2579" i="6" a="1"/>
  <c r="D2579" i="6" s="1"/>
  <c r="B2579" i="6"/>
  <c r="G2578" i="6"/>
  <c r="D2578" i="6" a="1"/>
  <c r="D2578" i="6" s="1"/>
  <c r="B2578" i="6"/>
  <c r="G2577" i="6"/>
  <c r="D2577" i="6"/>
  <c r="D2577" i="6" a="1"/>
  <c r="B2577" i="6"/>
  <c r="G2576" i="6"/>
  <c r="D2576" i="6"/>
  <c r="D2576" i="6" a="1"/>
  <c r="B2576" i="6"/>
  <c r="G2575" i="6"/>
  <c r="D2575" i="6" a="1"/>
  <c r="D2575" i="6" s="1"/>
  <c r="B2575" i="6"/>
  <c r="G2574" i="6"/>
  <c r="D2574" i="6" a="1"/>
  <c r="D2574" i="6" s="1"/>
  <c r="B2574" i="6"/>
  <c r="G2573" i="6"/>
  <c r="D2573" i="6" a="1"/>
  <c r="D2573" i="6" s="1"/>
  <c r="B2573" i="6"/>
  <c r="G2572" i="6"/>
  <c r="D2572" i="6" a="1"/>
  <c r="D2572" i="6" s="1"/>
  <c r="B2572" i="6"/>
  <c r="G2571" i="6"/>
  <c r="D2571" i="6" a="1"/>
  <c r="D2571" i="6" s="1"/>
  <c r="B2571" i="6"/>
  <c r="G2570" i="6"/>
  <c r="D2570" i="6"/>
  <c r="D2570" i="6" a="1"/>
  <c r="B2570" i="6"/>
  <c r="G2569" i="6"/>
  <c r="D2569" i="6" a="1"/>
  <c r="D2569" i="6" s="1"/>
  <c r="B2569" i="6"/>
  <c r="G2568" i="6"/>
  <c r="D2568" i="6" a="1"/>
  <c r="D2568" i="6" s="1"/>
  <c r="B2568" i="6"/>
  <c r="G2567" i="6"/>
  <c r="D2567" i="6" a="1"/>
  <c r="D2567" i="6" s="1"/>
  <c r="B2567" i="6"/>
  <c r="G2566" i="6"/>
  <c r="D2566" i="6" a="1"/>
  <c r="D2566" i="6" s="1"/>
  <c r="B2566" i="6"/>
  <c r="G2565" i="6"/>
  <c r="D2565" i="6"/>
  <c r="D2565" i="6" a="1"/>
  <c r="B2565" i="6"/>
  <c r="G2564" i="6"/>
  <c r="D2564" i="6" a="1"/>
  <c r="D2564" i="6" s="1"/>
  <c r="B2564" i="6"/>
  <c r="G2563" i="6"/>
  <c r="D2563" i="6" a="1"/>
  <c r="D2563" i="6" s="1"/>
  <c r="B2563" i="6"/>
  <c r="G2562" i="6"/>
  <c r="D2562" i="6"/>
  <c r="D2562" i="6" a="1"/>
  <c r="B2562" i="6"/>
  <c r="G2561" i="6"/>
  <c r="D2561" i="6" a="1"/>
  <c r="D2561" i="6" s="1"/>
  <c r="B2561" i="6"/>
  <c r="G2560" i="6"/>
  <c r="D2560" i="6" a="1"/>
  <c r="D2560" i="6" s="1"/>
  <c r="B2560" i="6"/>
  <c r="G2559" i="6"/>
  <c r="D2559" i="6" a="1"/>
  <c r="D2559" i="6" s="1"/>
  <c r="B2559" i="6"/>
  <c r="G2558" i="6"/>
  <c r="D2558" i="6" a="1"/>
  <c r="D2558" i="6" s="1"/>
  <c r="B2558" i="6"/>
  <c r="G2557" i="6"/>
  <c r="D2557" i="6" a="1"/>
  <c r="D2557" i="6" s="1"/>
  <c r="B2557" i="6"/>
  <c r="G2556" i="6"/>
  <c r="D2556" i="6" a="1"/>
  <c r="D2556" i="6" s="1"/>
  <c r="B2556" i="6"/>
  <c r="G2555" i="6"/>
  <c r="D2555" i="6" a="1"/>
  <c r="D2555" i="6" s="1"/>
  <c r="B2555" i="6"/>
  <c r="G2554" i="6"/>
  <c r="D2554" i="6" a="1"/>
  <c r="D2554" i="6" s="1"/>
  <c r="B2554" i="6"/>
  <c r="G2553" i="6"/>
  <c r="D2553" i="6"/>
  <c r="D2553" i="6" a="1"/>
  <c r="B2553" i="6"/>
  <c r="G2552" i="6"/>
  <c r="D2552" i="6"/>
  <c r="D2552" i="6" a="1"/>
  <c r="B2552" i="6"/>
  <c r="G2551" i="6"/>
  <c r="D2551" i="6" a="1"/>
  <c r="D2551" i="6" s="1"/>
  <c r="B2551" i="6"/>
  <c r="G2550" i="6"/>
  <c r="D2550" i="6" a="1"/>
  <c r="D2550" i="6" s="1"/>
  <c r="B2550" i="6"/>
  <c r="G2549" i="6"/>
  <c r="D2549" i="6" a="1"/>
  <c r="D2549" i="6" s="1"/>
  <c r="B2549" i="6"/>
  <c r="G2548" i="6"/>
  <c r="D2548" i="6" a="1"/>
  <c r="D2548" i="6" s="1"/>
  <c r="B2548" i="6"/>
  <c r="G2547" i="6"/>
  <c r="D2547" i="6" a="1"/>
  <c r="D2547" i="6" s="1"/>
  <c r="B2547" i="6"/>
  <c r="G2546" i="6"/>
  <c r="D2546" i="6"/>
  <c r="D2546" i="6" a="1"/>
  <c r="B2546" i="6"/>
  <c r="G2545" i="6"/>
  <c r="D2545" i="6" a="1"/>
  <c r="D2545" i="6" s="1"/>
  <c r="B2545" i="6"/>
  <c r="G2544" i="6"/>
  <c r="D2544" i="6"/>
  <c r="D2544" i="6" a="1"/>
  <c r="B2544" i="6"/>
  <c r="G2543" i="6"/>
  <c r="D2543" i="6" a="1"/>
  <c r="D2543" i="6" s="1"/>
  <c r="B2543" i="6"/>
  <c r="G2542" i="6"/>
  <c r="D2542" i="6" a="1"/>
  <c r="D2542" i="6" s="1"/>
  <c r="B2542" i="6"/>
  <c r="G2541" i="6"/>
  <c r="D2541" i="6"/>
  <c r="D2541" i="6" a="1"/>
  <c r="B2541" i="6"/>
  <c r="G2540" i="6"/>
  <c r="D2540" i="6"/>
  <c r="D2540" i="6" a="1"/>
  <c r="B2540" i="6"/>
  <c r="G2539" i="6"/>
  <c r="D2539" i="6" a="1"/>
  <c r="D2539" i="6" s="1"/>
  <c r="B2539" i="6"/>
  <c r="G2538" i="6"/>
  <c r="D2538" i="6" a="1"/>
  <c r="D2538" i="6" s="1"/>
  <c r="B2538" i="6"/>
  <c r="G2537" i="6"/>
  <c r="D2537" i="6"/>
  <c r="D2537" i="6" a="1"/>
  <c r="B2537" i="6"/>
  <c r="G2536" i="6"/>
  <c r="D2536" i="6" a="1"/>
  <c r="D2536" i="6" s="1"/>
  <c r="B2536" i="6"/>
  <c r="G2535" i="6"/>
  <c r="D2535" i="6" a="1"/>
  <c r="D2535" i="6" s="1"/>
  <c r="B2535" i="6"/>
  <c r="G2534" i="6"/>
  <c r="D2534" i="6"/>
  <c r="D2534" i="6" a="1"/>
  <c r="B2534" i="6"/>
  <c r="G2533" i="6"/>
  <c r="D2533" i="6" a="1"/>
  <c r="D2533" i="6" s="1"/>
  <c r="B2533" i="6"/>
  <c r="G2532" i="6"/>
  <c r="D2532" i="6" a="1"/>
  <c r="D2532" i="6" s="1"/>
  <c r="B2532" i="6"/>
  <c r="G2531" i="6"/>
  <c r="D2531" i="6" a="1"/>
  <c r="D2531" i="6" s="1"/>
  <c r="B2531" i="6"/>
  <c r="G2530" i="6"/>
  <c r="D2530" i="6" a="1"/>
  <c r="D2530" i="6" s="1"/>
  <c r="B2530" i="6"/>
  <c r="G2529" i="6"/>
  <c r="D2529" i="6"/>
  <c r="D2529" i="6" a="1"/>
  <c r="B2529" i="6"/>
  <c r="G2528" i="6"/>
  <c r="D2528" i="6"/>
  <c r="D2528" i="6" a="1"/>
  <c r="B2528" i="6"/>
  <c r="G2527" i="6"/>
  <c r="D2527" i="6" a="1"/>
  <c r="D2527" i="6" s="1"/>
  <c r="B2527" i="6"/>
  <c r="G2526" i="6"/>
  <c r="D2526" i="6" a="1"/>
  <c r="D2526" i="6" s="1"/>
  <c r="B2526" i="6"/>
  <c r="G2525" i="6"/>
  <c r="D2525" i="6" a="1"/>
  <c r="D2525" i="6" s="1"/>
  <c r="B2525" i="6"/>
  <c r="G2524" i="6"/>
  <c r="D2524" i="6" a="1"/>
  <c r="D2524" i="6" s="1"/>
  <c r="B2524" i="6"/>
  <c r="G2523" i="6"/>
  <c r="D2523" i="6"/>
  <c r="D2523" i="6" a="1"/>
  <c r="B2523" i="6"/>
  <c r="G2522" i="6"/>
  <c r="D2522" i="6" a="1"/>
  <c r="D2522" i="6" s="1"/>
  <c r="B2522" i="6"/>
  <c r="G2521" i="6"/>
  <c r="D2521" i="6" a="1"/>
  <c r="D2521" i="6" s="1"/>
  <c r="B2521" i="6"/>
  <c r="G2520" i="6"/>
  <c r="D2520" i="6" a="1"/>
  <c r="D2520" i="6" s="1"/>
  <c r="B2520" i="6"/>
  <c r="G2519" i="6"/>
  <c r="D2519" i="6" a="1"/>
  <c r="D2519" i="6" s="1"/>
  <c r="B2519" i="6"/>
  <c r="G2518" i="6"/>
  <c r="D2518" i="6" a="1"/>
  <c r="D2518" i="6" s="1"/>
  <c r="B2518" i="6"/>
  <c r="G2517" i="6"/>
  <c r="D2517" i="6"/>
  <c r="D2517" i="6" a="1"/>
  <c r="B2517" i="6"/>
  <c r="G2516" i="6"/>
  <c r="D2516" i="6"/>
  <c r="D2516" i="6" a="1"/>
  <c r="B2516" i="6"/>
  <c r="G2515" i="6"/>
  <c r="D2515" i="6" a="1"/>
  <c r="D2515" i="6" s="1"/>
  <c r="B2515" i="6"/>
  <c r="G2514" i="6"/>
  <c r="D2514" i="6" a="1"/>
  <c r="D2514" i="6" s="1"/>
  <c r="B2514" i="6"/>
  <c r="G2513" i="6"/>
  <c r="D2513" i="6" a="1"/>
  <c r="D2513" i="6" s="1"/>
  <c r="B2513" i="6"/>
  <c r="G2512" i="6"/>
  <c r="D2512" i="6" a="1"/>
  <c r="D2512" i="6" s="1"/>
  <c r="B2512" i="6"/>
  <c r="G2511" i="6"/>
  <c r="D2511" i="6" a="1"/>
  <c r="D2511" i="6" s="1"/>
  <c r="B2511" i="6"/>
  <c r="G2510" i="6"/>
  <c r="D2510" i="6"/>
  <c r="D2510" i="6" a="1"/>
  <c r="B2510" i="6"/>
  <c r="G2509" i="6"/>
  <c r="D2509" i="6" a="1"/>
  <c r="D2509" i="6" s="1"/>
  <c r="B2509" i="6"/>
  <c r="G2508" i="6"/>
  <c r="D2508" i="6"/>
  <c r="D2508" i="6" a="1"/>
  <c r="B2508" i="6"/>
  <c r="G2507" i="6"/>
  <c r="D2507" i="6" a="1"/>
  <c r="D2507" i="6" s="1"/>
  <c r="B2507" i="6"/>
  <c r="G2506" i="6"/>
  <c r="D2506" i="6" a="1"/>
  <c r="D2506" i="6" s="1"/>
  <c r="B2506" i="6"/>
  <c r="G2505" i="6"/>
  <c r="D2505" i="6" a="1"/>
  <c r="D2505" i="6" s="1"/>
  <c r="B2505" i="6"/>
  <c r="G2504" i="6"/>
  <c r="D2504" i="6"/>
  <c r="D2504" i="6" a="1"/>
  <c r="B2504" i="6"/>
  <c r="G2503" i="6"/>
  <c r="D2503" i="6" a="1"/>
  <c r="D2503" i="6" s="1"/>
  <c r="B2503" i="6"/>
  <c r="G2502" i="6"/>
  <c r="D2502" i="6" a="1"/>
  <c r="D2502" i="6" s="1"/>
  <c r="B2502" i="6"/>
  <c r="G2501" i="6"/>
  <c r="D2501" i="6"/>
  <c r="D2501" i="6" a="1"/>
  <c r="B2501" i="6"/>
  <c r="G2500" i="6"/>
  <c r="D2500" i="6" a="1"/>
  <c r="D2500" i="6" s="1"/>
  <c r="B2500" i="6"/>
  <c r="G2499" i="6"/>
  <c r="D2499" i="6" a="1"/>
  <c r="D2499" i="6" s="1"/>
  <c r="B2499" i="6"/>
  <c r="G2498" i="6"/>
  <c r="D2498" i="6" a="1"/>
  <c r="D2498" i="6" s="1"/>
  <c r="B2498" i="6"/>
  <c r="G2497" i="6"/>
  <c r="D2497" i="6" a="1"/>
  <c r="D2497" i="6" s="1"/>
  <c r="B2497" i="6"/>
  <c r="G2496" i="6"/>
  <c r="D2496" i="6" a="1"/>
  <c r="D2496" i="6" s="1"/>
  <c r="B2496" i="6"/>
  <c r="G2495" i="6"/>
  <c r="D2495" i="6"/>
  <c r="D2495" i="6" a="1"/>
  <c r="B2495" i="6"/>
  <c r="G2494" i="6"/>
  <c r="D2494" i="6" a="1"/>
  <c r="D2494" i="6" s="1"/>
  <c r="B2494" i="6"/>
  <c r="G2493" i="6"/>
  <c r="D2493" i="6"/>
  <c r="D2493" i="6" a="1"/>
  <c r="B2493" i="6"/>
  <c r="G2492" i="6"/>
  <c r="D2492" i="6"/>
  <c r="D2492" i="6" a="1"/>
  <c r="B2492" i="6"/>
  <c r="G2491" i="6"/>
  <c r="D2491" i="6" a="1"/>
  <c r="D2491" i="6" s="1"/>
  <c r="B2491" i="6"/>
  <c r="G2490" i="6"/>
  <c r="D2490" i="6"/>
  <c r="D2490" i="6" a="1"/>
  <c r="B2490" i="6"/>
  <c r="G2489" i="6"/>
  <c r="D2489" i="6" a="1"/>
  <c r="D2489" i="6" s="1"/>
  <c r="B2489" i="6"/>
  <c r="G2488" i="6"/>
  <c r="D2488" i="6" a="1"/>
  <c r="D2488" i="6" s="1"/>
  <c r="B2488" i="6"/>
  <c r="G2487" i="6"/>
  <c r="D2487" i="6"/>
  <c r="D2487" i="6" a="1"/>
  <c r="B2487" i="6"/>
  <c r="G2486" i="6"/>
  <c r="D2486" i="6" a="1"/>
  <c r="D2486" i="6" s="1"/>
  <c r="B2486" i="6"/>
  <c r="G2485" i="6"/>
  <c r="D2485" i="6" a="1"/>
  <c r="D2485" i="6" s="1"/>
  <c r="B2485" i="6"/>
  <c r="G2484" i="6"/>
  <c r="D2484" i="6" a="1"/>
  <c r="D2484" i="6" s="1"/>
  <c r="B2484" i="6"/>
  <c r="G2483" i="6"/>
  <c r="D2483" i="6" a="1"/>
  <c r="D2483" i="6" s="1"/>
  <c r="B2483" i="6"/>
  <c r="G2482" i="6"/>
  <c r="D2482" i="6" a="1"/>
  <c r="D2482" i="6" s="1"/>
  <c r="B2482" i="6"/>
  <c r="G2481" i="6"/>
  <c r="D2481" i="6"/>
  <c r="D2481" i="6" a="1"/>
  <c r="B2481" i="6"/>
  <c r="G2480" i="6"/>
  <c r="D2480" i="6"/>
  <c r="D2480" i="6" a="1"/>
  <c r="B2480" i="6"/>
  <c r="G2479" i="6"/>
  <c r="D2479" i="6" a="1"/>
  <c r="D2479" i="6" s="1"/>
  <c r="B2479" i="6"/>
  <c r="G2478" i="6"/>
  <c r="D2478" i="6" a="1"/>
  <c r="D2478" i="6" s="1"/>
  <c r="B2478" i="6"/>
  <c r="G2477" i="6"/>
  <c r="D2477" i="6" a="1"/>
  <c r="D2477" i="6" s="1"/>
  <c r="B2477" i="6"/>
  <c r="G2476" i="6"/>
  <c r="D2476" i="6" a="1"/>
  <c r="D2476" i="6" s="1"/>
  <c r="B2476" i="6"/>
  <c r="G2475" i="6"/>
  <c r="D2475" i="6" a="1"/>
  <c r="D2475" i="6" s="1"/>
  <c r="B2475" i="6"/>
  <c r="G2474" i="6"/>
  <c r="D2474" i="6"/>
  <c r="D2474" i="6" a="1"/>
  <c r="B2474" i="6"/>
  <c r="G2473" i="6"/>
  <c r="D2473" i="6" a="1"/>
  <c r="D2473" i="6" s="1"/>
  <c r="B2473" i="6"/>
  <c r="G2472" i="6"/>
  <c r="D2472" i="6" a="1"/>
  <c r="D2472" i="6" s="1"/>
  <c r="B2472" i="6"/>
  <c r="G2471" i="6"/>
  <c r="D2471" i="6" a="1"/>
  <c r="D2471" i="6" s="1"/>
  <c r="B2471" i="6"/>
  <c r="G2470" i="6"/>
  <c r="D2470" i="6" a="1"/>
  <c r="D2470" i="6" s="1"/>
  <c r="B2470" i="6"/>
  <c r="G2469" i="6"/>
  <c r="D2469" i="6"/>
  <c r="D2469" i="6" a="1"/>
  <c r="B2469" i="6"/>
  <c r="G2468" i="6"/>
  <c r="D2468" i="6"/>
  <c r="D2468" i="6" a="1"/>
  <c r="B2468" i="6"/>
  <c r="G2467" i="6"/>
  <c r="D2467" i="6" a="1"/>
  <c r="D2467" i="6" s="1"/>
  <c r="B2467" i="6"/>
  <c r="G2466" i="6"/>
  <c r="D2466" i="6" a="1"/>
  <c r="D2466" i="6" s="1"/>
  <c r="B2466" i="6"/>
  <c r="G2465" i="6"/>
  <c r="D2465" i="6" a="1"/>
  <c r="D2465" i="6" s="1"/>
  <c r="B2465" i="6"/>
  <c r="G2464" i="6"/>
  <c r="D2464" i="6"/>
  <c r="D2464" i="6" a="1"/>
  <c r="B2464" i="6"/>
  <c r="G2463" i="6"/>
  <c r="D2463" i="6" a="1"/>
  <c r="D2463" i="6" s="1"/>
  <c r="B2463" i="6"/>
  <c r="G2462" i="6"/>
  <c r="D2462" i="6"/>
  <c r="D2462" i="6" a="1"/>
  <c r="B2462" i="6"/>
  <c r="G2461" i="6"/>
  <c r="D2461" i="6"/>
  <c r="D2461" i="6" a="1"/>
  <c r="B2461" i="6"/>
  <c r="G2460" i="6"/>
  <c r="D2460" i="6" a="1"/>
  <c r="D2460" i="6" s="1"/>
  <c r="B2460" i="6"/>
  <c r="G2459" i="6"/>
  <c r="D2459" i="6" a="1"/>
  <c r="D2459" i="6" s="1"/>
  <c r="B2459" i="6"/>
  <c r="G2458" i="6"/>
  <c r="D2458" i="6" a="1"/>
  <c r="D2458" i="6" s="1"/>
  <c r="B2458" i="6"/>
  <c r="G2457" i="6"/>
  <c r="D2457" i="6" a="1"/>
  <c r="D2457" i="6" s="1"/>
  <c r="B2457" i="6"/>
  <c r="G2456" i="6"/>
  <c r="D2456" i="6" a="1"/>
  <c r="D2456" i="6" s="1"/>
  <c r="B2456" i="6"/>
  <c r="G2455" i="6"/>
  <c r="D2455" i="6"/>
  <c r="D2455" i="6" a="1"/>
  <c r="B2455" i="6"/>
  <c r="G2454" i="6"/>
  <c r="D2454" i="6" a="1"/>
  <c r="D2454" i="6" s="1"/>
  <c r="B2454" i="6"/>
  <c r="G2453" i="6"/>
  <c r="D2453" i="6"/>
  <c r="D2453" i="6" a="1"/>
  <c r="B2453" i="6"/>
  <c r="G2452" i="6"/>
  <c r="D2452" i="6" a="1"/>
  <c r="D2452" i="6" s="1"/>
  <c r="B2452" i="6"/>
  <c r="G2451" i="6"/>
  <c r="D2451" i="6" a="1"/>
  <c r="D2451" i="6" s="1"/>
  <c r="B2451" i="6"/>
  <c r="G2450" i="6"/>
  <c r="D2450" i="6" a="1"/>
  <c r="D2450" i="6" s="1"/>
  <c r="B2450" i="6"/>
  <c r="G2449" i="6"/>
  <c r="D2449" i="6"/>
  <c r="D2449" i="6" a="1"/>
  <c r="B2449" i="6"/>
  <c r="G2448" i="6"/>
  <c r="D2448" i="6" a="1"/>
  <c r="D2448" i="6" s="1"/>
  <c r="B2448" i="6"/>
  <c r="G2447" i="6"/>
  <c r="D2447" i="6" a="1"/>
  <c r="D2447" i="6" s="1"/>
  <c r="B2447" i="6"/>
  <c r="G2446" i="6"/>
  <c r="D2446" i="6"/>
  <c r="D2446" i="6" a="1"/>
  <c r="B2446" i="6"/>
  <c r="G2445" i="6"/>
  <c r="D2445" i="6" a="1"/>
  <c r="D2445" i="6" s="1"/>
  <c r="B2445" i="6"/>
  <c r="G2444" i="6"/>
  <c r="D2444" i="6"/>
  <c r="D2444" i="6" a="1"/>
  <c r="B2444" i="6"/>
  <c r="G2443" i="6"/>
  <c r="D2443" i="6"/>
  <c r="D2443" i="6" a="1"/>
  <c r="B2443" i="6"/>
  <c r="G2442" i="6"/>
  <c r="D2442" i="6" a="1"/>
  <c r="D2442" i="6" s="1"/>
  <c r="B2442" i="6"/>
  <c r="G2441" i="6"/>
  <c r="D2441" i="6"/>
  <c r="D2441" i="6" a="1"/>
  <c r="B2441" i="6"/>
  <c r="G2440" i="6"/>
  <c r="D2440" i="6" a="1"/>
  <c r="D2440" i="6" s="1"/>
  <c r="B2440" i="6"/>
  <c r="G2439" i="6"/>
  <c r="D2439" i="6" a="1"/>
  <c r="D2439" i="6" s="1"/>
  <c r="B2439" i="6"/>
  <c r="G2438" i="6"/>
  <c r="D2438" i="6"/>
  <c r="D2438" i="6" a="1"/>
  <c r="B2438" i="6"/>
  <c r="G2437" i="6"/>
  <c r="D2437" i="6"/>
  <c r="D2437" i="6" a="1"/>
  <c r="B2437" i="6"/>
  <c r="G2436" i="6"/>
  <c r="D2436" i="6" a="1"/>
  <c r="D2436" i="6" s="1"/>
  <c r="B2436" i="6"/>
  <c r="G2435" i="6"/>
  <c r="D2435" i="6"/>
  <c r="D2435" i="6" a="1"/>
  <c r="B2435" i="6"/>
  <c r="G2434" i="6"/>
  <c r="D2434" i="6" a="1"/>
  <c r="D2434" i="6" s="1"/>
  <c r="B2434" i="6"/>
  <c r="G2433" i="6"/>
  <c r="D2433" i="6" a="1"/>
  <c r="D2433" i="6" s="1"/>
  <c r="B2433" i="6"/>
  <c r="G2432" i="6"/>
  <c r="D2432" i="6"/>
  <c r="D2432" i="6" a="1"/>
  <c r="B2432" i="6"/>
  <c r="G2431" i="6"/>
  <c r="D2431" i="6"/>
  <c r="D2431" i="6" a="1"/>
  <c r="B2431" i="6"/>
  <c r="G2430" i="6"/>
  <c r="D2430" i="6" a="1"/>
  <c r="D2430" i="6" s="1"/>
  <c r="B2430" i="6"/>
  <c r="G2429" i="6"/>
  <c r="D2429" i="6" a="1"/>
  <c r="D2429" i="6" s="1"/>
  <c r="B2429" i="6"/>
  <c r="G2428" i="6"/>
  <c r="D2428" i="6"/>
  <c r="D2428" i="6" a="1"/>
  <c r="B2428" i="6"/>
  <c r="G2427" i="6"/>
  <c r="D2427" i="6" a="1"/>
  <c r="D2427" i="6" s="1"/>
  <c r="B2427" i="6"/>
  <c r="G2426" i="6"/>
  <c r="D2426" i="6"/>
  <c r="D2426" i="6" a="1"/>
  <c r="B2426" i="6"/>
  <c r="G2425" i="6"/>
  <c r="D2425" i="6"/>
  <c r="D2425" i="6" a="1"/>
  <c r="B2425" i="6"/>
  <c r="G2424" i="6"/>
  <c r="D2424" i="6" a="1"/>
  <c r="D2424" i="6" s="1"/>
  <c r="B2424" i="6"/>
  <c r="G2423" i="6"/>
  <c r="D2423" i="6" a="1"/>
  <c r="D2423" i="6" s="1"/>
  <c r="B2423" i="6"/>
  <c r="G2422" i="6"/>
  <c r="D2422" i="6"/>
  <c r="D2422" i="6" a="1"/>
  <c r="B2422" i="6"/>
  <c r="G2421" i="6"/>
  <c r="D2421" i="6" a="1"/>
  <c r="D2421" i="6" s="1"/>
  <c r="B2421" i="6"/>
  <c r="G2420" i="6"/>
  <c r="D2420" i="6"/>
  <c r="D2420" i="6" a="1"/>
  <c r="B2420" i="6"/>
  <c r="G2419" i="6"/>
  <c r="D2419" i="6" a="1"/>
  <c r="D2419" i="6" s="1"/>
  <c r="B2419" i="6"/>
  <c r="G2418" i="6"/>
  <c r="D2418" i="6" a="1"/>
  <c r="D2418" i="6" s="1"/>
  <c r="B2418" i="6"/>
  <c r="G2417" i="6"/>
  <c r="D2417" i="6" a="1"/>
  <c r="D2417" i="6" s="1"/>
  <c r="B2417" i="6"/>
  <c r="G2416" i="6"/>
  <c r="D2416" i="6" a="1"/>
  <c r="D2416" i="6" s="1"/>
  <c r="B2416" i="6"/>
  <c r="G2415" i="6"/>
  <c r="D2415" i="6" a="1"/>
  <c r="D2415" i="6" s="1"/>
  <c r="B2415" i="6"/>
  <c r="G2414" i="6"/>
  <c r="D2414" i="6" a="1"/>
  <c r="D2414" i="6" s="1"/>
  <c r="B2414" i="6"/>
  <c r="G2413" i="6"/>
  <c r="D2413" i="6"/>
  <c r="D2413" i="6" a="1"/>
  <c r="B2413" i="6"/>
  <c r="G2412" i="6"/>
  <c r="D2412" i="6" a="1"/>
  <c r="D2412" i="6" s="1"/>
  <c r="B2412" i="6"/>
  <c r="G2411" i="6"/>
  <c r="D2411" i="6" a="1"/>
  <c r="D2411" i="6" s="1"/>
  <c r="B2411" i="6"/>
  <c r="G2410" i="6"/>
  <c r="D2410" i="6" a="1"/>
  <c r="D2410" i="6" s="1"/>
  <c r="B2410" i="6"/>
  <c r="G2409" i="6"/>
  <c r="D2409" i="6" a="1"/>
  <c r="D2409" i="6" s="1"/>
  <c r="B2409" i="6"/>
  <c r="G2408" i="6"/>
  <c r="D2408" i="6"/>
  <c r="D2408" i="6" a="1"/>
  <c r="B2408" i="6"/>
  <c r="G2407" i="6"/>
  <c r="D2407" i="6" a="1"/>
  <c r="D2407" i="6" s="1"/>
  <c r="B2407" i="6"/>
  <c r="G2406" i="6"/>
  <c r="D2406" i="6" a="1"/>
  <c r="D2406" i="6" s="1"/>
  <c r="B2406" i="6"/>
  <c r="G2405" i="6"/>
  <c r="D2405" i="6"/>
  <c r="D2405" i="6" a="1"/>
  <c r="B2405" i="6"/>
  <c r="G2404" i="6"/>
  <c r="D2404" i="6" a="1"/>
  <c r="D2404" i="6" s="1"/>
  <c r="B2404" i="6"/>
  <c r="G2403" i="6"/>
  <c r="D2403" i="6" a="1"/>
  <c r="D2403" i="6" s="1"/>
  <c r="B2403" i="6"/>
  <c r="G2402" i="6"/>
  <c r="D2402" i="6"/>
  <c r="D2402" i="6" a="1"/>
  <c r="B2402" i="6"/>
  <c r="G2401" i="6"/>
  <c r="D2401" i="6"/>
  <c r="D2401" i="6" a="1"/>
  <c r="B2401" i="6"/>
  <c r="G2400" i="6"/>
  <c r="D2400" i="6" a="1"/>
  <c r="D2400" i="6" s="1"/>
  <c r="B2400" i="6"/>
  <c r="G2399" i="6"/>
  <c r="D2399" i="6" a="1"/>
  <c r="D2399" i="6" s="1"/>
  <c r="B2399" i="6"/>
  <c r="G2398" i="6"/>
  <c r="D2398" i="6" a="1"/>
  <c r="D2398" i="6" s="1"/>
  <c r="B2398" i="6"/>
  <c r="G2397" i="6"/>
  <c r="D2397" i="6" a="1"/>
  <c r="D2397" i="6" s="1"/>
  <c r="B2397" i="6"/>
  <c r="G2396" i="6"/>
  <c r="D2396" i="6" a="1"/>
  <c r="D2396" i="6" s="1"/>
  <c r="B2396" i="6"/>
  <c r="G2395" i="6"/>
  <c r="D2395" i="6"/>
  <c r="D2395" i="6" a="1"/>
  <c r="B2395" i="6"/>
  <c r="G2394" i="6"/>
  <c r="D2394" i="6" a="1"/>
  <c r="D2394" i="6" s="1"/>
  <c r="B2394" i="6"/>
  <c r="G2393" i="6"/>
  <c r="D2393" i="6" a="1"/>
  <c r="D2393" i="6" s="1"/>
  <c r="B2393" i="6"/>
  <c r="G2392" i="6"/>
  <c r="D2392" i="6"/>
  <c r="D2392" i="6" a="1"/>
  <c r="B2392" i="6"/>
  <c r="G2391" i="6"/>
  <c r="D2391" i="6" a="1"/>
  <c r="D2391" i="6" s="1"/>
  <c r="B2391" i="6"/>
  <c r="G2390" i="6"/>
  <c r="D2390" i="6"/>
  <c r="D2390" i="6" a="1"/>
  <c r="B2390" i="6"/>
  <c r="G2389" i="6"/>
  <c r="D2389" i="6"/>
  <c r="D2389" i="6" a="1"/>
  <c r="B2389" i="6"/>
  <c r="G2388" i="6"/>
  <c r="D2388" i="6" a="1"/>
  <c r="D2388" i="6" s="1"/>
  <c r="B2388" i="6"/>
  <c r="G2387" i="6"/>
  <c r="D2387" i="6" a="1"/>
  <c r="D2387" i="6" s="1"/>
  <c r="B2387" i="6"/>
  <c r="G2386" i="6"/>
  <c r="D2386" i="6" a="1"/>
  <c r="D2386" i="6" s="1"/>
  <c r="B2386" i="6"/>
  <c r="G2385" i="6"/>
  <c r="D2385" i="6" a="1"/>
  <c r="D2385" i="6" s="1"/>
  <c r="B2385" i="6"/>
  <c r="G2384" i="6"/>
  <c r="D2384" i="6"/>
  <c r="D2384" i="6" a="1"/>
  <c r="B2384" i="6"/>
  <c r="G2383" i="6"/>
  <c r="D2383" i="6"/>
  <c r="D2383" i="6" a="1"/>
  <c r="B2383" i="6"/>
  <c r="G2382" i="6"/>
  <c r="D2382" i="6" a="1"/>
  <c r="D2382" i="6" s="1"/>
  <c r="B2382" i="6"/>
  <c r="G2381" i="6"/>
  <c r="D2381" i="6"/>
  <c r="D2381" i="6" a="1"/>
  <c r="B2381" i="6"/>
  <c r="G2380" i="6"/>
  <c r="D2380" i="6" a="1"/>
  <c r="D2380" i="6" s="1"/>
  <c r="B2380" i="6"/>
  <c r="G2379" i="6"/>
  <c r="D2379" i="6" a="1"/>
  <c r="D2379" i="6" s="1"/>
  <c r="B2379" i="6"/>
  <c r="G2378" i="6"/>
  <c r="D2378" i="6" a="1"/>
  <c r="D2378" i="6" s="1"/>
  <c r="B2378" i="6"/>
  <c r="G2377" i="6"/>
  <c r="D2377" i="6"/>
  <c r="D2377" i="6" a="1"/>
  <c r="B2377" i="6"/>
  <c r="G2376" i="6"/>
  <c r="D2376" i="6" a="1"/>
  <c r="D2376" i="6" s="1"/>
  <c r="B2376" i="6"/>
  <c r="G2375" i="6"/>
  <c r="D2375" i="6" a="1"/>
  <c r="D2375" i="6" s="1"/>
  <c r="B2375" i="6"/>
  <c r="G2374" i="6"/>
  <c r="D2374" i="6"/>
  <c r="D2374" i="6" a="1"/>
  <c r="B2374" i="6"/>
  <c r="G2373" i="6"/>
  <c r="D2373" i="6" a="1"/>
  <c r="D2373" i="6" s="1"/>
  <c r="B2373" i="6"/>
  <c r="G2372" i="6"/>
  <c r="D2372" i="6"/>
  <c r="D2372" i="6" a="1"/>
  <c r="B2372" i="6"/>
  <c r="G2371" i="6"/>
  <c r="D2371" i="6" a="1"/>
  <c r="D2371" i="6" s="1"/>
  <c r="B2371" i="6"/>
  <c r="G2370" i="6"/>
  <c r="D2370" i="6" a="1"/>
  <c r="D2370" i="6" s="1"/>
  <c r="B2370" i="6"/>
  <c r="G2369" i="6"/>
  <c r="D2369" i="6"/>
  <c r="D2369" i="6" a="1"/>
  <c r="B2369" i="6"/>
  <c r="G2368" i="6"/>
  <c r="D2368" i="6" a="1"/>
  <c r="D2368" i="6" s="1"/>
  <c r="B2368" i="6"/>
  <c r="G2367" i="6"/>
  <c r="D2367" i="6" a="1"/>
  <c r="D2367" i="6" s="1"/>
  <c r="B2367" i="6"/>
  <c r="G2366" i="6"/>
  <c r="D2366" i="6"/>
  <c r="D2366" i="6" a="1"/>
  <c r="B2366" i="6"/>
  <c r="G2365" i="6"/>
  <c r="D2365" i="6" a="1"/>
  <c r="D2365" i="6" s="1"/>
  <c r="B2365" i="6"/>
  <c r="G2364" i="6"/>
  <c r="D2364" i="6" a="1"/>
  <c r="D2364" i="6" s="1"/>
  <c r="B2364" i="6"/>
  <c r="G2363" i="6"/>
  <c r="D2363" i="6"/>
  <c r="D2363" i="6" a="1"/>
  <c r="B2363" i="6"/>
  <c r="G2362" i="6"/>
  <c r="D2362" i="6" a="1"/>
  <c r="D2362" i="6" s="1"/>
  <c r="B2362" i="6"/>
  <c r="G2361" i="6"/>
  <c r="D2361" i="6" a="1"/>
  <c r="D2361" i="6" s="1"/>
  <c r="B2361" i="6"/>
  <c r="G2360" i="6"/>
  <c r="D2360" i="6" a="1"/>
  <c r="D2360" i="6" s="1"/>
  <c r="B2360" i="6"/>
  <c r="G2359" i="6"/>
  <c r="D2359" i="6"/>
  <c r="D2359" i="6" a="1"/>
  <c r="B2359" i="6"/>
  <c r="G2358" i="6"/>
  <c r="D2358" i="6" a="1"/>
  <c r="D2358" i="6" s="1"/>
  <c r="B2358" i="6"/>
  <c r="G2357" i="6"/>
  <c r="D2357" i="6" a="1"/>
  <c r="D2357" i="6" s="1"/>
  <c r="B2357" i="6"/>
  <c r="G2356" i="6"/>
  <c r="D2356" i="6"/>
  <c r="D2356" i="6" a="1"/>
  <c r="B2356" i="6"/>
  <c r="G2355" i="6"/>
  <c r="D2355" i="6" a="1"/>
  <c r="D2355" i="6" s="1"/>
  <c r="B2355" i="6"/>
  <c r="G2354" i="6"/>
  <c r="D2354" i="6"/>
  <c r="D2354" i="6" a="1"/>
  <c r="B2354" i="6"/>
  <c r="G2353" i="6"/>
  <c r="D2353" i="6"/>
  <c r="D2353" i="6" a="1"/>
  <c r="B2353" i="6"/>
  <c r="G2352" i="6"/>
  <c r="D2352" i="6" a="1"/>
  <c r="D2352" i="6" s="1"/>
  <c r="B2352" i="6"/>
  <c r="G2351" i="6"/>
  <c r="D2351" i="6" a="1"/>
  <c r="D2351" i="6" s="1"/>
  <c r="B2351" i="6"/>
  <c r="G2350" i="6"/>
  <c r="D2350" i="6" a="1"/>
  <c r="D2350" i="6" s="1"/>
  <c r="B2350" i="6"/>
  <c r="G2349" i="6"/>
  <c r="D2349" i="6" a="1"/>
  <c r="D2349" i="6" s="1"/>
  <c r="B2349" i="6"/>
  <c r="G2348" i="6"/>
  <c r="D2348" i="6" a="1"/>
  <c r="D2348" i="6" s="1"/>
  <c r="B2348" i="6"/>
  <c r="G2347" i="6"/>
  <c r="D2347" i="6"/>
  <c r="D2347" i="6" a="1"/>
  <c r="B2347" i="6"/>
  <c r="G2346" i="6"/>
  <c r="D2346" i="6" a="1"/>
  <c r="D2346" i="6" s="1"/>
  <c r="B2346" i="6"/>
  <c r="G2345" i="6"/>
  <c r="D2345" i="6" a="1"/>
  <c r="D2345" i="6" s="1"/>
  <c r="B2345" i="6"/>
  <c r="G2344" i="6"/>
  <c r="D2344" i="6" a="1"/>
  <c r="D2344" i="6" s="1"/>
  <c r="B2344" i="6"/>
  <c r="G2343" i="6"/>
  <c r="D2343" i="6" a="1"/>
  <c r="D2343" i="6" s="1"/>
  <c r="B2343" i="6"/>
  <c r="G2342" i="6"/>
  <c r="D2342" i="6"/>
  <c r="D2342" i="6" a="1"/>
  <c r="B2342" i="6"/>
  <c r="G2341" i="6"/>
  <c r="D2341" i="6"/>
  <c r="D2341" i="6" a="1"/>
  <c r="B2341" i="6"/>
  <c r="G2340" i="6"/>
  <c r="D2340" i="6" a="1"/>
  <c r="D2340" i="6" s="1"/>
  <c r="B2340" i="6"/>
  <c r="G2339" i="6"/>
  <c r="D2339" i="6" a="1"/>
  <c r="D2339" i="6" s="1"/>
  <c r="B2339" i="6"/>
  <c r="G2338" i="6"/>
  <c r="D2338" i="6" a="1"/>
  <c r="D2338" i="6" s="1"/>
  <c r="B2338" i="6"/>
  <c r="G2337" i="6"/>
  <c r="D2337" i="6" a="1"/>
  <c r="D2337" i="6" s="1"/>
  <c r="B2337" i="6"/>
  <c r="G2336" i="6"/>
  <c r="D2336" i="6"/>
  <c r="D2336" i="6" a="1"/>
  <c r="B2336" i="6"/>
  <c r="G2335" i="6"/>
  <c r="D2335" i="6"/>
  <c r="D2335" i="6" a="1"/>
  <c r="B2335" i="6"/>
  <c r="G2334" i="6"/>
  <c r="D2334" i="6" a="1"/>
  <c r="D2334" i="6" s="1"/>
  <c r="B2334" i="6"/>
  <c r="G2333" i="6"/>
  <c r="D2333" i="6"/>
  <c r="D2333" i="6" a="1"/>
  <c r="B2333" i="6"/>
  <c r="G2332" i="6"/>
  <c r="D2332" i="6"/>
  <c r="D2332" i="6" a="1"/>
  <c r="B2332" i="6"/>
  <c r="G2331" i="6"/>
  <c r="D2331" i="6" a="1"/>
  <c r="D2331" i="6" s="1"/>
  <c r="B2331" i="6"/>
  <c r="G2330" i="6"/>
  <c r="D2330" i="6"/>
  <c r="D2330" i="6" a="1"/>
  <c r="B2330" i="6"/>
  <c r="G2329" i="6"/>
  <c r="D2329" i="6" a="1"/>
  <c r="D2329" i="6" s="1"/>
  <c r="B2329" i="6"/>
  <c r="G2328" i="6"/>
  <c r="D2328" i="6" a="1"/>
  <c r="D2328" i="6" s="1"/>
  <c r="B2328" i="6"/>
  <c r="G2327" i="6"/>
  <c r="D2327" i="6"/>
  <c r="D2327" i="6" a="1"/>
  <c r="B2327" i="6"/>
  <c r="G2326" i="6"/>
  <c r="D2326" i="6" a="1"/>
  <c r="D2326" i="6" s="1"/>
  <c r="B2326" i="6"/>
  <c r="G2325" i="6"/>
  <c r="D2325" i="6" a="1"/>
  <c r="D2325" i="6" s="1"/>
  <c r="B2325" i="6"/>
  <c r="G2324" i="6"/>
  <c r="D2324" i="6"/>
  <c r="D2324" i="6" a="1"/>
  <c r="B2324" i="6"/>
  <c r="G2323" i="6"/>
  <c r="D2323" i="6"/>
  <c r="D2323" i="6" a="1"/>
  <c r="B2323" i="6"/>
  <c r="G2322" i="6"/>
  <c r="D2322" i="6" a="1"/>
  <c r="D2322" i="6" s="1"/>
  <c r="B2322" i="6"/>
  <c r="G2321" i="6"/>
  <c r="D2321" i="6" a="1"/>
  <c r="D2321" i="6" s="1"/>
  <c r="B2321" i="6"/>
  <c r="G2320" i="6"/>
  <c r="D2320" i="6"/>
  <c r="D2320" i="6" a="1"/>
  <c r="B2320" i="6"/>
  <c r="G2319" i="6"/>
  <c r="D2319" i="6" a="1"/>
  <c r="D2319" i="6" s="1"/>
  <c r="B2319" i="6"/>
  <c r="G2318" i="6"/>
  <c r="D2318" i="6"/>
  <c r="D2318" i="6" a="1"/>
  <c r="B2318" i="6"/>
  <c r="G2317" i="6"/>
  <c r="D2317" i="6"/>
  <c r="D2317" i="6" a="1"/>
  <c r="B2317" i="6"/>
  <c r="G2316" i="6"/>
  <c r="D2316" i="6" a="1"/>
  <c r="D2316" i="6" s="1"/>
  <c r="B2316" i="6"/>
  <c r="G2315" i="6"/>
  <c r="D2315" i="6"/>
  <c r="D2315" i="6" a="1"/>
  <c r="B2315" i="6"/>
  <c r="G2314" i="6"/>
  <c r="D2314" i="6"/>
  <c r="D2314" i="6" a="1"/>
  <c r="B2314" i="6"/>
  <c r="G2313" i="6"/>
  <c r="D2313" i="6" a="1"/>
  <c r="D2313" i="6" s="1"/>
  <c r="B2313" i="6"/>
  <c r="G2312" i="6"/>
  <c r="D2312" i="6" a="1"/>
  <c r="D2312" i="6" s="1"/>
  <c r="B2312" i="6"/>
  <c r="G2311" i="6"/>
  <c r="D2311" i="6" a="1"/>
  <c r="D2311" i="6" s="1"/>
  <c r="B2311" i="6"/>
  <c r="G2310" i="6"/>
  <c r="D2310" i="6" a="1"/>
  <c r="D2310" i="6" s="1"/>
  <c r="B2310" i="6"/>
  <c r="G2309" i="6"/>
  <c r="D2309" i="6" a="1"/>
  <c r="D2309" i="6" s="1"/>
  <c r="B2309" i="6"/>
  <c r="G2308" i="6"/>
  <c r="D2308" i="6" a="1"/>
  <c r="D2308" i="6" s="1"/>
  <c r="B2308" i="6"/>
  <c r="G2307" i="6"/>
  <c r="D2307" i="6" a="1"/>
  <c r="D2307" i="6" s="1"/>
  <c r="B2307" i="6"/>
  <c r="G2306" i="6"/>
  <c r="D2306" i="6" a="1"/>
  <c r="D2306" i="6" s="1"/>
  <c r="B2306" i="6"/>
  <c r="G2305" i="6"/>
  <c r="D2305" i="6"/>
  <c r="D2305" i="6" a="1"/>
  <c r="B2305" i="6"/>
  <c r="G2304" i="6"/>
  <c r="D2304" i="6" a="1"/>
  <c r="D2304" i="6" s="1"/>
  <c r="B2304" i="6"/>
  <c r="G2303" i="6"/>
  <c r="D2303" i="6" a="1"/>
  <c r="D2303" i="6" s="1"/>
  <c r="B2303" i="6"/>
  <c r="G2302" i="6"/>
  <c r="D2302" i="6" a="1"/>
  <c r="D2302" i="6" s="1"/>
  <c r="B2302" i="6"/>
  <c r="G2301" i="6"/>
  <c r="D2301" i="6" a="1"/>
  <c r="D2301" i="6" s="1"/>
  <c r="B2301" i="6"/>
  <c r="G2300" i="6"/>
  <c r="D2300" i="6"/>
  <c r="D2300" i="6" a="1"/>
  <c r="B2300" i="6"/>
  <c r="G2299" i="6"/>
  <c r="D2299" i="6" a="1"/>
  <c r="D2299" i="6" s="1"/>
  <c r="B2299" i="6"/>
  <c r="G2298" i="6"/>
  <c r="D2298" i="6" a="1"/>
  <c r="D2298" i="6" s="1"/>
  <c r="B2298" i="6"/>
  <c r="G2297" i="6"/>
  <c r="D2297" i="6"/>
  <c r="D2297" i="6" a="1"/>
  <c r="B2297" i="6"/>
  <c r="G2296" i="6"/>
  <c r="D2296" i="6" a="1"/>
  <c r="D2296" i="6" s="1"/>
  <c r="B2296" i="6"/>
  <c r="G2295" i="6"/>
  <c r="D2295" i="6" a="1"/>
  <c r="D2295" i="6" s="1"/>
  <c r="B2295" i="6"/>
  <c r="G2294" i="6"/>
  <c r="D2294" i="6"/>
  <c r="D2294" i="6" a="1"/>
  <c r="B2294" i="6"/>
  <c r="G2293" i="6"/>
  <c r="D2293" i="6"/>
  <c r="D2293" i="6" a="1"/>
  <c r="B2293" i="6"/>
  <c r="G2292" i="6"/>
  <c r="D2292" i="6" a="1"/>
  <c r="D2292" i="6" s="1"/>
  <c r="B2292" i="6"/>
  <c r="G2291" i="6"/>
  <c r="D2291" i="6" a="1"/>
  <c r="D2291" i="6" s="1"/>
  <c r="B2291" i="6"/>
  <c r="G2290" i="6"/>
  <c r="D2290" i="6" a="1"/>
  <c r="D2290" i="6" s="1"/>
  <c r="B2290" i="6"/>
  <c r="G2289" i="6"/>
  <c r="D2289" i="6" a="1"/>
  <c r="D2289" i="6" s="1"/>
  <c r="B2289" i="6"/>
  <c r="G2288" i="6"/>
  <c r="D2288" i="6" a="1"/>
  <c r="D2288" i="6" s="1"/>
  <c r="B2288" i="6"/>
  <c r="G2287" i="6"/>
  <c r="D2287" i="6"/>
  <c r="D2287" i="6" a="1"/>
  <c r="B2287" i="6"/>
  <c r="G2286" i="6"/>
  <c r="D2286" i="6" a="1"/>
  <c r="D2286" i="6" s="1"/>
  <c r="B2286" i="6"/>
  <c r="G2285" i="6"/>
  <c r="D2285" i="6" a="1"/>
  <c r="D2285" i="6" s="1"/>
  <c r="B2285" i="6"/>
  <c r="G2284" i="6"/>
  <c r="D2284" i="6"/>
  <c r="D2284" i="6" a="1"/>
  <c r="B2284" i="6"/>
  <c r="G2283" i="6"/>
  <c r="D2283" i="6" a="1"/>
  <c r="D2283" i="6" s="1"/>
  <c r="B2283" i="6"/>
  <c r="G2282" i="6"/>
  <c r="D2282" i="6"/>
  <c r="D2282" i="6" a="1"/>
  <c r="B2282" i="6"/>
  <c r="G2281" i="6"/>
  <c r="D2281" i="6"/>
  <c r="D2281" i="6" a="1"/>
  <c r="B2281" i="6"/>
  <c r="G2280" i="6"/>
  <c r="D2280" i="6" a="1"/>
  <c r="D2280" i="6" s="1"/>
  <c r="B2280" i="6"/>
  <c r="G2279" i="6"/>
  <c r="D2279" i="6" a="1"/>
  <c r="D2279" i="6" s="1"/>
  <c r="B2279" i="6"/>
  <c r="G2278" i="6"/>
  <c r="D2278" i="6"/>
  <c r="D2278" i="6" a="1"/>
  <c r="B2278" i="6"/>
  <c r="G2277" i="6"/>
  <c r="D2277" i="6" a="1"/>
  <c r="D2277" i="6" s="1"/>
  <c r="B2277" i="6"/>
  <c r="G2276" i="6"/>
  <c r="D2276" i="6"/>
  <c r="D2276" i="6" a="1"/>
  <c r="B2276" i="6"/>
  <c r="G2275" i="6"/>
  <c r="D2275" i="6"/>
  <c r="D2275" i="6" a="1"/>
  <c r="B2275" i="6"/>
  <c r="G2274" i="6"/>
  <c r="D2274" i="6" a="1"/>
  <c r="D2274" i="6" s="1"/>
  <c r="B2274" i="6"/>
  <c r="G2273" i="6"/>
  <c r="D2273" i="6"/>
  <c r="D2273" i="6" a="1"/>
  <c r="B2273" i="6"/>
  <c r="G2272" i="6"/>
  <c r="D2272" i="6" a="1"/>
  <c r="D2272" i="6" s="1"/>
  <c r="B2272" i="6"/>
  <c r="G2271" i="6"/>
  <c r="D2271" i="6" a="1"/>
  <c r="D2271" i="6" s="1"/>
  <c r="B2271" i="6"/>
  <c r="G2270" i="6"/>
  <c r="D2270" i="6"/>
  <c r="D2270" i="6" a="1"/>
  <c r="B2270" i="6"/>
  <c r="G2269" i="6"/>
  <c r="D2269" i="6"/>
  <c r="D2269" i="6" a="1"/>
  <c r="B2269" i="6"/>
  <c r="G2268" i="6"/>
  <c r="D2268" i="6" a="1"/>
  <c r="D2268" i="6" s="1"/>
  <c r="B2268" i="6"/>
  <c r="G2267" i="6"/>
  <c r="D2267" i="6" a="1"/>
  <c r="D2267" i="6" s="1"/>
  <c r="B2267" i="6"/>
  <c r="G2266" i="6"/>
  <c r="D2266" i="6"/>
  <c r="D2266" i="6" a="1"/>
  <c r="B2266" i="6"/>
  <c r="G2265" i="6"/>
  <c r="D2265" i="6" a="1"/>
  <c r="D2265" i="6" s="1"/>
  <c r="B2265" i="6"/>
  <c r="G2264" i="6"/>
  <c r="D2264" i="6"/>
  <c r="D2264" i="6" a="1"/>
  <c r="B2264" i="6"/>
  <c r="G2263" i="6"/>
  <c r="D2263" i="6"/>
  <c r="D2263" i="6" a="1"/>
  <c r="B2263" i="6"/>
  <c r="G2262" i="6"/>
  <c r="D2262" i="6" a="1"/>
  <c r="D2262" i="6" s="1"/>
  <c r="B2262" i="6"/>
  <c r="G2261" i="6"/>
  <c r="D2261" i="6"/>
  <c r="D2261" i="6" a="1"/>
  <c r="B2261" i="6"/>
  <c r="G2260" i="6"/>
  <c r="D2260" i="6"/>
  <c r="D2260" i="6" a="1"/>
  <c r="B2260" i="6"/>
  <c r="G2259" i="6"/>
  <c r="D2259" i="6" a="1"/>
  <c r="D2259" i="6" s="1"/>
  <c r="B2259" i="6"/>
  <c r="G2258" i="6"/>
  <c r="D2258" i="6"/>
  <c r="D2258" i="6" a="1"/>
  <c r="B2258" i="6"/>
  <c r="G2257" i="6"/>
  <c r="D2257" i="6" a="1"/>
  <c r="D2257" i="6" s="1"/>
  <c r="B2257" i="6"/>
  <c r="G2256" i="6"/>
  <c r="D2256" i="6" a="1"/>
  <c r="D2256" i="6" s="1"/>
  <c r="B2256" i="6"/>
  <c r="G2255" i="6"/>
  <c r="D2255" i="6"/>
  <c r="D2255" i="6" a="1"/>
  <c r="B2255" i="6"/>
  <c r="G2254" i="6"/>
  <c r="D2254" i="6" a="1"/>
  <c r="D2254" i="6" s="1"/>
  <c r="B2254" i="6"/>
  <c r="G2253" i="6"/>
  <c r="D2253" i="6" a="1"/>
  <c r="D2253" i="6" s="1"/>
  <c r="B2253" i="6"/>
  <c r="G2252" i="6"/>
  <c r="D2252" i="6" a="1"/>
  <c r="D2252" i="6" s="1"/>
  <c r="B2252" i="6"/>
  <c r="G2251" i="6"/>
  <c r="D2251" i="6"/>
  <c r="D2251" i="6" a="1"/>
  <c r="B2251" i="6"/>
  <c r="G2250" i="6"/>
  <c r="D2250" i="6" a="1"/>
  <c r="D2250" i="6" s="1"/>
  <c r="B2250" i="6"/>
  <c r="G2249" i="6"/>
  <c r="D2249" i="6" a="1"/>
  <c r="D2249" i="6" s="1"/>
  <c r="B2249" i="6"/>
  <c r="G2248" i="6"/>
  <c r="D2248" i="6"/>
  <c r="D2248" i="6" a="1"/>
  <c r="B2248" i="6"/>
  <c r="G2247" i="6"/>
  <c r="D2247" i="6" a="1"/>
  <c r="D2247" i="6" s="1"/>
  <c r="B2247" i="6"/>
  <c r="G2246" i="6"/>
  <c r="D2246" i="6"/>
  <c r="D2246" i="6" a="1"/>
  <c r="B2246" i="6"/>
  <c r="G2245" i="6"/>
  <c r="D2245" i="6" a="1"/>
  <c r="D2245" i="6" s="1"/>
  <c r="B2245" i="6"/>
  <c r="G2244" i="6"/>
  <c r="D2244" i="6" a="1"/>
  <c r="D2244" i="6" s="1"/>
  <c r="B2244" i="6"/>
  <c r="G2243" i="6"/>
  <c r="D2243" i="6" a="1"/>
  <c r="D2243" i="6" s="1"/>
  <c r="B2243" i="6"/>
  <c r="G2242" i="6"/>
  <c r="D2242" i="6" a="1"/>
  <c r="D2242" i="6" s="1"/>
  <c r="B2242" i="6"/>
  <c r="G2241" i="6"/>
  <c r="D2241" i="6" a="1"/>
  <c r="D2241" i="6" s="1"/>
  <c r="B2241" i="6"/>
  <c r="G2240" i="6"/>
  <c r="D2240" i="6"/>
  <c r="D2240" i="6" a="1"/>
  <c r="B2240" i="6"/>
  <c r="G2239" i="6"/>
  <c r="D2239" i="6"/>
  <c r="D2239" i="6" a="1"/>
  <c r="B2239" i="6"/>
  <c r="G2238" i="6"/>
  <c r="D2238" i="6" a="1"/>
  <c r="D2238" i="6" s="1"/>
  <c r="B2238" i="6"/>
  <c r="G2237" i="6"/>
  <c r="D2237" i="6"/>
  <c r="D2237" i="6" a="1"/>
  <c r="B2237" i="6"/>
  <c r="G2236" i="6"/>
  <c r="D2236" i="6" a="1"/>
  <c r="D2236" i="6" s="1"/>
  <c r="B2236" i="6"/>
  <c r="G2235" i="6"/>
  <c r="D2235" i="6" a="1"/>
  <c r="D2235" i="6" s="1"/>
  <c r="B2235" i="6"/>
  <c r="G2234" i="6"/>
  <c r="D2234" i="6" a="1"/>
  <c r="D2234" i="6" s="1"/>
  <c r="B2234" i="6"/>
  <c r="G2233" i="6"/>
  <c r="D2233" i="6"/>
  <c r="D2233" i="6" a="1"/>
  <c r="B2233" i="6"/>
  <c r="G2232" i="6"/>
  <c r="D2232" i="6" a="1"/>
  <c r="D2232" i="6" s="1"/>
  <c r="B2232" i="6"/>
  <c r="G2231" i="6"/>
  <c r="D2231" i="6" a="1"/>
  <c r="D2231" i="6" s="1"/>
  <c r="B2231" i="6"/>
  <c r="G2230" i="6"/>
  <c r="D2230" i="6"/>
  <c r="D2230" i="6" a="1"/>
  <c r="B2230" i="6"/>
  <c r="G2229" i="6"/>
  <c r="D2229" i="6" a="1"/>
  <c r="D2229" i="6" s="1"/>
  <c r="B2229" i="6"/>
  <c r="G2228" i="6"/>
  <c r="D2228" i="6"/>
  <c r="D2228" i="6" a="1"/>
  <c r="B2228" i="6"/>
  <c r="G2227" i="6"/>
  <c r="D2227" i="6" a="1"/>
  <c r="D2227" i="6" s="1"/>
  <c r="B2227" i="6"/>
  <c r="G2226" i="6"/>
  <c r="D2226" i="6" a="1"/>
  <c r="D2226" i="6" s="1"/>
  <c r="B2226" i="6"/>
  <c r="G2225" i="6"/>
  <c r="D2225" i="6"/>
  <c r="D2225" i="6" a="1"/>
  <c r="B2225" i="6"/>
  <c r="G2224" i="6"/>
  <c r="D2224" i="6" a="1"/>
  <c r="D2224" i="6" s="1"/>
  <c r="B2224" i="6"/>
  <c r="G2223" i="6"/>
  <c r="D2223" i="6" a="1"/>
  <c r="D2223" i="6" s="1"/>
  <c r="B2223" i="6"/>
  <c r="G2222" i="6"/>
  <c r="D2222" i="6"/>
  <c r="D2222" i="6" a="1"/>
  <c r="B2222" i="6"/>
  <c r="G2221" i="6"/>
  <c r="D2221" i="6" a="1"/>
  <c r="D2221" i="6" s="1"/>
  <c r="B2221" i="6"/>
  <c r="G2220" i="6"/>
  <c r="D2220" i="6" a="1"/>
  <c r="D2220" i="6" s="1"/>
  <c r="B2220" i="6"/>
  <c r="G2219" i="6"/>
  <c r="D2219" i="6"/>
  <c r="D2219" i="6" a="1"/>
  <c r="B2219" i="6"/>
  <c r="G2218" i="6"/>
  <c r="D2218" i="6" a="1"/>
  <c r="D2218" i="6" s="1"/>
  <c r="B2218" i="6"/>
  <c r="G2217" i="6"/>
  <c r="D2217" i="6" a="1"/>
  <c r="D2217" i="6" s="1"/>
  <c r="B2217" i="6"/>
  <c r="G2216" i="6"/>
  <c r="D2216" i="6" a="1"/>
  <c r="D2216" i="6" s="1"/>
  <c r="B2216" i="6"/>
  <c r="G2215" i="6"/>
  <c r="D2215" i="6"/>
  <c r="D2215" i="6" a="1"/>
  <c r="B2215" i="6"/>
  <c r="G2214" i="6"/>
  <c r="D2214" i="6" a="1"/>
  <c r="D2214" i="6" s="1"/>
  <c r="B2214" i="6"/>
  <c r="G2213" i="6"/>
  <c r="D2213" i="6" a="1"/>
  <c r="D2213" i="6" s="1"/>
  <c r="B2213" i="6"/>
  <c r="G2212" i="6"/>
  <c r="D2212" i="6"/>
  <c r="D2212" i="6" a="1"/>
  <c r="B2212" i="6"/>
  <c r="G2211" i="6"/>
  <c r="D2211" i="6" a="1"/>
  <c r="D2211" i="6" s="1"/>
  <c r="B2211" i="6"/>
  <c r="G2210" i="6"/>
  <c r="D2210" i="6"/>
  <c r="D2210" i="6" a="1"/>
  <c r="B2210" i="6"/>
  <c r="G2209" i="6"/>
  <c r="D2209" i="6" a="1"/>
  <c r="D2209" i="6" s="1"/>
  <c r="B2209" i="6"/>
  <c r="G2208" i="6"/>
  <c r="D2208" i="6" a="1"/>
  <c r="D2208" i="6" s="1"/>
  <c r="B2208" i="6"/>
  <c r="G2207" i="6"/>
  <c r="D2207" i="6" a="1"/>
  <c r="D2207" i="6" s="1"/>
  <c r="B2207" i="6"/>
  <c r="G2206" i="6"/>
  <c r="D2206" i="6" a="1"/>
  <c r="D2206" i="6" s="1"/>
  <c r="B2206" i="6"/>
  <c r="G2205" i="6"/>
  <c r="D2205" i="6" a="1"/>
  <c r="D2205" i="6" s="1"/>
  <c r="B2205" i="6"/>
  <c r="G2204" i="6"/>
  <c r="D2204" i="6"/>
  <c r="D2204" i="6" a="1"/>
  <c r="B2204" i="6"/>
  <c r="G2203" i="6"/>
  <c r="D2203" i="6"/>
  <c r="D2203" i="6" a="1"/>
  <c r="B2203" i="6"/>
  <c r="G2202" i="6"/>
  <c r="D2202" i="6" a="1"/>
  <c r="D2202" i="6" s="1"/>
  <c r="B2202" i="6"/>
  <c r="G2201" i="6"/>
  <c r="D2201" i="6" a="1"/>
  <c r="D2201" i="6" s="1"/>
  <c r="B2201" i="6"/>
  <c r="G2200" i="6"/>
  <c r="D2200" i="6" a="1"/>
  <c r="D2200" i="6" s="1"/>
  <c r="B2200" i="6"/>
  <c r="G2199" i="6"/>
  <c r="D2199" i="6" a="1"/>
  <c r="D2199" i="6" s="1"/>
  <c r="B2199" i="6"/>
  <c r="G2198" i="6"/>
  <c r="D2198" i="6" a="1"/>
  <c r="D2198" i="6" s="1"/>
  <c r="B2198" i="6"/>
  <c r="G2197" i="6"/>
  <c r="D2197" i="6"/>
  <c r="D2197" i="6" a="1"/>
  <c r="B2197" i="6"/>
  <c r="G2196" i="6"/>
  <c r="D2196" i="6" a="1"/>
  <c r="D2196" i="6" s="1"/>
  <c r="B2196" i="6"/>
  <c r="G2195" i="6"/>
  <c r="D2195" i="6" a="1"/>
  <c r="D2195" i="6" s="1"/>
  <c r="B2195" i="6"/>
  <c r="G2194" i="6"/>
  <c r="D2194" i="6" a="1"/>
  <c r="D2194" i="6" s="1"/>
  <c r="B2194" i="6"/>
  <c r="G2193" i="6"/>
  <c r="D2193" i="6" a="1"/>
  <c r="D2193" i="6" s="1"/>
  <c r="B2193" i="6"/>
  <c r="G2192" i="6"/>
  <c r="D2192" i="6"/>
  <c r="D2192" i="6" a="1"/>
  <c r="B2192" i="6"/>
  <c r="G2191" i="6"/>
  <c r="D2191" i="6" a="1"/>
  <c r="D2191" i="6" s="1"/>
  <c r="B2191" i="6"/>
  <c r="G2190" i="6"/>
  <c r="D2190" i="6" a="1"/>
  <c r="D2190" i="6" s="1"/>
  <c r="B2190" i="6"/>
  <c r="G2189" i="6"/>
  <c r="D2189" i="6"/>
  <c r="D2189" i="6" a="1"/>
  <c r="B2189" i="6"/>
  <c r="G2188" i="6"/>
  <c r="D2188" i="6" a="1"/>
  <c r="D2188" i="6" s="1"/>
  <c r="B2188" i="6"/>
  <c r="G2187" i="6"/>
  <c r="D2187" i="6" a="1"/>
  <c r="D2187" i="6" s="1"/>
  <c r="B2187" i="6"/>
  <c r="G2186" i="6"/>
  <c r="D2186" i="6"/>
  <c r="D2186" i="6" a="1"/>
  <c r="B2186" i="6"/>
  <c r="G2185" i="6"/>
  <c r="D2185" i="6"/>
  <c r="D2185" i="6" a="1"/>
  <c r="B2185" i="6"/>
  <c r="G2184" i="6"/>
  <c r="D2184" i="6" a="1"/>
  <c r="D2184" i="6" s="1"/>
  <c r="B2184" i="6"/>
  <c r="G2183" i="6"/>
  <c r="D2183" i="6" a="1"/>
  <c r="D2183" i="6" s="1"/>
  <c r="B2183" i="6"/>
  <c r="G2182" i="6"/>
  <c r="D2182" i="6" a="1"/>
  <c r="D2182" i="6" s="1"/>
  <c r="B2182" i="6"/>
  <c r="G2181" i="6"/>
  <c r="D2181" i="6" a="1"/>
  <c r="D2181" i="6" s="1"/>
  <c r="B2181" i="6"/>
  <c r="G2180" i="6"/>
  <c r="D2180" i="6" a="1"/>
  <c r="D2180" i="6" s="1"/>
  <c r="B2180" i="6"/>
  <c r="G2179" i="6"/>
  <c r="D2179" i="6"/>
  <c r="D2179" i="6" a="1"/>
  <c r="B2179" i="6"/>
  <c r="G2178" i="6"/>
  <c r="D2178" i="6" a="1"/>
  <c r="D2178" i="6" s="1"/>
  <c r="B2178" i="6"/>
  <c r="G2177" i="6"/>
  <c r="D2177" i="6" a="1"/>
  <c r="D2177" i="6" s="1"/>
  <c r="B2177" i="6"/>
  <c r="G2176" i="6"/>
  <c r="D2176" i="6"/>
  <c r="D2176" i="6" a="1"/>
  <c r="B2176" i="6"/>
  <c r="G2175" i="6"/>
  <c r="D2175" i="6" a="1"/>
  <c r="D2175" i="6" s="1"/>
  <c r="B2175" i="6"/>
  <c r="G2174" i="6"/>
  <c r="D2174" i="6"/>
  <c r="D2174" i="6" a="1"/>
  <c r="B2174" i="6"/>
  <c r="G2173" i="6"/>
  <c r="D2173" i="6" a="1"/>
  <c r="D2173" i="6" s="1"/>
  <c r="B2173" i="6"/>
  <c r="G2172" i="6"/>
  <c r="D2172" i="6" a="1"/>
  <c r="D2172" i="6" s="1"/>
  <c r="B2172" i="6"/>
  <c r="G2171" i="6"/>
  <c r="D2171" i="6" a="1"/>
  <c r="D2171" i="6" s="1"/>
  <c r="B2171" i="6"/>
  <c r="G2170" i="6"/>
  <c r="D2170" i="6"/>
  <c r="D2170" i="6" a="1"/>
  <c r="B2170" i="6"/>
  <c r="G2169" i="6"/>
  <c r="D2169" i="6" a="1"/>
  <c r="D2169" i="6" s="1"/>
  <c r="B2169" i="6"/>
  <c r="G2168" i="6"/>
  <c r="D2168" i="6"/>
  <c r="D2168" i="6" a="1"/>
  <c r="B2168" i="6"/>
  <c r="G2167" i="6"/>
  <c r="D2167" i="6"/>
  <c r="D2167" i="6" a="1"/>
  <c r="B2167" i="6"/>
  <c r="G2166" i="6"/>
  <c r="D2166" i="6" a="1"/>
  <c r="D2166" i="6" s="1"/>
  <c r="B2166" i="6"/>
  <c r="G2165" i="6"/>
  <c r="D2165" i="6"/>
  <c r="D2165" i="6" a="1"/>
  <c r="B2165" i="6"/>
  <c r="G2164" i="6"/>
  <c r="D2164" i="6" a="1"/>
  <c r="D2164" i="6" s="1"/>
  <c r="B2164" i="6"/>
  <c r="G2163" i="6"/>
  <c r="D2163" i="6" a="1"/>
  <c r="D2163" i="6" s="1"/>
  <c r="B2163" i="6"/>
  <c r="G2162" i="6"/>
  <c r="D2162" i="6" a="1"/>
  <c r="D2162" i="6" s="1"/>
  <c r="B2162" i="6"/>
  <c r="G2161" i="6"/>
  <c r="D2161" i="6"/>
  <c r="D2161" i="6" a="1"/>
  <c r="B2161" i="6"/>
  <c r="G2160" i="6"/>
  <c r="D2160" i="6" a="1"/>
  <c r="D2160" i="6" s="1"/>
  <c r="B2160" i="6"/>
  <c r="G2159" i="6"/>
  <c r="D2159" i="6" a="1"/>
  <c r="D2159" i="6" s="1"/>
  <c r="B2159" i="6"/>
  <c r="G2158" i="6"/>
  <c r="D2158" i="6" a="1"/>
  <c r="D2158" i="6" s="1"/>
  <c r="B2158" i="6"/>
  <c r="G2157" i="6"/>
  <c r="D2157" i="6" a="1"/>
  <c r="D2157" i="6" s="1"/>
  <c r="B2157" i="6"/>
  <c r="G2156" i="6"/>
  <c r="D2156" i="6"/>
  <c r="D2156" i="6" a="1"/>
  <c r="B2156" i="6"/>
  <c r="G2155" i="6"/>
  <c r="D2155" i="6" a="1"/>
  <c r="D2155" i="6" s="1"/>
  <c r="B2155" i="6"/>
  <c r="G2154" i="6"/>
  <c r="D2154" i="6" a="1"/>
  <c r="D2154" i="6" s="1"/>
  <c r="B2154" i="6"/>
  <c r="G2153" i="6"/>
  <c r="D2153" i="6"/>
  <c r="D2153" i="6" a="1"/>
  <c r="B2153" i="6"/>
  <c r="G2152" i="6"/>
  <c r="D2152" i="6" a="1"/>
  <c r="D2152" i="6" s="1"/>
  <c r="B2152" i="6"/>
  <c r="G2151" i="6"/>
  <c r="D2151" i="6" a="1"/>
  <c r="D2151" i="6" s="1"/>
  <c r="B2151" i="6"/>
  <c r="G2150" i="6"/>
  <c r="D2150" i="6"/>
  <c r="D2150" i="6" a="1"/>
  <c r="B2150" i="6"/>
  <c r="G2149" i="6"/>
  <c r="D2149" i="6" a="1"/>
  <c r="D2149" i="6" s="1"/>
  <c r="B2149" i="6"/>
  <c r="G2148" i="6"/>
  <c r="D2148" i="6" a="1"/>
  <c r="D2148" i="6" s="1"/>
  <c r="B2148" i="6"/>
  <c r="G2147" i="6"/>
  <c r="D2147" i="6"/>
  <c r="D2147" i="6" a="1"/>
  <c r="B2147" i="6"/>
  <c r="G2146" i="6"/>
  <c r="D2146" i="6" a="1"/>
  <c r="D2146" i="6" s="1"/>
  <c r="B2146" i="6"/>
  <c r="G2145" i="6"/>
  <c r="D2145" i="6" a="1"/>
  <c r="D2145" i="6" s="1"/>
  <c r="B2145" i="6"/>
  <c r="G2144" i="6"/>
  <c r="D2144" i="6" a="1"/>
  <c r="D2144" i="6" s="1"/>
  <c r="B2144" i="6"/>
  <c r="G2143" i="6"/>
  <c r="D2143" i="6"/>
  <c r="D2143" i="6" a="1"/>
  <c r="B2143" i="6"/>
  <c r="G2142" i="6"/>
  <c r="D2142" i="6" a="1"/>
  <c r="D2142" i="6" s="1"/>
  <c r="B2142" i="6"/>
  <c r="G2141" i="6"/>
  <c r="D2141" i="6" a="1"/>
  <c r="D2141" i="6" s="1"/>
  <c r="B2141" i="6"/>
  <c r="G2140" i="6"/>
  <c r="D2140" i="6"/>
  <c r="D2140" i="6" a="1"/>
  <c r="B2140" i="6"/>
  <c r="G2139" i="6"/>
  <c r="D2139" i="6" a="1"/>
  <c r="D2139" i="6" s="1"/>
  <c r="B2139" i="6"/>
  <c r="G2138" i="6"/>
  <c r="D2138" i="6"/>
  <c r="D2138" i="6" a="1"/>
  <c r="B2138" i="6"/>
  <c r="G2137" i="6"/>
  <c r="D2137" i="6" a="1"/>
  <c r="D2137" i="6" s="1"/>
  <c r="B2137" i="6"/>
  <c r="G2136" i="6"/>
  <c r="D2136" i="6" a="1"/>
  <c r="D2136" i="6" s="1"/>
  <c r="B2136" i="6"/>
  <c r="G2135" i="6"/>
  <c r="D2135" i="6" a="1"/>
  <c r="D2135" i="6" s="1"/>
  <c r="B2135" i="6"/>
  <c r="G2134" i="6"/>
  <c r="D2134" i="6" a="1"/>
  <c r="D2134" i="6" s="1"/>
  <c r="B2134" i="6"/>
  <c r="G2133" i="6"/>
  <c r="D2133" i="6" a="1"/>
  <c r="D2133" i="6" s="1"/>
  <c r="B2133" i="6"/>
  <c r="G2132" i="6"/>
  <c r="D2132" i="6"/>
  <c r="D2132" i="6" a="1"/>
  <c r="B2132" i="6"/>
  <c r="G2131" i="6"/>
  <c r="D2131" i="6"/>
  <c r="D2131" i="6" a="1"/>
  <c r="B2131" i="6"/>
  <c r="G2130" i="6"/>
  <c r="D2130" i="6" a="1"/>
  <c r="D2130" i="6" s="1"/>
  <c r="B2130" i="6"/>
  <c r="G2129" i="6"/>
  <c r="D2129" i="6"/>
  <c r="D2129" i="6" a="1"/>
  <c r="B2129" i="6"/>
  <c r="G2128" i="6"/>
  <c r="D2128" i="6" a="1"/>
  <c r="D2128" i="6" s="1"/>
  <c r="B2128" i="6"/>
  <c r="G2127" i="6"/>
  <c r="D2127" i="6"/>
  <c r="D2127" i="6" a="1"/>
  <c r="B2127" i="6"/>
  <c r="G2126" i="6"/>
  <c r="D2126" i="6" a="1"/>
  <c r="D2126" i="6" s="1"/>
  <c r="B2126" i="6"/>
  <c r="G2125" i="6"/>
  <c r="D2125" i="6" a="1"/>
  <c r="D2125" i="6" s="1"/>
  <c r="B2125" i="6"/>
  <c r="G2124" i="6"/>
  <c r="D2124" i="6"/>
  <c r="D2124" i="6" a="1"/>
  <c r="B2124" i="6"/>
  <c r="G2123" i="6"/>
  <c r="D2123" i="6"/>
  <c r="D2123" i="6" a="1"/>
  <c r="B2123" i="6"/>
  <c r="G2122" i="6"/>
  <c r="D2122" i="6" a="1"/>
  <c r="D2122" i="6" s="1"/>
  <c r="B2122" i="6"/>
  <c r="G2121" i="6"/>
  <c r="D2121" i="6"/>
  <c r="D2121" i="6" a="1"/>
  <c r="B2121" i="6"/>
  <c r="G2120" i="6"/>
  <c r="D2120" i="6" a="1"/>
  <c r="D2120" i="6" s="1"/>
  <c r="B2120" i="6"/>
  <c r="G2119" i="6"/>
  <c r="D2119" i="6" a="1"/>
  <c r="D2119" i="6" s="1"/>
  <c r="B2119" i="6"/>
  <c r="G2118" i="6"/>
  <c r="D2118" i="6"/>
  <c r="D2118" i="6" a="1"/>
  <c r="B2118" i="6"/>
  <c r="G2117" i="6"/>
  <c r="D2117" i="6"/>
  <c r="D2117" i="6" a="1"/>
  <c r="B2117" i="6"/>
  <c r="G2116" i="6"/>
  <c r="D2116" i="6" a="1"/>
  <c r="D2116" i="6" s="1"/>
  <c r="B2116" i="6"/>
  <c r="G2115" i="6"/>
  <c r="D2115" i="6"/>
  <c r="D2115" i="6" a="1"/>
  <c r="B2115" i="6"/>
  <c r="G2114" i="6"/>
  <c r="D2114" i="6" a="1"/>
  <c r="D2114" i="6" s="1"/>
  <c r="B2114" i="6"/>
  <c r="G2113" i="6"/>
  <c r="D2113" i="6" a="1"/>
  <c r="D2113" i="6" s="1"/>
  <c r="B2113" i="6"/>
  <c r="G2112" i="6"/>
  <c r="D2112" i="6"/>
  <c r="D2112" i="6" a="1"/>
  <c r="B2112" i="6"/>
  <c r="G2111" i="6"/>
  <c r="D2111" i="6" a="1"/>
  <c r="D2111" i="6" s="1"/>
  <c r="B2111" i="6"/>
  <c r="G2110" i="6"/>
  <c r="D2110" i="6" a="1"/>
  <c r="D2110" i="6" s="1"/>
  <c r="B2110" i="6"/>
  <c r="G2109" i="6"/>
  <c r="D2109" i="6"/>
  <c r="D2109" i="6" a="1"/>
  <c r="B2109" i="6"/>
  <c r="G2108" i="6"/>
  <c r="D2108" i="6"/>
  <c r="D2108" i="6" a="1"/>
  <c r="B2108" i="6"/>
  <c r="G2107" i="6"/>
  <c r="D2107" i="6" a="1"/>
  <c r="D2107" i="6" s="1"/>
  <c r="B2107" i="6"/>
  <c r="G2106" i="6"/>
  <c r="D2106" i="6"/>
  <c r="D2106" i="6" a="1"/>
  <c r="B2106" i="6"/>
  <c r="G2105" i="6"/>
  <c r="D2105" i="6" a="1"/>
  <c r="D2105" i="6" s="1"/>
  <c r="B2105" i="6"/>
  <c r="G2104" i="6"/>
  <c r="D2104" i="6" a="1"/>
  <c r="D2104" i="6" s="1"/>
  <c r="B2104" i="6"/>
  <c r="G2103" i="6"/>
  <c r="D2103" i="6"/>
  <c r="D2103" i="6" a="1"/>
  <c r="B2103" i="6"/>
  <c r="G2102" i="6"/>
  <c r="D2102" i="6"/>
  <c r="D2102" i="6" a="1"/>
  <c r="B2102" i="6"/>
  <c r="G2101" i="6"/>
  <c r="D2101" i="6" a="1"/>
  <c r="D2101" i="6" s="1"/>
  <c r="B2101" i="6"/>
  <c r="G2100" i="6"/>
  <c r="D2100" i="6"/>
  <c r="D2100" i="6" a="1"/>
  <c r="B2100" i="6"/>
  <c r="G2099" i="6"/>
  <c r="D2099" i="6"/>
  <c r="D2099" i="6" a="1"/>
  <c r="B2099" i="6"/>
  <c r="G2098" i="6"/>
  <c r="D2098" i="6" a="1"/>
  <c r="D2098" i="6" s="1"/>
  <c r="B2098" i="6"/>
  <c r="G2097" i="6"/>
  <c r="D2097" i="6" a="1"/>
  <c r="D2097" i="6" s="1"/>
  <c r="B2097" i="6"/>
  <c r="G2096" i="6"/>
  <c r="D2096" i="6" a="1"/>
  <c r="D2096" i="6" s="1"/>
  <c r="B2096" i="6"/>
  <c r="G2095" i="6"/>
  <c r="D2095" i="6" a="1"/>
  <c r="D2095" i="6" s="1"/>
  <c r="B2095" i="6"/>
  <c r="G2094" i="6"/>
  <c r="D2094" i="6" a="1"/>
  <c r="D2094" i="6" s="1"/>
  <c r="B2094" i="6"/>
  <c r="G2093" i="6"/>
  <c r="D2093" i="6" a="1"/>
  <c r="D2093" i="6" s="1"/>
  <c r="B2093" i="6"/>
  <c r="G2092" i="6"/>
  <c r="D2092" i="6" a="1"/>
  <c r="D2092" i="6" s="1"/>
  <c r="B2092" i="6"/>
  <c r="G2091" i="6"/>
  <c r="D2091" i="6" a="1"/>
  <c r="D2091" i="6" s="1"/>
  <c r="B2091" i="6"/>
  <c r="G2090" i="6"/>
  <c r="D2090" i="6"/>
  <c r="D2090" i="6" a="1"/>
  <c r="B2090" i="6"/>
  <c r="G2089" i="6"/>
  <c r="D2089" i="6" a="1"/>
  <c r="D2089" i="6" s="1"/>
  <c r="B2089" i="6"/>
  <c r="G2088" i="6"/>
  <c r="D2088" i="6" a="1"/>
  <c r="D2088" i="6" s="1"/>
  <c r="B2088" i="6"/>
  <c r="G2087" i="6"/>
  <c r="D2087" i="6" a="1"/>
  <c r="D2087" i="6" s="1"/>
  <c r="B2087" i="6"/>
  <c r="G2086" i="6"/>
  <c r="D2086" i="6" a="1"/>
  <c r="D2086" i="6" s="1"/>
  <c r="B2086" i="6"/>
  <c r="G2085" i="6"/>
  <c r="D2085" i="6"/>
  <c r="D2085" i="6" a="1"/>
  <c r="B2085" i="6"/>
  <c r="G2084" i="6"/>
  <c r="D2084" i="6"/>
  <c r="D2084" i="6" a="1"/>
  <c r="B2084" i="6"/>
  <c r="G2083" i="6"/>
  <c r="D2083" i="6" a="1"/>
  <c r="D2083" i="6" s="1"/>
  <c r="B2083" i="6"/>
  <c r="G2082" i="6"/>
  <c r="D2082" i="6"/>
  <c r="D2082" i="6" a="1"/>
  <c r="B2082" i="6"/>
  <c r="G2081" i="6"/>
  <c r="D2081" i="6"/>
  <c r="D2081" i="6" a="1"/>
  <c r="B2081" i="6"/>
  <c r="G2080" i="6"/>
  <c r="D2080" i="6" a="1"/>
  <c r="D2080" i="6" s="1"/>
  <c r="B2080" i="6"/>
  <c r="G2079" i="6"/>
  <c r="D2079" i="6" a="1"/>
  <c r="D2079" i="6" s="1"/>
  <c r="B2079" i="6"/>
  <c r="G2078" i="6"/>
  <c r="D2078" i="6" a="1"/>
  <c r="D2078" i="6" s="1"/>
  <c r="B2078" i="6"/>
  <c r="G2077" i="6"/>
  <c r="D2077" i="6" a="1"/>
  <c r="D2077" i="6" s="1"/>
  <c r="B2077" i="6"/>
  <c r="G2076" i="6"/>
  <c r="D2076" i="6" a="1"/>
  <c r="D2076" i="6" s="1"/>
  <c r="B2076" i="6"/>
  <c r="G2075" i="6"/>
  <c r="D2075" i="6" a="1"/>
  <c r="D2075" i="6" s="1"/>
  <c r="B2075" i="6"/>
  <c r="G2074" i="6"/>
  <c r="D2074" i="6" a="1"/>
  <c r="D2074" i="6" s="1"/>
  <c r="B2074" i="6"/>
  <c r="G2073" i="6"/>
  <c r="D2073" i="6" a="1"/>
  <c r="D2073" i="6" s="1"/>
  <c r="B2073" i="6"/>
  <c r="G2072" i="6"/>
  <c r="D2072" i="6"/>
  <c r="D2072" i="6" a="1"/>
  <c r="B2072" i="6"/>
  <c r="G2071" i="6"/>
  <c r="D2071" i="6" a="1"/>
  <c r="D2071" i="6" s="1"/>
  <c r="B2071" i="6"/>
  <c r="G2070" i="6"/>
  <c r="D2070" i="6"/>
  <c r="D2070" i="6" a="1"/>
  <c r="B2070" i="6"/>
  <c r="G2069" i="6"/>
  <c r="D2069" i="6" a="1"/>
  <c r="D2069" i="6" s="1"/>
  <c r="B2069" i="6"/>
  <c r="G2068" i="6"/>
  <c r="D2068" i="6" a="1"/>
  <c r="D2068" i="6" s="1"/>
  <c r="B2068" i="6"/>
  <c r="G2067" i="6"/>
  <c r="D2067" i="6"/>
  <c r="D2067" i="6" a="1"/>
  <c r="B2067" i="6"/>
  <c r="G2066" i="6"/>
  <c r="D2066" i="6" a="1"/>
  <c r="D2066" i="6" s="1"/>
  <c r="B2066" i="6"/>
  <c r="G2065" i="6"/>
  <c r="D2065" i="6" a="1"/>
  <c r="D2065" i="6" s="1"/>
  <c r="B2065" i="6"/>
  <c r="G2064" i="6"/>
  <c r="D2064" i="6" a="1"/>
  <c r="D2064" i="6" s="1"/>
  <c r="B2064" i="6"/>
  <c r="G2063" i="6"/>
  <c r="D2063" i="6"/>
  <c r="D2063" i="6" a="1"/>
  <c r="B2063" i="6"/>
  <c r="G2062" i="6"/>
  <c r="D2062" i="6" a="1"/>
  <c r="D2062" i="6" s="1"/>
  <c r="B2062" i="6"/>
  <c r="G2061" i="6"/>
  <c r="D2061" i="6" a="1"/>
  <c r="D2061" i="6" s="1"/>
  <c r="B2061" i="6"/>
  <c r="G2060" i="6"/>
  <c r="D2060" i="6"/>
  <c r="D2060" i="6" a="1"/>
  <c r="B2060" i="6"/>
  <c r="G2059" i="6"/>
  <c r="D2059" i="6" a="1"/>
  <c r="D2059" i="6" s="1"/>
  <c r="B2059" i="6"/>
  <c r="G2058" i="6"/>
  <c r="D2058" i="6" a="1"/>
  <c r="D2058" i="6" s="1"/>
  <c r="B2058" i="6"/>
  <c r="G2057" i="6"/>
  <c r="D2057" i="6" a="1"/>
  <c r="D2057" i="6" s="1"/>
  <c r="B2057" i="6"/>
  <c r="G2056" i="6"/>
  <c r="D2056" i="6" a="1"/>
  <c r="D2056" i="6" s="1"/>
  <c r="B2056" i="6"/>
  <c r="G2055" i="6"/>
  <c r="D2055" i="6" a="1"/>
  <c r="D2055" i="6" s="1"/>
  <c r="B2055" i="6"/>
  <c r="G2054" i="6"/>
  <c r="D2054" i="6"/>
  <c r="D2054" i="6" a="1"/>
  <c r="B2054" i="6"/>
  <c r="G2053" i="6"/>
  <c r="D2053" i="6" a="1"/>
  <c r="D2053" i="6" s="1"/>
  <c r="B2053" i="6"/>
  <c r="G2052" i="6"/>
  <c r="D2052" i="6" a="1"/>
  <c r="D2052" i="6" s="1"/>
  <c r="B2052" i="6"/>
  <c r="G2051" i="6"/>
  <c r="D2051" i="6" a="1"/>
  <c r="D2051" i="6" s="1"/>
  <c r="B2051" i="6"/>
  <c r="G2050" i="6"/>
  <c r="D2050" i="6" a="1"/>
  <c r="D2050" i="6" s="1"/>
  <c r="B2050" i="6"/>
  <c r="G2049" i="6"/>
  <c r="D2049" i="6"/>
  <c r="D2049" i="6" a="1"/>
  <c r="B2049" i="6"/>
  <c r="G2048" i="6"/>
  <c r="D2048" i="6"/>
  <c r="D2048" i="6" a="1"/>
  <c r="B2048" i="6"/>
  <c r="G2047" i="6"/>
  <c r="D2047" i="6" a="1"/>
  <c r="D2047" i="6" s="1"/>
  <c r="B2047" i="6"/>
  <c r="G2046" i="6"/>
  <c r="D2046" i="6"/>
  <c r="D2046" i="6" a="1"/>
  <c r="B2046" i="6"/>
  <c r="G2045" i="6"/>
  <c r="D2045" i="6"/>
  <c r="D2045" i="6" a="1"/>
  <c r="B2045" i="6"/>
  <c r="G2044" i="6"/>
  <c r="D2044" i="6" a="1"/>
  <c r="D2044" i="6" s="1"/>
  <c r="B2044" i="6"/>
  <c r="G2043" i="6"/>
  <c r="D2043" i="6" a="1"/>
  <c r="D2043" i="6" s="1"/>
  <c r="B2043" i="6"/>
  <c r="G2042" i="6"/>
  <c r="D2042" i="6" a="1"/>
  <c r="D2042" i="6" s="1"/>
  <c r="B2042" i="6"/>
  <c r="G2041" i="6"/>
  <c r="D2041" i="6" a="1"/>
  <c r="D2041" i="6" s="1"/>
  <c r="B2041" i="6"/>
  <c r="G2040" i="6"/>
  <c r="D2040" i="6"/>
  <c r="D2040" i="6" a="1"/>
  <c r="B2040" i="6"/>
  <c r="G2039" i="6"/>
  <c r="D2039" i="6" a="1"/>
  <c r="D2039" i="6" s="1"/>
  <c r="B2039" i="6"/>
  <c r="G2038" i="6"/>
  <c r="D2038" i="6" a="1"/>
  <c r="D2038" i="6" s="1"/>
  <c r="B2038" i="6"/>
  <c r="G2037" i="6"/>
  <c r="D2037" i="6" a="1"/>
  <c r="D2037" i="6" s="1"/>
  <c r="B2037" i="6"/>
  <c r="G2036" i="6"/>
  <c r="D2036" i="6"/>
  <c r="D2036" i="6" a="1"/>
  <c r="B2036" i="6"/>
  <c r="G2035" i="6"/>
  <c r="D2035" i="6" a="1"/>
  <c r="D2035" i="6" s="1"/>
  <c r="B2035" i="6"/>
  <c r="G2034" i="6"/>
  <c r="D2034" i="6" a="1"/>
  <c r="D2034" i="6" s="1"/>
  <c r="B2034" i="6"/>
  <c r="G2033" i="6"/>
  <c r="D2033" i="6" a="1"/>
  <c r="D2033" i="6" s="1"/>
  <c r="B2033" i="6"/>
  <c r="G2032" i="6"/>
  <c r="D2032" i="6" a="1"/>
  <c r="D2032" i="6" s="1"/>
  <c r="B2032" i="6"/>
  <c r="G2031" i="6"/>
  <c r="D2031" i="6"/>
  <c r="D2031" i="6" a="1"/>
  <c r="B2031" i="6"/>
  <c r="G2030" i="6"/>
  <c r="D2030" i="6" a="1"/>
  <c r="D2030" i="6" s="1"/>
  <c r="B2030" i="6"/>
  <c r="G2029" i="6"/>
  <c r="D2029" i="6" a="1"/>
  <c r="D2029" i="6" s="1"/>
  <c r="B2029" i="6"/>
  <c r="G2028" i="6"/>
  <c r="D2028" i="6"/>
  <c r="D2028" i="6" a="1"/>
  <c r="B2028" i="6"/>
  <c r="G2027" i="6"/>
  <c r="D2027" i="6" a="1"/>
  <c r="D2027" i="6" s="1"/>
  <c r="B2027" i="6"/>
  <c r="G2026" i="6"/>
  <c r="D2026" i="6" a="1"/>
  <c r="D2026" i="6" s="1"/>
  <c r="B2026" i="6"/>
  <c r="G2025" i="6"/>
  <c r="D2025" i="6"/>
  <c r="D2025" i="6" a="1"/>
  <c r="B2025" i="6"/>
  <c r="G2024" i="6"/>
  <c r="D2024" i="6" a="1"/>
  <c r="D2024" i="6" s="1"/>
  <c r="B2024" i="6"/>
  <c r="G2023" i="6"/>
  <c r="D2023" i="6" a="1"/>
  <c r="D2023" i="6" s="1"/>
  <c r="B2023" i="6"/>
  <c r="G2022" i="6"/>
  <c r="D2022" i="6"/>
  <c r="D2022" i="6" a="1"/>
  <c r="B2022" i="6"/>
  <c r="G2021" i="6"/>
  <c r="D2021" i="6" a="1"/>
  <c r="D2021" i="6" s="1"/>
  <c r="B2021" i="6"/>
  <c r="G2020" i="6"/>
  <c r="D2020" i="6" a="1"/>
  <c r="D2020" i="6" s="1"/>
  <c r="B2020" i="6"/>
  <c r="G2019" i="6"/>
  <c r="D2019" i="6" a="1"/>
  <c r="D2019" i="6" s="1"/>
  <c r="B2019" i="6"/>
  <c r="G2018" i="6"/>
  <c r="D2018" i="6"/>
  <c r="D2018" i="6" a="1"/>
  <c r="B2018" i="6"/>
  <c r="G2017" i="6"/>
  <c r="D2017" i="6" a="1"/>
  <c r="D2017" i="6" s="1"/>
  <c r="B2017" i="6"/>
  <c r="G2016" i="6"/>
  <c r="D2016" i="6" a="1"/>
  <c r="D2016" i="6" s="1"/>
  <c r="B2016" i="6"/>
  <c r="G2015" i="6"/>
  <c r="D2015" i="6" a="1"/>
  <c r="D2015" i="6" s="1"/>
  <c r="B2015" i="6"/>
  <c r="G2014" i="6"/>
  <c r="D2014" i="6" a="1"/>
  <c r="D2014" i="6" s="1"/>
  <c r="B2014" i="6"/>
  <c r="G2013" i="6"/>
  <c r="D2013" i="6"/>
  <c r="D2013" i="6" a="1"/>
  <c r="B2013" i="6"/>
  <c r="G2012" i="6"/>
  <c r="D2012" i="6" a="1"/>
  <c r="D2012" i="6" s="1"/>
  <c r="B2012" i="6"/>
  <c r="G2011" i="6"/>
  <c r="D2011" i="6" a="1"/>
  <c r="D2011" i="6" s="1"/>
  <c r="B2011" i="6"/>
  <c r="G2010" i="6"/>
  <c r="D2010" i="6" a="1"/>
  <c r="D2010" i="6" s="1"/>
  <c r="B2010" i="6"/>
  <c r="G2009" i="6"/>
  <c r="D2009" i="6"/>
  <c r="D2009" i="6" a="1"/>
  <c r="B2009" i="6"/>
  <c r="G2008" i="6"/>
  <c r="D2008" i="6" a="1"/>
  <c r="D2008" i="6" s="1"/>
  <c r="B2008" i="6"/>
  <c r="G2007" i="6"/>
  <c r="D2007" i="6" a="1"/>
  <c r="D2007" i="6" s="1"/>
  <c r="B2007" i="6"/>
  <c r="G2006" i="6"/>
  <c r="D2006" i="6" a="1"/>
  <c r="D2006" i="6" s="1"/>
  <c r="B2006" i="6"/>
  <c r="G2005" i="6"/>
  <c r="D2005" i="6" a="1"/>
  <c r="D2005" i="6" s="1"/>
  <c r="B2005" i="6"/>
  <c r="G2004" i="6"/>
  <c r="D2004" i="6"/>
  <c r="D2004" i="6" a="1"/>
  <c r="B2004" i="6"/>
  <c r="G2003" i="6"/>
  <c r="D2003" i="6" a="1"/>
  <c r="D2003" i="6" s="1"/>
  <c r="B2003" i="6"/>
  <c r="G2002" i="6"/>
  <c r="D2002" i="6" a="1"/>
  <c r="D2002" i="6" s="1"/>
  <c r="B2002" i="6"/>
  <c r="G2001" i="6"/>
  <c r="D2001" i="6"/>
  <c r="D2001" i="6" a="1"/>
  <c r="B2001" i="6"/>
  <c r="G2000" i="6"/>
  <c r="D2000" i="6"/>
  <c r="D2000" i="6" a="1"/>
  <c r="B2000" i="6"/>
  <c r="G1999" i="6"/>
  <c r="D1999" i="6" a="1"/>
  <c r="D1999" i="6" s="1"/>
  <c r="B1999" i="6"/>
  <c r="G1998" i="6"/>
  <c r="D1998" i="6" a="1"/>
  <c r="D1998" i="6" s="1"/>
  <c r="B1998" i="6"/>
  <c r="G1997" i="6"/>
  <c r="D1997" i="6" a="1"/>
  <c r="D1997" i="6" s="1"/>
  <c r="B1997" i="6"/>
  <c r="G1996" i="6"/>
  <c r="D1996" i="6" a="1"/>
  <c r="D1996" i="6" s="1"/>
  <c r="B1996" i="6"/>
  <c r="G1995" i="6"/>
  <c r="D1995" i="6" a="1"/>
  <c r="D1995" i="6" s="1"/>
  <c r="B1995" i="6"/>
  <c r="G1994" i="6"/>
  <c r="D1994" i="6"/>
  <c r="D1994" i="6" a="1"/>
  <c r="B1994" i="6"/>
  <c r="G1993" i="6"/>
  <c r="D1993" i="6" a="1"/>
  <c r="D1993" i="6" s="1"/>
  <c r="B1993" i="6"/>
  <c r="G1992" i="6"/>
  <c r="D1992" i="6"/>
  <c r="D1992" i="6" a="1"/>
  <c r="B1992" i="6"/>
  <c r="G1991" i="6"/>
  <c r="D1991" i="6"/>
  <c r="D1991" i="6" a="1"/>
  <c r="B1991" i="6"/>
  <c r="G1990" i="6"/>
  <c r="D1990" i="6" a="1"/>
  <c r="D1990" i="6" s="1"/>
  <c r="B1990" i="6"/>
  <c r="G1989" i="6"/>
  <c r="D1989" i="6" a="1"/>
  <c r="D1989" i="6" s="1"/>
  <c r="B1989" i="6"/>
  <c r="G1988" i="6"/>
  <c r="D1988" i="6"/>
  <c r="D1988" i="6" a="1"/>
  <c r="B1988" i="6"/>
  <c r="G1987" i="6"/>
  <c r="D1987" i="6" a="1"/>
  <c r="D1987" i="6" s="1"/>
  <c r="B1987" i="6"/>
  <c r="G1986" i="6"/>
  <c r="D1986" i="6"/>
  <c r="D1986" i="6" a="1"/>
  <c r="B1986" i="6"/>
  <c r="G1985" i="6"/>
  <c r="D1985" i="6" a="1"/>
  <c r="D1985" i="6" s="1"/>
  <c r="B1985" i="6"/>
  <c r="G1984" i="6"/>
  <c r="D1984" i="6" a="1"/>
  <c r="D1984" i="6" s="1"/>
  <c r="B1984" i="6"/>
  <c r="G1983" i="6"/>
  <c r="D1983" i="6" a="1"/>
  <c r="D1983" i="6" s="1"/>
  <c r="B1983" i="6"/>
  <c r="G1982" i="6"/>
  <c r="D1982" i="6"/>
  <c r="D1982" i="6" a="1"/>
  <c r="B1982" i="6"/>
  <c r="G1981" i="6"/>
  <c r="D1981" i="6" a="1"/>
  <c r="D1981" i="6" s="1"/>
  <c r="B1981" i="6"/>
  <c r="G1980" i="6"/>
  <c r="D1980" i="6" a="1"/>
  <c r="D1980" i="6" s="1"/>
  <c r="B1980" i="6"/>
  <c r="G1979" i="6"/>
  <c r="D1979" i="6"/>
  <c r="D1979" i="6" a="1"/>
  <c r="B1979" i="6"/>
  <c r="G1978" i="6"/>
  <c r="D1978" i="6" a="1"/>
  <c r="D1978" i="6" s="1"/>
  <c r="B1978" i="6"/>
  <c r="G1977" i="6"/>
  <c r="D1977" i="6"/>
  <c r="D1977" i="6" a="1"/>
  <c r="B1977" i="6"/>
  <c r="G1976" i="6"/>
  <c r="D1976" i="6"/>
  <c r="D1976" i="6" a="1"/>
  <c r="B1976" i="6"/>
  <c r="G1975" i="6"/>
  <c r="D1975" i="6" a="1"/>
  <c r="D1975" i="6" s="1"/>
  <c r="B1975" i="6"/>
  <c r="G1974" i="6"/>
  <c r="D1974" i="6"/>
  <c r="D1974" i="6" a="1"/>
  <c r="B1974" i="6"/>
  <c r="G1973" i="6"/>
  <c r="D1973" i="6" a="1"/>
  <c r="D1973" i="6" s="1"/>
  <c r="B1973" i="6"/>
  <c r="G1972" i="6"/>
  <c r="D1972" i="6" a="1"/>
  <c r="D1972" i="6" s="1"/>
  <c r="B1972" i="6"/>
  <c r="G1971" i="6"/>
  <c r="D1971" i="6"/>
  <c r="D1971" i="6" a="1"/>
  <c r="B1971" i="6"/>
  <c r="G1970" i="6"/>
  <c r="D1970" i="6" a="1"/>
  <c r="D1970" i="6" s="1"/>
  <c r="B1970" i="6"/>
  <c r="G1969" i="6"/>
  <c r="D1969" i="6"/>
  <c r="D1969" i="6" a="1"/>
  <c r="B1969" i="6"/>
  <c r="G1968" i="6"/>
  <c r="D1968" i="6" a="1"/>
  <c r="D1968" i="6" s="1"/>
  <c r="B1968" i="6"/>
  <c r="G1967" i="6"/>
  <c r="D1967" i="6" a="1"/>
  <c r="D1967" i="6" s="1"/>
  <c r="B1967" i="6"/>
  <c r="G1966" i="6"/>
  <c r="D1966" i="6"/>
  <c r="D1966" i="6" a="1"/>
  <c r="B1966" i="6"/>
  <c r="G1965" i="6"/>
  <c r="D1965" i="6" a="1"/>
  <c r="D1965" i="6" s="1"/>
  <c r="B1965" i="6"/>
  <c r="G1964" i="6"/>
  <c r="D1964" i="6" a="1"/>
  <c r="D1964" i="6" s="1"/>
  <c r="B1964" i="6"/>
  <c r="G1963" i="6"/>
  <c r="D1963" i="6" a="1"/>
  <c r="D1963" i="6" s="1"/>
  <c r="B1963" i="6"/>
  <c r="G1962" i="6"/>
  <c r="D1962" i="6"/>
  <c r="D1962" i="6" a="1"/>
  <c r="B1962" i="6"/>
  <c r="G1961" i="6"/>
  <c r="D1961" i="6" a="1"/>
  <c r="D1961" i="6" s="1"/>
  <c r="B1961" i="6"/>
  <c r="G1960" i="6"/>
  <c r="D1960" i="6" a="1"/>
  <c r="D1960" i="6" s="1"/>
  <c r="B1960" i="6"/>
  <c r="G1959" i="6"/>
  <c r="D1959" i="6"/>
  <c r="D1959" i="6" a="1"/>
  <c r="B1959" i="6"/>
  <c r="G1958" i="6"/>
  <c r="D1958" i="6" a="1"/>
  <c r="D1958" i="6" s="1"/>
  <c r="B1958" i="6"/>
  <c r="G1957" i="6"/>
  <c r="D1957" i="6" a="1"/>
  <c r="D1957" i="6" s="1"/>
  <c r="B1957" i="6"/>
  <c r="G1956" i="6"/>
  <c r="D1956" i="6" a="1"/>
  <c r="D1956" i="6" s="1"/>
  <c r="B1956" i="6"/>
  <c r="G1955" i="6"/>
  <c r="D1955" i="6" a="1"/>
  <c r="D1955" i="6" s="1"/>
  <c r="B1955" i="6"/>
  <c r="G1954" i="6"/>
  <c r="D1954" i="6"/>
  <c r="D1954" i="6" a="1"/>
  <c r="B1954" i="6"/>
  <c r="G1953" i="6"/>
  <c r="D1953" i="6" a="1"/>
  <c r="D1953" i="6" s="1"/>
  <c r="B1953" i="6"/>
  <c r="G1952" i="6"/>
  <c r="D1952" i="6" a="1"/>
  <c r="D1952" i="6" s="1"/>
  <c r="B1952" i="6"/>
  <c r="G1951" i="6"/>
  <c r="D1951" i="6"/>
  <c r="D1951" i="6" a="1"/>
  <c r="B1951" i="6"/>
  <c r="G1950" i="6"/>
  <c r="D1950" i="6"/>
  <c r="D1950" i="6" a="1"/>
  <c r="B1950" i="6"/>
  <c r="G1949" i="6"/>
  <c r="D1949" i="6" a="1"/>
  <c r="D1949" i="6" s="1"/>
  <c r="B1949" i="6"/>
  <c r="G1948" i="6"/>
  <c r="D1948" i="6" a="1"/>
  <c r="D1948" i="6" s="1"/>
  <c r="B1948" i="6"/>
  <c r="G1947" i="6"/>
  <c r="D1947" i="6" a="1"/>
  <c r="D1947" i="6" s="1"/>
  <c r="B1947" i="6"/>
  <c r="G1946" i="6"/>
  <c r="D1946" i="6" a="1"/>
  <c r="D1946" i="6" s="1"/>
  <c r="B1946" i="6"/>
  <c r="G1945" i="6"/>
  <c r="D1945" i="6"/>
  <c r="D1945" i="6" a="1"/>
  <c r="B1945" i="6"/>
  <c r="G1944" i="6"/>
  <c r="D1944" i="6" a="1"/>
  <c r="D1944" i="6" s="1"/>
  <c r="B1944" i="6"/>
  <c r="G1943" i="6"/>
  <c r="D1943" i="6" a="1"/>
  <c r="D1943" i="6" s="1"/>
  <c r="B1943" i="6"/>
  <c r="G1942" i="6"/>
  <c r="D1942" i="6" a="1"/>
  <c r="D1942" i="6" s="1"/>
  <c r="B1942" i="6"/>
  <c r="G1941" i="6"/>
  <c r="D1941" i="6"/>
  <c r="D1941" i="6" a="1"/>
  <c r="B1941" i="6"/>
  <c r="G1940" i="6"/>
  <c r="D1940" i="6" a="1"/>
  <c r="D1940" i="6" s="1"/>
  <c r="B1940" i="6"/>
  <c r="G1939" i="6"/>
  <c r="D1939" i="6"/>
  <c r="D1939" i="6" a="1"/>
  <c r="B1939" i="6"/>
  <c r="G1938" i="6"/>
  <c r="D1938" i="6"/>
  <c r="D1938" i="6" a="1"/>
  <c r="B1938" i="6"/>
  <c r="G1937" i="6"/>
  <c r="D1937" i="6" a="1"/>
  <c r="D1937" i="6" s="1"/>
  <c r="B1937" i="6"/>
  <c r="G1936" i="6"/>
  <c r="D1936" i="6"/>
  <c r="D1936" i="6" a="1"/>
  <c r="B1936" i="6"/>
  <c r="G1935" i="6"/>
  <c r="D1935" i="6"/>
  <c r="D1935" i="6" a="1"/>
  <c r="B1935" i="6"/>
  <c r="G1934" i="6"/>
  <c r="D1934" i="6" a="1"/>
  <c r="D1934" i="6" s="1"/>
  <c r="B1934" i="6"/>
  <c r="G1933" i="6"/>
  <c r="D1933" i="6"/>
  <c r="D1933" i="6" a="1"/>
  <c r="B1933" i="6"/>
  <c r="G1932" i="6"/>
  <c r="D1932" i="6" a="1"/>
  <c r="D1932" i="6" s="1"/>
  <c r="B1932" i="6"/>
  <c r="G1931" i="6"/>
  <c r="D1931" i="6" a="1"/>
  <c r="D1931" i="6" s="1"/>
  <c r="B1931" i="6"/>
  <c r="G1930" i="6"/>
  <c r="D1930" i="6" a="1"/>
  <c r="D1930" i="6" s="1"/>
  <c r="B1930" i="6"/>
  <c r="G1929" i="6"/>
  <c r="D1929" i="6" a="1"/>
  <c r="D1929" i="6" s="1"/>
  <c r="B1929" i="6"/>
  <c r="G1928" i="6"/>
  <c r="D1928" i="6" a="1"/>
  <c r="D1928" i="6" s="1"/>
  <c r="B1928" i="6"/>
  <c r="G1927" i="6"/>
  <c r="D1927" i="6" a="1"/>
  <c r="D1927" i="6" s="1"/>
  <c r="B1927" i="6"/>
  <c r="G1926" i="6"/>
  <c r="D1926" i="6"/>
  <c r="D1926" i="6" a="1"/>
  <c r="B1926" i="6"/>
  <c r="G1925" i="6"/>
  <c r="D1925" i="6" a="1"/>
  <c r="D1925" i="6" s="1"/>
  <c r="B1925" i="6"/>
  <c r="G1924" i="6"/>
  <c r="D1924" i="6" a="1"/>
  <c r="D1924" i="6" s="1"/>
  <c r="B1924" i="6"/>
  <c r="G1923" i="6"/>
  <c r="D1923" i="6" a="1"/>
  <c r="D1923" i="6" s="1"/>
  <c r="B1923" i="6"/>
  <c r="G1922" i="6"/>
  <c r="D1922" i="6" a="1"/>
  <c r="D1922" i="6" s="1"/>
  <c r="B1922" i="6"/>
  <c r="G1921" i="6"/>
  <c r="D1921" i="6" a="1"/>
  <c r="D1921" i="6" s="1"/>
  <c r="B1921" i="6"/>
  <c r="G1920" i="6"/>
  <c r="D1920" i="6" a="1"/>
  <c r="D1920" i="6" s="1"/>
  <c r="B1920" i="6"/>
  <c r="G1919" i="6"/>
  <c r="D1919" i="6" a="1"/>
  <c r="D1919" i="6" s="1"/>
  <c r="B1919" i="6"/>
  <c r="G1918" i="6"/>
  <c r="D1918" i="6"/>
  <c r="D1918" i="6" a="1"/>
  <c r="B1918" i="6"/>
  <c r="G1917" i="6"/>
  <c r="D1917" i="6" a="1"/>
  <c r="D1917" i="6" s="1"/>
  <c r="B1917" i="6"/>
  <c r="G1916" i="6"/>
  <c r="D1916" i="6" a="1"/>
  <c r="D1916" i="6" s="1"/>
  <c r="B1916" i="6"/>
  <c r="G1915" i="6"/>
  <c r="D1915" i="6"/>
  <c r="D1915" i="6" a="1"/>
  <c r="B1915" i="6"/>
  <c r="G1914" i="6"/>
  <c r="D1914" i="6" a="1"/>
  <c r="D1914" i="6" s="1"/>
  <c r="B1914" i="6"/>
  <c r="G1913" i="6"/>
  <c r="D1913" i="6" a="1"/>
  <c r="D1913" i="6" s="1"/>
  <c r="B1913" i="6"/>
  <c r="G1912" i="6"/>
  <c r="D1912" i="6" a="1"/>
  <c r="D1912" i="6" s="1"/>
  <c r="B1912" i="6"/>
  <c r="G1911" i="6"/>
  <c r="D1911" i="6" a="1"/>
  <c r="D1911" i="6" s="1"/>
  <c r="B1911" i="6"/>
  <c r="G1910" i="6"/>
  <c r="D1910" i="6" a="1"/>
  <c r="D1910" i="6" s="1"/>
  <c r="B1910" i="6"/>
  <c r="G1909" i="6"/>
  <c r="D1909" i="6" a="1"/>
  <c r="D1909" i="6" s="1"/>
  <c r="B1909" i="6"/>
  <c r="G1908" i="6"/>
  <c r="D1908" i="6" a="1"/>
  <c r="D1908" i="6" s="1"/>
  <c r="B1908" i="6"/>
  <c r="G1907" i="6"/>
  <c r="D1907" i="6" a="1"/>
  <c r="D1907" i="6" s="1"/>
  <c r="B1907" i="6"/>
  <c r="G1906" i="6"/>
  <c r="D1906" i="6" a="1"/>
  <c r="D1906" i="6" s="1"/>
  <c r="B1906" i="6"/>
  <c r="G1905" i="6"/>
  <c r="D1905" i="6"/>
  <c r="D1905" i="6" a="1"/>
  <c r="B1905" i="6"/>
  <c r="G1904" i="6"/>
  <c r="D1904" i="6" a="1"/>
  <c r="D1904" i="6" s="1"/>
  <c r="B1904" i="6"/>
  <c r="G1903" i="6"/>
  <c r="D1903" i="6"/>
  <c r="D1903" i="6" a="1"/>
  <c r="B1903" i="6"/>
  <c r="G1902" i="6"/>
  <c r="D1902" i="6"/>
  <c r="D1902" i="6" a="1"/>
  <c r="B1902" i="6"/>
  <c r="G1901" i="6"/>
  <c r="D1901" i="6" a="1"/>
  <c r="D1901" i="6" s="1"/>
  <c r="B1901" i="6"/>
  <c r="G1900" i="6"/>
  <c r="D1900" i="6" a="1"/>
  <c r="D1900" i="6" s="1"/>
  <c r="B1900" i="6"/>
  <c r="G1899" i="6"/>
  <c r="D1899" i="6" a="1"/>
  <c r="D1899" i="6" s="1"/>
  <c r="B1899" i="6"/>
  <c r="G1898" i="6"/>
  <c r="D1898" i="6" a="1"/>
  <c r="D1898" i="6" s="1"/>
  <c r="B1898" i="6"/>
  <c r="G1897" i="6"/>
  <c r="D1897" i="6"/>
  <c r="D1897" i="6" a="1"/>
  <c r="B1897" i="6"/>
  <c r="G1896" i="6"/>
  <c r="D1896" i="6" a="1"/>
  <c r="D1896" i="6" s="1"/>
  <c r="B1896" i="6"/>
  <c r="G1895" i="6"/>
  <c r="D1895" i="6" a="1"/>
  <c r="D1895" i="6" s="1"/>
  <c r="B1895" i="6"/>
  <c r="G1894" i="6"/>
  <c r="D1894" i="6"/>
  <c r="D1894" i="6" a="1"/>
  <c r="B1894" i="6"/>
  <c r="G1893" i="6"/>
  <c r="D1893" i="6" a="1"/>
  <c r="D1893" i="6" s="1"/>
  <c r="B1893" i="6"/>
  <c r="G1892" i="6"/>
  <c r="D1892" i="6" a="1"/>
  <c r="D1892" i="6" s="1"/>
  <c r="B1892" i="6"/>
  <c r="G1891" i="6"/>
  <c r="D1891" i="6"/>
  <c r="D1891" i="6" a="1"/>
  <c r="B1891" i="6"/>
  <c r="G1890" i="6"/>
  <c r="D1890" i="6"/>
  <c r="D1890" i="6" a="1"/>
  <c r="B1890" i="6"/>
  <c r="G1889" i="6"/>
  <c r="D1889" i="6" a="1"/>
  <c r="D1889" i="6" s="1"/>
  <c r="B1889" i="6"/>
  <c r="G1888" i="6"/>
  <c r="D1888" i="6" a="1"/>
  <c r="D1888" i="6" s="1"/>
  <c r="B1888" i="6"/>
  <c r="G1887" i="6"/>
  <c r="D1887" i="6"/>
  <c r="D1887" i="6" a="1"/>
  <c r="B1887" i="6"/>
  <c r="G1886" i="6"/>
  <c r="D1886" i="6" a="1"/>
  <c r="D1886" i="6" s="1"/>
  <c r="B1886" i="6"/>
  <c r="G1885" i="6"/>
  <c r="D1885" i="6" a="1"/>
  <c r="D1885" i="6" s="1"/>
  <c r="B1885" i="6"/>
  <c r="G1884" i="6"/>
  <c r="D1884" i="6"/>
  <c r="D1884" i="6" a="1"/>
  <c r="B1884" i="6"/>
  <c r="G1883" i="6"/>
  <c r="D1883" i="6" a="1"/>
  <c r="D1883" i="6" s="1"/>
  <c r="B1883" i="6"/>
  <c r="G1882" i="6"/>
  <c r="D1882" i="6"/>
  <c r="D1882" i="6" a="1"/>
  <c r="B1882" i="6"/>
  <c r="G1881" i="6"/>
  <c r="D1881" i="6" a="1"/>
  <c r="D1881" i="6" s="1"/>
  <c r="B1881" i="6"/>
  <c r="G1880" i="6"/>
  <c r="D1880" i="6" a="1"/>
  <c r="D1880" i="6" s="1"/>
  <c r="B1880" i="6"/>
  <c r="G1879" i="6"/>
  <c r="D1879" i="6"/>
  <c r="D1879" i="6" a="1"/>
  <c r="B1879" i="6"/>
  <c r="G1878" i="6"/>
  <c r="D1878" i="6"/>
  <c r="D1878" i="6" a="1"/>
  <c r="B1878" i="6"/>
  <c r="G1877" i="6"/>
  <c r="D1877" i="6" a="1"/>
  <c r="D1877" i="6" s="1"/>
  <c r="B1877" i="6"/>
  <c r="G1876" i="6"/>
  <c r="D1876" i="6" a="1"/>
  <c r="D1876" i="6" s="1"/>
  <c r="B1876" i="6"/>
  <c r="G1875" i="6"/>
  <c r="D1875" i="6" a="1"/>
  <c r="D1875" i="6" s="1"/>
  <c r="B1875" i="6"/>
  <c r="G1874" i="6"/>
  <c r="D1874" i="6" a="1"/>
  <c r="D1874" i="6" s="1"/>
  <c r="B1874" i="6"/>
  <c r="G1873" i="6"/>
  <c r="D1873" i="6"/>
  <c r="D1873" i="6" a="1"/>
  <c r="B1873" i="6"/>
  <c r="G1872" i="6"/>
  <c r="D1872" i="6" a="1"/>
  <c r="D1872" i="6" s="1"/>
  <c r="B1872" i="6"/>
  <c r="G1871" i="6"/>
  <c r="D1871" i="6" a="1"/>
  <c r="D1871" i="6" s="1"/>
  <c r="B1871" i="6"/>
  <c r="G1870" i="6"/>
  <c r="D1870" i="6" a="1"/>
  <c r="D1870" i="6" s="1"/>
  <c r="B1870" i="6"/>
  <c r="G1869" i="6"/>
  <c r="D1869" i="6"/>
  <c r="D1869" i="6" a="1"/>
  <c r="B1869" i="6"/>
  <c r="G1868" i="6"/>
  <c r="D1868" i="6" a="1"/>
  <c r="D1868" i="6" s="1"/>
  <c r="B1868" i="6"/>
  <c r="G1867" i="6"/>
  <c r="D1867" i="6"/>
  <c r="D1867" i="6" a="1"/>
  <c r="B1867" i="6"/>
  <c r="G1866" i="6"/>
  <c r="D1866" i="6"/>
  <c r="D1866" i="6" a="1"/>
  <c r="B1866" i="6"/>
  <c r="G1865" i="6"/>
  <c r="D1865" i="6" a="1"/>
  <c r="D1865" i="6" s="1"/>
  <c r="B1865" i="6"/>
  <c r="G1864" i="6"/>
  <c r="D1864" i="6"/>
  <c r="D1864" i="6" a="1"/>
  <c r="B1864" i="6"/>
  <c r="G1863" i="6"/>
  <c r="D1863" i="6"/>
  <c r="D1863" i="6" a="1"/>
  <c r="B1863" i="6"/>
  <c r="G1862" i="6"/>
  <c r="D1862" i="6" a="1"/>
  <c r="D1862" i="6" s="1"/>
  <c r="B1862" i="6"/>
  <c r="G1861" i="6"/>
  <c r="D1861" i="6" a="1"/>
  <c r="D1861" i="6" s="1"/>
  <c r="B1861" i="6"/>
  <c r="G1860" i="6"/>
  <c r="D1860" i="6"/>
  <c r="D1860" i="6" a="1"/>
  <c r="B1860" i="6"/>
  <c r="G1859" i="6"/>
  <c r="D1859" i="6" a="1"/>
  <c r="D1859" i="6" s="1"/>
  <c r="B1859" i="6"/>
  <c r="G1858" i="6"/>
  <c r="D1858" i="6" a="1"/>
  <c r="D1858" i="6" s="1"/>
  <c r="B1858" i="6"/>
  <c r="G1857" i="6"/>
  <c r="D1857" i="6" a="1"/>
  <c r="D1857" i="6" s="1"/>
  <c r="B1857" i="6"/>
  <c r="G1856" i="6"/>
  <c r="D1856" i="6" a="1"/>
  <c r="D1856" i="6" s="1"/>
  <c r="B1856" i="6"/>
  <c r="G1855" i="6"/>
  <c r="D1855" i="6" a="1"/>
  <c r="D1855" i="6" s="1"/>
  <c r="B1855" i="6"/>
  <c r="G1854" i="6"/>
  <c r="D1854" i="6"/>
  <c r="D1854" i="6" a="1"/>
  <c r="B1854" i="6"/>
  <c r="G1853" i="6"/>
  <c r="D1853" i="6" a="1"/>
  <c r="D1853" i="6" s="1"/>
  <c r="B1853" i="6"/>
  <c r="G1852" i="6"/>
  <c r="D1852" i="6" a="1"/>
  <c r="D1852" i="6" s="1"/>
  <c r="B1852" i="6"/>
  <c r="G1851" i="6"/>
  <c r="D1851" i="6"/>
  <c r="D1851" i="6" a="1"/>
  <c r="B1851" i="6"/>
  <c r="G1850" i="6"/>
  <c r="D1850" i="6" a="1"/>
  <c r="D1850" i="6" s="1"/>
  <c r="B1850" i="6"/>
  <c r="G1849" i="6"/>
  <c r="D1849" i="6" a="1"/>
  <c r="D1849" i="6" s="1"/>
  <c r="B1849" i="6"/>
  <c r="G1848" i="6"/>
  <c r="D1848" i="6" a="1"/>
  <c r="D1848" i="6" s="1"/>
  <c r="B1848" i="6"/>
  <c r="G1847" i="6"/>
  <c r="D1847" i="6" a="1"/>
  <c r="D1847" i="6" s="1"/>
  <c r="B1847" i="6"/>
  <c r="G1846" i="6"/>
  <c r="D1846" i="6"/>
  <c r="D1846" i="6" a="1"/>
  <c r="B1846" i="6"/>
  <c r="G1845" i="6"/>
  <c r="D1845" i="6" a="1"/>
  <c r="D1845" i="6" s="1"/>
  <c r="B1845" i="6"/>
  <c r="G1844" i="6"/>
  <c r="D1844" i="6" a="1"/>
  <c r="D1844" i="6" s="1"/>
  <c r="B1844" i="6"/>
  <c r="G1843" i="6"/>
  <c r="D1843" i="6"/>
  <c r="D1843" i="6" a="1"/>
  <c r="B1843" i="6"/>
  <c r="G1842" i="6"/>
  <c r="D1842" i="6" a="1"/>
  <c r="D1842" i="6" s="1"/>
  <c r="B1842" i="6"/>
  <c r="G1841" i="6"/>
  <c r="D1841" i="6" a="1"/>
  <c r="D1841" i="6" s="1"/>
  <c r="B1841" i="6"/>
  <c r="G1840" i="6"/>
  <c r="D1840" i="6" a="1"/>
  <c r="D1840" i="6" s="1"/>
  <c r="B1840" i="6"/>
  <c r="G1839" i="6"/>
  <c r="D1839" i="6" a="1"/>
  <c r="D1839" i="6" s="1"/>
  <c r="B1839" i="6"/>
  <c r="G1838" i="6"/>
  <c r="D1838" i="6" a="1"/>
  <c r="D1838" i="6" s="1"/>
  <c r="B1838" i="6"/>
  <c r="G1837" i="6"/>
  <c r="D1837" i="6" a="1"/>
  <c r="D1837" i="6" s="1"/>
  <c r="B1837" i="6"/>
  <c r="G1836" i="6"/>
  <c r="D1836" i="6" a="1"/>
  <c r="D1836" i="6" s="1"/>
  <c r="B1836" i="6"/>
  <c r="G1835" i="6"/>
  <c r="D1835" i="6" a="1"/>
  <c r="D1835" i="6" s="1"/>
  <c r="B1835" i="6"/>
  <c r="G1834" i="6"/>
  <c r="D1834" i="6" a="1"/>
  <c r="D1834" i="6" s="1"/>
  <c r="B1834" i="6"/>
  <c r="G1833" i="6"/>
  <c r="D1833" i="6"/>
  <c r="D1833" i="6" a="1"/>
  <c r="B1833" i="6"/>
  <c r="G1832" i="6"/>
  <c r="D1832" i="6" a="1"/>
  <c r="D1832" i="6" s="1"/>
  <c r="B1832" i="6"/>
  <c r="G1831" i="6"/>
  <c r="D1831" i="6"/>
  <c r="D1831" i="6" a="1"/>
  <c r="B1831" i="6"/>
  <c r="G1830" i="6"/>
  <c r="D1830" i="6"/>
  <c r="D1830" i="6" a="1"/>
  <c r="B1830" i="6"/>
  <c r="G1829" i="6"/>
  <c r="D1829" i="6" a="1"/>
  <c r="D1829" i="6" s="1"/>
  <c r="B1829" i="6"/>
  <c r="G1828" i="6"/>
  <c r="D1828" i="6" a="1"/>
  <c r="D1828" i="6" s="1"/>
  <c r="B1828" i="6"/>
  <c r="G1827" i="6"/>
  <c r="D1827" i="6"/>
  <c r="D1827" i="6" a="1"/>
  <c r="B1827" i="6"/>
  <c r="G1826" i="6"/>
  <c r="D1826" i="6" a="1"/>
  <c r="D1826" i="6" s="1"/>
  <c r="B1826" i="6"/>
  <c r="G1825" i="6"/>
  <c r="D1825" i="6"/>
  <c r="D1825" i="6" a="1"/>
  <c r="B1825" i="6"/>
  <c r="G1824" i="6"/>
  <c r="D1824" i="6" a="1"/>
  <c r="D1824" i="6" s="1"/>
  <c r="B1824" i="6"/>
  <c r="G1823" i="6"/>
  <c r="D1823" i="6" a="1"/>
  <c r="D1823" i="6" s="1"/>
  <c r="B1823" i="6"/>
  <c r="G1822" i="6"/>
  <c r="D1822" i="6"/>
  <c r="D1822" i="6" a="1"/>
  <c r="B1822" i="6"/>
  <c r="G1821" i="6"/>
  <c r="D1821" i="6" a="1"/>
  <c r="D1821" i="6" s="1"/>
  <c r="B1821" i="6"/>
  <c r="G1820" i="6"/>
  <c r="D1820" i="6" a="1"/>
  <c r="D1820" i="6" s="1"/>
  <c r="B1820" i="6"/>
  <c r="G1819" i="6"/>
  <c r="D1819" i="6"/>
  <c r="D1819" i="6" a="1"/>
  <c r="B1819" i="6"/>
  <c r="G1818" i="6"/>
  <c r="D1818" i="6"/>
  <c r="D1818" i="6" a="1"/>
  <c r="B1818" i="6"/>
  <c r="G1817" i="6"/>
  <c r="D1817" i="6" a="1"/>
  <c r="D1817" i="6" s="1"/>
  <c r="B1817" i="6"/>
  <c r="G1816" i="6"/>
  <c r="D1816" i="6" a="1"/>
  <c r="D1816" i="6" s="1"/>
  <c r="B1816" i="6"/>
  <c r="G1815" i="6"/>
  <c r="D1815" i="6"/>
  <c r="D1815" i="6" a="1"/>
  <c r="B1815" i="6"/>
  <c r="G1814" i="6"/>
  <c r="D1814" i="6" a="1"/>
  <c r="D1814" i="6" s="1"/>
  <c r="B1814" i="6"/>
  <c r="G1813" i="6"/>
  <c r="D1813" i="6" a="1"/>
  <c r="D1813" i="6" s="1"/>
  <c r="B1813" i="6"/>
  <c r="G1812" i="6"/>
  <c r="D1812" i="6"/>
  <c r="D1812" i="6" a="1"/>
  <c r="B1812" i="6"/>
  <c r="G1811" i="6"/>
  <c r="D1811" i="6" a="1"/>
  <c r="D1811" i="6" s="1"/>
  <c r="B1811" i="6"/>
  <c r="G1810" i="6"/>
  <c r="D1810" i="6"/>
  <c r="D1810" i="6" a="1"/>
  <c r="B1810" i="6"/>
  <c r="G1809" i="6"/>
  <c r="D1809" i="6" a="1"/>
  <c r="D1809" i="6" s="1"/>
  <c r="B1809" i="6"/>
  <c r="G1808" i="6"/>
  <c r="D1808" i="6" a="1"/>
  <c r="D1808" i="6" s="1"/>
  <c r="B1808" i="6"/>
  <c r="G1807" i="6"/>
  <c r="D1807" i="6"/>
  <c r="D1807" i="6" a="1"/>
  <c r="B1807" i="6"/>
  <c r="G1806" i="6"/>
  <c r="D1806" i="6"/>
  <c r="D1806" i="6" a="1"/>
  <c r="B1806" i="6"/>
  <c r="G1805" i="6"/>
  <c r="D1805" i="6" a="1"/>
  <c r="D1805" i="6" s="1"/>
  <c r="B1805" i="6"/>
  <c r="G1804" i="6"/>
  <c r="D1804" i="6" a="1"/>
  <c r="D1804" i="6" s="1"/>
  <c r="B1804" i="6"/>
  <c r="G1803" i="6"/>
  <c r="D1803" i="6" a="1"/>
  <c r="D1803" i="6" s="1"/>
  <c r="B1803" i="6"/>
  <c r="G1802" i="6"/>
  <c r="D1802" i="6" a="1"/>
  <c r="D1802" i="6" s="1"/>
  <c r="B1802" i="6"/>
  <c r="G1801" i="6"/>
  <c r="D1801" i="6"/>
  <c r="D1801" i="6" a="1"/>
  <c r="B1801" i="6"/>
  <c r="G1800" i="6"/>
  <c r="D1800" i="6" a="1"/>
  <c r="D1800" i="6" s="1"/>
  <c r="B1800" i="6"/>
  <c r="G1799" i="6"/>
  <c r="D1799" i="6" a="1"/>
  <c r="D1799" i="6" s="1"/>
  <c r="B1799" i="6"/>
  <c r="G1798" i="6"/>
  <c r="D1798" i="6" a="1"/>
  <c r="D1798" i="6" s="1"/>
  <c r="B1798" i="6"/>
  <c r="G1797" i="6"/>
  <c r="D1797" i="6"/>
  <c r="D1797" i="6" a="1"/>
  <c r="B1797" i="6"/>
  <c r="G1796" i="6"/>
  <c r="D1796" i="6" a="1"/>
  <c r="D1796" i="6" s="1"/>
  <c r="B1796" i="6"/>
  <c r="G1795" i="6"/>
  <c r="D1795" i="6"/>
  <c r="D1795" i="6" a="1"/>
  <c r="B1795" i="6"/>
  <c r="G1794" i="6"/>
  <c r="D1794" i="6"/>
  <c r="D1794" i="6" a="1"/>
  <c r="B1794" i="6"/>
  <c r="G1793" i="6"/>
  <c r="D1793" i="6" a="1"/>
  <c r="D1793" i="6" s="1"/>
  <c r="B1793" i="6"/>
  <c r="G1792" i="6"/>
  <c r="D1792" i="6"/>
  <c r="D1792" i="6" a="1"/>
  <c r="B1792" i="6"/>
  <c r="G1791" i="6"/>
  <c r="D1791" i="6"/>
  <c r="D1791" i="6" a="1"/>
  <c r="B1791" i="6"/>
  <c r="G1790" i="6"/>
  <c r="D1790" i="6" a="1"/>
  <c r="D1790" i="6" s="1"/>
  <c r="B1790" i="6"/>
  <c r="G1789" i="6"/>
  <c r="D1789" i="6" a="1"/>
  <c r="D1789" i="6" s="1"/>
  <c r="B1789" i="6"/>
  <c r="G1788" i="6"/>
  <c r="D1788" i="6" a="1"/>
  <c r="D1788" i="6" s="1"/>
  <c r="B1788" i="6"/>
  <c r="G1787" i="6"/>
  <c r="D1787" i="6" a="1"/>
  <c r="D1787" i="6" s="1"/>
  <c r="B1787" i="6"/>
  <c r="G1786" i="6"/>
  <c r="D1786" i="6" a="1"/>
  <c r="D1786" i="6" s="1"/>
  <c r="B1786" i="6"/>
  <c r="G1785" i="6"/>
  <c r="D1785" i="6" a="1"/>
  <c r="D1785" i="6" s="1"/>
  <c r="B1785" i="6"/>
  <c r="G1784" i="6"/>
  <c r="D1784" i="6" a="1"/>
  <c r="D1784" i="6" s="1"/>
  <c r="B1784" i="6"/>
  <c r="G1783" i="6"/>
  <c r="D1783" i="6" a="1"/>
  <c r="D1783" i="6" s="1"/>
  <c r="B1783" i="6"/>
  <c r="G1782" i="6"/>
  <c r="D1782" i="6"/>
  <c r="D1782" i="6" a="1"/>
  <c r="B1782" i="6"/>
  <c r="G1781" i="6"/>
  <c r="D1781" i="6" a="1"/>
  <c r="D1781" i="6" s="1"/>
  <c r="B1781" i="6"/>
  <c r="G1780" i="6"/>
  <c r="D1780" i="6" a="1"/>
  <c r="D1780" i="6" s="1"/>
  <c r="B1780" i="6"/>
  <c r="G1779" i="6"/>
  <c r="D1779" i="6" a="1"/>
  <c r="D1779" i="6" s="1"/>
  <c r="B1779" i="6"/>
  <c r="G1778" i="6"/>
  <c r="D1778" i="6" a="1"/>
  <c r="D1778" i="6" s="1"/>
  <c r="B1778" i="6"/>
  <c r="G1777" i="6"/>
  <c r="D1777" i="6"/>
  <c r="D1777" i="6" a="1"/>
  <c r="B1777" i="6"/>
  <c r="G1776" i="6"/>
  <c r="D1776" i="6" a="1"/>
  <c r="D1776" i="6" s="1"/>
  <c r="B1776" i="6"/>
  <c r="G1775" i="6"/>
  <c r="D1775" i="6" a="1"/>
  <c r="D1775" i="6" s="1"/>
  <c r="B1775" i="6"/>
  <c r="G1774" i="6"/>
  <c r="D1774" i="6"/>
  <c r="D1774" i="6" a="1"/>
  <c r="B1774" i="6"/>
  <c r="G1773" i="6"/>
  <c r="D1773" i="6" a="1"/>
  <c r="D1773" i="6" s="1"/>
  <c r="B1773" i="6"/>
  <c r="G1772" i="6"/>
  <c r="D1772" i="6" a="1"/>
  <c r="D1772" i="6" s="1"/>
  <c r="B1772" i="6"/>
  <c r="G1771" i="6"/>
  <c r="D1771" i="6"/>
  <c r="D1771" i="6" a="1"/>
  <c r="B1771" i="6"/>
  <c r="G1770" i="6"/>
  <c r="D1770" i="6" a="1"/>
  <c r="D1770" i="6" s="1"/>
  <c r="B1770" i="6"/>
  <c r="G1769" i="6"/>
  <c r="D1769" i="6" a="1"/>
  <c r="D1769" i="6" s="1"/>
  <c r="B1769" i="6"/>
  <c r="G1768" i="6"/>
  <c r="D1768" i="6"/>
  <c r="D1768" i="6" a="1"/>
  <c r="B1768" i="6"/>
  <c r="G1767" i="6"/>
  <c r="D1767" i="6" a="1"/>
  <c r="D1767" i="6" s="1"/>
  <c r="B1767" i="6"/>
  <c r="G1766" i="6"/>
  <c r="D1766" i="6" a="1"/>
  <c r="D1766" i="6" s="1"/>
  <c r="B1766" i="6"/>
  <c r="G1765" i="6"/>
  <c r="D1765" i="6"/>
  <c r="D1765" i="6" a="1"/>
  <c r="B1765" i="6"/>
  <c r="G1764" i="6"/>
  <c r="D1764" i="6"/>
  <c r="D1764" i="6" a="1"/>
  <c r="B1764" i="6"/>
  <c r="G1763" i="6"/>
  <c r="D1763" i="6" a="1"/>
  <c r="D1763" i="6" s="1"/>
  <c r="B1763" i="6"/>
  <c r="G1762" i="6"/>
  <c r="D1762" i="6" a="1"/>
  <c r="D1762" i="6" s="1"/>
  <c r="B1762" i="6"/>
  <c r="G1761" i="6"/>
  <c r="D1761" i="6"/>
  <c r="D1761" i="6" a="1"/>
  <c r="B1761" i="6"/>
  <c r="G1760" i="6"/>
  <c r="D1760" i="6" a="1"/>
  <c r="D1760" i="6" s="1"/>
  <c r="B1760" i="6"/>
  <c r="G1759" i="6"/>
  <c r="D1759" i="6"/>
  <c r="D1759" i="6" a="1"/>
  <c r="B1759" i="6"/>
  <c r="G1758" i="6"/>
  <c r="D1758" i="6"/>
  <c r="D1758" i="6" a="1"/>
  <c r="B1758" i="6"/>
  <c r="G1757" i="6"/>
  <c r="D1757" i="6" a="1"/>
  <c r="D1757" i="6" s="1"/>
  <c r="B1757" i="6"/>
  <c r="G1756" i="6"/>
  <c r="D1756" i="6" a="1"/>
  <c r="D1756" i="6" s="1"/>
  <c r="B1756" i="6"/>
  <c r="G1755" i="6"/>
  <c r="D1755" i="6"/>
  <c r="D1755" i="6" a="1"/>
  <c r="B1755" i="6"/>
  <c r="G1754" i="6"/>
  <c r="D1754" i="6" a="1"/>
  <c r="D1754" i="6" s="1"/>
  <c r="B1754" i="6"/>
  <c r="G1753" i="6"/>
  <c r="D1753" i="6" a="1"/>
  <c r="D1753" i="6" s="1"/>
  <c r="B1753" i="6"/>
  <c r="G1752" i="6"/>
  <c r="D1752" i="6" a="1"/>
  <c r="D1752" i="6" s="1"/>
  <c r="B1752" i="6"/>
  <c r="G1751" i="6"/>
  <c r="D1751" i="6" a="1"/>
  <c r="D1751" i="6" s="1"/>
  <c r="B1751" i="6"/>
  <c r="G1750" i="6"/>
  <c r="D1750" i="6" a="1"/>
  <c r="D1750" i="6" s="1"/>
  <c r="B1750" i="6"/>
  <c r="G1749" i="6"/>
  <c r="D1749" i="6" a="1"/>
  <c r="D1749" i="6" s="1"/>
  <c r="B1749" i="6"/>
  <c r="G1748" i="6"/>
  <c r="D1748" i="6" a="1"/>
  <c r="D1748" i="6" s="1"/>
  <c r="B1748" i="6"/>
  <c r="G1747" i="6"/>
  <c r="D1747" i="6"/>
  <c r="D1747" i="6" a="1"/>
  <c r="B1747" i="6"/>
  <c r="G1746" i="6"/>
  <c r="D1746" i="6"/>
  <c r="D1746" i="6" a="1"/>
  <c r="B1746" i="6"/>
  <c r="G1745" i="6"/>
  <c r="D1745" i="6" a="1"/>
  <c r="D1745" i="6" s="1"/>
  <c r="B1745" i="6"/>
  <c r="G1744" i="6"/>
  <c r="D1744" i="6" a="1"/>
  <c r="D1744" i="6" s="1"/>
  <c r="B1744" i="6"/>
  <c r="G1743" i="6"/>
  <c r="D1743" i="6" a="1"/>
  <c r="D1743" i="6" s="1"/>
  <c r="B1743" i="6"/>
  <c r="G1742" i="6"/>
  <c r="D1742" i="6" a="1"/>
  <c r="D1742" i="6" s="1"/>
  <c r="B1742" i="6"/>
  <c r="G1741" i="6"/>
  <c r="D1741" i="6"/>
  <c r="D1741" i="6" a="1"/>
  <c r="B1741" i="6"/>
  <c r="G1740" i="6"/>
  <c r="D1740" i="6"/>
  <c r="D1740" i="6" a="1"/>
  <c r="B1740" i="6"/>
  <c r="G1739" i="6"/>
  <c r="D1739" i="6" a="1"/>
  <c r="D1739" i="6" s="1"/>
  <c r="B1739" i="6"/>
  <c r="G1738" i="6"/>
  <c r="D1738" i="6"/>
  <c r="D1738" i="6" a="1"/>
  <c r="B1738" i="6"/>
  <c r="G1737" i="6"/>
  <c r="D1737" i="6"/>
  <c r="D1737" i="6" a="1"/>
  <c r="B1737" i="6"/>
  <c r="G1736" i="6"/>
  <c r="D1736" i="6" a="1"/>
  <c r="D1736" i="6" s="1"/>
  <c r="B1736" i="6"/>
  <c r="G1735" i="6"/>
  <c r="D1735" i="6"/>
  <c r="D1735" i="6" a="1"/>
  <c r="B1735" i="6"/>
  <c r="G1734" i="6"/>
  <c r="D1734" i="6" a="1"/>
  <c r="D1734" i="6" s="1"/>
  <c r="B1734" i="6"/>
  <c r="G1733" i="6"/>
  <c r="D1733" i="6" a="1"/>
  <c r="D1733" i="6" s="1"/>
  <c r="B1733" i="6"/>
  <c r="G1732" i="6"/>
  <c r="D1732" i="6" a="1"/>
  <c r="D1732" i="6" s="1"/>
  <c r="B1732" i="6"/>
  <c r="G1731" i="6"/>
  <c r="D1731" i="6" a="1"/>
  <c r="D1731" i="6" s="1"/>
  <c r="B1731" i="6"/>
  <c r="G1730" i="6"/>
  <c r="D1730" i="6" a="1"/>
  <c r="D1730" i="6" s="1"/>
  <c r="B1730" i="6"/>
  <c r="G1729" i="6"/>
  <c r="D1729" i="6" a="1"/>
  <c r="D1729" i="6" s="1"/>
  <c r="B1729" i="6"/>
  <c r="G1728" i="6"/>
  <c r="D1728" i="6"/>
  <c r="D1728" i="6" a="1"/>
  <c r="B1728" i="6"/>
  <c r="G1727" i="6"/>
  <c r="D1727" i="6" a="1"/>
  <c r="D1727" i="6" s="1"/>
  <c r="B1727" i="6"/>
  <c r="G1726" i="6"/>
  <c r="D1726" i="6" a="1"/>
  <c r="D1726" i="6" s="1"/>
  <c r="B1726" i="6"/>
  <c r="G1725" i="6"/>
  <c r="D1725" i="6"/>
  <c r="D1725" i="6" a="1"/>
  <c r="B1725" i="6"/>
  <c r="G1724" i="6"/>
  <c r="D1724" i="6" a="1"/>
  <c r="D1724" i="6" s="1"/>
  <c r="B1724" i="6"/>
  <c r="G1723" i="6"/>
  <c r="D1723" i="6"/>
  <c r="D1723" i="6" a="1"/>
  <c r="B1723" i="6"/>
  <c r="G1722" i="6"/>
  <c r="D1722" i="6"/>
  <c r="D1722" i="6" a="1"/>
  <c r="B1722" i="6"/>
  <c r="G1721" i="6"/>
  <c r="D1721" i="6" a="1"/>
  <c r="D1721" i="6" s="1"/>
  <c r="B1721" i="6"/>
  <c r="G1720" i="6"/>
  <c r="D1720" i="6"/>
  <c r="D1720" i="6" a="1"/>
  <c r="B1720" i="6"/>
  <c r="G1719" i="6"/>
  <c r="D1719" i="6" a="1"/>
  <c r="D1719" i="6" s="1"/>
  <c r="B1719" i="6"/>
  <c r="G1718" i="6"/>
  <c r="D1718" i="6" a="1"/>
  <c r="D1718" i="6" s="1"/>
  <c r="B1718" i="6"/>
  <c r="G1717" i="6"/>
  <c r="D1717" i="6" a="1"/>
  <c r="D1717" i="6" s="1"/>
  <c r="B1717" i="6"/>
  <c r="G1716" i="6"/>
  <c r="D1716" i="6" a="1"/>
  <c r="D1716" i="6" s="1"/>
  <c r="B1716" i="6"/>
  <c r="G1715" i="6"/>
  <c r="D1715" i="6" a="1"/>
  <c r="D1715" i="6" s="1"/>
  <c r="B1715" i="6"/>
  <c r="G1714" i="6"/>
  <c r="D1714" i="6"/>
  <c r="D1714" i="6" a="1"/>
  <c r="B1714" i="6"/>
  <c r="G1713" i="6"/>
  <c r="D1713" i="6" a="1"/>
  <c r="D1713" i="6" s="1"/>
  <c r="B1713" i="6"/>
  <c r="G1712" i="6"/>
  <c r="D1712" i="6" a="1"/>
  <c r="D1712" i="6" s="1"/>
  <c r="B1712" i="6"/>
  <c r="G1711" i="6"/>
  <c r="D1711" i="6"/>
  <c r="D1711" i="6" a="1"/>
  <c r="B1711" i="6"/>
  <c r="G1710" i="6"/>
  <c r="D1710" i="6"/>
  <c r="D1710" i="6" a="1"/>
  <c r="B1710" i="6"/>
  <c r="G1709" i="6"/>
  <c r="D1709" i="6" a="1"/>
  <c r="D1709" i="6" s="1"/>
  <c r="B1709" i="6"/>
  <c r="G1708" i="6"/>
  <c r="D1708" i="6" a="1"/>
  <c r="D1708" i="6" s="1"/>
  <c r="B1708" i="6"/>
  <c r="G1707" i="6"/>
  <c r="D1707" i="6"/>
  <c r="D1707" i="6" a="1"/>
  <c r="B1707" i="6"/>
  <c r="G1706" i="6"/>
  <c r="D1706" i="6" a="1"/>
  <c r="D1706" i="6" s="1"/>
  <c r="B1706" i="6"/>
  <c r="G1705" i="6"/>
  <c r="D1705" i="6"/>
  <c r="D1705" i="6" a="1"/>
  <c r="B1705" i="6"/>
  <c r="G1704" i="6"/>
  <c r="D1704" i="6" a="1"/>
  <c r="D1704" i="6" s="1"/>
  <c r="B1704" i="6"/>
  <c r="G1703" i="6"/>
  <c r="D1703" i="6" a="1"/>
  <c r="D1703" i="6" s="1"/>
  <c r="B1703" i="6"/>
  <c r="G1702" i="6"/>
  <c r="D1702" i="6"/>
  <c r="D1702" i="6" a="1"/>
  <c r="B1702" i="6"/>
  <c r="G1701" i="6"/>
  <c r="D1701" i="6"/>
  <c r="D1701" i="6" a="1"/>
  <c r="B1701" i="6"/>
  <c r="G1700" i="6"/>
  <c r="D1700" i="6" a="1"/>
  <c r="D1700" i="6" s="1"/>
  <c r="B1700" i="6"/>
  <c r="G1699" i="6"/>
  <c r="D1699" i="6"/>
  <c r="D1699" i="6" a="1"/>
  <c r="B1699" i="6"/>
  <c r="G1698" i="6"/>
  <c r="D1698" i="6"/>
  <c r="D1698" i="6" a="1"/>
  <c r="B1698" i="6"/>
  <c r="G1697" i="6"/>
  <c r="D1697" i="6" a="1"/>
  <c r="D1697" i="6" s="1"/>
  <c r="B1697" i="6"/>
  <c r="G1696" i="6"/>
  <c r="D1696" i="6" a="1"/>
  <c r="D1696" i="6" s="1"/>
  <c r="B1696" i="6"/>
  <c r="G1695" i="6"/>
  <c r="D1695" i="6" a="1"/>
  <c r="D1695" i="6" s="1"/>
  <c r="B1695" i="6"/>
  <c r="G1694" i="6"/>
  <c r="D1694" i="6" a="1"/>
  <c r="D1694" i="6" s="1"/>
  <c r="B1694" i="6"/>
  <c r="G1693" i="6"/>
  <c r="D1693" i="6"/>
  <c r="D1693" i="6" a="1"/>
  <c r="B1693" i="6"/>
  <c r="G1692" i="6"/>
  <c r="D1692" i="6"/>
  <c r="D1692" i="6" a="1"/>
  <c r="B1692" i="6"/>
  <c r="G1691" i="6"/>
  <c r="D1691" i="6" a="1"/>
  <c r="D1691" i="6" s="1"/>
  <c r="B1691" i="6"/>
  <c r="G1690" i="6"/>
  <c r="D1690" i="6" a="1"/>
  <c r="D1690" i="6" s="1"/>
  <c r="B1690" i="6"/>
  <c r="G1689" i="6"/>
  <c r="D1689" i="6"/>
  <c r="D1689" i="6" a="1"/>
  <c r="B1689" i="6"/>
  <c r="G1688" i="6"/>
  <c r="D1688" i="6" a="1"/>
  <c r="D1688" i="6" s="1"/>
  <c r="B1688" i="6"/>
  <c r="G1687" i="6"/>
  <c r="D1687" i="6"/>
  <c r="D1687" i="6" a="1"/>
  <c r="B1687" i="6"/>
  <c r="G1686" i="6"/>
  <c r="D1686" i="6"/>
  <c r="D1686" i="6" a="1"/>
  <c r="B1686" i="6"/>
  <c r="G1685" i="6"/>
  <c r="D1685" i="6" a="1"/>
  <c r="D1685" i="6" s="1"/>
  <c r="B1685" i="6"/>
  <c r="G1684" i="6"/>
  <c r="D1684" i="6"/>
  <c r="D1684" i="6" a="1"/>
  <c r="B1684" i="6"/>
  <c r="G1683" i="6"/>
  <c r="D1683" i="6"/>
  <c r="D1683" i="6" a="1"/>
  <c r="B1683" i="6"/>
  <c r="G1682" i="6"/>
  <c r="D1682" i="6" a="1"/>
  <c r="D1682" i="6" s="1"/>
  <c r="B1682" i="6"/>
  <c r="G1681" i="6"/>
  <c r="D1681" i="6" a="1"/>
  <c r="D1681" i="6" s="1"/>
  <c r="B1681" i="6"/>
  <c r="G1680" i="6"/>
  <c r="D1680" i="6" a="1"/>
  <c r="D1680" i="6" s="1"/>
  <c r="B1680" i="6"/>
  <c r="G1679" i="6"/>
  <c r="D1679" i="6" a="1"/>
  <c r="D1679" i="6" s="1"/>
  <c r="B1679" i="6"/>
  <c r="G1678" i="6"/>
  <c r="D1678" i="6" a="1"/>
  <c r="D1678" i="6" s="1"/>
  <c r="B1678" i="6"/>
  <c r="G1677" i="6"/>
  <c r="D1677" i="6" a="1"/>
  <c r="D1677" i="6" s="1"/>
  <c r="B1677" i="6"/>
  <c r="G1676" i="6"/>
  <c r="D1676" i="6" a="1"/>
  <c r="D1676" i="6" s="1"/>
  <c r="B1676" i="6"/>
  <c r="G1675" i="6"/>
  <c r="D1675" i="6" a="1"/>
  <c r="D1675" i="6" s="1"/>
  <c r="B1675" i="6"/>
  <c r="G1674" i="6"/>
  <c r="D1674" i="6"/>
  <c r="D1674" i="6" a="1"/>
  <c r="B1674" i="6"/>
  <c r="G1673" i="6"/>
  <c r="D1673" i="6" a="1"/>
  <c r="D1673" i="6" s="1"/>
  <c r="B1673" i="6"/>
  <c r="G1672" i="6"/>
  <c r="D1672" i="6" a="1"/>
  <c r="D1672" i="6" s="1"/>
  <c r="B1672" i="6"/>
  <c r="G1671" i="6"/>
  <c r="D1671" i="6" a="1"/>
  <c r="D1671" i="6" s="1"/>
  <c r="B1671" i="6"/>
  <c r="G1670" i="6"/>
  <c r="D1670" i="6" a="1"/>
  <c r="D1670" i="6" s="1"/>
  <c r="B1670" i="6"/>
  <c r="G1669" i="6"/>
  <c r="D1669" i="6"/>
  <c r="D1669" i="6" a="1"/>
  <c r="B1669" i="6"/>
  <c r="G1668" i="6"/>
  <c r="D1668" i="6" a="1"/>
  <c r="D1668" i="6" s="1"/>
  <c r="B1668" i="6"/>
  <c r="G1667" i="6"/>
  <c r="D1667" i="6" a="1"/>
  <c r="D1667" i="6" s="1"/>
  <c r="B1667" i="6"/>
  <c r="G1666" i="6"/>
  <c r="D1666" i="6"/>
  <c r="D1666" i="6" a="1"/>
  <c r="B1666" i="6"/>
  <c r="G1665" i="6"/>
  <c r="D1665" i="6" a="1"/>
  <c r="D1665" i="6" s="1"/>
  <c r="B1665" i="6"/>
  <c r="G1664" i="6"/>
  <c r="D1664" i="6" a="1"/>
  <c r="D1664" i="6" s="1"/>
  <c r="B1664" i="6"/>
  <c r="G1663" i="6"/>
  <c r="D1663" i="6"/>
  <c r="D1663" i="6" a="1"/>
  <c r="B1663" i="6"/>
  <c r="G1662" i="6"/>
  <c r="D1662" i="6" a="1"/>
  <c r="D1662" i="6" s="1"/>
  <c r="B1662" i="6"/>
  <c r="G1661" i="6"/>
  <c r="D1661" i="6" a="1"/>
  <c r="D1661" i="6" s="1"/>
  <c r="B1661" i="6"/>
  <c r="G1660" i="6"/>
  <c r="D1660" i="6" a="1"/>
  <c r="D1660" i="6" s="1"/>
  <c r="B1660" i="6"/>
  <c r="G1659" i="6"/>
  <c r="D1659" i="6" a="1"/>
  <c r="D1659" i="6" s="1"/>
  <c r="B1659" i="6"/>
  <c r="G1658" i="6"/>
  <c r="D1658" i="6" a="1"/>
  <c r="D1658" i="6" s="1"/>
  <c r="B1658" i="6"/>
  <c r="G1657" i="6"/>
  <c r="D1657" i="6"/>
  <c r="D1657" i="6" a="1"/>
  <c r="B1657" i="6"/>
  <c r="G1656" i="6"/>
  <c r="D1656" i="6"/>
  <c r="D1656" i="6" a="1"/>
  <c r="B1656" i="6"/>
  <c r="G1655" i="6"/>
  <c r="D1655" i="6" a="1"/>
  <c r="D1655" i="6" s="1"/>
  <c r="B1655" i="6"/>
  <c r="G1654" i="6"/>
  <c r="D1654" i="6" a="1"/>
  <c r="D1654" i="6" s="1"/>
  <c r="B1654" i="6"/>
  <c r="G1653" i="6"/>
  <c r="D1653" i="6"/>
  <c r="D1653" i="6" a="1"/>
  <c r="B1653" i="6"/>
  <c r="G1652" i="6"/>
  <c r="D1652" i="6" a="1"/>
  <c r="D1652" i="6" s="1"/>
  <c r="B1652" i="6"/>
  <c r="G1651" i="6"/>
  <c r="D1651" i="6"/>
  <c r="D1651" i="6" a="1"/>
  <c r="B1651" i="6"/>
  <c r="G1650" i="6"/>
  <c r="D1650" i="6"/>
  <c r="D1650" i="6" a="1"/>
  <c r="B1650" i="6"/>
  <c r="G1649" i="6"/>
  <c r="D1649" i="6" a="1"/>
  <c r="D1649" i="6" s="1"/>
  <c r="B1649" i="6"/>
  <c r="G1648" i="6"/>
  <c r="D1648" i="6" a="1"/>
  <c r="D1648" i="6" s="1"/>
  <c r="B1648" i="6"/>
  <c r="G1647" i="6"/>
  <c r="D1647" i="6"/>
  <c r="D1647" i="6" a="1"/>
  <c r="B1647" i="6"/>
  <c r="G1646" i="6"/>
  <c r="D1646" i="6" a="1"/>
  <c r="D1646" i="6" s="1"/>
  <c r="B1646" i="6"/>
  <c r="G1645" i="6"/>
  <c r="D1645" i="6" a="1"/>
  <c r="D1645" i="6" s="1"/>
  <c r="B1645" i="6"/>
  <c r="G1644" i="6"/>
  <c r="D1644" i="6" a="1"/>
  <c r="D1644" i="6" s="1"/>
  <c r="B1644" i="6"/>
  <c r="G1643" i="6"/>
  <c r="D1643" i="6" a="1"/>
  <c r="D1643" i="6" s="1"/>
  <c r="B1643" i="6"/>
  <c r="G1642" i="6"/>
  <c r="D1642" i="6" a="1"/>
  <c r="D1642" i="6" s="1"/>
  <c r="B1642" i="6"/>
  <c r="G1641" i="6"/>
  <c r="D1641" i="6" a="1"/>
  <c r="D1641" i="6" s="1"/>
  <c r="B1641" i="6"/>
  <c r="G1640" i="6"/>
  <c r="D1640" i="6" a="1"/>
  <c r="D1640" i="6" s="1"/>
  <c r="B1640" i="6"/>
  <c r="G1639" i="6"/>
  <c r="D1639" i="6"/>
  <c r="D1639" i="6" a="1"/>
  <c r="B1639" i="6"/>
  <c r="G1638" i="6"/>
  <c r="D1638" i="6"/>
  <c r="D1638" i="6" a="1"/>
  <c r="B1638" i="6"/>
  <c r="G1637" i="6"/>
  <c r="D1637" i="6" a="1"/>
  <c r="D1637" i="6" s="1"/>
  <c r="B1637" i="6"/>
  <c r="G1636" i="6"/>
  <c r="D1636" i="6" a="1"/>
  <c r="D1636" i="6" s="1"/>
  <c r="B1636" i="6"/>
  <c r="G1635" i="6"/>
  <c r="D1635" i="6" a="1"/>
  <c r="D1635" i="6" s="1"/>
  <c r="B1635" i="6"/>
  <c r="G1634" i="6"/>
  <c r="D1634" i="6" a="1"/>
  <c r="D1634" i="6" s="1"/>
  <c r="B1634" i="6"/>
  <c r="G1633" i="6"/>
  <c r="D1633" i="6"/>
  <c r="D1633" i="6" a="1"/>
  <c r="B1633" i="6"/>
  <c r="G1632" i="6"/>
  <c r="D1632" i="6"/>
  <c r="D1632" i="6" a="1"/>
  <c r="B1632" i="6"/>
  <c r="G1631" i="6"/>
  <c r="D1631" i="6" a="1"/>
  <c r="D1631" i="6" s="1"/>
  <c r="B1631" i="6"/>
  <c r="G1630" i="6"/>
  <c r="D1630" i="6"/>
  <c r="D1630" i="6" a="1"/>
  <c r="B1630" i="6"/>
  <c r="G1629" i="6"/>
  <c r="D1629" i="6"/>
  <c r="D1629" i="6" a="1"/>
  <c r="B1629" i="6"/>
  <c r="G1628" i="6"/>
  <c r="D1628" i="6" a="1"/>
  <c r="D1628" i="6" s="1"/>
  <c r="B1628" i="6"/>
  <c r="G1627" i="6"/>
  <c r="D1627" i="6"/>
  <c r="D1627" i="6" a="1"/>
  <c r="B1627" i="6"/>
  <c r="G1626" i="6"/>
  <c r="D1626" i="6" a="1"/>
  <c r="D1626" i="6" s="1"/>
  <c r="B1626" i="6"/>
  <c r="G1625" i="6"/>
  <c r="D1625" i="6" a="1"/>
  <c r="D1625" i="6" s="1"/>
  <c r="B1625" i="6"/>
  <c r="G1624" i="6"/>
  <c r="D1624" i="6" a="1"/>
  <c r="D1624" i="6" s="1"/>
  <c r="B1624" i="6"/>
  <c r="G1623" i="6"/>
  <c r="D1623" i="6" a="1"/>
  <c r="D1623" i="6" s="1"/>
  <c r="B1623" i="6"/>
  <c r="G1622" i="6"/>
  <c r="D1622" i="6" a="1"/>
  <c r="D1622" i="6" s="1"/>
  <c r="B1622" i="6"/>
  <c r="G1621" i="6"/>
  <c r="D1621" i="6" a="1"/>
  <c r="D1621" i="6" s="1"/>
  <c r="B1621" i="6"/>
  <c r="G1620" i="6"/>
  <c r="D1620" i="6"/>
  <c r="D1620" i="6" a="1"/>
  <c r="B1620" i="6"/>
  <c r="G1619" i="6"/>
  <c r="D1619" i="6" a="1"/>
  <c r="D1619" i="6" s="1"/>
  <c r="B1619" i="6"/>
  <c r="G1618" i="6"/>
  <c r="D1618" i="6" a="1"/>
  <c r="D1618" i="6" s="1"/>
  <c r="B1618" i="6"/>
  <c r="G1617" i="6"/>
  <c r="D1617" i="6"/>
  <c r="D1617" i="6" a="1"/>
  <c r="B1617" i="6"/>
  <c r="G1616" i="6"/>
  <c r="D1616" i="6" a="1"/>
  <c r="D1616" i="6" s="1"/>
  <c r="B1616" i="6"/>
  <c r="G1615" i="6"/>
  <c r="D1615" i="6"/>
  <c r="D1615" i="6" a="1"/>
  <c r="B1615" i="6"/>
  <c r="G1614" i="6"/>
  <c r="D1614" i="6"/>
  <c r="D1614" i="6" a="1"/>
  <c r="B1614" i="6"/>
  <c r="G1613" i="6"/>
  <c r="D1613" i="6" a="1"/>
  <c r="D1613" i="6" s="1"/>
  <c r="B1613" i="6"/>
  <c r="G1612" i="6"/>
  <c r="D1612" i="6"/>
  <c r="D1612" i="6" a="1"/>
  <c r="B1612" i="6"/>
  <c r="G1611" i="6"/>
  <c r="D1611" i="6" a="1"/>
  <c r="D1611" i="6" s="1"/>
  <c r="B1611" i="6"/>
  <c r="G1610" i="6"/>
  <c r="D1610" i="6" a="1"/>
  <c r="D1610" i="6" s="1"/>
  <c r="B1610" i="6"/>
  <c r="G1609" i="6"/>
  <c r="D1609" i="6" a="1"/>
  <c r="D1609" i="6" s="1"/>
  <c r="B1609" i="6"/>
  <c r="G1608" i="6"/>
  <c r="D1608" i="6" a="1"/>
  <c r="D1608" i="6" s="1"/>
  <c r="B1608" i="6"/>
  <c r="G1607" i="6"/>
  <c r="D1607" i="6" a="1"/>
  <c r="D1607" i="6" s="1"/>
  <c r="B1607" i="6"/>
  <c r="G1606" i="6"/>
  <c r="D1606" i="6"/>
  <c r="D1606" i="6" a="1"/>
  <c r="B1606" i="6"/>
  <c r="G1605" i="6"/>
  <c r="D1605" i="6" a="1"/>
  <c r="D1605" i="6" s="1"/>
  <c r="B1605" i="6"/>
  <c r="G1604" i="6"/>
  <c r="D1604" i="6" a="1"/>
  <c r="D1604" i="6" s="1"/>
  <c r="B1604" i="6"/>
  <c r="G1603" i="6"/>
  <c r="D1603" i="6"/>
  <c r="D1603" i="6" a="1"/>
  <c r="B1603" i="6"/>
  <c r="G1602" i="6"/>
  <c r="D1602" i="6"/>
  <c r="D1602" i="6" a="1"/>
  <c r="B1602" i="6"/>
  <c r="G1601" i="6"/>
  <c r="D1601" i="6" a="1"/>
  <c r="D1601" i="6" s="1"/>
  <c r="B1601" i="6"/>
  <c r="G1600" i="6"/>
  <c r="D1600" i="6" a="1"/>
  <c r="D1600" i="6" s="1"/>
  <c r="B1600" i="6"/>
  <c r="G1599" i="6"/>
  <c r="D1599" i="6"/>
  <c r="D1599" i="6" a="1"/>
  <c r="B1599" i="6"/>
  <c r="G1598" i="6"/>
  <c r="D1598" i="6" a="1"/>
  <c r="D1598" i="6" s="1"/>
  <c r="B1598" i="6"/>
  <c r="G1597" i="6"/>
  <c r="D1597" i="6"/>
  <c r="D1597" i="6" a="1"/>
  <c r="B1597" i="6"/>
  <c r="G1596" i="6"/>
  <c r="D1596" i="6" a="1"/>
  <c r="D1596" i="6" s="1"/>
  <c r="B1596" i="6"/>
  <c r="G1595" i="6"/>
  <c r="D1595" i="6" a="1"/>
  <c r="D1595" i="6" s="1"/>
  <c r="B1595" i="6"/>
  <c r="G1594" i="6"/>
  <c r="D1594" i="6"/>
  <c r="D1594" i="6" a="1"/>
  <c r="B1594" i="6"/>
  <c r="G1593" i="6"/>
  <c r="D1593" i="6"/>
  <c r="D1593" i="6" a="1"/>
  <c r="B1593" i="6"/>
  <c r="G1592" i="6"/>
  <c r="D1592" i="6" a="1"/>
  <c r="D1592" i="6" s="1"/>
  <c r="B1592" i="6"/>
  <c r="G1591" i="6"/>
  <c r="D1591" i="6"/>
  <c r="D1591" i="6" a="1"/>
  <c r="B1591" i="6"/>
  <c r="G1590" i="6"/>
  <c r="D1590" i="6"/>
  <c r="D1590" i="6" a="1"/>
  <c r="B1590" i="6"/>
  <c r="G1589" i="6"/>
  <c r="D1589" i="6" a="1"/>
  <c r="D1589" i="6" s="1"/>
  <c r="B1589" i="6"/>
  <c r="G1588" i="6"/>
  <c r="D1588" i="6" a="1"/>
  <c r="D1588" i="6" s="1"/>
  <c r="B1588" i="6"/>
  <c r="G1587" i="6"/>
  <c r="D1587" i="6" a="1"/>
  <c r="D1587" i="6" s="1"/>
  <c r="B1587" i="6"/>
  <c r="G1586" i="6"/>
  <c r="D1586" i="6" a="1"/>
  <c r="D1586" i="6" s="1"/>
  <c r="B1586" i="6"/>
  <c r="G1585" i="6"/>
  <c r="D1585" i="6"/>
  <c r="D1585" i="6" a="1"/>
  <c r="B1585" i="6"/>
  <c r="G1584" i="6"/>
  <c r="D1584" i="6"/>
  <c r="D1584" i="6" a="1"/>
  <c r="B1584" i="6"/>
  <c r="G1583" i="6"/>
  <c r="D1583" i="6" a="1"/>
  <c r="D1583" i="6" s="1"/>
  <c r="B1583" i="6"/>
  <c r="G1582" i="6"/>
  <c r="D1582" i="6" a="1"/>
  <c r="D1582" i="6" s="1"/>
  <c r="B1582" i="6"/>
  <c r="G1581" i="6"/>
  <c r="D1581" i="6"/>
  <c r="D1581" i="6" a="1"/>
  <c r="B1581" i="6"/>
  <c r="G1580" i="6"/>
  <c r="D1580" i="6" a="1"/>
  <c r="D1580" i="6" s="1"/>
  <c r="B1580" i="6"/>
  <c r="G1579" i="6"/>
  <c r="D1579" i="6"/>
  <c r="D1579" i="6" a="1"/>
  <c r="B1579" i="6"/>
  <c r="G1578" i="6"/>
  <c r="D1578" i="6"/>
  <c r="D1578" i="6" a="1"/>
  <c r="B1578" i="6"/>
  <c r="G1577" i="6"/>
  <c r="D1577" i="6" a="1"/>
  <c r="D1577" i="6" s="1"/>
  <c r="B1577" i="6"/>
  <c r="G1576" i="6"/>
  <c r="D1576" i="6"/>
  <c r="D1576" i="6" a="1"/>
  <c r="B1576" i="6"/>
  <c r="G1575" i="6"/>
  <c r="D1575" i="6"/>
  <c r="D1575" i="6" a="1"/>
  <c r="B1575" i="6"/>
  <c r="G1574" i="6"/>
  <c r="D1574" i="6" a="1"/>
  <c r="D1574" i="6" s="1"/>
  <c r="B1574" i="6"/>
  <c r="G1573" i="6"/>
  <c r="D1573" i="6" a="1"/>
  <c r="D1573" i="6" s="1"/>
  <c r="B1573" i="6"/>
  <c r="G1572" i="6"/>
  <c r="D1572" i="6" a="1"/>
  <c r="D1572" i="6" s="1"/>
  <c r="B1572" i="6"/>
  <c r="G1571" i="6"/>
  <c r="D1571" i="6" a="1"/>
  <c r="D1571" i="6" s="1"/>
  <c r="B1571" i="6"/>
  <c r="G1570" i="6"/>
  <c r="D1570" i="6" a="1"/>
  <c r="D1570" i="6" s="1"/>
  <c r="B1570" i="6"/>
  <c r="G1569" i="6"/>
  <c r="D1569" i="6" a="1"/>
  <c r="D1569" i="6" s="1"/>
  <c r="B1569" i="6"/>
  <c r="G1568" i="6"/>
  <c r="D1568" i="6" a="1"/>
  <c r="D1568" i="6" s="1"/>
  <c r="B1568" i="6"/>
  <c r="G1567" i="6"/>
  <c r="D1567" i="6" a="1"/>
  <c r="D1567" i="6" s="1"/>
  <c r="B1567" i="6"/>
  <c r="G1566" i="6"/>
  <c r="D1566" i="6"/>
  <c r="D1566" i="6" a="1"/>
  <c r="B1566" i="6"/>
  <c r="G1565" i="6"/>
  <c r="D1565" i="6" a="1"/>
  <c r="D1565" i="6" s="1"/>
  <c r="B1565" i="6"/>
  <c r="G1564" i="6"/>
  <c r="D1564" i="6" a="1"/>
  <c r="D1564" i="6" s="1"/>
  <c r="B1564" i="6"/>
  <c r="G1563" i="6"/>
  <c r="D1563" i="6" a="1"/>
  <c r="D1563" i="6" s="1"/>
  <c r="B1563" i="6"/>
  <c r="G1562" i="6"/>
  <c r="D1562" i="6" a="1"/>
  <c r="D1562" i="6" s="1"/>
  <c r="B1562" i="6"/>
  <c r="G1561" i="6"/>
  <c r="D1561" i="6"/>
  <c r="D1561" i="6" a="1"/>
  <c r="B1561" i="6"/>
  <c r="G1560" i="6"/>
  <c r="D1560" i="6" a="1"/>
  <c r="D1560" i="6" s="1"/>
  <c r="B1560" i="6"/>
  <c r="G1559" i="6"/>
  <c r="D1559" i="6" a="1"/>
  <c r="D1559" i="6" s="1"/>
  <c r="B1559" i="6"/>
  <c r="G1558" i="6"/>
  <c r="D1558" i="6"/>
  <c r="D1558" i="6" a="1"/>
  <c r="B1558" i="6"/>
  <c r="G1557" i="6"/>
  <c r="D1557" i="6" a="1"/>
  <c r="D1557" i="6" s="1"/>
  <c r="B1557" i="6"/>
  <c r="G1556" i="6"/>
  <c r="D1556" i="6" a="1"/>
  <c r="D1556" i="6" s="1"/>
  <c r="B1556" i="6"/>
  <c r="G1555" i="6"/>
  <c r="D1555" i="6"/>
  <c r="D1555" i="6" a="1"/>
  <c r="B1555" i="6"/>
  <c r="G1554" i="6"/>
  <c r="D1554" i="6" a="1"/>
  <c r="D1554" i="6" s="1"/>
  <c r="B1554" i="6"/>
  <c r="G1553" i="6"/>
  <c r="D1553" i="6" a="1"/>
  <c r="D1553" i="6" s="1"/>
  <c r="B1553" i="6"/>
  <c r="G1552" i="6"/>
  <c r="D1552" i="6"/>
  <c r="D1552" i="6" a="1"/>
  <c r="B1552" i="6"/>
  <c r="G1551" i="6"/>
  <c r="D1551" i="6" a="1"/>
  <c r="D1551" i="6" s="1"/>
  <c r="B1551" i="6"/>
  <c r="G1550" i="6"/>
  <c r="D1550" i="6" a="1"/>
  <c r="D1550" i="6" s="1"/>
  <c r="B1550" i="6"/>
  <c r="G1549" i="6"/>
  <c r="D1549" i="6"/>
  <c r="D1549" i="6" a="1"/>
  <c r="B1549" i="6"/>
  <c r="G1548" i="6"/>
  <c r="D1548" i="6"/>
  <c r="D1548" i="6" a="1"/>
  <c r="B1548" i="6"/>
  <c r="G1547" i="6"/>
  <c r="D1547" i="6" a="1"/>
  <c r="D1547" i="6" s="1"/>
  <c r="B1547" i="6"/>
  <c r="G1546" i="6"/>
  <c r="D1546" i="6" a="1"/>
  <c r="D1546" i="6" s="1"/>
  <c r="B1546" i="6"/>
  <c r="G1545" i="6"/>
  <c r="D1545" i="6"/>
  <c r="D1545" i="6" a="1"/>
  <c r="B1545" i="6"/>
  <c r="G1544" i="6"/>
  <c r="D1544" i="6" a="1"/>
  <c r="D1544" i="6" s="1"/>
  <c r="B1544" i="6"/>
  <c r="G1543" i="6"/>
  <c r="D1543" i="6"/>
  <c r="D1543" i="6" a="1"/>
  <c r="B1543" i="6"/>
  <c r="G1542" i="6"/>
  <c r="D1542" i="6"/>
  <c r="D1542" i="6" a="1"/>
  <c r="B1542" i="6"/>
  <c r="G1541" i="6"/>
  <c r="D1541" i="6" a="1"/>
  <c r="D1541" i="6" s="1"/>
  <c r="B1541" i="6"/>
  <c r="G1540" i="6"/>
  <c r="D1540" i="6" a="1"/>
  <c r="D1540" i="6" s="1"/>
  <c r="B1540" i="6"/>
  <c r="G1539" i="6"/>
  <c r="D1539" i="6"/>
  <c r="D1539" i="6" a="1"/>
  <c r="B1539" i="6"/>
  <c r="G1538" i="6"/>
  <c r="D1538" i="6" a="1"/>
  <c r="D1538" i="6" s="1"/>
  <c r="B1538" i="6"/>
  <c r="G1537" i="6"/>
  <c r="D1537" i="6" a="1"/>
  <c r="D1537" i="6" s="1"/>
  <c r="B1537" i="6"/>
  <c r="G1536" i="6"/>
  <c r="D1536" i="6" a="1"/>
  <c r="D1536" i="6" s="1"/>
  <c r="B1536" i="6"/>
  <c r="G1535" i="6"/>
  <c r="D1535" i="6" a="1"/>
  <c r="D1535" i="6" s="1"/>
  <c r="B1535" i="6"/>
  <c r="G1534" i="6"/>
  <c r="D1534" i="6" a="1"/>
  <c r="D1534" i="6" s="1"/>
  <c r="B1534" i="6"/>
  <c r="G1533" i="6"/>
  <c r="D1533" i="6"/>
  <c r="D1533" i="6" a="1"/>
  <c r="B1533" i="6"/>
  <c r="G1532" i="6"/>
  <c r="D1532" i="6" a="1"/>
  <c r="D1532" i="6" s="1"/>
  <c r="B1532" i="6"/>
  <c r="G1531" i="6"/>
  <c r="D1531" i="6"/>
  <c r="D1531" i="6" a="1"/>
  <c r="B1531" i="6"/>
  <c r="G1530" i="6"/>
  <c r="D1530" i="6" a="1"/>
  <c r="D1530" i="6" s="1"/>
  <c r="B1530" i="6"/>
  <c r="G1529" i="6"/>
  <c r="D1529" i="6" a="1"/>
  <c r="D1529" i="6" s="1"/>
  <c r="B1529" i="6"/>
  <c r="G1528" i="6"/>
  <c r="D1528" i="6" a="1"/>
  <c r="D1528" i="6" s="1"/>
  <c r="B1528" i="6"/>
  <c r="G1527" i="6"/>
  <c r="D1527" i="6" a="1"/>
  <c r="D1527" i="6" s="1"/>
  <c r="B1527" i="6"/>
  <c r="G1526" i="6"/>
  <c r="D1526" i="6" a="1"/>
  <c r="D1526" i="6" s="1"/>
  <c r="B1526" i="6"/>
  <c r="G1525" i="6"/>
  <c r="D1525" i="6"/>
  <c r="D1525" i="6" a="1"/>
  <c r="B1525" i="6"/>
  <c r="G1524" i="6"/>
  <c r="D1524" i="6" a="1"/>
  <c r="D1524" i="6" s="1"/>
  <c r="B1524" i="6"/>
  <c r="G1523" i="6"/>
  <c r="D1523" i="6" a="1"/>
  <c r="D1523" i="6" s="1"/>
  <c r="B1523" i="6"/>
  <c r="G1522" i="6"/>
  <c r="D1522" i="6"/>
  <c r="D1522" i="6" a="1"/>
  <c r="B1522" i="6"/>
  <c r="G1521" i="6"/>
  <c r="D1521" i="6"/>
  <c r="D1521" i="6" a="1"/>
  <c r="B1521" i="6"/>
  <c r="G1520" i="6"/>
  <c r="D1520" i="6" a="1"/>
  <c r="D1520" i="6" s="1"/>
  <c r="B1520" i="6"/>
  <c r="G1519" i="6"/>
  <c r="D1519" i="6"/>
  <c r="D1519" i="6" a="1"/>
  <c r="B1519" i="6"/>
  <c r="G1518" i="6"/>
  <c r="D1518" i="6"/>
  <c r="D1518" i="6" a="1"/>
  <c r="B1518" i="6"/>
  <c r="G1517" i="6"/>
  <c r="D1517" i="6" a="1"/>
  <c r="D1517" i="6" s="1"/>
  <c r="B1517" i="6"/>
  <c r="G1516" i="6"/>
  <c r="D1516" i="6" a="1"/>
  <c r="D1516" i="6" s="1"/>
  <c r="B1516" i="6"/>
  <c r="G1515" i="6"/>
  <c r="D1515" i="6" a="1"/>
  <c r="D1515" i="6" s="1"/>
  <c r="B1515" i="6"/>
  <c r="G1514" i="6"/>
  <c r="D1514" i="6" a="1"/>
  <c r="D1514" i="6" s="1"/>
  <c r="B1514" i="6"/>
  <c r="G1513" i="6"/>
  <c r="D1513" i="6" a="1"/>
  <c r="D1513" i="6" s="1"/>
  <c r="B1513" i="6"/>
  <c r="G1512" i="6"/>
  <c r="D1512" i="6"/>
  <c r="D1512" i="6" a="1"/>
  <c r="B1512" i="6"/>
  <c r="G1511" i="6"/>
  <c r="D1511" i="6" a="1"/>
  <c r="D1511" i="6" s="1"/>
  <c r="B1511" i="6"/>
  <c r="G1510" i="6"/>
  <c r="D1510" i="6" a="1"/>
  <c r="D1510" i="6" s="1"/>
  <c r="B1510" i="6"/>
  <c r="G1509" i="6"/>
  <c r="D1509" i="6"/>
  <c r="D1509" i="6" a="1"/>
  <c r="B1509" i="6"/>
  <c r="G1508" i="6"/>
  <c r="D1508" i="6" a="1"/>
  <c r="D1508" i="6" s="1"/>
  <c r="B1508" i="6"/>
  <c r="G1507" i="6"/>
  <c r="D1507" i="6" a="1"/>
  <c r="D1507" i="6" s="1"/>
  <c r="B1507" i="6"/>
  <c r="G1506" i="6"/>
  <c r="D1506" i="6"/>
  <c r="D1506" i="6" a="1"/>
  <c r="B1506" i="6"/>
  <c r="G1505" i="6"/>
  <c r="D1505" i="6" a="1"/>
  <c r="D1505" i="6" s="1"/>
  <c r="B1505" i="6"/>
  <c r="G1504" i="6"/>
  <c r="D1504" i="6" a="1"/>
  <c r="D1504" i="6" s="1"/>
  <c r="B1504" i="6"/>
  <c r="G1503" i="6"/>
  <c r="D1503" i="6" a="1"/>
  <c r="D1503" i="6" s="1"/>
  <c r="B1503" i="6"/>
  <c r="G1502" i="6"/>
  <c r="D1502" i="6" a="1"/>
  <c r="D1502" i="6" s="1"/>
  <c r="B1502" i="6"/>
  <c r="G1501" i="6"/>
  <c r="D1501" i="6"/>
  <c r="D1501" i="6" a="1"/>
  <c r="B1501" i="6"/>
  <c r="G1500" i="6"/>
  <c r="D1500" i="6" a="1"/>
  <c r="D1500" i="6" s="1"/>
  <c r="B1500" i="6"/>
  <c r="G1499" i="6"/>
  <c r="D1499" i="6" a="1"/>
  <c r="D1499" i="6" s="1"/>
  <c r="B1499" i="6"/>
  <c r="G1498" i="6"/>
  <c r="D1498" i="6"/>
  <c r="D1498" i="6" a="1"/>
  <c r="B1498" i="6"/>
  <c r="G1497" i="6"/>
  <c r="D1497" i="6" a="1"/>
  <c r="D1497" i="6" s="1"/>
  <c r="B1497" i="6"/>
  <c r="G1496" i="6"/>
  <c r="D1496" i="6" a="1"/>
  <c r="D1496" i="6" s="1"/>
  <c r="B1496" i="6"/>
  <c r="G1495" i="6"/>
  <c r="D1495" i="6" a="1"/>
  <c r="D1495" i="6" s="1"/>
  <c r="B1495" i="6"/>
  <c r="G1494" i="6"/>
  <c r="D1494" i="6" a="1"/>
  <c r="D1494" i="6" s="1"/>
  <c r="B1494" i="6"/>
  <c r="G1493" i="6"/>
  <c r="D1493" i="6" a="1"/>
  <c r="D1493" i="6" s="1"/>
  <c r="B1493" i="6"/>
  <c r="G1492" i="6"/>
  <c r="D1492" i="6" a="1"/>
  <c r="D1492" i="6" s="1"/>
  <c r="B1492" i="6"/>
  <c r="G1491" i="6"/>
  <c r="D1491" i="6"/>
  <c r="D1491" i="6" a="1"/>
  <c r="B1491" i="6"/>
  <c r="G1490" i="6"/>
  <c r="D1490" i="6" a="1"/>
  <c r="D1490" i="6" s="1"/>
  <c r="B1490" i="6"/>
  <c r="G1489" i="6"/>
  <c r="D1489" i="6"/>
  <c r="D1489" i="6" a="1"/>
  <c r="B1489" i="6"/>
  <c r="G1488" i="6"/>
  <c r="D1488" i="6"/>
  <c r="D1488" i="6" a="1"/>
  <c r="B1488" i="6"/>
  <c r="G1487" i="6"/>
  <c r="D1487" i="6" a="1"/>
  <c r="D1487" i="6" s="1"/>
  <c r="B1487" i="6"/>
  <c r="G1486" i="6"/>
  <c r="D1486" i="6"/>
  <c r="D1486" i="6" a="1"/>
  <c r="B1486" i="6"/>
  <c r="G1485" i="6"/>
  <c r="D1485" i="6" a="1"/>
  <c r="D1485" i="6" s="1"/>
  <c r="B1485" i="6"/>
  <c r="G1484" i="6"/>
  <c r="D1484" i="6" a="1"/>
  <c r="D1484" i="6" s="1"/>
  <c r="B1484" i="6"/>
  <c r="G1483" i="6"/>
  <c r="D1483" i="6"/>
  <c r="D1483" i="6" a="1"/>
  <c r="B1483" i="6"/>
  <c r="G1482" i="6"/>
  <c r="D1482" i="6" a="1"/>
  <c r="D1482" i="6" s="1"/>
  <c r="B1482" i="6"/>
  <c r="G1481" i="6"/>
  <c r="D1481" i="6" a="1"/>
  <c r="D1481" i="6" s="1"/>
  <c r="B1481" i="6"/>
  <c r="G1480" i="6"/>
  <c r="D1480" i="6" a="1"/>
  <c r="D1480" i="6" s="1"/>
  <c r="B1480" i="6"/>
  <c r="G1479" i="6"/>
  <c r="D1479" i="6" a="1"/>
  <c r="D1479" i="6" s="1"/>
  <c r="B1479" i="6"/>
  <c r="G1478" i="6"/>
  <c r="D1478" i="6" a="1"/>
  <c r="D1478" i="6" s="1"/>
  <c r="B1478" i="6"/>
  <c r="G1477" i="6"/>
  <c r="D1477" i="6" a="1"/>
  <c r="D1477" i="6" s="1"/>
  <c r="B1477" i="6"/>
  <c r="G1476" i="6"/>
  <c r="D1476" i="6"/>
  <c r="D1476" i="6" a="1"/>
  <c r="B1476" i="6"/>
  <c r="G1475" i="6"/>
  <c r="D1475" i="6" a="1"/>
  <c r="D1475" i="6" s="1"/>
  <c r="B1475" i="6"/>
  <c r="G1474" i="6"/>
  <c r="D1474" i="6" a="1"/>
  <c r="D1474" i="6" s="1"/>
  <c r="B1474" i="6"/>
  <c r="G1473" i="6"/>
  <c r="D1473" i="6"/>
  <c r="D1473" i="6" a="1"/>
  <c r="B1473" i="6"/>
  <c r="G1472" i="6"/>
  <c r="D1472" i="6" a="1"/>
  <c r="D1472" i="6" s="1"/>
  <c r="B1472" i="6"/>
  <c r="G1471" i="6"/>
  <c r="D1471" i="6"/>
  <c r="D1471" i="6" a="1"/>
  <c r="B1471" i="6"/>
  <c r="G1470" i="6"/>
  <c r="D1470" i="6"/>
  <c r="D1470" i="6" a="1"/>
  <c r="B1470" i="6"/>
  <c r="G1469" i="6"/>
  <c r="D1469" i="6" a="1"/>
  <c r="D1469" i="6" s="1"/>
  <c r="B1469" i="6"/>
  <c r="G1468" i="6"/>
  <c r="D1468" i="6"/>
  <c r="D1468" i="6" a="1"/>
  <c r="B1468" i="6"/>
  <c r="G1467" i="6"/>
  <c r="D1467" i="6" a="1"/>
  <c r="D1467" i="6" s="1"/>
  <c r="B1467" i="6"/>
  <c r="G1466" i="6"/>
  <c r="D1466" i="6" a="1"/>
  <c r="D1466" i="6" s="1"/>
  <c r="B1466" i="6"/>
  <c r="G1465" i="6"/>
  <c r="D1465" i="6" a="1"/>
  <c r="D1465" i="6" s="1"/>
  <c r="B1465" i="6"/>
  <c r="G1464" i="6"/>
  <c r="D1464" i="6" a="1"/>
  <c r="D1464" i="6" s="1"/>
  <c r="B1464" i="6"/>
  <c r="G1463" i="6"/>
  <c r="D1463" i="6" a="1"/>
  <c r="D1463" i="6" s="1"/>
  <c r="B1463" i="6"/>
  <c r="G1462" i="6"/>
  <c r="D1462" i="6" a="1"/>
  <c r="D1462" i="6" s="1"/>
  <c r="B1462" i="6"/>
  <c r="G1461" i="6"/>
  <c r="D1461" i="6" a="1"/>
  <c r="D1461" i="6" s="1"/>
  <c r="B1461" i="6"/>
  <c r="G1460" i="6"/>
  <c r="D1460" i="6" a="1"/>
  <c r="D1460" i="6" s="1"/>
  <c r="B1460" i="6"/>
  <c r="G1459" i="6"/>
  <c r="D1459" i="6" a="1"/>
  <c r="D1459" i="6" s="1"/>
  <c r="B1459" i="6"/>
  <c r="G1458" i="6"/>
  <c r="D1458" i="6"/>
  <c r="D1458" i="6" a="1"/>
  <c r="B1458" i="6"/>
  <c r="G1457" i="6"/>
  <c r="D1457" i="6" a="1"/>
  <c r="D1457" i="6" s="1"/>
  <c r="B1457" i="6"/>
  <c r="G1456" i="6"/>
  <c r="D1456" i="6" a="1"/>
  <c r="D1456" i="6" s="1"/>
  <c r="B1456" i="6"/>
  <c r="G1455" i="6"/>
  <c r="D1455" i="6" a="1"/>
  <c r="D1455" i="6" s="1"/>
  <c r="B1455" i="6"/>
  <c r="G1454" i="6"/>
  <c r="D1454" i="6" a="1"/>
  <c r="D1454" i="6" s="1"/>
  <c r="B1454" i="6"/>
  <c r="G1453" i="6"/>
  <c r="D1453" i="6"/>
  <c r="D1453" i="6" a="1"/>
  <c r="B1453" i="6"/>
  <c r="G1452" i="6"/>
  <c r="D1452" i="6" a="1"/>
  <c r="D1452" i="6" s="1"/>
  <c r="B1452" i="6"/>
  <c r="G1451" i="6"/>
  <c r="D1451" i="6" a="1"/>
  <c r="D1451" i="6" s="1"/>
  <c r="B1451" i="6"/>
  <c r="G1450" i="6"/>
  <c r="D1450" i="6"/>
  <c r="D1450" i="6" a="1"/>
  <c r="B1450" i="6"/>
  <c r="G1449" i="6"/>
  <c r="D1449" i="6" a="1"/>
  <c r="D1449" i="6" s="1"/>
  <c r="B1449" i="6"/>
  <c r="G1448" i="6"/>
  <c r="D1448" i="6" a="1"/>
  <c r="D1448" i="6" s="1"/>
  <c r="B1448" i="6"/>
  <c r="G1447" i="6"/>
  <c r="D1447" i="6"/>
  <c r="D1447" i="6" a="1"/>
  <c r="B1447" i="6"/>
  <c r="G1446" i="6"/>
  <c r="D1446" i="6"/>
  <c r="D1446" i="6" a="1"/>
  <c r="B1446" i="6"/>
  <c r="G1445" i="6"/>
  <c r="D1445" i="6" a="1"/>
  <c r="D1445" i="6" s="1"/>
  <c r="B1445" i="6"/>
  <c r="G1444" i="6"/>
  <c r="D1444" i="6" a="1"/>
  <c r="D1444" i="6" s="1"/>
  <c r="B1444" i="6"/>
  <c r="G1443" i="6"/>
  <c r="D1443" i="6" a="1"/>
  <c r="D1443" i="6" s="1"/>
  <c r="B1443" i="6"/>
  <c r="G1442" i="6"/>
  <c r="D1442" i="6" a="1"/>
  <c r="D1442" i="6" s="1"/>
  <c r="B1442" i="6"/>
  <c r="G1441" i="6"/>
  <c r="D1441" i="6"/>
  <c r="D1441" i="6" a="1"/>
  <c r="B1441" i="6"/>
  <c r="G1440" i="6"/>
  <c r="D1440" i="6"/>
  <c r="D1440" i="6" a="1"/>
  <c r="B1440" i="6"/>
  <c r="G1439" i="6"/>
  <c r="D1439" i="6" a="1"/>
  <c r="D1439" i="6" s="1"/>
  <c r="B1439" i="6"/>
  <c r="G1438" i="6"/>
  <c r="D1438" i="6"/>
  <c r="D1438" i="6" a="1"/>
  <c r="B1438" i="6"/>
  <c r="G1437" i="6"/>
  <c r="D1437" i="6"/>
  <c r="D1437" i="6" a="1"/>
  <c r="B1437" i="6"/>
  <c r="G1436" i="6"/>
  <c r="D1436" i="6" a="1"/>
  <c r="D1436" i="6" s="1"/>
  <c r="B1436" i="6"/>
  <c r="G1435" i="6"/>
  <c r="D1435" i="6" a="1"/>
  <c r="D1435" i="6" s="1"/>
  <c r="B1435" i="6"/>
  <c r="G1434" i="6"/>
  <c r="D1434" i="6"/>
  <c r="D1434" i="6" a="1"/>
  <c r="B1434" i="6"/>
  <c r="G1433" i="6"/>
  <c r="D1433" i="6" a="1"/>
  <c r="D1433" i="6" s="1"/>
  <c r="B1433" i="6"/>
  <c r="G1432" i="6"/>
  <c r="D1432" i="6"/>
  <c r="D1432" i="6" a="1"/>
  <c r="B1432" i="6"/>
  <c r="G1431" i="6"/>
  <c r="D1431" i="6" a="1"/>
  <c r="D1431" i="6" s="1"/>
  <c r="B1431" i="6"/>
  <c r="G1430" i="6"/>
  <c r="D1430" i="6" a="1"/>
  <c r="D1430" i="6" s="1"/>
  <c r="B1430" i="6"/>
  <c r="G1429" i="6"/>
  <c r="D1429" i="6" a="1"/>
  <c r="D1429" i="6" s="1"/>
  <c r="B1429" i="6"/>
  <c r="G1428" i="6"/>
  <c r="D1428" i="6"/>
  <c r="D1428" i="6" a="1"/>
  <c r="B1428" i="6"/>
  <c r="G1427" i="6"/>
  <c r="D1427" i="6" a="1"/>
  <c r="D1427" i="6" s="1"/>
  <c r="B1427" i="6"/>
  <c r="G1426" i="6"/>
  <c r="D1426" i="6"/>
  <c r="D1426" i="6" a="1"/>
  <c r="B1426" i="6"/>
  <c r="G1425" i="6"/>
  <c r="D1425" i="6"/>
  <c r="D1425" i="6" a="1"/>
  <c r="B1425" i="6"/>
  <c r="G1424" i="6"/>
  <c r="D1424" i="6" a="1"/>
  <c r="D1424" i="6" s="1"/>
  <c r="B1424" i="6"/>
  <c r="G1423" i="6"/>
  <c r="D1423" i="6"/>
  <c r="D1423" i="6" a="1"/>
  <c r="B1423" i="6"/>
  <c r="G1422" i="6"/>
  <c r="D1422" i="6"/>
  <c r="D1422" i="6" a="1"/>
  <c r="B1422" i="6"/>
  <c r="G1421" i="6"/>
  <c r="D1421" i="6" a="1"/>
  <c r="D1421" i="6" s="1"/>
  <c r="B1421" i="6"/>
  <c r="G1420" i="6"/>
  <c r="D1420" i="6" a="1"/>
  <c r="D1420" i="6" s="1"/>
  <c r="B1420" i="6"/>
  <c r="G1419" i="6"/>
  <c r="D1419" i="6" a="1"/>
  <c r="D1419" i="6" s="1"/>
  <c r="B1419" i="6"/>
  <c r="G1418" i="6"/>
  <c r="D1418" i="6" a="1"/>
  <c r="D1418" i="6" s="1"/>
  <c r="B1418" i="6"/>
  <c r="G1417" i="6"/>
  <c r="D1417" i="6"/>
  <c r="D1417" i="6" a="1"/>
  <c r="B1417" i="6"/>
  <c r="G1416" i="6"/>
  <c r="D1416" i="6"/>
  <c r="D1416" i="6" a="1"/>
  <c r="B1416" i="6"/>
  <c r="G1415" i="6"/>
  <c r="D1415" i="6" a="1"/>
  <c r="D1415" i="6" s="1"/>
  <c r="B1415" i="6"/>
  <c r="G1414" i="6"/>
  <c r="D1414" i="6"/>
  <c r="D1414" i="6" a="1"/>
  <c r="B1414" i="6"/>
  <c r="G1413" i="6"/>
  <c r="D1413" i="6" a="1"/>
  <c r="D1413" i="6" s="1"/>
  <c r="B1413" i="6"/>
  <c r="G1412" i="6"/>
  <c r="D1412" i="6" a="1"/>
  <c r="D1412" i="6" s="1"/>
  <c r="B1412" i="6"/>
  <c r="G1411" i="6"/>
  <c r="D1411" i="6"/>
  <c r="D1411" i="6" a="1"/>
  <c r="B1411" i="6"/>
  <c r="G1410" i="6"/>
  <c r="D1410" i="6" a="1"/>
  <c r="D1410" i="6" s="1"/>
  <c r="B1410" i="6"/>
  <c r="G1409" i="6"/>
  <c r="D1409" i="6" a="1"/>
  <c r="D1409" i="6" s="1"/>
  <c r="B1409" i="6"/>
  <c r="G1408" i="6"/>
  <c r="D1408" i="6"/>
  <c r="D1408" i="6" a="1"/>
  <c r="B1408" i="6"/>
  <c r="G1407" i="6"/>
  <c r="D1407" i="6" a="1"/>
  <c r="D1407" i="6" s="1"/>
  <c r="B1407" i="6"/>
  <c r="G1406" i="6"/>
  <c r="D1406" i="6" a="1"/>
  <c r="D1406" i="6" s="1"/>
  <c r="B1406" i="6"/>
  <c r="G1405" i="6"/>
  <c r="D1405" i="6"/>
  <c r="D1405" i="6" a="1"/>
  <c r="B1405" i="6"/>
  <c r="G1404" i="6"/>
  <c r="D1404" i="6"/>
  <c r="D1404" i="6" a="1"/>
  <c r="B1404" i="6"/>
  <c r="G1403" i="6"/>
  <c r="D1403" i="6" a="1"/>
  <c r="D1403" i="6" s="1"/>
  <c r="B1403" i="6"/>
  <c r="G1402" i="6"/>
  <c r="D1402" i="6" a="1"/>
  <c r="D1402" i="6" s="1"/>
  <c r="B1402" i="6"/>
  <c r="G1401" i="6"/>
  <c r="D1401" i="6"/>
  <c r="D1401" i="6" a="1"/>
  <c r="B1401" i="6"/>
  <c r="G1400" i="6"/>
  <c r="D1400" i="6" a="1"/>
  <c r="D1400" i="6" s="1"/>
  <c r="B1400" i="6"/>
  <c r="G1399" i="6"/>
  <c r="D1399" i="6" a="1"/>
  <c r="D1399" i="6" s="1"/>
  <c r="B1399" i="6"/>
  <c r="G1398" i="6"/>
  <c r="D1398" i="6"/>
  <c r="D1398" i="6" a="1"/>
  <c r="B1398" i="6"/>
  <c r="G1397" i="6"/>
  <c r="D1397" i="6" a="1"/>
  <c r="D1397" i="6" s="1"/>
  <c r="B1397" i="6"/>
  <c r="G1396" i="6"/>
  <c r="D1396" i="6"/>
  <c r="D1396" i="6" a="1"/>
  <c r="B1396" i="6"/>
  <c r="G1395" i="6"/>
  <c r="D1395" i="6"/>
  <c r="D1395" i="6" a="1"/>
  <c r="B1395" i="6"/>
  <c r="G1394" i="6"/>
  <c r="D1394" i="6" a="1"/>
  <c r="D1394" i="6" s="1"/>
  <c r="B1394" i="6"/>
  <c r="G1393" i="6"/>
  <c r="D1393" i="6" a="1"/>
  <c r="D1393" i="6" s="1"/>
  <c r="B1393" i="6"/>
  <c r="G1392" i="6"/>
  <c r="D1392" i="6" a="1"/>
  <c r="D1392" i="6" s="1"/>
  <c r="B1392" i="6"/>
  <c r="G1391" i="6"/>
  <c r="D1391" i="6" a="1"/>
  <c r="D1391" i="6" s="1"/>
  <c r="B1391" i="6"/>
  <c r="G1390" i="6"/>
  <c r="D1390" i="6" a="1"/>
  <c r="D1390" i="6" s="1"/>
  <c r="B1390" i="6"/>
  <c r="G1389" i="6"/>
  <c r="D1389" i="6" a="1"/>
  <c r="D1389" i="6" s="1"/>
  <c r="B1389" i="6"/>
  <c r="G1388" i="6"/>
  <c r="D1388" i="6" a="1"/>
  <c r="D1388" i="6" s="1"/>
  <c r="B1388" i="6"/>
  <c r="G1387" i="6"/>
  <c r="D1387" i="6" a="1"/>
  <c r="D1387" i="6" s="1"/>
  <c r="B1387" i="6"/>
  <c r="G1386" i="6"/>
  <c r="D1386" i="6" a="1"/>
  <c r="D1386" i="6" s="1"/>
  <c r="B1386" i="6"/>
  <c r="G1385" i="6"/>
  <c r="D1385" i="6" a="1"/>
  <c r="D1385" i="6" s="1"/>
  <c r="B1385" i="6"/>
  <c r="G1384" i="6"/>
  <c r="D1384" i="6" a="1"/>
  <c r="D1384" i="6" s="1"/>
  <c r="B1384" i="6"/>
  <c r="G1383" i="6"/>
  <c r="D1383" i="6" a="1"/>
  <c r="D1383" i="6" s="1"/>
  <c r="B1383" i="6"/>
  <c r="G1382" i="6"/>
  <c r="D1382" i="6" a="1"/>
  <c r="D1382" i="6" s="1"/>
  <c r="B1382" i="6"/>
  <c r="G1381" i="6"/>
  <c r="D1381" i="6"/>
  <c r="D1381" i="6" a="1"/>
  <c r="B1381" i="6"/>
  <c r="G1380" i="6"/>
  <c r="D1380" i="6" a="1"/>
  <c r="D1380" i="6" s="1"/>
  <c r="B1380" i="6"/>
  <c r="G1379" i="6"/>
  <c r="D1379" i="6" a="1"/>
  <c r="D1379" i="6" s="1"/>
  <c r="B1379" i="6"/>
  <c r="G1378" i="6"/>
  <c r="D1378" i="6"/>
  <c r="D1378" i="6" a="1"/>
  <c r="B1378" i="6"/>
  <c r="G1377" i="6"/>
  <c r="D1377" i="6" a="1"/>
  <c r="D1377" i="6" s="1"/>
  <c r="B1377" i="6"/>
  <c r="G1376" i="6"/>
  <c r="D1376" i="6" a="1"/>
  <c r="D1376" i="6" s="1"/>
  <c r="B1376" i="6"/>
  <c r="G1375" i="6"/>
  <c r="D1375" i="6"/>
  <c r="D1375" i="6" a="1"/>
  <c r="B1375" i="6"/>
  <c r="G1374" i="6"/>
  <c r="D1374" i="6" a="1"/>
  <c r="D1374" i="6" s="1"/>
  <c r="B1374" i="6"/>
  <c r="G1373" i="6"/>
  <c r="D1373" i="6" a="1"/>
  <c r="D1373" i="6" s="1"/>
  <c r="B1373" i="6"/>
  <c r="G1372" i="6"/>
  <c r="D1372" i="6"/>
  <c r="D1372" i="6" a="1"/>
  <c r="B1372" i="6"/>
  <c r="G1371" i="6"/>
  <c r="D1371" i="6" a="1"/>
  <c r="D1371" i="6" s="1"/>
  <c r="B1371" i="6"/>
  <c r="G1370" i="6"/>
  <c r="D1370" i="6" a="1"/>
  <c r="D1370" i="6" s="1"/>
  <c r="B1370" i="6"/>
  <c r="G1369" i="6"/>
  <c r="D1369" i="6" a="1"/>
  <c r="D1369" i="6" s="1"/>
  <c r="B1369" i="6"/>
  <c r="G1368" i="6"/>
  <c r="D1368" i="6"/>
  <c r="D1368" i="6" a="1"/>
  <c r="B1368" i="6"/>
  <c r="G1367" i="6"/>
  <c r="D1367" i="6" a="1"/>
  <c r="D1367" i="6" s="1"/>
  <c r="B1367" i="6"/>
  <c r="G1366" i="6"/>
  <c r="D1366" i="6"/>
  <c r="D1366" i="6" a="1"/>
  <c r="B1366" i="6"/>
  <c r="G1365" i="6"/>
  <c r="D1365" i="6"/>
  <c r="D1365" i="6" a="1"/>
  <c r="B1365" i="6"/>
  <c r="G1364" i="6"/>
  <c r="D1364" i="6" a="1"/>
  <c r="D1364" i="6" s="1"/>
  <c r="B1364" i="6"/>
  <c r="G1363" i="6"/>
  <c r="D1363" i="6" a="1"/>
  <c r="D1363" i="6" s="1"/>
  <c r="B1363" i="6"/>
  <c r="G1362" i="6"/>
  <c r="D1362" i="6"/>
  <c r="D1362" i="6" a="1"/>
  <c r="B1362" i="6"/>
  <c r="G1361" i="6"/>
  <c r="D1361" i="6" a="1"/>
  <c r="D1361" i="6" s="1"/>
  <c r="B1361" i="6"/>
  <c r="G1360" i="6"/>
  <c r="D1360" i="6" a="1"/>
  <c r="D1360" i="6" s="1"/>
  <c r="B1360" i="6"/>
  <c r="G1359" i="6"/>
  <c r="D1359" i="6" a="1"/>
  <c r="D1359" i="6" s="1"/>
  <c r="B1359" i="6"/>
  <c r="G1358" i="6"/>
  <c r="D1358" i="6" a="1"/>
  <c r="D1358" i="6" s="1"/>
  <c r="B1358" i="6"/>
  <c r="G1357" i="6"/>
  <c r="D1357" i="6"/>
  <c r="D1357" i="6" a="1"/>
  <c r="B1357" i="6"/>
  <c r="G1356" i="6"/>
  <c r="D1356" i="6" a="1"/>
  <c r="D1356" i="6" s="1"/>
  <c r="B1356" i="6"/>
  <c r="G1355" i="6"/>
  <c r="D1355" i="6" a="1"/>
  <c r="D1355" i="6" s="1"/>
  <c r="B1355" i="6"/>
  <c r="G1354" i="6"/>
  <c r="D1354" i="6" a="1"/>
  <c r="D1354" i="6" s="1"/>
  <c r="B1354" i="6"/>
  <c r="G1353" i="6"/>
  <c r="D1353" i="6"/>
  <c r="D1353" i="6" a="1"/>
  <c r="B1353" i="6"/>
  <c r="G1352" i="6"/>
  <c r="D1352" i="6" a="1"/>
  <c r="D1352" i="6" s="1"/>
  <c r="B1352" i="6"/>
  <c r="G1351" i="6"/>
  <c r="D1351" i="6" a="1"/>
  <c r="D1351" i="6" s="1"/>
  <c r="B1351" i="6"/>
  <c r="G1350" i="6"/>
  <c r="D1350" i="6"/>
  <c r="D1350" i="6" a="1"/>
  <c r="B1350" i="6"/>
  <c r="G1349" i="6"/>
  <c r="D1349" i="6" a="1"/>
  <c r="D1349" i="6" s="1"/>
  <c r="B1349" i="6"/>
  <c r="G1348" i="6"/>
  <c r="D1348" i="6" a="1"/>
  <c r="D1348" i="6" s="1"/>
  <c r="B1348" i="6"/>
  <c r="G1347" i="6"/>
  <c r="D1347" i="6" a="1"/>
  <c r="D1347" i="6" s="1"/>
  <c r="B1347" i="6"/>
  <c r="G1346" i="6"/>
  <c r="D1346" i="6" a="1"/>
  <c r="D1346" i="6" s="1"/>
  <c r="B1346" i="6"/>
  <c r="G1345" i="6"/>
  <c r="D1345" i="6"/>
  <c r="D1345" i="6" a="1"/>
  <c r="B1345" i="6"/>
  <c r="G1344" i="6"/>
  <c r="D1344" i="6" a="1"/>
  <c r="D1344" i="6" s="1"/>
  <c r="B1344" i="6"/>
  <c r="G1343" i="6"/>
  <c r="D1343" i="6" a="1"/>
  <c r="D1343" i="6" s="1"/>
  <c r="B1343" i="6"/>
  <c r="G1342" i="6"/>
  <c r="D1342" i="6"/>
  <c r="D1342" i="6" a="1"/>
  <c r="B1342" i="6"/>
  <c r="G1341" i="6"/>
  <c r="D1341" i="6" a="1"/>
  <c r="D1341" i="6" s="1"/>
  <c r="B1341" i="6"/>
  <c r="G1340" i="6"/>
  <c r="D1340" i="6" a="1"/>
  <c r="D1340" i="6" s="1"/>
  <c r="B1340" i="6"/>
  <c r="G1339" i="6"/>
  <c r="D1339" i="6"/>
  <c r="D1339" i="6" a="1"/>
  <c r="B1339" i="6"/>
  <c r="G1338" i="6"/>
  <c r="D1338" i="6" a="1"/>
  <c r="D1338" i="6" s="1"/>
  <c r="B1338" i="6"/>
  <c r="G1337" i="6"/>
  <c r="D1337" i="6" a="1"/>
  <c r="D1337" i="6" s="1"/>
  <c r="B1337" i="6"/>
  <c r="G1336" i="6"/>
  <c r="D1336" i="6" a="1"/>
  <c r="D1336" i="6" s="1"/>
  <c r="B1336" i="6"/>
  <c r="G1335" i="6"/>
  <c r="D1335" i="6" a="1"/>
  <c r="D1335" i="6" s="1"/>
  <c r="B1335" i="6"/>
  <c r="G1334" i="6"/>
  <c r="D1334" i="6" a="1"/>
  <c r="D1334" i="6" s="1"/>
  <c r="B1334" i="6"/>
  <c r="G1333" i="6"/>
  <c r="D1333" i="6"/>
  <c r="D1333" i="6" a="1"/>
  <c r="B1333" i="6"/>
  <c r="G1332" i="6"/>
  <c r="D1332" i="6"/>
  <c r="D1332" i="6" a="1"/>
  <c r="B1332" i="6"/>
  <c r="G1331" i="6"/>
  <c r="D1331" i="6" a="1"/>
  <c r="D1331" i="6" s="1"/>
  <c r="B1331" i="6"/>
  <c r="G1330" i="6"/>
  <c r="D1330" i="6"/>
  <c r="D1330" i="6" a="1"/>
  <c r="B1330" i="6"/>
  <c r="G1329" i="6"/>
  <c r="D1329" i="6"/>
  <c r="D1329" i="6" a="1"/>
  <c r="B1329" i="6"/>
  <c r="G1328" i="6"/>
  <c r="D1328" i="6" a="1"/>
  <c r="D1328" i="6" s="1"/>
  <c r="B1328" i="6"/>
  <c r="G1327" i="6"/>
  <c r="D1327" i="6" a="1"/>
  <c r="D1327" i="6" s="1"/>
  <c r="B1327" i="6"/>
  <c r="G1326" i="6"/>
  <c r="D1326" i="6"/>
  <c r="D1326" i="6" a="1"/>
  <c r="B1326" i="6"/>
  <c r="G1325" i="6"/>
  <c r="D1325" i="6" a="1"/>
  <c r="D1325" i="6" s="1"/>
  <c r="B1325" i="6"/>
  <c r="G1324" i="6"/>
  <c r="D1324" i="6" a="1"/>
  <c r="D1324" i="6" s="1"/>
  <c r="B1324" i="6"/>
  <c r="G1323" i="6"/>
  <c r="D1323" i="6"/>
  <c r="D1323" i="6" a="1"/>
  <c r="B1323" i="6"/>
  <c r="G1322" i="6"/>
  <c r="D1322" i="6" a="1"/>
  <c r="D1322" i="6" s="1"/>
  <c r="B1322" i="6"/>
  <c r="G1321" i="6"/>
  <c r="D1321" i="6" a="1"/>
  <c r="D1321" i="6" s="1"/>
  <c r="B1321" i="6"/>
  <c r="G1320" i="6"/>
  <c r="D1320" i="6" a="1"/>
  <c r="D1320" i="6" s="1"/>
  <c r="B1320" i="6"/>
  <c r="G1319" i="6"/>
  <c r="D1319" i="6" a="1"/>
  <c r="D1319" i="6" s="1"/>
  <c r="B1319" i="6"/>
  <c r="G1318" i="6"/>
  <c r="D1318" i="6" a="1"/>
  <c r="D1318" i="6" s="1"/>
  <c r="B1318" i="6"/>
  <c r="G1317" i="6"/>
  <c r="D1317" i="6" a="1"/>
  <c r="D1317" i="6" s="1"/>
  <c r="B1317" i="6"/>
  <c r="G1316" i="6"/>
  <c r="D1316" i="6" a="1"/>
  <c r="D1316" i="6" s="1"/>
  <c r="B1316" i="6"/>
  <c r="G1315" i="6"/>
  <c r="D1315" i="6"/>
  <c r="D1315" i="6" a="1"/>
  <c r="B1315" i="6"/>
  <c r="G1314" i="6"/>
  <c r="D1314" i="6" a="1"/>
  <c r="D1314" i="6" s="1"/>
  <c r="B1314" i="6"/>
  <c r="G1313" i="6"/>
  <c r="D1313" i="6" a="1"/>
  <c r="D1313" i="6" s="1"/>
  <c r="B1313" i="6"/>
  <c r="G1312" i="6"/>
  <c r="D1312" i="6" a="1"/>
  <c r="D1312" i="6" s="1"/>
  <c r="B1312" i="6"/>
  <c r="G1311" i="6"/>
  <c r="D1311" i="6" a="1"/>
  <c r="D1311" i="6" s="1"/>
  <c r="B1311" i="6"/>
  <c r="G1310" i="6"/>
  <c r="D1310" i="6" a="1"/>
  <c r="D1310" i="6" s="1"/>
  <c r="B1310" i="6"/>
  <c r="G1309" i="6"/>
  <c r="D1309" i="6"/>
  <c r="D1309" i="6" a="1"/>
  <c r="B1309" i="6"/>
  <c r="G1308" i="6"/>
  <c r="D1308" i="6" a="1"/>
  <c r="D1308" i="6" s="1"/>
  <c r="B1308" i="6"/>
  <c r="G1307" i="6"/>
  <c r="D1307" i="6" a="1"/>
  <c r="D1307" i="6" s="1"/>
  <c r="B1307" i="6"/>
  <c r="G1306" i="6"/>
  <c r="D1306" i="6"/>
  <c r="D1306" i="6" a="1"/>
  <c r="B1306" i="6"/>
  <c r="G1305" i="6"/>
  <c r="D1305" i="6"/>
  <c r="D1305" i="6" a="1"/>
  <c r="B1305" i="6"/>
  <c r="G1304" i="6"/>
  <c r="D1304" i="6" a="1"/>
  <c r="D1304" i="6" s="1"/>
  <c r="B1304" i="6"/>
  <c r="G1303" i="6"/>
  <c r="D1303" i="6"/>
  <c r="D1303" i="6" a="1"/>
  <c r="B1303" i="6"/>
  <c r="G1302" i="6"/>
  <c r="D1302" i="6"/>
  <c r="D1302" i="6" a="1"/>
  <c r="B1302" i="6"/>
  <c r="G1301" i="6"/>
  <c r="D1301" i="6" a="1"/>
  <c r="D1301" i="6" s="1"/>
  <c r="B1301" i="6"/>
  <c r="G1300" i="6"/>
  <c r="D1300" i="6" a="1"/>
  <c r="D1300" i="6" s="1"/>
  <c r="B1300" i="6"/>
  <c r="G1299" i="6"/>
  <c r="D1299" i="6" a="1"/>
  <c r="D1299" i="6" s="1"/>
  <c r="B1299" i="6"/>
  <c r="G1298" i="6"/>
  <c r="D1298" i="6" a="1"/>
  <c r="D1298" i="6" s="1"/>
  <c r="B1298" i="6"/>
  <c r="G1297" i="6"/>
  <c r="D1297" i="6"/>
  <c r="D1297" i="6" a="1"/>
  <c r="B1297" i="6"/>
  <c r="G1296" i="6"/>
  <c r="D1296" i="6"/>
  <c r="D1296" i="6" a="1"/>
  <c r="B1296" i="6"/>
  <c r="G1295" i="6"/>
  <c r="D1295" i="6" a="1"/>
  <c r="D1295" i="6" s="1"/>
  <c r="B1295" i="6"/>
  <c r="G1294" i="6"/>
  <c r="D1294" i="6" a="1"/>
  <c r="D1294" i="6" s="1"/>
  <c r="B1294" i="6"/>
  <c r="G1293" i="6"/>
  <c r="D1293" i="6"/>
  <c r="D1293" i="6" a="1"/>
  <c r="B1293" i="6"/>
  <c r="G1292" i="6"/>
  <c r="D1292" i="6" a="1"/>
  <c r="D1292" i="6" s="1"/>
  <c r="B1292" i="6"/>
  <c r="G1291" i="6"/>
  <c r="D1291" i="6" a="1"/>
  <c r="D1291" i="6" s="1"/>
  <c r="B1291" i="6"/>
  <c r="G1290" i="6"/>
  <c r="D1290" i="6"/>
  <c r="D1290" i="6" a="1"/>
  <c r="B1290" i="6"/>
  <c r="G1289" i="6"/>
  <c r="D1289" i="6" a="1"/>
  <c r="D1289" i="6" s="1"/>
  <c r="B1289" i="6"/>
  <c r="G1288" i="6"/>
  <c r="D1288" i="6" a="1"/>
  <c r="D1288" i="6" s="1"/>
  <c r="B1288" i="6"/>
  <c r="G1287" i="6"/>
  <c r="D1287" i="6" a="1"/>
  <c r="D1287" i="6" s="1"/>
  <c r="B1287" i="6"/>
  <c r="G1286" i="6"/>
  <c r="D1286" i="6" a="1"/>
  <c r="D1286" i="6" s="1"/>
  <c r="B1286" i="6"/>
  <c r="G1285" i="6"/>
  <c r="D1285" i="6"/>
  <c r="D1285" i="6" a="1"/>
  <c r="B1285" i="6"/>
  <c r="G1284" i="6"/>
  <c r="D1284" i="6" a="1"/>
  <c r="D1284" i="6" s="1"/>
  <c r="B1284" i="6"/>
  <c r="G1283" i="6"/>
  <c r="D1283" i="6" a="1"/>
  <c r="D1283" i="6" s="1"/>
  <c r="B1283" i="6"/>
  <c r="G1282" i="6"/>
  <c r="D1282" i="6"/>
  <c r="D1282" i="6" a="1"/>
  <c r="B1282" i="6"/>
  <c r="G1281" i="6"/>
  <c r="D1281" i="6" a="1"/>
  <c r="D1281" i="6" s="1"/>
  <c r="B1281" i="6"/>
  <c r="G1280" i="6"/>
  <c r="D1280" i="6" a="1"/>
  <c r="D1280" i="6" s="1"/>
  <c r="B1280" i="6"/>
  <c r="G1279" i="6"/>
  <c r="D1279" i="6" a="1"/>
  <c r="D1279" i="6" s="1"/>
  <c r="B1279" i="6"/>
  <c r="G1278" i="6"/>
  <c r="D1278" i="6" a="1"/>
  <c r="D1278" i="6" s="1"/>
  <c r="B1278" i="6"/>
  <c r="G1277" i="6"/>
  <c r="D1277" i="6" a="1"/>
  <c r="D1277" i="6" s="1"/>
  <c r="B1277" i="6"/>
  <c r="G1276" i="6"/>
  <c r="D1276" i="6" a="1"/>
  <c r="D1276" i="6" s="1"/>
  <c r="B1276" i="6"/>
  <c r="G1275" i="6"/>
  <c r="D1275" i="6"/>
  <c r="D1275" i="6" a="1"/>
  <c r="B1275" i="6"/>
  <c r="G1274" i="6"/>
  <c r="D1274" i="6" a="1"/>
  <c r="D1274" i="6" s="1"/>
  <c r="B1274" i="6"/>
  <c r="G1273" i="6"/>
  <c r="D1273" i="6"/>
  <c r="D1273" i="6" a="1"/>
  <c r="B1273" i="6"/>
  <c r="G1272" i="6"/>
  <c r="D1272" i="6"/>
  <c r="D1272" i="6" a="1"/>
  <c r="B1272" i="6"/>
  <c r="G1271" i="6"/>
  <c r="D1271" i="6" a="1"/>
  <c r="D1271" i="6" s="1"/>
  <c r="B1271" i="6"/>
  <c r="G1270" i="6"/>
  <c r="D1270" i="6"/>
  <c r="D1270" i="6" a="1"/>
  <c r="B1270" i="6"/>
  <c r="G1269" i="6"/>
  <c r="D1269" i="6" a="1"/>
  <c r="D1269" i="6" s="1"/>
  <c r="B1269" i="6"/>
  <c r="G1268" i="6"/>
  <c r="D1268" i="6" a="1"/>
  <c r="D1268" i="6" s="1"/>
  <c r="B1268" i="6"/>
  <c r="G1267" i="6"/>
  <c r="D1267" i="6" a="1"/>
  <c r="D1267" i="6" s="1"/>
  <c r="B1267" i="6"/>
  <c r="G1266" i="6"/>
  <c r="D1266" i="6"/>
  <c r="D1266" i="6" a="1"/>
  <c r="B1266" i="6"/>
  <c r="G1265" i="6"/>
  <c r="D1265" i="6" a="1"/>
  <c r="D1265" i="6" s="1"/>
  <c r="B1265" i="6"/>
  <c r="G1264" i="6"/>
  <c r="D1264" i="6"/>
  <c r="D1264" i="6" a="1"/>
  <c r="B1264" i="6"/>
  <c r="G1263" i="6"/>
  <c r="D1263" i="6" a="1"/>
  <c r="D1263" i="6" s="1"/>
  <c r="B1263" i="6"/>
  <c r="G1262" i="6"/>
  <c r="D1262" i="6" a="1"/>
  <c r="D1262" i="6" s="1"/>
  <c r="B1262" i="6"/>
  <c r="G1261" i="6"/>
  <c r="D1261" i="6" a="1"/>
  <c r="D1261" i="6" s="1"/>
  <c r="B1261" i="6"/>
  <c r="G1260" i="6"/>
  <c r="D1260" i="6"/>
  <c r="D1260" i="6" a="1"/>
  <c r="B1260" i="6"/>
  <c r="G1259" i="6"/>
  <c r="D1259" i="6" a="1"/>
  <c r="D1259" i="6" s="1"/>
  <c r="B1259" i="6"/>
  <c r="G1258" i="6"/>
  <c r="D1258" i="6" a="1"/>
  <c r="D1258" i="6" s="1"/>
  <c r="B1258" i="6"/>
  <c r="G1257" i="6"/>
  <c r="D1257" i="6"/>
  <c r="D1257" i="6" a="1"/>
  <c r="B1257" i="6"/>
  <c r="G1256" i="6"/>
  <c r="D1256" i="6" a="1"/>
  <c r="D1256" i="6" s="1"/>
  <c r="B1256" i="6"/>
  <c r="G1255" i="6"/>
  <c r="D1255" i="6"/>
  <c r="D1255" i="6" a="1"/>
  <c r="B1255" i="6"/>
  <c r="G1254" i="6"/>
  <c r="D1254" i="6" a="1"/>
  <c r="D1254" i="6" s="1"/>
  <c r="B1254" i="6"/>
  <c r="G1253" i="6"/>
  <c r="D1253" i="6" a="1"/>
  <c r="D1253" i="6" s="1"/>
  <c r="B1253" i="6"/>
  <c r="G1252" i="6"/>
  <c r="D1252" i="6"/>
  <c r="D1252" i="6" a="1"/>
  <c r="B1252" i="6"/>
  <c r="G1251" i="6"/>
  <c r="D1251" i="6" a="1"/>
  <c r="D1251" i="6" s="1"/>
  <c r="B1251" i="6"/>
  <c r="G1250" i="6"/>
  <c r="D1250" i="6" a="1"/>
  <c r="D1250" i="6" s="1"/>
  <c r="B1250" i="6"/>
  <c r="G1249" i="6"/>
  <c r="D1249" i="6" a="1"/>
  <c r="D1249" i="6" s="1"/>
  <c r="B1249" i="6"/>
  <c r="G1248" i="6"/>
  <c r="D1248" i="6" a="1"/>
  <c r="D1248" i="6" s="1"/>
  <c r="B1248" i="6"/>
  <c r="G1247" i="6"/>
  <c r="D1247" i="6" a="1"/>
  <c r="D1247" i="6" s="1"/>
  <c r="B1247" i="6"/>
  <c r="G1246" i="6"/>
  <c r="D1246" i="6" a="1"/>
  <c r="D1246" i="6" s="1"/>
  <c r="B1246" i="6"/>
  <c r="G1245" i="6"/>
  <c r="D1245" i="6" a="1"/>
  <c r="D1245" i="6" s="1"/>
  <c r="B1245" i="6"/>
  <c r="G1244" i="6"/>
  <c r="D1244" i="6" a="1"/>
  <c r="D1244" i="6" s="1"/>
  <c r="B1244" i="6"/>
  <c r="G1243" i="6"/>
  <c r="D1243" i="6" a="1"/>
  <c r="D1243" i="6" s="1"/>
  <c r="B1243" i="6"/>
  <c r="G1242" i="6"/>
  <c r="D1242" i="6"/>
  <c r="D1242" i="6" a="1"/>
  <c r="B1242" i="6"/>
  <c r="G1241" i="6"/>
  <c r="D1241" i="6" a="1"/>
  <c r="D1241" i="6" s="1"/>
  <c r="B1241" i="6"/>
  <c r="G1240" i="6"/>
  <c r="D1240" i="6" a="1"/>
  <c r="D1240" i="6" s="1"/>
  <c r="B1240" i="6"/>
  <c r="G1239" i="6"/>
  <c r="D1239" i="6"/>
  <c r="D1239" i="6" a="1"/>
  <c r="B1239" i="6"/>
  <c r="G1238" i="6"/>
  <c r="D1238" i="6" a="1"/>
  <c r="D1238" i="6" s="1"/>
  <c r="B1238" i="6"/>
  <c r="G1237" i="6"/>
  <c r="D1237" i="6"/>
  <c r="D1237" i="6" a="1"/>
  <c r="B1237" i="6"/>
  <c r="G1236" i="6"/>
  <c r="D1236" i="6" a="1"/>
  <c r="D1236" i="6" s="1"/>
  <c r="B1236" i="6"/>
  <c r="G1235" i="6"/>
  <c r="D1235" i="6" a="1"/>
  <c r="D1235" i="6" s="1"/>
  <c r="B1235" i="6"/>
  <c r="G1234" i="6"/>
  <c r="D1234" i="6"/>
  <c r="D1234" i="6" a="1"/>
  <c r="B1234" i="6"/>
  <c r="G1233" i="6"/>
  <c r="D1233" i="6" a="1"/>
  <c r="D1233" i="6" s="1"/>
  <c r="B1233" i="6"/>
  <c r="G1232" i="6"/>
  <c r="D1232" i="6" a="1"/>
  <c r="D1232" i="6" s="1"/>
  <c r="B1232" i="6"/>
  <c r="G1231" i="6"/>
  <c r="D1231" i="6" a="1"/>
  <c r="D1231" i="6" s="1"/>
  <c r="B1231" i="6"/>
  <c r="G1230" i="6"/>
  <c r="D1230" i="6"/>
  <c r="D1230" i="6" a="1"/>
  <c r="B1230" i="6"/>
  <c r="G1229" i="6"/>
  <c r="D1229" i="6" a="1"/>
  <c r="D1229" i="6" s="1"/>
  <c r="B1229" i="6"/>
  <c r="G1228" i="6"/>
  <c r="D1228" i="6" a="1"/>
  <c r="D1228" i="6" s="1"/>
  <c r="B1228" i="6"/>
  <c r="G1227" i="6"/>
  <c r="D1227" i="6" a="1"/>
  <c r="D1227" i="6" s="1"/>
  <c r="B1227" i="6"/>
  <c r="G1226" i="6"/>
  <c r="D1226" i="6" a="1"/>
  <c r="D1226" i="6" s="1"/>
  <c r="B1226" i="6"/>
  <c r="G1225" i="6"/>
  <c r="D1225" i="6"/>
  <c r="D1225" i="6" a="1"/>
  <c r="B1225" i="6"/>
  <c r="G1224" i="6"/>
  <c r="D1224" i="6"/>
  <c r="D1224" i="6" a="1"/>
  <c r="B1224" i="6"/>
  <c r="G1223" i="6"/>
  <c r="D1223" i="6" a="1"/>
  <c r="D1223" i="6" s="1"/>
  <c r="B1223" i="6"/>
  <c r="G1222" i="6"/>
  <c r="D1222" i="6"/>
  <c r="D1222" i="6" a="1"/>
  <c r="B1222" i="6"/>
  <c r="G1221" i="6"/>
  <c r="D1221" i="6"/>
  <c r="D1221" i="6" a="1"/>
  <c r="B1221" i="6"/>
  <c r="G1220" i="6"/>
  <c r="D1220" i="6" a="1"/>
  <c r="D1220" i="6" s="1"/>
  <c r="B1220" i="6"/>
  <c r="G1219" i="6"/>
  <c r="D1219" i="6" a="1"/>
  <c r="D1219" i="6" s="1"/>
  <c r="B1219" i="6"/>
  <c r="G1218" i="6"/>
  <c r="D1218" i="6" a="1"/>
  <c r="D1218" i="6" s="1"/>
  <c r="B1218" i="6"/>
  <c r="G1217" i="6"/>
  <c r="D1217" i="6" a="1"/>
  <c r="D1217" i="6" s="1"/>
  <c r="B1217" i="6"/>
  <c r="G1216" i="6"/>
  <c r="D1216" i="6" a="1"/>
  <c r="D1216" i="6" s="1"/>
  <c r="B1216" i="6"/>
  <c r="G1215" i="6"/>
  <c r="D1215" i="6" a="1"/>
  <c r="D1215" i="6" s="1"/>
  <c r="B1215" i="6"/>
  <c r="G1214" i="6"/>
  <c r="D1214" i="6" a="1"/>
  <c r="D1214" i="6" s="1"/>
  <c r="B1214" i="6"/>
  <c r="G1213" i="6"/>
  <c r="D1213" i="6" a="1"/>
  <c r="D1213" i="6" s="1"/>
  <c r="B1213" i="6"/>
  <c r="G1212" i="6"/>
  <c r="D1212" i="6"/>
  <c r="D1212" i="6" a="1"/>
  <c r="B1212" i="6"/>
  <c r="G1211" i="6"/>
  <c r="D1211" i="6" a="1"/>
  <c r="D1211" i="6" s="1"/>
  <c r="B1211" i="6"/>
  <c r="G1210" i="6"/>
  <c r="D1210" i="6"/>
  <c r="D1210" i="6" a="1"/>
  <c r="B1210" i="6"/>
  <c r="G1209" i="6"/>
  <c r="D1209" i="6"/>
  <c r="D1209" i="6" a="1"/>
  <c r="B1209" i="6"/>
  <c r="G1208" i="6"/>
  <c r="D1208" i="6" a="1"/>
  <c r="D1208" i="6" s="1"/>
  <c r="B1208" i="6"/>
  <c r="G1207" i="6"/>
  <c r="D1207" i="6" a="1"/>
  <c r="D1207" i="6" s="1"/>
  <c r="B1207" i="6"/>
  <c r="G1206" i="6"/>
  <c r="D1206" i="6" a="1"/>
  <c r="D1206" i="6" s="1"/>
  <c r="B1206" i="6"/>
  <c r="G1205" i="6"/>
  <c r="D1205" i="6" a="1"/>
  <c r="D1205" i="6" s="1"/>
  <c r="B1205" i="6"/>
  <c r="G1204" i="6"/>
  <c r="D1204" i="6" a="1"/>
  <c r="D1204" i="6" s="1"/>
  <c r="B1204" i="6"/>
  <c r="G1203" i="6"/>
  <c r="D1203" i="6" a="1"/>
  <c r="D1203" i="6" s="1"/>
  <c r="B1203" i="6"/>
  <c r="G1202" i="6"/>
  <c r="D1202" i="6" a="1"/>
  <c r="D1202" i="6" s="1"/>
  <c r="B1202" i="6"/>
  <c r="G1201" i="6"/>
  <c r="D1201" i="6"/>
  <c r="D1201" i="6" a="1"/>
  <c r="B1201" i="6"/>
  <c r="G1200" i="6"/>
  <c r="D1200" i="6"/>
  <c r="D1200" i="6" a="1"/>
  <c r="B1200" i="6"/>
  <c r="G1199" i="6"/>
  <c r="D1199" i="6" a="1"/>
  <c r="D1199" i="6" s="1"/>
  <c r="B1199" i="6"/>
  <c r="G1198" i="6"/>
  <c r="D1198" i="6"/>
  <c r="D1198" i="6" a="1"/>
  <c r="B1198" i="6"/>
  <c r="G1197" i="6"/>
  <c r="D1197" i="6" a="1"/>
  <c r="D1197" i="6" s="1"/>
  <c r="B1197" i="6"/>
  <c r="G1196" i="6"/>
  <c r="D1196" i="6" a="1"/>
  <c r="D1196" i="6" s="1"/>
  <c r="B1196" i="6"/>
  <c r="G1195" i="6"/>
  <c r="D1195" i="6" a="1"/>
  <c r="D1195" i="6" s="1"/>
  <c r="B1195" i="6"/>
  <c r="G1194" i="6"/>
  <c r="D1194" i="6" a="1"/>
  <c r="D1194" i="6" s="1"/>
  <c r="B1194" i="6"/>
  <c r="G1193" i="6"/>
  <c r="D1193" i="6" a="1"/>
  <c r="D1193" i="6" s="1"/>
  <c r="B1193" i="6"/>
  <c r="G1192" i="6"/>
  <c r="D1192" i="6"/>
  <c r="D1192" i="6" a="1"/>
  <c r="B1192" i="6"/>
  <c r="G1191" i="6"/>
  <c r="D1191" i="6" a="1"/>
  <c r="D1191" i="6" s="1"/>
  <c r="B1191" i="6"/>
  <c r="G1190" i="6"/>
  <c r="D1190" i="6" a="1"/>
  <c r="D1190" i="6" s="1"/>
  <c r="B1190" i="6"/>
  <c r="G1189" i="6"/>
  <c r="D1189" i="6"/>
  <c r="D1189" i="6" a="1"/>
  <c r="B1189" i="6"/>
  <c r="G1188" i="6"/>
  <c r="D1188" i="6"/>
  <c r="D1188" i="6" a="1"/>
  <c r="B1188" i="6"/>
  <c r="G1187" i="6"/>
  <c r="D1187" i="6" a="1"/>
  <c r="D1187" i="6" s="1"/>
  <c r="B1187" i="6"/>
  <c r="G1186" i="6"/>
  <c r="D1186" i="6"/>
  <c r="D1186" i="6" a="1"/>
  <c r="B1186" i="6"/>
  <c r="G1185" i="6"/>
  <c r="D1185" i="6"/>
  <c r="D1185" i="6" a="1"/>
  <c r="B1185" i="6"/>
  <c r="G1184" i="6"/>
  <c r="D1184" i="6" a="1"/>
  <c r="D1184" i="6" s="1"/>
  <c r="B1184" i="6"/>
  <c r="G1183" i="6"/>
  <c r="D1183" i="6" a="1"/>
  <c r="D1183" i="6" s="1"/>
  <c r="B1183" i="6"/>
  <c r="G1182" i="6"/>
  <c r="D1182" i="6"/>
  <c r="D1182" i="6" a="1"/>
  <c r="B1182" i="6"/>
  <c r="G1181" i="6"/>
  <c r="D1181" i="6" a="1"/>
  <c r="D1181" i="6" s="1"/>
  <c r="B1181" i="6"/>
  <c r="G1180" i="6"/>
  <c r="D1180" i="6"/>
  <c r="D1180" i="6" a="1"/>
  <c r="B1180" i="6"/>
  <c r="G1179" i="6"/>
  <c r="D1179" i="6"/>
  <c r="D1179" i="6" a="1"/>
  <c r="B1179" i="6"/>
  <c r="G1178" i="6"/>
  <c r="D1178" i="6" a="1"/>
  <c r="D1178" i="6" s="1"/>
  <c r="B1178" i="6"/>
  <c r="G1177" i="6"/>
  <c r="D1177" i="6" a="1"/>
  <c r="D1177" i="6" s="1"/>
  <c r="B1177" i="6"/>
  <c r="G1176" i="6"/>
  <c r="D1176" i="6"/>
  <c r="D1176" i="6" a="1"/>
  <c r="B1176" i="6"/>
  <c r="G1175" i="6"/>
  <c r="D1175" i="6" a="1"/>
  <c r="D1175" i="6" s="1"/>
  <c r="B1175" i="6"/>
  <c r="G1174" i="6"/>
  <c r="D1174" i="6" a="1"/>
  <c r="D1174" i="6" s="1"/>
  <c r="B1174" i="6"/>
  <c r="G1173" i="6"/>
  <c r="D1173" i="6" a="1"/>
  <c r="D1173" i="6" s="1"/>
  <c r="B1173" i="6"/>
  <c r="G1172" i="6"/>
  <c r="D1172" i="6" a="1"/>
  <c r="D1172" i="6" s="1"/>
  <c r="B1172" i="6"/>
  <c r="G1171" i="6"/>
  <c r="D1171" i="6" a="1"/>
  <c r="D1171" i="6" s="1"/>
  <c r="B1171" i="6"/>
  <c r="G1170" i="6"/>
  <c r="D1170" i="6" a="1"/>
  <c r="D1170" i="6" s="1"/>
  <c r="B1170" i="6"/>
  <c r="G1169" i="6"/>
  <c r="D1169" i="6" a="1"/>
  <c r="D1169" i="6" s="1"/>
  <c r="B1169" i="6"/>
  <c r="G1168" i="6"/>
  <c r="D1168" i="6" a="1"/>
  <c r="D1168" i="6" s="1"/>
  <c r="B1168" i="6"/>
  <c r="G1167" i="6"/>
  <c r="D1167" i="6" a="1"/>
  <c r="D1167" i="6" s="1"/>
  <c r="B1167" i="6"/>
  <c r="G1166" i="6"/>
  <c r="D1166" i="6" a="1"/>
  <c r="D1166" i="6" s="1"/>
  <c r="B1166" i="6"/>
  <c r="G1165" i="6"/>
  <c r="D1165" i="6"/>
  <c r="D1165" i="6" a="1"/>
  <c r="B1165" i="6"/>
  <c r="G1164" i="6"/>
  <c r="D1164" i="6" a="1"/>
  <c r="D1164" i="6" s="1"/>
  <c r="B1164" i="6"/>
  <c r="G1163" i="6"/>
  <c r="D1163" i="6" a="1"/>
  <c r="D1163" i="6" s="1"/>
  <c r="B1163" i="6"/>
  <c r="G1162" i="6"/>
  <c r="D1162" i="6"/>
  <c r="D1162" i="6" a="1"/>
  <c r="B1162" i="6"/>
  <c r="G1161" i="6"/>
  <c r="D1161" i="6" a="1"/>
  <c r="D1161" i="6" s="1"/>
  <c r="B1161" i="6"/>
  <c r="G1160" i="6"/>
  <c r="D1160" i="6" a="1"/>
  <c r="D1160" i="6" s="1"/>
  <c r="B1160" i="6"/>
  <c r="G1159" i="6"/>
  <c r="D1159" i="6"/>
  <c r="D1159" i="6" a="1"/>
  <c r="B1159" i="6"/>
  <c r="G1158" i="6"/>
  <c r="D1158" i="6" a="1"/>
  <c r="D1158" i="6" s="1"/>
  <c r="B1158" i="6"/>
  <c r="G1157" i="6"/>
  <c r="D1157" i="6" a="1"/>
  <c r="D1157" i="6" s="1"/>
  <c r="B1157" i="6"/>
  <c r="G1156" i="6"/>
  <c r="D1156" i="6" a="1"/>
  <c r="D1156" i="6" s="1"/>
  <c r="B1156" i="6"/>
  <c r="G1155" i="6"/>
  <c r="D1155" i="6" a="1"/>
  <c r="D1155" i="6" s="1"/>
  <c r="B1155" i="6"/>
  <c r="G1154" i="6"/>
  <c r="D1154" i="6" a="1"/>
  <c r="D1154" i="6" s="1"/>
  <c r="B1154" i="6"/>
  <c r="G1153" i="6"/>
  <c r="D1153" i="6" a="1"/>
  <c r="D1153" i="6" s="1"/>
  <c r="B1153" i="6"/>
  <c r="G1152" i="6"/>
  <c r="D1152" i="6"/>
  <c r="D1152" i="6" a="1"/>
  <c r="B1152" i="6"/>
  <c r="G1151" i="6"/>
  <c r="D1151" i="6" a="1"/>
  <c r="D1151" i="6" s="1"/>
  <c r="B1151" i="6"/>
  <c r="G1150" i="6"/>
  <c r="D1150" i="6"/>
  <c r="D1150" i="6" a="1"/>
  <c r="B1150" i="6"/>
  <c r="G1149" i="6"/>
  <c r="D1149" i="6"/>
  <c r="D1149" i="6" a="1"/>
  <c r="B1149" i="6"/>
  <c r="G1148" i="6"/>
  <c r="D1148" i="6" a="1"/>
  <c r="D1148" i="6" s="1"/>
  <c r="B1148" i="6"/>
  <c r="G1147" i="6"/>
  <c r="D1147" i="6" a="1"/>
  <c r="D1147" i="6" s="1"/>
  <c r="B1147" i="6"/>
  <c r="G1146" i="6"/>
  <c r="D1146" i="6"/>
  <c r="D1146" i="6" a="1"/>
  <c r="B1146" i="6"/>
  <c r="G1145" i="6"/>
  <c r="D1145" i="6" a="1"/>
  <c r="D1145" i="6" s="1"/>
  <c r="B1145" i="6"/>
  <c r="G1144" i="6"/>
  <c r="D1144" i="6" a="1"/>
  <c r="D1144" i="6" s="1"/>
  <c r="B1144" i="6"/>
  <c r="G1143" i="6"/>
  <c r="D1143" i="6" a="1"/>
  <c r="D1143" i="6" s="1"/>
  <c r="B1143" i="6"/>
  <c r="G1142" i="6"/>
  <c r="D1142" i="6" a="1"/>
  <c r="D1142" i="6" s="1"/>
  <c r="B1142" i="6"/>
  <c r="G1141" i="6"/>
  <c r="D1141" i="6" a="1"/>
  <c r="D1141" i="6" s="1"/>
  <c r="B1141" i="6"/>
  <c r="G1140" i="6"/>
  <c r="D1140" i="6" a="1"/>
  <c r="D1140" i="6" s="1"/>
  <c r="B1140" i="6"/>
  <c r="G1139" i="6"/>
  <c r="D1139" i="6" a="1"/>
  <c r="D1139" i="6" s="1"/>
  <c r="B1139" i="6"/>
  <c r="G1138" i="6"/>
  <c r="D1138" i="6" a="1"/>
  <c r="D1138" i="6" s="1"/>
  <c r="B1138" i="6"/>
  <c r="G1137" i="6"/>
  <c r="D1137" i="6"/>
  <c r="D1137" i="6" a="1"/>
  <c r="B1137" i="6"/>
  <c r="G1136" i="6"/>
  <c r="D1136" i="6" a="1"/>
  <c r="D1136" i="6" s="1"/>
  <c r="B1136" i="6"/>
  <c r="G1135" i="6"/>
  <c r="D1135" i="6" a="1"/>
  <c r="D1135" i="6" s="1"/>
  <c r="B1135" i="6"/>
  <c r="G1134" i="6"/>
  <c r="D1134" i="6"/>
  <c r="D1134" i="6" a="1"/>
  <c r="B1134" i="6"/>
  <c r="G1133" i="6"/>
  <c r="D1133" i="6" a="1"/>
  <c r="D1133" i="6" s="1"/>
  <c r="B1133" i="6"/>
  <c r="G1132" i="6"/>
  <c r="D1132" i="6" a="1"/>
  <c r="D1132" i="6" s="1"/>
  <c r="B1132" i="6"/>
  <c r="G1131" i="6"/>
  <c r="D1131" i="6" a="1"/>
  <c r="D1131" i="6" s="1"/>
  <c r="B1131" i="6"/>
  <c r="G1130" i="6"/>
  <c r="D1130" i="6" a="1"/>
  <c r="D1130" i="6" s="1"/>
  <c r="B1130" i="6"/>
  <c r="G1129" i="6"/>
  <c r="D1129" i="6"/>
  <c r="D1129" i="6" a="1"/>
  <c r="B1129" i="6"/>
  <c r="G1128" i="6"/>
  <c r="D1128" i="6" a="1"/>
  <c r="D1128" i="6" s="1"/>
  <c r="B1128" i="6"/>
  <c r="G1127" i="6"/>
  <c r="D1127" i="6" a="1"/>
  <c r="D1127" i="6" s="1"/>
  <c r="B1127" i="6"/>
  <c r="G1126" i="6"/>
  <c r="D1126" i="6"/>
  <c r="D1126" i="6" a="1"/>
  <c r="B1126" i="6"/>
  <c r="G1125" i="6"/>
  <c r="D1125" i="6" a="1"/>
  <c r="D1125" i="6" s="1"/>
  <c r="B1125" i="6"/>
  <c r="G1124" i="6"/>
  <c r="D1124" i="6" a="1"/>
  <c r="D1124" i="6" s="1"/>
  <c r="B1124" i="6"/>
  <c r="G1123" i="6"/>
  <c r="D1123" i="6" a="1"/>
  <c r="D1123" i="6" s="1"/>
  <c r="B1123" i="6"/>
  <c r="G1122" i="6"/>
  <c r="D1122" i="6" a="1"/>
  <c r="D1122" i="6" s="1"/>
  <c r="B1122" i="6"/>
  <c r="G1121" i="6"/>
  <c r="D1121" i="6" a="1"/>
  <c r="D1121" i="6" s="1"/>
  <c r="B1121" i="6"/>
  <c r="G1120" i="6"/>
  <c r="D1120" i="6" a="1"/>
  <c r="D1120" i="6" s="1"/>
  <c r="B1120" i="6"/>
  <c r="G1119" i="6"/>
  <c r="D1119" i="6" a="1"/>
  <c r="D1119" i="6" s="1"/>
  <c r="B1119" i="6"/>
  <c r="G1118" i="6"/>
  <c r="D1118" i="6" a="1"/>
  <c r="D1118" i="6" s="1"/>
  <c r="B1118" i="6"/>
  <c r="G1117" i="6"/>
  <c r="D1117" i="6" a="1"/>
  <c r="D1117" i="6" s="1"/>
  <c r="B1117" i="6"/>
  <c r="G1116" i="6"/>
  <c r="D1116" i="6"/>
  <c r="D1116" i="6" a="1"/>
  <c r="B1116" i="6"/>
  <c r="G1115" i="6"/>
  <c r="D1115" i="6" a="1"/>
  <c r="D1115" i="6" s="1"/>
  <c r="B1115" i="6"/>
  <c r="G1114" i="6"/>
  <c r="D1114" i="6"/>
  <c r="D1114" i="6" a="1"/>
  <c r="B1114" i="6"/>
  <c r="G1113" i="6"/>
  <c r="D1113" i="6"/>
  <c r="D1113" i="6" a="1"/>
  <c r="B1113" i="6"/>
  <c r="G1112" i="6"/>
  <c r="D1112" i="6" a="1"/>
  <c r="D1112" i="6" s="1"/>
  <c r="B1112" i="6"/>
  <c r="G1111" i="6"/>
  <c r="D1111" i="6" a="1"/>
  <c r="D1111" i="6" s="1"/>
  <c r="B1111" i="6"/>
  <c r="G1110" i="6"/>
  <c r="D1110" i="6" a="1"/>
  <c r="D1110" i="6" s="1"/>
  <c r="B1110" i="6"/>
  <c r="G1109" i="6"/>
  <c r="D1109" i="6" a="1"/>
  <c r="D1109" i="6" s="1"/>
  <c r="B1109" i="6"/>
  <c r="G1108" i="6"/>
  <c r="D1108" i="6" a="1"/>
  <c r="D1108" i="6" s="1"/>
  <c r="B1108" i="6"/>
  <c r="G1107" i="6"/>
  <c r="D1107" i="6"/>
  <c r="D1107" i="6" a="1"/>
  <c r="B1107" i="6"/>
  <c r="G1106" i="6"/>
  <c r="D1106" i="6" a="1"/>
  <c r="D1106" i="6" s="1"/>
  <c r="B1106" i="6"/>
  <c r="G1105" i="6"/>
  <c r="D1105" i="6" a="1"/>
  <c r="D1105" i="6" s="1"/>
  <c r="B1105" i="6"/>
  <c r="G1104" i="6"/>
  <c r="D1104" i="6" a="1"/>
  <c r="D1104" i="6" s="1"/>
  <c r="B1104" i="6"/>
  <c r="G1103" i="6"/>
  <c r="D1103" i="6" a="1"/>
  <c r="D1103" i="6" s="1"/>
  <c r="B1103" i="6"/>
  <c r="G1102" i="6"/>
  <c r="D1102" i="6" a="1"/>
  <c r="D1102" i="6" s="1"/>
  <c r="B1102" i="6"/>
  <c r="G1101" i="6"/>
  <c r="D1101" i="6" a="1"/>
  <c r="D1101" i="6" s="1"/>
  <c r="B1101" i="6"/>
  <c r="G1100" i="6"/>
  <c r="D1100" i="6" a="1"/>
  <c r="D1100" i="6" s="1"/>
  <c r="B1100" i="6"/>
  <c r="G1099" i="6"/>
  <c r="D1099" i="6"/>
  <c r="D1099" i="6" a="1"/>
  <c r="B1099" i="6"/>
  <c r="G1098" i="6"/>
  <c r="D1098" i="6" a="1"/>
  <c r="D1098" i="6" s="1"/>
  <c r="B1098" i="6"/>
  <c r="G1097" i="6"/>
  <c r="D1097" i="6" a="1"/>
  <c r="D1097" i="6" s="1"/>
  <c r="B1097" i="6"/>
  <c r="G1096" i="6"/>
  <c r="D1096" i="6" a="1"/>
  <c r="D1096" i="6" s="1"/>
  <c r="B1096" i="6"/>
  <c r="G1095" i="6"/>
  <c r="D1095" i="6" a="1"/>
  <c r="D1095" i="6" s="1"/>
  <c r="B1095" i="6"/>
  <c r="G1094" i="6"/>
  <c r="D1094" i="6" a="1"/>
  <c r="D1094" i="6" s="1"/>
  <c r="B1094" i="6"/>
  <c r="G1093" i="6"/>
  <c r="D1093" i="6"/>
  <c r="D1093" i="6" a="1"/>
  <c r="B1093" i="6"/>
  <c r="G1092" i="6"/>
  <c r="D1092" i="6" a="1"/>
  <c r="D1092" i="6" s="1"/>
  <c r="B1092" i="6"/>
  <c r="G1091" i="6"/>
  <c r="D1091" i="6" a="1"/>
  <c r="D1091" i="6" s="1"/>
  <c r="B1091" i="6"/>
  <c r="G1090" i="6"/>
  <c r="D1090" i="6"/>
  <c r="D1090" i="6" a="1"/>
  <c r="B1090" i="6"/>
  <c r="G1089" i="6"/>
  <c r="D1089" i="6"/>
  <c r="D1089" i="6" a="1"/>
  <c r="B1089" i="6"/>
  <c r="G1088" i="6"/>
  <c r="D1088" i="6" a="1"/>
  <c r="D1088" i="6" s="1"/>
  <c r="B1088" i="6"/>
  <c r="G1087" i="6"/>
  <c r="D1087" i="6"/>
  <c r="D1087" i="6" a="1"/>
  <c r="B1087" i="6"/>
  <c r="G1086" i="6"/>
  <c r="D1086" i="6"/>
  <c r="D1086" i="6" a="1"/>
  <c r="B1086" i="6"/>
  <c r="G1085" i="6"/>
  <c r="D1085" i="6" a="1"/>
  <c r="D1085" i="6" s="1"/>
  <c r="B1085" i="6"/>
  <c r="G1084" i="6"/>
  <c r="D1084" i="6" a="1"/>
  <c r="D1084" i="6" s="1"/>
  <c r="B1084" i="6"/>
  <c r="G1083" i="6"/>
  <c r="D1083" i="6" a="1"/>
  <c r="D1083" i="6" s="1"/>
  <c r="B1083" i="6"/>
  <c r="G1082" i="6"/>
  <c r="D1082" i="6" a="1"/>
  <c r="D1082" i="6" s="1"/>
  <c r="B1082" i="6"/>
  <c r="G1081" i="6"/>
  <c r="D1081" i="6"/>
  <c r="D1081" i="6" a="1"/>
  <c r="B1081" i="6"/>
  <c r="G1080" i="6"/>
  <c r="D1080" i="6"/>
  <c r="D1080" i="6" a="1"/>
  <c r="B1080" i="6"/>
  <c r="G1079" i="6"/>
  <c r="D1079" i="6" a="1"/>
  <c r="D1079" i="6" s="1"/>
  <c r="B1079" i="6"/>
  <c r="G1078" i="6"/>
  <c r="D1078" i="6" a="1"/>
  <c r="D1078" i="6" s="1"/>
  <c r="B1078" i="6"/>
  <c r="G1077" i="6"/>
  <c r="D1077" i="6"/>
  <c r="D1077" i="6" a="1"/>
  <c r="B1077" i="6"/>
  <c r="G1076" i="6"/>
  <c r="D1076" i="6" a="1"/>
  <c r="D1076" i="6" s="1"/>
  <c r="B1076" i="6"/>
  <c r="G1075" i="6"/>
  <c r="D1075" i="6" a="1"/>
  <c r="D1075" i="6" s="1"/>
  <c r="B1075" i="6"/>
  <c r="G1074" i="6"/>
  <c r="D1074" i="6"/>
  <c r="D1074" i="6" a="1"/>
  <c r="B1074" i="6"/>
  <c r="G1073" i="6"/>
  <c r="D1073" i="6" a="1"/>
  <c r="D1073" i="6" s="1"/>
  <c r="B1073" i="6"/>
  <c r="G1072" i="6"/>
  <c r="D1072" i="6" a="1"/>
  <c r="D1072" i="6" s="1"/>
  <c r="B1072" i="6"/>
  <c r="G1071" i="6"/>
  <c r="D1071" i="6" a="1"/>
  <c r="D1071" i="6" s="1"/>
  <c r="B1071" i="6"/>
  <c r="G1070" i="6"/>
  <c r="D1070" i="6" a="1"/>
  <c r="D1070" i="6" s="1"/>
  <c r="B1070" i="6"/>
  <c r="G1069" i="6"/>
  <c r="D1069" i="6"/>
  <c r="D1069" i="6" a="1"/>
  <c r="B1069" i="6"/>
  <c r="G1068" i="6"/>
  <c r="D1068" i="6" a="1"/>
  <c r="D1068" i="6" s="1"/>
  <c r="B1068" i="6"/>
  <c r="G1067" i="6"/>
  <c r="D1067" i="6" a="1"/>
  <c r="D1067" i="6" s="1"/>
  <c r="B1067" i="6"/>
  <c r="G1066" i="6"/>
  <c r="D1066" i="6"/>
  <c r="D1066" i="6" a="1"/>
  <c r="B1066" i="6"/>
  <c r="G1065" i="6"/>
  <c r="D1065" i="6" a="1"/>
  <c r="D1065" i="6" s="1"/>
  <c r="B1065" i="6"/>
  <c r="G1064" i="6"/>
  <c r="D1064" i="6" a="1"/>
  <c r="D1064" i="6" s="1"/>
  <c r="B1064" i="6"/>
  <c r="G1063" i="6"/>
  <c r="D1063" i="6" a="1"/>
  <c r="D1063" i="6" s="1"/>
  <c r="B1063" i="6"/>
  <c r="G1062" i="6"/>
  <c r="D1062" i="6" a="1"/>
  <c r="D1062" i="6" s="1"/>
  <c r="B1062" i="6"/>
  <c r="G1061" i="6"/>
  <c r="D1061" i="6" a="1"/>
  <c r="D1061" i="6" s="1"/>
  <c r="B1061" i="6"/>
  <c r="G1060" i="6"/>
  <c r="D1060" i="6" a="1"/>
  <c r="D1060" i="6" s="1"/>
  <c r="B1060" i="6"/>
  <c r="G1059" i="6"/>
  <c r="D1059" i="6"/>
  <c r="D1059" i="6" a="1"/>
  <c r="B1059" i="6"/>
  <c r="G1058" i="6"/>
  <c r="D1058" i="6" a="1"/>
  <c r="D1058" i="6" s="1"/>
  <c r="B1058" i="6"/>
  <c r="G1057" i="6"/>
  <c r="D1057" i="6"/>
  <c r="D1057" i="6" a="1"/>
  <c r="B1057" i="6"/>
  <c r="G1056" i="6"/>
  <c r="D1056" i="6"/>
  <c r="D1056" i="6" a="1"/>
  <c r="B1056" i="6"/>
  <c r="G1055" i="6"/>
  <c r="D1055" i="6" a="1"/>
  <c r="D1055" i="6" s="1"/>
  <c r="B1055" i="6"/>
  <c r="G1054" i="6"/>
  <c r="D1054" i="6"/>
  <c r="D1054" i="6" a="1"/>
  <c r="B1054" i="6"/>
  <c r="G1053" i="6"/>
  <c r="D1053" i="6" a="1"/>
  <c r="D1053" i="6" s="1"/>
  <c r="B1053" i="6"/>
  <c r="G1052" i="6"/>
  <c r="D1052" i="6" a="1"/>
  <c r="D1052" i="6" s="1"/>
  <c r="B1052" i="6"/>
  <c r="G1051" i="6"/>
  <c r="D1051" i="6" a="1"/>
  <c r="D1051" i="6" s="1"/>
  <c r="B1051" i="6"/>
  <c r="G1050" i="6"/>
  <c r="D1050" i="6"/>
  <c r="D1050" i="6" a="1"/>
  <c r="B1050" i="6"/>
  <c r="G1049" i="6"/>
  <c r="D1049" i="6" a="1"/>
  <c r="D1049" i="6" s="1"/>
  <c r="B1049" i="6"/>
  <c r="G1048" i="6"/>
  <c r="D1048" i="6"/>
  <c r="D1048" i="6" a="1"/>
  <c r="B1048" i="6"/>
  <c r="G1047" i="6"/>
  <c r="D1047" i="6" a="1"/>
  <c r="D1047" i="6" s="1"/>
  <c r="B1047" i="6"/>
  <c r="G1046" i="6"/>
  <c r="D1046" i="6" a="1"/>
  <c r="D1046" i="6" s="1"/>
  <c r="B1046" i="6"/>
  <c r="G1045" i="6"/>
  <c r="D1045" i="6" a="1"/>
  <c r="D1045" i="6" s="1"/>
  <c r="B1045" i="6"/>
  <c r="G1044" i="6"/>
  <c r="D1044" i="6"/>
  <c r="D1044" i="6" a="1"/>
  <c r="B1044" i="6"/>
  <c r="G1043" i="6"/>
  <c r="D1043" i="6" a="1"/>
  <c r="D1043" i="6" s="1"/>
  <c r="B1043" i="6"/>
  <c r="G1042" i="6"/>
  <c r="D1042" i="6" a="1"/>
  <c r="D1042" i="6" s="1"/>
  <c r="B1042" i="6"/>
  <c r="G1041" i="6"/>
  <c r="D1041" i="6"/>
  <c r="D1041" i="6" a="1"/>
  <c r="B1041" i="6"/>
  <c r="G1040" i="6"/>
  <c r="D1040" i="6" a="1"/>
  <c r="D1040" i="6" s="1"/>
  <c r="B1040" i="6"/>
  <c r="G1039" i="6"/>
  <c r="D1039" i="6"/>
  <c r="D1039" i="6" a="1"/>
  <c r="B1039" i="6"/>
  <c r="G1038" i="6"/>
  <c r="D1038" i="6" a="1"/>
  <c r="D1038" i="6" s="1"/>
  <c r="B1038" i="6"/>
  <c r="G1037" i="6"/>
  <c r="D1037" i="6" a="1"/>
  <c r="D1037" i="6" s="1"/>
  <c r="B1037" i="6"/>
  <c r="G1036" i="6"/>
  <c r="D1036" i="6"/>
  <c r="D1036" i="6" a="1"/>
  <c r="B1036" i="6"/>
  <c r="G1035" i="6"/>
  <c r="D1035" i="6" a="1"/>
  <c r="D1035" i="6" s="1"/>
  <c r="B1035" i="6"/>
  <c r="G1034" i="6"/>
  <c r="D1034" i="6" a="1"/>
  <c r="D1034" i="6" s="1"/>
  <c r="B1034" i="6"/>
  <c r="G1033" i="6"/>
  <c r="D1033" i="6" a="1"/>
  <c r="D1033" i="6" s="1"/>
  <c r="B1033" i="6"/>
  <c r="G1032" i="6"/>
  <c r="D1032" i="6" a="1"/>
  <c r="D1032" i="6" s="1"/>
  <c r="B1032" i="6"/>
  <c r="G1031" i="6"/>
  <c r="D1031" i="6" a="1"/>
  <c r="D1031" i="6" s="1"/>
  <c r="B1031" i="6"/>
  <c r="G1030" i="6"/>
  <c r="D1030" i="6" a="1"/>
  <c r="D1030" i="6" s="1"/>
  <c r="B1030" i="6"/>
  <c r="G1029" i="6"/>
  <c r="D1029" i="6" a="1"/>
  <c r="D1029" i="6" s="1"/>
  <c r="B1029" i="6"/>
  <c r="G1028" i="6"/>
  <c r="D1028" i="6" a="1"/>
  <c r="D1028" i="6" s="1"/>
  <c r="B1028" i="6"/>
  <c r="G1027" i="6"/>
  <c r="D1027" i="6" a="1"/>
  <c r="D1027" i="6" s="1"/>
  <c r="B1027" i="6"/>
  <c r="G1026" i="6"/>
  <c r="D1026" i="6"/>
  <c r="D1026" i="6" a="1"/>
  <c r="B1026" i="6"/>
  <c r="G1025" i="6"/>
  <c r="D1025" i="6" a="1"/>
  <c r="D1025" i="6" s="1"/>
  <c r="B1025" i="6"/>
  <c r="G1024" i="6"/>
  <c r="D1024" i="6" a="1"/>
  <c r="D1024" i="6" s="1"/>
  <c r="B1024" i="6"/>
  <c r="G1023" i="6"/>
  <c r="D1023" i="6"/>
  <c r="D1023" i="6" a="1"/>
  <c r="B1023" i="6"/>
  <c r="G1022" i="6"/>
  <c r="D1022" i="6" a="1"/>
  <c r="D1022" i="6" s="1"/>
  <c r="B1022" i="6"/>
  <c r="G1021" i="6"/>
  <c r="D1021" i="6"/>
  <c r="D1021" i="6" a="1"/>
  <c r="B1021" i="6"/>
  <c r="G1020" i="6"/>
  <c r="D1020" i="6" a="1"/>
  <c r="D1020" i="6" s="1"/>
  <c r="B1020" i="6"/>
  <c r="G1019" i="6"/>
  <c r="D1019" i="6" a="1"/>
  <c r="D1019" i="6" s="1"/>
  <c r="B1019" i="6"/>
  <c r="G1018" i="6"/>
  <c r="D1018" i="6"/>
  <c r="D1018" i="6" a="1"/>
  <c r="B1018" i="6"/>
  <c r="G1017" i="6"/>
  <c r="D1017" i="6" a="1"/>
  <c r="D1017" i="6" s="1"/>
  <c r="B1017" i="6"/>
  <c r="G1016" i="6"/>
  <c r="D1016" i="6" a="1"/>
  <c r="D1016" i="6" s="1"/>
  <c r="B1016" i="6"/>
  <c r="G1015" i="6"/>
  <c r="D1015" i="6" a="1"/>
  <c r="D1015" i="6" s="1"/>
  <c r="B1015" i="6"/>
  <c r="G1014" i="6"/>
  <c r="D1014" i="6"/>
  <c r="D1014" i="6" a="1"/>
  <c r="B1014" i="6"/>
  <c r="G1013" i="6"/>
  <c r="D1013" i="6" a="1"/>
  <c r="D1013" i="6" s="1"/>
  <c r="B1013" i="6"/>
  <c r="G1012" i="6"/>
  <c r="D1012" i="6" a="1"/>
  <c r="D1012" i="6" s="1"/>
  <c r="B1012" i="6"/>
  <c r="G1011" i="6"/>
  <c r="D1011" i="6" a="1"/>
  <c r="D1011" i="6" s="1"/>
  <c r="B1011" i="6"/>
  <c r="G1010" i="6"/>
  <c r="D1010" i="6" a="1"/>
  <c r="D1010" i="6" s="1"/>
  <c r="B1010" i="6"/>
  <c r="G1009" i="6"/>
  <c r="D1009" i="6"/>
  <c r="D1009" i="6" a="1"/>
  <c r="B1009" i="6"/>
  <c r="G1008" i="6"/>
  <c r="D1008" i="6"/>
  <c r="D1008" i="6" a="1"/>
  <c r="B1008" i="6"/>
  <c r="G1007" i="6"/>
  <c r="D1007" i="6" a="1"/>
  <c r="D1007" i="6" s="1"/>
  <c r="B1007" i="6"/>
  <c r="G1006" i="6"/>
  <c r="D1006" i="6"/>
  <c r="D1006" i="6" a="1"/>
  <c r="B1006" i="6"/>
  <c r="G1005" i="6"/>
  <c r="D1005" i="6"/>
  <c r="D1005" i="6" a="1"/>
  <c r="B1005" i="6"/>
  <c r="G1004" i="6"/>
  <c r="D1004" i="6" a="1"/>
  <c r="D1004" i="6" s="1"/>
  <c r="B1004" i="6"/>
  <c r="G1003" i="6"/>
  <c r="D1003" i="6"/>
  <c r="D1003" i="6" a="1"/>
  <c r="B1003" i="6"/>
  <c r="G1002" i="6"/>
  <c r="D1002" i="6"/>
  <c r="D1002" i="6" a="1"/>
  <c r="B1002" i="6"/>
  <c r="G1001" i="6"/>
  <c r="D1001" i="6" a="1"/>
  <c r="D1001" i="6" s="1"/>
  <c r="B1001" i="6"/>
  <c r="G1000" i="6"/>
  <c r="D1000" i="6"/>
  <c r="D1000" i="6" a="1"/>
  <c r="B1000" i="6"/>
  <c r="G999" i="6"/>
  <c r="D999" i="6"/>
  <c r="D999" i="6" a="1"/>
  <c r="B999" i="6"/>
  <c r="G998" i="6"/>
  <c r="D998" i="6" a="1"/>
  <c r="D998" i="6" s="1"/>
  <c r="B998" i="6"/>
  <c r="G997" i="6"/>
  <c r="D997" i="6"/>
  <c r="D997" i="6" a="1"/>
  <c r="B997" i="6"/>
  <c r="G996" i="6"/>
  <c r="D996" i="6"/>
  <c r="D996" i="6" a="1"/>
  <c r="B996" i="6"/>
  <c r="G995" i="6"/>
  <c r="D995" i="6" a="1"/>
  <c r="D995" i="6" s="1"/>
  <c r="B995" i="6"/>
  <c r="G994" i="6"/>
  <c r="D994" i="6"/>
  <c r="D994" i="6" a="1"/>
  <c r="B994" i="6"/>
  <c r="G993" i="6"/>
  <c r="D993" i="6"/>
  <c r="D993" i="6" a="1"/>
  <c r="B993" i="6"/>
  <c r="G992" i="6"/>
  <c r="D992" i="6" a="1"/>
  <c r="D992" i="6" s="1"/>
  <c r="B992" i="6"/>
  <c r="G991" i="6"/>
  <c r="D991" i="6"/>
  <c r="D991" i="6" a="1"/>
  <c r="B991" i="6"/>
  <c r="G990" i="6"/>
  <c r="D990" i="6"/>
  <c r="D990" i="6" a="1"/>
  <c r="B990" i="6"/>
  <c r="G989" i="6"/>
  <c r="D989" i="6" a="1"/>
  <c r="D989" i="6" s="1"/>
  <c r="B989" i="6"/>
  <c r="G988" i="6"/>
  <c r="D988" i="6"/>
  <c r="D988" i="6" a="1"/>
  <c r="B988" i="6"/>
  <c r="G987" i="6"/>
  <c r="D987" i="6"/>
  <c r="D987" i="6" a="1"/>
  <c r="B987" i="6"/>
  <c r="G986" i="6"/>
  <c r="D986" i="6" a="1"/>
  <c r="D986" i="6" s="1"/>
  <c r="B986" i="6"/>
  <c r="G985" i="6"/>
  <c r="D985" i="6"/>
  <c r="D985" i="6" a="1"/>
  <c r="B985" i="6"/>
  <c r="G984" i="6"/>
  <c r="D984" i="6"/>
  <c r="D984" i="6" a="1"/>
  <c r="B984" i="6"/>
  <c r="G983" i="6"/>
  <c r="D983" i="6" a="1"/>
  <c r="D983" i="6" s="1"/>
  <c r="B983" i="6"/>
  <c r="G982" i="6"/>
  <c r="D982" i="6"/>
  <c r="D982" i="6" a="1"/>
  <c r="B982" i="6"/>
  <c r="G981" i="6"/>
  <c r="D981" i="6"/>
  <c r="D981" i="6" a="1"/>
  <c r="B981" i="6"/>
  <c r="G980" i="6"/>
  <c r="D980" i="6" a="1"/>
  <c r="D980" i="6" s="1"/>
  <c r="B980" i="6"/>
  <c r="G979" i="6"/>
  <c r="D979" i="6"/>
  <c r="D979" i="6" a="1"/>
  <c r="B979" i="6"/>
  <c r="G978" i="6"/>
  <c r="D978" i="6"/>
  <c r="D978" i="6" a="1"/>
  <c r="B978" i="6"/>
  <c r="G977" i="6"/>
  <c r="D977" i="6" a="1"/>
  <c r="D977" i="6" s="1"/>
  <c r="B977" i="6"/>
  <c r="G976" i="6"/>
  <c r="D976" i="6"/>
  <c r="D976" i="6" a="1"/>
  <c r="B976" i="6"/>
  <c r="G975" i="6"/>
  <c r="D975" i="6"/>
  <c r="D975" i="6" a="1"/>
  <c r="B975" i="6"/>
  <c r="G974" i="6"/>
  <c r="D974" i="6" a="1"/>
  <c r="D974" i="6" s="1"/>
  <c r="B974" i="6"/>
  <c r="G973" i="6"/>
  <c r="D973" i="6"/>
  <c r="D973" i="6" a="1"/>
  <c r="B973" i="6"/>
  <c r="G972" i="6"/>
  <c r="D972" i="6"/>
  <c r="D972" i="6" a="1"/>
  <c r="B972" i="6"/>
  <c r="G971" i="6"/>
  <c r="D971" i="6" a="1"/>
  <c r="D971" i="6" s="1"/>
  <c r="B971" i="6"/>
  <c r="G970" i="6"/>
  <c r="D970" i="6"/>
  <c r="D970" i="6" a="1"/>
  <c r="B970" i="6"/>
  <c r="G969" i="6"/>
  <c r="D969" i="6"/>
  <c r="D969" i="6" a="1"/>
  <c r="B969" i="6"/>
  <c r="G968" i="6"/>
  <c r="D968" i="6" a="1"/>
  <c r="D968" i="6" s="1"/>
  <c r="B968" i="6"/>
  <c r="G967" i="6"/>
  <c r="D967" i="6"/>
  <c r="D967" i="6" a="1"/>
  <c r="B967" i="6"/>
  <c r="G966" i="6"/>
  <c r="D966" i="6"/>
  <c r="D966" i="6" a="1"/>
  <c r="B966" i="6"/>
  <c r="G965" i="6"/>
  <c r="D965" i="6" a="1"/>
  <c r="D965" i="6" s="1"/>
  <c r="B965" i="6"/>
  <c r="G964" i="6"/>
  <c r="D964" i="6"/>
  <c r="D964" i="6" a="1"/>
  <c r="B964" i="6"/>
  <c r="G963" i="6"/>
  <c r="D963" i="6"/>
  <c r="D963" i="6" a="1"/>
  <c r="B963" i="6"/>
  <c r="G962" i="6"/>
  <c r="D962" i="6" a="1"/>
  <c r="D962" i="6" s="1"/>
  <c r="B962" i="6"/>
  <c r="G961" i="6"/>
  <c r="D961" i="6"/>
  <c r="D961" i="6" a="1"/>
  <c r="B961" i="6"/>
  <c r="G960" i="6"/>
  <c r="D960" i="6"/>
  <c r="D960" i="6" a="1"/>
  <c r="B960" i="6"/>
  <c r="G959" i="6"/>
  <c r="D959" i="6" a="1"/>
  <c r="D959" i="6" s="1"/>
  <c r="B959" i="6"/>
  <c r="G958" i="6"/>
  <c r="D958" i="6"/>
  <c r="D958" i="6" a="1"/>
  <c r="B958" i="6"/>
  <c r="G957" i="6"/>
  <c r="D957" i="6"/>
  <c r="D957" i="6" a="1"/>
  <c r="B957" i="6"/>
  <c r="G956" i="6"/>
  <c r="D956" i="6" a="1"/>
  <c r="D956" i="6" s="1"/>
  <c r="B956" i="6"/>
  <c r="G955" i="6"/>
  <c r="D955" i="6"/>
  <c r="D955" i="6" a="1"/>
  <c r="B955" i="6"/>
  <c r="G954" i="6"/>
  <c r="D954" i="6"/>
  <c r="D954" i="6" a="1"/>
  <c r="B954" i="6"/>
  <c r="G953" i="6"/>
  <c r="D953" i="6" a="1"/>
  <c r="D953" i="6" s="1"/>
  <c r="B953" i="6"/>
  <c r="G952" i="6"/>
  <c r="D952" i="6"/>
  <c r="D952" i="6" a="1"/>
  <c r="B952" i="6"/>
  <c r="G951" i="6"/>
  <c r="D951" i="6"/>
  <c r="D951" i="6" a="1"/>
  <c r="B951" i="6"/>
  <c r="G950" i="6"/>
  <c r="D950" i="6" a="1"/>
  <c r="D950" i="6" s="1"/>
  <c r="B950" i="6"/>
  <c r="G949" i="6"/>
  <c r="D949" i="6"/>
  <c r="D949" i="6" a="1"/>
  <c r="B949" i="6"/>
  <c r="G948" i="6"/>
  <c r="D948" i="6"/>
  <c r="D948" i="6" a="1"/>
  <c r="B948" i="6"/>
  <c r="G947" i="6"/>
  <c r="D947" i="6" a="1"/>
  <c r="D947" i="6" s="1"/>
  <c r="B947" i="6"/>
  <c r="G946" i="6"/>
  <c r="D946" i="6"/>
  <c r="D946" i="6" a="1"/>
  <c r="B946" i="6"/>
  <c r="G945" i="6"/>
  <c r="D945" i="6" a="1"/>
  <c r="D945" i="6" s="1"/>
  <c r="B945" i="6"/>
  <c r="G944" i="6"/>
  <c r="D944" i="6"/>
  <c r="D944" i="6" a="1"/>
  <c r="B944" i="6"/>
  <c r="G943" i="6"/>
  <c r="D943" i="6"/>
  <c r="D943" i="6" a="1"/>
  <c r="B943" i="6"/>
  <c r="G942" i="6"/>
  <c r="D942" i="6" a="1"/>
  <c r="D942" i="6" s="1"/>
  <c r="B942" i="6"/>
  <c r="G941" i="6"/>
  <c r="D941" i="6" a="1"/>
  <c r="D941" i="6" s="1"/>
  <c r="B941" i="6"/>
  <c r="G940" i="6"/>
  <c r="D940" i="6"/>
  <c r="D940" i="6" a="1"/>
  <c r="B940" i="6"/>
  <c r="G939" i="6"/>
  <c r="D939" i="6" a="1"/>
  <c r="D939" i="6" s="1"/>
  <c r="B939" i="6"/>
  <c r="G938" i="6"/>
  <c r="D938" i="6" a="1"/>
  <c r="D938" i="6" s="1"/>
  <c r="B938" i="6"/>
  <c r="G937" i="6"/>
  <c r="D937" i="6" a="1"/>
  <c r="D937" i="6" s="1"/>
  <c r="B937" i="6"/>
  <c r="G936" i="6"/>
  <c r="D936" i="6" a="1"/>
  <c r="D936" i="6" s="1"/>
  <c r="B936" i="6"/>
  <c r="G935" i="6"/>
  <c r="D935" i="6" a="1"/>
  <c r="D935" i="6" s="1"/>
  <c r="B935" i="6"/>
  <c r="G934" i="6"/>
  <c r="D934" i="6" a="1"/>
  <c r="D934" i="6" s="1"/>
  <c r="B934" i="6"/>
  <c r="G933" i="6"/>
  <c r="D933" i="6" a="1"/>
  <c r="D933" i="6" s="1"/>
  <c r="B933" i="6"/>
  <c r="G932" i="6"/>
  <c r="D932" i="6" a="1"/>
  <c r="D932" i="6" s="1"/>
  <c r="B932" i="6"/>
  <c r="G931" i="6"/>
  <c r="D931" i="6" a="1"/>
  <c r="D931" i="6" s="1"/>
  <c r="B931" i="6"/>
  <c r="G930" i="6"/>
  <c r="D930" i="6" a="1"/>
  <c r="D930" i="6" s="1"/>
  <c r="B930" i="6"/>
  <c r="G929" i="6"/>
  <c r="D929" i="6" a="1"/>
  <c r="D929" i="6" s="1"/>
  <c r="B929" i="6"/>
  <c r="G928" i="6"/>
  <c r="D928" i="6" a="1"/>
  <c r="D928" i="6" s="1"/>
  <c r="B928" i="6"/>
  <c r="G927" i="6"/>
  <c r="D927" i="6" a="1"/>
  <c r="D927" i="6" s="1"/>
  <c r="B927" i="6"/>
  <c r="G926" i="6"/>
  <c r="D926" i="6"/>
  <c r="D926" i="6" a="1"/>
  <c r="B926" i="6"/>
  <c r="G925" i="6"/>
  <c r="D925" i="6"/>
  <c r="D925" i="6" a="1"/>
  <c r="B925" i="6"/>
  <c r="G924" i="6"/>
  <c r="D924" i="6" a="1"/>
  <c r="D924" i="6" s="1"/>
  <c r="B924" i="6"/>
  <c r="G923" i="6"/>
  <c r="D923" i="6"/>
  <c r="D923" i="6" a="1"/>
  <c r="B923" i="6"/>
  <c r="G922" i="6"/>
  <c r="D922" i="6"/>
  <c r="D922" i="6" a="1"/>
  <c r="B922" i="6"/>
  <c r="G921" i="6"/>
  <c r="D921" i="6" a="1"/>
  <c r="D921" i="6" s="1"/>
  <c r="B921" i="6"/>
  <c r="G920" i="6"/>
  <c r="D920" i="6"/>
  <c r="D920" i="6" a="1"/>
  <c r="B920" i="6"/>
  <c r="G919" i="6"/>
  <c r="D919" i="6" a="1"/>
  <c r="D919" i="6" s="1"/>
  <c r="B919" i="6"/>
  <c r="G918" i="6"/>
  <c r="D918" i="6" a="1"/>
  <c r="D918" i="6" s="1"/>
  <c r="B918" i="6"/>
  <c r="G917" i="6"/>
  <c r="D917" i="6" a="1"/>
  <c r="D917" i="6" s="1"/>
  <c r="B917" i="6"/>
  <c r="G916" i="6"/>
  <c r="D916" i="6" a="1"/>
  <c r="D916" i="6" s="1"/>
  <c r="B916" i="6"/>
  <c r="G915" i="6"/>
  <c r="D915" i="6" a="1"/>
  <c r="D915" i="6" s="1"/>
  <c r="B915" i="6"/>
  <c r="G914" i="6"/>
  <c r="D914" i="6" a="1"/>
  <c r="D914" i="6" s="1"/>
  <c r="B914" i="6"/>
  <c r="G913" i="6"/>
  <c r="D913" i="6"/>
  <c r="D913" i="6" a="1"/>
  <c r="B913" i="6"/>
  <c r="G912" i="6"/>
  <c r="D912" i="6" a="1"/>
  <c r="D912" i="6" s="1"/>
  <c r="B912" i="6"/>
  <c r="G911" i="6"/>
  <c r="D911" i="6" a="1"/>
  <c r="D911" i="6" s="1"/>
  <c r="B911" i="6"/>
  <c r="G910" i="6"/>
  <c r="D910" i="6"/>
  <c r="D910" i="6" a="1"/>
  <c r="B910" i="6"/>
  <c r="G909" i="6"/>
  <c r="D909" i="6" a="1"/>
  <c r="D909" i="6" s="1"/>
  <c r="B909" i="6"/>
  <c r="G908" i="6"/>
  <c r="D908" i="6"/>
  <c r="D908" i="6" a="1"/>
  <c r="B908" i="6"/>
  <c r="G907" i="6"/>
  <c r="D907" i="6"/>
  <c r="D907" i="6" a="1"/>
  <c r="B907" i="6"/>
  <c r="G906" i="6"/>
  <c r="D906" i="6" a="1"/>
  <c r="D906" i="6" s="1"/>
  <c r="B906" i="6"/>
  <c r="G905" i="6"/>
  <c r="D905" i="6"/>
  <c r="D905" i="6" a="1"/>
  <c r="B905" i="6"/>
  <c r="G904" i="6"/>
  <c r="D904" i="6" a="1"/>
  <c r="D904" i="6" s="1"/>
  <c r="B904" i="6"/>
  <c r="G903" i="6"/>
  <c r="D903" i="6" a="1"/>
  <c r="D903" i="6" s="1"/>
  <c r="B903" i="6"/>
  <c r="G902" i="6"/>
  <c r="D902" i="6"/>
  <c r="D902" i="6" a="1"/>
  <c r="B902" i="6"/>
  <c r="G901" i="6"/>
  <c r="D901" i="6" a="1"/>
  <c r="D901" i="6" s="1"/>
  <c r="B901" i="6"/>
  <c r="G900" i="6"/>
  <c r="D900" i="6" a="1"/>
  <c r="D900" i="6" s="1"/>
  <c r="B900" i="6"/>
  <c r="G899" i="6"/>
  <c r="D899" i="6" a="1"/>
  <c r="D899" i="6" s="1"/>
  <c r="B899" i="6"/>
  <c r="G898" i="6"/>
  <c r="D898" i="6" a="1"/>
  <c r="D898" i="6" s="1"/>
  <c r="B898" i="6"/>
  <c r="G897" i="6"/>
  <c r="D897" i="6" a="1"/>
  <c r="D897" i="6" s="1"/>
  <c r="B897" i="6"/>
  <c r="G896" i="6"/>
  <c r="D896" i="6" a="1"/>
  <c r="D896" i="6" s="1"/>
  <c r="B896" i="6"/>
  <c r="G895" i="6"/>
  <c r="D895" i="6"/>
  <c r="D895" i="6" a="1"/>
  <c r="B895" i="6"/>
  <c r="G894" i="6"/>
  <c r="D894" i="6" a="1"/>
  <c r="D894" i="6" s="1"/>
  <c r="B894" i="6"/>
  <c r="G893" i="6"/>
  <c r="D893" i="6" a="1"/>
  <c r="D893" i="6" s="1"/>
  <c r="B893" i="6"/>
  <c r="G892" i="6"/>
  <c r="D892" i="6" a="1"/>
  <c r="D892" i="6" s="1"/>
  <c r="B892" i="6"/>
  <c r="G891" i="6"/>
  <c r="D891" i="6" a="1"/>
  <c r="D891" i="6" s="1"/>
  <c r="B891" i="6"/>
  <c r="G890" i="6"/>
  <c r="D890" i="6"/>
  <c r="D890" i="6" a="1"/>
  <c r="B890" i="6"/>
  <c r="G889" i="6"/>
  <c r="D889" i="6" a="1"/>
  <c r="D889" i="6" s="1"/>
  <c r="B889" i="6"/>
  <c r="G888" i="6"/>
  <c r="D888" i="6" a="1"/>
  <c r="D888" i="6" s="1"/>
  <c r="B888" i="6"/>
  <c r="G887" i="6"/>
  <c r="D887" i="6"/>
  <c r="D887" i="6" a="1"/>
  <c r="B887" i="6"/>
  <c r="G886" i="6"/>
  <c r="D886" i="6"/>
  <c r="D886" i="6" a="1"/>
  <c r="B886" i="6"/>
  <c r="G885" i="6"/>
  <c r="D885" i="6" a="1"/>
  <c r="D885" i="6" s="1"/>
  <c r="B885" i="6"/>
  <c r="G884" i="6"/>
  <c r="D884" i="6"/>
  <c r="D884" i="6" a="1"/>
  <c r="B884" i="6"/>
  <c r="G883" i="6"/>
  <c r="D883" i="6" a="1"/>
  <c r="D883" i="6" s="1"/>
  <c r="B883" i="6"/>
  <c r="G882" i="6"/>
  <c r="D882" i="6" a="1"/>
  <c r="D882" i="6" s="1"/>
  <c r="B882" i="6"/>
  <c r="G881" i="6"/>
  <c r="D881" i="6"/>
  <c r="D881" i="6" a="1"/>
  <c r="B881" i="6"/>
  <c r="G880" i="6"/>
  <c r="D880" i="6" a="1"/>
  <c r="D880" i="6" s="1"/>
  <c r="B880" i="6"/>
  <c r="G879" i="6"/>
  <c r="D879" i="6" a="1"/>
  <c r="D879" i="6" s="1"/>
  <c r="B879" i="6"/>
  <c r="G878" i="6"/>
  <c r="D878" i="6" a="1"/>
  <c r="D878" i="6" s="1"/>
  <c r="B878" i="6"/>
  <c r="G877" i="6"/>
  <c r="D877" i="6"/>
  <c r="D877" i="6" a="1"/>
  <c r="B877" i="6"/>
  <c r="G876" i="6"/>
  <c r="D876" i="6" a="1"/>
  <c r="D876" i="6" s="1"/>
  <c r="B876" i="6"/>
  <c r="G875" i="6"/>
  <c r="D875" i="6" a="1"/>
  <c r="D875" i="6" s="1"/>
  <c r="B875" i="6"/>
  <c r="G874" i="6"/>
  <c r="D874" i="6"/>
  <c r="D874" i="6" a="1"/>
  <c r="B874" i="6"/>
  <c r="G873" i="6"/>
  <c r="D873" i="6" a="1"/>
  <c r="D873" i="6" s="1"/>
  <c r="B873" i="6"/>
  <c r="G872" i="6"/>
  <c r="D872" i="6" a="1"/>
  <c r="D872" i="6" s="1"/>
  <c r="B872" i="6"/>
  <c r="G871" i="6"/>
  <c r="D871" i="6"/>
  <c r="D871" i="6" a="1"/>
  <c r="B871" i="6"/>
  <c r="G870" i="6"/>
  <c r="D870" i="6" a="1"/>
  <c r="D870" i="6" s="1"/>
  <c r="B870" i="6"/>
  <c r="G869" i="6"/>
  <c r="D869" i="6"/>
  <c r="D869" i="6" a="1"/>
  <c r="B869" i="6"/>
  <c r="G868" i="6"/>
  <c r="D868" i="6"/>
  <c r="D868" i="6" a="1"/>
  <c r="B868" i="6"/>
  <c r="G867" i="6"/>
  <c r="D867" i="6" a="1"/>
  <c r="D867" i="6" s="1"/>
  <c r="B867" i="6"/>
  <c r="G866" i="6"/>
  <c r="D866" i="6"/>
  <c r="D866" i="6" a="1"/>
  <c r="B866" i="6"/>
  <c r="G865" i="6"/>
  <c r="D865" i="6" a="1"/>
  <c r="D865" i="6" s="1"/>
  <c r="B865" i="6"/>
  <c r="G864" i="6"/>
  <c r="D864" i="6" a="1"/>
  <c r="D864" i="6" s="1"/>
  <c r="B864" i="6"/>
  <c r="G863" i="6"/>
  <c r="D863" i="6" a="1"/>
  <c r="D863" i="6" s="1"/>
  <c r="B863" i="6"/>
  <c r="G862" i="6"/>
  <c r="D862" i="6" a="1"/>
  <c r="D862" i="6" s="1"/>
  <c r="B862" i="6"/>
  <c r="G861" i="6"/>
  <c r="D861" i="6" a="1"/>
  <c r="D861" i="6" s="1"/>
  <c r="B861" i="6"/>
  <c r="G860" i="6"/>
  <c r="D860" i="6" a="1"/>
  <c r="D860" i="6" s="1"/>
  <c r="B860" i="6"/>
  <c r="G859" i="6"/>
  <c r="D859" i="6"/>
  <c r="D859" i="6" a="1"/>
  <c r="B859" i="6"/>
  <c r="G858" i="6"/>
  <c r="D858" i="6" a="1"/>
  <c r="D858" i="6" s="1"/>
  <c r="B858" i="6"/>
  <c r="G857" i="6"/>
  <c r="D857" i="6" a="1"/>
  <c r="D857" i="6" s="1"/>
  <c r="B857" i="6"/>
  <c r="G856" i="6"/>
  <c r="D856" i="6" a="1"/>
  <c r="D856" i="6" s="1"/>
  <c r="B856" i="6"/>
  <c r="G855" i="6"/>
  <c r="D855" i="6" a="1"/>
  <c r="D855" i="6" s="1"/>
  <c r="B855" i="6"/>
  <c r="G854" i="6"/>
  <c r="D854" i="6"/>
  <c r="D854" i="6" a="1"/>
  <c r="B854" i="6"/>
  <c r="G853" i="6"/>
  <c r="D853" i="6" a="1"/>
  <c r="D853" i="6" s="1"/>
  <c r="B853" i="6"/>
  <c r="G852" i="6"/>
  <c r="D852" i="6" a="1"/>
  <c r="D852" i="6" s="1"/>
  <c r="B852" i="6"/>
  <c r="G851" i="6"/>
  <c r="D851" i="6"/>
  <c r="D851" i="6" a="1"/>
  <c r="B851" i="6"/>
  <c r="G850" i="6"/>
  <c r="D850" i="6" a="1"/>
  <c r="D850" i="6" s="1"/>
  <c r="B850" i="6"/>
  <c r="G849" i="6"/>
  <c r="D849" i="6" a="1"/>
  <c r="D849" i="6" s="1"/>
  <c r="B849" i="6"/>
  <c r="G848" i="6"/>
  <c r="D848" i="6"/>
  <c r="D848" i="6" a="1"/>
  <c r="B848" i="6"/>
  <c r="G847" i="6"/>
  <c r="D847" i="6" a="1"/>
  <c r="D847" i="6" s="1"/>
  <c r="B847" i="6"/>
  <c r="G846" i="6"/>
  <c r="D846" i="6" a="1"/>
  <c r="D846" i="6" s="1"/>
  <c r="B846" i="6"/>
  <c r="G845" i="6"/>
  <c r="D845" i="6" a="1"/>
  <c r="D845" i="6" s="1"/>
  <c r="B845" i="6"/>
  <c r="G844" i="6"/>
  <c r="D844" i="6" a="1"/>
  <c r="D844" i="6" s="1"/>
  <c r="B844" i="6"/>
  <c r="G843" i="6"/>
  <c r="D843" i="6" a="1"/>
  <c r="D843" i="6" s="1"/>
  <c r="B843" i="6"/>
  <c r="G842" i="6"/>
  <c r="D842" i="6" a="1"/>
  <c r="D842" i="6" s="1"/>
  <c r="B842" i="6"/>
  <c r="G841" i="6"/>
  <c r="D841" i="6"/>
  <c r="D841" i="6" a="1"/>
  <c r="B841" i="6"/>
  <c r="G840" i="6"/>
  <c r="D840" i="6" a="1"/>
  <c r="D840" i="6" s="1"/>
  <c r="B840" i="6"/>
  <c r="G839" i="6"/>
  <c r="D839" i="6" a="1"/>
  <c r="D839" i="6" s="1"/>
  <c r="B839" i="6"/>
  <c r="G838" i="6"/>
  <c r="D838" i="6"/>
  <c r="D838" i="6" a="1"/>
  <c r="B838" i="6"/>
  <c r="G837" i="6"/>
  <c r="D837" i="6" a="1"/>
  <c r="D837" i="6" s="1"/>
  <c r="B837" i="6"/>
  <c r="G836" i="6"/>
  <c r="D836" i="6" a="1"/>
  <c r="D836" i="6" s="1"/>
  <c r="B836" i="6"/>
  <c r="G835" i="6"/>
  <c r="D835" i="6"/>
  <c r="D835" i="6" a="1"/>
  <c r="B835" i="6"/>
  <c r="G834" i="6"/>
  <c r="D834" i="6" a="1"/>
  <c r="D834" i="6" s="1"/>
  <c r="B834" i="6"/>
  <c r="G833" i="6"/>
  <c r="D833" i="6" a="1"/>
  <c r="D833" i="6" s="1"/>
  <c r="B833" i="6"/>
  <c r="G832" i="6"/>
  <c r="D832" i="6"/>
  <c r="D832" i="6" a="1"/>
  <c r="B832" i="6"/>
  <c r="G831" i="6"/>
  <c r="D831" i="6" a="1"/>
  <c r="D831" i="6" s="1"/>
  <c r="B831" i="6"/>
  <c r="G830" i="6"/>
  <c r="D830" i="6" a="1"/>
  <c r="D830" i="6" s="1"/>
  <c r="B830" i="6"/>
  <c r="G829" i="6"/>
  <c r="D829" i="6" a="1"/>
  <c r="D829" i="6" s="1"/>
  <c r="B829" i="6"/>
  <c r="G828" i="6"/>
  <c r="D828" i="6" a="1"/>
  <c r="D828" i="6" s="1"/>
  <c r="B828" i="6"/>
  <c r="G827" i="6"/>
  <c r="D827" i="6" a="1"/>
  <c r="D827" i="6" s="1"/>
  <c r="B827" i="6"/>
  <c r="G826" i="6"/>
  <c r="D826" i="6" a="1"/>
  <c r="D826" i="6" s="1"/>
  <c r="B826" i="6"/>
  <c r="G825" i="6"/>
  <c r="D825" i="6" a="1"/>
  <c r="D825" i="6" s="1"/>
  <c r="B825" i="6"/>
  <c r="G824" i="6"/>
  <c r="D824" i="6" a="1"/>
  <c r="D824" i="6" s="1"/>
  <c r="B824" i="6"/>
  <c r="G823" i="6"/>
  <c r="D823" i="6" a="1"/>
  <c r="D823" i="6" s="1"/>
  <c r="B823" i="6"/>
  <c r="G822" i="6"/>
  <c r="D822" i="6" a="1"/>
  <c r="D822" i="6" s="1"/>
  <c r="B822" i="6"/>
  <c r="G821" i="6"/>
  <c r="D821" i="6" a="1"/>
  <c r="D821" i="6" s="1"/>
  <c r="B821" i="6"/>
  <c r="G820" i="6"/>
  <c r="D820" i="6" a="1"/>
  <c r="D820" i="6" s="1"/>
  <c r="B820" i="6"/>
  <c r="G819" i="6"/>
  <c r="D819" i="6" a="1"/>
  <c r="D819" i="6" s="1"/>
  <c r="B819" i="6"/>
  <c r="G818" i="6"/>
  <c r="D818" i="6"/>
  <c r="D818" i="6" a="1"/>
  <c r="B818" i="6"/>
  <c r="G817" i="6"/>
  <c r="D817" i="6"/>
  <c r="D817" i="6" a="1"/>
  <c r="B817" i="6"/>
  <c r="G816" i="6"/>
  <c r="D816" i="6" a="1"/>
  <c r="D816" i="6" s="1"/>
  <c r="B816" i="6"/>
  <c r="G815" i="6"/>
  <c r="D815" i="6"/>
  <c r="D815" i="6" a="1"/>
  <c r="B815" i="6"/>
  <c r="G814" i="6"/>
  <c r="D814" i="6"/>
  <c r="D814" i="6" a="1"/>
  <c r="B814" i="6"/>
  <c r="G813" i="6"/>
  <c r="D813" i="6" a="1"/>
  <c r="D813" i="6" s="1"/>
  <c r="B813" i="6"/>
  <c r="G812" i="6"/>
  <c r="D812" i="6"/>
  <c r="D812" i="6" a="1"/>
  <c r="B812" i="6"/>
  <c r="G811" i="6"/>
  <c r="D811" i="6" a="1"/>
  <c r="D811" i="6" s="1"/>
  <c r="B811" i="6"/>
  <c r="G810" i="6"/>
  <c r="D810" i="6" a="1"/>
  <c r="D810" i="6" s="1"/>
  <c r="B810" i="6"/>
  <c r="G809" i="6"/>
  <c r="D809" i="6" a="1"/>
  <c r="D809" i="6" s="1"/>
  <c r="B809" i="6"/>
  <c r="G808" i="6"/>
  <c r="D808" i="6" a="1"/>
  <c r="D808" i="6" s="1"/>
  <c r="B808" i="6"/>
  <c r="G807" i="6"/>
  <c r="D807" i="6" a="1"/>
  <c r="D807" i="6" s="1"/>
  <c r="B807" i="6"/>
  <c r="G806" i="6"/>
  <c r="D806" i="6" a="1"/>
  <c r="D806" i="6" s="1"/>
  <c r="B806" i="6"/>
  <c r="G805" i="6"/>
  <c r="D805" i="6"/>
  <c r="D805" i="6" a="1"/>
  <c r="B805" i="6"/>
  <c r="G804" i="6"/>
  <c r="D804" i="6" a="1"/>
  <c r="D804" i="6" s="1"/>
  <c r="B804" i="6"/>
  <c r="G803" i="6"/>
  <c r="D803" i="6" a="1"/>
  <c r="D803" i="6" s="1"/>
  <c r="B803" i="6"/>
  <c r="G802" i="6"/>
  <c r="D802" i="6"/>
  <c r="D802" i="6" a="1"/>
  <c r="B802" i="6"/>
  <c r="G801" i="6"/>
  <c r="D801" i="6" a="1"/>
  <c r="D801" i="6" s="1"/>
  <c r="B801" i="6"/>
  <c r="G800" i="6"/>
  <c r="D800" i="6"/>
  <c r="D800" i="6" a="1"/>
  <c r="B800" i="6"/>
  <c r="G799" i="6"/>
  <c r="D799" i="6"/>
  <c r="D799" i="6" a="1"/>
  <c r="B799" i="6"/>
  <c r="G798" i="6"/>
  <c r="D798" i="6" a="1"/>
  <c r="D798" i="6" s="1"/>
  <c r="B798" i="6"/>
  <c r="G797" i="6"/>
  <c r="D797" i="6"/>
  <c r="D797" i="6" a="1"/>
  <c r="B797" i="6"/>
  <c r="G796" i="6"/>
  <c r="D796" i="6" a="1"/>
  <c r="D796" i="6" s="1"/>
  <c r="B796" i="6"/>
  <c r="G795" i="6"/>
  <c r="D795" i="6" a="1"/>
  <c r="D795" i="6" s="1"/>
  <c r="B795" i="6"/>
  <c r="G794" i="6"/>
  <c r="D794" i="6" a="1"/>
  <c r="D794" i="6" s="1"/>
  <c r="B794" i="6"/>
  <c r="G793" i="6"/>
  <c r="D793" i="6" a="1"/>
  <c r="D793" i="6" s="1"/>
  <c r="B793" i="6"/>
  <c r="G792" i="6"/>
  <c r="D792" i="6" a="1"/>
  <c r="D792" i="6" s="1"/>
  <c r="B792" i="6"/>
  <c r="G791" i="6"/>
  <c r="D791" i="6" a="1"/>
  <c r="D791" i="6" s="1"/>
  <c r="B791" i="6"/>
  <c r="G790" i="6"/>
  <c r="D790" i="6" a="1"/>
  <c r="D790" i="6" s="1"/>
  <c r="B790" i="6"/>
  <c r="G789" i="6"/>
  <c r="D789" i="6" a="1"/>
  <c r="D789" i="6" s="1"/>
  <c r="B789" i="6"/>
  <c r="G788" i="6"/>
  <c r="D788" i="6" a="1"/>
  <c r="D788" i="6" s="1"/>
  <c r="B788" i="6"/>
  <c r="G787" i="6"/>
  <c r="D787" i="6"/>
  <c r="D787" i="6" a="1"/>
  <c r="B787" i="6"/>
  <c r="G786" i="6"/>
  <c r="D786" i="6" a="1"/>
  <c r="D786" i="6" s="1"/>
  <c r="B786" i="6"/>
  <c r="G785" i="6"/>
  <c r="D785" i="6" a="1"/>
  <c r="D785" i="6" s="1"/>
  <c r="B785" i="6"/>
  <c r="G784" i="6"/>
  <c r="D784" i="6" a="1"/>
  <c r="D784" i="6" s="1"/>
  <c r="B784" i="6"/>
  <c r="G783" i="6"/>
  <c r="D783" i="6" a="1"/>
  <c r="D783" i="6" s="1"/>
  <c r="B783" i="6"/>
  <c r="G782" i="6"/>
  <c r="D782" i="6"/>
  <c r="D782" i="6" a="1"/>
  <c r="B782" i="6"/>
  <c r="G781" i="6"/>
  <c r="D781" i="6" a="1"/>
  <c r="D781" i="6" s="1"/>
  <c r="B781" i="6"/>
  <c r="G780" i="6"/>
  <c r="D780" i="6" a="1"/>
  <c r="D780" i="6" s="1"/>
  <c r="B780" i="6"/>
  <c r="G779" i="6"/>
  <c r="D779" i="6"/>
  <c r="D779" i="6" a="1"/>
  <c r="B779" i="6"/>
  <c r="G778" i="6"/>
  <c r="D778" i="6"/>
  <c r="D778" i="6" a="1"/>
  <c r="B778" i="6"/>
  <c r="G777" i="6"/>
  <c r="D777" i="6" a="1"/>
  <c r="D777" i="6" s="1"/>
  <c r="B777" i="6"/>
  <c r="G776" i="6"/>
  <c r="D776" i="6"/>
  <c r="D776" i="6" a="1"/>
  <c r="B776" i="6"/>
  <c r="G775" i="6"/>
  <c r="D775" i="6" a="1"/>
  <c r="D775" i="6" s="1"/>
  <c r="B775" i="6"/>
  <c r="G774" i="6"/>
  <c r="D774" i="6" a="1"/>
  <c r="D774" i="6" s="1"/>
  <c r="B774" i="6"/>
  <c r="G773" i="6"/>
  <c r="D773" i="6"/>
  <c r="D773" i="6" a="1"/>
  <c r="B773" i="6"/>
  <c r="G772" i="6"/>
  <c r="D772" i="6" a="1"/>
  <c r="D772" i="6" s="1"/>
  <c r="B772" i="6"/>
  <c r="G771" i="6"/>
  <c r="D771" i="6" a="1"/>
  <c r="D771" i="6" s="1"/>
  <c r="B771" i="6"/>
  <c r="G770" i="6"/>
  <c r="D770" i="6" a="1"/>
  <c r="D770" i="6" s="1"/>
  <c r="B770" i="6"/>
  <c r="G769" i="6"/>
  <c r="D769" i="6"/>
  <c r="D769" i="6" a="1"/>
  <c r="B769" i="6"/>
  <c r="G768" i="6"/>
  <c r="D768" i="6" a="1"/>
  <c r="D768" i="6" s="1"/>
  <c r="B768" i="6"/>
  <c r="G767" i="6"/>
  <c r="D767" i="6" a="1"/>
  <c r="D767" i="6" s="1"/>
  <c r="B767" i="6"/>
  <c r="G766" i="6"/>
  <c r="D766" i="6"/>
  <c r="D766" i="6" a="1"/>
  <c r="B766" i="6"/>
  <c r="G765" i="6"/>
  <c r="D765" i="6" a="1"/>
  <c r="D765" i="6" s="1"/>
  <c r="B765" i="6"/>
  <c r="G764" i="6"/>
  <c r="D764" i="6" a="1"/>
  <c r="D764" i="6" s="1"/>
  <c r="B764" i="6"/>
  <c r="G763" i="6"/>
  <c r="D763" i="6"/>
  <c r="D763" i="6" a="1"/>
  <c r="B763" i="6"/>
  <c r="G762" i="6"/>
  <c r="D762" i="6" a="1"/>
  <c r="D762" i="6" s="1"/>
  <c r="B762" i="6"/>
  <c r="G761" i="6"/>
  <c r="D761" i="6" a="1"/>
  <c r="D761" i="6" s="1"/>
  <c r="B761" i="6"/>
  <c r="G760" i="6"/>
  <c r="D760" i="6"/>
  <c r="D760" i="6" a="1"/>
  <c r="B760" i="6"/>
  <c r="G759" i="6"/>
  <c r="D759" i="6" a="1"/>
  <c r="D759" i="6" s="1"/>
  <c r="B759" i="6"/>
  <c r="G758" i="6"/>
  <c r="D758" i="6" a="1"/>
  <c r="D758" i="6" s="1"/>
  <c r="B758" i="6"/>
  <c r="G757" i="6"/>
  <c r="D757" i="6"/>
  <c r="D757" i="6" a="1"/>
  <c r="B757" i="6"/>
  <c r="G756" i="6"/>
  <c r="D756" i="6" a="1"/>
  <c r="D756" i="6" s="1"/>
  <c r="B756" i="6"/>
  <c r="G755" i="6"/>
  <c r="D755" i="6" a="1"/>
  <c r="D755" i="6" s="1"/>
  <c r="B755" i="6"/>
  <c r="G754" i="6"/>
  <c r="D754" i="6"/>
  <c r="D754" i="6" a="1"/>
  <c r="B754" i="6"/>
  <c r="G753" i="6"/>
  <c r="D753" i="6" a="1"/>
  <c r="D753" i="6" s="1"/>
  <c r="B753" i="6"/>
  <c r="G752" i="6"/>
  <c r="D752" i="6" a="1"/>
  <c r="D752" i="6" s="1"/>
  <c r="B752" i="6"/>
  <c r="G751" i="6"/>
  <c r="D751" i="6"/>
  <c r="D751" i="6" a="1"/>
  <c r="B751" i="6"/>
  <c r="G750" i="6"/>
  <c r="D750" i="6" a="1"/>
  <c r="D750" i="6" s="1"/>
  <c r="B750" i="6"/>
  <c r="G749" i="6"/>
  <c r="D749" i="6" a="1"/>
  <c r="D749" i="6" s="1"/>
  <c r="B749" i="6"/>
  <c r="G748" i="6"/>
  <c r="D748" i="6"/>
  <c r="D748" i="6" a="1"/>
  <c r="B748" i="6"/>
  <c r="G747" i="6"/>
  <c r="D747" i="6" a="1"/>
  <c r="D747" i="6" s="1"/>
  <c r="B747" i="6"/>
  <c r="G746" i="6"/>
  <c r="D746" i="6" a="1"/>
  <c r="D746" i="6" s="1"/>
  <c r="B746" i="6"/>
  <c r="G745" i="6"/>
  <c r="D745" i="6"/>
  <c r="D745" i="6" a="1"/>
  <c r="B745" i="6"/>
  <c r="G744" i="6"/>
  <c r="D744" i="6" a="1"/>
  <c r="D744" i="6" s="1"/>
  <c r="B744" i="6"/>
  <c r="G743" i="6"/>
  <c r="D743" i="6"/>
  <c r="D743" i="6" a="1"/>
  <c r="B743" i="6"/>
  <c r="G742" i="6"/>
  <c r="D742" i="6"/>
  <c r="D742" i="6" a="1"/>
  <c r="B742" i="6"/>
  <c r="G741" i="6"/>
  <c r="D741" i="6" a="1"/>
  <c r="D741" i="6" s="1"/>
  <c r="B741" i="6"/>
  <c r="G740" i="6"/>
  <c r="D740" i="6"/>
  <c r="D740" i="6" a="1"/>
  <c r="B740" i="6"/>
  <c r="G739" i="6"/>
  <c r="D739" i="6"/>
  <c r="D739" i="6" a="1"/>
  <c r="B739" i="6"/>
  <c r="G738" i="6"/>
  <c r="D738" i="6" a="1"/>
  <c r="D738" i="6" s="1"/>
  <c r="B738" i="6"/>
  <c r="G737" i="6"/>
  <c r="D737" i="6" a="1"/>
  <c r="D737" i="6" s="1"/>
  <c r="B737" i="6"/>
  <c r="G736" i="6"/>
  <c r="D736" i="6"/>
  <c r="D736" i="6" a="1"/>
  <c r="B736" i="6"/>
  <c r="G735" i="6"/>
  <c r="D735" i="6" a="1"/>
  <c r="D735" i="6" s="1"/>
  <c r="B735" i="6"/>
  <c r="G734" i="6"/>
  <c r="D734" i="6" a="1"/>
  <c r="D734" i="6" s="1"/>
  <c r="B734" i="6"/>
  <c r="G733" i="6"/>
  <c r="D733" i="6"/>
  <c r="D733" i="6" a="1"/>
  <c r="B733" i="6"/>
  <c r="G732" i="6"/>
  <c r="D732" i="6" a="1"/>
  <c r="D732" i="6" s="1"/>
  <c r="B732" i="6"/>
  <c r="G731" i="6"/>
  <c r="D731" i="6" a="1"/>
  <c r="D731" i="6" s="1"/>
  <c r="B731" i="6"/>
  <c r="G730" i="6"/>
  <c r="D730" i="6"/>
  <c r="D730" i="6" a="1"/>
  <c r="B730" i="6"/>
  <c r="G729" i="6"/>
  <c r="D729" i="6" a="1"/>
  <c r="D729" i="6" s="1"/>
  <c r="B729" i="6"/>
  <c r="G728" i="6"/>
  <c r="D728" i="6"/>
  <c r="D728" i="6" a="1"/>
  <c r="B728" i="6"/>
  <c r="G727" i="6"/>
  <c r="D727" i="6"/>
  <c r="D727" i="6" a="1"/>
  <c r="B727" i="6"/>
  <c r="G726" i="6"/>
  <c r="D726" i="6" a="1"/>
  <c r="D726" i="6" s="1"/>
  <c r="B726" i="6"/>
  <c r="G725" i="6"/>
  <c r="D725" i="6" a="1"/>
  <c r="D725" i="6" s="1"/>
  <c r="B725" i="6"/>
  <c r="G724" i="6"/>
  <c r="D724" i="6"/>
  <c r="D724" i="6" a="1"/>
  <c r="B724" i="6"/>
  <c r="G723" i="6"/>
  <c r="D723" i="6" a="1"/>
  <c r="D723" i="6" s="1"/>
  <c r="B723" i="6"/>
  <c r="G722" i="6"/>
  <c r="D722" i="6" a="1"/>
  <c r="D722" i="6" s="1"/>
  <c r="B722" i="6"/>
  <c r="G721" i="6"/>
  <c r="D721" i="6"/>
  <c r="D721" i="6" a="1"/>
  <c r="B721" i="6"/>
  <c r="G720" i="6"/>
  <c r="D720" i="6" a="1"/>
  <c r="D720" i="6" s="1"/>
  <c r="B720" i="6"/>
  <c r="G719" i="6"/>
  <c r="D719" i="6" a="1"/>
  <c r="D719" i="6" s="1"/>
  <c r="B719" i="6"/>
  <c r="G718" i="6"/>
  <c r="D718" i="6"/>
  <c r="D718" i="6" a="1"/>
  <c r="B718" i="6"/>
  <c r="G717" i="6"/>
  <c r="D717" i="6" a="1"/>
  <c r="D717" i="6" s="1"/>
  <c r="B717" i="6"/>
  <c r="G716" i="6"/>
  <c r="D716" i="6" a="1"/>
  <c r="D716" i="6" s="1"/>
  <c r="B716" i="6"/>
  <c r="G715" i="6"/>
  <c r="D715" i="6"/>
  <c r="D715" i="6" a="1"/>
  <c r="B715" i="6"/>
  <c r="G714" i="6"/>
  <c r="D714" i="6" a="1"/>
  <c r="D714" i="6" s="1"/>
  <c r="B714" i="6"/>
  <c r="G713" i="6"/>
  <c r="D713" i="6" a="1"/>
  <c r="D713" i="6" s="1"/>
  <c r="B713" i="6"/>
  <c r="G712" i="6"/>
  <c r="D712" i="6"/>
  <c r="D712" i="6" a="1"/>
  <c r="B712" i="6"/>
  <c r="G711" i="6"/>
  <c r="D711" i="6" a="1"/>
  <c r="D711" i="6" s="1"/>
  <c r="B711" i="6"/>
  <c r="G710" i="6"/>
  <c r="D710" i="6" a="1"/>
  <c r="D710" i="6" s="1"/>
  <c r="B710" i="6"/>
  <c r="G709" i="6"/>
  <c r="D709" i="6"/>
  <c r="D709" i="6" a="1"/>
  <c r="B709" i="6"/>
  <c r="G708" i="6"/>
  <c r="D708" i="6" a="1"/>
  <c r="D708" i="6" s="1"/>
  <c r="B708" i="6"/>
  <c r="G707" i="6"/>
  <c r="D707" i="6"/>
  <c r="D707" i="6" a="1"/>
  <c r="B707" i="6"/>
  <c r="G706" i="6"/>
  <c r="D706" i="6"/>
  <c r="D706" i="6" a="1"/>
  <c r="B706" i="6"/>
  <c r="G705" i="6"/>
  <c r="D705" i="6" a="1"/>
  <c r="D705" i="6" s="1"/>
  <c r="B705" i="6"/>
  <c r="G704" i="6"/>
  <c r="D704" i="6"/>
  <c r="D704" i="6" a="1"/>
  <c r="B704" i="6"/>
  <c r="G703" i="6"/>
  <c r="D703" i="6"/>
  <c r="D703" i="6" a="1"/>
  <c r="B703" i="6"/>
  <c r="G702" i="6"/>
  <c r="D702" i="6" a="1"/>
  <c r="D702" i="6" s="1"/>
  <c r="B702" i="6"/>
  <c r="G701" i="6"/>
  <c r="D701" i="6" a="1"/>
  <c r="D701" i="6" s="1"/>
  <c r="B701" i="6"/>
  <c r="G700" i="6"/>
  <c r="D700" i="6"/>
  <c r="D700" i="6" a="1"/>
  <c r="B700" i="6"/>
  <c r="G699" i="6"/>
  <c r="D699" i="6" a="1"/>
  <c r="D699" i="6" s="1"/>
  <c r="B699" i="6"/>
  <c r="G698" i="6"/>
  <c r="D698" i="6" a="1"/>
  <c r="D698" i="6" s="1"/>
  <c r="B698" i="6"/>
  <c r="G697" i="6"/>
  <c r="D697" i="6"/>
  <c r="D697" i="6" a="1"/>
  <c r="B697" i="6"/>
  <c r="G696" i="6"/>
  <c r="D696" i="6" a="1"/>
  <c r="D696" i="6" s="1"/>
  <c r="B696" i="6"/>
  <c r="G695" i="6"/>
  <c r="D695" i="6" a="1"/>
  <c r="D695" i="6" s="1"/>
  <c r="B695" i="6"/>
  <c r="G694" i="6"/>
  <c r="D694" i="6"/>
  <c r="D694" i="6" a="1"/>
  <c r="B694" i="6"/>
  <c r="G693" i="6"/>
  <c r="D693" i="6" a="1"/>
  <c r="D693" i="6" s="1"/>
  <c r="B693" i="6"/>
  <c r="G692" i="6"/>
  <c r="D692" i="6"/>
  <c r="D692" i="6" a="1"/>
  <c r="B692" i="6"/>
  <c r="G691" i="6"/>
  <c r="D691" i="6"/>
  <c r="D691" i="6" a="1"/>
  <c r="B691" i="6"/>
  <c r="G690" i="6"/>
  <c r="D690" i="6" a="1"/>
  <c r="D690" i="6" s="1"/>
  <c r="B690" i="6"/>
  <c r="G689" i="6"/>
  <c r="D689" i="6" a="1"/>
  <c r="D689" i="6" s="1"/>
  <c r="B689" i="6"/>
  <c r="G688" i="6"/>
  <c r="D688" i="6"/>
  <c r="D688" i="6" a="1"/>
  <c r="B688" i="6"/>
  <c r="G687" i="6"/>
  <c r="D687" i="6" a="1"/>
  <c r="D687" i="6" s="1"/>
  <c r="B687" i="6"/>
  <c r="G686" i="6"/>
  <c r="D686" i="6" a="1"/>
  <c r="D686" i="6" s="1"/>
  <c r="B686" i="6"/>
  <c r="G685" i="6"/>
  <c r="D685" i="6"/>
  <c r="D685" i="6" a="1"/>
  <c r="B685" i="6"/>
  <c r="G684" i="6"/>
  <c r="D684" i="6" a="1"/>
  <c r="D684" i="6" s="1"/>
  <c r="B684" i="6"/>
  <c r="G683" i="6"/>
  <c r="D683" i="6" a="1"/>
  <c r="D683" i="6" s="1"/>
  <c r="B683" i="6"/>
  <c r="G682" i="6"/>
  <c r="D682" i="6"/>
  <c r="D682" i="6" a="1"/>
  <c r="B682" i="6"/>
  <c r="G681" i="6"/>
  <c r="D681" i="6" a="1"/>
  <c r="D681" i="6" s="1"/>
  <c r="B681" i="6"/>
  <c r="G680" i="6"/>
  <c r="D680" i="6" a="1"/>
  <c r="D680" i="6" s="1"/>
  <c r="B680" i="6"/>
  <c r="G679" i="6"/>
  <c r="D679" i="6"/>
  <c r="D679" i="6" a="1"/>
  <c r="B679" i="6"/>
  <c r="G678" i="6"/>
  <c r="D678" i="6" a="1"/>
  <c r="D678" i="6" s="1"/>
  <c r="B678" i="6"/>
  <c r="G677" i="6"/>
  <c r="D677" i="6" a="1"/>
  <c r="D677" i="6" s="1"/>
  <c r="B677" i="6"/>
  <c r="G676" i="6"/>
  <c r="D676" i="6"/>
  <c r="D676" i="6" a="1"/>
  <c r="B676" i="6"/>
  <c r="G675" i="6"/>
  <c r="D675" i="6" a="1"/>
  <c r="D675" i="6" s="1"/>
  <c r="B675" i="6"/>
  <c r="G674" i="6"/>
  <c r="D674" i="6" a="1"/>
  <c r="D674" i="6" s="1"/>
  <c r="B674" i="6"/>
  <c r="G673" i="6"/>
  <c r="D673" i="6"/>
  <c r="D673" i="6" a="1"/>
  <c r="B673" i="6"/>
  <c r="G672" i="6"/>
  <c r="D672" i="6" a="1"/>
  <c r="D672" i="6" s="1"/>
  <c r="B672" i="6"/>
  <c r="G671" i="6"/>
  <c r="D671" i="6"/>
  <c r="D671" i="6" a="1"/>
  <c r="B671" i="6"/>
  <c r="G670" i="6"/>
  <c r="D670" i="6"/>
  <c r="D670" i="6" a="1"/>
  <c r="B670" i="6"/>
  <c r="G669" i="6"/>
  <c r="D669" i="6" a="1"/>
  <c r="D669" i="6" s="1"/>
  <c r="B669" i="6"/>
  <c r="G668" i="6"/>
  <c r="D668" i="6"/>
  <c r="D668" i="6" a="1"/>
  <c r="B668" i="6"/>
  <c r="G667" i="6"/>
  <c r="D667" i="6"/>
  <c r="D667" i="6" a="1"/>
  <c r="B667" i="6"/>
  <c r="G666" i="6"/>
  <c r="D666" i="6" a="1"/>
  <c r="D666" i="6" s="1"/>
  <c r="B666" i="6"/>
  <c r="G665" i="6"/>
  <c r="D665" i="6" a="1"/>
  <c r="D665" i="6" s="1"/>
  <c r="B665" i="6"/>
  <c r="G664" i="6"/>
  <c r="D664" i="6"/>
  <c r="D664" i="6" a="1"/>
  <c r="B664" i="6"/>
  <c r="G663" i="6"/>
  <c r="D663" i="6" a="1"/>
  <c r="D663" i="6" s="1"/>
  <c r="B663" i="6"/>
  <c r="G662" i="6"/>
  <c r="D662" i="6" a="1"/>
  <c r="D662" i="6" s="1"/>
  <c r="B662" i="6"/>
  <c r="G661" i="6"/>
  <c r="D661" i="6"/>
  <c r="D661" i="6" a="1"/>
  <c r="B661" i="6"/>
  <c r="G660" i="6"/>
  <c r="D660" i="6" a="1"/>
  <c r="D660" i="6" s="1"/>
  <c r="B660" i="6"/>
  <c r="G659" i="6"/>
  <c r="D659" i="6" a="1"/>
  <c r="D659" i="6" s="1"/>
  <c r="B659" i="6"/>
  <c r="G658" i="6"/>
  <c r="D658" i="6"/>
  <c r="D658" i="6" a="1"/>
  <c r="B658" i="6"/>
  <c r="G657" i="6"/>
  <c r="D657" i="6" a="1"/>
  <c r="D657" i="6" s="1"/>
  <c r="B657" i="6"/>
  <c r="G656" i="6"/>
  <c r="D656" i="6"/>
  <c r="D656" i="6" a="1"/>
  <c r="B656" i="6"/>
  <c r="G655" i="6"/>
  <c r="D655" i="6"/>
  <c r="D655" i="6" a="1"/>
  <c r="B655" i="6"/>
  <c r="G654" i="6"/>
  <c r="D654" i="6" a="1"/>
  <c r="D654" i="6" s="1"/>
  <c r="B654" i="6"/>
  <c r="G653" i="6"/>
  <c r="D653" i="6" a="1"/>
  <c r="D653" i="6" s="1"/>
  <c r="B653" i="6"/>
  <c r="G652" i="6"/>
  <c r="D652" i="6"/>
  <c r="D652" i="6" a="1"/>
  <c r="B652" i="6"/>
  <c r="G651" i="6"/>
  <c r="D651" i="6" a="1"/>
  <c r="D651" i="6" s="1"/>
  <c r="B651" i="6"/>
  <c r="G650" i="6"/>
  <c r="D650" i="6" a="1"/>
  <c r="D650" i="6" s="1"/>
  <c r="B650" i="6"/>
  <c r="G649" i="6"/>
  <c r="D649" i="6"/>
  <c r="D649" i="6" a="1"/>
  <c r="B649" i="6"/>
  <c r="G648" i="6"/>
  <c r="D648" i="6" a="1"/>
  <c r="D648" i="6" s="1"/>
  <c r="B648" i="6"/>
  <c r="G647" i="6"/>
  <c r="D647" i="6" a="1"/>
  <c r="D647" i="6" s="1"/>
  <c r="B647" i="6"/>
  <c r="G646" i="6"/>
  <c r="D646" i="6"/>
  <c r="D646" i="6" a="1"/>
  <c r="B646" i="6"/>
  <c r="G645" i="6"/>
  <c r="D645" i="6" a="1"/>
  <c r="D645" i="6" s="1"/>
  <c r="B645" i="6"/>
  <c r="G644" i="6"/>
  <c r="D644" i="6" a="1"/>
  <c r="D644" i="6" s="1"/>
  <c r="B644" i="6"/>
  <c r="G643" i="6"/>
  <c r="D643" i="6"/>
  <c r="D643" i="6" a="1"/>
  <c r="B643" i="6"/>
  <c r="G642" i="6"/>
  <c r="D642" i="6" a="1"/>
  <c r="D642" i="6" s="1"/>
  <c r="B642" i="6"/>
  <c r="G641" i="6"/>
  <c r="D641" i="6" a="1"/>
  <c r="D641" i="6" s="1"/>
  <c r="B641" i="6"/>
  <c r="G640" i="6"/>
  <c r="D640" i="6"/>
  <c r="D640" i="6" a="1"/>
  <c r="B640" i="6"/>
  <c r="G639" i="6"/>
  <c r="D639" i="6" a="1"/>
  <c r="D639" i="6" s="1"/>
  <c r="B639" i="6"/>
  <c r="G638" i="6"/>
  <c r="D638" i="6" a="1"/>
  <c r="D638" i="6" s="1"/>
  <c r="B638" i="6"/>
  <c r="G637" i="6"/>
  <c r="D637" i="6"/>
  <c r="D637" i="6" a="1"/>
  <c r="B637" i="6"/>
  <c r="G636" i="6"/>
  <c r="D636" i="6" a="1"/>
  <c r="D636" i="6" s="1"/>
  <c r="B636" i="6"/>
  <c r="G635" i="6"/>
  <c r="D635" i="6"/>
  <c r="D635" i="6" a="1"/>
  <c r="B635" i="6"/>
  <c r="G634" i="6"/>
  <c r="D634" i="6"/>
  <c r="D634" i="6" a="1"/>
  <c r="B634" i="6"/>
  <c r="G633" i="6"/>
  <c r="D633" i="6" a="1"/>
  <c r="D633" i="6" s="1"/>
  <c r="B633" i="6"/>
  <c r="G632" i="6"/>
  <c r="D632" i="6"/>
  <c r="D632" i="6" a="1"/>
  <c r="B632" i="6"/>
  <c r="G631" i="6"/>
  <c r="D631" i="6"/>
  <c r="D631" i="6" a="1"/>
  <c r="B631" i="6"/>
  <c r="G630" i="6"/>
  <c r="D630" i="6" a="1"/>
  <c r="D630" i="6" s="1"/>
  <c r="B630" i="6"/>
  <c r="G629" i="6"/>
  <c r="D629" i="6" a="1"/>
  <c r="D629" i="6" s="1"/>
  <c r="B629" i="6"/>
  <c r="G628" i="6"/>
  <c r="D628" i="6"/>
  <c r="D628" i="6" a="1"/>
  <c r="B628" i="6"/>
  <c r="G627" i="6"/>
  <c r="D627" i="6" a="1"/>
  <c r="D627" i="6" s="1"/>
  <c r="B627" i="6"/>
  <c r="G626" i="6"/>
  <c r="D626" i="6" a="1"/>
  <c r="D626" i="6" s="1"/>
  <c r="B626" i="6"/>
  <c r="G625" i="6"/>
  <c r="D625" i="6"/>
  <c r="D625" i="6" a="1"/>
  <c r="B625" i="6"/>
  <c r="G624" i="6"/>
  <c r="D624" i="6" a="1"/>
  <c r="D624" i="6" s="1"/>
  <c r="B624" i="6"/>
  <c r="G623" i="6"/>
  <c r="D623" i="6" a="1"/>
  <c r="D623" i="6" s="1"/>
  <c r="B623" i="6"/>
  <c r="G622" i="6"/>
  <c r="D622" i="6"/>
  <c r="D622" i="6" a="1"/>
  <c r="B622" i="6"/>
  <c r="G621" i="6"/>
  <c r="D621" i="6" a="1"/>
  <c r="D621" i="6" s="1"/>
  <c r="B621" i="6"/>
  <c r="G620" i="6"/>
  <c r="D620" i="6"/>
  <c r="D620" i="6" a="1"/>
  <c r="B620" i="6"/>
  <c r="G619" i="6"/>
  <c r="D619" i="6"/>
  <c r="D619" i="6" a="1"/>
  <c r="B619" i="6"/>
  <c r="G618" i="6"/>
  <c r="D618" i="6" a="1"/>
  <c r="D618" i="6" s="1"/>
  <c r="B618" i="6"/>
  <c r="G617" i="6"/>
  <c r="D617" i="6" a="1"/>
  <c r="D617" i="6" s="1"/>
  <c r="B617" i="6"/>
  <c r="G616" i="6"/>
  <c r="D616" i="6"/>
  <c r="D616" i="6" a="1"/>
  <c r="B616" i="6"/>
  <c r="G615" i="6"/>
  <c r="D615" i="6" a="1"/>
  <c r="D615" i="6" s="1"/>
  <c r="B615" i="6"/>
  <c r="G614" i="6"/>
  <c r="D614" i="6" a="1"/>
  <c r="D614" i="6" s="1"/>
  <c r="B614" i="6"/>
  <c r="G613" i="6"/>
  <c r="D613" i="6"/>
  <c r="D613" i="6" a="1"/>
  <c r="B613" i="6"/>
  <c r="G612" i="6"/>
  <c r="D612" i="6" a="1"/>
  <c r="D612" i="6" s="1"/>
  <c r="B612" i="6"/>
  <c r="G611" i="6"/>
  <c r="D611" i="6" a="1"/>
  <c r="D611" i="6" s="1"/>
  <c r="B611" i="6"/>
  <c r="G610" i="6"/>
  <c r="D610" i="6"/>
  <c r="D610" i="6" a="1"/>
  <c r="B610" i="6"/>
  <c r="G609" i="6"/>
  <c r="D609" i="6" a="1"/>
  <c r="D609" i="6" s="1"/>
  <c r="B609" i="6"/>
  <c r="G608" i="6"/>
  <c r="D608" i="6" a="1"/>
  <c r="D608" i="6" s="1"/>
  <c r="B608" i="6"/>
  <c r="G607" i="6"/>
  <c r="D607" i="6"/>
  <c r="D607" i="6" a="1"/>
  <c r="B607" i="6"/>
  <c r="G606" i="6"/>
  <c r="D606" i="6" a="1"/>
  <c r="D606" i="6" s="1"/>
  <c r="B606" i="6"/>
  <c r="G605" i="6"/>
  <c r="D605" i="6" a="1"/>
  <c r="D605" i="6" s="1"/>
  <c r="B605" i="6"/>
  <c r="G604" i="6"/>
  <c r="D604" i="6"/>
  <c r="D604" i="6" a="1"/>
  <c r="B604" i="6"/>
  <c r="G603" i="6"/>
  <c r="D603" i="6" a="1"/>
  <c r="D603" i="6" s="1"/>
  <c r="B603" i="6"/>
  <c r="G602" i="6"/>
  <c r="D602" i="6" a="1"/>
  <c r="D602" i="6" s="1"/>
  <c r="B602" i="6"/>
  <c r="G601" i="6"/>
  <c r="D601" i="6"/>
  <c r="D601" i="6" a="1"/>
  <c r="B601" i="6"/>
  <c r="G600" i="6"/>
  <c r="D600" i="6" a="1"/>
  <c r="D600" i="6" s="1"/>
  <c r="B600" i="6"/>
  <c r="G599" i="6"/>
  <c r="D599" i="6"/>
  <c r="D599" i="6" a="1"/>
  <c r="B599" i="6"/>
  <c r="G598" i="6"/>
  <c r="D598" i="6"/>
  <c r="D598" i="6" a="1"/>
  <c r="B598" i="6"/>
  <c r="G597" i="6"/>
  <c r="D597" i="6" a="1"/>
  <c r="D597" i="6" s="1"/>
  <c r="B597" i="6"/>
  <c r="G596" i="6"/>
  <c r="D596" i="6"/>
  <c r="D596" i="6" a="1"/>
  <c r="B596" i="6"/>
  <c r="G595" i="6"/>
  <c r="D595" i="6"/>
  <c r="D595" i="6" a="1"/>
  <c r="B595" i="6"/>
  <c r="G594" i="6"/>
  <c r="D594" i="6" a="1"/>
  <c r="D594" i="6" s="1"/>
  <c r="B594" i="6"/>
  <c r="G593" i="6"/>
  <c r="D593" i="6" a="1"/>
  <c r="D593" i="6" s="1"/>
  <c r="B593" i="6"/>
  <c r="G592" i="6"/>
  <c r="D592" i="6" a="1"/>
  <c r="D592" i="6" s="1"/>
  <c r="B592" i="6"/>
  <c r="G591" i="6"/>
  <c r="D591" i="6" a="1"/>
  <c r="D591" i="6" s="1"/>
  <c r="B591" i="6"/>
  <c r="G590" i="6"/>
  <c r="D590" i="6" a="1"/>
  <c r="D590" i="6" s="1"/>
  <c r="B590" i="6"/>
  <c r="G589" i="6"/>
  <c r="D589" i="6" a="1"/>
  <c r="D589" i="6" s="1"/>
  <c r="B589" i="6"/>
  <c r="G588" i="6"/>
  <c r="D588" i="6" a="1"/>
  <c r="D588" i="6" s="1"/>
  <c r="B588" i="6"/>
  <c r="G587" i="6"/>
  <c r="D587" i="6"/>
  <c r="D587" i="6" a="1"/>
  <c r="B587" i="6"/>
  <c r="G586" i="6"/>
  <c r="D586" i="6" a="1"/>
  <c r="D586" i="6" s="1"/>
  <c r="B586" i="6"/>
  <c r="G585" i="6"/>
  <c r="D585" i="6" a="1"/>
  <c r="D585" i="6" s="1"/>
  <c r="B585" i="6"/>
  <c r="G584" i="6"/>
  <c r="D584" i="6" a="1"/>
  <c r="D584" i="6" s="1"/>
  <c r="B584" i="6"/>
  <c r="G583" i="6"/>
  <c r="D583" i="6" a="1"/>
  <c r="D583" i="6" s="1"/>
  <c r="B583" i="6"/>
  <c r="G582" i="6"/>
  <c r="D582" i="6" a="1"/>
  <c r="D582" i="6" s="1"/>
  <c r="B582" i="6"/>
  <c r="G581" i="6"/>
  <c r="D581" i="6" a="1"/>
  <c r="D581" i="6" s="1"/>
  <c r="B581" i="6"/>
  <c r="G580" i="6"/>
  <c r="D580" i="6" a="1"/>
  <c r="D580" i="6" s="1"/>
  <c r="B580" i="6"/>
  <c r="G579" i="6"/>
  <c r="D579" i="6"/>
  <c r="D579" i="6" a="1"/>
  <c r="B579" i="6"/>
  <c r="G578" i="6"/>
  <c r="D578" i="6" a="1"/>
  <c r="D578" i="6" s="1"/>
  <c r="B578" i="6"/>
  <c r="G577" i="6"/>
  <c r="D577" i="6" a="1"/>
  <c r="D577" i="6" s="1"/>
  <c r="B577" i="6"/>
  <c r="G576" i="6"/>
  <c r="D576" i="6"/>
  <c r="D576" i="6" a="1"/>
  <c r="B576" i="6"/>
  <c r="G575" i="6"/>
  <c r="D575" i="6" a="1"/>
  <c r="D575" i="6" s="1"/>
  <c r="B575" i="6"/>
  <c r="G574" i="6"/>
  <c r="D574" i="6" a="1"/>
  <c r="D574" i="6" s="1"/>
  <c r="B574" i="6"/>
  <c r="G573" i="6"/>
  <c r="D573" i="6" a="1"/>
  <c r="D573" i="6" s="1"/>
  <c r="B573" i="6"/>
  <c r="G572" i="6"/>
  <c r="D572" i="6" a="1"/>
  <c r="D572" i="6" s="1"/>
  <c r="B572" i="6"/>
  <c r="G571" i="6"/>
  <c r="D571" i="6" a="1"/>
  <c r="D571" i="6" s="1"/>
  <c r="B571" i="6"/>
  <c r="G570" i="6"/>
  <c r="D570" i="6" a="1"/>
  <c r="D570" i="6" s="1"/>
  <c r="B570" i="6"/>
  <c r="G569" i="6"/>
  <c r="D569" i="6" a="1"/>
  <c r="D569" i="6" s="1"/>
  <c r="B569" i="6"/>
  <c r="G568" i="6"/>
  <c r="D568" i="6" a="1"/>
  <c r="D568" i="6" s="1"/>
  <c r="B568" i="6"/>
  <c r="G567" i="6"/>
  <c r="D567" i="6" a="1"/>
  <c r="D567" i="6" s="1"/>
  <c r="B567" i="6"/>
  <c r="G566" i="6"/>
  <c r="D566" i="6"/>
  <c r="D566" i="6" a="1"/>
  <c r="B566" i="6"/>
  <c r="G565" i="6"/>
  <c r="D565" i="6" a="1"/>
  <c r="D565" i="6" s="1"/>
  <c r="B565" i="6"/>
  <c r="G564" i="6"/>
  <c r="D564" i="6"/>
  <c r="D564" i="6" a="1"/>
  <c r="B564" i="6"/>
  <c r="G563" i="6"/>
  <c r="D563" i="6"/>
  <c r="D563" i="6" a="1"/>
  <c r="B563" i="6"/>
  <c r="G562" i="6"/>
  <c r="D562" i="6" a="1"/>
  <c r="D562" i="6" s="1"/>
  <c r="B562" i="6"/>
  <c r="G561" i="6"/>
  <c r="D561" i="6" a="1"/>
  <c r="D561" i="6" s="1"/>
  <c r="B561" i="6"/>
  <c r="G560" i="6"/>
  <c r="D560" i="6"/>
  <c r="D560" i="6" a="1"/>
  <c r="B560" i="6"/>
  <c r="G559" i="6"/>
  <c r="D559" i="6" a="1"/>
  <c r="D559" i="6" s="1"/>
  <c r="B559" i="6"/>
  <c r="G558" i="6"/>
  <c r="D558" i="6" a="1"/>
  <c r="D558" i="6" s="1"/>
  <c r="B558" i="6"/>
  <c r="G557" i="6"/>
  <c r="D557" i="6" a="1"/>
  <c r="D557" i="6" s="1"/>
  <c r="B557" i="6"/>
  <c r="G556" i="6"/>
  <c r="D556" i="6" a="1"/>
  <c r="D556" i="6" s="1"/>
  <c r="B556" i="6"/>
  <c r="G555" i="6"/>
  <c r="D555" i="6" a="1"/>
  <c r="D555" i="6" s="1"/>
  <c r="B555" i="6"/>
  <c r="G554" i="6"/>
  <c r="D554" i="6" a="1"/>
  <c r="D554" i="6" s="1"/>
  <c r="B554" i="6"/>
  <c r="G553" i="6"/>
  <c r="D553" i="6" a="1"/>
  <c r="D553" i="6" s="1"/>
  <c r="B553" i="6"/>
  <c r="G552" i="6"/>
  <c r="D552" i="6" a="1"/>
  <c r="D552" i="6" s="1"/>
  <c r="B552" i="6"/>
  <c r="G551" i="6"/>
  <c r="D551" i="6"/>
  <c r="D551" i="6" a="1"/>
  <c r="B551" i="6"/>
  <c r="G550" i="6"/>
  <c r="D550" i="6" a="1"/>
  <c r="D550" i="6" s="1"/>
  <c r="B550" i="6"/>
  <c r="G549" i="6"/>
  <c r="D549" i="6" a="1"/>
  <c r="D549" i="6" s="1"/>
  <c r="B549" i="6"/>
  <c r="G548" i="6"/>
  <c r="D548" i="6" a="1"/>
  <c r="D548" i="6" s="1"/>
  <c r="B548" i="6"/>
  <c r="G547" i="6"/>
  <c r="D547" i="6" a="1"/>
  <c r="D547" i="6" s="1"/>
  <c r="B547" i="6"/>
  <c r="G546" i="6"/>
  <c r="D546" i="6" a="1"/>
  <c r="D546" i="6" s="1"/>
  <c r="B546" i="6"/>
  <c r="G545" i="6"/>
  <c r="D545" i="6" a="1"/>
  <c r="D545" i="6" s="1"/>
  <c r="B545" i="6"/>
  <c r="G544" i="6"/>
  <c r="D544" i="6" a="1"/>
  <c r="D544" i="6" s="1"/>
  <c r="B544" i="6"/>
  <c r="G543" i="6"/>
  <c r="D543" i="6"/>
  <c r="D543" i="6" a="1"/>
  <c r="B543" i="6"/>
  <c r="G542" i="6"/>
  <c r="D542" i="6" a="1"/>
  <c r="D542" i="6" s="1"/>
  <c r="B542" i="6"/>
  <c r="G541" i="6"/>
  <c r="D541" i="6" a="1"/>
  <c r="D541" i="6" s="1"/>
  <c r="B541" i="6"/>
  <c r="G540" i="6"/>
  <c r="D540" i="6"/>
  <c r="D540" i="6" a="1"/>
  <c r="B540" i="6"/>
  <c r="G539" i="6"/>
  <c r="D539" i="6" a="1"/>
  <c r="D539" i="6" s="1"/>
  <c r="B539" i="6"/>
  <c r="G538" i="6"/>
  <c r="D538" i="6" a="1"/>
  <c r="D538" i="6" s="1"/>
  <c r="B538" i="6"/>
  <c r="G537" i="6"/>
  <c r="D537" i="6" a="1"/>
  <c r="D537" i="6" s="1"/>
  <c r="B537" i="6"/>
  <c r="G536" i="6"/>
  <c r="D536" i="6" a="1"/>
  <c r="D536" i="6" s="1"/>
  <c r="B536" i="6"/>
  <c r="G535" i="6"/>
  <c r="D535" i="6" a="1"/>
  <c r="D535" i="6" s="1"/>
  <c r="B535" i="6"/>
  <c r="G534" i="6"/>
  <c r="D534" i="6" a="1"/>
  <c r="D534" i="6" s="1"/>
  <c r="B534" i="6"/>
  <c r="G533" i="6"/>
  <c r="D533" i="6" a="1"/>
  <c r="D533" i="6" s="1"/>
  <c r="B533" i="6"/>
  <c r="G532" i="6"/>
  <c r="D532" i="6" a="1"/>
  <c r="D532" i="6" s="1"/>
  <c r="B532" i="6"/>
  <c r="G531" i="6"/>
  <c r="D531" i="6" a="1"/>
  <c r="D531" i="6" s="1"/>
  <c r="B531" i="6"/>
  <c r="G530" i="6"/>
  <c r="D530" i="6"/>
  <c r="D530" i="6" a="1"/>
  <c r="B530" i="6"/>
  <c r="G529" i="6"/>
  <c r="D529" i="6" a="1"/>
  <c r="D529" i="6" s="1"/>
  <c r="B529" i="6"/>
  <c r="G528" i="6"/>
  <c r="D528" i="6"/>
  <c r="D528" i="6" a="1"/>
  <c r="B528" i="6"/>
  <c r="G527" i="6"/>
  <c r="D527" i="6"/>
  <c r="D527" i="6" a="1"/>
  <c r="B527" i="6"/>
  <c r="G526" i="6"/>
  <c r="D526" i="6" a="1"/>
  <c r="D526" i="6" s="1"/>
  <c r="B526" i="6"/>
  <c r="G525" i="6"/>
  <c r="D525" i="6" a="1"/>
  <c r="D525" i="6" s="1"/>
  <c r="B525" i="6"/>
  <c r="G524" i="6"/>
  <c r="D524" i="6"/>
  <c r="D524" i="6" a="1"/>
  <c r="B524" i="6"/>
  <c r="G523" i="6"/>
  <c r="D523" i="6" a="1"/>
  <c r="D523" i="6" s="1"/>
  <c r="B523" i="6"/>
  <c r="G522" i="6"/>
  <c r="D522" i="6" a="1"/>
  <c r="D522" i="6" s="1"/>
  <c r="B522" i="6"/>
  <c r="G521" i="6"/>
  <c r="D521" i="6" a="1"/>
  <c r="D521" i="6" s="1"/>
  <c r="B521" i="6"/>
  <c r="G520" i="6"/>
  <c r="D520" i="6" a="1"/>
  <c r="D520" i="6" s="1"/>
  <c r="B520" i="6"/>
  <c r="G519" i="6"/>
  <c r="D519" i="6" a="1"/>
  <c r="D519" i="6" s="1"/>
  <c r="B519" i="6"/>
  <c r="G518" i="6"/>
  <c r="D518" i="6" a="1"/>
  <c r="D518" i="6" s="1"/>
  <c r="B518" i="6"/>
  <c r="G517" i="6"/>
  <c r="D517" i="6" a="1"/>
  <c r="D517" i="6" s="1"/>
  <c r="B517" i="6"/>
  <c r="G516" i="6"/>
  <c r="D516" i="6" a="1"/>
  <c r="D516" i="6" s="1"/>
  <c r="B516" i="6"/>
  <c r="G515" i="6"/>
  <c r="D515" i="6"/>
  <c r="D515" i="6" a="1"/>
  <c r="B515" i="6"/>
  <c r="G514" i="6"/>
  <c r="D514" i="6" a="1"/>
  <c r="D514" i="6" s="1"/>
  <c r="B514" i="6"/>
  <c r="G513" i="6"/>
  <c r="D513" i="6" a="1"/>
  <c r="D513" i="6" s="1"/>
  <c r="B513" i="6"/>
  <c r="G512" i="6"/>
  <c r="D512" i="6" a="1"/>
  <c r="D512" i="6" s="1"/>
  <c r="B512" i="6"/>
  <c r="G511" i="6"/>
  <c r="D511" i="6" a="1"/>
  <c r="D511" i="6" s="1"/>
  <c r="B511" i="6"/>
  <c r="G510" i="6"/>
  <c r="D510" i="6" a="1"/>
  <c r="D510" i="6" s="1"/>
  <c r="B510" i="6"/>
  <c r="G509" i="6"/>
  <c r="D509" i="6" a="1"/>
  <c r="D509" i="6" s="1"/>
  <c r="B509" i="6"/>
  <c r="G508" i="6"/>
  <c r="D508" i="6" a="1"/>
  <c r="D508" i="6" s="1"/>
  <c r="B508" i="6"/>
  <c r="G507" i="6"/>
  <c r="D507" i="6"/>
  <c r="D507" i="6" a="1"/>
  <c r="B507" i="6"/>
  <c r="G506" i="6"/>
  <c r="D506" i="6" a="1"/>
  <c r="D506" i="6" s="1"/>
  <c r="B506" i="6"/>
  <c r="G505" i="6"/>
  <c r="D505" i="6" a="1"/>
  <c r="D505" i="6" s="1"/>
  <c r="B505" i="6"/>
  <c r="G504" i="6"/>
  <c r="D504" i="6"/>
  <c r="D504" i="6" a="1"/>
  <c r="B504" i="6"/>
  <c r="G503" i="6"/>
  <c r="D503" i="6" a="1"/>
  <c r="D503" i="6" s="1"/>
  <c r="B503" i="6"/>
  <c r="G502" i="6"/>
  <c r="D502" i="6" a="1"/>
  <c r="D502" i="6" s="1"/>
  <c r="B502" i="6"/>
  <c r="G501" i="6"/>
  <c r="D501" i="6" a="1"/>
  <c r="D501" i="6" s="1"/>
  <c r="B501" i="6"/>
  <c r="G500" i="6"/>
  <c r="D500" i="6" a="1"/>
  <c r="D500" i="6" s="1"/>
  <c r="B500" i="6"/>
  <c r="G499" i="6"/>
  <c r="D499" i="6" a="1"/>
  <c r="D499" i="6" s="1"/>
  <c r="B499" i="6"/>
  <c r="G498" i="6"/>
  <c r="D498" i="6" a="1"/>
  <c r="D498" i="6" s="1"/>
  <c r="B498" i="6"/>
  <c r="G497" i="6"/>
  <c r="D497" i="6" a="1"/>
  <c r="D497" i="6" s="1"/>
  <c r="B497" i="6"/>
  <c r="G496" i="6"/>
  <c r="D496" i="6" a="1"/>
  <c r="D496" i="6" s="1"/>
  <c r="B496" i="6"/>
  <c r="G495" i="6"/>
  <c r="D495" i="6" a="1"/>
  <c r="D495" i="6" s="1"/>
  <c r="B495" i="6"/>
  <c r="G494" i="6"/>
  <c r="D494" i="6"/>
  <c r="D494" i="6" a="1"/>
  <c r="B494" i="6"/>
  <c r="G493" i="6"/>
  <c r="D493" i="6" a="1"/>
  <c r="D493" i="6" s="1"/>
  <c r="B493" i="6"/>
  <c r="G492" i="6"/>
  <c r="D492" i="6"/>
  <c r="D492" i="6" a="1"/>
  <c r="B492" i="6"/>
  <c r="G491" i="6"/>
  <c r="D491" i="6"/>
  <c r="D491" i="6" a="1"/>
  <c r="B491" i="6"/>
  <c r="G490" i="6"/>
  <c r="D490" i="6" a="1"/>
  <c r="D490" i="6" s="1"/>
  <c r="B490" i="6"/>
  <c r="G489" i="6"/>
  <c r="D489" i="6" a="1"/>
  <c r="D489" i="6" s="1"/>
  <c r="B489" i="6"/>
  <c r="G488" i="6"/>
  <c r="D488" i="6"/>
  <c r="D488" i="6" a="1"/>
  <c r="B488" i="6"/>
  <c r="G487" i="6"/>
  <c r="D487" i="6" a="1"/>
  <c r="D487" i="6" s="1"/>
  <c r="B487" i="6"/>
  <c r="G486" i="6"/>
  <c r="D486" i="6" a="1"/>
  <c r="D486" i="6" s="1"/>
  <c r="B486" i="6"/>
  <c r="G485" i="6"/>
  <c r="D485" i="6" a="1"/>
  <c r="D485" i="6" s="1"/>
  <c r="B485" i="6"/>
  <c r="G484" i="6"/>
  <c r="D484" i="6" a="1"/>
  <c r="D484" i="6" s="1"/>
  <c r="B484" i="6"/>
  <c r="G483" i="6"/>
  <c r="D483" i="6" a="1"/>
  <c r="D483" i="6" s="1"/>
  <c r="B483" i="6"/>
  <c r="G482" i="6"/>
  <c r="D482" i="6" a="1"/>
  <c r="D482" i="6" s="1"/>
  <c r="B482" i="6"/>
  <c r="G481" i="6"/>
  <c r="D481" i="6" a="1"/>
  <c r="D481" i="6" s="1"/>
  <c r="B481" i="6"/>
  <c r="G480" i="6"/>
  <c r="D480" i="6" a="1"/>
  <c r="D480" i="6" s="1"/>
  <c r="B480" i="6"/>
  <c r="G479" i="6"/>
  <c r="D479" i="6"/>
  <c r="D479" i="6" a="1"/>
  <c r="B479" i="6"/>
  <c r="G478" i="6"/>
  <c r="D478" i="6" a="1"/>
  <c r="D478" i="6" s="1"/>
  <c r="B478" i="6"/>
  <c r="G477" i="6"/>
  <c r="D477" i="6" a="1"/>
  <c r="D477" i="6" s="1"/>
  <c r="B477" i="6"/>
  <c r="G476" i="6"/>
  <c r="D476" i="6" a="1"/>
  <c r="D476" i="6" s="1"/>
  <c r="B476" i="6"/>
  <c r="G475" i="6"/>
  <c r="D475" i="6" a="1"/>
  <c r="D475" i="6" s="1"/>
  <c r="B475" i="6"/>
  <c r="G474" i="6"/>
  <c r="D474" i="6" a="1"/>
  <c r="D474" i="6" s="1"/>
  <c r="B474" i="6"/>
  <c r="G473" i="6"/>
  <c r="D473" i="6" a="1"/>
  <c r="D473" i="6" s="1"/>
  <c r="B473" i="6"/>
  <c r="G472" i="6"/>
  <c r="D472" i="6" a="1"/>
  <c r="D472" i="6" s="1"/>
  <c r="B472" i="6"/>
  <c r="G471" i="6"/>
  <c r="D471" i="6"/>
  <c r="D471" i="6" a="1"/>
  <c r="B471" i="6"/>
  <c r="G470" i="6"/>
  <c r="D470" i="6" a="1"/>
  <c r="D470" i="6" s="1"/>
  <c r="B470" i="6"/>
  <c r="G469" i="6"/>
  <c r="D469" i="6" a="1"/>
  <c r="D469" i="6" s="1"/>
  <c r="B469" i="6"/>
  <c r="G468" i="6"/>
  <c r="D468" i="6"/>
  <c r="D468" i="6" a="1"/>
  <c r="B468" i="6"/>
  <c r="G467" i="6"/>
  <c r="D467" i="6" a="1"/>
  <c r="D467" i="6" s="1"/>
  <c r="B467" i="6"/>
  <c r="G466" i="6"/>
  <c r="D466" i="6" a="1"/>
  <c r="D466" i="6" s="1"/>
  <c r="B466" i="6"/>
  <c r="G465" i="6"/>
  <c r="D465" i="6" a="1"/>
  <c r="D465" i="6" s="1"/>
  <c r="B465" i="6"/>
  <c r="G464" i="6"/>
  <c r="D464" i="6" a="1"/>
  <c r="D464" i="6" s="1"/>
  <c r="B464" i="6"/>
  <c r="G463" i="6"/>
  <c r="D463" i="6" a="1"/>
  <c r="D463" i="6" s="1"/>
  <c r="B463" i="6"/>
  <c r="G462" i="6"/>
  <c r="D462" i="6" a="1"/>
  <c r="D462" i="6" s="1"/>
  <c r="B462" i="6"/>
  <c r="G461" i="6"/>
  <c r="D461" i="6" a="1"/>
  <c r="D461" i="6" s="1"/>
  <c r="B461" i="6"/>
  <c r="G460" i="6"/>
  <c r="D460" i="6" a="1"/>
  <c r="D460" i="6" s="1"/>
  <c r="B460" i="6"/>
  <c r="G459" i="6"/>
  <c r="D459" i="6" a="1"/>
  <c r="D459" i="6" s="1"/>
  <c r="B459" i="6"/>
  <c r="G458" i="6"/>
  <c r="D458" i="6"/>
  <c r="D458" i="6" a="1"/>
  <c r="B458" i="6"/>
  <c r="G457" i="6"/>
  <c r="D457" i="6" a="1"/>
  <c r="D457" i="6" s="1"/>
  <c r="B457" i="6"/>
  <c r="G456" i="6"/>
  <c r="D456" i="6"/>
  <c r="D456" i="6" a="1"/>
  <c r="B456" i="6"/>
  <c r="G455" i="6"/>
  <c r="D455" i="6"/>
  <c r="D455" i="6" a="1"/>
  <c r="B455" i="6"/>
  <c r="G454" i="6"/>
  <c r="D454" i="6" a="1"/>
  <c r="D454" i="6" s="1"/>
  <c r="B454" i="6"/>
  <c r="G453" i="6"/>
  <c r="D453" i="6" a="1"/>
  <c r="D453" i="6" s="1"/>
  <c r="B453" i="6"/>
  <c r="G452" i="6"/>
  <c r="D452" i="6"/>
  <c r="D452" i="6" a="1"/>
  <c r="B452" i="6"/>
  <c r="G451" i="6"/>
  <c r="D451" i="6" a="1"/>
  <c r="D451" i="6" s="1"/>
  <c r="B451" i="6"/>
  <c r="G450" i="6"/>
  <c r="D450" i="6" a="1"/>
  <c r="D450" i="6" s="1"/>
  <c r="B450" i="6"/>
  <c r="G449" i="6"/>
  <c r="D449" i="6" a="1"/>
  <c r="D449" i="6" s="1"/>
  <c r="B449" i="6"/>
  <c r="G448" i="6"/>
  <c r="D448" i="6" a="1"/>
  <c r="D448" i="6" s="1"/>
  <c r="B448" i="6"/>
  <c r="G447" i="6"/>
  <c r="D447" i="6" a="1"/>
  <c r="D447" i="6" s="1"/>
  <c r="B447" i="6"/>
  <c r="G446" i="6"/>
  <c r="D446" i="6" a="1"/>
  <c r="D446" i="6" s="1"/>
  <c r="B446" i="6"/>
  <c r="G445" i="6"/>
  <c r="D445" i="6" a="1"/>
  <c r="D445" i="6" s="1"/>
  <c r="B445" i="6"/>
  <c r="G444" i="6"/>
  <c r="D444" i="6" a="1"/>
  <c r="D444" i="6" s="1"/>
  <c r="B444" i="6"/>
  <c r="G443" i="6"/>
  <c r="D443" i="6"/>
  <c r="D443" i="6" a="1"/>
  <c r="B443" i="6"/>
  <c r="G442" i="6"/>
  <c r="D442" i="6" a="1"/>
  <c r="D442" i="6" s="1"/>
  <c r="B442" i="6"/>
  <c r="G441" i="6"/>
  <c r="D441" i="6" a="1"/>
  <c r="D441" i="6" s="1"/>
  <c r="B441" i="6"/>
  <c r="G440" i="6"/>
  <c r="D440" i="6" a="1"/>
  <c r="D440" i="6" s="1"/>
  <c r="B440" i="6"/>
  <c r="G439" i="6"/>
  <c r="D439" i="6" a="1"/>
  <c r="D439" i="6" s="1"/>
  <c r="B439" i="6"/>
  <c r="G438" i="6"/>
  <c r="D438" i="6" a="1"/>
  <c r="D438" i="6" s="1"/>
  <c r="B438" i="6"/>
  <c r="G437" i="6"/>
  <c r="D437" i="6" a="1"/>
  <c r="D437" i="6" s="1"/>
  <c r="B437" i="6"/>
  <c r="G436" i="6"/>
  <c r="D436" i="6" a="1"/>
  <c r="D436" i="6" s="1"/>
  <c r="B436" i="6"/>
  <c r="G435" i="6"/>
  <c r="D435" i="6"/>
  <c r="D435" i="6" a="1"/>
  <c r="B435" i="6"/>
  <c r="G434" i="6"/>
  <c r="D434" i="6" a="1"/>
  <c r="D434" i="6" s="1"/>
  <c r="B434" i="6"/>
  <c r="G433" i="6"/>
  <c r="D433" i="6" a="1"/>
  <c r="D433" i="6" s="1"/>
  <c r="B433" i="6"/>
  <c r="G432" i="6"/>
  <c r="D432" i="6"/>
  <c r="D432" i="6" a="1"/>
  <c r="B432" i="6"/>
  <c r="G431" i="6"/>
  <c r="D431" i="6" a="1"/>
  <c r="D431" i="6" s="1"/>
  <c r="B431" i="6"/>
  <c r="G430" i="6"/>
  <c r="D430" i="6" a="1"/>
  <c r="D430" i="6" s="1"/>
  <c r="B430" i="6"/>
  <c r="G429" i="6"/>
  <c r="D429" i="6" a="1"/>
  <c r="D429" i="6" s="1"/>
  <c r="B429" i="6"/>
  <c r="G428" i="6"/>
  <c r="D428" i="6" a="1"/>
  <c r="D428" i="6" s="1"/>
  <c r="B428" i="6"/>
  <c r="G427" i="6"/>
  <c r="D427" i="6" a="1"/>
  <c r="D427" i="6" s="1"/>
  <c r="B427" i="6"/>
  <c r="G426" i="6"/>
  <c r="D426" i="6" a="1"/>
  <c r="D426" i="6" s="1"/>
  <c r="B426" i="6"/>
  <c r="G425" i="6"/>
  <c r="D425" i="6" a="1"/>
  <c r="D425" i="6" s="1"/>
  <c r="B425" i="6"/>
  <c r="G424" i="6"/>
  <c r="D424" i="6" a="1"/>
  <c r="D424" i="6" s="1"/>
  <c r="B424" i="6"/>
  <c r="G423" i="6"/>
  <c r="D423" i="6" a="1"/>
  <c r="D423" i="6" s="1"/>
  <c r="B423" i="6"/>
  <c r="G422" i="6"/>
  <c r="D422" i="6"/>
  <c r="D422" i="6" a="1"/>
  <c r="B422" i="6"/>
  <c r="G421" i="6"/>
  <c r="D421" i="6" a="1"/>
  <c r="D421" i="6" s="1"/>
  <c r="B421" i="6"/>
  <c r="G420" i="6"/>
  <c r="D420" i="6"/>
  <c r="D420" i="6" a="1"/>
  <c r="B420" i="6"/>
  <c r="G419" i="6"/>
  <c r="D419" i="6"/>
  <c r="D419" i="6" a="1"/>
  <c r="B419" i="6"/>
  <c r="G418" i="6"/>
  <c r="D418" i="6" a="1"/>
  <c r="D418" i="6" s="1"/>
  <c r="B418" i="6"/>
  <c r="G417" i="6"/>
  <c r="D417" i="6" a="1"/>
  <c r="D417" i="6" s="1"/>
  <c r="B417" i="6"/>
  <c r="G416" i="6"/>
  <c r="D416" i="6"/>
  <c r="D416" i="6" a="1"/>
  <c r="B416" i="6"/>
  <c r="G415" i="6"/>
  <c r="D415" i="6" a="1"/>
  <c r="D415" i="6" s="1"/>
  <c r="B415" i="6"/>
  <c r="G414" i="6"/>
  <c r="D414" i="6" a="1"/>
  <c r="D414" i="6" s="1"/>
  <c r="B414" i="6"/>
  <c r="G413" i="6"/>
  <c r="D413" i="6" a="1"/>
  <c r="D413" i="6" s="1"/>
  <c r="B413" i="6"/>
  <c r="G412" i="6"/>
  <c r="D412" i="6" a="1"/>
  <c r="D412" i="6" s="1"/>
  <c r="B412" i="6"/>
  <c r="G411" i="6"/>
  <c r="D411" i="6" a="1"/>
  <c r="D411" i="6" s="1"/>
  <c r="B411" i="6"/>
  <c r="G410" i="6"/>
  <c r="D410" i="6" a="1"/>
  <c r="D410" i="6" s="1"/>
  <c r="B410" i="6"/>
  <c r="G409" i="6"/>
  <c r="D409" i="6" a="1"/>
  <c r="D409" i="6" s="1"/>
  <c r="B409" i="6"/>
  <c r="G408" i="6"/>
  <c r="D408" i="6" a="1"/>
  <c r="D408" i="6" s="1"/>
  <c r="B408" i="6"/>
  <c r="G407" i="6"/>
  <c r="D407" i="6"/>
  <c r="D407" i="6" a="1"/>
  <c r="B407" i="6"/>
  <c r="G406" i="6"/>
  <c r="D406" i="6" a="1"/>
  <c r="D406" i="6" s="1"/>
  <c r="B406" i="6"/>
  <c r="G405" i="6"/>
  <c r="D405" i="6" a="1"/>
  <c r="D405" i="6" s="1"/>
  <c r="B405" i="6"/>
  <c r="G404" i="6"/>
  <c r="D404" i="6" a="1"/>
  <c r="D404" i="6" s="1"/>
  <c r="B404" i="6"/>
  <c r="G403" i="6"/>
  <c r="D403" i="6" a="1"/>
  <c r="D403" i="6" s="1"/>
  <c r="B403" i="6"/>
  <c r="G402" i="6"/>
  <c r="D402" i="6" a="1"/>
  <c r="D402" i="6" s="1"/>
  <c r="B402" i="6"/>
  <c r="G401" i="6"/>
  <c r="D401" i="6" a="1"/>
  <c r="D401" i="6" s="1"/>
  <c r="B401" i="6"/>
  <c r="G400" i="6"/>
  <c r="D400" i="6" a="1"/>
  <c r="D400" i="6" s="1"/>
  <c r="B400" i="6"/>
  <c r="G399" i="6"/>
  <c r="D399" i="6"/>
  <c r="D399" i="6" a="1"/>
  <c r="B399" i="6"/>
  <c r="G398" i="6"/>
  <c r="D398" i="6" a="1"/>
  <c r="D398" i="6" s="1"/>
  <c r="B398" i="6"/>
  <c r="G397" i="6"/>
  <c r="D397" i="6" a="1"/>
  <c r="D397" i="6" s="1"/>
  <c r="B397" i="6"/>
  <c r="G396" i="6"/>
  <c r="D396" i="6"/>
  <c r="D396" i="6" a="1"/>
  <c r="B396" i="6"/>
  <c r="G395" i="6"/>
  <c r="D395" i="6" a="1"/>
  <c r="D395" i="6" s="1"/>
  <c r="B395" i="6"/>
  <c r="G394" i="6"/>
  <c r="D394" i="6" a="1"/>
  <c r="D394" i="6" s="1"/>
  <c r="B394" i="6"/>
  <c r="G393" i="6"/>
  <c r="D393" i="6" a="1"/>
  <c r="D393" i="6" s="1"/>
  <c r="B393" i="6"/>
  <c r="G392" i="6"/>
  <c r="D392" i="6" a="1"/>
  <c r="D392" i="6" s="1"/>
  <c r="B392" i="6"/>
  <c r="G391" i="6"/>
  <c r="D391" i="6" a="1"/>
  <c r="D391" i="6" s="1"/>
  <c r="B391" i="6"/>
  <c r="G390" i="6"/>
  <c r="D390" i="6" a="1"/>
  <c r="D390" i="6" s="1"/>
  <c r="B390" i="6"/>
  <c r="G389" i="6"/>
  <c r="D389" i="6" a="1"/>
  <c r="D389" i="6" s="1"/>
  <c r="B389" i="6"/>
  <c r="G388" i="6"/>
  <c r="D388" i="6" a="1"/>
  <c r="D388" i="6" s="1"/>
  <c r="B388" i="6"/>
  <c r="G387" i="6"/>
  <c r="D387" i="6" a="1"/>
  <c r="D387" i="6" s="1"/>
  <c r="B387" i="6"/>
  <c r="G386" i="6"/>
  <c r="D386" i="6"/>
  <c r="D386" i="6" a="1"/>
  <c r="B386" i="6"/>
  <c r="G385" i="6"/>
  <c r="D385" i="6" a="1"/>
  <c r="D385" i="6" s="1"/>
  <c r="B385" i="6"/>
  <c r="G384" i="6"/>
  <c r="D384" i="6"/>
  <c r="D384" i="6" a="1"/>
  <c r="B384" i="6"/>
  <c r="G383" i="6"/>
  <c r="D383" i="6"/>
  <c r="D383" i="6" a="1"/>
  <c r="B383" i="6"/>
  <c r="G382" i="6"/>
  <c r="D382" i="6" a="1"/>
  <c r="D382" i="6" s="1"/>
  <c r="B382" i="6"/>
  <c r="G381" i="6"/>
  <c r="D381" i="6" a="1"/>
  <c r="D381" i="6" s="1"/>
  <c r="B381" i="6"/>
  <c r="G380" i="6"/>
  <c r="D380" i="6"/>
  <c r="D380" i="6" a="1"/>
  <c r="B380" i="6"/>
  <c r="G379" i="6"/>
  <c r="D379" i="6" a="1"/>
  <c r="D379" i="6" s="1"/>
  <c r="B379" i="6"/>
  <c r="G378" i="6"/>
  <c r="D378" i="6" a="1"/>
  <c r="D378" i="6" s="1"/>
  <c r="B378" i="6"/>
  <c r="G377" i="6"/>
  <c r="D377" i="6" a="1"/>
  <c r="D377" i="6" s="1"/>
  <c r="B377" i="6"/>
  <c r="G376" i="6"/>
  <c r="D376" i="6" a="1"/>
  <c r="D376" i="6" s="1"/>
  <c r="B376" i="6"/>
  <c r="G375" i="6"/>
  <c r="D375" i="6" a="1"/>
  <c r="D375" i="6" s="1"/>
  <c r="B375" i="6"/>
  <c r="G374" i="6"/>
  <c r="D374" i="6" a="1"/>
  <c r="D374" i="6" s="1"/>
  <c r="B374" i="6"/>
  <c r="G373" i="6"/>
  <c r="D373" i="6" a="1"/>
  <c r="D373" i="6" s="1"/>
  <c r="B373" i="6"/>
  <c r="G372" i="6"/>
  <c r="D372" i="6" a="1"/>
  <c r="D372" i="6" s="1"/>
  <c r="B372" i="6"/>
  <c r="G371" i="6"/>
  <c r="D371" i="6"/>
  <c r="D371" i="6" a="1"/>
  <c r="B371" i="6"/>
  <c r="G370" i="6"/>
  <c r="D370" i="6" a="1"/>
  <c r="D370" i="6" s="1"/>
  <c r="B370" i="6"/>
  <c r="G369" i="6"/>
  <c r="D369" i="6" a="1"/>
  <c r="D369" i="6" s="1"/>
  <c r="B369" i="6"/>
  <c r="G368" i="6"/>
  <c r="D368" i="6" a="1"/>
  <c r="D368" i="6" s="1"/>
  <c r="B368" i="6"/>
  <c r="G367" i="6"/>
  <c r="D367" i="6" a="1"/>
  <c r="D367" i="6" s="1"/>
  <c r="B367" i="6"/>
  <c r="G366" i="6"/>
  <c r="D366" i="6" a="1"/>
  <c r="D366" i="6" s="1"/>
  <c r="B366" i="6"/>
  <c r="G365" i="6"/>
  <c r="D365" i="6" a="1"/>
  <c r="D365" i="6" s="1"/>
  <c r="B365" i="6"/>
  <c r="G364" i="6"/>
  <c r="D364" i="6" a="1"/>
  <c r="D364" i="6" s="1"/>
  <c r="B364" i="6"/>
  <c r="G363" i="6"/>
  <c r="D363" i="6"/>
  <c r="D363" i="6" a="1"/>
  <c r="B363" i="6"/>
  <c r="G362" i="6"/>
  <c r="D362" i="6" a="1"/>
  <c r="D362" i="6" s="1"/>
  <c r="B362" i="6"/>
  <c r="G361" i="6"/>
  <c r="D361" i="6" a="1"/>
  <c r="D361" i="6" s="1"/>
  <c r="B361" i="6"/>
  <c r="G360" i="6"/>
  <c r="D360" i="6"/>
  <c r="D360" i="6" a="1"/>
  <c r="B360" i="6"/>
  <c r="G359" i="6"/>
  <c r="D359" i="6" a="1"/>
  <c r="D359" i="6" s="1"/>
  <c r="B359" i="6"/>
  <c r="G358" i="6"/>
  <c r="D358" i="6" a="1"/>
  <c r="D358" i="6" s="1"/>
  <c r="B358" i="6"/>
  <c r="G357" i="6"/>
  <c r="D357" i="6" a="1"/>
  <c r="D357" i="6" s="1"/>
  <c r="B357" i="6"/>
  <c r="G356" i="6"/>
  <c r="D356" i="6" a="1"/>
  <c r="D356" i="6" s="1"/>
  <c r="B356" i="6"/>
  <c r="G355" i="6"/>
  <c r="D355" i="6" a="1"/>
  <c r="D355" i="6" s="1"/>
  <c r="B355" i="6"/>
  <c r="G354" i="6"/>
  <c r="D354" i="6" a="1"/>
  <c r="D354" i="6" s="1"/>
  <c r="B354" i="6"/>
  <c r="G353" i="6"/>
  <c r="D353" i="6" a="1"/>
  <c r="D353" i="6" s="1"/>
  <c r="B353" i="6"/>
  <c r="G352" i="6"/>
  <c r="D352" i="6" a="1"/>
  <c r="D352" i="6" s="1"/>
  <c r="B352" i="6"/>
  <c r="G351" i="6"/>
  <c r="D351" i="6" a="1"/>
  <c r="D351" i="6" s="1"/>
  <c r="B351" i="6"/>
  <c r="G350" i="6"/>
  <c r="D350" i="6"/>
  <c r="D350" i="6" a="1"/>
  <c r="B350" i="6"/>
  <c r="G349" i="6"/>
  <c r="D349" i="6" a="1"/>
  <c r="D349" i="6" s="1"/>
  <c r="B349" i="6"/>
  <c r="G348" i="6"/>
  <c r="D348" i="6"/>
  <c r="D348" i="6" a="1"/>
  <c r="B348" i="6"/>
  <c r="G347" i="6"/>
  <c r="D347" i="6"/>
  <c r="D347" i="6" a="1"/>
  <c r="B347" i="6"/>
  <c r="G346" i="6"/>
  <c r="D346" i="6" a="1"/>
  <c r="D346" i="6" s="1"/>
  <c r="B346" i="6"/>
  <c r="G345" i="6"/>
  <c r="D345" i="6" a="1"/>
  <c r="D345" i="6" s="1"/>
  <c r="B345" i="6"/>
  <c r="G344" i="6"/>
  <c r="D344" i="6"/>
  <c r="D344" i="6" a="1"/>
  <c r="B344" i="6"/>
  <c r="G343" i="6"/>
  <c r="D343" i="6" a="1"/>
  <c r="D343" i="6" s="1"/>
  <c r="B343" i="6"/>
  <c r="G342" i="6"/>
  <c r="D342" i="6" a="1"/>
  <c r="D342" i="6" s="1"/>
  <c r="B342" i="6"/>
  <c r="G341" i="6"/>
  <c r="D341" i="6" a="1"/>
  <c r="D341" i="6" s="1"/>
  <c r="B341" i="6"/>
  <c r="G340" i="6"/>
  <c r="D340" i="6" a="1"/>
  <c r="D340" i="6" s="1"/>
  <c r="B340" i="6"/>
  <c r="G339" i="6"/>
  <c r="D339" i="6" a="1"/>
  <c r="D339" i="6" s="1"/>
  <c r="B339" i="6"/>
  <c r="G338" i="6"/>
  <c r="D338" i="6" a="1"/>
  <c r="D338" i="6" s="1"/>
  <c r="B338" i="6"/>
  <c r="G337" i="6"/>
  <c r="D337" i="6"/>
  <c r="D337" i="6" a="1"/>
  <c r="B337" i="6"/>
  <c r="G336" i="6"/>
  <c r="D336" i="6" a="1"/>
  <c r="D336" i="6" s="1"/>
  <c r="B336" i="6"/>
  <c r="G335" i="6"/>
  <c r="D335" i="6" a="1"/>
  <c r="D335" i="6" s="1"/>
  <c r="B335" i="6"/>
  <c r="G334" i="6"/>
  <c r="D334" i="6"/>
  <c r="D334" i="6" a="1"/>
  <c r="B334" i="6"/>
  <c r="G333" i="6"/>
  <c r="D333" i="6" a="1"/>
  <c r="D333" i="6" s="1"/>
  <c r="B333" i="6"/>
  <c r="G332" i="6"/>
  <c r="D332" i="6" a="1"/>
  <c r="D332" i="6" s="1"/>
  <c r="B332" i="6"/>
  <c r="G331" i="6"/>
  <c r="D331" i="6"/>
  <c r="D331" i="6" a="1"/>
  <c r="B331" i="6"/>
  <c r="G330" i="6"/>
  <c r="D330" i="6" a="1"/>
  <c r="D330" i="6" s="1"/>
  <c r="B330" i="6"/>
  <c r="G329" i="6"/>
  <c r="D329" i="6" a="1"/>
  <c r="D329" i="6" s="1"/>
  <c r="B329" i="6"/>
  <c r="G328" i="6"/>
  <c r="D328" i="6"/>
  <c r="D328" i="6" a="1"/>
  <c r="B328" i="6"/>
  <c r="G327" i="6"/>
  <c r="D327" i="6" a="1"/>
  <c r="D327" i="6" s="1"/>
  <c r="B327" i="6"/>
  <c r="G326" i="6"/>
  <c r="D326" i="6" a="1"/>
  <c r="D326" i="6" s="1"/>
  <c r="B326" i="6"/>
  <c r="G325" i="6"/>
  <c r="D325" i="6"/>
  <c r="D325" i="6" a="1"/>
  <c r="B325" i="6"/>
  <c r="G324" i="6"/>
  <c r="D324" i="6" a="1"/>
  <c r="D324" i="6" s="1"/>
  <c r="B324" i="6"/>
  <c r="G323" i="6"/>
  <c r="D323" i="6" a="1"/>
  <c r="D323" i="6" s="1"/>
  <c r="B323" i="6"/>
  <c r="G322" i="6"/>
  <c r="D322" i="6"/>
  <c r="D322" i="6" a="1"/>
  <c r="B322" i="6"/>
  <c r="G321" i="6"/>
  <c r="D321" i="6" a="1"/>
  <c r="D321" i="6" s="1"/>
  <c r="B321" i="6"/>
  <c r="G320" i="6"/>
  <c r="D320" i="6" a="1"/>
  <c r="D320" i="6" s="1"/>
  <c r="B320" i="6"/>
  <c r="G319" i="6"/>
  <c r="D319" i="6"/>
  <c r="D319" i="6" a="1"/>
  <c r="B319" i="6"/>
  <c r="G318" i="6"/>
  <c r="D318" i="6" a="1"/>
  <c r="D318" i="6" s="1"/>
  <c r="B318" i="6"/>
  <c r="G317" i="6"/>
  <c r="D317" i="6" a="1"/>
  <c r="D317" i="6" s="1"/>
  <c r="B317" i="6"/>
  <c r="G316" i="6"/>
  <c r="D316" i="6"/>
  <c r="D316" i="6" a="1"/>
  <c r="B316" i="6"/>
  <c r="G315" i="6"/>
  <c r="D315" i="6" a="1"/>
  <c r="D315" i="6" s="1"/>
  <c r="B315" i="6"/>
  <c r="G314" i="6"/>
  <c r="D314" i="6" a="1"/>
  <c r="D314" i="6" s="1"/>
  <c r="B314" i="6"/>
  <c r="G313" i="6"/>
  <c r="D313" i="6"/>
  <c r="D313" i="6" a="1"/>
  <c r="B313" i="6"/>
  <c r="G312" i="6"/>
  <c r="D312" i="6" a="1"/>
  <c r="D312" i="6" s="1"/>
  <c r="B312" i="6"/>
  <c r="G311" i="6"/>
  <c r="D311" i="6" a="1"/>
  <c r="D311" i="6" s="1"/>
  <c r="B311" i="6"/>
  <c r="G310" i="6"/>
  <c r="D310" i="6"/>
  <c r="D310" i="6" a="1"/>
  <c r="B310" i="6"/>
  <c r="G309" i="6"/>
  <c r="D309" i="6" a="1"/>
  <c r="D309" i="6" s="1"/>
  <c r="B309" i="6"/>
  <c r="G308" i="6"/>
  <c r="D308" i="6" a="1"/>
  <c r="D308" i="6" s="1"/>
  <c r="B308" i="6"/>
  <c r="G307" i="6"/>
  <c r="D307" i="6"/>
  <c r="D307" i="6" a="1"/>
  <c r="B307" i="6"/>
  <c r="G306" i="6"/>
  <c r="D306" i="6" a="1"/>
  <c r="D306" i="6" s="1"/>
  <c r="B306" i="6"/>
  <c r="G305" i="6"/>
  <c r="D305" i="6" a="1"/>
  <c r="D305" i="6" s="1"/>
  <c r="B305" i="6"/>
  <c r="G304" i="6"/>
  <c r="D304" i="6"/>
  <c r="D304" i="6" a="1"/>
  <c r="B304" i="6"/>
  <c r="G303" i="6"/>
  <c r="D303" i="6" a="1"/>
  <c r="D303" i="6" s="1"/>
  <c r="B303" i="6"/>
  <c r="G302" i="6"/>
  <c r="D302" i="6" a="1"/>
  <c r="D302" i="6" s="1"/>
  <c r="B302" i="6"/>
  <c r="G301" i="6"/>
  <c r="D301" i="6"/>
  <c r="D301" i="6" a="1"/>
  <c r="B301" i="6"/>
  <c r="G300" i="6"/>
  <c r="D300" i="6" a="1"/>
  <c r="D300" i="6" s="1"/>
  <c r="B300" i="6"/>
  <c r="G299" i="6"/>
  <c r="D299" i="6" a="1"/>
  <c r="D299" i="6" s="1"/>
  <c r="B299" i="6"/>
  <c r="G298" i="6"/>
  <c r="D298" i="6"/>
  <c r="D298" i="6" a="1"/>
  <c r="B298" i="6"/>
  <c r="G297" i="6"/>
  <c r="D297" i="6" a="1"/>
  <c r="D297" i="6" s="1"/>
  <c r="B297" i="6"/>
  <c r="G296" i="6"/>
  <c r="D296" i="6" a="1"/>
  <c r="D296" i="6" s="1"/>
  <c r="B296" i="6"/>
  <c r="G295" i="6"/>
  <c r="D295" i="6"/>
  <c r="D295" i="6" a="1"/>
  <c r="B295" i="6"/>
  <c r="G294" i="6"/>
  <c r="D294" i="6" a="1"/>
  <c r="D294" i="6" s="1"/>
  <c r="B294" i="6"/>
  <c r="G293" i="6"/>
  <c r="D293" i="6" a="1"/>
  <c r="D293" i="6" s="1"/>
  <c r="B293" i="6"/>
  <c r="G292" i="6"/>
  <c r="D292" i="6"/>
  <c r="D292" i="6" a="1"/>
  <c r="B292" i="6"/>
  <c r="G291" i="6"/>
  <c r="D291" i="6" a="1"/>
  <c r="D291" i="6" s="1"/>
  <c r="B291" i="6"/>
  <c r="G290" i="6"/>
  <c r="D290" i="6" a="1"/>
  <c r="D290" i="6" s="1"/>
  <c r="B290" i="6"/>
  <c r="G289" i="6"/>
  <c r="D289" i="6"/>
  <c r="D289" i="6" a="1"/>
  <c r="B289" i="6"/>
  <c r="G288" i="6"/>
  <c r="D288" i="6" a="1"/>
  <c r="D288" i="6" s="1"/>
  <c r="B288" i="6"/>
  <c r="G287" i="6"/>
  <c r="D287" i="6" a="1"/>
  <c r="D287" i="6" s="1"/>
  <c r="B287" i="6"/>
  <c r="G286" i="6"/>
  <c r="D286" i="6"/>
  <c r="D286" i="6" a="1"/>
  <c r="B286" i="6"/>
  <c r="G285" i="6"/>
  <c r="D285" i="6" a="1"/>
  <c r="D285" i="6" s="1"/>
  <c r="B285" i="6"/>
  <c r="G284" i="6"/>
  <c r="D284" i="6" a="1"/>
  <c r="D284" i="6" s="1"/>
  <c r="B284" i="6"/>
  <c r="G283" i="6"/>
  <c r="D283" i="6"/>
  <c r="D283" i="6" a="1"/>
  <c r="B283" i="6"/>
  <c r="G282" i="6"/>
  <c r="D282" i="6" a="1"/>
  <c r="D282" i="6" s="1"/>
  <c r="B282" i="6"/>
  <c r="G281" i="6"/>
  <c r="D281" i="6" a="1"/>
  <c r="D281" i="6" s="1"/>
  <c r="B281" i="6"/>
  <c r="G280" i="6"/>
  <c r="D280" i="6"/>
  <c r="D280" i="6" a="1"/>
  <c r="B280" i="6"/>
  <c r="G279" i="6"/>
  <c r="D279" i="6" a="1"/>
  <c r="D279" i="6" s="1"/>
  <c r="B279" i="6"/>
  <c r="G278" i="6"/>
  <c r="D278" i="6" a="1"/>
  <c r="D278" i="6" s="1"/>
  <c r="B278" i="6"/>
  <c r="G277" i="6"/>
  <c r="D277" i="6"/>
  <c r="D277" i="6" a="1"/>
  <c r="B277" i="6"/>
  <c r="G276" i="6"/>
  <c r="D276" i="6" a="1"/>
  <c r="D276" i="6" s="1"/>
  <c r="B276" i="6"/>
  <c r="G275" i="6"/>
  <c r="D275" i="6" a="1"/>
  <c r="D275" i="6" s="1"/>
  <c r="B275" i="6"/>
  <c r="G274" i="6"/>
  <c r="D274" i="6"/>
  <c r="D274" i="6" a="1"/>
  <c r="B274" i="6"/>
  <c r="G273" i="6"/>
  <c r="D273" i="6" a="1"/>
  <c r="D273" i="6" s="1"/>
  <c r="B273" i="6"/>
  <c r="G272" i="6"/>
  <c r="D272" i="6" a="1"/>
  <c r="D272" i="6" s="1"/>
  <c r="B272" i="6"/>
  <c r="G271" i="6"/>
  <c r="D271" i="6"/>
  <c r="D271" i="6" a="1"/>
  <c r="B271" i="6"/>
  <c r="G270" i="6"/>
  <c r="D270" i="6" a="1"/>
  <c r="D270" i="6" s="1"/>
  <c r="B270" i="6"/>
  <c r="G269" i="6"/>
  <c r="D269" i="6" a="1"/>
  <c r="D269" i="6" s="1"/>
  <c r="B269" i="6"/>
  <c r="G268" i="6"/>
  <c r="D268" i="6"/>
  <c r="D268" i="6" a="1"/>
  <c r="B268" i="6"/>
  <c r="G267" i="6"/>
  <c r="D267" i="6" a="1"/>
  <c r="D267" i="6" s="1"/>
  <c r="B267" i="6"/>
  <c r="G266" i="6"/>
  <c r="D266" i="6" a="1"/>
  <c r="D266" i="6" s="1"/>
  <c r="B266" i="6"/>
  <c r="G265" i="6"/>
  <c r="D265" i="6"/>
  <c r="D265" i="6" a="1"/>
  <c r="B265" i="6"/>
  <c r="G264" i="6"/>
  <c r="D264" i="6" a="1"/>
  <c r="D264" i="6" s="1"/>
  <c r="B264" i="6"/>
  <c r="G263" i="6"/>
  <c r="D263" i="6" a="1"/>
  <c r="D263" i="6" s="1"/>
  <c r="B263" i="6"/>
  <c r="G262" i="6"/>
  <c r="D262" i="6"/>
  <c r="D262" i="6" a="1"/>
  <c r="B262" i="6"/>
  <c r="G261" i="6"/>
  <c r="D261" i="6" a="1"/>
  <c r="D261" i="6" s="1"/>
  <c r="B261" i="6"/>
  <c r="G260" i="6"/>
  <c r="D260" i="6" a="1"/>
  <c r="D260" i="6" s="1"/>
  <c r="B260" i="6"/>
  <c r="G259" i="6"/>
  <c r="D259" i="6"/>
  <c r="D259" i="6" a="1"/>
  <c r="B259" i="6"/>
  <c r="G258" i="6"/>
  <c r="D258" i="6" a="1"/>
  <c r="D258" i="6" s="1"/>
  <c r="B258" i="6"/>
  <c r="G257" i="6"/>
  <c r="D257" i="6" a="1"/>
  <c r="D257" i="6" s="1"/>
  <c r="B257" i="6"/>
  <c r="G256" i="6"/>
  <c r="D256" i="6"/>
  <c r="D256" i="6" a="1"/>
  <c r="B256" i="6"/>
  <c r="G255" i="6"/>
  <c r="D255" i="6" a="1"/>
  <c r="D255" i="6" s="1"/>
  <c r="B255" i="6"/>
  <c r="G254" i="6"/>
  <c r="D254" i="6" a="1"/>
  <c r="D254" i="6" s="1"/>
  <c r="B254" i="6"/>
  <c r="G253" i="6"/>
  <c r="D253" i="6"/>
  <c r="D253" i="6" a="1"/>
  <c r="B253" i="6"/>
  <c r="G252" i="6"/>
  <c r="D252" i="6" a="1"/>
  <c r="D252" i="6" s="1"/>
  <c r="B252" i="6"/>
  <c r="G251" i="6"/>
  <c r="D251" i="6" a="1"/>
  <c r="D251" i="6" s="1"/>
  <c r="B251" i="6"/>
  <c r="G250" i="6"/>
  <c r="D250" i="6"/>
  <c r="D250" i="6" a="1"/>
  <c r="B250" i="6"/>
  <c r="G249" i="6"/>
  <c r="D249" i="6" a="1"/>
  <c r="D249" i="6" s="1"/>
  <c r="B249" i="6"/>
  <c r="G248" i="6"/>
  <c r="D248" i="6" a="1"/>
  <c r="D248" i="6" s="1"/>
  <c r="B248" i="6"/>
  <c r="G247" i="6"/>
  <c r="D247" i="6"/>
  <c r="D247" i="6" a="1"/>
  <c r="B247" i="6"/>
  <c r="G246" i="6"/>
  <c r="D246" i="6" a="1"/>
  <c r="D246" i="6" s="1"/>
  <c r="B246" i="6"/>
  <c r="G245" i="6"/>
  <c r="D245" i="6" a="1"/>
  <c r="D245" i="6" s="1"/>
  <c r="B245" i="6"/>
  <c r="G244" i="6"/>
  <c r="D244" i="6"/>
  <c r="D244" i="6" a="1"/>
  <c r="B244" i="6"/>
  <c r="G243" i="6"/>
  <c r="D243" i="6" a="1"/>
  <c r="D243" i="6" s="1"/>
  <c r="B243" i="6"/>
  <c r="G242" i="6"/>
  <c r="D242" i="6" a="1"/>
  <c r="D242" i="6" s="1"/>
  <c r="B242" i="6"/>
  <c r="G241" i="6"/>
  <c r="D241" i="6"/>
  <c r="D241" i="6" a="1"/>
  <c r="B241" i="6"/>
  <c r="G240" i="6"/>
  <c r="D240" i="6" a="1"/>
  <c r="D240" i="6" s="1"/>
  <c r="B240" i="6"/>
  <c r="G239" i="6"/>
  <c r="D239" i="6" a="1"/>
  <c r="D239" i="6" s="1"/>
  <c r="B239" i="6"/>
  <c r="G238" i="6"/>
  <c r="D238" i="6"/>
  <c r="D238" i="6" a="1"/>
  <c r="B238" i="6"/>
  <c r="G237" i="6"/>
  <c r="D237" i="6" a="1"/>
  <c r="D237" i="6" s="1"/>
  <c r="B237" i="6"/>
  <c r="G236" i="6"/>
  <c r="D236" i="6" a="1"/>
  <c r="D236" i="6" s="1"/>
  <c r="B236" i="6"/>
  <c r="G235" i="6"/>
  <c r="D235" i="6"/>
  <c r="D235" i="6" a="1"/>
  <c r="B235" i="6"/>
  <c r="G234" i="6"/>
  <c r="D234" i="6" a="1"/>
  <c r="D234" i="6" s="1"/>
  <c r="B234" i="6"/>
  <c r="G233" i="6"/>
  <c r="D233" i="6" a="1"/>
  <c r="D233" i="6" s="1"/>
  <c r="B233" i="6"/>
  <c r="G232" i="6"/>
  <c r="D232" i="6"/>
  <c r="D232" i="6" a="1"/>
  <c r="B232" i="6"/>
  <c r="G231" i="6"/>
  <c r="D231" i="6" a="1"/>
  <c r="D231" i="6" s="1"/>
  <c r="B231" i="6"/>
  <c r="G230" i="6"/>
  <c r="D230" i="6" a="1"/>
  <c r="D230" i="6" s="1"/>
  <c r="B230" i="6"/>
  <c r="G229" i="6"/>
  <c r="D229" i="6"/>
  <c r="D229" i="6" a="1"/>
  <c r="B229" i="6"/>
  <c r="G228" i="6"/>
  <c r="D228" i="6" a="1"/>
  <c r="D228" i="6" s="1"/>
  <c r="B228" i="6"/>
  <c r="G227" i="6"/>
  <c r="D227" i="6" a="1"/>
  <c r="D227" i="6" s="1"/>
  <c r="B227" i="6"/>
  <c r="G226" i="6"/>
  <c r="D226" i="6"/>
  <c r="D226" i="6" a="1"/>
  <c r="B226" i="6"/>
  <c r="G225" i="6"/>
  <c r="D225" i="6" a="1"/>
  <c r="D225" i="6" s="1"/>
  <c r="B225" i="6"/>
  <c r="G224" i="6"/>
  <c r="D224" i="6" a="1"/>
  <c r="D224" i="6" s="1"/>
  <c r="B224" i="6"/>
  <c r="G223" i="6"/>
  <c r="D223" i="6"/>
  <c r="D223" i="6" a="1"/>
  <c r="B223" i="6"/>
  <c r="G222" i="6"/>
  <c r="D222" i="6" a="1"/>
  <c r="D222" i="6" s="1"/>
  <c r="B222" i="6"/>
  <c r="G221" i="6"/>
  <c r="D221" i="6" a="1"/>
  <c r="D221" i="6" s="1"/>
  <c r="B221" i="6"/>
  <c r="G220" i="6"/>
  <c r="D220" i="6"/>
  <c r="D220" i="6" a="1"/>
  <c r="B220" i="6"/>
  <c r="G219" i="6"/>
  <c r="D219" i="6" a="1"/>
  <c r="D219" i="6" s="1"/>
  <c r="B219" i="6"/>
  <c r="G218" i="6"/>
  <c r="D218" i="6" a="1"/>
  <c r="D218" i="6" s="1"/>
  <c r="B218" i="6"/>
  <c r="G217" i="6"/>
  <c r="D217" i="6"/>
  <c r="D217" i="6" a="1"/>
  <c r="B217" i="6"/>
  <c r="G216" i="6"/>
  <c r="D216" i="6" a="1"/>
  <c r="D216" i="6" s="1"/>
  <c r="B216" i="6"/>
  <c r="G215" i="6"/>
  <c r="D215" i="6" a="1"/>
  <c r="D215" i="6" s="1"/>
  <c r="B215" i="6"/>
  <c r="G214" i="6"/>
  <c r="D214" i="6"/>
  <c r="D214" i="6" a="1"/>
  <c r="B214" i="6"/>
  <c r="G213" i="6"/>
  <c r="D213" i="6" a="1"/>
  <c r="D213" i="6" s="1"/>
  <c r="B213" i="6"/>
  <c r="G212" i="6"/>
  <c r="D212" i="6" a="1"/>
  <c r="D212" i="6" s="1"/>
  <c r="B212" i="6"/>
  <c r="G211" i="6"/>
  <c r="D211" i="6"/>
  <c r="D211" i="6" a="1"/>
  <c r="B211" i="6"/>
  <c r="G210" i="6"/>
  <c r="D210" i="6" a="1"/>
  <c r="D210" i="6" s="1"/>
  <c r="B210" i="6"/>
  <c r="G209" i="6"/>
  <c r="D209" i="6" a="1"/>
  <c r="D209" i="6" s="1"/>
  <c r="B209" i="6"/>
  <c r="G208" i="6"/>
  <c r="D208" i="6"/>
  <c r="D208" i="6" a="1"/>
  <c r="B208" i="6"/>
  <c r="G207" i="6"/>
  <c r="D207" i="6" a="1"/>
  <c r="D207" i="6" s="1"/>
  <c r="B207" i="6"/>
  <c r="G206" i="6"/>
  <c r="D206" i="6" a="1"/>
  <c r="D206" i="6" s="1"/>
  <c r="B206" i="6"/>
  <c r="G205" i="6"/>
  <c r="D205" i="6"/>
  <c r="D205" i="6" a="1"/>
  <c r="B205" i="6"/>
  <c r="G204" i="6"/>
  <c r="D204" i="6" a="1"/>
  <c r="D204" i="6" s="1"/>
  <c r="B204" i="6"/>
  <c r="G203" i="6"/>
  <c r="D203" i="6" a="1"/>
  <c r="D203" i="6" s="1"/>
  <c r="B203" i="6"/>
  <c r="G202" i="6"/>
  <c r="D202" i="6"/>
  <c r="D202" i="6" a="1"/>
  <c r="B202" i="6"/>
  <c r="G201" i="6"/>
  <c r="D201" i="6" a="1"/>
  <c r="D201" i="6" s="1"/>
  <c r="B201" i="6"/>
  <c r="G200" i="6"/>
  <c r="D200" i="6" a="1"/>
  <c r="D200" i="6" s="1"/>
  <c r="B200" i="6"/>
  <c r="G199" i="6"/>
  <c r="D199" i="6"/>
  <c r="D199" i="6" a="1"/>
  <c r="B199" i="6"/>
  <c r="G198" i="6"/>
  <c r="D198" i="6" a="1"/>
  <c r="D198" i="6" s="1"/>
  <c r="B198" i="6"/>
  <c r="G197" i="6"/>
  <c r="D197" i="6" a="1"/>
  <c r="D197" i="6" s="1"/>
  <c r="B197" i="6"/>
  <c r="G196" i="6"/>
  <c r="D196" i="6"/>
  <c r="D196" i="6" a="1"/>
  <c r="B196" i="6"/>
  <c r="G195" i="6"/>
  <c r="D195" i="6" a="1"/>
  <c r="D195" i="6" s="1"/>
  <c r="B195" i="6"/>
  <c r="G194" i="6"/>
  <c r="D194" i="6" a="1"/>
  <c r="D194" i="6" s="1"/>
  <c r="B194" i="6"/>
  <c r="G193" i="6"/>
  <c r="D193" i="6"/>
  <c r="D193" i="6" a="1"/>
  <c r="B193" i="6"/>
  <c r="G192" i="6"/>
  <c r="D192" i="6" a="1"/>
  <c r="D192" i="6" s="1"/>
  <c r="B192" i="6"/>
  <c r="G191" i="6"/>
  <c r="D191" i="6" a="1"/>
  <c r="D191" i="6" s="1"/>
  <c r="B191" i="6"/>
  <c r="G190" i="6"/>
  <c r="D190" i="6"/>
  <c r="D190" i="6" a="1"/>
  <c r="B190" i="6"/>
  <c r="G189" i="6"/>
  <c r="D189" i="6" a="1"/>
  <c r="D189" i="6" s="1"/>
  <c r="B189" i="6"/>
  <c r="G188" i="6"/>
  <c r="D188" i="6" a="1"/>
  <c r="D188" i="6" s="1"/>
  <c r="B188" i="6"/>
  <c r="G187" i="6"/>
  <c r="D187" i="6"/>
  <c r="D187" i="6" a="1"/>
  <c r="B187" i="6"/>
  <c r="G186" i="6"/>
  <c r="D186" i="6" a="1"/>
  <c r="D186" i="6" s="1"/>
  <c r="B186" i="6"/>
  <c r="G185" i="6"/>
  <c r="D185" i="6" a="1"/>
  <c r="D185" i="6" s="1"/>
  <c r="B185" i="6"/>
  <c r="G184" i="6"/>
  <c r="D184" i="6"/>
  <c r="D184" i="6" a="1"/>
  <c r="B184" i="6"/>
  <c r="G183" i="6"/>
  <c r="D183" i="6" a="1"/>
  <c r="D183" i="6" s="1"/>
  <c r="B183" i="6"/>
  <c r="G182" i="6"/>
  <c r="D182" i="6" a="1"/>
  <c r="D182" i="6" s="1"/>
  <c r="B182" i="6"/>
  <c r="G181" i="6"/>
  <c r="D181" i="6"/>
  <c r="D181" i="6" a="1"/>
  <c r="B181" i="6"/>
  <c r="G180" i="6"/>
  <c r="D180" i="6" a="1"/>
  <c r="D180" i="6" s="1"/>
  <c r="B180" i="6"/>
  <c r="G179" i="6"/>
  <c r="D179" i="6" a="1"/>
  <c r="D179" i="6" s="1"/>
  <c r="B179" i="6"/>
  <c r="G178" i="6"/>
  <c r="D178" i="6"/>
  <c r="D178" i="6" a="1"/>
  <c r="B178" i="6"/>
  <c r="G177" i="6"/>
  <c r="D177" i="6" a="1"/>
  <c r="D177" i="6" s="1"/>
  <c r="B177" i="6"/>
  <c r="G176" i="6"/>
  <c r="D176" i="6" a="1"/>
  <c r="D176" i="6" s="1"/>
  <c r="B176" i="6"/>
  <c r="G175" i="6"/>
  <c r="D175" i="6"/>
  <c r="D175" i="6" a="1"/>
  <c r="B175" i="6"/>
  <c r="G174" i="6"/>
  <c r="D174" i="6" a="1"/>
  <c r="D174" i="6" s="1"/>
  <c r="B174" i="6"/>
  <c r="G173" i="6"/>
  <c r="D173" i="6" a="1"/>
  <c r="D173" i="6" s="1"/>
  <c r="B173" i="6"/>
  <c r="G172" i="6"/>
  <c r="D172" i="6"/>
  <c r="D172" i="6" a="1"/>
  <c r="B172" i="6"/>
  <c r="G171" i="6"/>
  <c r="D171" i="6" a="1"/>
  <c r="D171" i="6" s="1"/>
  <c r="B171" i="6"/>
  <c r="G170" i="6"/>
  <c r="D170" i="6" a="1"/>
  <c r="D170" i="6" s="1"/>
  <c r="B170" i="6"/>
  <c r="G169" i="6"/>
  <c r="D169" i="6"/>
  <c r="D169" i="6" a="1"/>
  <c r="B169" i="6"/>
  <c r="G168" i="6"/>
  <c r="D168" i="6" a="1"/>
  <c r="D168" i="6" s="1"/>
  <c r="B168" i="6"/>
  <c r="G167" i="6"/>
  <c r="D167" i="6" a="1"/>
  <c r="D167" i="6" s="1"/>
  <c r="B167" i="6"/>
  <c r="G166" i="6"/>
  <c r="D166" i="6"/>
  <c r="D166" i="6" a="1"/>
  <c r="B166" i="6"/>
  <c r="G165" i="6"/>
  <c r="D165" i="6" a="1"/>
  <c r="D165" i="6" s="1"/>
  <c r="B165" i="6"/>
  <c r="G164" i="6"/>
  <c r="D164" i="6" a="1"/>
  <c r="D164" i="6" s="1"/>
  <c r="B164" i="6"/>
  <c r="G163" i="6"/>
  <c r="D163" i="6"/>
  <c r="D163" i="6" a="1"/>
  <c r="B163" i="6"/>
  <c r="G162" i="6"/>
  <c r="D162" i="6" a="1"/>
  <c r="D162" i="6" s="1"/>
  <c r="B162" i="6"/>
  <c r="G161" i="6"/>
  <c r="D161" i="6" a="1"/>
  <c r="D161" i="6" s="1"/>
  <c r="B161" i="6"/>
  <c r="G160" i="6"/>
  <c r="D160" i="6"/>
  <c r="D160" i="6" a="1"/>
  <c r="B160" i="6"/>
  <c r="G159" i="6"/>
  <c r="D159" i="6" a="1"/>
  <c r="D159" i="6" s="1"/>
  <c r="B159" i="6"/>
  <c r="G158" i="6"/>
  <c r="D158" i="6" a="1"/>
  <c r="D158" i="6" s="1"/>
  <c r="B158" i="6"/>
  <c r="G157" i="6"/>
  <c r="D157" i="6"/>
  <c r="D157" i="6" a="1"/>
  <c r="B157" i="6"/>
  <c r="G156" i="6"/>
  <c r="D156" i="6" a="1"/>
  <c r="D156" i="6" s="1"/>
  <c r="B156" i="6"/>
  <c r="G155" i="6"/>
  <c r="D155" i="6" a="1"/>
  <c r="D155" i="6" s="1"/>
  <c r="B155" i="6"/>
  <c r="G154" i="6"/>
  <c r="D154" i="6"/>
  <c r="D154" i="6" a="1"/>
  <c r="B154" i="6"/>
  <c r="G153" i="6"/>
  <c r="D153" i="6" a="1"/>
  <c r="D153" i="6" s="1"/>
  <c r="B153" i="6"/>
  <c r="G152" i="6"/>
  <c r="D152" i="6" a="1"/>
  <c r="D152" i="6" s="1"/>
  <c r="B152" i="6"/>
  <c r="G151" i="6"/>
  <c r="D151" i="6"/>
  <c r="D151" i="6" a="1"/>
  <c r="B151" i="6"/>
  <c r="G150" i="6"/>
  <c r="D150" i="6" a="1"/>
  <c r="D150" i="6" s="1"/>
  <c r="B150" i="6"/>
  <c r="G149" i="6"/>
  <c r="D149" i="6" a="1"/>
  <c r="D149" i="6" s="1"/>
  <c r="B149" i="6"/>
  <c r="G148" i="6"/>
  <c r="D148" i="6"/>
  <c r="D148" i="6" a="1"/>
  <c r="B148" i="6"/>
  <c r="G147" i="6"/>
  <c r="D147" i="6" a="1"/>
  <c r="D147" i="6" s="1"/>
  <c r="B147" i="6"/>
  <c r="G146" i="6"/>
  <c r="D146" i="6" a="1"/>
  <c r="D146" i="6" s="1"/>
  <c r="B146" i="6"/>
  <c r="G145" i="6"/>
  <c r="D145" i="6"/>
  <c r="D145" i="6" a="1"/>
  <c r="B145" i="6"/>
  <c r="G144" i="6"/>
  <c r="D144" i="6" a="1"/>
  <c r="D144" i="6" s="1"/>
  <c r="B144" i="6"/>
  <c r="G143" i="6"/>
  <c r="D143" i="6" a="1"/>
  <c r="D143" i="6" s="1"/>
  <c r="B143" i="6"/>
  <c r="G142" i="6"/>
  <c r="D142" i="6"/>
  <c r="D142" i="6" a="1"/>
  <c r="B142" i="6"/>
  <c r="G141" i="6"/>
  <c r="D141" i="6" a="1"/>
  <c r="D141" i="6" s="1"/>
  <c r="B141" i="6"/>
  <c r="G140" i="6"/>
  <c r="D140" i="6" a="1"/>
  <c r="D140" i="6" s="1"/>
  <c r="B140" i="6"/>
  <c r="G139" i="6"/>
  <c r="D139" i="6"/>
  <c r="D139" i="6" a="1"/>
  <c r="B139" i="6"/>
  <c r="G138" i="6"/>
  <c r="D138" i="6" a="1"/>
  <c r="D138" i="6" s="1"/>
  <c r="B138" i="6"/>
  <c r="G137" i="6"/>
  <c r="D137" i="6" a="1"/>
  <c r="D137" i="6" s="1"/>
  <c r="B137" i="6"/>
  <c r="G136" i="6"/>
  <c r="D136" i="6"/>
  <c r="D136" i="6" a="1"/>
  <c r="B136" i="6"/>
  <c r="G135" i="6"/>
  <c r="D135" i="6" a="1"/>
  <c r="D135" i="6" s="1"/>
  <c r="B135" i="6"/>
  <c r="G134" i="6"/>
  <c r="D134" i="6" a="1"/>
  <c r="D134" i="6" s="1"/>
  <c r="B134" i="6"/>
  <c r="G133" i="6"/>
  <c r="D133" i="6"/>
  <c r="D133" i="6" a="1"/>
  <c r="B133" i="6"/>
  <c r="G132" i="6"/>
  <c r="D132" i="6" a="1"/>
  <c r="D132" i="6" s="1"/>
  <c r="B132" i="6"/>
  <c r="G131" i="6"/>
  <c r="D131" i="6" a="1"/>
  <c r="D131" i="6" s="1"/>
  <c r="B131" i="6"/>
  <c r="G130" i="6"/>
  <c r="D130" i="6"/>
  <c r="D130" i="6" a="1"/>
  <c r="B130" i="6"/>
  <c r="G129" i="6"/>
  <c r="D129" i="6" a="1"/>
  <c r="D129" i="6" s="1"/>
  <c r="B129" i="6"/>
  <c r="G128" i="6"/>
  <c r="D128" i="6" a="1"/>
  <c r="D128" i="6" s="1"/>
  <c r="B128" i="6"/>
  <c r="G127" i="6"/>
  <c r="D127" i="6"/>
  <c r="D127" i="6" a="1"/>
  <c r="B127" i="6"/>
  <c r="G126" i="6"/>
  <c r="D126" i="6" a="1"/>
  <c r="D126" i="6" s="1"/>
  <c r="B126" i="6"/>
  <c r="G125" i="6"/>
  <c r="D125" i="6" a="1"/>
  <c r="D125" i="6" s="1"/>
  <c r="B125" i="6"/>
  <c r="G124" i="6"/>
  <c r="D124" i="6"/>
  <c r="D124" i="6" a="1"/>
  <c r="B124" i="6"/>
  <c r="G123" i="6"/>
  <c r="D123" i="6" a="1"/>
  <c r="D123" i="6" s="1"/>
  <c r="B123" i="6"/>
  <c r="G122" i="6"/>
  <c r="D122" i="6" a="1"/>
  <c r="D122" i="6" s="1"/>
  <c r="B122" i="6"/>
  <c r="G121" i="6"/>
  <c r="D121" i="6"/>
  <c r="D121" i="6" a="1"/>
  <c r="B121" i="6"/>
  <c r="G120" i="6"/>
  <c r="D120" i="6" a="1"/>
  <c r="D120" i="6" s="1"/>
  <c r="B120" i="6"/>
  <c r="G119" i="6"/>
  <c r="D119" i="6" a="1"/>
  <c r="D119" i="6" s="1"/>
  <c r="B119" i="6"/>
  <c r="G118" i="6"/>
  <c r="D118" i="6"/>
  <c r="D118" i="6" a="1"/>
  <c r="B118" i="6"/>
  <c r="G117" i="6"/>
  <c r="D117" i="6" a="1"/>
  <c r="D117" i="6" s="1"/>
  <c r="B117" i="6"/>
  <c r="G116" i="6"/>
  <c r="D116" i="6" a="1"/>
  <c r="D116" i="6" s="1"/>
  <c r="B116" i="6"/>
  <c r="G115" i="6"/>
  <c r="D115" i="6"/>
  <c r="D115" i="6" a="1"/>
  <c r="B115" i="6"/>
  <c r="G114" i="6"/>
  <c r="D114" i="6" a="1"/>
  <c r="D114" i="6" s="1"/>
  <c r="B114" i="6"/>
  <c r="G113" i="6"/>
  <c r="D113" i="6" a="1"/>
  <c r="D113" i="6" s="1"/>
  <c r="B113" i="6"/>
  <c r="G112" i="6"/>
  <c r="D112" i="6"/>
  <c r="D112" i="6" a="1"/>
  <c r="B112" i="6"/>
  <c r="G111" i="6"/>
  <c r="D111" i="6" a="1"/>
  <c r="D111" i="6" s="1"/>
  <c r="B111" i="6"/>
  <c r="G110" i="6"/>
  <c r="D110" i="6" a="1"/>
  <c r="D110" i="6" s="1"/>
  <c r="B110" i="6"/>
  <c r="G109" i="6"/>
  <c r="D109" i="6"/>
  <c r="D109" i="6" a="1"/>
  <c r="B109" i="6"/>
  <c r="G108" i="6"/>
  <c r="D108" i="6" a="1"/>
  <c r="D108" i="6" s="1"/>
  <c r="B108" i="6"/>
  <c r="G107" i="6"/>
  <c r="D107" i="6" a="1"/>
  <c r="D107" i="6" s="1"/>
  <c r="B107" i="6"/>
  <c r="G106" i="6"/>
  <c r="D106" i="6"/>
  <c r="D106" i="6" a="1"/>
  <c r="B106" i="6"/>
  <c r="G105" i="6"/>
  <c r="D105" i="6" a="1"/>
  <c r="D105" i="6" s="1"/>
  <c r="B105" i="6"/>
  <c r="G104" i="6"/>
  <c r="D104" i="6" a="1"/>
  <c r="D104" i="6" s="1"/>
  <c r="B104" i="6"/>
  <c r="G103" i="6"/>
  <c r="D103" i="6"/>
  <c r="D103" i="6" a="1"/>
  <c r="B103" i="6"/>
  <c r="G102" i="6"/>
  <c r="D102" i="6" a="1"/>
  <c r="D102" i="6" s="1"/>
  <c r="B102" i="6"/>
  <c r="G101" i="6"/>
  <c r="D101" i="6" a="1"/>
  <c r="D101" i="6" s="1"/>
  <c r="B101" i="6"/>
  <c r="G100" i="6"/>
  <c r="D100" i="6"/>
  <c r="D100" i="6" a="1"/>
  <c r="B100" i="6"/>
  <c r="G99" i="6"/>
  <c r="D99" i="6" a="1"/>
  <c r="D99" i="6" s="1"/>
  <c r="B99" i="6"/>
  <c r="G98" i="6"/>
  <c r="D98" i="6" a="1"/>
  <c r="D98" i="6" s="1"/>
  <c r="B98" i="6"/>
  <c r="G97" i="6"/>
  <c r="D97" i="6"/>
  <c r="D97" i="6" a="1"/>
  <c r="B97" i="6"/>
  <c r="G96" i="6"/>
  <c r="D96" i="6" a="1"/>
  <c r="D96" i="6" s="1"/>
  <c r="B96" i="6"/>
  <c r="G95" i="6"/>
  <c r="D95" i="6" a="1"/>
  <c r="D95" i="6" s="1"/>
  <c r="B95" i="6"/>
  <c r="G94" i="6"/>
  <c r="D94" i="6"/>
  <c r="D94" i="6" a="1"/>
  <c r="B94" i="6"/>
  <c r="G93" i="6"/>
  <c r="D93" i="6" a="1"/>
  <c r="D93" i="6" s="1"/>
  <c r="B93" i="6"/>
  <c r="G92" i="6"/>
  <c r="D92" i="6" a="1"/>
  <c r="D92" i="6" s="1"/>
  <c r="B92" i="6"/>
  <c r="G91" i="6"/>
  <c r="D91" i="6"/>
  <c r="D91" i="6" a="1"/>
  <c r="B91" i="6"/>
  <c r="G90" i="6"/>
  <c r="D90" i="6" a="1"/>
  <c r="D90" i="6" s="1"/>
  <c r="B90" i="6"/>
  <c r="G89" i="6"/>
  <c r="D89" i="6" a="1"/>
  <c r="D89" i="6" s="1"/>
  <c r="B89" i="6"/>
  <c r="G88" i="6"/>
  <c r="D88" i="6"/>
  <c r="D88" i="6" a="1"/>
  <c r="B88" i="6"/>
  <c r="G87" i="6"/>
  <c r="D87" i="6" a="1"/>
  <c r="D87" i="6" s="1"/>
  <c r="B87" i="6"/>
  <c r="G86" i="6"/>
  <c r="D86" i="6" a="1"/>
  <c r="D86" i="6" s="1"/>
  <c r="B86" i="6"/>
  <c r="G85" i="6"/>
  <c r="D85" i="6"/>
  <c r="D85" i="6" a="1"/>
  <c r="B85" i="6"/>
  <c r="G84" i="6"/>
  <c r="D84" i="6" a="1"/>
  <c r="D84" i="6" s="1"/>
  <c r="B84" i="6"/>
  <c r="G83" i="6"/>
  <c r="D83" i="6" a="1"/>
  <c r="D83" i="6" s="1"/>
  <c r="B83" i="6"/>
  <c r="G82" i="6"/>
  <c r="D82" i="6"/>
  <c r="D82" i="6" a="1"/>
  <c r="B82" i="6"/>
  <c r="G81" i="6"/>
  <c r="D81" i="6" a="1"/>
  <c r="D81" i="6" s="1"/>
  <c r="B81" i="6"/>
  <c r="G80" i="6"/>
  <c r="D80" i="6" a="1"/>
  <c r="D80" i="6" s="1"/>
  <c r="B80" i="6"/>
  <c r="G79" i="6"/>
  <c r="D79" i="6"/>
  <c r="D79" i="6" a="1"/>
  <c r="B79" i="6"/>
  <c r="G78" i="6"/>
  <c r="D78" i="6" a="1"/>
  <c r="D78" i="6" s="1"/>
  <c r="B78" i="6"/>
  <c r="G77" i="6"/>
  <c r="D77" i="6" a="1"/>
  <c r="D77" i="6" s="1"/>
  <c r="B77" i="6"/>
  <c r="G76" i="6"/>
  <c r="D76" i="6"/>
  <c r="D76" i="6" a="1"/>
  <c r="B76" i="6"/>
  <c r="G75" i="6"/>
  <c r="D75" i="6" a="1"/>
  <c r="D75" i="6" s="1"/>
  <c r="B75" i="6"/>
  <c r="G74" i="6"/>
  <c r="D74" i="6" a="1"/>
  <c r="D74" i="6" s="1"/>
  <c r="B74" i="6"/>
  <c r="G73" i="6"/>
  <c r="D73" i="6"/>
  <c r="D73" i="6" a="1"/>
  <c r="B73" i="6"/>
  <c r="G72" i="6"/>
  <c r="D72" i="6" a="1"/>
  <c r="D72" i="6" s="1"/>
  <c r="B72" i="6"/>
  <c r="G71" i="6"/>
  <c r="D71" i="6" a="1"/>
  <c r="D71" i="6" s="1"/>
  <c r="B71" i="6"/>
  <c r="G70" i="6"/>
  <c r="D70" i="6"/>
  <c r="D70" i="6" a="1"/>
  <c r="B70" i="6"/>
  <c r="G69" i="6"/>
  <c r="D69" i="6" a="1"/>
  <c r="D69" i="6" s="1"/>
  <c r="B69" i="6"/>
  <c r="G68" i="6"/>
  <c r="D68" i="6" a="1"/>
  <c r="D68" i="6" s="1"/>
  <c r="B68" i="6"/>
  <c r="G67" i="6"/>
  <c r="D67" i="6"/>
  <c r="D67" i="6" a="1"/>
  <c r="B67" i="6"/>
  <c r="G66" i="6"/>
  <c r="D66" i="6" a="1"/>
  <c r="D66" i="6" s="1"/>
  <c r="B66" i="6"/>
  <c r="G65" i="6"/>
  <c r="D65" i="6" a="1"/>
  <c r="D65" i="6" s="1"/>
  <c r="B65" i="6"/>
  <c r="G64" i="6"/>
  <c r="D64" i="6"/>
  <c r="D64" i="6" a="1"/>
  <c r="B64" i="6"/>
  <c r="G63" i="6"/>
  <c r="D63" i="6" a="1"/>
  <c r="D63" i="6" s="1"/>
  <c r="B63" i="6"/>
  <c r="G62" i="6"/>
  <c r="D62" i="6" a="1"/>
  <c r="D62" i="6" s="1"/>
  <c r="B62" i="6"/>
  <c r="G61" i="6"/>
  <c r="D61" i="6"/>
  <c r="D61" i="6" a="1"/>
  <c r="B61" i="6"/>
  <c r="G60" i="6"/>
  <c r="D60" i="6" a="1"/>
  <c r="D60" i="6" s="1"/>
  <c r="B60" i="6"/>
  <c r="G59" i="6"/>
  <c r="D59" i="6" a="1"/>
  <c r="D59" i="6" s="1"/>
  <c r="B59" i="6"/>
  <c r="G58" i="6"/>
  <c r="D58" i="6"/>
  <c r="D58" i="6" a="1"/>
  <c r="B58" i="6"/>
  <c r="G57" i="6"/>
  <c r="D57" i="6" a="1"/>
  <c r="D57" i="6" s="1"/>
  <c r="B57" i="6"/>
  <c r="G56" i="6"/>
  <c r="D56" i="6" a="1"/>
  <c r="D56" i="6" s="1"/>
  <c r="B56" i="6"/>
  <c r="G55" i="6"/>
  <c r="D55" i="6"/>
  <c r="D55" i="6" a="1"/>
  <c r="B55" i="6"/>
  <c r="G54" i="6"/>
  <c r="D54" i="6" a="1"/>
  <c r="D54" i="6" s="1"/>
  <c r="B54" i="6"/>
  <c r="G53" i="6"/>
  <c r="D53" i="6" a="1"/>
  <c r="D53" i="6" s="1"/>
  <c r="B53" i="6"/>
  <c r="G52" i="6"/>
  <c r="D52" i="6"/>
  <c r="D52" i="6" a="1"/>
  <c r="B52" i="6"/>
  <c r="G51" i="6"/>
  <c r="D51" i="6" a="1"/>
  <c r="D51" i="6" s="1"/>
  <c r="B51" i="6"/>
  <c r="G50" i="6"/>
  <c r="D50" i="6" a="1"/>
  <c r="D50" i="6" s="1"/>
  <c r="B50" i="6"/>
  <c r="G49" i="6"/>
  <c r="D49" i="6"/>
  <c r="D49" i="6" a="1"/>
  <c r="B49" i="6"/>
  <c r="G48" i="6"/>
  <c r="D48" i="6" a="1"/>
  <c r="D48" i="6" s="1"/>
  <c r="B48" i="6"/>
  <c r="G47" i="6"/>
  <c r="D47" i="6" a="1"/>
  <c r="D47" i="6" s="1"/>
  <c r="B47" i="6"/>
  <c r="G46" i="6"/>
  <c r="D46" i="6"/>
  <c r="D46" i="6" a="1"/>
  <c r="B46" i="6"/>
  <c r="G45" i="6"/>
  <c r="D45" i="6" a="1"/>
  <c r="D45" i="6" s="1"/>
  <c r="B45" i="6"/>
  <c r="G44" i="6"/>
  <c r="D44" i="6" a="1"/>
  <c r="D44" i="6" s="1"/>
  <c r="B44" i="6"/>
  <c r="G43" i="6"/>
  <c r="D43" i="6"/>
  <c r="D43" i="6" a="1"/>
  <c r="B43" i="6"/>
  <c r="G42" i="6"/>
  <c r="D42" i="6" a="1"/>
  <c r="D42" i="6" s="1"/>
  <c r="B42" i="6"/>
  <c r="G41" i="6"/>
  <c r="D41" i="6" a="1"/>
  <c r="D41" i="6" s="1"/>
  <c r="B41" i="6"/>
  <c r="G40" i="6"/>
  <c r="D40" i="6"/>
  <c r="D40" i="6" a="1"/>
  <c r="B40" i="6"/>
  <c r="G39" i="6"/>
  <c r="D39" i="6" a="1"/>
  <c r="D39" i="6" s="1"/>
  <c r="B39" i="6"/>
  <c r="G38" i="6"/>
  <c r="D38" i="6" a="1"/>
  <c r="D38" i="6" s="1"/>
  <c r="B38" i="6"/>
  <c r="G37" i="6"/>
  <c r="D37" i="6"/>
  <c r="D37" i="6" a="1"/>
  <c r="B37" i="6"/>
  <c r="G36" i="6"/>
  <c r="D36" i="6" a="1"/>
  <c r="D36" i="6" s="1"/>
  <c r="B36" i="6"/>
  <c r="G35" i="6"/>
  <c r="D35" i="6" a="1"/>
  <c r="D35" i="6" s="1"/>
  <c r="B35" i="6"/>
  <c r="G34" i="6"/>
  <c r="D34" i="6"/>
  <c r="D34" i="6" a="1"/>
  <c r="B34" i="6"/>
  <c r="G33" i="6"/>
  <c r="D33" i="6" a="1"/>
  <c r="D33" i="6" s="1"/>
  <c r="B33" i="6"/>
  <c r="G32" i="6"/>
  <c r="D32" i="6" a="1"/>
  <c r="D32" i="6" s="1"/>
  <c r="B32" i="6"/>
  <c r="G31" i="6"/>
  <c r="D31" i="6"/>
  <c r="D31" i="6" a="1"/>
  <c r="B31" i="6"/>
  <c r="G30" i="6"/>
  <c r="D30" i="6" a="1"/>
  <c r="D30" i="6" s="1"/>
  <c r="B30" i="6"/>
  <c r="G29" i="6"/>
  <c r="D29" i="6" a="1"/>
  <c r="D29" i="6" s="1"/>
  <c r="B29" i="6"/>
  <c r="G28" i="6"/>
  <c r="D28" i="6"/>
  <c r="D28" i="6" a="1"/>
  <c r="B28" i="6"/>
  <c r="G27" i="6"/>
  <c r="D27" i="6" a="1"/>
  <c r="D27" i="6" s="1"/>
  <c r="B27" i="6"/>
  <c r="G26" i="6"/>
  <c r="D26" i="6" a="1"/>
  <c r="D26" i="6" s="1"/>
  <c r="B26" i="6"/>
  <c r="G25" i="6"/>
  <c r="D25" i="6"/>
  <c r="D25" i="6" a="1"/>
  <c r="B25" i="6"/>
  <c r="G24" i="6"/>
  <c r="D24" i="6" a="1"/>
  <c r="D24" i="6" s="1"/>
  <c r="B24" i="6"/>
  <c r="G23" i="6"/>
  <c r="D23" i="6" a="1"/>
  <c r="D23" i="6" s="1"/>
  <c r="B23" i="6"/>
  <c r="G22" i="6"/>
  <c r="D22" i="6"/>
  <c r="D22" i="6" a="1"/>
  <c r="B22" i="6"/>
  <c r="G21" i="6"/>
  <c r="D21" i="6" a="1"/>
  <c r="D21" i="6" s="1"/>
  <c r="B21" i="6"/>
  <c r="G20" i="6"/>
  <c r="D20" i="6" a="1"/>
  <c r="D20" i="6" s="1"/>
  <c r="B20" i="6"/>
  <c r="G19" i="6"/>
  <c r="D19" i="6"/>
  <c r="D19" i="6" a="1"/>
  <c r="B19" i="6"/>
  <c r="G18" i="6"/>
  <c r="D18" i="6" a="1"/>
  <c r="D18" i="6" s="1"/>
  <c r="B18" i="6"/>
  <c r="G17" i="6"/>
  <c r="D17" i="6" a="1"/>
  <c r="D17" i="6" s="1"/>
  <c r="B17" i="6"/>
  <c r="G16" i="6"/>
  <c r="D16" i="6"/>
  <c r="D16" i="6" a="1"/>
  <c r="B16" i="6"/>
  <c r="G15" i="6"/>
  <c r="D15" i="6" a="1"/>
  <c r="D15" i="6" s="1"/>
  <c r="B15" i="6"/>
  <c r="G14" i="6"/>
  <c r="D14" i="6" a="1"/>
  <c r="D14" i="6" s="1"/>
  <c r="B14" i="6"/>
  <c r="G13" i="6"/>
  <c r="D13" i="6"/>
  <c r="D13" i="6" a="1"/>
  <c r="B13" i="6"/>
  <c r="G12" i="6"/>
  <c r="D12" i="6" a="1"/>
  <c r="D12" i="6" s="1"/>
  <c r="B12" i="6"/>
  <c r="G11" i="6"/>
  <c r="D11" i="6" a="1"/>
  <c r="D11" i="6" s="1"/>
  <c r="B11" i="6"/>
  <c r="G10" i="6"/>
  <c r="D10" i="6"/>
  <c r="D10" i="6" a="1"/>
  <c r="B10" i="6"/>
  <c r="G9" i="6"/>
  <c r="D9" i="6" a="1"/>
  <c r="D9" i="6" s="1"/>
  <c r="B9" i="6"/>
  <c r="G8" i="6"/>
  <c r="D8" i="6" a="1"/>
  <c r="D8" i="6" s="1"/>
  <c r="B8" i="6"/>
  <c r="G7" i="6"/>
  <c r="D7" i="6"/>
  <c r="D7" i="6" a="1"/>
  <c r="B7" i="6"/>
  <c r="G6" i="6"/>
  <c r="D6" i="6" a="1"/>
  <c r="D6" i="6" s="1"/>
  <c r="B6" i="6"/>
  <c r="G5" i="6"/>
  <c r="D5" i="6" a="1"/>
  <c r="D5" i="6" s="1"/>
  <c r="B5" i="6"/>
  <c r="G4" i="6"/>
  <c r="B4" i="6"/>
  <c r="G3" i="6"/>
  <c r="D3" i="6" a="1"/>
  <c r="D3" i="6" s="1"/>
  <c r="B3" i="6"/>
  <c r="G2" i="6"/>
  <c r="D2" i="6" a="1"/>
  <c r="D2" i="6" s="1"/>
  <c r="B2" i="6"/>
  <c r="C9" i="3" l="1"/>
  <c r="F4" i="3" a="1"/>
  <c r="F4" i="3" s="1"/>
  <c r="F17" i="3" a="1"/>
  <c r="F17" i="3" s="1"/>
  <c r="G17" i="3" s="1"/>
  <c r="L18" i="3" a="1"/>
  <c r="L18" i="3" s="1"/>
  <c r="C21" i="3" a="1"/>
  <c r="C21" i="3" s="1"/>
  <c r="C22" i="3" a="1"/>
  <c r="C22" i="3" s="1"/>
  <c r="C19" i="3" a="1"/>
  <c r="C19" i="3" s="1"/>
  <c r="C18" i="3" a="1"/>
  <c r="C18" i="3" s="1"/>
  <c r="M18" i="3" a="1"/>
  <c r="M18" i="3" s="1"/>
  <c r="J16" i="3"/>
  <c r="J19" i="3" s="1" a="1"/>
  <c r="J19" i="3" s="1"/>
  <c r="N19" i="3" a="1"/>
  <c r="N19" i="3" s="1"/>
  <c r="N18" i="3" a="1"/>
  <c r="N18" i="3" s="1"/>
  <c r="I4" i="3"/>
  <c r="J4" i="3" s="1"/>
  <c r="C20" i="3" a="1"/>
  <c r="C20" i="3" s="1"/>
  <c r="J6" i="3"/>
  <c r="I17" i="3"/>
  <c r="K18" i="3" a="1"/>
  <c r="K18" i="3" s="1"/>
  <c r="C23" i="3" a="1"/>
  <c r="C23" i="3" s="1"/>
  <c r="K19" i="3" a="1"/>
  <c r="K19" i="3" s="1"/>
  <c r="L19" i="3" a="1"/>
  <c r="L19" i="3" s="1"/>
  <c r="J18" i="3" l="1" a="1"/>
  <c r="J18" i="3" s="1"/>
  <c r="G9" i="3"/>
  <c r="G20" i="3"/>
  <c r="G6" i="3"/>
  <c r="G7" i="3"/>
  <c r="G23" i="3"/>
  <c r="G22" i="3"/>
  <c r="G21" i="3"/>
  <c r="G19" i="3"/>
  <c r="G18" i="3"/>
  <c r="G10" i="3"/>
  <c r="G5" i="3"/>
  <c r="G8" i="3"/>
  <c r="J17" i="3" a="1"/>
  <c r="J17" i="3" s="1"/>
  <c r="L17" i="3" a="1"/>
  <c r="L17" i="3" s="1"/>
  <c r="N17" i="3" a="1"/>
  <c r="N1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44AD55-447D-405B-A141-77FCF069DD91}" keepAlive="1" name="Query - Cleaned_HR_Data_Analysis" description="Connection to the 'Cleaned_HR_Data_Analysis' query in the workbook." type="5" refreshedVersion="8" background="1" saveData="1">
    <dbPr connection="Provider=Microsoft.Mashup.OleDb.1;Data Source=$Workbook$;Location=Cleaned_HR_Data_Analysis;Extended Properties=&quot;&quot;" command="SELECT * FROM [Cleaned_HR_Data_Analysis]"/>
  </connection>
  <connection id="2" xr16:uid="{3E43E695-7E3B-4D41-B5D9-BA6F9AE6ACB3}" keepAlive="1" name="Query - Cleaned_HR_Data_Analysis (2)" description="Connection to the 'Cleaned_HR_Data_Analysis (2)' query in the workbook." type="5" refreshedVersion="8" background="1" saveData="1">
    <dbPr connection="Provider=Microsoft.Mashup.OleDb.1;Data Source=$Workbook$;Location=&quot;Cleaned_HR_Data_Analysis (2)&quot;;Extended Properties=&quot;&quot;" command="SELECT * FROM [Cleaned_HR_Data_Analysi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<sst xmlns="http://schemas.openxmlformats.org/spreadsheetml/2006/main" count="62746" uniqueCount="236">
  <si>
    <t xml:space="preserve"> </t>
  </si>
  <si>
    <t>PayZone</t>
  </si>
  <si>
    <t>DepartmentType</t>
  </si>
  <si>
    <t>Division</t>
  </si>
  <si>
    <t>DOB</t>
  </si>
  <si>
    <t>State</t>
  </si>
  <si>
    <t>GenderCode</t>
  </si>
  <si>
    <t>Age</t>
  </si>
  <si>
    <t>Production Technician I</t>
  </si>
  <si>
    <t>Active</t>
  </si>
  <si>
    <t>Contract</t>
  </si>
  <si>
    <t>Zone C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</si>
  <si>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</si>
  <si>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</si>
  <si>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</si>
  <si>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</si>
  <si>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</si>
  <si>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</si>
  <si>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</si>
  <si>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Zone A</t>
  </si>
  <si>
    <t>Part-Time</t>
  </si>
  <si>
    <t>Aerial</t>
  </si>
  <si>
    <t>Male</t>
  </si>
  <si>
    <t>Hispanic</t>
  </si>
  <si>
    <t>Area Sales Manager</t>
  </si>
  <si>
    <t>Full-Time</t>
  </si>
  <si>
    <t>Zone B</t>
  </si>
  <si>
    <t>Sales</t>
  </si>
  <si>
    <t>General - Sga</t>
  </si>
  <si>
    <t>ND</t>
  </si>
  <si>
    <t>Other</t>
  </si>
  <si>
    <t>Single</t>
  </si>
  <si>
    <t>General - Con</t>
  </si>
  <si>
    <t>FL</t>
  </si>
  <si>
    <t>Married</t>
  </si>
  <si>
    <t>Field Operations</t>
  </si>
  <si>
    <t>CT</t>
  </si>
  <si>
    <t>Black</t>
  </si>
  <si>
    <t>General - Eng</t>
  </si>
  <si>
    <t>CA</t>
  </si>
  <si>
    <t>Divorced</t>
  </si>
  <si>
    <t>Exceeds</t>
  </si>
  <si>
    <t>Engineers</t>
  </si>
  <si>
    <t>OR</t>
  </si>
  <si>
    <t>Executive</t>
  </si>
  <si>
    <t>TX</t>
  </si>
  <si>
    <t>Asian</t>
  </si>
  <si>
    <t>IN</t>
  </si>
  <si>
    <t>GA</t>
  </si>
  <si>
    <t>Splicing</t>
  </si>
  <si>
    <t>CO</t>
  </si>
  <si>
    <t>KY</t>
  </si>
  <si>
    <t>NV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</si>
  <si>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</si>
  <si>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</si>
  <si>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</si>
  <si>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</si>
  <si>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</si>
  <si>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</si>
  <si>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</si>
  <si>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</si>
  <si>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</si>
  <si>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</si>
  <si>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</si>
  <si>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</si>
  <si>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</si>
  <si>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</si>
  <si>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</si>
  <si>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</si>
  <si>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</si>
  <si>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</si>
  <si>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</si>
  <si>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</si>
  <si>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</si>
  <si>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</si>
  <si>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</si>
  <si>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</si>
  <si>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</si>
  <si>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</si>
  <si>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</si>
  <si>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</si>
  <si>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</si>
  <si>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</si>
  <si>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</si>
  <si>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</si>
  <si>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</si>
  <si>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</si>
  <si>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</si>
  <si>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</si>
  <si>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</si>
  <si>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</si>
  <si>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</si>
  <si>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</si>
  <si>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</si>
  <si>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</si>
  <si>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</si>
  <si>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</si>
  <si>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</si>
  <si>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</si>
  <si>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</si>
  <si>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</si>
  <si>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</si>
  <si>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</si>
  <si>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</si>
  <si>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</si>
  <si>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</si>
  <si>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</si>
  <si>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</si>
  <si>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</si>
  <si>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</si>
  <si>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</si>
  <si>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</si>
  <si>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</si>
  <si>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</si>
  <si>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</si>
  <si>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</si>
  <si>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</si>
  <si>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</si>
  <si>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</si>
  <si>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</si>
  <si>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</si>
  <si>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</si>
  <si>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3427</t>
  </si>
  <si>
    <t>20/09/2019</t>
  </si>
  <si>
    <t>50</t>
  </si>
  <si>
    <t>07/10/1969</t>
  </si>
  <si>
    <t>2</t>
  </si>
  <si>
    <t>Joining_Date</t>
  </si>
  <si>
    <t>Marital_Status</t>
  </si>
  <si>
    <t>Employee_Title</t>
  </si>
  <si>
    <t>Employee_Status</t>
  </si>
  <si>
    <t>Job_Type</t>
  </si>
  <si>
    <t>Performance_Score</t>
  </si>
  <si>
    <t>Satisfaction_Score</t>
  </si>
  <si>
    <t>State Short Form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</si>
  <si>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</si>
  <si>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</si>
  <si>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</si>
  <si>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</si>
  <si>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</si>
  <si>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</si>
  <si>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</si>
  <si>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</si>
  <si>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</si>
  <si>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</si>
  <si>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</si>
  <si>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</si>
  <si>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</si>
  <si>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</si>
  <si>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</si>
  <si>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</si>
  <si>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</si>
  <si>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</si>
  <si>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</si>
  <si>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</si>
  <si>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</si>
  <si>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</si>
  <si>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</si>
  <si>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</si>
  <si>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</si>
  <si>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</si>
  <si>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</si>
  <si>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</si>
  <si>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</si>
  <si>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</si>
  <si>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</si>
  <si>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</si>
  <si>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</si>
  <si>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</si>
  <si>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</si>
  <si>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</si>
  <si>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</si>
  <si>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</si>
  <si>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</si>
  <si>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</si>
  <si>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</si>
  <si>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</si>
  <si>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</si>
  <si>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</si>
  <si>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</si>
  <si>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</si>
  <si>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</si>
  <si>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</si>
  <si>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</si>
  <si>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</si>
  <si>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AK</t>
  </si>
  <si>
    <t>AR</t>
  </si>
  <si>
    <t>DE</t>
  </si>
  <si>
    <t>HI</t>
  </si>
  <si>
    <t>IL</t>
  </si>
  <si>
    <t>IA</t>
  </si>
  <si>
    <t>KS</t>
  </si>
  <si>
    <t>LA</t>
  </si>
  <si>
    <t>MD</t>
  </si>
  <si>
    <t>MI</t>
  </si>
  <si>
    <t>MN</t>
  </si>
  <si>
    <t>MS</t>
  </si>
  <si>
    <t>MO</t>
  </si>
  <si>
    <t>NE</t>
  </si>
  <si>
    <t>NJ</t>
  </si>
  <si>
    <t>NM</t>
  </si>
  <si>
    <t>OK</t>
  </si>
  <si>
    <t>SC</t>
  </si>
  <si>
    <t>SD</t>
  </si>
  <si>
    <t>WV</t>
  </si>
  <si>
    <t>WI</t>
  </si>
  <si>
    <t>WY</t>
  </si>
  <si>
    <t>Age Range</t>
  </si>
  <si>
    <t>No. of Employees</t>
  </si>
  <si>
    <t>Pay Zone</t>
  </si>
  <si>
    <t>Year</t>
  </si>
  <si>
    <t>No. of Terminated Employees</t>
  </si>
  <si>
    <t>Job Type</t>
  </si>
  <si>
    <t>Race</t>
  </si>
  <si>
    <t>Joining Year</t>
  </si>
  <si>
    <t>Full Name</t>
  </si>
  <si>
    <t>Employee_ID</t>
  </si>
  <si>
    <t>KPIs</t>
  </si>
  <si>
    <t>Total no. of employees</t>
  </si>
  <si>
    <t>Active Employees</t>
  </si>
  <si>
    <t>Terminated Employees</t>
  </si>
  <si>
    <t>Males</t>
  </si>
  <si>
    <t>Females</t>
  </si>
  <si>
    <t>No. of employees joined last year (2023)</t>
  </si>
  <si>
    <t>Gender</t>
  </si>
  <si>
    <t>Department</t>
  </si>
  <si>
    <t>2018</t>
  </si>
  <si>
    <t>2019</t>
  </si>
  <si>
    <t>2020</t>
  </si>
  <si>
    <t>2021</t>
  </si>
  <si>
    <t>2022</t>
  </si>
  <si>
    <t>2023</t>
  </si>
  <si>
    <t>Count</t>
  </si>
  <si>
    <t>States Full Form</t>
  </si>
  <si>
    <t>Pivot Table</t>
  </si>
  <si>
    <t>No. of Employees 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</si>
</sst>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0" borderId="0" xfId="0" applyAlignment="1">
      <alignment horizontal="left"/>
    </xf>
    <xf numFmtId="0" fontId="2" fillId="4" borderId="5" xfId="0" applyFont="1" applyFill="1" applyBorder="1"/>
    <xf numFmtId="0" fontId="0" fillId="4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accent3">
                    <a:lumMod val="75000"/>
                  </a:schemeClr>
                </a:solidFill>
              </a:rPr>
              <a:t>No.</a:t>
            </a:r>
            <a:r>
              <a:rPr lang="en-US" sz="1000" baseline="0">
                <a:solidFill>
                  <a:schemeClr val="accent3">
                    <a:lumMod val="75000"/>
                  </a:schemeClr>
                </a:solidFill>
              </a:rPr>
              <a:t> of Employees by Age Range</a:t>
            </a:r>
            <a:endParaRPr lang="en-US" sz="1000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323-4600-9114-23808B18D7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Insights'!$F$4:$F$10</c:f>
              <c:strCache>
                <c:ptCount val="7"/>
                <c:pt idx="0">
                  <c:v>17-27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Above than 77</c:v>
                </c:pt>
              </c:strCache>
            </c:strRef>
          </c:cat>
          <c:val>
            <c:numRef>
              <c:f>'3. Insights'!$G$4:$G$10</c:f>
              <c:numCache>
                <c:formatCode>General</c:formatCode>
                <c:ptCount val="7"/>
                <c:pt idx="0">
                  <c:v>407</c:v>
                </c:pt>
                <c:pt idx="1">
                  <c:v>453</c:v>
                </c:pt>
                <c:pt idx="2">
                  <c:v>490</c:v>
                </c:pt>
                <c:pt idx="3">
                  <c:v>410</c:v>
                </c:pt>
                <c:pt idx="4">
                  <c:v>503</c:v>
                </c:pt>
                <c:pt idx="5">
                  <c:v>486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0-445F-B94F-6891B45476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68315856"/>
        <c:axId val="1097055792"/>
      </c:barChart>
      <c:catAx>
        <c:axId val="968315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97055792"/>
        <c:crosses val="autoZero"/>
        <c:auto val="1"/>
        <c:lblAlgn val="ctr"/>
        <c:lblOffset val="100"/>
        <c:noMultiLvlLbl val="0"/>
      </c:catAx>
      <c:valAx>
        <c:axId val="10970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6831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accent3">
                    <a:lumMod val="75000"/>
                  </a:schemeClr>
                </a:solidFill>
              </a:rPr>
              <a:t>No. of</a:t>
            </a:r>
            <a:r>
              <a:rPr lang="en-US" sz="1000" baseline="0">
                <a:solidFill>
                  <a:schemeClr val="accent3">
                    <a:lumMod val="75000"/>
                  </a:schemeClr>
                </a:solidFill>
              </a:rPr>
              <a:t> Employees by Pay Zone</a:t>
            </a:r>
            <a:endParaRPr lang="en-US" sz="1000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5-4357-BFB8-E55F161D28F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5-4357-BFB8-E55F161D28F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5-4357-BFB8-E55F161D28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 Insights'!$I$4:$I$6</c:f>
              <c:strCache>
                <c:ptCount val="3"/>
                <c:pt idx="0">
                  <c:v>Zone A</c:v>
                </c:pt>
                <c:pt idx="1">
                  <c:v>Zone C</c:v>
                </c:pt>
                <c:pt idx="2">
                  <c:v>Zone B</c:v>
                </c:pt>
              </c:strCache>
            </c:strRef>
          </c:cat>
          <c:val>
            <c:numRef>
              <c:f>'3. Insights'!$J$4:$J$6</c:f>
              <c:numCache>
                <c:formatCode>General</c:formatCode>
                <c:ptCount val="3"/>
                <c:pt idx="0">
                  <c:v>1013</c:v>
                </c:pt>
                <c:pt idx="1">
                  <c:v>898</c:v>
                </c:pt>
                <c:pt idx="2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E5-4357-BFB8-E55F161D28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accent3">
                    <a:lumMod val="75000"/>
                  </a:schemeClr>
                </a:solidFill>
              </a:rPr>
              <a:t>No. of Terminated</a:t>
            </a:r>
            <a:r>
              <a:rPr lang="en-US" sz="1000" baseline="0">
                <a:solidFill>
                  <a:schemeClr val="accent3">
                    <a:lumMod val="75000"/>
                  </a:schemeClr>
                </a:solidFill>
              </a:rPr>
              <a:t> Employees by Age Range</a:t>
            </a:r>
            <a:endParaRPr lang="en-US" sz="1000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DDF8-4981-9124-EAABC424C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Insights'!$F$17:$F$23</c:f>
              <c:strCache>
                <c:ptCount val="7"/>
                <c:pt idx="0">
                  <c:v>17-27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Above than 77</c:v>
                </c:pt>
              </c:strCache>
            </c:strRef>
          </c:cat>
          <c:val>
            <c:numRef>
              <c:f>'3. Insights'!$G$17:$G$23</c:f>
              <c:numCache>
                <c:formatCode>General</c:formatCode>
                <c:ptCount val="7"/>
                <c:pt idx="0">
                  <c:v>53</c:v>
                </c:pt>
                <c:pt idx="1">
                  <c:v>66</c:v>
                </c:pt>
                <c:pt idx="2">
                  <c:v>67</c:v>
                </c:pt>
                <c:pt idx="3">
                  <c:v>56</c:v>
                </c:pt>
                <c:pt idx="4">
                  <c:v>65</c:v>
                </c:pt>
                <c:pt idx="5">
                  <c:v>73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7-4CE0-ABB8-12A27B5D6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71713552"/>
        <c:axId val="1433237488"/>
      </c:barChart>
      <c:catAx>
        <c:axId val="97171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33237488"/>
        <c:crosses val="autoZero"/>
        <c:auto val="1"/>
        <c:lblAlgn val="ctr"/>
        <c:lblOffset val="100"/>
        <c:noMultiLvlLbl val="0"/>
      </c:catAx>
      <c:valAx>
        <c:axId val="143323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Terminated Emp.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7171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accent3">
                    <a:lumMod val="75000"/>
                  </a:schemeClr>
                </a:solidFill>
              </a:rPr>
              <a:t>Terminated Employees by Gender &amp;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Female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A43-495F-9195-793966F1FE91}"/>
              </c:ext>
            </c:extLst>
          </c:dPt>
          <c:cat>
            <c:strRef>
              <c:f>'3. Insights'!$B$18:$B$23</c:f>
              <c:strCache>
                <c:ptCount val="6"/>
                <c:pt idx="0">
                  <c:v>Production       </c:v>
                </c:pt>
                <c:pt idx="1">
                  <c:v>IT/IS</c:v>
                </c:pt>
                <c:pt idx="2">
                  <c:v>Sales</c:v>
                </c:pt>
                <c:pt idx="3">
                  <c:v>Software Engineering</c:v>
                </c:pt>
                <c:pt idx="4">
                  <c:v>Admin Offices</c:v>
                </c:pt>
                <c:pt idx="5">
                  <c:v>Executive Office</c:v>
                </c:pt>
              </c:strCache>
            </c:strRef>
          </c:cat>
          <c:val>
            <c:numRef>
              <c:f>'3. Insights'!$C$18:$C$23</c:f>
              <c:numCache>
                <c:formatCode>General</c:formatCode>
                <c:ptCount val="6"/>
                <c:pt idx="0">
                  <c:v>1190</c:v>
                </c:pt>
                <c:pt idx="1">
                  <c:v>199</c:v>
                </c:pt>
                <c:pt idx="2">
                  <c:v>109</c:v>
                </c:pt>
                <c:pt idx="3">
                  <c:v>46</c:v>
                </c:pt>
                <c:pt idx="4">
                  <c:v>43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F-443C-B7C1-CB514DC7F116}"/>
            </c:ext>
          </c:extLst>
        </c:ser>
        <c:ser>
          <c:idx val="1"/>
          <c:order val="1"/>
          <c:tx>
            <c:v>Male</c:v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43-495F-9195-793966F1FE91}"/>
              </c:ext>
            </c:extLst>
          </c:dPt>
          <c:cat>
            <c:strRef>
              <c:f>'3. Insights'!$B$18:$B$23</c:f>
              <c:strCache>
                <c:ptCount val="6"/>
                <c:pt idx="0">
                  <c:v>Production       </c:v>
                </c:pt>
                <c:pt idx="1">
                  <c:v>IT/IS</c:v>
                </c:pt>
                <c:pt idx="2">
                  <c:v>Sales</c:v>
                </c:pt>
                <c:pt idx="3">
                  <c:v>Software Engineering</c:v>
                </c:pt>
                <c:pt idx="4">
                  <c:v>Admin Offices</c:v>
                </c:pt>
                <c:pt idx="5">
                  <c:v>Executive Office</c:v>
                </c:pt>
              </c:strCache>
            </c:strRef>
          </c:cat>
          <c:val>
            <c:numRef>
              <c:f>'3. Insights'!$D$18:$D$23</c:f>
              <c:numCache>
                <c:formatCode>General</c:formatCode>
                <c:ptCount val="6"/>
                <c:pt idx="0">
                  <c:v>720</c:v>
                </c:pt>
                <c:pt idx="1">
                  <c:v>210</c:v>
                </c:pt>
                <c:pt idx="2">
                  <c:v>202</c:v>
                </c:pt>
                <c:pt idx="3">
                  <c:v>66</c:v>
                </c:pt>
                <c:pt idx="4">
                  <c:v>36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5-4C9D-9788-47390F1F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731248"/>
        <c:axId val="1374748224"/>
      </c:barChart>
      <c:catAx>
        <c:axId val="1428731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74748224"/>
        <c:crosses val="autoZero"/>
        <c:auto val="1"/>
        <c:lblAlgn val="ctr"/>
        <c:lblOffset val="100"/>
        <c:noMultiLvlLbl val="0"/>
      </c:catAx>
      <c:valAx>
        <c:axId val="13747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Terminated</a:t>
                </a:r>
                <a:r>
                  <a:rPr lang="en-US" baseline="0"/>
                  <a:t> </a:t>
                </a:r>
                <a:r>
                  <a:rPr lang="en-US" baseline="0">
                    <a:solidFill>
                      <a:schemeClr val="accent3">
                        <a:lumMod val="75000"/>
                      </a:schemeClr>
                    </a:solidFill>
                  </a:rPr>
                  <a:t>Emp</a:t>
                </a:r>
                <a:r>
                  <a:rPr lang="en-US" baseline="0"/>
                  <a:t>.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2873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[HR_Analytics.xlsx]3. Insights!PivotTable1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accent3">
                    <a:lumMod val="75000"/>
                  </a:schemeClr>
                </a:solidFill>
              </a:rPr>
              <a:t>Employees</a:t>
            </a:r>
            <a:r>
              <a:rPr lang="en-US" sz="1000" baseline="0">
                <a:solidFill>
                  <a:schemeClr val="accent3">
                    <a:lumMod val="75000"/>
                  </a:schemeClr>
                </a:solidFill>
              </a:rPr>
              <a:t> Joined by Year</a:t>
            </a:r>
            <a:endParaRPr lang="en-US" sz="1000">
              <a:solidFill>
                <a:schemeClr val="accent3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Insights'!$M$3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5BDE-4C18-B467-ED326E8499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 Insights'!$L$4:$L$9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'3. Insights'!$M$4:$M$9</c:f>
              <c:numCache>
                <c:formatCode>General</c:formatCode>
                <c:ptCount val="6"/>
                <c:pt idx="0">
                  <c:v>248</c:v>
                </c:pt>
                <c:pt idx="1">
                  <c:v>560</c:v>
                </c:pt>
                <c:pt idx="2">
                  <c:v>560</c:v>
                </c:pt>
                <c:pt idx="3">
                  <c:v>564</c:v>
                </c:pt>
                <c:pt idx="4">
                  <c:v>594</c:v>
                </c:pt>
                <c:pt idx="5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B-4E31-921D-710E279109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8534448"/>
        <c:axId val="2122386912"/>
      </c:barChart>
      <c:catAx>
        <c:axId val="197853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2386912"/>
        <c:crosses val="autoZero"/>
        <c:auto val="1"/>
        <c:lblAlgn val="ctr"/>
        <c:lblOffset val="100"/>
        <c:noMultiLvlLbl val="0"/>
      </c:catAx>
      <c:valAx>
        <c:axId val="21223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>
                        <a:lumMod val="75000"/>
                      </a:schemeClr>
                    </a:solidFill>
                  </a:rPr>
                  <a:t>Joined Emp.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7853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No.</a:t>
            </a:r>
            <a:r>
              <a:rPr lang="en-US" sz="1000" baseline="0"/>
              <a:t> of Termnated Emp. by Job Type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F5-49C5-9BB4-196A90767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F5-49C5-9BB4-196A90767EF7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F5-49C5-9BB4-196A90767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 Insights'!$I$17:$I$19</c:f>
              <c:strCache>
                <c:ptCount val="3"/>
                <c:pt idx="0">
                  <c:v>Part-Time</c:v>
                </c:pt>
                <c:pt idx="1">
                  <c:v>Full-Time</c:v>
                </c:pt>
                <c:pt idx="2">
                  <c:v>Contract</c:v>
                </c:pt>
              </c:strCache>
            </c:strRef>
          </c:cat>
          <c:val>
            <c:numRef>
              <c:f>'3. Insights'!$J$17:$J$19</c:f>
              <c:numCache>
                <c:formatCode>General</c:formatCode>
                <c:ptCount val="3"/>
                <c:pt idx="0">
                  <c:v>21</c:v>
                </c:pt>
                <c:pt idx="1">
                  <c:v>23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F5-49C5-9BB4-196A90767E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1.xml"/><Relationship Id="rId7" Type="http://schemas.openxmlformats.org/officeDocument/2006/relationships/image" Target="../media/image1.png"/><Relationship Id="rId2" Type="http://schemas.openxmlformats.org/officeDocument/2006/relationships/hyperlink" Target="https://github.com/Ayeshah123" TargetMode="External"/><Relationship Id="rId1" Type="http://schemas.openxmlformats.org/officeDocument/2006/relationships/hyperlink" Target="https://www.linkedin.com/in/ayesha-analyst/" TargetMode="Externa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</xdr:colOff>
      <xdr:row>0</xdr:row>
      <xdr:rowOff>53340</xdr:rowOff>
    </xdr:from>
    <xdr:to>
      <xdr:col>1</xdr:col>
      <xdr:colOff>83820</xdr:colOff>
      <xdr:row>28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D3B0C34-AB96-838D-6400-629456CB0620}"/>
            </a:ext>
          </a:extLst>
        </xdr:cNvPr>
        <xdr:cNvSpPr/>
      </xdr:nvSpPr>
      <xdr:spPr>
        <a:xfrm>
          <a:off x="60959" y="53340"/>
          <a:ext cx="632461" cy="514350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K" sz="1100"/>
        </a:p>
      </xdr:txBody>
    </xdr:sp>
    <xdr:clientData/>
  </xdr:twoCellAnchor>
  <xdr:twoCellAnchor>
    <xdr:from>
      <xdr:col>10</xdr:col>
      <xdr:colOff>428626</xdr:colOff>
      <xdr:row>0</xdr:row>
      <xdr:rowOff>70485</xdr:rowOff>
    </xdr:from>
    <xdr:to>
      <xdr:col>12</xdr:col>
      <xdr:colOff>434340</xdr:colOff>
      <xdr:row>3</xdr:row>
      <xdr:rowOff>53340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BC5552C-F70B-4F41-9DED-59264FE64E46}"/>
            </a:ext>
          </a:extLst>
        </xdr:cNvPr>
        <xdr:cNvSpPr/>
      </xdr:nvSpPr>
      <xdr:spPr>
        <a:xfrm>
          <a:off x="6524626" y="70485"/>
          <a:ext cx="1224914" cy="531495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K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476250</xdr:colOff>
      <xdr:row>0</xdr:row>
      <xdr:rowOff>68580</xdr:rowOff>
    </xdr:from>
    <xdr:to>
      <xdr:col>14</xdr:col>
      <xdr:colOff>533400</xdr:colOff>
      <xdr:row>3</xdr:row>
      <xdr:rowOff>60960</xdr:rowOff>
    </xdr:to>
    <xdr:sp macro="" textlink="'3. Insights'!C5:C6">
      <xdr:nvSpPr>
        <xdr:cNvPr id="5" name="Rectangle: Rounded Corners 4">
          <a:extLst>
            <a:ext uri="{FF2B5EF4-FFF2-40B4-BE49-F238E27FC236}">
              <a16:creationId xmlns:a16="http://schemas.microsoft.com/office/drawing/2014/main" id="{762C2E68-D5D3-43BF-9091-5F09BDD15060}"/>
            </a:ext>
          </a:extLst>
        </xdr:cNvPr>
        <xdr:cNvSpPr/>
      </xdr:nvSpPr>
      <xdr:spPr>
        <a:xfrm>
          <a:off x="7791450" y="68580"/>
          <a:ext cx="1276350" cy="54102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19BB5C5-6A4E-4FCF-B23B-86CD1D49D94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387</a:t>
          </a:fld>
          <a:endParaRPr lang="en-PK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457201</xdr:colOff>
      <xdr:row>0</xdr:row>
      <xdr:rowOff>68580</xdr:rowOff>
    </xdr:from>
    <xdr:to>
      <xdr:col>23</xdr:col>
      <xdr:colOff>312421</xdr:colOff>
      <xdr:row>3</xdr:row>
      <xdr:rowOff>45720</xdr:rowOff>
    </xdr:to>
    <xdr:sp macro="" textlink="'3. Insights'!C9">
      <xdr:nvSpPr>
        <xdr:cNvPr id="7" name="Rectangle: Rounded Corners 6">
          <a:extLst>
            <a:ext uri="{FF2B5EF4-FFF2-40B4-BE49-F238E27FC236}">
              <a16:creationId xmlns:a16="http://schemas.microsoft.com/office/drawing/2014/main" id="{2C749002-49E1-483A-94A6-C8F5D46DB84B}"/>
            </a:ext>
          </a:extLst>
        </xdr:cNvPr>
        <xdr:cNvSpPr/>
      </xdr:nvSpPr>
      <xdr:spPr>
        <a:xfrm>
          <a:off x="12649201" y="68580"/>
          <a:ext cx="1684020" cy="52578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678E4B4-055A-44E1-A838-87B30A1AA1A3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319</a:t>
          </a:fld>
          <a:endParaRPr lang="en-PK" sz="1100">
            <a:solidFill>
              <a:schemeClr val="bg1"/>
            </a:solidFill>
          </a:endParaRPr>
        </a:p>
      </xdr:txBody>
    </xdr:sp>
    <xdr:clientData/>
  </xdr:twoCellAnchor>
  <xdr:oneCellAnchor>
    <xdr:from>
      <xdr:col>10</xdr:col>
      <xdr:colOff>432436</xdr:colOff>
      <xdr:row>0</xdr:row>
      <xdr:rowOff>102869</xdr:rowOff>
    </xdr:from>
    <xdr:ext cx="1053464" cy="264560"/>
    <xdr:sp macro="" textlink="'3. Insights'!C4">
      <xdr:nvSpPr>
        <xdr:cNvPr id="10" name="TextBox 9">
          <a:extLst>
            <a:ext uri="{FF2B5EF4-FFF2-40B4-BE49-F238E27FC236}">
              <a16:creationId xmlns:a16="http://schemas.microsoft.com/office/drawing/2014/main" id="{A391437C-51AF-1282-07B8-01F2EC6537FA}"/>
            </a:ext>
          </a:extLst>
        </xdr:cNvPr>
        <xdr:cNvSpPr txBox="1"/>
      </xdr:nvSpPr>
      <xdr:spPr>
        <a:xfrm>
          <a:off x="6528436" y="102869"/>
          <a:ext cx="1053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CE36D5B-01E0-4112-B7CA-74712743D5C2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2845</a:t>
          </a:fld>
          <a:endParaRPr lang="en-US" sz="1100" baseline="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476250</xdr:colOff>
      <xdr:row>1</xdr:row>
      <xdr:rowOff>66674</xdr:rowOff>
    </xdr:from>
    <xdr:ext cx="161163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9228556-403F-4E0C-98AF-690B1D14EE7E}"/>
            </a:ext>
          </a:extLst>
        </xdr:cNvPr>
        <xdr:cNvSpPr txBox="1"/>
      </xdr:nvSpPr>
      <xdr:spPr>
        <a:xfrm>
          <a:off x="12668250" y="249554"/>
          <a:ext cx="16116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aseline="0">
              <a:solidFill>
                <a:schemeClr val="bg1"/>
              </a:solidFill>
            </a:rPr>
            <a:t>Emp. joined Last Year</a:t>
          </a:r>
        </a:p>
      </xdr:txBody>
    </xdr:sp>
    <xdr:clientData/>
  </xdr:oneCellAnchor>
  <xdr:twoCellAnchor>
    <xdr:from>
      <xdr:col>1</xdr:col>
      <xdr:colOff>129541</xdr:colOff>
      <xdr:row>0</xdr:row>
      <xdr:rowOff>64770</xdr:rowOff>
    </xdr:from>
    <xdr:to>
      <xdr:col>10</xdr:col>
      <xdr:colOff>365760</xdr:colOff>
      <xdr:row>3</xdr:row>
      <xdr:rowOff>68580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8EAEF91-A4DE-4E84-8C0A-DF6F98CEE42F}"/>
            </a:ext>
          </a:extLst>
        </xdr:cNvPr>
        <xdr:cNvSpPr/>
      </xdr:nvSpPr>
      <xdr:spPr>
        <a:xfrm>
          <a:off x="739141" y="64770"/>
          <a:ext cx="5722619" cy="55245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accent1">
                  <a:lumMod val="75000"/>
                </a:schemeClr>
              </a:solidFill>
            </a:rPr>
            <a:t>20</a:t>
          </a:r>
          <a:endParaRPr lang="en-PK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194309</xdr:colOff>
      <xdr:row>0</xdr:row>
      <xdr:rowOff>139065</xdr:rowOff>
    </xdr:from>
    <xdr:ext cx="3448051" cy="40195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9A8CEF-8981-601C-4A3E-83FEAF45613B}"/>
            </a:ext>
          </a:extLst>
        </xdr:cNvPr>
        <xdr:cNvSpPr txBox="1"/>
      </xdr:nvSpPr>
      <xdr:spPr>
        <a:xfrm>
          <a:off x="803909" y="139065"/>
          <a:ext cx="3448051" cy="4019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000" baseline="0">
              <a:solidFill>
                <a:schemeClr val="bg1"/>
              </a:solidFill>
            </a:rPr>
            <a:t>Employee Workforce Overview</a:t>
          </a:r>
          <a:endParaRPr lang="en-PK" sz="20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0</xdr:colOff>
      <xdr:row>20</xdr:row>
      <xdr:rowOff>88114</xdr:rowOff>
    </xdr:from>
    <xdr:ext cx="723899" cy="37407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01A7900-813F-453A-0E0F-5C7FF308C380}"/>
            </a:ext>
          </a:extLst>
        </xdr:cNvPr>
        <xdr:cNvSpPr txBox="1"/>
      </xdr:nvSpPr>
      <xdr:spPr>
        <a:xfrm>
          <a:off x="0" y="3745714"/>
          <a:ext cx="72389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900">
              <a:solidFill>
                <a:schemeClr val="bg1"/>
              </a:solidFill>
            </a:rPr>
            <a:t>Designed by</a:t>
          </a:r>
          <a:endParaRPr lang="en-PK" sz="9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30481</xdr:colOff>
      <xdr:row>23</xdr:row>
      <xdr:rowOff>69064</xdr:rowOff>
    </xdr:from>
    <xdr:ext cx="655320" cy="37407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E4810FC-CA36-4646-1F7B-CCC4FF3CC8C6}"/>
            </a:ext>
          </a:extLst>
        </xdr:cNvPr>
        <xdr:cNvSpPr txBox="1"/>
      </xdr:nvSpPr>
      <xdr:spPr>
        <a:xfrm>
          <a:off x="30481" y="4275304"/>
          <a:ext cx="65532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900">
              <a:solidFill>
                <a:schemeClr val="bg1"/>
              </a:solidFill>
            </a:rPr>
            <a:t>Ayesha Batool</a:t>
          </a:r>
          <a:endParaRPr lang="en-PK" sz="9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60960</xdr:colOff>
      <xdr:row>9</xdr:row>
      <xdr:rowOff>30480</xdr:rowOff>
    </xdr:from>
    <xdr:ext cx="638101" cy="335280"/>
    <xdr:sp macro="" textlink="">
      <xdr:nvSpPr>
        <xdr:cNvPr id="20" name="TextBox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60B439-15EF-1DEA-C19F-1D45E692E4BF}"/>
            </a:ext>
          </a:extLst>
        </xdr:cNvPr>
        <xdr:cNvSpPr txBox="1"/>
      </xdr:nvSpPr>
      <xdr:spPr>
        <a:xfrm>
          <a:off x="60960" y="1676400"/>
          <a:ext cx="638101" cy="335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LinkedIn</a:t>
          </a:r>
          <a:endParaRPr lang="en-PK" sz="11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91440</xdr:colOff>
      <xdr:row>11</xdr:row>
      <xdr:rowOff>30480</xdr:rowOff>
    </xdr:from>
    <xdr:ext cx="526592" cy="312419"/>
    <xdr:sp macro="" textlink="">
      <xdr:nvSpPr>
        <xdr:cNvPr id="21" name="TextBox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7C7039-18CC-0FBC-4716-9D8DA2C18D41}"/>
            </a:ext>
          </a:extLst>
        </xdr:cNvPr>
        <xdr:cNvSpPr txBox="1"/>
      </xdr:nvSpPr>
      <xdr:spPr>
        <a:xfrm>
          <a:off x="91440" y="2042160"/>
          <a:ext cx="526592" cy="3124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GitHub</a:t>
          </a:r>
          <a:endParaRPr lang="en-PK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495300</xdr:colOff>
      <xdr:row>14</xdr:row>
      <xdr:rowOff>114300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8A4AE9-CA8A-B908-0E4A-C85C70E55BF7}"/>
            </a:ext>
          </a:extLst>
        </xdr:cNvPr>
        <xdr:cNvSpPr txBox="1"/>
      </xdr:nvSpPr>
      <xdr:spPr>
        <a:xfrm>
          <a:off x="6591300" y="264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K" sz="1100"/>
        </a:p>
      </xdr:txBody>
    </xdr:sp>
    <xdr:clientData/>
  </xdr:oneCellAnchor>
  <xdr:twoCellAnchor>
    <xdr:from>
      <xdr:col>14</xdr:col>
      <xdr:colOff>567691</xdr:colOff>
      <xdr:row>0</xdr:row>
      <xdr:rowOff>68580</xdr:rowOff>
    </xdr:from>
    <xdr:to>
      <xdr:col>17</xdr:col>
      <xdr:colOff>1</xdr:colOff>
      <xdr:row>3</xdr:row>
      <xdr:rowOff>60960</xdr:rowOff>
    </xdr:to>
    <xdr:sp macro="" textlink="'3. Insights'!C6">
      <xdr:nvSpPr>
        <xdr:cNvPr id="9" name="Rectangle: Rounded Corners 8">
          <a:extLst>
            <a:ext uri="{FF2B5EF4-FFF2-40B4-BE49-F238E27FC236}">
              <a16:creationId xmlns:a16="http://schemas.microsoft.com/office/drawing/2014/main" id="{5C74B6A2-E97F-4DC7-A785-3D69BA296638}"/>
            </a:ext>
          </a:extLst>
        </xdr:cNvPr>
        <xdr:cNvSpPr/>
      </xdr:nvSpPr>
      <xdr:spPr>
        <a:xfrm>
          <a:off x="9102091" y="68580"/>
          <a:ext cx="1261110" cy="54102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E2F1139-FBAB-4808-86FB-6E2A0F4530EE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2458</a:t>
          </a:fld>
          <a:endParaRPr lang="en-PK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30479</xdr:colOff>
      <xdr:row>0</xdr:row>
      <xdr:rowOff>76200</xdr:rowOff>
    </xdr:from>
    <xdr:to>
      <xdr:col>18</xdr:col>
      <xdr:colOff>506730</xdr:colOff>
      <xdr:row>3</xdr:row>
      <xdr:rowOff>53340</xdr:rowOff>
    </xdr:to>
    <xdr:sp macro="" textlink="'3. Insights'!C7">
      <xdr:nvSpPr>
        <xdr:cNvPr id="18" name="Rectangle: Rounded Corners 17">
          <a:extLst>
            <a:ext uri="{FF2B5EF4-FFF2-40B4-BE49-F238E27FC236}">
              <a16:creationId xmlns:a16="http://schemas.microsoft.com/office/drawing/2014/main" id="{5A6F3263-E4CE-4126-A564-12C24DFE118E}"/>
            </a:ext>
          </a:extLst>
        </xdr:cNvPr>
        <xdr:cNvSpPr/>
      </xdr:nvSpPr>
      <xdr:spPr>
        <a:xfrm>
          <a:off x="10393679" y="76200"/>
          <a:ext cx="1085851" cy="52578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569A37-2AA5-4A47-80C9-A8C093D6927A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1257</a:t>
          </a:fld>
          <a:endParaRPr lang="en-PK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544830</xdr:colOff>
      <xdr:row>0</xdr:row>
      <xdr:rowOff>68580</xdr:rowOff>
    </xdr:from>
    <xdr:to>
      <xdr:col>20</xdr:col>
      <xdr:colOff>411479</xdr:colOff>
      <xdr:row>3</xdr:row>
      <xdr:rowOff>60960</xdr:rowOff>
    </xdr:to>
    <xdr:sp macro="" textlink="'3. Insights'!C8">
      <xdr:nvSpPr>
        <xdr:cNvPr id="22" name="Rectangle: Rounded Corners 21">
          <a:extLst>
            <a:ext uri="{FF2B5EF4-FFF2-40B4-BE49-F238E27FC236}">
              <a16:creationId xmlns:a16="http://schemas.microsoft.com/office/drawing/2014/main" id="{DF494E73-DEA8-45F2-8EC7-9AE0B437EB4F}"/>
            </a:ext>
          </a:extLst>
        </xdr:cNvPr>
        <xdr:cNvSpPr/>
      </xdr:nvSpPr>
      <xdr:spPr>
        <a:xfrm>
          <a:off x="11517630" y="68580"/>
          <a:ext cx="1085849" cy="541020"/>
        </a:xfrm>
        <a:prstGeom prst="roundRect">
          <a:avLst/>
        </a:prstGeom>
        <a:solidFill>
          <a:schemeClr val="accent1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40D11DD-1871-4A44-B3E1-6F4AE9A78BF7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1588</a:t>
          </a:fld>
          <a:endParaRPr lang="en-PK" sz="1100">
            <a:solidFill>
              <a:schemeClr val="bg1"/>
            </a:solidFill>
          </a:endParaRPr>
        </a:p>
      </xdr:txBody>
    </xdr:sp>
    <xdr:clientData/>
  </xdr:twoCellAnchor>
  <xdr:oneCellAnchor>
    <xdr:from>
      <xdr:col>12</xdr:col>
      <xdr:colOff>504824</xdr:colOff>
      <xdr:row>1</xdr:row>
      <xdr:rowOff>72390</xdr:rowOff>
    </xdr:from>
    <xdr:ext cx="1118235" cy="2476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DD403E-3D60-BB93-2244-08FBB63073F7}"/>
            </a:ext>
          </a:extLst>
        </xdr:cNvPr>
        <xdr:cNvSpPr txBox="1"/>
      </xdr:nvSpPr>
      <xdr:spPr>
        <a:xfrm>
          <a:off x="7820024" y="255270"/>
          <a:ext cx="111823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Terminated Emp.</a:t>
          </a:r>
          <a:endParaRPr lang="en-PK" sz="110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577215</xdr:colOff>
      <xdr:row>1</xdr:row>
      <xdr:rowOff>72390</xdr:rowOff>
    </xdr:from>
    <xdr:ext cx="672465" cy="33147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06D7F9E-4767-408F-A4F4-8C49063AEB1C}"/>
            </a:ext>
          </a:extLst>
        </xdr:cNvPr>
        <xdr:cNvSpPr txBox="1"/>
      </xdr:nvSpPr>
      <xdr:spPr>
        <a:xfrm>
          <a:off x="11550015" y="255270"/>
          <a:ext cx="672465" cy="331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Female</a:t>
          </a:r>
        </a:p>
        <a:p>
          <a:endParaRPr lang="en-PK" sz="1100"/>
        </a:p>
      </xdr:txBody>
    </xdr:sp>
    <xdr:clientData/>
  </xdr:oneCellAnchor>
  <xdr:oneCellAnchor>
    <xdr:from>
      <xdr:col>17</xdr:col>
      <xdr:colOff>78105</xdr:colOff>
      <xdr:row>1</xdr:row>
      <xdr:rowOff>78105</xdr:rowOff>
    </xdr:from>
    <xdr:ext cx="645795" cy="27241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F2CE67E-EC11-4697-A8A1-111C373F2B23}"/>
            </a:ext>
          </a:extLst>
        </xdr:cNvPr>
        <xdr:cNvSpPr txBox="1"/>
      </xdr:nvSpPr>
      <xdr:spPr>
        <a:xfrm>
          <a:off x="10441305" y="260985"/>
          <a:ext cx="645795" cy="27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Male</a:t>
          </a:r>
        </a:p>
        <a:p>
          <a:endParaRPr lang="en-PK" sz="1100"/>
        </a:p>
      </xdr:txBody>
    </xdr:sp>
    <xdr:clientData/>
  </xdr:oneCellAnchor>
  <xdr:oneCellAnchor>
    <xdr:from>
      <xdr:col>10</xdr:col>
      <xdr:colOff>443865</xdr:colOff>
      <xdr:row>1</xdr:row>
      <xdr:rowOff>95250</xdr:rowOff>
    </xdr:from>
    <xdr:ext cx="843915" cy="2857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5F3923-E335-4F1A-A039-8881A44B4526}"/>
            </a:ext>
          </a:extLst>
        </xdr:cNvPr>
        <xdr:cNvSpPr txBox="1"/>
      </xdr:nvSpPr>
      <xdr:spPr>
        <a:xfrm>
          <a:off x="6539865" y="278130"/>
          <a:ext cx="843915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Total Emp.</a:t>
          </a:r>
          <a:endParaRPr lang="en-PK" sz="11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152400</xdr:colOff>
      <xdr:row>3</xdr:row>
      <xdr:rowOff>122766</xdr:rowOff>
    </xdr:from>
    <xdr:to>
      <xdr:col>8</xdr:col>
      <xdr:colOff>381000</xdr:colOff>
      <xdr:row>15</xdr:row>
      <xdr:rowOff>160019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3253B19-EEAE-43C5-8011-4082436DD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180646</xdr:colOff>
      <xdr:row>16</xdr:row>
      <xdr:rowOff>32844</xdr:rowOff>
    </xdr:from>
    <xdr:to>
      <xdr:col>23</xdr:col>
      <xdr:colOff>327660</xdr:colOff>
      <xdr:row>28</xdr:row>
      <xdr:rowOff>53341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A9AA281-EC7C-4D89-A363-756E61D46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182880</xdr:colOff>
      <xdr:row>3</xdr:row>
      <xdr:rowOff>122296</xdr:rowOff>
    </xdr:from>
    <xdr:to>
      <xdr:col>23</xdr:col>
      <xdr:colOff>305624</xdr:colOff>
      <xdr:row>15</xdr:row>
      <xdr:rowOff>151086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D1DF8AA-46FE-4E12-B1FB-A209FF940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426440</xdr:colOff>
      <xdr:row>3</xdr:row>
      <xdr:rowOff>116747</xdr:rowOff>
    </xdr:from>
    <xdr:to>
      <xdr:col>16</xdr:col>
      <xdr:colOff>116934</xdr:colOff>
      <xdr:row>15</xdr:row>
      <xdr:rowOff>157655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EF3A23D-7796-42C9-88DC-5C5793D15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14</xdr:col>
      <xdr:colOff>588644</xdr:colOff>
      <xdr:row>1</xdr:row>
      <xdr:rowOff>95250</xdr:rowOff>
    </xdr:from>
    <xdr:ext cx="897255" cy="2476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7DE069-455F-40A7-BFCA-577AEEE77569}"/>
            </a:ext>
          </a:extLst>
        </xdr:cNvPr>
        <xdr:cNvSpPr txBox="1"/>
      </xdr:nvSpPr>
      <xdr:spPr>
        <a:xfrm>
          <a:off x="9123044" y="278130"/>
          <a:ext cx="897255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>
              <a:solidFill>
                <a:schemeClr val="bg1"/>
              </a:solidFill>
            </a:rPr>
            <a:t>Active Emp.</a:t>
          </a:r>
          <a:endParaRPr lang="en-PK" sz="11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182881</xdr:colOff>
      <xdr:row>3</xdr:row>
      <xdr:rowOff>167641</xdr:rowOff>
    </xdr:from>
    <xdr:to>
      <xdr:col>0</xdr:col>
      <xdr:colOff>586740</xdr:colOff>
      <xdr:row>6</xdr:row>
      <xdr:rowOff>22860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2B9CE4-1962-0463-8F9E-A1D9FF7AF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1" y="716281"/>
          <a:ext cx="403859" cy="403859"/>
        </a:xfrm>
        <a:prstGeom prst="rect">
          <a:avLst/>
        </a:prstGeom>
      </xdr:spPr>
    </xdr:pic>
    <xdr:clientData/>
  </xdr:twoCellAnchor>
  <xdr:twoCellAnchor>
    <xdr:from>
      <xdr:col>8</xdr:col>
      <xdr:colOff>426984</xdr:colOff>
      <xdr:row>16</xdr:row>
      <xdr:rowOff>32844</xdr:rowOff>
    </xdr:from>
    <xdr:to>
      <xdr:col>16</xdr:col>
      <xdr:colOff>124810</xdr:colOff>
      <xdr:row>28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87CE4B-4282-42B3-B1B8-8334F9572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6</xdr:col>
      <xdr:colOff>441960</xdr:colOff>
      <xdr:row>1</xdr:row>
      <xdr:rowOff>76200</xdr:rowOff>
    </xdr:from>
    <xdr:ext cx="88537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BF738A-6B8D-4340-AD76-063CB0EA6AE2}"/>
            </a:ext>
          </a:extLst>
        </xdr:cNvPr>
        <xdr:cNvSpPr txBox="1"/>
      </xdr:nvSpPr>
      <xdr:spPr>
        <a:xfrm>
          <a:off x="4099560" y="259080"/>
          <a:ext cx="8853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(2018-2023)</a:t>
          </a:r>
          <a:endParaRPr lang="en-PK" sz="11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152400</xdr:colOff>
      <xdr:row>16</xdr:row>
      <xdr:rowOff>22860</xdr:rowOff>
    </xdr:from>
    <xdr:to>
      <xdr:col>8</xdr:col>
      <xdr:colOff>381000</xdr:colOff>
      <xdr:row>28</xdr:row>
      <xdr:rowOff>91440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E0353C-D5EA-4638-9DF9-E930008FC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esha Batool" refreshedDate="46088.980299074072" createdVersion="8" refreshedVersion="8" minRefreshableVersion="3" recordCount="2845" xr:uid="{1CC09455-0346-472C-983D-590605CB2B23}">
  <cacheSource type="worksheet">
    <worksheetSource name="Cleaned_HR_Data_Analysis__2"/>
  </cacheSource>
  <cacheFields count="21">
    <cacheField name="Employee_ID" numFmtId="0">
      <sharedItems containsSemiMixedTypes="0" containsString="0" containsNumber="1" containsInteger="1" minValue="1001" maxValue="4000" count="2845">
        <n v="2038"/>
        <n v="1743"/>
        <n v="3238"/>
        <n v="3028"/>
        <n v="2786"/>
        <n v="1127"/>
        <n v="3656"/>
        <n v="3176"/>
        <n v="2125"/>
        <n v="1461"/>
        <n v="1418"/>
        <n v="3809"/>
        <n v="2745"/>
        <n v="3500"/>
        <n v="2646"/>
        <n v="2705"/>
        <n v="2601"/>
        <n v="1028"/>
        <n v="3219"/>
        <n v="3586"/>
        <n v="3423"/>
        <n v="3177"/>
        <n v="3109"/>
        <n v="2035"/>
        <n v="1926"/>
        <n v="1884"/>
        <n v="1881"/>
        <n v="1860"/>
        <n v="3868"/>
        <n v="1718"/>
        <n v="2735"/>
        <n v="2587"/>
        <n v="2502"/>
        <n v="1007"/>
        <n v="1070"/>
        <n v="1636"/>
        <n v="3069"/>
        <n v="2118"/>
        <n v="1989"/>
        <n v="3309"/>
        <n v="3106"/>
        <n v="3041"/>
        <n v="2990"/>
        <n v="2956"/>
        <n v="2085"/>
        <n v="2004"/>
        <n v="1486"/>
        <n v="2469"/>
        <n v="2429"/>
        <n v="2419"/>
        <n v="2340"/>
        <n v="2209"/>
        <n v="2274"/>
        <n v="2498"/>
        <n v="2585"/>
        <n v="3464"/>
        <n v="2603"/>
        <n v="3839"/>
        <n v="1359"/>
        <n v="3963"/>
        <n v="1073"/>
        <n v="1079"/>
        <n v="1721"/>
        <n v="3740"/>
        <n v="3342"/>
        <n v="1602"/>
        <n v="1535"/>
        <n v="1515"/>
        <n v="3792"/>
        <n v="3774"/>
        <n v="3621"/>
        <n v="3375"/>
        <n v="3269"/>
        <n v="3202"/>
        <n v="3185"/>
        <n v="2991"/>
        <n v="2979"/>
        <n v="2880"/>
        <n v="2821"/>
        <n v="2134"/>
        <n v="1878"/>
        <n v="1848"/>
        <n v="1775"/>
        <n v="1302"/>
        <n v="1283"/>
        <n v="1264"/>
        <n v="1239"/>
        <n v="2343"/>
        <n v="2325"/>
        <n v="2281"/>
        <n v="2306"/>
        <n v="3847"/>
        <n v="2240"/>
        <n v="2224"/>
        <n v="2481"/>
        <n v="2353"/>
        <n v="2313"/>
        <n v="3975"/>
        <n v="2644"/>
        <n v="2595"/>
        <n v="3468"/>
        <n v="2672"/>
        <n v="1381"/>
        <n v="1375"/>
        <n v="3965"/>
        <n v="2509"/>
        <n v="1714"/>
        <n v="3738"/>
        <n v="3301"/>
        <n v="3180"/>
        <n v="2187"/>
        <n v="2166"/>
        <n v="2121"/>
        <n v="1538"/>
        <n v="1235"/>
        <n v="1190"/>
        <n v="3794"/>
        <n v="3731"/>
        <n v="3678"/>
        <n v="3417"/>
        <n v="3192"/>
        <n v="3190"/>
        <n v="3016"/>
        <n v="3009"/>
        <n v="2811"/>
        <n v="1955"/>
        <n v="1898"/>
        <n v="1868"/>
        <n v="1847"/>
        <n v="1762"/>
        <n v="1751"/>
        <n v="1530"/>
        <n v="1501"/>
        <n v="1426"/>
        <n v="1286"/>
        <n v="1175"/>
        <n v="1117"/>
        <n v="1115"/>
        <n v="2293"/>
        <n v="3855"/>
        <n v="3922"/>
        <n v="3826"/>
        <n v="2222"/>
        <n v="2258"/>
        <n v="2515"/>
        <n v="3956"/>
        <n v="3996"/>
        <n v="3955"/>
        <n v="2371"/>
        <n v="1623"/>
        <n v="2713"/>
        <n v="1654"/>
        <n v="3455"/>
        <n v="2704"/>
        <n v="1358"/>
        <n v="3874"/>
        <n v="1078"/>
        <n v="1068"/>
        <n v="1065"/>
        <n v="1055"/>
        <n v="3162"/>
        <n v="3137"/>
        <n v="3025"/>
        <n v="3004"/>
        <n v="2168"/>
        <n v="2091"/>
        <n v="1998"/>
        <n v="3640"/>
        <n v="3424"/>
        <n v="3374"/>
        <n v="3290"/>
        <n v="2840"/>
        <n v="2819"/>
        <n v="2051"/>
        <n v="1931"/>
        <n v="1850"/>
        <n v="1842"/>
        <n v="1608"/>
        <n v="1481"/>
        <n v="1435"/>
        <n v="1305"/>
        <n v="1249"/>
        <n v="1157"/>
        <n v="1130"/>
        <n v="2295"/>
        <n v="1165"/>
        <n v="3890"/>
        <n v="3879"/>
        <n v="3848"/>
        <n v="2248"/>
        <n v="3944"/>
        <n v="2308"/>
        <n v="1727"/>
        <n v="2692"/>
        <n v="3430"/>
        <n v="1644"/>
        <n v="2631"/>
        <n v="3484"/>
        <n v="3544"/>
        <n v="2718"/>
        <n v="2673"/>
        <n v="1351"/>
        <n v="3674"/>
        <n v="3624"/>
        <n v="3386"/>
        <n v="3298"/>
        <n v="2971"/>
        <n v="2930"/>
        <n v="2144"/>
        <n v="1971"/>
        <n v="3784"/>
        <n v="3667"/>
        <n v="3569"/>
        <n v="3414"/>
        <n v="3308"/>
        <n v="3273"/>
        <n v="3266"/>
        <n v="3250"/>
        <n v="3231"/>
        <n v="3147"/>
        <n v="3084"/>
        <n v="2873"/>
        <n v="2761"/>
        <n v="2149"/>
        <n v="2009"/>
        <n v="1613"/>
        <n v="1589"/>
        <n v="1455"/>
        <n v="1437"/>
        <n v="1312"/>
        <n v="1306"/>
        <n v="1288"/>
        <n v="1131"/>
        <n v="1104"/>
        <n v="1097"/>
        <n v="2359"/>
        <n v="1209"/>
        <n v="1187"/>
        <n v="3860"/>
        <n v="3825"/>
        <n v="2249"/>
        <n v="3936"/>
        <n v="2564"/>
        <n v="2556"/>
        <n v="3947"/>
        <n v="2409"/>
        <n v="3945"/>
        <n v="2583"/>
        <n v="1633"/>
        <n v="3535"/>
        <n v="3511"/>
        <n v="3910"/>
        <n v="1057"/>
        <n v="3622"/>
        <n v="3564"/>
        <n v="3279"/>
        <n v="3136"/>
        <n v="3076"/>
        <n v="2867"/>
        <n v="2808"/>
        <n v="2169"/>
        <n v="2041"/>
        <n v="1972"/>
        <n v="1600"/>
        <n v="1582"/>
        <n v="1497"/>
        <n v="3726"/>
        <n v="3676"/>
        <n v="3655"/>
        <n v="3572"/>
        <n v="3276"/>
        <n v="3265"/>
        <n v="3171"/>
        <n v="3165"/>
        <n v="3164"/>
        <n v="3153"/>
        <n v="2935"/>
        <n v="2903"/>
        <n v="2895"/>
        <n v="2817"/>
        <n v="2054"/>
        <n v="1967"/>
        <n v="1887"/>
        <n v="1871"/>
        <n v="1825"/>
        <n v="1755"/>
        <n v="1507"/>
        <n v="1480"/>
        <n v="1442"/>
        <n v="1314"/>
        <n v="1290"/>
        <n v="1223"/>
        <n v="1134"/>
        <n v="1119"/>
        <n v="2393"/>
        <n v="2324"/>
        <n v="2217"/>
        <n v="2459"/>
        <n v="3446"/>
        <n v="2717"/>
        <n v="3498"/>
        <n v="3488"/>
        <n v="2690"/>
        <n v="2590"/>
        <n v="2617"/>
        <n v="2618"/>
        <n v="1033"/>
        <n v="1023"/>
        <n v="1638"/>
        <n v="2186"/>
        <n v="2095"/>
        <n v="1513"/>
        <n v="1106"/>
        <n v="3653"/>
        <n v="3418"/>
        <n v="3194"/>
        <n v="3166"/>
        <n v="2891"/>
        <n v="2835"/>
        <n v="2179"/>
        <n v="2032"/>
        <n v="1544"/>
        <n v="1440"/>
        <n v="1433"/>
        <n v="1098"/>
        <n v="2450"/>
        <n v="2361"/>
        <n v="1231"/>
        <n v="1163"/>
        <n v="3917"/>
        <n v="3903"/>
        <n v="3835"/>
        <n v="2271"/>
        <n v="2227"/>
        <n v="2221"/>
        <n v="2569"/>
        <n v="2478"/>
        <n v="3993"/>
        <n v="1704"/>
        <n v="1651"/>
        <n v="2712"/>
        <n v="3529"/>
        <n v="3494"/>
        <n v="3492"/>
        <n v="3450"/>
        <n v="3530"/>
        <n v="2733"/>
        <n v="2719"/>
        <n v="2657"/>
        <n v="2591"/>
        <n v="1347"/>
        <n v="1368"/>
        <n v="1077"/>
        <n v="1050"/>
        <n v="1037"/>
        <n v="1624"/>
        <n v="3764"/>
        <n v="3602"/>
        <n v="3239"/>
        <n v="3135"/>
        <n v="2864"/>
        <n v="2117"/>
        <n v="2114"/>
        <n v="2048"/>
        <n v="2042"/>
        <n v="1579"/>
        <n v="1557"/>
        <n v="1279"/>
        <n v="3770"/>
        <n v="3707"/>
        <n v="3691"/>
        <n v="3668"/>
        <n v="3654"/>
        <n v="3637"/>
        <n v="3356"/>
        <n v="3335"/>
        <n v="3210"/>
        <n v="2901"/>
        <n v="2801"/>
        <n v="2774"/>
        <n v="2194"/>
        <n v="2172"/>
        <n v="2136"/>
        <n v="1921"/>
        <n v="1810"/>
        <n v="1760"/>
        <n v="1616"/>
        <n v="1458"/>
        <n v="1304"/>
        <n v="1285"/>
        <n v="1241"/>
        <n v="1228"/>
        <n v="2358"/>
        <n v="3935"/>
        <n v="3881"/>
        <n v="3859"/>
        <n v="3827"/>
        <n v="3939"/>
        <n v="2372"/>
        <n v="2352"/>
        <n v="1707"/>
        <n v="2578"/>
        <n v="3429"/>
        <n v="2670"/>
        <n v="1698"/>
        <n v="3443"/>
        <n v="3485"/>
        <n v="3924"/>
        <n v="1383"/>
        <n v="2540"/>
        <n v="2543"/>
        <n v="1699"/>
        <n v="1036"/>
        <n v="1934"/>
        <n v="3697"/>
        <n v="3672"/>
        <n v="3651"/>
        <n v="3650"/>
        <n v="3626"/>
        <n v="3412"/>
        <n v="3325"/>
        <n v="1973"/>
        <n v="1765"/>
        <n v="1432"/>
        <n v="1107"/>
        <n v="3767"/>
        <n v="3609"/>
        <n v="3559"/>
        <n v="3416"/>
        <n v="3384"/>
        <n v="3378"/>
        <n v="3305"/>
        <n v="3119"/>
        <n v="2941"/>
        <n v="2899"/>
        <n v="2853"/>
        <n v="2830"/>
        <n v="2763"/>
        <n v="2181"/>
        <n v="2011"/>
        <n v="2002"/>
        <n v="1981"/>
        <n v="1767"/>
        <n v="1568"/>
        <n v="1470"/>
        <n v="1293"/>
        <n v="1250"/>
        <n v="1181"/>
        <n v="2447"/>
        <n v="2416"/>
        <n v="2412"/>
        <n v="2411"/>
        <n v="2397"/>
        <n v="2379"/>
        <n v="2344"/>
        <n v="3900"/>
        <n v="2387"/>
        <n v="2260"/>
        <n v="2242"/>
        <n v="2570"/>
        <n v="2309"/>
        <n v="2572"/>
        <n v="2527"/>
        <n v="1719"/>
        <n v="2715"/>
        <n v="3490"/>
        <n v="2582"/>
        <n v="2720"/>
        <n v="2710"/>
        <n v="2648"/>
        <n v="2630"/>
        <n v="2651"/>
        <n v="3828"/>
        <n v="1088"/>
        <n v="1010"/>
        <n v="1061"/>
        <n v="3716"/>
        <n v="3695"/>
        <n v="3576"/>
        <n v="3391"/>
        <n v="3388"/>
        <n v="3260"/>
        <n v="3002"/>
        <n v="1997"/>
        <n v="1996"/>
        <n v="1256"/>
        <n v="1094"/>
        <n v="3768"/>
        <n v="3657"/>
        <n v="3620"/>
        <n v="3585"/>
        <n v="3373"/>
        <n v="3017"/>
        <n v="2922"/>
        <n v="2917"/>
        <n v="2764"/>
        <n v="2759"/>
        <n v="2182"/>
        <n v="2171"/>
        <n v="2156"/>
        <n v="1988"/>
        <n v="1958"/>
        <n v="1924"/>
        <n v="1780"/>
        <n v="1612"/>
        <n v="1549"/>
        <n v="1547"/>
        <n v="1484"/>
        <n v="2455"/>
        <n v="3856"/>
        <n v="2568"/>
        <n v="2677"/>
        <n v="2665"/>
        <n v="3487"/>
        <n v="3541"/>
        <n v="2622"/>
        <n v="1367"/>
        <n v="3976"/>
        <n v="1054"/>
        <n v="1933"/>
        <n v="3178"/>
        <n v="2145"/>
        <n v="2044"/>
        <n v="2024"/>
        <n v="1556"/>
        <n v="1475"/>
        <n v="1233"/>
        <n v="1125"/>
        <n v="3679"/>
        <n v="3659"/>
        <n v="3306"/>
        <n v="3252"/>
        <n v="3170"/>
        <n v="2915"/>
        <n v="2816"/>
        <n v="2201"/>
        <n v="1911"/>
        <n v="1870"/>
        <n v="1774"/>
        <n v="1570"/>
        <n v="1542"/>
        <n v="1521"/>
        <n v="1423"/>
        <n v="2255"/>
        <n v="2231"/>
        <n v="1708"/>
        <n v="1706"/>
        <n v="2628"/>
        <n v="3441"/>
        <n v="1664"/>
        <n v="3495"/>
        <n v="2707"/>
        <n v="1370"/>
        <n v="3962"/>
        <n v="2510"/>
        <n v="1021"/>
        <n v="1024"/>
        <n v="1952"/>
        <n v="1713"/>
        <n v="3717"/>
        <n v="3696"/>
        <n v="3392"/>
        <n v="3003"/>
        <n v="2069"/>
        <n v="2015"/>
        <n v="3778"/>
        <n v="3700"/>
        <n v="3377"/>
        <n v="3372"/>
        <n v="3333"/>
        <n v="3275"/>
        <n v="3246"/>
        <n v="3226"/>
        <n v="3222"/>
        <n v="3127"/>
        <n v="3037"/>
        <n v="2919"/>
        <n v="2833"/>
        <n v="2796"/>
        <n v="2129"/>
        <n v="2055"/>
        <n v="2033"/>
        <n v="1980"/>
        <n v="1858"/>
        <n v="1754"/>
        <n v="1617"/>
        <n v="1203"/>
        <n v="2448"/>
        <n v="2381"/>
        <n v="2360"/>
        <n v="2302"/>
        <n v="1142"/>
        <n v="3915"/>
        <n v="3883"/>
        <n v="2212"/>
        <n v="2554"/>
        <n v="2505"/>
        <n v="3985"/>
        <n v="3957"/>
        <n v="2742"/>
        <n v="2604"/>
        <n v="3506"/>
        <n v="3528"/>
        <n v="2700"/>
        <n v="1372"/>
        <n v="1338"/>
        <n v="1009"/>
        <n v="1080"/>
        <n v="1646"/>
        <n v="1936"/>
        <n v="3348"/>
        <n v="3283"/>
        <n v="2092"/>
        <n v="1892"/>
        <n v="1817"/>
        <n v="1601"/>
        <n v="1189"/>
        <n v="3426"/>
        <n v="3355"/>
        <n v="3263"/>
        <n v="3140"/>
        <n v="3086"/>
        <n v="2898"/>
        <n v="2861"/>
        <n v="2782"/>
        <n v="2178"/>
        <n v="2175"/>
        <n v="2081"/>
        <n v="2078"/>
        <n v="2053"/>
        <n v="1919"/>
        <n v="1863"/>
        <n v="1801"/>
        <n v="1564"/>
        <n v="1466"/>
        <n v="1434"/>
        <n v="1227"/>
        <n v="1179"/>
        <n v="1091"/>
        <n v="2463"/>
        <n v="2454"/>
        <n v="2434"/>
        <n v="2337"/>
        <n v="3867"/>
        <n v="2307"/>
        <n v="3884"/>
        <n v="2546"/>
        <n v="3974"/>
        <n v="2571"/>
        <n v="2588"/>
        <n v="3486"/>
        <n v="2703"/>
        <n v="2659"/>
        <n v="1330"/>
        <n v="1020"/>
        <n v="1711"/>
        <n v="1702"/>
        <n v="1647"/>
        <n v="3321"/>
        <n v="2977"/>
        <n v="2969"/>
        <n v="2887"/>
        <n v="1912"/>
        <n v="1895"/>
        <n v="1799"/>
        <n v="1745"/>
        <n v="1453"/>
        <n v="1213"/>
        <n v="3795"/>
        <n v="3584"/>
        <n v="3021"/>
        <n v="2996"/>
        <n v="2799"/>
        <n v="2176"/>
        <n v="2109"/>
        <n v="1959"/>
        <n v="1918"/>
        <n v="1829"/>
        <n v="1797"/>
        <n v="1610"/>
        <n v="1436"/>
        <n v="1402"/>
        <n v="1248"/>
        <n v="1140"/>
        <n v="2470"/>
        <n v="2280"/>
        <n v="1124"/>
        <n v="3901"/>
        <n v="3908"/>
        <n v="2257"/>
        <n v="2488"/>
        <n v="2516"/>
        <n v="3941"/>
        <n v="2538"/>
        <n v="2573"/>
        <n v="2693"/>
        <n v="2627"/>
        <n v="2732"/>
        <n v="1635"/>
        <n v="3467"/>
        <n v="3536"/>
        <n v="3812"/>
        <n v="2499"/>
        <n v="1084"/>
        <n v="1683"/>
        <n v="1637"/>
        <n v="3671"/>
        <n v="3257"/>
        <n v="2946"/>
        <n v="2929"/>
        <n v="2805"/>
        <n v="2066"/>
        <n v="1994"/>
        <n v="1296"/>
        <n v="1192"/>
        <n v="3665"/>
        <n v="3575"/>
        <n v="3334"/>
        <n v="3129"/>
        <n v="3082"/>
        <n v="2890"/>
        <n v="2836"/>
        <n v="2203"/>
        <n v="2173"/>
        <n v="2160"/>
        <n v="2103"/>
        <n v="1907"/>
        <n v="1607"/>
        <n v="1526"/>
        <n v="1500"/>
        <n v="1467"/>
        <n v="1439"/>
        <n v="1284"/>
        <n v="1154"/>
        <n v="2449"/>
        <n v="2341"/>
        <n v="2288"/>
        <n v="2369"/>
        <n v="3950"/>
        <n v="3959"/>
        <n v="1641"/>
        <n v="2614"/>
        <n v="3516"/>
        <n v="1342"/>
        <n v="2551"/>
        <n v="1064"/>
        <n v="3304"/>
        <n v="3237"/>
        <n v="3157"/>
        <n v="3138"/>
        <n v="3073"/>
        <n v="2756"/>
        <n v="1517"/>
        <n v="1277"/>
        <n v="1255"/>
        <n v="1110"/>
        <n v="3782"/>
        <n v="3713"/>
        <n v="3680"/>
        <n v="3633"/>
        <n v="3383"/>
        <n v="3062"/>
        <n v="2197"/>
        <n v="2003"/>
        <n v="1929"/>
        <n v="1757"/>
        <n v="1737"/>
        <n v="1571"/>
        <n v="1502"/>
        <n v="1310"/>
        <n v="1291"/>
        <n v="1240"/>
        <n v="1116"/>
        <n v="2453"/>
        <n v="2421"/>
        <n v="2417"/>
        <n v="2336"/>
        <n v="3930"/>
        <n v="3823"/>
        <n v="2247"/>
        <n v="2272"/>
        <n v="2486"/>
        <n v="2291"/>
        <n v="3994"/>
        <n v="2565"/>
        <n v="3555"/>
        <n v="3493"/>
        <n v="1320"/>
        <n v="1356"/>
        <n v="1324"/>
        <n v="1689"/>
        <n v="3761"/>
        <n v="2018"/>
        <n v="3749"/>
        <n v="3685"/>
        <n v="3644"/>
        <n v="3172"/>
        <n v="3040"/>
        <n v="2059"/>
        <n v="2012"/>
        <n v="1862"/>
        <n v="1781"/>
        <n v="1593"/>
        <n v="1573"/>
        <n v="1503"/>
        <n v="1311"/>
        <n v="1138"/>
        <n v="2395"/>
        <n v="2319"/>
        <n v="2315"/>
        <n v="1697"/>
        <n v="1652"/>
        <n v="2727"/>
        <n v="3445"/>
        <n v="2681"/>
        <n v="3539"/>
        <n v="1362"/>
        <n v="1373"/>
        <n v="1039"/>
        <n v="1656"/>
        <n v="1693"/>
        <n v="3072"/>
        <n v="2886"/>
        <n v="1798"/>
        <n v="1739"/>
        <n v="1215"/>
        <n v="1212"/>
        <n v="1211"/>
        <n v="3596"/>
        <n v="3573"/>
        <n v="3376"/>
        <n v="3352"/>
        <n v="3067"/>
        <n v="3013"/>
        <n v="2997"/>
        <n v="2968"/>
        <n v="2962"/>
        <n v="2204"/>
        <n v="2184"/>
        <n v="2030"/>
        <n v="1930"/>
        <n v="1869"/>
        <n v="1828"/>
        <n v="1803"/>
        <n v="1412"/>
        <n v="1397"/>
        <n v="1216"/>
        <n v="2402"/>
        <n v="2286"/>
        <n v="3815"/>
        <n v="1695"/>
        <n v="1661"/>
        <n v="1631"/>
        <n v="3522"/>
        <n v="2709"/>
        <n v="3540"/>
        <n v="2633"/>
        <n v="2602"/>
        <n v="1365"/>
        <n v="1325"/>
        <n v="1074"/>
        <n v="1008"/>
        <n v="1947"/>
        <n v="3410"/>
        <n v="3262"/>
        <n v="3240"/>
        <n v="3209"/>
        <n v="3113"/>
        <n v="2190"/>
        <n v="2096"/>
        <n v="2014"/>
        <n v="1914"/>
        <n v="3636"/>
        <n v="3612"/>
        <n v="3399"/>
        <n v="3201"/>
        <n v="3149"/>
        <n v="3063"/>
        <n v="2970"/>
        <n v="2823"/>
        <n v="2180"/>
        <n v="2159"/>
        <n v="2058"/>
        <n v="1982"/>
        <n v="1899"/>
        <n v="1886"/>
        <n v="1885"/>
        <n v="1859"/>
        <n v="1852"/>
        <n v="1802"/>
        <n v="1590"/>
        <n v="1587"/>
        <n v="1491"/>
        <n v="1409"/>
        <n v="2363"/>
        <n v="1186"/>
        <n v="3927"/>
        <n v="2253"/>
        <n v="2256"/>
        <n v="2373"/>
        <n v="2334"/>
        <n v="2528"/>
        <n v="2507"/>
        <n v="1726"/>
        <n v="2699"/>
        <n v="1643"/>
        <n v="3444"/>
        <n v="1322"/>
        <n v="3698"/>
        <n v="2906"/>
        <n v="1835"/>
        <n v="1558"/>
        <n v="1514"/>
        <n v="3629"/>
        <n v="3619"/>
        <n v="3380"/>
        <n v="3317"/>
        <n v="3195"/>
        <n v="3130"/>
        <n v="2967"/>
        <n v="2936"/>
        <n v="2918"/>
        <n v="2875"/>
        <n v="2753"/>
        <n v="2196"/>
        <n v="2147"/>
        <n v="2083"/>
        <n v="1928"/>
        <n v="1827"/>
        <n v="1592"/>
        <n v="1441"/>
        <n v="1419"/>
        <n v="1411"/>
        <n v="1202"/>
        <n v="1162"/>
        <n v="1156"/>
        <n v="1150"/>
        <n v="2473"/>
        <n v="2346"/>
        <n v="2328"/>
        <n v="3896"/>
        <n v="3838"/>
        <n v="2310"/>
        <n v="2743"/>
        <n v="2721"/>
        <n v="2740"/>
        <n v="3543"/>
        <n v="2624"/>
        <n v="2684"/>
        <n v="1318"/>
        <n v="1379"/>
        <n v="3821"/>
        <n v="1339"/>
        <n v="3978"/>
        <n v="1066"/>
        <n v="1703"/>
        <n v="3742"/>
        <n v="3345"/>
        <n v="3280"/>
        <n v="3161"/>
        <n v="3159"/>
        <n v="3116"/>
        <n v="3046"/>
        <n v="2827"/>
        <n v="2784"/>
        <n v="1738"/>
        <n v="1406"/>
        <n v="1404"/>
        <n v="1298"/>
        <n v="1275"/>
        <n v="3805"/>
        <n v="3771"/>
        <n v="3711"/>
        <n v="3692"/>
        <n v="3608"/>
        <n v="3359"/>
        <n v="3289"/>
        <n v="3199"/>
        <n v="3163"/>
        <n v="3146"/>
        <n v="3081"/>
        <n v="2793"/>
        <n v="2028"/>
        <n v="1904"/>
        <n v="1833"/>
        <n v="1813"/>
        <n v="1808"/>
        <n v="1807"/>
        <n v="1791"/>
        <n v="1783"/>
        <n v="1752"/>
        <n v="1407"/>
        <n v="1309"/>
        <n v="1307"/>
        <n v="2376"/>
        <n v="1252"/>
        <n v="1208"/>
        <n v="1121"/>
        <n v="3889"/>
        <n v="2241"/>
        <n v="2477"/>
        <n v="2425"/>
        <n v="3987"/>
        <n v="3497"/>
        <n v="2586"/>
        <n v="3453"/>
        <n v="3886"/>
        <n v="2493"/>
        <n v="1072"/>
        <n v="1051"/>
        <n v="1029"/>
        <n v="1052"/>
        <n v="1035"/>
        <n v="3603"/>
        <n v="3092"/>
        <n v="2908"/>
        <n v="2845"/>
        <n v="2825"/>
        <n v="2115"/>
        <n v="1578"/>
        <n v="1405"/>
        <n v="1276"/>
        <n v="1191"/>
        <n v="1188"/>
        <n v="3804"/>
        <n v="3776"/>
        <n v="3775"/>
        <n v="3745"/>
        <n v="3616"/>
        <n v="3327"/>
        <n v="3307"/>
        <n v="3207"/>
        <n v="3132"/>
        <n v="2978"/>
        <n v="2882"/>
        <n v="2768"/>
        <n v="2007"/>
        <n v="1750"/>
        <n v="1741"/>
        <n v="1510"/>
        <n v="1457"/>
        <n v="1408"/>
        <n v="1282"/>
        <n v="1243"/>
        <n v="1196"/>
        <n v="1109"/>
        <n v="2435"/>
        <n v="2276"/>
        <n v="2458"/>
        <n v="2423"/>
        <n v="3934"/>
        <n v="2487"/>
        <n v="3472"/>
        <n v="3546"/>
        <n v="3504"/>
        <n v="3439"/>
        <n v="2722"/>
        <n v="1363"/>
        <n v="1341"/>
        <n v="2530"/>
        <n v="1012"/>
        <n v="2461"/>
        <n v="1060"/>
        <n v="1034"/>
        <n v="1945"/>
        <n v="1932"/>
        <n v="1659"/>
        <n v="3693"/>
        <n v="3303"/>
        <n v="3282"/>
        <n v="1834"/>
        <n v="1493"/>
        <n v="3791"/>
        <n v="3754"/>
        <n v="3645"/>
        <n v="3635"/>
        <n v="3353"/>
        <n v="3329"/>
        <n v="3287"/>
        <n v="3197"/>
        <n v="3022"/>
        <n v="2939"/>
        <n v="2924"/>
        <n v="2923"/>
        <n v="2896"/>
        <n v="2123"/>
        <n v="2075"/>
        <n v="2001"/>
        <n v="1821"/>
        <n v="1814"/>
        <n v="1527"/>
        <n v="1308"/>
        <n v="2394"/>
        <n v="2384"/>
        <n v="2347"/>
        <n v="3877"/>
        <n v="3820"/>
        <n v="3869"/>
        <n v="3849"/>
        <n v="2233"/>
        <n v="2264"/>
        <n v="2494"/>
        <n v="2535"/>
        <n v="1344"/>
        <n v="1326"/>
        <n v="1041"/>
        <n v="1069"/>
        <n v="1680"/>
        <n v="3789"/>
        <n v="3366"/>
        <n v="3277"/>
        <n v="3236"/>
        <n v="3093"/>
        <n v="3008"/>
        <n v="2884"/>
        <n v="2072"/>
        <n v="1257"/>
        <n v="3704"/>
        <n v="3702"/>
        <n v="3607"/>
        <n v="3220"/>
        <n v="3019"/>
        <n v="2981"/>
        <n v="2960"/>
        <n v="2945"/>
        <n v="2855"/>
        <n v="2820"/>
        <n v="2802"/>
        <n v="2754"/>
        <n v="2199"/>
        <n v="2086"/>
        <n v="1925"/>
        <n v="1866"/>
        <n v="1820"/>
        <n v="1812"/>
        <n v="1800"/>
        <n v="1786"/>
        <n v="1415"/>
        <n v="1118"/>
        <n v="1093"/>
        <n v="2467"/>
        <n v="2437"/>
        <n v="2386"/>
        <n v="3817"/>
        <n v="2480"/>
        <n v="2389"/>
        <n v="3502"/>
        <n v="2608"/>
        <n v="1666"/>
        <n v="2706"/>
        <n v="3523"/>
        <n v="3466"/>
        <n v="2694"/>
        <n v="2607"/>
        <n v="2746"/>
        <n v="1386"/>
        <n v="1352"/>
        <n v="1333"/>
        <n v="1019"/>
        <n v="1628"/>
        <n v="1658"/>
        <n v="1648"/>
        <n v="2807"/>
        <n v="1995"/>
        <n v="1893"/>
        <n v="1604"/>
        <n v="1518"/>
        <n v="3736"/>
        <n v="3587"/>
        <n v="3385"/>
        <n v="3336"/>
        <n v="3330"/>
        <n v="3225"/>
        <n v="3198"/>
        <n v="3196"/>
        <n v="3188"/>
        <n v="3126"/>
        <n v="3015"/>
        <n v="2814"/>
        <n v="2108"/>
        <n v="1957"/>
        <n v="1788"/>
        <n v="1618"/>
        <n v="1567"/>
        <n v="1520"/>
        <n v="1448"/>
        <n v="1262"/>
        <n v="1218"/>
        <n v="1159"/>
        <n v="1151"/>
        <n v="2433"/>
        <n v="3892"/>
        <n v="3822"/>
        <n v="2251"/>
        <n v="2560"/>
        <n v="2443"/>
        <n v="3435"/>
        <n v="2626"/>
        <n v="2682"/>
        <n v="3509"/>
        <n v="2596"/>
        <n v="2579"/>
        <n v="2668"/>
        <n v="1345"/>
        <n v="1328"/>
        <n v="1082"/>
        <n v="1625"/>
        <n v="3785"/>
        <n v="3570"/>
        <n v="3096"/>
        <n v="3048"/>
        <n v="2984"/>
        <n v="2045"/>
        <n v="2019"/>
        <n v="1935"/>
        <n v="1454"/>
        <n v="1258"/>
        <n v="3797"/>
        <n v="3715"/>
        <n v="3706"/>
        <n v="3699"/>
        <n v="3681"/>
        <n v="3660"/>
        <n v="3638"/>
        <n v="3610"/>
        <n v="3313"/>
        <n v="3128"/>
        <n v="3065"/>
        <n v="2961"/>
        <n v="2857"/>
        <n v="2815"/>
        <n v="2794"/>
        <n v="2031"/>
        <n v="2027"/>
        <n v="1978"/>
        <n v="1811"/>
        <n v="1796"/>
        <n v="1768"/>
        <n v="1469"/>
        <n v="1463"/>
        <n v="1200"/>
        <n v="2294"/>
        <n v="2279"/>
        <n v="1185"/>
        <n v="2424"/>
        <n v="3906"/>
        <n v="3846"/>
        <n v="2266"/>
        <n v="2229"/>
        <n v="3973"/>
        <n v="3980"/>
        <n v="3961"/>
        <n v="2639"/>
        <n v="1013"/>
        <n v="1712"/>
        <n v="1667"/>
        <n v="3625"/>
        <n v="3200"/>
        <n v="2925"/>
        <n v="2783"/>
        <n v="2071"/>
        <n v="2025"/>
        <n v="1837"/>
        <n v="1237"/>
        <n v="3708"/>
        <n v="3613"/>
        <n v="3403"/>
        <n v="3395"/>
        <n v="3018"/>
        <n v="2963"/>
        <n v="2832"/>
        <n v="2776"/>
        <n v="2752"/>
        <n v="2133"/>
        <n v="2122"/>
        <n v="1927"/>
        <n v="1569"/>
        <n v="1506"/>
        <n v="1438"/>
        <n v="1399"/>
        <n v="1265"/>
        <n v="1219"/>
        <n v="1160"/>
        <n v="1113"/>
        <n v="2362"/>
        <n v="1122"/>
        <n v="3929"/>
        <n v="2348"/>
        <n v="2234"/>
        <n v="2269"/>
        <n v="2230"/>
        <n v="3958"/>
        <n v="2508"/>
        <n v="1621"/>
        <n v="2723"/>
        <n v="2593"/>
        <n v="1645"/>
        <n v="3527"/>
        <n v="2641"/>
        <n v="1364"/>
        <n v="1357"/>
        <n v="1040"/>
        <n v="3788"/>
        <n v="3299"/>
        <n v="3215"/>
        <n v="3158"/>
        <n v="3070"/>
        <n v="1599"/>
        <n v="3806"/>
        <n v="3614"/>
        <n v="3588"/>
        <n v="3360"/>
        <n v="3351"/>
        <n v="3311"/>
        <n v="3310"/>
        <n v="3218"/>
        <n v="3214"/>
        <n v="3208"/>
        <n v="2858"/>
        <n v="2772"/>
        <n v="2154"/>
        <n v="1953"/>
        <n v="1770"/>
        <n v="1730"/>
        <n v="1499"/>
        <n v="1444"/>
        <n v="1247"/>
        <n v="1182"/>
        <n v="1174"/>
        <n v="1112"/>
        <n v="2383"/>
        <n v="2338"/>
        <n v="1274"/>
        <n v="3863"/>
        <n v="2406"/>
        <n v="2350"/>
        <n v="2237"/>
        <n v="2252"/>
        <n v="2246"/>
        <n v="2504"/>
        <n v="2741"/>
        <n v="2649"/>
        <n v="1634"/>
        <n v="3499"/>
        <n v="2691"/>
        <n v="2676"/>
        <n v="2632"/>
        <n v="2616"/>
        <n v="1369"/>
        <n v="1378"/>
        <n v="1087"/>
        <n v="1710"/>
        <n v="3212"/>
        <n v="2065"/>
        <n v="2017"/>
        <n v="1993"/>
        <n v="1966"/>
        <n v="1836"/>
        <n v="3773"/>
        <n v="3415"/>
        <n v="3382"/>
        <n v="2999"/>
        <n v="2988"/>
        <n v="2940"/>
        <n v="2914"/>
        <n v="2006"/>
        <n v="1963"/>
        <n v="1728"/>
        <n v="1524"/>
        <n v="1504"/>
        <n v="1230"/>
        <n v="2472"/>
        <n v="2316"/>
        <n v="2296"/>
        <n v="2441"/>
        <n v="3880"/>
        <n v="2532"/>
        <n v="3986"/>
        <n v="3943"/>
        <n v="2332"/>
        <n v="2311"/>
        <n v="3491"/>
        <n v="2609"/>
        <n v="2636"/>
        <n v="2620"/>
        <n v="2711"/>
        <n v="2629"/>
        <n v="3507"/>
        <n v="3991"/>
        <n v="2541"/>
        <n v="1086"/>
        <n v="1059"/>
        <n v="1031"/>
        <n v="1681"/>
        <n v="3673"/>
        <n v="3051"/>
        <n v="2928"/>
        <n v="2905"/>
        <n v="1856"/>
        <n v="1472"/>
        <n v="3751"/>
        <n v="3568"/>
        <n v="3350"/>
        <n v="3337"/>
        <n v="3286"/>
        <n v="3271"/>
        <n v="3216"/>
        <n v="3059"/>
        <n v="3000"/>
        <n v="2992"/>
        <n v="2985"/>
        <n v="2813"/>
        <n v="2130"/>
        <n v="2099"/>
        <n v="1805"/>
        <n v="1769"/>
        <n v="1748"/>
        <n v="1586"/>
        <n v="1541"/>
        <n v="1529"/>
        <n v="1523"/>
        <n v="1490"/>
        <n v="1398"/>
        <n v="1267"/>
        <n v="1096"/>
        <n v="2345"/>
        <n v="1253"/>
        <n v="2327"/>
        <n v="2305"/>
        <n v="2211"/>
        <n v="2238"/>
        <n v="2553"/>
        <n v="2737"/>
        <n v="1388"/>
        <n v="3873"/>
        <n v="1062"/>
        <n v="1003"/>
        <n v="1657"/>
        <n v="3139"/>
        <n v="3050"/>
        <n v="2191"/>
        <n v="1913"/>
        <n v="1495"/>
        <n v="3748"/>
        <n v="3724"/>
        <n v="3723"/>
        <n v="3709"/>
        <n v="3662"/>
        <n v="3594"/>
        <n v="3427"/>
        <n v="3402"/>
        <n v="3184"/>
        <n v="3107"/>
        <n v="2850"/>
        <n v="2839"/>
        <n v="2084"/>
        <n v="1979"/>
        <n v="1905"/>
        <n v="1872"/>
        <n v="1742"/>
        <n v="1583"/>
        <n v="1485"/>
        <n v="1272"/>
        <n v="1266"/>
        <n v="1108"/>
        <n v="2452"/>
        <n v="2445"/>
        <n v="2339"/>
        <n v="3904"/>
        <n v="3845"/>
        <n v="2216"/>
        <n v="2495"/>
        <n v="2442"/>
        <n v="3998"/>
        <n v="1685"/>
        <n v="2726"/>
        <n v="3477"/>
        <n v="2725"/>
        <n v="3431"/>
        <n v="1382"/>
        <n v="1071"/>
        <n v="1723"/>
        <n v="1682"/>
        <n v="3787"/>
        <n v="3320"/>
        <n v="3217"/>
        <n v="2760"/>
        <n v="2162"/>
        <n v="2140"/>
        <n v="2120"/>
        <n v="1954"/>
        <n v="1580"/>
        <n v="1297"/>
        <n v="1295"/>
        <n v="3746"/>
        <n v="3400"/>
        <n v="3248"/>
        <n v="3141"/>
        <n v="3045"/>
        <n v="2938"/>
        <n v="2931"/>
        <n v="2798"/>
        <n v="2781"/>
        <n v="2202"/>
        <n v="1987"/>
        <n v="1883"/>
        <n v="1864"/>
        <n v="1487"/>
        <n v="1099"/>
        <n v="2456"/>
        <n v="2285"/>
        <n v="3841"/>
        <n v="3878"/>
        <n v="3871"/>
        <n v="2523"/>
        <n v="2547"/>
        <n v="2354"/>
        <n v="1660"/>
        <n v="2714"/>
        <n v="2574"/>
        <n v="2661"/>
        <n v="2576"/>
        <n v="2581"/>
        <n v="3875"/>
        <n v="1038"/>
        <n v="1005"/>
        <n v="3627"/>
        <n v="3371"/>
        <n v="3258"/>
        <n v="3182"/>
        <n v="2139"/>
        <n v="2074"/>
        <n v="1428"/>
        <n v="3582"/>
        <n v="3288"/>
        <n v="2986"/>
        <n v="2765"/>
        <n v="2174"/>
        <n v="2150"/>
        <n v="2126"/>
        <n v="2089"/>
        <n v="1865"/>
        <n v="1840"/>
        <n v="1831"/>
        <n v="1784"/>
        <n v="1519"/>
        <n v="1401"/>
        <n v="1281"/>
        <n v="1270"/>
        <n v="1238"/>
        <n v="1177"/>
        <n v="1173"/>
        <n v="1120"/>
        <n v="1092"/>
        <n v="2282"/>
        <n v="3872"/>
        <n v="2267"/>
        <n v="2225"/>
        <n v="2218"/>
        <n v="1632"/>
        <n v="2698"/>
        <n v="3454"/>
        <n v="2663"/>
        <n v="3518"/>
        <n v="3765"/>
        <n v="3670"/>
        <n v="3047"/>
        <n v="2865"/>
        <n v="2785"/>
        <n v="2163"/>
        <n v="2070"/>
        <n v="2043"/>
        <n v="1555"/>
        <n v="3705"/>
        <n v="3669"/>
        <n v="3565"/>
        <n v="3224"/>
        <n v="3039"/>
        <n v="2872"/>
        <n v="2851"/>
        <n v="2026"/>
        <n v="1974"/>
        <n v="1964"/>
        <n v="1879"/>
        <n v="1839"/>
        <n v="1620"/>
        <n v="1468"/>
        <n v="2342"/>
        <n v="1294"/>
        <n v="3471"/>
        <n v="3451"/>
        <n v="2605"/>
        <n v="2600"/>
        <n v="1377"/>
        <n v="3840"/>
        <n v="1075"/>
        <n v="1722"/>
        <n v="3649"/>
        <n v="3647"/>
        <n v="3387"/>
        <n v="3075"/>
        <n v="3006"/>
        <n v="2097"/>
        <n v="1300"/>
        <n v="3728"/>
        <n v="3630"/>
        <n v="3606"/>
        <n v="3362"/>
        <n v="3293"/>
        <n v="3186"/>
        <n v="3044"/>
        <n v="3034"/>
        <n v="2987"/>
        <n v="1890"/>
        <n v="1851"/>
        <n v="1595"/>
        <n v="1594"/>
        <n v="1540"/>
        <n v="2466"/>
        <n v="2476"/>
        <n v="2562"/>
        <n v="2524"/>
        <n v="3968"/>
        <n v="1715"/>
        <n v="2730"/>
        <n v="2688"/>
        <n v="2674"/>
        <n v="2667"/>
        <n v="2650"/>
        <n v="2716"/>
        <n v="1385"/>
        <n v="1350"/>
        <n v="3646"/>
        <n v="2142"/>
        <n v="2138"/>
        <n v="2094"/>
        <n v="1942"/>
        <n v="1603"/>
        <n v="1214"/>
        <n v="3796"/>
        <n v="3777"/>
        <n v="3734"/>
        <n v="3714"/>
        <n v="3066"/>
        <n v="3014"/>
        <n v="2998"/>
        <n v="2842"/>
        <n v="2803"/>
        <n v="1880"/>
        <n v="1844"/>
        <n v="1548"/>
        <n v="1477"/>
        <n v="1221"/>
        <n v="2263"/>
        <n v="2533"/>
        <n v="3969"/>
        <n v="1649"/>
        <n v="2557"/>
        <n v="1662"/>
        <n v="3532"/>
        <n v="3533"/>
        <n v="2637"/>
        <n v="1687"/>
        <n v="2678"/>
        <n v="2612"/>
        <n v="3474"/>
        <n v="1319"/>
        <n v="2566"/>
        <n v="2558"/>
        <n v="2512"/>
        <n v="3601"/>
        <n v="3319"/>
        <n v="2188"/>
        <n v="2047"/>
        <n v="3772"/>
        <n v="3744"/>
        <n v="3735"/>
        <n v="3658"/>
        <n v="3331"/>
        <n v="3267"/>
        <n v="3083"/>
        <n v="2943"/>
        <n v="2879"/>
        <n v="2193"/>
        <n v="2064"/>
        <n v="1809"/>
        <n v="1749"/>
        <n v="1611"/>
        <n v="1414"/>
        <n v="1226"/>
        <n v="1100"/>
        <n v="1144"/>
        <n v="3933"/>
        <n v="2219"/>
        <n v="2210"/>
        <n v="3953"/>
        <n v="2517"/>
        <n v="2643"/>
        <n v="2697"/>
        <n v="1665"/>
        <n v="2598"/>
        <n v="3861"/>
        <n v="1360"/>
        <n v="1081"/>
        <n v="2289"/>
        <n v="2283"/>
        <n v="1015"/>
        <n v="1045"/>
        <n v="1671"/>
        <n v="1944"/>
        <n v="3413"/>
        <n v="3408"/>
        <n v="3343"/>
        <n v="3156"/>
        <n v="3115"/>
        <n v="3074"/>
        <n v="2806"/>
        <n v="1577"/>
        <n v="1559"/>
        <n v="1476"/>
        <n v="1449"/>
        <n v="1389"/>
        <n v="1166"/>
        <n v="3807"/>
        <n v="3730"/>
        <n v="3567"/>
        <n v="3151"/>
        <n v="3099"/>
        <n v="3089"/>
        <n v="3085"/>
        <n v="2797"/>
        <n v="2775"/>
        <n v="2106"/>
        <n v="2102"/>
        <n v="2057"/>
        <n v="1923"/>
        <n v="1777"/>
        <n v="1740"/>
        <n v="1550"/>
        <n v="1269"/>
        <n v="1224"/>
        <n v="1135"/>
        <n v="2457"/>
        <n v="2400"/>
        <n v="2292"/>
        <n v="1123"/>
        <n v="3865"/>
        <n v="2329"/>
        <n v="3932"/>
        <n v="3870"/>
        <n v="1627"/>
        <n v="2708"/>
        <n v="1677"/>
        <n v="3520"/>
        <n v="2702"/>
        <n v="3548"/>
        <n v="3483"/>
        <n v="3496"/>
        <n v="2736"/>
        <n v="2685"/>
        <n v="2519"/>
        <n v="1090"/>
        <n v="1720"/>
        <n v="1027"/>
        <n v="3694"/>
        <n v="3566"/>
        <n v="3367"/>
        <n v="3094"/>
        <n v="2907"/>
        <n v="1854"/>
        <n v="1534"/>
        <n v="3799"/>
        <n v="3783"/>
        <n v="3428"/>
        <n v="3235"/>
        <n v="3206"/>
        <n v="2934"/>
        <n v="2841"/>
        <n v="2773"/>
        <n v="2748"/>
        <n v="2747"/>
        <n v="2132"/>
        <n v="2101"/>
        <n v="1830"/>
        <n v="1794"/>
        <n v="1746"/>
        <n v="1543"/>
        <n v="1245"/>
        <n v="1132"/>
        <n v="2438"/>
        <n v="2320"/>
        <n v="3916"/>
        <n v="3834"/>
        <n v="3907"/>
        <n v="2213"/>
        <n v="2268"/>
        <n v="3983"/>
        <n v="2428"/>
        <n v="2314"/>
        <n v="2549"/>
        <n v="2526"/>
        <n v="2518"/>
        <n v="3556"/>
        <n v="2655"/>
        <n v="1327"/>
        <n v="1670"/>
        <n v="1669"/>
        <n v="1948"/>
        <n v="3786"/>
        <n v="3097"/>
        <n v="3024"/>
        <n v="2983"/>
        <n v="2883"/>
        <n v="2824"/>
        <n v="2068"/>
        <n v="1873"/>
        <n v="1539"/>
        <n v="1471"/>
        <n v="1126"/>
        <n v="3798"/>
        <n v="3643"/>
        <n v="3558"/>
        <n v="3328"/>
        <n v="3189"/>
        <n v="3043"/>
        <n v="2966"/>
        <n v="2897"/>
        <n v="2818"/>
        <n v="2809"/>
        <n v="2198"/>
        <n v="2088"/>
        <n v="2000"/>
        <n v="1917"/>
        <n v="1815"/>
        <n v="1795"/>
        <n v="1508"/>
        <n v="1443"/>
        <n v="1217"/>
        <n v="2465"/>
        <n v="2440"/>
        <n v="2364"/>
        <n v="2322"/>
        <n v="2278"/>
        <n v="2277"/>
        <n v="3902"/>
        <n v="3857"/>
        <n v="2226"/>
        <n v="2534"/>
        <n v="2496"/>
        <n v="3984"/>
        <n v="4000"/>
        <n v="2391"/>
        <n v="2460"/>
        <n v="2408"/>
        <n v="2374"/>
        <n v="1716"/>
        <n v="1696"/>
        <n v="2577"/>
        <n v="3557"/>
        <n v="3465"/>
        <n v="3534"/>
        <n v="3437"/>
        <n v="2640"/>
        <n v="2615"/>
        <n v="1083"/>
        <n v="1046"/>
        <n v="1022"/>
        <n v="1700"/>
        <n v="1951"/>
        <n v="3181"/>
        <n v="2023"/>
        <n v="1877"/>
        <n v="1732"/>
        <n v="1169"/>
        <n v="1146"/>
        <n v="3753"/>
        <n v="3721"/>
        <n v="3354"/>
        <n v="3203"/>
        <n v="3187"/>
        <n v="3111"/>
        <n v="2912"/>
        <n v="2902"/>
        <n v="2822"/>
        <n v="2790"/>
        <n v="2105"/>
        <n v="2087"/>
        <n v="2082"/>
        <n v="1985"/>
        <n v="1909"/>
        <n v="1903"/>
        <n v="1900"/>
        <n v="1843"/>
        <n v="1841"/>
        <n v="1824"/>
        <n v="1789"/>
        <n v="1761"/>
        <n v="1566"/>
        <n v="1261"/>
        <n v="1158"/>
        <n v="1152"/>
        <n v="1114"/>
        <n v="2432"/>
        <n v="2398"/>
        <n v="2297"/>
        <n v="3918"/>
        <n v="3844"/>
        <n v="3920"/>
        <n v="2215"/>
        <n v="2250"/>
        <n v="3951"/>
        <n v="3981"/>
        <n v="2375"/>
        <n v="1694"/>
        <n v="1684"/>
        <n v="1705"/>
        <n v="1640"/>
        <n v="3479"/>
        <n v="2660"/>
        <n v="1709"/>
        <n v="1676"/>
        <n v="2664"/>
        <n v="2701"/>
        <n v="3810"/>
        <n v="3940"/>
        <n v="3790"/>
        <n v="3720"/>
        <n v="3623"/>
        <n v="3364"/>
        <n v="3114"/>
        <n v="3023"/>
        <n v="2766"/>
        <n v="2185"/>
        <n v="1874"/>
        <n v="1395"/>
        <n v="3760"/>
        <n v="3710"/>
        <n v="3689"/>
        <n v="3634"/>
        <n v="3340"/>
        <n v="3332"/>
        <n v="3315"/>
        <n v="3270"/>
        <n v="3268"/>
        <n v="3174"/>
        <n v="3091"/>
        <n v="3078"/>
        <n v="3064"/>
        <n v="2957"/>
        <n v="2955"/>
        <n v="2921"/>
        <n v="2920"/>
        <n v="2892"/>
        <n v="2158"/>
        <n v="1838"/>
        <n v="1823"/>
        <n v="1758"/>
        <n v="1756"/>
        <n v="1545"/>
        <n v="1483"/>
        <n v="1260"/>
        <n v="2377"/>
        <n v="2367"/>
        <n v="2287"/>
        <n v="3931"/>
        <n v="3866"/>
        <n v="2259"/>
        <n v="2220"/>
        <n v="2239"/>
        <n v="3992"/>
        <n v="2426"/>
        <n v="1663"/>
        <n v="1653"/>
        <n v="3478"/>
        <n v="3554"/>
        <n v="2695"/>
        <n v="2656"/>
        <n v="1376"/>
        <n v="1343"/>
        <n v="2492"/>
        <n v="1006"/>
        <n v="1001"/>
        <n v="3053"/>
        <n v="3029"/>
        <n v="1450"/>
        <n v="3677"/>
        <n v="3617"/>
        <n v="3578"/>
        <n v="3577"/>
        <n v="3255"/>
        <n v="3234"/>
        <n v="3101"/>
        <n v="3042"/>
        <n v="3031"/>
        <n v="2980"/>
        <n v="2953"/>
        <n v="2860"/>
        <n v="2080"/>
        <n v="1922"/>
        <n v="1849"/>
        <n v="1779"/>
        <n v="1766"/>
        <n v="1565"/>
        <n v="1563"/>
        <n v="1553"/>
        <n v="1509"/>
        <n v="1465"/>
        <n v="1464"/>
        <n v="1268"/>
        <n v="1206"/>
        <n v="1197"/>
        <n v="1178"/>
        <n v="1176"/>
        <n v="2468"/>
        <n v="2403"/>
        <n v="2396"/>
        <n v="2323"/>
        <n v="2303"/>
        <n v="3914"/>
        <n v="3905"/>
        <n v="3891"/>
        <n v="3946"/>
        <n v="2284"/>
        <n v="1717"/>
        <n v="3514"/>
        <n v="2738"/>
        <n v="2635"/>
        <n v="3829"/>
        <n v="3897"/>
        <n v="1048"/>
        <n v="1004"/>
        <n v="1025"/>
        <n v="1946"/>
        <n v="3344"/>
        <n v="3118"/>
        <n v="2947"/>
        <n v="2016"/>
        <n v="1938"/>
        <n v="1400"/>
        <n v="1129"/>
        <n v="3583"/>
        <n v="3421"/>
        <n v="3398"/>
        <n v="3349"/>
        <n v="3251"/>
        <n v="3036"/>
        <n v="2964"/>
        <n v="2810"/>
        <n v="2056"/>
        <n v="1956"/>
        <n v="1889"/>
        <n v="1832"/>
        <n v="1787"/>
        <n v="1615"/>
        <n v="1605"/>
        <n v="1462"/>
        <n v="1456"/>
        <n v="1396"/>
        <n v="1303"/>
        <n v="1207"/>
        <n v="2471"/>
        <n v="1273"/>
        <n v="3819"/>
        <n v="2567"/>
        <n v="2555"/>
        <n v="3971"/>
        <n v="3967"/>
        <n v="2611"/>
        <n v="3434"/>
        <n v="3549"/>
        <n v="2658"/>
        <n v="1321"/>
        <n v="3811"/>
        <n v="1315"/>
        <n v="2542"/>
        <n v="1329"/>
        <n v="1030"/>
        <n v="1044"/>
        <n v="1016"/>
        <n v="3561"/>
        <n v="3370"/>
        <n v="2846"/>
        <n v="1894"/>
        <n v="1430"/>
        <n v="3759"/>
        <n v="3725"/>
        <n v="3314"/>
        <n v="3272"/>
        <n v="3204"/>
        <n v="3133"/>
        <n v="3077"/>
        <n v="2995"/>
        <n v="2954"/>
        <n v="2878"/>
        <n v="2779"/>
        <n v="2152"/>
        <n v="2052"/>
        <n v="1983"/>
        <n v="1968"/>
        <n v="1901"/>
        <n v="1804"/>
        <n v="1772"/>
        <n v="1736"/>
        <n v="1392"/>
        <n v="1390"/>
        <n v="1242"/>
        <n v="1205"/>
        <n v="1103"/>
        <n v="2474"/>
        <n v="2436"/>
        <n v="2304"/>
        <n v="1316"/>
        <n v="3894"/>
        <n v="2254"/>
        <n v="2273"/>
        <n v="2261"/>
        <n v="2427"/>
        <n v="2330"/>
        <n v="1724"/>
        <n v="1639"/>
        <n v="2548"/>
        <n v="2728"/>
        <n v="3551"/>
        <n v="1688"/>
        <n v="2654"/>
        <n v="1675"/>
        <n v="3510"/>
        <n v="3475"/>
        <n v="2638"/>
        <n v="1384"/>
        <n v="1371"/>
        <n v="2559"/>
        <n v="1049"/>
        <n v="1701"/>
        <n v="1950"/>
        <n v="1937"/>
        <n v="3281"/>
        <n v="1857"/>
        <n v="1853"/>
        <n v="1818"/>
        <n v="1492"/>
        <n v="1278"/>
        <n v="3750"/>
        <n v="3684"/>
        <n v="3683"/>
        <n v="3425"/>
        <n v="3406"/>
        <n v="3363"/>
        <n v="3295"/>
        <n v="3256"/>
        <n v="3243"/>
        <n v="3173"/>
        <n v="3144"/>
        <n v="3038"/>
        <n v="2778"/>
        <n v="2111"/>
        <n v="2039"/>
        <n v="1609"/>
        <n v="1561"/>
        <n v="1139"/>
        <n v="1137"/>
        <n v="2399"/>
        <n v="2365"/>
        <n v="2318"/>
        <n v="2298"/>
        <n v="3928"/>
        <n v="3816"/>
        <n v="2561"/>
        <n v="2514"/>
        <n v="3982"/>
        <n v="3938"/>
        <n v="2410"/>
        <n v="1337"/>
        <n v="3923"/>
        <n v="1943"/>
        <n v="3071"/>
        <n v="2982"/>
        <n v="2804"/>
        <n v="1452"/>
        <n v="1427"/>
        <n v="1167"/>
        <n v="1128"/>
        <n v="1102"/>
        <n v="3732"/>
        <n v="3666"/>
        <n v="3291"/>
        <n v="3242"/>
        <n v="3213"/>
        <n v="3110"/>
        <n v="3090"/>
        <n v="2965"/>
        <n v="2911"/>
        <n v="2876"/>
        <n v="2135"/>
        <n v="2127"/>
        <n v="2079"/>
        <n v="1790"/>
        <n v="1776"/>
        <n v="1591"/>
        <n v="1585"/>
        <n v="1460"/>
        <n v="1313"/>
        <n v="1259"/>
        <n v="1225"/>
        <n v="1194"/>
        <n v="1161"/>
        <n v="3837"/>
        <n v="2497"/>
        <n v="2444"/>
        <n v="2407"/>
        <n v="2356"/>
        <n v="2539"/>
        <n v="2744"/>
        <n v="2580"/>
        <n v="2686"/>
        <n v="2689"/>
        <n v="2669"/>
        <n v="3850"/>
        <n v="1043"/>
        <n v="3739"/>
        <n v="3341"/>
        <n v="2952"/>
        <n v="2073"/>
        <n v="2021"/>
        <n v="1536"/>
        <n v="1299"/>
        <n v="3793"/>
        <n v="3419"/>
        <n v="3285"/>
        <n v="3150"/>
        <n v="3131"/>
        <n v="3061"/>
        <n v="2944"/>
        <n v="2916"/>
        <n v="2881"/>
        <n v="2755"/>
        <n v="2013"/>
        <n v="1482"/>
        <n v="1416"/>
        <n v="1198"/>
        <n v="1155"/>
        <n v="1111"/>
        <n v="2464"/>
        <n v="2385"/>
        <n v="2380"/>
        <n v="3942"/>
        <n v="3876"/>
        <n v="2388"/>
        <n v="2349"/>
        <n v="3813"/>
        <n v="2270"/>
        <n v="2545"/>
        <n v="2563"/>
        <n v="2489"/>
        <n v="2490"/>
        <n v="3972"/>
        <n v="2331"/>
        <n v="1686"/>
        <n v="2594"/>
        <n v="2584"/>
        <n v="3442"/>
        <n v="2623"/>
        <n v="1380"/>
        <n v="1334"/>
        <n v="2550"/>
        <n v="2521"/>
        <n v="1032"/>
        <n v="3675"/>
        <n v="3598"/>
        <n v="3407"/>
        <n v="3211"/>
        <n v="3160"/>
        <n v="1875"/>
        <n v="1431"/>
        <n v="3769"/>
        <n v="3752"/>
        <n v="3595"/>
        <n v="3589"/>
        <n v="3560"/>
        <n v="3381"/>
        <n v="3169"/>
        <n v="2973"/>
        <n v="2937"/>
        <n v="2769"/>
        <n v="2207"/>
        <n v="2200"/>
        <n v="2128"/>
        <n v="2062"/>
        <n v="1902"/>
        <n v="1546"/>
        <n v="1478"/>
        <n v="1244"/>
        <n v="1229"/>
        <n v="1201"/>
        <n v="2370"/>
        <n v="2235"/>
        <n v="2482"/>
        <n v="3831"/>
        <n v="2333"/>
        <n v="2312"/>
        <n v="3440"/>
        <n v="2552"/>
        <n v="2529"/>
        <n v="1014"/>
        <n v="1949"/>
        <n v="3183"/>
        <n v="3030"/>
        <n v="2050"/>
        <n v="1992"/>
        <n v="1816"/>
        <n v="1782"/>
        <n v="1496"/>
        <n v="1494"/>
        <n v="3800"/>
        <n v="3703"/>
        <n v="3611"/>
        <n v="3338"/>
        <n v="3155"/>
        <n v="3152"/>
        <n v="3060"/>
        <n v="3035"/>
        <n v="2994"/>
        <n v="2913"/>
        <n v="2900"/>
        <n v="2874"/>
        <n v="2871"/>
        <n v="2849"/>
        <n v="2831"/>
        <n v="2749"/>
        <n v="2195"/>
        <n v="2183"/>
        <n v="2177"/>
        <n v="2131"/>
        <n v="1861"/>
        <n v="1792"/>
        <n v="1733"/>
        <n v="1528"/>
        <n v="1301"/>
        <n v="1271"/>
        <n v="1220"/>
        <n v="1172"/>
        <n v="1171"/>
        <n v="2415"/>
        <n v="1164"/>
        <n v="3833"/>
        <n v="2262"/>
        <n v="2243"/>
        <n v="2525"/>
        <n v="1673"/>
        <n v="2683"/>
        <n v="3489"/>
        <n v="3463"/>
        <n v="2696"/>
        <n v="2647"/>
        <n v="2606"/>
        <n v="2652"/>
        <n v="1323"/>
        <n v="3989"/>
        <n v="2501"/>
        <n v="1089"/>
        <n v="1085"/>
        <n v="3599"/>
        <n v="3007"/>
        <n v="2866"/>
        <n v="2164"/>
        <n v="2098"/>
        <n v="1991"/>
        <n v="1537"/>
        <n v="1254"/>
        <n v="3743"/>
        <n v="3690"/>
        <n v="3661"/>
        <n v="3339"/>
        <n v="3249"/>
        <n v="3223"/>
        <n v="3154"/>
        <n v="3148"/>
        <n v="3123"/>
        <n v="3100"/>
        <n v="2942"/>
        <n v="2856"/>
        <n v="2792"/>
        <n v="2771"/>
        <n v="2161"/>
        <n v="2157"/>
        <n v="1977"/>
        <n v="1970"/>
        <n v="1960"/>
        <n v="1778"/>
        <n v="1771"/>
        <n v="1572"/>
        <n v="1479"/>
        <n v="1263"/>
        <n v="1251"/>
        <n v="1199"/>
        <n v="1193"/>
        <n v="2430"/>
        <n v="2414"/>
        <n v="2404"/>
        <n v="2405"/>
        <n v="2368"/>
        <n v="3818"/>
        <n v="3893"/>
        <n v="2214"/>
        <n v="2236"/>
        <n v="2208"/>
        <n v="3970"/>
        <n v="2729"/>
        <n v="3521"/>
        <n v="2575"/>
        <n v="3438"/>
        <n v="3519"/>
        <n v="2589"/>
        <n v="2731"/>
        <n v="1387"/>
        <n v="3911"/>
        <n v="1317"/>
        <n v="2500"/>
        <n v="3762"/>
        <n v="3604"/>
        <n v="3134"/>
        <n v="2165"/>
        <n v="3801"/>
        <n v="3701"/>
        <n v="3593"/>
        <n v="3264"/>
        <n v="3245"/>
        <n v="3143"/>
        <n v="3054"/>
        <n v="2800"/>
        <n v="2780"/>
        <n v="2151"/>
        <n v="2104"/>
        <n v="2005"/>
        <n v="1806"/>
        <n v="1614"/>
        <n v="1421"/>
        <n v="1420"/>
        <n v="1222"/>
        <n v="1184"/>
        <n v="2420"/>
        <n v="3858"/>
        <n v="3808"/>
        <n v="2522"/>
        <n v="2536"/>
        <n v="3952"/>
        <n v="3960"/>
        <n v="2537"/>
        <n v="2592"/>
        <n v="2679"/>
        <n v="3432"/>
        <n v="3553"/>
        <n v="3503"/>
        <n v="2642"/>
        <n v="1366"/>
        <n v="2531"/>
        <n v="2520"/>
        <n v="1067"/>
        <n v="1002"/>
        <n v="1053"/>
        <n v="1026"/>
        <n v="3365"/>
        <n v="3052"/>
        <n v="2141"/>
        <n v="2093"/>
        <n v="2046"/>
        <n v="1962"/>
        <n v="1896"/>
        <n v="1581"/>
        <n v="1236"/>
        <n v="1234"/>
        <n v="1170"/>
        <n v="1168"/>
        <n v="1145"/>
        <n v="3737"/>
        <n v="3396"/>
        <n v="3394"/>
        <n v="3312"/>
        <n v="3142"/>
        <n v="2933"/>
        <n v="2758"/>
        <n v="2148"/>
        <n v="2061"/>
        <n v="1984"/>
        <n v="1822"/>
        <n v="1417"/>
        <n v="1105"/>
        <n v="2462"/>
        <n v="2422"/>
        <n v="2321"/>
        <n v="2275"/>
        <n v="1210"/>
        <n v="3830"/>
        <n v="3824"/>
        <n v="2503"/>
        <n v="2666"/>
        <n v="2680"/>
        <n v="2734"/>
        <n v="1349"/>
        <n v="1346"/>
        <n v="3885"/>
        <n v="1691"/>
        <n v="1017"/>
        <n v="3763"/>
        <n v="3600"/>
        <n v="3411"/>
        <n v="2787"/>
        <n v="2750"/>
        <n v="2067"/>
        <n v="1990"/>
        <n v="1965"/>
        <n v="1897"/>
        <n v="3722"/>
        <n v="3652"/>
        <n v="3563"/>
        <n v="3397"/>
        <n v="3292"/>
        <n v="3244"/>
        <n v="3228"/>
        <n v="3121"/>
        <n v="2993"/>
        <n v="2975"/>
        <n v="2932"/>
        <n v="2894"/>
        <n v="2870"/>
        <n v="2795"/>
        <n v="2767"/>
        <n v="2170"/>
        <n v="2124"/>
        <n v="2110"/>
        <n v="1986"/>
        <n v="1961"/>
        <n v="1920"/>
        <n v="1888"/>
        <n v="1846"/>
        <n v="1793"/>
        <n v="1785"/>
        <n v="1763"/>
        <n v="1133"/>
        <n v="2446"/>
        <n v="2300"/>
        <n v="1232"/>
        <n v="3882"/>
        <n v="2244"/>
        <n v="3997"/>
        <n v="3995"/>
        <n v="1626"/>
        <n v="1650"/>
        <n v="1642"/>
        <n v="1629"/>
        <n v="3436"/>
        <n v="2645"/>
        <n v="3457"/>
        <n v="3473"/>
        <n v="1336"/>
        <n v="1353"/>
        <n v="1335"/>
        <n v="1047"/>
        <n v="1011"/>
        <n v="1678"/>
        <n v="3648"/>
        <n v="3628"/>
        <n v="2788"/>
        <n v="1731"/>
        <n v="1560"/>
        <n v="3802"/>
        <n v="3284"/>
        <n v="2904"/>
        <n v="2859"/>
        <n v="2034"/>
        <n v="2010"/>
        <n v="1906"/>
        <n v="1891"/>
        <n v="1819"/>
        <n v="1764"/>
        <n v="1759"/>
        <n v="1729"/>
        <n v="1576"/>
        <n v="1525"/>
        <n v="1393"/>
        <n v="1204"/>
        <n v="2366"/>
        <n v="1672"/>
        <n v="2484"/>
        <n v="1725"/>
        <n v="3526"/>
        <n v="2619"/>
        <n v="2675"/>
        <n v="3977"/>
        <n v="2485"/>
        <n v="2511"/>
        <n v="2491"/>
        <n v="3741"/>
        <n v="3719"/>
        <n v="3718"/>
        <n v="3579"/>
        <n v="3300"/>
        <n v="3241"/>
        <n v="3049"/>
        <n v="2950"/>
        <n v="2192"/>
        <n v="2189"/>
        <n v="2116"/>
        <n v="2020"/>
        <n v="1855"/>
        <n v="1429"/>
        <n v="3687"/>
        <n v="3631"/>
        <n v="3571"/>
        <n v="3193"/>
        <n v="3120"/>
        <n v="3112"/>
        <n v="3087"/>
        <n v="3068"/>
        <n v="2972"/>
        <n v="2958"/>
        <n v="2852"/>
        <n v="2834"/>
        <n v="2829"/>
        <n v="2812"/>
        <n v="2791"/>
        <n v="2153"/>
        <n v="1744"/>
        <n v="1606"/>
        <n v="1588"/>
        <n v="1459"/>
        <n v="1292"/>
        <n v="1246"/>
        <n v="2301"/>
        <n v="2326"/>
        <n v="3836"/>
        <n v="2265"/>
        <n v="2483"/>
        <n v="2245"/>
        <n v="2506"/>
        <n v="3954"/>
        <n v="2392"/>
        <n v="2610"/>
        <n v="3547"/>
        <n v="3542"/>
        <n v="3452"/>
        <n v="1331"/>
        <n v="1340"/>
        <n v="1063"/>
        <n v="1668"/>
        <n v="3766"/>
        <n v="3278"/>
        <n v="3259"/>
        <n v="2951"/>
        <n v="2910"/>
        <n v="1148"/>
        <n v="1147"/>
        <n v="3758"/>
        <n v="3727"/>
        <n v="3605"/>
        <n v="3420"/>
        <n v="3393"/>
        <n v="3175"/>
        <n v="3167"/>
        <n v="3108"/>
        <n v="3001"/>
        <n v="2868"/>
        <n v="2848"/>
        <n v="2838"/>
        <n v="2777"/>
        <n v="2770"/>
        <n v="2146"/>
        <n v="2113"/>
        <n v="2112"/>
        <n v="2037"/>
        <n v="2029"/>
        <n v="1976"/>
        <n v="1882"/>
        <n v="1753"/>
        <n v="1562"/>
        <n v="1489"/>
        <n v="1413"/>
        <n v="1394"/>
        <n v="1183"/>
        <n v="1180"/>
        <n v="2378"/>
        <n v="2317"/>
        <n v="1143"/>
        <n v="2228"/>
        <n v="3999"/>
        <n v="2355"/>
        <n v="2351"/>
        <n v="1674"/>
        <n v="3460"/>
        <n v="2662"/>
        <n v="2597"/>
        <n v="3462"/>
        <n v="2687"/>
        <n v="2621"/>
        <n v="1355"/>
        <n v="1374"/>
        <n v="1332"/>
        <n v="1076"/>
        <n v="1690"/>
        <n v="1679"/>
        <n v="1692"/>
        <n v="1939"/>
        <n v="3389"/>
        <n v="3322"/>
        <n v="3098"/>
        <n v="3005"/>
        <n v="2862"/>
        <n v="2828"/>
        <n v="2762"/>
        <n v="3756"/>
        <n v="3747"/>
        <n v="3632"/>
        <n v="3581"/>
        <n v="3580"/>
        <n v="3361"/>
        <n v="3229"/>
        <n v="3191"/>
        <n v="3105"/>
        <n v="2974"/>
        <n v="2893"/>
        <n v="2854"/>
        <n v="2837"/>
        <n v="2155"/>
        <n v="2077"/>
        <n v="2063"/>
        <n v="1910"/>
        <n v="1734"/>
        <n v="1584"/>
        <n v="1425"/>
        <n v="1410"/>
        <n v="1403"/>
        <n v="1289"/>
        <n v="1287"/>
        <n v="1136"/>
        <n v="1101"/>
        <n v="2451"/>
        <n v="2439"/>
        <n v="2401"/>
        <n v="3854"/>
        <n v="3921"/>
        <n v="3909"/>
        <n v="3895"/>
        <n v="2544"/>
        <n v="2479"/>
        <n v="2390"/>
        <n v="1630"/>
        <n v="3456"/>
        <n v="3505"/>
        <n v="2739"/>
        <n v="3926"/>
        <n v="1056"/>
        <n v="1018"/>
        <n v="3117"/>
        <n v="2909"/>
        <n v="2863"/>
        <n v="2119"/>
        <n v="2049"/>
        <n v="2022"/>
        <n v="1999"/>
        <n v="1473"/>
        <n v="1451"/>
        <n v="3221"/>
        <n v="3104"/>
        <n v="3088"/>
        <n v="2877"/>
        <n v="2205"/>
        <n v="2100"/>
        <n v="2076"/>
        <n v="2008"/>
        <n v="1975"/>
        <n v="1908"/>
        <n v="1522"/>
        <n v="1505"/>
        <n v="1498"/>
        <n v="1280"/>
        <n v="2223"/>
        <n v="2290"/>
        <n v="3937"/>
        <n v="2335"/>
        <n v="3476"/>
        <n v="2671"/>
        <n v="3517"/>
        <n v="2613"/>
        <n v="3552"/>
        <n v="3409"/>
        <n v="3179"/>
        <n v="3095"/>
        <n v="3026"/>
        <n v="2843"/>
        <n v="1516"/>
        <n v="3729"/>
        <n v="3618"/>
        <n v="3056"/>
        <n v="3020"/>
        <n v="2989"/>
        <n v="2869"/>
        <n v="2789"/>
        <n v="1867"/>
        <n v="1845"/>
        <n v="1773"/>
        <n v="1735"/>
        <n v="1391"/>
        <n v="1153"/>
        <n v="2357"/>
        <n v="3919"/>
        <n v="1622"/>
        <n v="2625"/>
        <n v="3545"/>
        <n v="3508"/>
        <n v="2653"/>
        <n v="1058"/>
        <n v="1042"/>
        <n v="1941"/>
        <n v="3027"/>
        <n v="3682"/>
        <n v="3357"/>
        <n v="3247"/>
        <n v="2959"/>
        <n v="2206"/>
        <n v="2107"/>
        <n v="2036"/>
        <n v="1826"/>
        <n v="1141"/>
        <n v="2475"/>
        <n v="2431"/>
        <n v="2418"/>
        <n v="2413"/>
        <n v="2382"/>
        <n v="2299"/>
        <n v="2513"/>
        <n v="2232"/>
        <n v="3948"/>
        <n v="2724"/>
        <n v="3531"/>
        <n v="3433"/>
        <n v="2634"/>
        <n v="2599"/>
        <n v="2090"/>
        <n v="1940"/>
        <n v="1474"/>
        <n v="1149"/>
        <n v="3326"/>
        <n v="2060"/>
        <n v="1655"/>
        <n v="1095"/>
      </sharedItems>
    </cacheField>
    <cacheField name="Joining Year" numFmtId="0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Joining_Date" numFmtId="14">
      <sharedItems containsSemiMixedTypes="0" containsNonDate="0" containsDate="1" containsString="0" minDate="2018-08-07T00:00:00" maxDate="2023-08-07T00:00:00" count="1472">
        <d v="2018-09-02T00:00:00"/>
        <d v="2018-11-30T00:00:00"/>
        <d v="2018-12-04T00:00:00"/>
        <d v="2018-08-10T00:00:00"/>
        <d v="2018-12-29T00:00:00"/>
        <d v="2019-02-26T00:00:00"/>
        <d v="2019-12-15T00:00:00"/>
        <d v="2018-12-13T00:00:00"/>
        <d v="2019-08-09T00:00:00"/>
        <d v="2019-04-12T00:00:00"/>
        <d v="2018-09-26T00:00:00"/>
        <d v="2019-10-06T00:00:00"/>
        <d v="2019-01-25T00:00:00"/>
        <d v="2018-11-20T00:00:00"/>
        <d v="2019-08-04T00:00:00"/>
        <d v="2018-11-04T00:00:00"/>
        <d v="2019-11-29T00:00:00"/>
        <d v="2019-10-15T00:00:00"/>
        <d v="2019-09-20T00:00:00"/>
        <d v="2019-02-01T00:00:00"/>
        <d v="2020-12-28T00:00:00"/>
        <d v="2019-09-30T00:00:00"/>
        <d v="2018-10-20T00:00:00"/>
        <d v="2020-06-06T00:00:00"/>
        <d v="2019-11-27T00:00:00"/>
        <d v="2019-03-16T00:00:00"/>
        <d v="2019-05-01T00:00:00"/>
        <d v="2019-12-10T00:00:00"/>
        <d v="2019-08-17T00:00:00"/>
        <d v="2020-06-29T00:00:00"/>
        <d v="2020-10-16T00:00:00"/>
        <d v="2019-09-04T00:00:00"/>
        <d v="2019-01-27T00:00:00"/>
        <d v="2020-10-25T00:00:00"/>
        <d v="2018-12-15T00:00:00"/>
        <d v="2018-10-16T00:00:00"/>
        <d v="2019-10-19T00:00:00"/>
        <d v="2020-01-28T00:00:00"/>
        <d v="2020-02-25T00:00:00"/>
        <d v="2020-10-18T00:00:00"/>
        <d v="2020-03-21T00:00:00"/>
        <d v="2020-06-20T00:00:00"/>
        <d v="2019-04-21T00:00:00"/>
        <d v="2019-11-11T00:00:00"/>
        <d v="2019-05-05T00:00:00"/>
        <d v="2021-04-25T00:00:00"/>
        <d v="2019-03-07T00:00:00"/>
        <d v="2021-11-27T00:00:00"/>
        <d v="2019-04-19T00:00:00"/>
        <d v="2020-04-01T00:00:00"/>
        <d v="2021-03-17T00:00:00"/>
        <d v="2020-04-14T00:00:00"/>
        <d v="2020-02-18T00:00:00"/>
        <d v="2019-10-17T00:00:00"/>
        <d v="2021-06-04T00:00:00"/>
        <d v="2018-12-03T00:00:00"/>
        <d v="2019-03-05T00:00:00"/>
        <d v="2021-10-11T00:00:00"/>
        <d v="2019-01-26T00:00:00"/>
        <d v="2019-08-30T00:00:00"/>
        <d v="2019-05-11T00:00:00"/>
        <d v="2021-04-07T00:00:00"/>
        <d v="2019-09-22T00:00:00"/>
        <d v="2022-10-15T00:00:00"/>
        <d v="2021-07-31T00:00:00"/>
        <d v="2021-11-04T00:00:00"/>
        <d v="2021-05-08T00:00:00"/>
        <d v="2019-05-23T00:00:00"/>
        <d v="2019-06-20T00:00:00"/>
        <d v="2018-11-28T00:00:00"/>
        <d v="2020-06-08T00:00:00"/>
        <d v="2021-06-20T00:00:00"/>
        <d v="2020-06-21T00:00:00"/>
        <d v="2020-09-23T00:00:00"/>
        <d v="2020-03-13T00:00:00"/>
        <d v="2022-02-26T00:00:00"/>
        <d v="2021-06-11T00:00:00"/>
        <d v="2019-09-08T00:00:00"/>
        <d v="2022-02-28T00:00:00"/>
        <d v="2022-10-02T00:00:00"/>
        <d v="2021-12-23T00:00:00"/>
        <d v="2018-10-06T00:00:00"/>
        <d v="2021-03-08T00:00:00"/>
        <d v="2021-01-11T00:00:00"/>
        <d v="2019-02-15T00:00:00"/>
        <d v="2022-06-11T00:00:00"/>
        <d v="2019-09-18T00:00:00"/>
        <d v="2020-12-29T00:00:00"/>
        <d v="2019-09-10T00:00:00"/>
        <d v="2020-10-21T00:00:00"/>
        <d v="2019-02-24T00:00:00"/>
        <d v="2018-12-05T00:00:00"/>
        <d v="2020-10-13T00:00:00"/>
        <d v="2018-12-12T00:00:00"/>
        <d v="2018-09-07T00:00:00"/>
        <d v="2021-09-13T00:00:00"/>
        <d v="2020-11-03T00:00:00"/>
        <d v="2020-07-19T00:00:00"/>
        <d v="2019-10-08T00:00:00"/>
        <d v="2019-09-09T00:00:00"/>
        <d v="2020-04-09T00:00:00"/>
        <d v="2022-10-17T00:00:00"/>
        <d v="2021-07-14T00:00:00"/>
        <d v="2020-04-22T00:00:00"/>
        <d v="2020-09-21T00:00:00"/>
        <d v="2022-01-12T00:00:00"/>
        <d v="2022-04-15T00:00:00"/>
        <d v="2019-05-13T00:00:00"/>
        <d v="2019-06-07T00:00:00"/>
        <d v="2020-02-28T00:00:00"/>
        <d v="2019-03-20T00:00:00"/>
        <d v="2020-08-20T00:00:00"/>
        <d v="2023-01-20T00:00:00"/>
        <d v="2020-12-22T00:00:00"/>
        <d v="2018-09-09T00:00:00"/>
        <d v="2021-07-22T00:00:00"/>
        <d v="2022-02-07T00:00:00"/>
        <d v="2020-11-15T00:00:00"/>
        <d v="2022-01-05T00:00:00"/>
        <d v="2019-06-02T00:00:00"/>
        <d v="2018-08-13T00:00:00"/>
        <d v="2020-10-10T00:00:00"/>
        <d v="2019-06-05T00:00:00"/>
        <d v="2022-03-22T00:00:00"/>
        <d v="2022-12-03T00:00:00"/>
        <d v="2023-07-04T00:00:00"/>
        <d v="2023-04-19T00:00:00"/>
        <d v="2022-12-13T00:00:00"/>
        <d v="2021-10-24T00:00:00"/>
        <d v="2022-03-08T00:00:00"/>
        <d v="2021-09-09T00:00:00"/>
        <d v="2018-12-20T00:00:00"/>
        <d v="2019-02-21T00:00:00"/>
        <d v="2019-03-23T00:00:00"/>
        <d v="2020-06-15T00:00:00"/>
        <d v="2021-05-25T00:00:00"/>
        <d v="2018-12-25T00:00:00"/>
        <d v="2023-04-26T00:00:00"/>
        <d v="2020-07-21T00:00:00"/>
        <d v="2021-04-03T00:00:00"/>
        <d v="2018-09-11T00:00:00"/>
        <d v="2019-08-07T00:00:00"/>
        <d v="2021-09-01T00:00:00"/>
        <d v="2020-02-16T00:00:00"/>
        <d v="2022-11-21T00:00:00"/>
        <d v="2023-06-19T00:00:00"/>
        <d v="2021-07-27T00:00:00"/>
        <d v="2021-06-29T00:00:00"/>
        <d v="2020-01-27T00:00:00"/>
        <d v="2018-11-08T00:00:00"/>
        <d v="2020-06-02T00:00:00"/>
        <d v="2020-02-24T00:00:00"/>
        <d v="2021-10-01T00:00:00"/>
        <d v="2018-08-28T00:00:00"/>
        <d v="2018-09-08T00:00:00"/>
        <d v="2018-12-09T00:00:00"/>
        <d v="2022-05-23T00:00:00"/>
        <d v="2019-08-29T00:00:00"/>
        <d v="2018-08-08T00:00:00"/>
        <d v="2022-11-25T00:00:00"/>
        <d v="2022-03-24T00:00:00"/>
        <d v="2023-01-07T00:00:00"/>
        <d v="2020-12-09T00:00:00"/>
        <d v="2022-09-24T00:00:00"/>
        <d v="2018-08-07T00:00:00"/>
        <d v="2023-05-06T00:00:00"/>
        <d v="2022-11-09T00:00:00"/>
        <d v="2021-07-30T00:00:00"/>
        <d v="2020-11-05T00:00:00"/>
        <d v="2023-03-15T00:00:00"/>
        <d v="2021-01-06T00:00:00"/>
        <d v="2019-07-07T00:00:00"/>
        <d v="2019-02-10T00:00:00"/>
        <d v="2020-12-23T00:00:00"/>
        <d v="2022-05-19T00:00:00"/>
        <d v="2021-02-08T00:00:00"/>
        <d v="2022-07-19T00:00:00"/>
        <d v="2019-02-08T00:00:00"/>
        <d v="2019-09-24T00:00:00"/>
        <d v="2022-12-16T00:00:00"/>
        <d v="2020-12-21T00:00:00"/>
        <d v="2022-05-24T00:00:00"/>
        <d v="2019-05-31T00:00:00"/>
        <d v="2020-08-01T00:00:00"/>
        <d v="2021-06-21T00:00:00"/>
        <d v="2023-03-23T00:00:00"/>
        <d v="2021-03-03T00:00:00"/>
        <d v="2018-08-29T00:00:00"/>
        <d v="2023-06-29T00:00:00"/>
        <d v="2022-02-09T00:00:00"/>
        <d v="2022-01-07T00:00:00"/>
        <d v="2021-03-28T00:00:00"/>
        <d v="2020-06-25T00:00:00"/>
        <d v="2020-01-09T00:00:00"/>
        <d v="2019-11-25T00:00:00"/>
        <d v="2020-11-19T00:00:00"/>
        <d v="2020-02-09T00:00:00"/>
        <d v="2023-04-21T00:00:00"/>
        <d v="2022-08-25T00:00:00"/>
        <d v="2018-09-15T00:00:00"/>
        <d v="2022-08-14T00:00:00"/>
        <d v="2022-12-11T00:00:00"/>
        <d v="2019-02-09T00:00:00"/>
        <d v="2022-06-03T00:00:00"/>
        <d v="2022-06-10T00:00:00"/>
        <d v="2022-09-16T00:00:00"/>
        <d v="2020-07-24T00:00:00"/>
        <d v="2021-03-25T00:00:00"/>
        <d v="2021-05-24T00:00:00"/>
        <d v="2023-07-17T00:00:00"/>
        <d v="2020-10-27T00:00:00"/>
        <d v="2022-03-28T00:00:00"/>
        <d v="2021-12-13T00:00:00"/>
        <d v="2021-05-02T00:00:00"/>
        <d v="2021-11-17T00:00:00"/>
        <d v="2019-09-26T00:00:00"/>
        <d v="2020-08-28T00:00:00"/>
        <d v="2019-12-27T00:00:00"/>
        <d v="2020-10-29T00:00:00"/>
        <d v="2021-04-10T00:00:00"/>
        <d v="2021-04-16T00:00:00"/>
        <d v="2022-01-11T00:00:00"/>
        <d v="2019-03-29T00:00:00"/>
        <d v="2019-06-16T00:00:00"/>
        <d v="2020-12-13T00:00:00"/>
        <d v="2023-05-31T00:00:00"/>
        <d v="2021-07-04T00:00:00"/>
        <d v="2020-07-01T00:00:00"/>
        <d v="2022-11-05T00:00:00"/>
        <d v="2018-09-28T00:00:00"/>
        <d v="2022-07-21T00:00:00"/>
        <d v="2019-10-31T00:00:00"/>
        <d v="2020-12-10T00:00:00"/>
        <d v="2020-04-04T00:00:00"/>
        <d v="2020-02-06T00:00:00"/>
        <d v="2022-07-25T00:00:00"/>
        <d v="2020-09-16T00:00:00"/>
        <d v="2018-10-22T00:00:00"/>
        <d v="2018-12-11T00:00:00"/>
        <d v="2021-08-17T00:00:00"/>
        <d v="2022-07-13T00:00:00"/>
        <d v="2023-07-01T00:00:00"/>
        <d v="2020-07-09T00:00:00"/>
        <d v="2019-01-23T00:00:00"/>
        <d v="2022-11-16T00:00:00"/>
        <d v="2019-02-25T00:00:00"/>
        <d v="2018-11-27T00:00:00"/>
        <d v="2020-07-04T00:00:00"/>
        <d v="2022-09-13T00:00:00"/>
        <d v="2021-12-04T00:00:00"/>
        <d v="2018-11-06T00:00:00"/>
        <d v="2020-04-06T00:00:00"/>
        <d v="2020-07-13T00:00:00"/>
        <d v="2023-02-25T00:00:00"/>
        <d v="2019-03-12T00:00:00"/>
        <d v="2021-01-25T00:00:00"/>
        <d v="2018-10-31T00:00:00"/>
        <d v="2020-08-26T00:00:00"/>
        <d v="2019-03-08T00:00:00"/>
        <d v="2022-12-07T00:00:00"/>
        <d v="2020-10-03T00:00:00"/>
        <d v="2023-02-09T00:00:00"/>
        <d v="2023-04-04T00:00:00"/>
        <d v="2023-01-11T00:00:00"/>
        <d v="2018-10-25T00:00:00"/>
        <d v="2019-01-29T00:00:00"/>
        <d v="2022-03-23T00:00:00"/>
        <d v="2021-08-23T00:00:00"/>
        <d v="2021-05-16T00:00:00"/>
        <d v="2019-01-02T00:00:00"/>
        <d v="2021-07-21T00:00:00"/>
        <d v="2019-01-18T00:00:00"/>
        <d v="2018-09-27T00:00:00"/>
        <d v="2021-10-13T00:00:00"/>
        <d v="2021-04-13T00:00:00"/>
        <d v="2021-01-26T00:00:00"/>
        <d v="2021-12-06T00:00:00"/>
        <d v="2019-11-24T00:00:00"/>
        <d v="2021-07-23T00:00:00"/>
        <d v="2020-11-23T00:00:00"/>
        <d v="2020-12-15T00:00:00"/>
        <d v="2021-08-24T00:00:00"/>
        <d v="2020-05-26T00:00:00"/>
        <d v="2022-09-09T00:00:00"/>
        <d v="2022-04-12T00:00:00"/>
        <d v="2023-01-13T00:00:00"/>
        <d v="2020-08-02T00:00:00"/>
        <d v="2019-06-04T00:00:00"/>
        <d v="2023-03-28T00:00:00"/>
        <d v="2018-11-09T00:00:00"/>
        <d v="2020-01-22T00:00:00"/>
        <d v="2023-03-03T00:00:00"/>
        <d v="2023-07-14T00:00:00"/>
        <d v="2019-12-21T00:00:00"/>
        <d v="2021-08-18T00:00:00"/>
        <d v="2021-02-04T00:00:00"/>
        <d v="2022-10-14T00:00:00"/>
        <d v="2019-08-06T00:00:00"/>
        <d v="2021-08-11T00:00:00"/>
        <d v="2021-07-17T00:00:00"/>
        <d v="2022-10-28T00:00:00"/>
        <d v="2022-04-16T00:00:00"/>
        <d v="2020-08-09T00:00:00"/>
        <d v="2023-08-04T00:00:00"/>
        <d v="2021-04-09T00:00:00"/>
        <d v="2019-05-03T00:00:00"/>
        <d v="2022-08-18T00:00:00"/>
        <d v="2022-12-01T00:00:00"/>
        <d v="2020-03-07T00:00:00"/>
        <d v="2022-12-18T00:00:00"/>
        <d v="2019-12-19T00:00:00"/>
        <d v="2019-05-14T00:00:00"/>
        <d v="2022-07-09T00:00:00"/>
        <d v="2021-12-27T00:00:00"/>
        <d v="2021-10-07T00:00:00"/>
        <d v="2020-06-01T00:00:00"/>
        <d v="2022-06-22T00:00:00"/>
        <d v="2020-11-26T00:00:00"/>
        <d v="2019-10-05T00:00:00"/>
        <d v="2018-08-19T00:00:00"/>
        <d v="2020-01-03T00:00:00"/>
        <d v="2020-06-18T00:00:00"/>
        <d v="2019-11-26T00:00:00"/>
        <d v="2020-09-01T00:00:00"/>
        <d v="2019-11-13T00:00:00"/>
        <d v="2022-02-01T00:00:00"/>
        <d v="2022-06-20T00:00:00"/>
        <d v="2021-11-23T00:00:00"/>
        <d v="2019-09-17T00:00:00"/>
        <d v="2022-03-04T00:00:00"/>
        <d v="2019-02-02T00:00:00"/>
        <d v="2020-09-24T00:00:00"/>
        <d v="2023-05-12T00:00:00"/>
        <d v="2022-02-16T00:00:00"/>
        <d v="2021-04-11T00:00:00"/>
        <d v="2020-03-12T00:00:00"/>
        <d v="2022-05-16T00:00:00"/>
        <d v="2020-06-22T00:00:00"/>
        <d v="2019-08-24T00:00:00"/>
        <d v="2021-07-08T00:00:00"/>
        <d v="2021-07-09T00:00:00"/>
        <d v="2022-01-13T00:00:00"/>
        <d v="2023-08-06T00:00:00"/>
        <d v="2022-11-23T00:00:00"/>
        <d v="2022-04-23T00:00:00"/>
        <d v="2018-11-10T00:00:00"/>
        <d v="2019-06-28T00:00:00"/>
        <d v="2020-05-12T00:00:00"/>
        <d v="2018-10-21T00:00:00"/>
        <d v="2020-03-17T00:00:00"/>
        <d v="2019-07-27T00:00:00"/>
        <d v="2018-09-12T00:00:00"/>
        <d v="2021-09-06T00:00:00"/>
        <d v="2020-02-08T00:00:00"/>
        <d v="2018-10-01T00:00:00"/>
        <d v="2021-01-17T00:00:00"/>
        <d v="2023-01-24T00:00:00"/>
        <d v="2021-09-26T00:00:00"/>
        <d v="2019-11-07T00:00:00"/>
        <d v="2021-08-30T00:00:00"/>
        <d v="2020-05-14T00:00:00"/>
        <d v="2020-12-25T00:00:00"/>
        <d v="2019-06-19T00:00:00"/>
        <d v="2019-05-29T00:00:00"/>
        <d v="2019-09-05T00:00:00"/>
        <d v="2019-08-05T00:00:00"/>
        <d v="2021-09-24T00:00:00"/>
        <d v="2023-05-30T00:00:00"/>
        <d v="2018-12-10T00:00:00"/>
        <d v="2021-03-27T00:00:00"/>
        <d v="2021-02-15T00:00:00"/>
        <d v="2021-04-05T00:00:00"/>
        <d v="2021-10-26T00:00:00"/>
        <d v="2021-05-22T00:00:00"/>
        <d v="2022-01-28T00:00:00"/>
        <d v="2022-10-18T00:00:00"/>
        <d v="2019-01-30T00:00:00"/>
        <d v="2021-11-03T00:00:00"/>
        <d v="2021-07-06T00:00:00"/>
        <d v="2019-06-25T00:00:00"/>
        <d v="2020-06-28T00:00:00"/>
        <d v="2019-01-14T00:00:00"/>
        <d v="2019-10-14T00:00:00"/>
        <d v="2019-10-03T00:00:00"/>
        <d v="2021-05-15T00:00:00"/>
        <d v="2019-12-28T00:00:00"/>
        <d v="2021-07-13T00:00:00"/>
        <d v="2019-11-14T00:00:00"/>
        <d v="2019-07-18T00:00:00"/>
        <d v="2020-03-16T00:00:00"/>
        <d v="2021-08-26T00:00:00"/>
        <d v="2021-06-02T00:00:00"/>
        <d v="2019-11-06T00:00:00"/>
        <d v="2020-10-02T00:00:00"/>
        <d v="2021-05-26T00:00:00"/>
        <d v="2020-11-30T00:00:00"/>
        <d v="2021-01-10T00:00:00"/>
        <d v="2020-09-11T00:00:00"/>
        <d v="2022-06-30T00:00:00"/>
        <d v="2022-07-03T00:00:00"/>
        <d v="2018-10-12T00:00:00"/>
        <d v="2021-04-08T00:00:00"/>
        <d v="2023-02-10T00:00:00"/>
        <d v="2023-02-01T00:00:00"/>
        <d v="2023-02-08T00:00:00"/>
        <d v="2021-06-01T00:00:00"/>
        <d v="2018-09-06T00:00:00"/>
        <d v="2021-06-13T00:00:00"/>
        <d v="2020-02-02T00:00:00"/>
        <d v="2022-06-06T00:00:00"/>
        <d v="2022-01-30T00:00:00"/>
        <d v="2022-10-11T00:00:00"/>
        <d v="2018-09-19T00:00:00"/>
        <d v="2019-10-26T00:00:00"/>
        <d v="2023-06-16T00:00:00"/>
        <d v="2022-06-27T00:00:00"/>
        <d v="2020-01-17T00:00:00"/>
        <d v="2022-05-10T00:00:00"/>
        <d v="2022-08-07T00:00:00"/>
        <d v="2019-07-22T00:00:00"/>
        <d v="2021-07-15T00:00:00"/>
        <d v="2019-02-11T00:00:00"/>
        <d v="2020-07-28T00:00:00"/>
        <d v="2022-01-08T00:00:00"/>
        <d v="2022-10-01T00:00:00"/>
        <d v="2020-11-24T00:00:00"/>
        <d v="2019-09-12T00:00:00"/>
        <d v="2020-08-15T00:00:00"/>
        <d v="2021-01-12T00:00:00"/>
        <d v="2022-11-20T00:00:00"/>
        <d v="2022-07-31T00:00:00"/>
        <d v="2018-09-20T00:00:00"/>
        <d v="2020-01-13T00:00:00"/>
        <d v="2021-10-06T00:00:00"/>
        <d v="2019-02-28T00:00:00"/>
        <d v="2020-01-08T00:00:00"/>
        <d v="2023-05-08T00:00:00"/>
        <d v="2020-12-31T00:00:00"/>
        <d v="2021-08-29T00:00:00"/>
        <d v="2023-03-22T00:00:00"/>
        <d v="2021-12-22T00:00:00"/>
        <d v="2018-09-22T00:00:00"/>
        <d v="2023-04-16T00:00:00"/>
        <d v="2020-02-05T00:00:00"/>
        <d v="2022-11-26T00:00:00"/>
        <d v="2018-08-26T00:00:00"/>
        <d v="2021-03-14T00:00:00"/>
        <d v="2021-08-09T00:00:00"/>
        <d v="2018-11-23T00:00:00"/>
        <d v="2019-07-04T00:00:00"/>
        <d v="2023-05-16T00:00:00"/>
        <d v="2022-12-10T00:00:00"/>
        <d v="2022-05-05T00:00:00"/>
        <d v="2022-02-17T00:00:00"/>
        <d v="2020-05-05T00:00:00"/>
        <d v="2020-03-03T00:00:00"/>
        <d v="2023-03-17T00:00:00"/>
        <d v="2020-03-15T00:00:00"/>
        <d v="2020-07-20T00:00:00"/>
        <d v="2020-10-06T00:00:00"/>
        <d v="2021-10-22T00:00:00"/>
        <d v="2023-02-12T00:00:00"/>
        <d v="2020-01-24T00:00:00"/>
        <d v="2019-02-27T00:00:00"/>
        <d v="2022-09-14T00:00:00"/>
        <d v="2023-01-17T00:00:00"/>
        <d v="2022-07-23T00:00:00"/>
        <d v="2021-10-21T00:00:00"/>
        <d v="2019-12-14T00:00:00"/>
        <d v="2019-10-02T00:00:00"/>
        <d v="2023-03-14T00:00:00"/>
        <d v="2022-04-30T00:00:00"/>
        <d v="2021-01-24T00:00:00"/>
        <d v="2022-10-04T00:00:00"/>
        <d v="2019-09-14T00:00:00"/>
        <d v="2022-04-07T00:00:00"/>
        <d v="2020-12-08T00:00:00"/>
        <d v="2022-06-25T00:00:00"/>
        <d v="2020-09-15T00:00:00"/>
        <d v="2020-12-26T00:00:00"/>
        <d v="2020-09-10T00:00:00"/>
        <d v="2020-12-02T00:00:00"/>
        <d v="2021-12-07T00:00:00"/>
        <d v="2019-04-28T00:00:00"/>
        <d v="2021-04-02T00:00:00"/>
        <d v="2023-06-22T00:00:00"/>
        <d v="2022-11-28T00:00:00"/>
        <d v="2021-03-10T00:00:00"/>
        <d v="2020-11-09T00:00:00"/>
        <d v="2018-12-30T00:00:00"/>
        <d v="2020-05-16T00:00:00"/>
        <d v="2021-12-01T00:00:00"/>
        <d v="2023-05-18T00:00:00"/>
        <d v="2020-09-02T00:00:00"/>
        <d v="2019-11-18T00:00:00"/>
        <d v="2022-06-29T00:00:00"/>
        <d v="2023-06-02T00:00:00"/>
        <d v="2023-04-02T00:00:00"/>
        <d v="2019-10-24T00:00:00"/>
        <d v="2023-01-14T00:00:00"/>
        <d v="2019-06-12T00:00:00"/>
        <d v="2019-01-20T00:00:00"/>
        <d v="2022-06-14T00:00:00"/>
        <d v="2020-03-02T00:00:00"/>
        <d v="2020-10-12T00:00:00"/>
        <d v="2022-09-19T00:00:00"/>
        <d v="2019-10-07T00:00:00"/>
        <d v="2020-11-25T00:00:00"/>
        <d v="2022-05-12T00:00:00"/>
        <d v="2021-11-10T00:00:00"/>
        <d v="2019-05-07T00:00:00"/>
        <d v="2022-02-18T00:00:00"/>
        <d v="2020-10-23T00:00:00"/>
        <d v="2021-11-16T00:00:00"/>
        <d v="2023-08-02T00:00:00"/>
        <d v="2022-08-28T00:00:00"/>
        <d v="2022-05-06T00:00:00"/>
        <d v="2022-07-18T00:00:00"/>
        <d v="2019-07-02T00:00:00"/>
        <d v="2022-01-03T00:00:00"/>
        <d v="2019-08-27T00:00:00"/>
        <d v="2022-10-13T00:00:00"/>
        <d v="2023-01-10T00:00:00"/>
        <d v="2022-11-24T00:00:00"/>
        <d v="2020-09-30T00:00:00"/>
        <d v="2019-06-13T00:00:00"/>
        <d v="2020-11-14T00:00:00"/>
        <d v="2019-04-05T00:00:00"/>
        <d v="2023-02-02T00:00:00"/>
        <d v="2019-05-06T00:00:00"/>
        <d v="2022-03-29T00:00:00"/>
        <d v="2022-04-27T00:00:00"/>
        <d v="2023-01-02T00:00:00"/>
        <d v="2022-04-20T00:00:00"/>
        <d v="2022-03-01T00:00:00"/>
        <d v="2019-12-23T00:00:00"/>
        <d v="2019-12-20T00:00:00"/>
        <d v="2019-03-31T00:00:00"/>
        <d v="2022-11-01T00:00:00"/>
        <d v="2019-12-16T00:00:00"/>
        <d v="2020-05-09T00:00:00"/>
        <d v="2021-09-27T00:00:00"/>
        <d v="2022-05-01T00:00:00"/>
        <d v="2019-11-04T00:00:00"/>
        <d v="2021-07-25T00:00:00"/>
        <d v="2023-03-11T00:00:00"/>
        <d v="2021-03-04T00:00:00"/>
        <d v="2019-08-22T00:00:00"/>
        <d v="2022-07-16T00:00:00"/>
        <d v="2018-11-16T00:00:00"/>
        <d v="2018-12-06T00:00:00"/>
        <d v="2021-02-28T00:00:00"/>
        <d v="2020-05-08T00:00:00"/>
        <d v="2022-11-08T00:00:00"/>
        <d v="2020-08-18T00:00:00"/>
        <d v="2022-10-31T00:00:00"/>
        <d v="2018-11-14T00:00:00"/>
        <d v="2022-09-15T00:00:00"/>
        <d v="2023-06-20T00:00:00"/>
        <d v="2019-10-23T00:00:00"/>
        <d v="2019-02-17T00:00:00"/>
        <d v="2020-09-28T00:00:00"/>
        <d v="2020-03-06T00:00:00"/>
        <d v="2022-09-04T00:00:00"/>
        <d v="2022-02-05T00:00:00"/>
        <d v="2020-02-23T00:00:00"/>
        <d v="2022-07-14T00:00:00"/>
        <d v="2020-08-14T00:00:00"/>
        <d v="2020-08-31T00:00:00"/>
        <d v="2022-06-15T00:00:00"/>
        <d v="2021-04-20T00:00:00"/>
        <d v="2021-02-23T00:00:00"/>
        <d v="2022-04-01T00:00:00"/>
        <d v="2023-01-09T00:00:00"/>
        <d v="2020-02-29T00:00:00"/>
        <d v="2019-11-09T00:00:00"/>
        <d v="2021-09-10T00:00:00"/>
        <d v="2021-03-29T00:00:00"/>
        <d v="2021-09-29T00:00:00"/>
        <d v="2021-02-09T00:00:00"/>
        <d v="2019-12-24T00:00:00"/>
        <d v="2021-06-18T00:00:00"/>
        <d v="2021-04-29T00:00:00"/>
        <d v="2022-05-26T00:00:00"/>
        <d v="2020-10-14T00:00:00"/>
        <d v="2023-01-29T00:00:00"/>
        <d v="2022-08-31T00:00:00"/>
        <d v="2021-10-19T00:00:00"/>
        <d v="2020-05-06T00:00:00"/>
        <d v="2022-08-06T00:00:00"/>
        <d v="2019-02-13T00:00:00"/>
        <d v="2023-04-08T00:00:00"/>
        <d v="2023-06-27T00:00:00"/>
        <d v="2022-01-22T00:00:00"/>
        <d v="2020-04-26T00:00:00"/>
        <d v="2023-01-26T00:00:00"/>
        <d v="2018-09-13T00:00:00"/>
        <d v="2020-08-19T00:00:00"/>
        <d v="2022-04-19T00:00:00"/>
        <d v="2022-07-01T00:00:00"/>
        <d v="2019-03-13T00:00:00"/>
        <d v="2022-09-23T00:00:00"/>
        <d v="2019-11-22T00:00:00"/>
        <d v="2021-04-28T00:00:00"/>
        <d v="2019-06-21T00:00:00"/>
        <d v="2022-11-18T00:00:00"/>
        <d v="2022-10-07T00:00:00"/>
        <d v="2022-04-13T00:00:00"/>
        <d v="2021-08-14T00:00:00"/>
        <d v="2022-11-07T00:00:00"/>
        <d v="2021-03-09T00:00:00"/>
        <d v="2021-04-23T00:00:00"/>
        <d v="2023-03-30T00:00:00"/>
        <d v="2022-07-20T00:00:00"/>
        <d v="2019-12-08T00:00:00"/>
        <d v="2020-04-29T00:00:00"/>
        <d v="2018-10-13T00:00:00"/>
        <d v="2018-11-07T00:00:00"/>
        <d v="2023-07-12T00:00:00"/>
        <d v="2022-11-11T00:00:00"/>
        <d v="2023-03-09T00:00:00"/>
        <d v="2021-05-13T00:00:00"/>
        <d v="2019-06-22T00:00:00"/>
        <d v="2023-05-04T00:00:00"/>
        <d v="2022-03-30T00:00:00"/>
        <d v="2019-04-02T00:00:00"/>
        <d v="2019-03-10T00:00:00"/>
        <d v="2022-12-25T00:00:00"/>
        <d v="2022-10-26T00:00:00"/>
        <d v="2021-05-05T00:00:00"/>
        <d v="2021-12-02T00:00:00"/>
        <d v="2019-04-11T00:00:00"/>
        <d v="2022-07-02T00:00:00"/>
        <d v="2019-03-09T00:00:00"/>
        <d v="2020-03-27T00:00:00"/>
        <d v="2022-03-21T00:00:00"/>
        <d v="2020-08-13T00:00:00"/>
        <d v="2018-08-22T00:00:00"/>
        <d v="2020-04-13T00:00:00"/>
        <d v="2023-07-27T00:00:00"/>
        <d v="2018-10-27T00:00:00"/>
        <d v="2021-05-10T00:00:00"/>
        <d v="2023-04-03T00:00:00"/>
        <d v="2023-06-17T00:00:00"/>
        <d v="2020-03-19T00:00:00"/>
        <d v="2023-05-13T00:00:00"/>
        <d v="2021-11-20T00:00:00"/>
        <d v="2021-02-27T00:00:00"/>
        <d v="2018-09-10T00:00:00"/>
        <d v="2022-08-29T00:00:00"/>
        <d v="2020-05-03T00:00:00"/>
        <d v="2020-07-07T00:00:00"/>
        <d v="2022-09-22T00:00:00"/>
        <d v="2023-01-06T00:00:00"/>
        <d v="2019-07-15T00:00:00"/>
        <d v="2023-03-20T00:00:00"/>
        <d v="2021-01-02T00:00:00"/>
        <d v="2022-03-09T00:00:00"/>
        <d v="2021-02-16T00:00:00"/>
        <d v="2022-08-16T00:00:00"/>
        <d v="2022-06-16T00:00:00"/>
        <d v="2019-04-22T00:00:00"/>
        <d v="2020-12-14T00:00:00"/>
        <d v="2023-07-29T00:00:00"/>
        <d v="2019-05-02T00:00:00"/>
        <d v="2020-12-05T00:00:00"/>
        <d v="2023-05-26T00:00:00"/>
        <d v="2019-07-12T00:00:00"/>
        <d v="2019-03-28T00:00:00"/>
        <d v="2022-06-12T00:00:00"/>
        <d v="2023-05-24T00:00:00"/>
        <d v="2021-11-29T00:00:00"/>
        <d v="2020-02-14T00:00:00"/>
        <d v="2021-01-16T00:00:00"/>
        <d v="2020-06-16T00:00:00"/>
        <d v="2019-11-10T00:00:00"/>
        <d v="2022-12-24T00:00:00"/>
        <d v="2020-08-06T00:00:00"/>
        <d v="2022-10-30T00:00:00"/>
        <d v="2020-02-13T00:00:00"/>
        <d v="2018-11-05T00:00:00"/>
        <d v="2019-07-28T00:00:00"/>
        <d v="2020-03-09T00:00:00"/>
        <d v="2023-07-06T00:00:00"/>
        <d v="2023-02-22T00:00:00"/>
        <d v="2019-11-05T00:00:00"/>
        <d v="2019-05-18T00:00:00"/>
        <d v="2022-02-14T00:00:00"/>
        <d v="2018-12-23T00:00:00"/>
        <d v="2019-12-12T00:00:00"/>
        <d v="2021-09-05T00:00:00"/>
        <d v="2019-04-26T00:00:00"/>
        <d v="2023-07-15T00:00:00"/>
        <d v="2020-03-01T00:00:00"/>
        <d v="2023-02-15T00:00:00"/>
        <d v="2022-04-14T00:00:00"/>
        <d v="2018-09-24T00:00:00"/>
        <d v="2021-03-26T00:00:00"/>
        <d v="2018-09-04T00:00:00"/>
        <d v="2019-03-19T00:00:00"/>
        <d v="2022-04-03T00:00:00"/>
        <d v="2022-08-08T00:00:00"/>
        <d v="2019-04-16T00:00:00"/>
        <d v="2019-07-24T00:00:00"/>
        <d v="2019-11-16T00:00:00"/>
        <d v="2021-02-19T00:00:00"/>
        <d v="2019-08-28T00:00:00"/>
        <d v="2020-09-17T00:00:00"/>
        <d v="2018-12-18T00:00:00"/>
        <d v="2018-08-12T00:00:00"/>
        <d v="2021-04-24T00:00:00"/>
        <d v="2019-02-03T00:00:00"/>
        <d v="2023-04-25T00:00:00"/>
        <d v="2023-07-18T00:00:00"/>
        <d v="2022-03-13T00:00:00"/>
        <d v="2019-03-15T00:00:00"/>
        <d v="2020-01-29T00:00:00"/>
        <d v="2022-01-23T00:00:00"/>
        <d v="2022-06-05T00:00:00"/>
        <d v="2021-03-01T00:00:00"/>
        <d v="2023-05-22T00:00:00"/>
        <d v="2018-11-03T00:00:00"/>
        <d v="2021-03-23T00:00:00"/>
        <d v="2022-04-17T00:00:00"/>
        <d v="2020-12-12T00:00:00"/>
        <d v="2020-03-31T00:00:00"/>
        <d v="2019-03-11T00:00:00"/>
        <d v="2020-11-17T00:00:00"/>
        <d v="2019-12-11T00:00:00"/>
        <d v="2023-01-05T00:00:00"/>
        <d v="2023-08-05T00:00:00"/>
        <d v="2019-04-07T00:00:00"/>
        <d v="2021-11-28T00:00:00"/>
        <d v="2018-10-02T00:00:00"/>
        <d v="2020-08-25T00:00:00"/>
        <d v="2022-07-15T00:00:00"/>
        <d v="2022-08-27T00:00:00"/>
        <d v="2022-03-17T00:00:00"/>
        <d v="2020-07-16T00:00:00"/>
        <d v="2020-08-10T00:00:00"/>
        <d v="2022-12-26T00:00:00"/>
        <d v="2023-02-21T00:00:00"/>
        <d v="2018-12-22T00:00:00"/>
        <d v="2022-11-14T00:00:00"/>
        <d v="2020-04-12T00:00:00"/>
        <d v="2021-09-19T00:00:00"/>
        <d v="2020-06-14T00:00:00"/>
        <d v="2021-11-26T00:00:00"/>
        <d v="2022-09-01T00:00:00"/>
        <d v="2020-08-05T00:00:00"/>
        <d v="2023-04-09T00:00:00"/>
        <d v="2019-03-18T00:00:00"/>
        <d v="2019-08-13T00:00:00"/>
        <d v="2018-12-17T00:00:00"/>
        <d v="2022-04-21T00:00:00"/>
        <d v="2022-12-02T00:00:00"/>
        <d v="2020-11-10T00:00:00"/>
        <d v="2023-06-11T00:00:00"/>
        <d v="2023-01-23T00:00:00"/>
        <d v="2021-12-18T00:00:00"/>
        <d v="2021-04-01T00:00:00"/>
        <d v="2020-07-12T00:00:00"/>
        <d v="2018-10-03T00:00:00"/>
        <d v="2021-09-22T00:00:00"/>
        <d v="2023-05-29T00:00:00"/>
        <d v="2023-08-01T00:00:00"/>
        <d v="2018-08-23T00:00:00"/>
        <d v="2020-02-19T00:00:00"/>
        <d v="2021-05-20T00:00:00"/>
        <d v="2022-10-25T00:00:00"/>
        <d v="2018-11-01T00:00:00"/>
        <d v="2022-04-28T00:00:00"/>
        <d v="2020-11-29T00:00:00"/>
        <d v="2020-05-17T00:00:00"/>
        <d v="2018-11-22T00:00:00"/>
        <d v="2018-12-16T00:00:00"/>
        <d v="2020-10-20T00:00:00"/>
        <d v="2021-03-02T00:00:00"/>
        <d v="2021-09-30T00:00:00"/>
        <d v="2023-01-01T00:00:00"/>
        <d v="2020-08-04T00:00:00"/>
        <d v="2023-07-26T00:00:00"/>
        <d v="2021-03-06T00:00:00"/>
        <d v="2021-06-09T00:00:00"/>
        <d v="2022-03-05T00:00:00"/>
        <d v="2020-08-17T00:00:00"/>
        <d v="2022-03-11T00:00:00"/>
        <d v="2021-03-16T00:00:00"/>
        <d v="2022-09-05T00:00:00"/>
        <d v="2021-06-24T00:00:00"/>
        <d v="2022-01-31T00:00:00"/>
        <d v="2022-06-19T00:00:00"/>
        <d v="2022-02-25T00:00:00"/>
        <d v="2021-12-08T00:00:00"/>
        <d v="2020-04-15T00:00:00"/>
        <d v="2018-12-27T00:00:00"/>
        <d v="2022-04-08T00:00:00"/>
        <d v="2020-04-28T00:00:00"/>
        <d v="2021-02-25T00:00:00"/>
        <d v="2018-11-29T00:00:00"/>
        <d v="2020-01-12T00:00:00"/>
        <d v="2021-03-19T00:00:00"/>
        <d v="2020-09-03T00:00:00"/>
        <d v="2023-02-13T00:00:00"/>
        <d v="2019-04-15T00:00:00"/>
        <d v="2021-05-06T00:00:00"/>
        <d v="2018-12-08T00:00:00"/>
        <d v="2019-05-15T00:00:00"/>
        <d v="2021-10-14T00:00:00"/>
        <d v="2022-02-12T00:00:00"/>
        <d v="2020-01-01T00:00:00"/>
        <d v="2022-03-27T00:00:00"/>
        <d v="2020-04-27T00:00:00"/>
        <d v="2019-05-21T00:00:00"/>
        <d v="2018-12-07T00:00:00"/>
        <d v="2021-03-15T00:00:00"/>
        <d v="2020-06-04T00:00:00"/>
        <d v="2023-03-13T00:00:00"/>
        <d v="2023-07-10T00:00:00"/>
        <d v="2018-10-10T00:00:00"/>
        <d v="2019-07-20T00:00:00"/>
        <d v="2023-01-15T00:00:00"/>
        <d v="2021-10-10T00:00:00"/>
        <d v="2022-05-25T00:00:00"/>
        <d v="2020-10-05T00:00:00"/>
        <d v="2023-07-28T00:00:00"/>
        <d v="2022-10-20T00:00:00"/>
        <d v="2019-05-20T00:00:00"/>
        <d v="2023-02-18T00:00:00"/>
        <d v="2020-07-31T00:00:00"/>
        <d v="2022-08-03T00:00:00"/>
        <d v="2020-03-28T00:00:00"/>
        <d v="2020-10-26T00:00:00"/>
        <d v="2020-03-29T00:00:00"/>
        <d v="2020-10-24T00:00:00"/>
        <d v="2021-01-01T00:00:00"/>
        <d v="2019-06-27T00:00:00"/>
        <d v="2022-07-26T00:00:00"/>
        <d v="2021-10-25T00:00:00"/>
        <d v="2018-10-30T00:00:00"/>
        <d v="2019-10-09T00:00:00"/>
        <d v="2022-12-19T00:00:00"/>
        <d v="2022-02-11T00:00:00"/>
        <d v="2022-06-28T00:00:00"/>
        <d v="2022-04-25T00:00:00"/>
        <d v="2019-10-25T00:00:00"/>
        <d v="2018-08-11T00:00:00"/>
        <d v="2019-09-25T00:00:00"/>
        <d v="2021-02-13T00:00:00"/>
        <d v="2019-09-27T00:00:00"/>
        <d v="2021-02-24T00:00:00"/>
        <d v="2020-08-24T00:00:00"/>
        <d v="2022-09-20T00:00:00"/>
        <d v="2020-03-08T00:00:00"/>
        <d v="2020-06-07T00:00:00"/>
        <d v="2022-01-24T00:00:00"/>
        <d v="2019-06-29T00:00:00"/>
        <d v="2020-04-03T00:00:00"/>
        <d v="2023-07-08T00:00:00"/>
        <d v="2021-10-16T00:00:00"/>
        <d v="2019-07-13T00:00:00"/>
        <d v="2019-06-18T00:00:00"/>
        <d v="2023-07-24T00:00:00"/>
        <d v="2019-02-12T00:00:00"/>
        <d v="2019-09-03T00:00:00"/>
        <d v="2022-01-19T00:00:00"/>
        <d v="2022-09-18T00:00:00"/>
        <d v="2020-04-05T00:00:00"/>
        <d v="2020-05-31T00:00:00"/>
        <d v="2021-05-31T00:00:00"/>
        <d v="2023-04-29T00:00:00"/>
        <d v="2023-02-28T00:00:00"/>
        <d v="2019-10-18T00:00:00"/>
        <d v="2022-03-31T00:00:00"/>
        <d v="2020-08-22T00:00:00"/>
        <d v="2019-10-04T00:00:00"/>
        <d v="2018-12-14T00:00:00"/>
        <d v="2020-07-25T00:00:00"/>
        <d v="2019-11-03T00:00:00"/>
        <d v="2019-10-01T00:00:00"/>
        <d v="2021-06-25T00:00:00"/>
        <d v="2022-03-14T00:00:00"/>
        <d v="2021-05-14T00:00:00"/>
        <d v="2022-12-17T00:00:00"/>
        <d v="2020-02-11T00:00:00"/>
        <d v="2023-03-25T00:00:00"/>
        <d v="2021-06-07T00:00:00"/>
        <d v="2023-01-04T00:00:00"/>
        <d v="2022-11-06T00:00:00"/>
        <d v="2022-05-09T00:00:00"/>
        <d v="2020-07-11T00:00:00"/>
        <d v="2021-12-09T00:00:00"/>
        <d v="2020-09-13T00:00:00"/>
        <d v="2021-07-01T00:00:00"/>
        <d v="2018-12-31T00:00:00"/>
        <d v="2023-04-23T00:00:00"/>
        <d v="2022-08-23T00:00:00"/>
        <d v="2021-06-30T00:00:00"/>
        <d v="2020-07-27T00:00:00"/>
        <d v="2018-08-18T00:00:00"/>
        <d v="2021-04-14T00:00:00"/>
        <d v="2021-01-14T00:00:00"/>
        <d v="2022-08-12T00:00:00"/>
        <d v="2023-01-27T00:00:00"/>
        <d v="2021-09-02T00:00:00"/>
        <d v="2022-01-18T00:00:00"/>
        <d v="2019-09-23T00:00:00"/>
        <d v="2021-09-21T00:00:00"/>
        <d v="2022-03-26T00:00:00"/>
        <d v="2019-01-03T00:00:00"/>
        <d v="2022-12-23T00:00:00"/>
        <d v="2020-05-15T00:00:00"/>
        <d v="2021-09-12T00:00:00"/>
        <d v="2022-08-30T00:00:00"/>
        <d v="2021-11-25T00:00:00"/>
        <d v="2019-05-24T00:00:00"/>
        <d v="2023-06-15T00:00:00"/>
        <d v="2018-10-11T00:00:00"/>
        <d v="2021-05-09T00:00:00"/>
        <d v="2019-01-13T00:00:00"/>
        <d v="2021-04-21T00:00:00"/>
        <d v="2022-10-19T00:00:00"/>
        <d v="2019-07-19T00:00:00"/>
        <d v="2023-07-23T00:00:00"/>
        <d v="2022-02-19T00:00:00"/>
        <d v="2019-05-22T00:00:00"/>
        <d v="2021-10-05T00:00:00"/>
        <d v="2021-09-20T00:00:00"/>
        <d v="2020-05-04T00:00:00"/>
        <d v="2022-12-28T00:00:00"/>
        <d v="2018-09-21T00:00:00"/>
        <d v="2020-05-11T00:00:00"/>
        <d v="2023-03-31T00:00:00"/>
        <d v="2020-09-29T00:00:00"/>
        <d v="2020-05-13T00:00:00"/>
        <d v="2021-11-11T00:00:00"/>
        <d v="2021-01-08T00:00:00"/>
        <d v="2018-08-30T00:00:00"/>
        <d v="2021-01-29T00:00:00"/>
        <d v="2021-08-16T00:00:00"/>
        <d v="2020-08-21T00:00:00"/>
        <d v="2021-11-21T00:00:00"/>
        <d v="2022-10-21T00:00:00"/>
        <d v="2022-11-03T00:00:00"/>
        <d v="2021-02-05T00:00:00"/>
        <d v="2018-09-05T00:00:00"/>
        <d v="2022-01-17T00:00:00"/>
        <d v="2020-01-16T00:00:00"/>
        <d v="2022-04-24T00:00:00"/>
        <d v="2020-10-30T00:00:00"/>
        <d v="2023-06-18T00:00:00"/>
        <d v="2021-02-20T00:00:00"/>
        <d v="2018-11-25T00:00:00"/>
        <d v="2020-09-22T00:00:00"/>
        <d v="2018-11-18T00:00:00"/>
        <d v="2021-05-12T00:00:00"/>
        <d v="2018-12-01T00:00:00"/>
        <d v="2021-02-18T00:00:00"/>
        <d v="2020-05-01T00:00:00"/>
        <d v="2019-04-03T00:00:00"/>
        <d v="2019-07-25T00:00:00"/>
        <d v="2023-05-17T00:00:00"/>
        <d v="2022-11-10T00:00:00"/>
        <d v="2020-01-25T00:00:00"/>
        <d v="2019-12-25T00:00:00"/>
        <d v="2022-05-18T00:00:00"/>
        <d v="2021-09-23T00:00:00"/>
        <d v="2021-03-24T00:00:00"/>
        <d v="2021-12-15T00:00:00"/>
        <d v="2021-06-17T00:00:00"/>
        <d v="2022-02-02T00:00:00"/>
        <d v="2019-07-16T00:00:00"/>
        <d v="2023-04-06T00:00:00"/>
        <d v="2023-04-30T00:00:00"/>
        <d v="2019-03-04T00:00:00"/>
        <d v="2022-07-10T00:00:00"/>
        <d v="2022-11-22T00:00:00"/>
        <d v="2018-11-13T00:00:00"/>
        <d v="2022-01-10T00:00:00"/>
        <d v="2023-01-12T00:00:00"/>
        <d v="2021-07-29T00:00:00"/>
        <d v="2021-10-17T00:00:00"/>
        <d v="2018-09-25T00:00:00"/>
        <d v="2022-03-06T00:00:00"/>
        <d v="2019-08-14T00:00:00"/>
        <d v="2022-06-13T00:00:00"/>
        <d v="2022-07-08T00:00:00"/>
        <d v="2020-12-27T00:00:00"/>
        <d v="2020-05-10T00:00:00"/>
        <d v="2019-12-02T00:00:00"/>
        <d v="2020-10-11T00:00:00"/>
        <d v="2018-10-28T00:00:00"/>
        <d v="2020-01-02T00:00:00"/>
        <d v="2020-09-14T00:00:00"/>
        <d v="2023-03-16T00:00:00"/>
        <d v="2021-08-25T00:00:00"/>
        <d v="2020-07-18T00:00:00"/>
        <d v="2020-03-10T00:00:00"/>
        <d v="2019-12-06T00:00:00"/>
        <d v="2021-08-19T00:00:00"/>
        <d v="2023-03-19T00:00:00"/>
        <d v="2023-04-10T00:00:00"/>
        <d v="2023-03-05T00:00:00"/>
        <d v="2021-08-27T00:00:00"/>
        <d v="2021-08-02T00:00:00"/>
        <d v="2021-08-31T00:00:00"/>
        <d v="2021-10-15T00:00:00"/>
        <d v="2023-07-11T00:00:00"/>
        <d v="2022-08-26T00:00:00"/>
        <d v="2019-02-05T00:00:00"/>
        <d v="2023-03-07T00:00:00"/>
        <d v="2022-01-15T00:00:00"/>
        <d v="2023-04-14T00:00:00"/>
        <d v="2021-01-03T00:00:00"/>
        <d v="2022-02-15T00:00:00"/>
        <d v="2020-07-30T00:00:00"/>
        <d v="2020-04-10T00:00:00"/>
        <d v="2022-08-19T00:00:00"/>
        <d v="2021-08-20T00:00:00"/>
        <d v="2019-05-09T00:00:00"/>
        <d v="2023-03-08T00:00:00"/>
        <d v="2021-11-19T00:00:00"/>
        <d v="2020-02-10T00:00:00"/>
        <d v="2021-02-14T00:00:00"/>
        <d v="2022-11-19T00:00:00"/>
        <d v="2019-04-06T00:00:00"/>
        <d v="2019-10-10T00:00:00"/>
        <d v="2022-04-29T00:00:00"/>
        <d v="2019-02-04T00:00:00"/>
        <d v="2023-06-13T00:00:00"/>
        <d v="2022-05-13T00:00:00"/>
        <d v="2022-10-06T00:00:00"/>
        <d v="2021-03-30T00:00:00"/>
        <d v="2022-09-25T00:00:00"/>
        <d v="2022-04-06T00:00:00"/>
        <d v="2022-12-05T00:00:00"/>
        <d v="2021-01-04T00:00:00"/>
        <d v="2023-03-02T00:00:00"/>
        <d v="2021-03-05T00:00:00"/>
        <d v="2021-11-14T00:00:00"/>
        <d v="2019-01-24T00:00:00"/>
        <d v="2019-12-30T00:00:00"/>
        <d v="2019-08-25T00:00:00"/>
        <d v="2023-01-31T00:00:00"/>
        <d v="2021-12-24T00:00:00"/>
        <d v="2018-11-11T00:00:00"/>
        <d v="2023-01-19T00:00:00"/>
        <d v="2020-05-18T00:00:00"/>
        <d v="2020-12-06T00:00:00"/>
        <d v="2018-10-05T00:00:00"/>
        <d v="2019-02-18T00:00:00"/>
        <d v="2023-01-08T00:00:00"/>
        <d v="2020-04-07T00:00:00"/>
        <d v="2020-11-18T00:00:00"/>
        <d v="2018-08-27T00:00:00"/>
        <d v="2023-06-03T00:00:00"/>
        <d v="2022-05-08T00:00:00"/>
        <d v="2022-03-25T00:00:00"/>
        <d v="2021-03-20T00:00:00"/>
        <d v="2022-12-15T00:00:00"/>
        <d v="2021-11-06T00:00:00"/>
        <d v="2021-07-03T00:00:00"/>
        <d v="2022-08-09T00:00:00"/>
        <d v="2023-02-23T00:00:00"/>
        <d v="2020-04-16T00:00:00"/>
        <d v="2021-07-07T00:00:00"/>
        <d v="2023-01-18T00:00:00"/>
        <d v="2019-08-21T00:00:00"/>
        <d v="2022-12-20T00:00:00"/>
        <d v="2019-08-19T00:00:00"/>
        <d v="2022-12-08T00:00:00"/>
        <d v="2022-02-08T00:00:00"/>
        <d v="2023-01-21T00:00:00"/>
        <d v="2022-06-26T00:00:00"/>
        <d v="2023-05-02T00:00:00"/>
        <d v="2019-01-04T00:00:00"/>
        <d v="2020-08-07T00:00:00"/>
        <d v="2022-07-12T00:00:00"/>
        <d v="2019-04-25T00:00:00"/>
        <d v="2023-05-01T00:00:00"/>
        <d v="2022-01-14T00:00:00"/>
        <d v="2021-04-04T00:00:00"/>
        <d v="2022-09-11T00:00:00"/>
        <d v="2022-09-02T00:00:00"/>
        <d v="2022-08-11T00:00:00"/>
        <d v="2019-03-26T00:00:00"/>
        <d v="2019-03-27T00:00:00"/>
        <d v="2020-11-21T00:00:00"/>
        <d v="2021-09-11T00:00:00"/>
        <d v="2019-12-22T00:00:00"/>
        <d v="2020-05-27T00:00:00"/>
        <d v="2023-04-07T00:00:00"/>
        <d v="2018-09-18T00:00:00"/>
        <d v="2023-04-01T00:00:00"/>
        <d v="2022-02-22T00:00:00"/>
        <d v="2022-08-13T00:00:00"/>
        <d v="2019-03-06T00:00:00"/>
        <d v="2023-03-12T00:00:00"/>
        <d v="2021-06-12T00:00:00"/>
        <d v="2019-02-23T00:00:00"/>
        <d v="2019-08-01T00:00:00"/>
        <d v="2023-06-09T00:00:00"/>
        <d v="2021-04-12T00:00:00"/>
        <d v="2023-06-24T00:00:00"/>
        <d v="2018-11-15T00:00:00"/>
        <d v="2023-05-07T00:00:00"/>
        <d v="2020-05-30T00:00:00"/>
        <d v="2023-04-22T00:00:00"/>
        <d v="2019-07-30T00:00:00"/>
        <d v="2023-04-27T00:00:00"/>
        <d v="2019-04-17T00:00:00"/>
        <d v="2021-11-09T00:00:00"/>
        <d v="2020-01-19T00:00:00"/>
        <d v="2022-07-28T00:00:00"/>
        <d v="2023-07-09T00:00:00"/>
        <d v="2020-10-19T00:00:00"/>
        <d v="2019-09-11T00:00:00"/>
        <d v="2019-06-11T00:00:00"/>
        <d v="2018-11-21T00:00:00"/>
        <d v="2020-01-07T00:00:00"/>
        <d v="2021-05-30T00:00:00"/>
        <d v="2021-02-11T00:00:00"/>
        <d v="2022-11-04T00:00:00"/>
        <d v="2019-03-24T00:00:00"/>
        <d v="2019-12-09T00:00:00"/>
        <d v="2022-11-15T00:00:00"/>
        <d v="2019-10-13T00:00:00"/>
        <d v="2023-04-18T00:00:00"/>
        <d v="2019-12-01T00:00:00"/>
        <d v="2020-02-22T00:00:00"/>
        <d v="2019-08-31T00:00:00"/>
        <d v="2020-10-04T00:00:00"/>
        <d v="2022-02-21T00:00:00"/>
        <d v="2021-07-12T00:00:00"/>
        <d v="2020-07-14T00:00:00"/>
        <d v="2019-11-30T00:00:00"/>
        <d v="2022-04-22T00:00:00"/>
        <d v="2019-12-07T00:00:00"/>
        <d v="2019-10-28T00:00:00"/>
        <d v="2021-09-15T00:00:00"/>
        <d v="2023-03-04T00:00:00"/>
        <d v="2020-08-29T00:00:00"/>
        <d v="2019-04-14T00:00:00"/>
        <d v="2023-03-24T00:00:00"/>
        <d v="2021-04-15T00:00:00"/>
        <d v="2019-07-05T00:00:00"/>
        <d v="2021-10-27T00:00:00"/>
        <d v="2018-08-24T00:00:00"/>
        <d v="2020-01-11T00:00:00"/>
        <d v="2022-05-03T00:00:00"/>
        <d v="2022-08-17T00:00:00"/>
        <d v="2023-05-15T00:00:00"/>
        <d v="2022-06-08T00:00:00"/>
        <d v="2022-07-29T00:00:00"/>
        <d v="2021-07-11T00:00:00"/>
        <d v="2021-11-13T00:00:00"/>
        <d v="2022-02-27T00:00:00"/>
        <d v="2023-02-11T00:00:00"/>
        <d v="2019-09-06T00:00:00"/>
        <d v="2022-07-11T00:00:00"/>
        <d v="2020-04-23T00:00:00"/>
        <d v="2019-07-11T00:00:00"/>
        <d v="2019-05-17T00:00:00"/>
        <d v="2019-05-10T00:00:00"/>
        <d v="2022-02-24T00:00:00"/>
        <d v="2021-09-18T00:00:00"/>
        <d v="2022-08-02T00:00:00"/>
        <d v="2020-09-18T00:00:00"/>
        <d v="2021-06-22T00:00:00"/>
        <d v="2021-12-26T00:00:00"/>
        <d v="2019-03-01T00:00:00"/>
        <d v="2021-06-05T00:00:00"/>
        <d v="2019-10-16T00:00:00"/>
        <d v="2020-07-03T00:00:00"/>
        <d v="2023-01-30T00:00:00"/>
        <d v="2023-05-20T00:00:00"/>
        <d v="2019-12-03T00:00:00"/>
        <d v="2019-03-22T00:00:00"/>
        <d v="2022-02-10T00:00:00"/>
        <d v="2023-04-28T00:00:00"/>
        <d v="2020-11-02T00:00:00"/>
        <d v="2021-11-07T00:00:00"/>
        <d v="2021-11-08T00:00:00"/>
        <d v="2018-09-14T00:00:00"/>
        <d v="2021-08-28T00:00:00"/>
        <d v="2021-03-31T00:00:00"/>
        <d v="2023-07-30T00:00:00"/>
        <d v="2022-01-29T00:00:00"/>
        <d v="2021-10-30T00:00:00"/>
        <d v="2021-07-02T00:00:00"/>
        <d v="2020-02-12T00:00:00"/>
        <d v="2021-01-19T00:00:00"/>
        <d v="2021-01-07T00:00:00"/>
        <d v="2019-04-30T00:00:00"/>
        <d v="2019-11-21T00:00:00"/>
        <d v="2021-02-17T00:00:00"/>
        <d v="2018-08-14T00:00:00"/>
        <d v="2021-10-29T00:00:00"/>
        <d v="2022-03-20T00:00:00"/>
        <d v="2019-07-08T00:00:00"/>
        <d v="2021-06-10T00:00:00"/>
        <d v="2018-10-04T00:00:00"/>
        <d v="2021-05-29T00:00:00"/>
        <d v="2019-08-11T00:00:00"/>
        <d v="2023-07-07T00:00:00"/>
        <d v="2018-09-30T00:00:00"/>
        <d v="2019-01-15T00:00:00"/>
        <d v="2021-11-05T00:00:00"/>
        <d v="2021-12-17T00:00:00"/>
        <d v="2021-07-16T00:00:00"/>
        <d v="2023-06-23T00:00:00"/>
        <d v="2022-11-29T00:00:00"/>
        <d v="2022-10-29T00:00:00"/>
        <d v="2022-10-12T00:00:00"/>
        <d v="2022-08-21T00:00:00"/>
        <d v="2018-08-16T00:00:00"/>
        <d v="2021-01-09T00:00:00"/>
        <d v="2020-08-23T00:00:00"/>
        <d v="2020-09-04T00:00:00"/>
        <d v="2022-09-17T00:00:00"/>
        <d v="2023-03-10T00:00:00"/>
        <d v="2022-04-10T00:00:00"/>
        <d v="2018-09-17T00:00:00"/>
        <d v="2019-11-12T00:00:00"/>
        <d v="2021-08-15T00:00:00"/>
        <d v="2020-03-26T00:00:00"/>
        <d v="2020-02-07T00:00:00"/>
        <d v="2019-05-04T00:00:00"/>
        <d v="2019-09-15T00:00:00"/>
        <d v="2023-04-13T00:00:00"/>
        <d v="2020-07-29T00:00:00"/>
        <d v="2022-09-10T00:00:00"/>
        <d v="2020-12-17T00:00:00"/>
        <d v="2018-12-28T00:00:00"/>
        <d v="2020-06-13T00:00:00"/>
        <d v="2021-10-03T00:00:00"/>
        <d v="2020-02-04T00:00:00"/>
        <d v="2019-06-15T00:00:00"/>
        <d v="2019-02-07T00:00:00"/>
        <d v="2019-03-25T00:00:00"/>
        <d v="2020-05-29T00:00:00"/>
        <d v="2023-05-11T00:00:00"/>
        <d v="2019-01-28T00:00:00"/>
        <d v="2020-03-23T00:00:00"/>
        <d v="2019-09-19T00:00:00"/>
        <d v="2020-07-05T00:00:00"/>
        <d v="2022-11-17T00:00:00"/>
        <d v="2020-04-17T00:00:00"/>
        <d v="2019-04-27T00:00:00"/>
        <d v="2023-07-13T00:00:00"/>
        <d v="2022-01-06T00:00:00"/>
        <d v="2020-01-20T00:00:00"/>
        <d v="2022-12-22T00:00:00"/>
        <d v="2019-12-26T00:00:00"/>
        <d v="2020-11-06T00:00:00"/>
        <d v="2018-10-15T00:00:00"/>
        <d v="2021-05-27T00:00:00"/>
        <d v="2022-05-14T00:00:00"/>
        <d v="2023-03-06T00:00:00"/>
        <d v="2019-10-29T00:00:00"/>
        <d v="2020-02-21T00:00:00"/>
        <d v="2019-01-01T00:00:00"/>
        <d v="2023-06-04T00:00:00"/>
        <d v="2018-09-03T00:00:00"/>
        <d v="2021-05-04T00:00:00"/>
        <d v="2020-10-07T00:00:00"/>
        <d v="2020-06-10T00:00:00"/>
        <d v="2020-03-14T00:00:00"/>
        <d v="2019-09-01T00:00:00"/>
        <d v="2021-12-05T00:00:00"/>
        <d v="2019-01-11T00:00:00"/>
        <d v="2023-04-24T00:00:00"/>
        <d v="2020-07-23T00:00:00"/>
        <d v="2022-12-30T00:00:00"/>
        <d v="2021-01-18T00:00:00"/>
        <d v="2020-01-26T00:00:00"/>
        <d v="2022-06-01T00:00:00"/>
        <d v="2020-03-30T00:00:00"/>
        <d v="2023-02-03T00:00:00"/>
        <d v="2019-05-30T00:00:00"/>
        <d v="2019-07-23T00:00:00"/>
        <d v="2023-07-21T00:00:00"/>
        <d v="2019-08-16T00:00:00"/>
        <d v="2020-02-17T00:00:00"/>
        <d v="2021-11-02T00:00:00"/>
        <d v="2019-05-28T00:00:00"/>
        <d v="2020-03-25T00:00:00"/>
        <d v="2022-12-21T00:00:00"/>
        <d v="2020-11-11T00:00:00"/>
        <d v="2021-02-12T00:00:00"/>
        <d v="2023-05-25T00:00:00"/>
        <d v="2022-02-20T00:00:00"/>
        <d v="2021-01-27T00:00:00"/>
        <d v="2021-05-01T00:00:00"/>
        <d v="2020-04-20T00:00:00"/>
        <d v="2021-12-25T00:00:00"/>
        <d v="2018-10-14T00:00:00"/>
        <d v="2019-02-22T00:00:00"/>
        <d v="2021-11-01T00:00:00"/>
        <d v="2018-11-17T00:00:00"/>
        <d v="2022-03-16T00:00:00"/>
        <d v="2021-08-03T00:00:00"/>
        <d v="2021-11-18T00:00:00"/>
        <d v="2020-06-12T00:00:00"/>
        <d v="2020-01-05T00:00:00"/>
        <d v="2022-12-27T00:00:00"/>
        <d v="2020-03-24T00:00:00"/>
        <d v="2019-04-20T00:00:00"/>
        <d v="2023-01-03T00:00:00"/>
        <d v="2023-06-07T00:00:00"/>
        <d v="2019-01-22T00:00:00"/>
        <d v="2023-07-02T00:00:00"/>
        <d v="2020-09-07T00:00:00"/>
        <d v="2022-08-24T00:00:00"/>
        <d v="2021-07-24T00:00:00"/>
        <d v="2021-01-05T00:00:00"/>
        <d v="2019-07-09T00:00:00"/>
        <d v="2020-05-21T00:00:00"/>
        <d v="2020-09-06T00:00:00"/>
        <d v="2022-09-03T00:00:00"/>
        <d v="2023-05-23T00:00:00"/>
        <d v="2022-07-06T00:00:00"/>
        <d v="2019-06-08T00:00:00"/>
        <d v="2023-03-27T00:00:00"/>
        <d v="2020-09-08T00:00:00"/>
        <d v="2020-01-21T00:00:00"/>
        <d v="2022-04-11T00:00:00"/>
        <d v="2018-09-01T00:00:00"/>
        <d v="2019-12-05T00:00:00"/>
        <d v="2022-05-02T00:00:00"/>
        <d v="2022-12-31T00:00:00"/>
        <d v="2022-07-05T00:00:00"/>
        <d v="2019-11-15T00:00:00"/>
        <d v="2019-06-14T00:00:00"/>
        <d v="2021-10-31T00:00:00"/>
        <d v="2021-07-28T00:00:00"/>
        <d v="2020-06-11T00:00:00"/>
        <d v="2019-03-21T00:00:00"/>
        <d v="2022-01-26T00:00:00"/>
        <d v="2019-03-17T00:00:00"/>
        <d v="2021-12-31T00:00:00"/>
        <d v="2020-04-30T00:00:00"/>
        <d v="2019-01-09T00:00:00"/>
        <d v="2022-12-06T00:00:00"/>
        <d v="2023-05-27T00:00:00"/>
        <d v="2020-07-15T00:00:00"/>
        <d v="2020-08-16T00:00:00"/>
        <d v="2021-08-22T00:00:00"/>
        <d v="2020-05-28T00:00:00"/>
        <d v="2022-04-09T00:00:00"/>
        <d v="2023-02-24T00:00:00"/>
        <d v="2020-07-08T00:00:00"/>
        <d v="2021-05-19T00:00:00"/>
        <d v="2020-06-27T00:00:00"/>
        <d v="2021-09-28T00:00:00"/>
        <d v="2019-06-26T00:00:00"/>
        <d v="2021-12-19T00:00:00"/>
        <d v="2019-01-31T00:00:00"/>
        <d v="2021-05-28T00:00:00"/>
        <d v="2019-01-16T00:00:00"/>
        <d v="2019-08-02T00:00:00"/>
        <d v="2021-01-20T00:00:00"/>
        <d v="2018-12-21T00:00:00"/>
        <d v="2019-10-22T00:00:00"/>
        <d v="2020-12-18T00:00:00"/>
        <d v="2020-06-03T00:00:00"/>
        <d v="2020-10-09T00:00:00"/>
        <d v="2021-03-13T00:00:00"/>
        <d v="2020-10-15T00:00:00"/>
        <d v="2022-01-20T00:00:00"/>
        <d v="2020-09-27T00:00:00"/>
        <d v="2022-12-12T00:00:00"/>
        <d v="2018-09-29T00:00:00"/>
        <d v="2020-05-22T00:00:00"/>
        <d v="2023-06-25T00:00:00"/>
        <d v="2022-08-05T00:00:00"/>
        <d v="2023-07-16T00:00:00"/>
        <d v="2018-11-19T00:00:00"/>
        <d v="2021-02-10T00:00:00"/>
        <d v="2021-03-18T00:00:00"/>
        <d v="2020-06-24T00:00:00"/>
        <d v="2020-10-08T00:00:00"/>
        <d v="2021-12-21T00:00:00"/>
        <d v="2023-05-10T00:00:00"/>
        <d v="2022-01-25T00:00:00"/>
        <d v="2019-08-20T00:00:00"/>
        <d v="2021-02-21T00:00:00"/>
        <d v="2021-04-22T00:00:00"/>
        <d v="2022-06-04T00:00:00"/>
        <d v="2022-02-23T00:00:00"/>
        <d v="2019-01-12T00:00:00"/>
        <d v="2019-05-27T00:00:00"/>
        <d v="2022-05-04T00:00:00"/>
        <d v="2022-08-15T00:00:00"/>
        <d v="2018-10-23T00:00:00"/>
        <d v="2020-09-26T00:00:00"/>
        <d v="2022-08-04T00:00:00"/>
        <d v="2019-05-08T00:00:00"/>
        <d v="2022-01-21T00:00:00"/>
        <d v="2020-07-02T00:00:00"/>
        <d v="2020-09-25T00:00:00"/>
        <d v="2020-02-26T00:00:00"/>
        <d v="2021-12-20T00:00:00"/>
        <d v="2020-02-15T00:00:00"/>
        <d v="2023-02-04T00:00:00"/>
        <d v="2021-02-22T00:00:00"/>
        <d v="2021-01-23T00:00:00"/>
        <d v="2020-01-06T00:00:00"/>
        <d v="2021-11-22T00:00:00"/>
        <d v="2020-06-17T00:00:00"/>
        <d v="2020-03-04T00:00:00"/>
        <d v="2023-02-27T00:00:00"/>
        <d v="2022-07-22T00:00:00"/>
        <d v="2022-05-15T00:00:00"/>
        <d v="2021-08-21T00:00:00"/>
        <d v="2022-07-07T00:00:00"/>
        <d v="2021-08-05T00:00:00"/>
        <d v="2021-10-08T00:00:00"/>
        <d v="2023-07-03T00:00:00"/>
        <d v="2022-05-22T00:00:00"/>
        <d v="2022-07-24T00:00:00"/>
        <d v="2021-09-08T00:00:00"/>
        <d v="2021-08-13T00:00:00"/>
        <d v="2021-10-18T00:00:00"/>
        <d v="2023-04-15T00:00:00"/>
        <d v="2021-03-21T00:00:00"/>
        <d v="2019-05-26T00:00:00"/>
        <d v="2019-02-14T00:00:00"/>
        <d v="2018-08-25T00:00:00"/>
        <d v="2021-07-05T00:00:00"/>
        <d v="2020-12-01T00:00:00"/>
        <d v="2019-01-19T00:00:00"/>
        <d v="2022-02-03T00:00:00"/>
        <d v="2020-06-30T00:00:00"/>
        <d v="2020-11-13T00:00:00"/>
        <d v="2021-02-02T00:00:00"/>
        <d v="2021-06-16T00:00:00"/>
        <d v="2023-08-03T00:00:00"/>
        <d v="2020-03-22T00:00:00"/>
        <d v="2020-04-19T00:00:00"/>
        <d v="2019-06-06T00:00:00"/>
        <d v="2020-08-12T00:00:00"/>
        <d v="2021-06-27T00:00:00"/>
        <d v="2020-11-20T00:00:00"/>
        <d v="2019-01-05T00:00:00"/>
        <d v="2020-09-19T00:00:00"/>
        <d v="2021-08-01T00:00:00"/>
        <d v="2020-06-19T00:00:00"/>
        <d v="2019-10-27T00:00:00"/>
        <d v="2023-07-05T00:00:00"/>
        <d v="2022-05-29T00:00:00"/>
        <d v="2022-09-26T00:00:00"/>
        <d v="2020-01-18T00:00:00"/>
        <d v="2020-11-27T00:00:00"/>
        <d v="2022-07-27T00:00:00"/>
        <d v="2023-06-12T00:00:00"/>
        <d v="2022-10-08T00:00:00"/>
        <d v="2022-10-16T00:00:00"/>
        <d v="2022-06-21T00:00:00"/>
        <d v="2023-07-25T00:00:00"/>
        <d v="2021-09-16T00:00:00"/>
        <d v="2021-04-26T00:00:00"/>
        <d v="2020-03-05T00:00:00"/>
        <d v="2020-04-02T00:00:00"/>
        <d v="2022-11-27T00:00:00"/>
        <d v="2022-03-07T00:00:00"/>
        <d v="2023-04-20T00:00:00"/>
        <d v="2022-04-18T00:00:00"/>
        <d v="2021-02-03T00:00:00"/>
        <d v="2021-01-31T00:00:00"/>
        <d v="2022-10-05T00:00:00"/>
        <d v="2023-05-28T00:00:00"/>
      </sharedItems>
      <fieldGroup par="20" base="2">
        <rangePr groupBy="months" startDate="2018-08-07T00:00:00" endDate="2023-08-07T00:00:00"/>
        <groupItems count="14">
          <s v="&lt;07/08/2018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7/08/2023"/>
        </groupItems>
      </fieldGroup>
    </cacheField>
    <cacheField name="Age Range" numFmtId="14">
      <sharedItems/>
    </cacheField>
    <cacheField name="Age" numFmtId="0">
      <sharedItems containsSemiMixedTypes="0" containsString="0" containsNumber="1" containsInteger="1" minValue="17" maxValue="82"/>
    </cacheField>
    <cacheField name="DOB" numFmtId="14">
      <sharedItems containsSemiMixedTypes="0" containsNonDate="0" containsDate="1" containsString="0" minDate="1941-08-14T00:00:00" maxDate="2001-07-10T00:00:00"/>
    </cacheField>
    <cacheField name="States" numFmtId="14">
      <sharedItems/>
    </cacheField>
    <cacheField name="State" numFmtId="0">
      <sharedItems/>
    </cacheField>
    <cacheField name="GenderCode" numFmtId="0">
      <sharedItems/>
    </cacheField>
    <cacheField name="Marital_Status" numFmtId="0">
      <sharedItems/>
    </cacheField>
    <cacheField name="Employee_Title" numFmtId="0">
      <sharedItems/>
    </cacheField>
    <cacheField name="Employee_Status" numFmtId="0">
      <sharedItems/>
    </cacheField>
    <cacheField name="Job_Type" numFmtId="0">
      <sharedItems/>
    </cacheField>
    <cacheField name="PayZone" numFmtId="0">
      <sharedItems/>
    </cacheField>
    <cacheField name="DepartmentType" numFmtId="0">
      <sharedItems/>
    </cacheField>
    <cacheField name="Division" numFmtId="0">
      <sharedItems/>
    </cacheField>
    <cacheField name="Race" numFmtId="0">
      <sharedItems/>
    </cacheField>
    <cacheField name="Performance_Score" numFmtId="0">
      <sharedItems/>
    </cacheField>
    <cacheField name="Satisfaction_Score" numFmtId="0">
      <sharedItems containsSemiMixedTypes="0" containsString="0" containsNumber="1" containsInteger="1" minValue="1" maxValue="5"/>
    </cacheField>
    <cacheField name="Quarters" numFmtId="0" databaseField="0">
      <fieldGroup base="2">
        <rangePr groupBy="quarters" startDate="2018-08-07T00:00:00" endDate="2023-08-07T00:00:00"/>
        <groupItems count="6">
          <s v="&lt;07/08/2018"/>
          <s v="Qtr1"/>
          <s v="Qtr2"/>
          <s v="Qtr3"/>
          <s v="Qtr4"/>
          <s v="&gt;07/08/2023"/>
        </groupItems>
      </fieldGroup>
    </cacheField>
    <cacheField name="Years" numFmtId="0" databaseField="0">
      <fieldGroup base="2">
        <rangePr groupBy="years" startDate="2018-08-07T00:00:00" endDate="2023-08-07T00:00:00"/>
        <groupItems count="8">
          <s v="&lt;07/08/2018"/>
          <s v="2018"/>
          <s v="2019"/>
          <s v="2020"/>
          <s v="2021"/>
          <s v="2022"/>
          <s v="2023"/>
          <s v="&gt;07/0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5">
  <r>
    <x v="0"/>
    <x v="0"/>
    <x v="0"/>
    <s v="17-27"/>
    <n v="17"/>
    <d v="2001-05-04T00:00:00"/>
    <s v="Massachusetts"/>
    <s v="MA"/>
    <s v="Female"/>
    <s v="Married"/>
    <s v="Production Technician I"/>
    <s v="Active"/>
    <s v="Part-Time"/>
    <s v="Zone A"/>
    <s v="Production       "/>
    <s v="Splicing"/>
    <s v="Black"/>
    <s v="Fully Meets"/>
    <n v="3"/>
  </r>
  <r>
    <x v="1"/>
    <x v="0"/>
    <x v="1"/>
    <s v="17-27"/>
    <n v="17"/>
    <d v="2001-06-03T00:00:00"/>
    <s v="Massachusetts"/>
    <s v="MA"/>
    <s v="Male"/>
    <s v="Single"/>
    <s v="Production Technician I"/>
    <s v="Active"/>
    <s v="Full-Time"/>
    <s v="Zone C"/>
    <s v="Production       "/>
    <s v="Splicing"/>
    <s v="Black"/>
    <s v="Fully Meets"/>
    <n v="1"/>
  </r>
  <r>
    <x v="2"/>
    <x v="0"/>
    <x v="2"/>
    <s v="17-27"/>
    <n v="18"/>
    <d v="2000-09-04T00:00:00"/>
    <s v="Massachusetts"/>
    <s v="MA"/>
    <s v="Male"/>
    <s v="Divorced"/>
    <s v="Production Technician II"/>
    <s v="Terminated"/>
    <s v="Contract"/>
    <s v="Zone A"/>
    <s v="Production       "/>
    <s v="Wireline Construction"/>
    <s v="Other"/>
    <s v="Fully Meets"/>
    <n v="3"/>
  </r>
  <r>
    <x v="3"/>
    <x v="0"/>
    <x v="3"/>
    <s v="17-27"/>
    <n v="18"/>
    <d v="2000-05-02T00:00:00"/>
    <s v="Massachusetts"/>
    <s v="MA"/>
    <s v="Female"/>
    <s v="Married"/>
    <s v="Production Technician II"/>
    <s v="Terminated"/>
    <s v="Contract"/>
    <s v="Zone B"/>
    <s v="Production       "/>
    <s v="Engineers"/>
    <s v="Asian"/>
    <s v="Fully Meets"/>
    <n v="4"/>
  </r>
  <r>
    <x v="4"/>
    <x v="0"/>
    <x v="4"/>
    <s v="17-27"/>
    <n v="18"/>
    <d v="2000-07-13T00:00:00"/>
    <s v="Massachusetts"/>
    <s v="MA"/>
    <s v="Female"/>
    <s v="Widowed"/>
    <s v="Production Technician II"/>
    <s v="Active"/>
    <s v="Contract"/>
    <s v="Zone A"/>
    <s v="Production       "/>
    <s v="Field Operations"/>
    <s v="Asian"/>
    <s v="Fully Meets"/>
    <n v="3"/>
  </r>
  <r>
    <x v="5"/>
    <x v="1"/>
    <x v="5"/>
    <s v="17-27"/>
    <n v="18"/>
    <d v="2001-03-28T00:00:00"/>
    <s v="Massachusetts"/>
    <s v="MA"/>
    <s v="Male"/>
    <s v="Married"/>
    <s v="Production Technician II"/>
    <s v="Active"/>
    <s v="Full-Time"/>
    <s v="Zone A"/>
    <s v="Production       "/>
    <s v="General - Con"/>
    <s v="White"/>
    <s v="Fully Meets"/>
    <n v="1"/>
  </r>
  <r>
    <x v="6"/>
    <x v="1"/>
    <x v="6"/>
    <s v="17-27"/>
    <n v="18"/>
    <d v="2001-04-14T00:00:00"/>
    <s v="Massachusetts"/>
    <s v="MA"/>
    <s v="Male"/>
    <s v="Divorced"/>
    <s v="Production Technician I"/>
    <s v="Active"/>
    <s v="Part-Time"/>
    <s v="Zone B"/>
    <s v="Production       "/>
    <s v="Underground"/>
    <s v="Hispanic"/>
    <s v="Exceeds"/>
    <n v="3"/>
  </r>
  <r>
    <x v="7"/>
    <x v="0"/>
    <x v="7"/>
    <s v="17-27"/>
    <n v="18"/>
    <d v="2000-02-24T00:00:00"/>
    <s v="Massachusetts"/>
    <s v="MA"/>
    <s v="Female"/>
    <s v="Widowed"/>
    <s v="Production Technician I"/>
    <s v="Active"/>
    <s v="Full-Time"/>
    <s v="Zone A"/>
    <s v="Production       "/>
    <s v="Project Management - Con"/>
    <s v="Other"/>
    <s v="Exceeds"/>
    <n v="3"/>
  </r>
  <r>
    <x v="8"/>
    <x v="1"/>
    <x v="8"/>
    <s v="17-27"/>
    <n v="18"/>
    <d v="2001-05-30T00:00:00"/>
    <s v="Massachusetts"/>
    <s v="MA"/>
    <s v="Female"/>
    <s v="Divorced"/>
    <s v="Production Technician I"/>
    <s v="Active"/>
    <s v="Full-Time"/>
    <s v="Zone B"/>
    <s v="Production       "/>
    <s v="Engineers"/>
    <s v="White"/>
    <s v="Exceeds"/>
    <n v="5"/>
  </r>
  <r>
    <x v="9"/>
    <x v="1"/>
    <x v="9"/>
    <s v="17-27"/>
    <n v="18"/>
    <d v="2001-03-03T00:00:00"/>
    <s v="Massachusetts"/>
    <s v="MA"/>
    <s v="Female"/>
    <s v="Widowed"/>
    <s v="Production Technician I"/>
    <s v="Active"/>
    <s v="Full-Time"/>
    <s v="Zone C"/>
    <s v="Production       "/>
    <s v="Project Management - Con"/>
    <s v="Asian"/>
    <s v="Exceeds"/>
    <n v="1"/>
  </r>
  <r>
    <x v="10"/>
    <x v="0"/>
    <x v="10"/>
    <s v="17-27"/>
    <n v="18"/>
    <d v="2000-12-30T00:00:00"/>
    <s v="Massachusetts"/>
    <s v="MA"/>
    <s v="Female"/>
    <s v="Married"/>
    <s v="Production Technician I"/>
    <s v="Active"/>
    <s v="Part-Time"/>
    <s v="Zone C"/>
    <s v="Production       "/>
    <s v="Wireline Construction"/>
    <s v="Other"/>
    <s v="Needs Improvement"/>
    <n v="1"/>
  </r>
  <r>
    <x v="11"/>
    <x v="1"/>
    <x v="11"/>
    <s v="17-27"/>
    <n v="18"/>
    <d v="2001-01-20T00:00:00"/>
    <s v="Massachusetts"/>
    <s v="MA"/>
    <s v="Male"/>
    <s v="Single"/>
    <s v="Network Engineer"/>
    <s v="Active"/>
    <s v="Part-Time"/>
    <s v="Zone B"/>
    <s v="IT/IS"/>
    <s v="Field Operations"/>
    <s v="Hispanic"/>
    <s v="Fully Meets"/>
    <n v="1"/>
  </r>
  <r>
    <x v="12"/>
    <x v="1"/>
    <x v="12"/>
    <s v="17-27"/>
    <n v="18"/>
    <d v="2001-04-29T00:00:00"/>
    <s v="Virginia"/>
    <s v="VA"/>
    <s v="Female"/>
    <s v="Divorced"/>
    <s v="Area Sales Manager"/>
    <s v="Active"/>
    <s v="Contract"/>
    <s v="Zone B"/>
    <s v="Sales"/>
    <s v="Executive"/>
    <s v="Hispanic"/>
    <s v="Fully Meets"/>
    <n v="2"/>
  </r>
  <r>
    <x v="13"/>
    <x v="0"/>
    <x v="13"/>
    <s v="17-27"/>
    <n v="18"/>
    <d v="2000-02-25T00:00:00"/>
    <s v="Texas"/>
    <s v="TX"/>
    <s v="Female"/>
    <s v="Divorced"/>
    <s v="Area Sales Manager"/>
    <s v="Active"/>
    <s v="Full-Time"/>
    <s v="Zone B"/>
    <s v="Sales"/>
    <s v="Shop (Fleet)"/>
    <s v="White"/>
    <s v="Fully Meets"/>
    <n v="1"/>
  </r>
  <r>
    <x v="14"/>
    <x v="1"/>
    <x v="14"/>
    <s v="17-27"/>
    <n v="18"/>
    <d v="2001-06-17T00:00:00"/>
    <s v="Idaho"/>
    <s v="ID"/>
    <s v="Male"/>
    <s v="Widowed"/>
    <s v="Area Sales Manager"/>
    <s v="Active"/>
    <s v="Contract"/>
    <s v="Zone A"/>
    <s v="Sales"/>
    <s v="Project Management - Con"/>
    <s v="Black"/>
    <s v="Fully Meets"/>
    <n v="2"/>
  </r>
  <r>
    <x v="15"/>
    <x v="0"/>
    <x v="15"/>
    <s v="17-27"/>
    <n v="18"/>
    <d v="2000-10-24T00:00:00"/>
    <s v="Arizona"/>
    <s v="AZ"/>
    <s v="Female"/>
    <s v="Divorced"/>
    <s v="Area Sales Manager"/>
    <s v="Active"/>
    <s v="Full-Time"/>
    <s v="Zone B"/>
    <s v="Sales"/>
    <s v="General - Con"/>
    <s v="Hispanic"/>
    <s v="Fully Meets"/>
    <n v="2"/>
  </r>
  <r>
    <x v="16"/>
    <x v="1"/>
    <x v="16"/>
    <s v="17-27"/>
    <n v="18"/>
    <d v="2001-03-02T00:00:00"/>
    <s v="Washington"/>
    <s v="WA"/>
    <s v="Female"/>
    <s v="Widowed"/>
    <s v="Administrative Assistant"/>
    <s v="Active"/>
    <s v="Full-Time"/>
    <s v="Zone C"/>
    <s v="Sales"/>
    <s v="General - Con"/>
    <s v="Hispanic"/>
    <s v="Fully Meets"/>
    <n v="5"/>
  </r>
  <r>
    <x v="17"/>
    <x v="1"/>
    <x v="17"/>
    <s v="17-27"/>
    <n v="19"/>
    <d v="2000-10-22T00:00:00"/>
    <s v="Massachusetts"/>
    <s v="MA"/>
    <s v="Male"/>
    <s v="Single"/>
    <s v="Software Engineer"/>
    <s v="Terminated"/>
    <s v="Full-Time"/>
    <s v="Zone C"/>
    <s v="Software Engineering"/>
    <s v="General - Con"/>
    <s v="Asian"/>
    <s v="Fully Meets"/>
    <n v="5"/>
  </r>
  <r>
    <x v="18"/>
    <x v="1"/>
    <x v="18"/>
    <s v="17-27"/>
    <n v="19"/>
    <d v="2000-08-16T00:00:00"/>
    <s v="Massachusetts"/>
    <s v="MA"/>
    <s v="Female"/>
    <s v="Widowed"/>
    <s v="Production Technician II"/>
    <s v="Active"/>
    <s v="Full-Time"/>
    <s v="Zone B"/>
    <s v="Production       "/>
    <s v="Executive"/>
    <s v="Black"/>
    <s v="Fully Meets"/>
    <n v="3"/>
  </r>
  <r>
    <x v="19"/>
    <x v="1"/>
    <x v="19"/>
    <s v="17-27"/>
    <n v="19"/>
    <d v="2000-12-27T00:00:00"/>
    <s v="Massachusetts"/>
    <s v="MA"/>
    <s v="Female"/>
    <s v="Single"/>
    <s v="Production Technician I"/>
    <s v="Active"/>
    <s v="Part-Time"/>
    <s v="Zone B"/>
    <s v="Production       "/>
    <s v="People Services"/>
    <s v="Hispanic"/>
    <s v="Fully Meets"/>
    <n v="2"/>
  </r>
  <r>
    <x v="20"/>
    <x v="2"/>
    <x v="20"/>
    <s v="17-27"/>
    <n v="19"/>
    <d v="2001-06-10T00:00:00"/>
    <s v="Massachusetts"/>
    <s v="MA"/>
    <s v="Male"/>
    <s v="Widowed"/>
    <s v="Production Technician I"/>
    <s v="Active"/>
    <s v="Part-Time"/>
    <s v="Zone A"/>
    <s v="Production       "/>
    <s v="Engineers"/>
    <s v="Black"/>
    <s v="Fully Meets"/>
    <n v="5"/>
  </r>
  <r>
    <x v="21"/>
    <x v="1"/>
    <x v="21"/>
    <s v="17-27"/>
    <n v="19"/>
    <d v="2000-03-13T00:00:00"/>
    <s v="Massachusetts"/>
    <s v="MA"/>
    <s v="Female"/>
    <s v="Single"/>
    <s v="Production Technician I"/>
    <s v="Terminated"/>
    <s v="Full-Time"/>
    <s v="Zone A"/>
    <s v="Production       "/>
    <s v="Project Management - Con"/>
    <s v="Asian"/>
    <s v="Fully Meets"/>
    <n v="4"/>
  </r>
  <r>
    <x v="22"/>
    <x v="0"/>
    <x v="22"/>
    <s v="17-27"/>
    <n v="19"/>
    <d v="1999-04-25T00:00:00"/>
    <s v="Massachusetts"/>
    <s v="MA"/>
    <s v="Female"/>
    <s v="Married"/>
    <s v="Production Technician I"/>
    <s v="Active"/>
    <s v="Full-Time"/>
    <s v="Zone A"/>
    <s v="Production       "/>
    <s v="Fielders"/>
    <s v="White"/>
    <s v="PIP"/>
    <n v="2"/>
  </r>
  <r>
    <x v="23"/>
    <x v="2"/>
    <x v="23"/>
    <s v="17-27"/>
    <n v="19"/>
    <d v="2001-03-14T00:00:00"/>
    <s v="Massachusetts"/>
    <s v="MA"/>
    <s v="Female"/>
    <s v="Married"/>
    <s v="Production Technician I"/>
    <s v="Active"/>
    <s v="Full-Time"/>
    <s v="Zone C"/>
    <s v="Production       "/>
    <s v="Aerial"/>
    <s v="Asian"/>
    <s v="Fully Meets"/>
    <n v="2"/>
  </r>
  <r>
    <x v="24"/>
    <x v="1"/>
    <x v="24"/>
    <s v="17-27"/>
    <n v="19"/>
    <d v="2000-01-02T00:00:00"/>
    <s v="Massachusetts"/>
    <s v="MA"/>
    <s v="Male"/>
    <s v="Single"/>
    <s v="Production Technician I"/>
    <s v="Active"/>
    <s v="Contract"/>
    <s v="Zone A"/>
    <s v="Production       "/>
    <s v="Field Operations"/>
    <s v="Black"/>
    <s v="Fully Meets"/>
    <n v="4"/>
  </r>
  <r>
    <x v="25"/>
    <x v="1"/>
    <x v="25"/>
    <s v="17-27"/>
    <n v="19"/>
    <d v="2000-07-24T00:00:00"/>
    <s v="Massachusetts"/>
    <s v="MA"/>
    <s v="Female"/>
    <s v="Married"/>
    <s v="Production Technician I"/>
    <s v="Active"/>
    <s v="Part-Time"/>
    <s v="Zone C"/>
    <s v="Production       "/>
    <s v="General - Eng"/>
    <s v="Other"/>
    <s v="Fully Meets"/>
    <n v="3"/>
  </r>
  <r>
    <x v="26"/>
    <x v="1"/>
    <x v="26"/>
    <s v="17-27"/>
    <n v="19"/>
    <d v="2000-10-14T00:00:00"/>
    <s v="Massachusetts"/>
    <s v="MA"/>
    <s v="Male"/>
    <s v="Single"/>
    <s v="Production Technician I"/>
    <s v="Active"/>
    <s v="Full-Time"/>
    <s v="Zone B"/>
    <s v="Production       "/>
    <s v="Field Operations"/>
    <s v="Asian"/>
    <s v="Fully Meets"/>
    <n v="5"/>
  </r>
  <r>
    <x v="27"/>
    <x v="1"/>
    <x v="27"/>
    <s v="17-27"/>
    <n v="19"/>
    <d v="2000-06-09T00:00:00"/>
    <s v="Massachusetts"/>
    <s v="MA"/>
    <s v="Female"/>
    <s v="Divorced"/>
    <s v="Production Technician I"/>
    <s v="Terminated"/>
    <s v="Part-Time"/>
    <s v="Zone B"/>
    <s v="Production       "/>
    <s v="Project Management - Con"/>
    <s v="Asian"/>
    <s v="Exceeds"/>
    <n v="4"/>
  </r>
  <r>
    <x v="28"/>
    <x v="1"/>
    <x v="28"/>
    <s v="17-27"/>
    <n v="19"/>
    <d v="2000-03-23T00:00:00"/>
    <s v="Massachusetts"/>
    <s v="MA"/>
    <s v="Male"/>
    <s v="Widowed"/>
    <s v="Network Engineer"/>
    <s v="Active"/>
    <s v="Contract"/>
    <s v="Zone A"/>
    <s v="IT/IS"/>
    <s v="Finance &amp; Accounting"/>
    <s v="Hispanic"/>
    <s v="Fully Meets"/>
    <n v="1"/>
  </r>
  <r>
    <x v="29"/>
    <x v="2"/>
    <x v="29"/>
    <s v="17-27"/>
    <n v="19"/>
    <d v="2001-01-04T00:00:00"/>
    <s v="Massachusetts"/>
    <s v="MA"/>
    <s v="Male"/>
    <s v="Divorced"/>
    <s v="BI Developer"/>
    <s v="Active"/>
    <s v="Full-Time"/>
    <s v="Zone B"/>
    <s v="IT/IS"/>
    <s v="Field Operations"/>
    <s v="Other"/>
    <s v="Fully Meets"/>
    <n v="4"/>
  </r>
  <r>
    <x v="30"/>
    <x v="2"/>
    <x v="30"/>
    <s v="17-27"/>
    <n v="19"/>
    <d v="2001-04-10T00:00:00"/>
    <s v="North Carolina"/>
    <s v="NC"/>
    <s v="Female"/>
    <s v="Single"/>
    <s v="Area Sales Manager"/>
    <s v="Active"/>
    <s v="Contract"/>
    <s v="Zone B"/>
    <s v="Sales"/>
    <s v="Field Operations"/>
    <s v="Asian"/>
    <s v="Fully Meets"/>
    <n v="1"/>
  </r>
  <r>
    <x v="31"/>
    <x v="1"/>
    <x v="31"/>
    <s v="17-27"/>
    <n v="19"/>
    <d v="2000-07-31T00:00:00"/>
    <s v="Massachusetts"/>
    <s v="MA"/>
    <s v="Male"/>
    <s v="Widowed"/>
    <s v="Area Sales Manager"/>
    <s v="Active"/>
    <s v="Full-Time"/>
    <s v="Zone A"/>
    <s v="Sales"/>
    <s v="Field Operations"/>
    <s v="Other"/>
    <s v="Fully Meets"/>
    <n v="4"/>
  </r>
  <r>
    <x v="32"/>
    <x v="1"/>
    <x v="32"/>
    <s v="17-27"/>
    <n v="20"/>
    <d v="1999-06-06T00:00:00"/>
    <s v="Massachusetts"/>
    <s v="MA"/>
    <s v="Male"/>
    <s v="Divorced"/>
    <s v="Software Engineer"/>
    <s v="Active"/>
    <s v="Part-Time"/>
    <s v="Zone C"/>
    <s v="Software Engineering"/>
    <s v="Wireline Construction"/>
    <s v="White"/>
    <s v="Fully Meets"/>
    <n v="3"/>
  </r>
  <r>
    <x v="33"/>
    <x v="2"/>
    <x v="33"/>
    <s v="17-27"/>
    <n v="20"/>
    <d v="2000-03-18T00:00:00"/>
    <s v="Massachusetts"/>
    <s v="MA"/>
    <s v="Male"/>
    <s v="Widowed"/>
    <s v="Software Engineer"/>
    <s v="Terminated"/>
    <s v="Part-Time"/>
    <s v="Zone A"/>
    <s v="Software Engineering"/>
    <s v="General - Con"/>
    <s v="Black"/>
    <s v="Fully Meets"/>
    <n v="1"/>
  </r>
  <r>
    <x v="34"/>
    <x v="0"/>
    <x v="34"/>
    <s v="17-27"/>
    <n v="20"/>
    <d v="1998-11-04T00:00:00"/>
    <s v="Massachusetts"/>
    <s v="MA"/>
    <s v="Male"/>
    <s v="Married"/>
    <s v="Shared Services Manager"/>
    <s v="Active"/>
    <s v="Full-Time"/>
    <s v="Zone C"/>
    <s v="Software Engineering"/>
    <s v="General - Sga"/>
    <s v="Black"/>
    <s v="Fully Meets"/>
    <n v="1"/>
  </r>
  <r>
    <x v="35"/>
    <x v="0"/>
    <x v="35"/>
    <s v="17-27"/>
    <n v="20"/>
    <d v="1998-11-07T00:00:00"/>
    <s v="Massachusetts"/>
    <s v="MA"/>
    <s v="Male"/>
    <s v="Single"/>
    <s v="Sales Manager"/>
    <s v="Active"/>
    <s v="Contract"/>
    <s v="Zone B"/>
    <s v="Admin Offices"/>
    <s v="Aerial"/>
    <s v="White"/>
    <s v="Fully Meets"/>
    <n v="5"/>
  </r>
  <r>
    <x v="36"/>
    <x v="1"/>
    <x v="36"/>
    <s v="17-27"/>
    <n v="20"/>
    <d v="1999-02-14T00:00:00"/>
    <s v="Massachusetts"/>
    <s v="MA"/>
    <s v="Female"/>
    <s v="Married"/>
    <s v="Production Technician II"/>
    <s v="Active"/>
    <s v="Full-Time"/>
    <s v="Zone A"/>
    <s v="Production       "/>
    <s v="General - Con"/>
    <s v="White"/>
    <s v="Fully Meets"/>
    <n v="2"/>
  </r>
  <r>
    <x v="37"/>
    <x v="2"/>
    <x v="37"/>
    <s v="17-27"/>
    <n v="20"/>
    <d v="2000-11-06T00:00:00"/>
    <s v="Massachusetts"/>
    <s v="MA"/>
    <s v="Female"/>
    <s v="Widowed"/>
    <s v="Production Technician II"/>
    <s v="Active"/>
    <s v="Part-Time"/>
    <s v="Zone C"/>
    <s v="Production       "/>
    <s v="Project Management - Eng"/>
    <s v="White"/>
    <s v="Exceeds"/>
    <n v="2"/>
  </r>
  <r>
    <x v="38"/>
    <x v="2"/>
    <x v="38"/>
    <s v="17-27"/>
    <n v="20"/>
    <d v="2000-06-14T00:00:00"/>
    <s v="Massachusetts"/>
    <s v="MA"/>
    <s v="Female"/>
    <s v="Married"/>
    <s v="Production Technician II"/>
    <s v="Active"/>
    <s v="Full-Time"/>
    <s v="Zone A"/>
    <s v="Production       "/>
    <s v="Field Operations"/>
    <s v="Other"/>
    <s v="Fully Meets"/>
    <n v="2"/>
  </r>
  <r>
    <x v="39"/>
    <x v="2"/>
    <x v="39"/>
    <s v="17-27"/>
    <n v="20"/>
    <d v="2000-04-17T00:00:00"/>
    <s v="Massachusetts"/>
    <s v="MA"/>
    <s v="Female"/>
    <s v="Single"/>
    <s v="Production Technician I"/>
    <s v="Active"/>
    <s v="Part-Time"/>
    <s v="Zone B"/>
    <s v="Production       "/>
    <s v="Finance &amp; Accounting"/>
    <s v="White"/>
    <s v="Fully Meets"/>
    <n v="3"/>
  </r>
  <r>
    <x v="40"/>
    <x v="2"/>
    <x v="40"/>
    <s v="17-27"/>
    <n v="20"/>
    <d v="2000-03-30T00:00:00"/>
    <s v="Massachusetts"/>
    <s v="MA"/>
    <s v="Male"/>
    <s v="Divorced"/>
    <s v="Production Technician I"/>
    <s v="Active"/>
    <s v="Part-Time"/>
    <s v="Zone A"/>
    <s v="Production       "/>
    <s v="Field Operations"/>
    <s v="Hispanic"/>
    <s v="Fully Meets"/>
    <n v="1"/>
  </r>
  <r>
    <x v="41"/>
    <x v="2"/>
    <x v="41"/>
    <s v="17-27"/>
    <n v="20"/>
    <d v="2000-04-22T00:00:00"/>
    <s v="Massachusetts"/>
    <s v="MA"/>
    <s v="Female"/>
    <s v="Single"/>
    <s v="Production Technician I"/>
    <s v="Active"/>
    <s v="Contract"/>
    <s v="Zone C"/>
    <s v="Production       "/>
    <s v="General - Con"/>
    <s v="White"/>
    <s v="Fully Meets"/>
    <n v="5"/>
  </r>
  <r>
    <x v="42"/>
    <x v="1"/>
    <x v="42"/>
    <s v="17-27"/>
    <n v="20"/>
    <d v="1999-05-28T00:00:00"/>
    <s v="Massachusetts"/>
    <s v="MA"/>
    <s v="Female"/>
    <s v="Single"/>
    <s v="Production Technician I"/>
    <s v="Active"/>
    <s v="Full-Time"/>
    <s v="Zone C"/>
    <s v="Production       "/>
    <s v="General - Con"/>
    <s v="White"/>
    <s v="Fully Meets"/>
    <n v="2"/>
  </r>
  <r>
    <x v="43"/>
    <x v="1"/>
    <x v="43"/>
    <s v="17-27"/>
    <n v="20"/>
    <d v="1999-12-15T00:00:00"/>
    <s v="Massachusetts"/>
    <s v="MA"/>
    <s v="Male"/>
    <s v="Widowed"/>
    <s v="Production Technician I"/>
    <s v="Active"/>
    <s v="Part-Time"/>
    <s v="Zone C"/>
    <s v="Production       "/>
    <s v="Engineers"/>
    <s v="Hispanic"/>
    <s v="Fully Meets"/>
    <n v="4"/>
  </r>
  <r>
    <x v="44"/>
    <x v="1"/>
    <x v="44"/>
    <s v="17-27"/>
    <n v="20"/>
    <d v="1999-07-12T00:00:00"/>
    <s v="Massachusetts"/>
    <s v="MA"/>
    <s v="Female"/>
    <s v="Married"/>
    <s v="Production Technician I"/>
    <s v="Active"/>
    <s v="Contract"/>
    <s v="Zone C"/>
    <s v="Production       "/>
    <s v="Engineers"/>
    <s v="Asian"/>
    <s v="Fully Meets"/>
    <n v="4"/>
  </r>
  <r>
    <x v="45"/>
    <x v="3"/>
    <x v="45"/>
    <s v="17-27"/>
    <n v="20"/>
    <d v="2001-04-05T00:00:00"/>
    <s v="Massachusetts"/>
    <s v="MA"/>
    <s v="Female"/>
    <s v="Divorced"/>
    <s v="Production Technician I"/>
    <s v="Active"/>
    <s v="Contract"/>
    <s v="Zone B"/>
    <s v="Production       "/>
    <s v="Engineers"/>
    <s v="Other"/>
    <s v="Fully Meets"/>
    <n v="3"/>
  </r>
  <r>
    <x v="46"/>
    <x v="1"/>
    <x v="46"/>
    <s v="17-27"/>
    <n v="20"/>
    <d v="1999-05-13T00:00:00"/>
    <s v="Massachusetts"/>
    <s v="MA"/>
    <s v="Female"/>
    <s v="Divorced"/>
    <s v="Production Technician I"/>
    <s v="Active"/>
    <s v="Part-Time"/>
    <s v="Zone A"/>
    <s v="Production       "/>
    <s v="Engineers"/>
    <s v="Hispanic"/>
    <s v="Fully Meets"/>
    <n v="5"/>
  </r>
  <r>
    <x v="47"/>
    <x v="3"/>
    <x v="47"/>
    <s v="17-27"/>
    <n v="20"/>
    <d v="2001-02-04T00:00:00"/>
    <s v="Massachusetts"/>
    <s v="MA"/>
    <s v="Male"/>
    <s v="Divorced"/>
    <s v="Production Manager"/>
    <s v="Active"/>
    <s v="Part-Time"/>
    <s v="Zone C"/>
    <s v="Production       "/>
    <s v="Field Operations"/>
    <s v="Hispanic"/>
    <s v="Fully Meets"/>
    <n v="1"/>
  </r>
  <r>
    <x v="48"/>
    <x v="1"/>
    <x v="48"/>
    <s v="17-27"/>
    <n v="20"/>
    <d v="1999-05-01T00:00:00"/>
    <s v="Massachusetts"/>
    <s v="MA"/>
    <s v="Male"/>
    <s v="Widowed"/>
    <s v="Production Manager"/>
    <s v="Active"/>
    <s v="Part-Time"/>
    <s v="Zone C"/>
    <s v="Production       "/>
    <s v="Field Operations"/>
    <s v="Black"/>
    <s v="Fully Meets"/>
    <n v="4"/>
  </r>
  <r>
    <x v="49"/>
    <x v="2"/>
    <x v="49"/>
    <s v="17-27"/>
    <n v="20"/>
    <d v="2000-08-16T00:00:00"/>
    <s v="Massachusetts"/>
    <s v="MA"/>
    <s v="Female"/>
    <s v="Married"/>
    <s v="Production Manager"/>
    <s v="Active"/>
    <s v="Part-Time"/>
    <s v="Zone A"/>
    <s v="Production       "/>
    <s v="Wireline Construction"/>
    <s v="White"/>
    <s v="Fully Meets"/>
    <n v="2"/>
  </r>
  <r>
    <x v="50"/>
    <x v="3"/>
    <x v="50"/>
    <s v="17-27"/>
    <n v="20"/>
    <d v="2001-02-27T00:00:00"/>
    <s v="Massachusetts"/>
    <s v="MA"/>
    <s v="Female"/>
    <s v="Single"/>
    <s v="Production Manager"/>
    <s v="Terminated"/>
    <s v="Contract"/>
    <s v="Zone A"/>
    <s v="Production       "/>
    <s v="General - Con"/>
    <s v="White"/>
    <s v="Fully Meets"/>
    <n v="5"/>
  </r>
  <r>
    <x v="51"/>
    <x v="2"/>
    <x v="51"/>
    <s v="17-27"/>
    <n v="20"/>
    <d v="2000-08-30T00:00:00"/>
    <s v="Massachusetts"/>
    <s v="MA"/>
    <s v="Male"/>
    <s v="Widowed"/>
    <s v="IT Support"/>
    <s v="Active"/>
    <s v="Part-Time"/>
    <s v="Zone C"/>
    <s v="IT/IS"/>
    <s v="Wireline Construction"/>
    <s v="Black"/>
    <s v="Needs Improvement"/>
    <n v="2"/>
  </r>
  <r>
    <x v="52"/>
    <x v="2"/>
    <x v="52"/>
    <s v="17-27"/>
    <n v="20"/>
    <d v="2000-01-23T00:00:00"/>
    <s v="Massachusetts"/>
    <s v="MA"/>
    <s v="Male"/>
    <s v="Widowed"/>
    <s v="IT Manager - Support"/>
    <s v="Active"/>
    <s v="Full-Time"/>
    <s v="Zone A"/>
    <s v="IT/IS"/>
    <s v="Aerial"/>
    <s v="Other"/>
    <s v="Fully Meets"/>
    <n v="5"/>
  </r>
  <r>
    <x v="53"/>
    <x v="1"/>
    <x v="53"/>
    <s v="17-27"/>
    <n v="20"/>
    <d v="1999-09-08T00:00:00"/>
    <s v="Massachusetts"/>
    <s v="MA"/>
    <s v="Female"/>
    <s v="Divorced"/>
    <s v="BI Developer"/>
    <s v="Terminated"/>
    <s v="Full-Time"/>
    <s v="Zone A"/>
    <s v="IT/IS"/>
    <s v="Field Operations"/>
    <s v="Asian"/>
    <s v="Fully Meets"/>
    <n v="3"/>
  </r>
  <r>
    <x v="54"/>
    <x v="3"/>
    <x v="54"/>
    <s v="17-27"/>
    <n v="20"/>
    <d v="2001-05-21T00:00:00"/>
    <s v="Tennessee"/>
    <s v="TN"/>
    <s v="Male"/>
    <s v="Divorced"/>
    <s v="Area Sales Manager"/>
    <s v="Active"/>
    <s v="Contract"/>
    <s v="Zone A"/>
    <s v="Sales"/>
    <s v="General - Con"/>
    <s v="Asian"/>
    <s v="Fully Meets"/>
    <n v="1"/>
  </r>
  <r>
    <x v="55"/>
    <x v="0"/>
    <x v="55"/>
    <s v="17-27"/>
    <n v="20"/>
    <d v="1998-06-17T00:00:00"/>
    <s v="Massachusetts"/>
    <s v="MA"/>
    <s v="Male"/>
    <s v="Widowed"/>
    <s v="Area Sales Manager"/>
    <s v="Active"/>
    <s v="Contract"/>
    <s v="Zone B"/>
    <s v="Sales"/>
    <s v="Shop (Fleet)"/>
    <s v="Black"/>
    <s v="Needs Improvement"/>
    <n v="5"/>
  </r>
  <r>
    <x v="56"/>
    <x v="1"/>
    <x v="56"/>
    <s v="17-27"/>
    <n v="20"/>
    <d v="1999-06-08T00:00:00"/>
    <s v="Massachusetts"/>
    <s v="MA"/>
    <s v="Male"/>
    <s v="Divorced"/>
    <s v="Area Sales Manager"/>
    <s v="Active"/>
    <s v="Part-Time"/>
    <s v="Zone A"/>
    <s v="Sales"/>
    <s v="Splicing"/>
    <s v="Other"/>
    <s v="Fully Meets"/>
    <n v="1"/>
  </r>
  <r>
    <x v="57"/>
    <x v="3"/>
    <x v="57"/>
    <s v="17-27"/>
    <n v="21"/>
    <d v="2000-09-27T00:00:00"/>
    <s v="Massachusetts"/>
    <s v="MA"/>
    <s v="Male"/>
    <s v="Divorced"/>
    <s v="Sr. Network Engineer"/>
    <s v="Active"/>
    <s v="Contract"/>
    <s v="Zone B"/>
    <s v="IT/IS"/>
    <s v="General - Con"/>
    <s v="Hispanic"/>
    <s v="PIP"/>
    <n v="3"/>
  </r>
  <r>
    <x v="58"/>
    <x v="1"/>
    <x v="58"/>
    <s v="17-27"/>
    <n v="21"/>
    <d v="1998-03-19T00:00:00"/>
    <s v="Massachusetts"/>
    <s v="MA"/>
    <s v="Male"/>
    <s v="Married"/>
    <s v="Sr. Network Engineer"/>
    <s v="Active"/>
    <s v="Full-Time"/>
    <s v="Zone A"/>
    <s v="Admin Offices"/>
    <s v="Catv"/>
    <s v="Asian"/>
    <s v="Fully Meets"/>
    <n v="5"/>
  </r>
  <r>
    <x v="59"/>
    <x v="1"/>
    <x v="59"/>
    <s v="17-27"/>
    <n v="21"/>
    <d v="1998-05-19T00:00:00"/>
    <s v="Massachusetts"/>
    <s v="MA"/>
    <s v="Female"/>
    <s v="Widowed"/>
    <s v="Sr. Accountant"/>
    <s v="Active"/>
    <s v="Part-Time"/>
    <s v="Zone B"/>
    <s v="IT/IS"/>
    <s v="Field Operations"/>
    <s v="Black"/>
    <s v="Fully Meets"/>
    <n v="1"/>
  </r>
  <r>
    <x v="60"/>
    <x v="1"/>
    <x v="60"/>
    <s v="17-27"/>
    <n v="21"/>
    <d v="1998-09-24T00:00:00"/>
    <s v="Massachusetts"/>
    <s v="MA"/>
    <s v="Male"/>
    <s v="Single"/>
    <s v="Software Engineer"/>
    <s v="Active"/>
    <s v="Full-Time"/>
    <s v="Zone A"/>
    <s v="Software Engineering"/>
    <s v="Field Operations"/>
    <s v="White"/>
    <s v="Fully Meets"/>
    <n v="4"/>
  </r>
  <r>
    <x v="61"/>
    <x v="3"/>
    <x v="61"/>
    <s v="17-27"/>
    <n v="21"/>
    <d v="2000-04-11T00:00:00"/>
    <s v="Massachusetts"/>
    <s v="MA"/>
    <s v="Female"/>
    <s v="Divorced"/>
    <s v="Shared Services Manager"/>
    <s v="Active"/>
    <s v="Part-Time"/>
    <s v="Zone B"/>
    <s v="Software Engineering"/>
    <s v="Project Management - Eng"/>
    <s v="Hispanic"/>
    <s v="Fully Meets"/>
    <n v="2"/>
  </r>
  <r>
    <x v="62"/>
    <x v="1"/>
    <x v="62"/>
    <s v="17-27"/>
    <n v="21"/>
    <d v="1998-11-25T00:00:00"/>
    <s v="Massachusetts"/>
    <s v="MA"/>
    <s v="Male"/>
    <s v="Divorced"/>
    <s v="Senior BI Developer"/>
    <s v="Active"/>
    <s v="Full-Time"/>
    <s v="Zone B"/>
    <s v="IT/IS"/>
    <s v="Finance &amp; Accounting"/>
    <s v="White"/>
    <s v="Fully Meets"/>
    <n v="4"/>
  </r>
  <r>
    <x v="63"/>
    <x v="4"/>
    <x v="63"/>
    <s v="17-27"/>
    <n v="21"/>
    <d v="2001-05-24T00:00:00"/>
    <s v="Massachusetts"/>
    <s v="MA"/>
    <s v="Female"/>
    <s v="Single"/>
    <s v="Production Technician II"/>
    <s v="Terminated"/>
    <s v="Full-Time"/>
    <s v="Zone C"/>
    <s v="Production       "/>
    <s v="People Services"/>
    <s v="Other"/>
    <s v="Fully Meets"/>
    <n v="2"/>
  </r>
  <r>
    <x v="64"/>
    <x v="3"/>
    <x v="64"/>
    <s v="17-27"/>
    <n v="21"/>
    <d v="2000-02-17T00:00:00"/>
    <s v="Massachusetts"/>
    <s v="MA"/>
    <s v="Male"/>
    <s v="Widowed"/>
    <s v="Production Technician II"/>
    <s v="Active"/>
    <s v="Full-Time"/>
    <s v="Zone C"/>
    <s v="Production       "/>
    <s v="Aerial"/>
    <s v="Other"/>
    <s v="Fully Meets"/>
    <n v="4"/>
  </r>
  <r>
    <x v="65"/>
    <x v="3"/>
    <x v="65"/>
    <s v="17-27"/>
    <n v="21"/>
    <d v="2000-10-10T00:00:00"/>
    <s v="Massachusetts"/>
    <s v="MA"/>
    <s v="Female"/>
    <s v="Married"/>
    <s v="Production Technician II"/>
    <s v="Active"/>
    <s v="Full-Time"/>
    <s v="Zone A"/>
    <s v="Production       "/>
    <s v="General - Con"/>
    <s v="Asian"/>
    <s v="Exceeds"/>
    <n v="1"/>
  </r>
  <r>
    <x v="66"/>
    <x v="3"/>
    <x v="66"/>
    <s v="17-27"/>
    <n v="21"/>
    <d v="2000-11-11T00:00:00"/>
    <s v="Massachusetts"/>
    <s v="MA"/>
    <s v="Female"/>
    <s v="Widowed"/>
    <s v="Production Technician II"/>
    <s v="Active"/>
    <s v="Contract"/>
    <s v="Zone B"/>
    <s v="Production       "/>
    <s v="General - Con"/>
    <s v="Black"/>
    <s v="Fully Meets"/>
    <n v="2"/>
  </r>
  <r>
    <x v="67"/>
    <x v="0"/>
    <x v="10"/>
    <s v="17-27"/>
    <n v="21"/>
    <d v="1997-04-18T00:00:00"/>
    <s v="Massachusetts"/>
    <s v="MA"/>
    <s v="Female"/>
    <s v="Married"/>
    <s v="Production Technician II"/>
    <s v="Active"/>
    <s v="Full-Time"/>
    <s v="Zone B"/>
    <s v="Production       "/>
    <s v="General - Con"/>
    <s v="Other"/>
    <s v="Fully Meets"/>
    <n v="3"/>
  </r>
  <r>
    <x v="68"/>
    <x v="1"/>
    <x v="67"/>
    <s v="17-27"/>
    <n v="21"/>
    <d v="1998-06-08T00:00:00"/>
    <s v="Massachusetts"/>
    <s v="MA"/>
    <s v="Male"/>
    <s v="Married"/>
    <s v="Production Technician I"/>
    <s v="Active"/>
    <s v="Part-Time"/>
    <s v="Zone C"/>
    <s v="Production       "/>
    <s v="Engineers"/>
    <s v="White"/>
    <s v="Fully Meets"/>
    <n v="2"/>
  </r>
  <r>
    <x v="69"/>
    <x v="1"/>
    <x v="68"/>
    <s v="17-27"/>
    <n v="21"/>
    <d v="1998-04-06T00:00:00"/>
    <s v="Massachusetts"/>
    <s v="MA"/>
    <s v="Male"/>
    <s v="Single"/>
    <s v="Production Technician I"/>
    <s v="Active"/>
    <s v="Part-Time"/>
    <s v="Zone B"/>
    <s v="Production       "/>
    <s v="Engineers"/>
    <s v="Black"/>
    <s v="Fully Meets"/>
    <n v="3"/>
  </r>
  <r>
    <x v="70"/>
    <x v="0"/>
    <x v="69"/>
    <s v="17-27"/>
    <n v="21"/>
    <d v="1997-09-09T00:00:00"/>
    <s v="Massachusetts"/>
    <s v="MA"/>
    <s v="Male"/>
    <s v="Married"/>
    <s v="Production Technician I"/>
    <s v="Active"/>
    <s v="Contract"/>
    <s v="Zone A"/>
    <s v="Production       "/>
    <s v="Wireless"/>
    <s v="White"/>
    <s v="Fully Meets"/>
    <n v="3"/>
  </r>
  <r>
    <x v="71"/>
    <x v="2"/>
    <x v="70"/>
    <s v="17-27"/>
    <n v="21"/>
    <d v="1999-09-20T00:00:00"/>
    <s v="Massachusetts"/>
    <s v="MA"/>
    <s v="Female"/>
    <s v="Divorced"/>
    <s v="Production Technician I"/>
    <s v="Terminated"/>
    <s v="Full-Time"/>
    <s v="Zone B"/>
    <s v="Production       "/>
    <s v="Engineers"/>
    <s v="Black"/>
    <s v="Exceeds"/>
    <n v="4"/>
  </r>
  <r>
    <x v="72"/>
    <x v="3"/>
    <x v="71"/>
    <s v="17-27"/>
    <n v="21"/>
    <d v="2000-04-08T00:00:00"/>
    <s v="Massachusetts"/>
    <s v="MA"/>
    <s v="Male"/>
    <s v="Married"/>
    <s v="Production Technician I"/>
    <s v="Active"/>
    <s v="Full-Time"/>
    <s v="Zone C"/>
    <s v="Production       "/>
    <s v="Field Operations"/>
    <s v="Asian"/>
    <s v="Fully Meets"/>
    <n v="5"/>
  </r>
  <r>
    <x v="73"/>
    <x v="2"/>
    <x v="72"/>
    <s v="17-27"/>
    <n v="21"/>
    <d v="1999-03-28T00:00:00"/>
    <s v="Massachusetts"/>
    <s v="MA"/>
    <s v="Female"/>
    <s v="Single"/>
    <s v="Production Technician I"/>
    <s v="Terminated"/>
    <s v="Contract"/>
    <s v="Zone A"/>
    <s v="Production       "/>
    <s v="Engineers"/>
    <s v="Other"/>
    <s v="Fully Meets"/>
    <n v="5"/>
  </r>
  <r>
    <x v="74"/>
    <x v="2"/>
    <x v="73"/>
    <s v="17-27"/>
    <n v="21"/>
    <d v="1999-11-10T00:00:00"/>
    <s v="Massachusetts"/>
    <s v="MA"/>
    <s v="Female"/>
    <s v="Divorced"/>
    <s v="Production Technician I"/>
    <s v="Terminated"/>
    <s v="Contract"/>
    <s v="Zone C"/>
    <s v="Production       "/>
    <s v="Field Operations"/>
    <s v="Other"/>
    <s v="PIP"/>
    <n v="4"/>
  </r>
  <r>
    <x v="75"/>
    <x v="2"/>
    <x v="74"/>
    <s v="17-27"/>
    <n v="21"/>
    <d v="1999-03-17T00:00:00"/>
    <s v="Massachusetts"/>
    <s v="MA"/>
    <s v="Female"/>
    <s v="Single"/>
    <s v="Production Technician I"/>
    <s v="Active"/>
    <s v="Contract"/>
    <s v="Zone A"/>
    <s v="Production       "/>
    <s v="General - Con"/>
    <s v="White"/>
    <s v="Exceeds"/>
    <n v="5"/>
  </r>
  <r>
    <x v="76"/>
    <x v="4"/>
    <x v="75"/>
    <s v="17-27"/>
    <n v="21"/>
    <d v="2001-06-16T00:00:00"/>
    <s v="Massachusetts"/>
    <s v="MA"/>
    <s v="Female"/>
    <s v="Widowed"/>
    <s v="Production Technician I"/>
    <s v="Active"/>
    <s v="Full-Time"/>
    <s v="Zone A"/>
    <s v="Production       "/>
    <s v="Field Operations"/>
    <s v="Other"/>
    <s v="Fully Meets"/>
    <n v="5"/>
  </r>
  <r>
    <x v="77"/>
    <x v="3"/>
    <x v="76"/>
    <s v="17-27"/>
    <n v="21"/>
    <d v="2000-08-21T00:00:00"/>
    <s v="Massachusetts"/>
    <s v="MA"/>
    <s v="Female"/>
    <s v="Single"/>
    <s v="Production Technician I"/>
    <s v="Active"/>
    <s v="Contract"/>
    <s v="Zone A"/>
    <s v="Production       "/>
    <s v="General - Con"/>
    <s v="Black"/>
    <s v="Fully Meets"/>
    <n v="1"/>
  </r>
  <r>
    <x v="78"/>
    <x v="1"/>
    <x v="77"/>
    <s v="17-27"/>
    <n v="21"/>
    <d v="1998-09-22T00:00:00"/>
    <s v="Massachusetts"/>
    <s v="MA"/>
    <s v="Male"/>
    <s v="Single"/>
    <s v="Production Technician I"/>
    <s v="Active"/>
    <s v="Full-Time"/>
    <s v="Zone B"/>
    <s v="Production       "/>
    <s v="Field Operations"/>
    <s v="Hispanic"/>
    <s v="Fully Meets"/>
    <n v="5"/>
  </r>
  <r>
    <x v="79"/>
    <x v="4"/>
    <x v="78"/>
    <s v="17-27"/>
    <n v="21"/>
    <d v="2001-07-09T00:00:00"/>
    <s v="Massachusetts"/>
    <s v="MA"/>
    <s v="Female"/>
    <s v="Widowed"/>
    <s v="Production Technician I"/>
    <s v="Active"/>
    <s v="Part-Time"/>
    <s v="Zone B"/>
    <s v="Production       "/>
    <s v="Aerial"/>
    <s v="Hispanic"/>
    <s v="Exceeds"/>
    <n v="2"/>
  </r>
  <r>
    <x v="80"/>
    <x v="4"/>
    <x v="79"/>
    <s v="17-27"/>
    <n v="21"/>
    <d v="2001-06-17T00:00:00"/>
    <s v="Massachusetts"/>
    <s v="MA"/>
    <s v="Female"/>
    <s v="Single"/>
    <s v="Production Technician I"/>
    <s v="Active"/>
    <s v="Part-Time"/>
    <s v="Zone B"/>
    <s v="Production       "/>
    <s v="Splicing"/>
    <s v="White"/>
    <s v="Fully Meets"/>
    <n v="3"/>
  </r>
  <r>
    <x v="81"/>
    <x v="3"/>
    <x v="80"/>
    <s v="17-27"/>
    <n v="21"/>
    <d v="2000-10-17T00:00:00"/>
    <s v="Massachusetts"/>
    <s v="MA"/>
    <s v="Male"/>
    <s v="Divorced"/>
    <s v="Production Technician I"/>
    <s v="Active"/>
    <s v="Contract"/>
    <s v="Zone C"/>
    <s v="Production       "/>
    <s v="Engineers"/>
    <s v="Black"/>
    <s v="PIP"/>
    <n v="4"/>
  </r>
  <r>
    <x v="82"/>
    <x v="0"/>
    <x v="81"/>
    <s v="17-27"/>
    <n v="21"/>
    <d v="1997-05-11T00:00:00"/>
    <s v="Massachusetts"/>
    <s v="MA"/>
    <s v="Male"/>
    <s v="Single"/>
    <s v="Production Technician I"/>
    <s v="Active"/>
    <s v="Contract"/>
    <s v="Zone A"/>
    <s v="Production       "/>
    <s v="Engineers"/>
    <s v="Black"/>
    <s v="Fully Meets"/>
    <n v="2"/>
  </r>
  <r>
    <x v="83"/>
    <x v="3"/>
    <x v="82"/>
    <s v="17-27"/>
    <n v="21"/>
    <d v="2000-07-02T00:00:00"/>
    <s v="Massachusetts"/>
    <s v="MA"/>
    <s v="Female"/>
    <s v="Married"/>
    <s v="Production Technician I"/>
    <s v="Terminated"/>
    <s v="Full-Time"/>
    <s v="Zone A"/>
    <s v="Production       "/>
    <s v="Field Operations"/>
    <s v="Other"/>
    <s v="Fully Meets"/>
    <n v="2"/>
  </r>
  <r>
    <x v="84"/>
    <x v="3"/>
    <x v="83"/>
    <s v="17-27"/>
    <n v="21"/>
    <d v="2000-02-18T00:00:00"/>
    <s v="Massachusetts"/>
    <s v="MA"/>
    <s v="Female"/>
    <s v="Married"/>
    <s v="Production Technician I"/>
    <s v="Active"/>
    <s v="Full-Time"/>
    <s v="Zone C"/>
    <s v="Production       "/>
    <s v="General - Eng"/>
    <s v="Asian"/>
    <s v="Fully Meets"/>
    <n v="1"/>
  </r>
  <r>
    <x v="85"/>
    <x v="1"/>
    <x v="84"/>
    <s v="17-27"/>
    <n v="21"/>
    <d v="1998-10-23T00:00:00"/>
    <s v="Massachusetts"/>
    <s v="MA"/>
    <s v="Female"/>
    <s v="Married"/>
    <s v="Production Technician I"/>
    <s v="Active"/>
    <s v="Full-Time"/>
    <s v="Zone C"/>
    <s v="Production       "/>
    <s v="Field Operations"/>
    <s v="Hispanic"/>
    <s v="Fully Meets"/>
    <n v="5"/>
  </r>
  <r>
    <x v="86"/>
    <x v="4"/>
    <x v="85"/>
    <s v="17-27"/>
    <n v="21"/>
    <d v="2001-07-09T00:00:00"/>
    <s v="Massachusetts"/>
    <s v="MA"/>
    <s v="Female"/>
    <s v="Single"/>
    <s v="Production Technician I"/>
    <s v="Terminated"/>
    <s v="Part-Time"/>
    <s v="Zone C"/>
    <s v="Production       "/>
    <s v="Splicing"/>
    <s v="Hispanic"/>
    <s v="Fully Meets"/>
    <n v="5"/>
  </r>
  <r>
    <x v="87"/>
    <x v="1"/>
    <x v="86"/>
    <s v="17-27"/>
    <n v="21"/>
    <d v="1998-10-17T00:00:00"/>
    <s v="Massachusetts"/>
    <s v="MA"/>
    <s v="Female"/>
    <s v="Single"/>
    <s v="Production Manager"/>
    <s v="Active"/>
    <s v="Full-Time"/>
    <s v="Zone B"/>
    <s v="Production       "/>
    <s v="Wireless"/>
    <s v="Hispanic"/>
    <s v="Fully Meets"/>
    <n v="3"/>
  </r>
  <r>
    <x v="88"/>
    <x v="2"/>
    <x v="87"/>
    <s v="17-27"/>
    <n v="21"/>
    <d v="1999-10-20T00:00:00"/>
    <s v="Massachusetts"/>
    <s v="MA"/>
    <s v="Female"/>
    <s v="Divorced"/>
    <s v="Production Manager"/>
    <s v="Active"/>
    <s v="Part-Time"/>
    <s v="Zone A"/>
    <s v="Production       "/>
    <s v="Field Operations"/>
    <s v="Asian"/>
    <s v="Fully Meets"/>
    <n v="4"/>
  </r>
  <r>
    <x v="89"/>
    <x v="1"/>
    <x v="88"/>
    <s v="17-27"/>
    <n v="21"/>
    <d v="1998-09-12T00:00:00"/>
    <s v="Massachusetts"/>
    <s v="MA"/>
    <s v="Male"/>
    <s v="Single"/>
    <s v="Production Manager"/>
    <s v="Active"/>
    <s v="Full-Time"/>
    <s v="Zone C"/>
    <s v="Production       "/>
    <s v="Field Operations"/>
    <s v="Hispanic"/>
    <s v="Fully Meets"/>
    <n v="4"/>
  </r>
  <r>
    <x v="90"/>
    <x v="2"/>
    <x v="89"/>
    <s v="17-27"/>
    <n v="21"/>
    <d v="1999-11-06T00:00:00"/>
    <s v="Massachusetts"/>
    <s v="MA"/>
    <s v="Male"/>
    <s v="Married"/>
    <s v="Network Engineer"/>
    <s v="Active"/>
    <s v="Part-Time"/>
    <s v="Zone B"/>
    <s v="Production       "/>
    <s v="Project Management - Con"/>
    <s v="Hispanic"/>
    <s v="Fully Meets"/>
    <n v="4"/>
  </r>
  <r>
    <x v="91"/>
    <x v="1"/>
    <x v="90"/>
    <s v="17-27"/>
    <n v="21"/>
    <d v="1998-09-06T00:00:00"/>
    <s v="Massachusetts"/>
    <s v="MA"/>
    <s v="Male"/>
    <s v="Single"/>
    <s v="IT Support"/>
    <s v="Active"/>
    <s v="Part-Time"/>
    <s v="Zone B"/>
    <s v="IT/IS"/>
    <s v="Field Operations"/>
    <s v="Hispanic"/>
    <s v="Fully Meets"/>
    <n v="3"/>
  </r>
  <r>
    <x v="92"/>
    <x v="0"/>
    <x v="91"/>
    <s v="17-27"/>
    <n v="21"/>
    <d v="1997-11-28T00:00:00"/>
    <s v="Massachusetts"/>
    <s v="MA"/>
    <s v="Female"/>
    <s v="Married"/>
    <s v="IT Support"/>
    <s v="Active"/>
    <s v="Part-Time"/>
    <s v="Zone B"/>
    <s v="IT/IS"/>
    <s v="Finance &amp; Accounting"/>
    <s v="Hispanic"/>
    <s v="Fully Meets"/>
    <n v="4"/>
  </r>
  <r>
    <x v="93"/>
    <x v="2"/>
    <x v="92"/>
    <s v="17-27"/>
    <n v="21"/>
    <d v="1999-01-14T00:00:00"/>
    <s v="Connecticut"/>
    <s v="CT"/>
    <s v="Female"/>
    <s v="Divorced"/>
    <s v="IT Manager - Infra"/>
    <s v="Active"/>
    <s v="Full-Time"/>
    <s v="Zone A"/>
    <s v="IT/IS"/>
    <s v="Wireline Construction"/>
    <s v="Asian"/>
    <s v="Exceeds"/>
    <n v="1"/>
  </r>
  <r>
    <x v="94"/>
    <x v="0"/>
    <x v="93"/>
    <s v="17-27"/>
    <n v="21"/>
    <d v="1997-07-03T00:00:00"/>
    <s v="Massachusetts"/>
    <s v="MA"/>
    <s v="Male"/>
    <s v="Divorced"/>
    <s v="IT Manager - DB"/>
    <s v="Active"/>
    <s v="Full-Time"/>
    <s v="Zone A"/>
    <s v="IT/IS"/>
    <s v="Aerial"/>
    <s v="Black"/>
    <s v="Fully Meets"/>
    <n v="5"/>
  </r>
  <r>
    <x v="95"/>
    <x v="0"/>
    <x v="94"/>
    <s v="17-27"/>
    <n v="21"/>
    <d v="1997-07-26T00:00:00"/>
    <s v="Massachusetts"/>
    <s v="MA"/>
    <s v="Female"/>
    <s v="Married"/>
    <s v="Data Analyst "/>
    <s v="Active"/>
    <s v="Part-Time"/>
    <s v="Zone B"/>
    <s v="IT/IS"/>
    <s v="Field Operations"/>
    <s v="Hispanic"/>
    <s v="Fully Meets"/>
    <n v="4"/>
  </r>
  <r>
    <x v="96"/>
    <x v="3"/>
    <x v="95"/>
    <s v="17-27"/>
    <n v="21"/>
    <d v="2000-10-30T00:00:00"/>
    <s v="Massachusetts"/>
    <s v="MA"/>
    <s v="Male"/>
    <s v="Divorced"/>
    <s v="Data Analyst"/>
    <s v="Active"/>
    <s v="Part-Time"/>
    <s v="Zone C"/>
    <s v="IT/IS"/>
    <s v="Shop (Fleet)"/>
    <s v="Asian"/>
    <s v="Fully Meets"/>
    <n v="2"/>
  </r>
  <r>
    <x v="97"/>
    <x v="2"/>
    <x v="96"/>
    <s v="17-27"/>
    <n v="21"/>
    <d v="1999-01-25T00:00:00"/>
    <s v="Texas"/>
    <s v="TX"/>
    <s v="Male"/>
    <s v="Single"/>
    <s v="CIO"/>
    <s v="Terminated"/>
    <s v="Part-Time"/>
    <s v="Zone B"/>
    <s v="IT/IS"/>
    <s v="Field Operations"/>
    <s v="Asian"/>
    <s v="Fully Meets"/>
    <n v="4"/>
  </r>
  <r>
    <x v="98"/>
    <x v="2"/>
    <x v="97"/>
    <s v="17-27"/>
    <n v="21"/>
    <d v="1999-01-23T00:00:00"/>
    <s v="Tennessee"/>
    <s v="TN"/>
    <s v="Male"/>
    <s v="Single"/>
    <s v="Area Sales Manager"/>
    <s v="Active"/>
    <s v="Full-Time"/>
    <s v="Zone C"/>
    <s v="Sales"/>
    <s v="Aerial"/>
    <s v="Other"/>
    <s v="Fully Meets"/>
    <n v="1"/>
  </r>
  <r>
    <x v="99"/>
    <x v="1"/>
    <x v="98"/>
    <s v="17-27"/>
    <n v="21"/>
    <d v="1998-03-25T00:00:00"/>
    <s v="Tennessee"/>
    <s v="TN"/>
    <s v="Male"/>
    <s v="Divorced"/>
    <s v="Area Sales Manager"/>
    <s v="Active"/>
    <s v="Part-Time"/>
    <s v="Zone A"/>
    <s v="Sales"/>
    <s v="Aerial"/>
    <s v="Asian"/>
    <s v="Fully Meets"/>
    <n v="5"/>
  </r>
  <r>
    <x v="100"/>
    <x v="1"/>
    <x v="99"/>
    <s v="17-27"/>
    <n v="21"/>
    <d v="1998-04-26T00:00:00"/>
    <s v="Kentucky"/>
    <s v="KY"/>
    <s v="Female"/>
    <s v="Single"/>
    <s v="Area Sales Manager"/>
    <s v="Active"/>
    <s v="Contract"/>
    <s v="Zone B"/>
    <s v="Sales"/>
    <s v="Wireline Construction"/>
    <s v="Black"/>
    <s v="Fully Meets"/>
    <n v="1"/>
  </r>
  <r>
    <x v="101"/>
    <x v="2"/>
    <x v="100"/>
    <s v="17-27"/>
    <n v="21"/>
    <d v="1999-07-23T00:00:00"/>
    <s v="Arizona"/>
    <s v="AZ"/>
    <s v="Male"/>
    <s v="Married"/>
    <s v="Area Sales Manager"/>
    <s v="Active"/>
    <s v="Contract"/>
    <s v="Zone A"/>
    <s v="Sales"/>
    <s v="Fielders"/>
    <s v="Asian"/>
    <s v="Fully Meets"/>
    <n v="2"/>
  </r>
  <r>
    <x v="102"/>
    <x v="4"/>
    <x v="101"/>
    <s v="17-27"/>
    <n v="22"/>
    <d v="2000-11-01T00:00:00"/>
    <s v="Massachusetts"/>
    <s v="MA"/>
    <s v="Female"/>
    <s v="Single"/>
    <s v="Sr. Network Engineer"/>
    <s v="Active"/>
    <s v="Full-Time"/>
    <s v="Zone A"/>
    <s v="IT/IS"/>
    <s v="Aerial"/>
    <s v="Other"/>
    <s v="PIP"/>
    <n v="2"/>
  </r>
  <r>
    <x v="103"/>
    <x v="3"/>
    <x v="102"/>
    <s v="17-27"/>
    <n v="22"/>
    <d v="1999-07-07T00:00:00"/>
    <s v="Massachusetts"/>
    <s v="MA"/>
    <s v="Female"/>
    <s v="Divorced"/>
    <s v="Sr. Accountant"/>
    <s v="Active"/>
    <s v="Contract"/>
    <s v="Zone B"/>
    <s v="Admin Offices"/>
    <s v="Technology / It"/>
    <s v="Asian"/>
    <s v="Exceeds"/>
    <n v="3"/>
  </r>
  <r>
    <x v="104"/>
    <x v="2"/>
    <x v="103"/>
    <s v="17-27"/>
    <n v="22"/>
    <d v="1998-11-01T00:00:00"/>
    <s v="Massachusetts"/>
    <s v="MA"/>
    <s v="Female"/>
    <s v="Married"/>
    <s v="Software Engineering Manager"/>
    <s v="Active"/>
    <s v="Contract"/>
    <s v="Zone B"/>
    <s v="IT/IS"/>
    <s v="General - Con"/>
    <s v="Other"/>
    <s v="Fully Meets"/>
    <n v="1"/>
  </r>
  <r>
    <x v="105"/>
    <x v="2"/>
    <x v="104"/>
    <s v="17-27"/>
    <n v="22"/>
    <d v="1998-03-19T00:00:00"/>
    <s v="Massachusetts"/>
    <s v="MA"/>
    <s v="Female"/>
    <s v="Married"/>
    <s v="Software Engineer"/>
    <s v="Active"/>
    <s v="Part-Time"/>
    <s v="Zone C"/>
    <s v="Software Engineering"/>
    <s v="Billable Consultants"/>
    <s v="Hispanic"/>
    <s v="Fully Meets"/>
    <n v="2"/>
  </r>
  <r>
    <x v="106"/>
    <x v="4"/>
    <x v="105"/>
    <s v="17-27"/>
    <n v="22"/>
    <d v="2000-04-20T00:00:00"/>
    <s v="Massachusetts"/>
    <s v="MA"/>
    <s v="Female"/>
    <s v="Married"/>
    <s v="Sales Manager"/>
    <s v="Active"/>
    <s v="Full-Time"/>
    <s v="Zone B"/>
    <s v="Sales"/>
    <s v="Field Operations"/>
    <s v="White"/>
    <s v="Fully Meets"/>
    <n v="2"/>
  </r>
  <r>
    <x v="107"/>
    <x v="4"/>
    <x v="106"/>
    <s v="17-27"/>
    <n v="22"/>
    <d v="2000-09-03T00:00:00"/>
    <s v="Massachusetts"/>
    <s v="MA"/>
    <s v="Female"/>
    <s v="Widowed"/>
    <s v="Production Technician II"/>
    <s v="Terminated"/>
    <s v="Full-Time"/>
    <s v="Zone A"/>
    <s v="Production       "/>
    <s v="General - Con"/>
    <s v="Hispanic"/>
    <s v="Fully Meets"/>
    <n v="3"/>
  </r>
  <r>
    <x v="108"/>
    <x v="1"/>
    <x v="107"/>
    <s v="17-27"/>
    <n v="22"/>
    <d v="1997-08-27T00:00:00"/>
    <s v="Massachusetts"/>
    <s v="MA"/>
    <s v="Male"/>
    <s v="Divorced"/>
    <s v="Production Technician II"/>
    <s v="Terminated"/>
    <s v="Contract"/>
    <s v="Zone B"/>
    <s v="Production       "/>
    <s v="Field Operations"/>
    <s v="Black"/>
    <s v="Fully Meets"/>
    <n v="2"/>
  </r>
  <r>
    <x v="109"/>
    <x v="1"/>
    <x v="108"/>
    <s v="17-27"/>
    <n v="22"/>
    <d v="1997-10-27T00:00:00"/>
    <s v="Massachusetts"/>
    <s v="MA"/>
    <s v="Female"/>
    <s v="Divorced"/>
    <s v="Production Technician II"/>
    <s v="Terminated"/>
    <s v="Full-Time"/>
    <s v="Zone B"/>
    <s v="Production       "/>
    <s v="Field Operations"/>
    <s v="Hispanic"/>
    <s v="Fully Meets"/>
    <n v="1"/>
  </r>
  <r>
    <x v="110"/>
    <x v="2"/>
    <x v="109"/>
    <s v="17-27"/>
    <n v="22"/>
    <d v="1998-01-26T00:00:00"/>
    <s v="Massachusetts"/>
    <s v="MA"/>
    <s v="Female"/>
    <s v="Married"/>
    <s v="Production Technician II"/>
    <s v="Active"/>
    <s v="Part-Time"/>
    <s v="Zone B"/>
    <s v="Production       "/>
    <s v="Engineers"/>
    <s v="Hispanic"/>
    <s v="Exceeds"/>
    <n v="1"/>
  </r>
  <r>
    <x v="111"/>
    <x v="1"/>
    <x v="110"/>
    <s v="17-27"/>
    <n v="22"/>
    <d v="1997-09-09T00:00:00"/>
    <s v="Massachusetts"/>
    <s v="MA"/>
    <s v="Female"/>
    <s v="Widowed"/>
    <s v="Production Technician II"/>
    <s v="Active"/>
    <s v="Contract"/>
    <s v="Zone B"/>
    <s v="Production       "/>
    <s v="Field Operations"/>
    <s v="Asian"/>
    <s v="Exceeds"/>
    <n v="2"/>
  </r>
  <r>
    <x v="112"/>
    <x v="2"/>
    <x v="111"/>
    <s v="17-27"/>
    <n v="22"/>
    <d v="1998-09-11T00:00:00"/>
    <s v="Massachusetts"/>
    <s v="MA"/>
    <s v="Female"/>
    <s v="Married"/>
    <s v="Production Technician II"/>
    <s v="Active"/>
    <s v="Part-Time"/>
    <s v="Zone A"/>
    <s v="Production       "/>
    <s v="Splicing"/>
    <s v="Asian"/>
    <s v="Exceeds"/>
    <n v="1"/>
  </r>
  <r>
    <x v="113"/>
    <x v="5"/>
    <x v="112"/>
    <s v="17-27"/>
    <n v="22"/>
    <d v="2001-01-18T00:00:00"/>
    <s v="Massachusetts"/>
    <s v="MA"/>
    <s v="Male"/>
    <s v="Widowed"/>
    <s v="Production Technician II"/>
    <s v="Active"/>
    <s v="Contract"/>
    <s v="Zone B"/>
    <s v="Production       "/>
    <s v="Splicing"/>
    <s v="White"/>
    <s v="Fully Meets"/>
    <n v="4"/>
  </r>
  <r>
    <x v="114"/>
    <x v="2"/>
    <x v="51"/>
    <s v="17-27"/>
    <n v="22"/>
    <d v="1998-05-17T00:00:00"/>
    <s v="Massachusetts"/>
    <s v="MA"/>
    <s v="Female"/>
    <s v="Widowed"/>
    <s v="Production Technician II"/>
    <s v="Active"/>
    <s v="Full-Time"/>
    <s v="Zone B"/>
    <s v="Production       "/>
    <s v="General - Con"/>
    <s v="Other"/>
    <s v="Fully Meets"/>
    <n v="5"/>
  </r>
  <r>
    <x v="115"/>
    <x v="2"/>
    <x v="113"/>
    <s v="17-27"/>
    <n v="22"/>
    <d v="1998-04-20T00:00:00"/>
    <s v="Massachusetts"/>
    <s v="MA"/>
    <s v="Female"/>
    <s v="Married"/>
    <s v="Production Technician II"/>
    <s v="Terminated"/>
    <s v="Contract"/>
    <s v="Zone B"/>
    <s v="Production       "/>
    <s v="Project Management - Eng"/>
    <s v="Hispanic"/>
    <s v="Fully Meets"/>
    <n v="5"/>
  </r>
  <r>
    <x v="116"/>
    <x v="0"/>
    <x v="114"/>
    <s v="17-27"/>
    <n v="22"/>
    <d v="1996-01-20T00:00:00"/>
    <s v="Massachusetts"/>
    <s v="MA"/>
    <s v="Male"/>
    <s v="Widowed"/>
    <s v="Production Technician I"/>
    <s v="Active"/>
    <s v="Contract"/>
    <s v="Zone A"/>
    <s v="Production       "/>
    <s v="General - Con"/>
    <s v="Asian"/>
    <s v="Fully Meets"/>
    <n v="1"/>
  </r>
  <r>
    <x v="117"/>
    <x v="2"/>
    <x v="109"/>
    <s v="17-27"/>
    <n v="22"/>
    <d v="1998-07-04T00:00:00"/>
    <s v="Massachusetts"/>
    <s v="MA"/>
    <s v="Male"/>
    <s v="Single"/>
    <s v="Production Technician I"/>
    <s v="Active"/>
    <s v="Part-Time"/>
    <s v="Zone B"/>
    <s v="Production       "/>
    <s v="Field Operations"/>
    <s v="Hispanic"/>
    <s v="Fully Meets"/>
    <n v="4"/>
  </r>
  <r>
    <x v="118"/>
    <x v="3"/>
    <x v="115"/>
    <s v="17-27"/>
    <n v="22"/>
    <d v="1999-05-24T00:00:00"/>
    <s v="Massachusetts"/>
    <s v="MA"/>
    <s v="Male"/>
    <s v="Single"/>
    <s v="Production Technician I"/>
    <s v="Active"/>
    <s v="Full-Time"/>
    <s v="Zone A"/>
    <s v="Production       "/>
    <s v="General - Eng"/>
    <s v="Asian"/>
    <s v="Fully Meets"/>
    <n v="4"/>
  </r>
  <r>
    <x v="119"/>
    <x v="4"/>
    <x v="116"/>
    <s v="17-27"/>
    <n v="22"/>
    <d v="2000-09-26T00:00:00"/>
    <s v="Massachusetts"/>
    <s v="MA"/>
    <s v="Female"/>
    <s v="Widowed"/>
    <s v="Production Technician I"/>
    <s v="Active"/>
    <s v="Part-Time"/>
    <s v="Zone A"/>
    <s v="Production       "/>
    <s v="Splicing"/>
    <s v="Other"/>
    <s v="Fully Meets"/>
    <n v="5"/>
  </r>
  <r>
    <x v="120"/>
    <x v="1"/>
    <x v="42"/>
    <s v="17-27"/>
    <n v="22"/>
    <d v="1997-01-12T00:00:00"/>
    <s v="Massachusetts"/>
    <s v="MA"/>
    <s v="Female"/>
    <s v="Single"/>
    <s v="Production Technician I"/>
    <s v="Active"/>
    <s v="Full-Time"/>
    <s v="Zone A"/>
    <s v="Production       "/>
    <s v="Aerial"/>
    <s v="Black"/>
    <s v="Fully Meets"/>
    <n v="4"/>
  </r>
  <r>
    <x v="121"/>
    <x v="2"/>
    <x v="117"/>
    <s v="17-27"/>
    <n v="22"/>
    <d v="1998-02-10T00:00:00"/>
    <s v="Massachusetts"/>
    <s v="MA"/>
    <s v="Male"/>
    <s v="Divorced"/>
    <s v="Production Technician I"/>
    <s v="Active"/>
    <s v="Contract"/>
    <s v="Zone C"/>
    <s v="Production       "/>
    <s v="General - Con"/>
    <s v="White"/>
    <s v="PIP"/>
    <n v="5"/>
  </r>
  <r>
    <x v="122"/>
    <x v="4"/>
    <x v="118"/>
    <s v="17-27"/>
    <n v="22"/>
    <d v="2000-07-02T00:00:00"/>
    <s v="Massachusetts"/>
    <s v="MA"/>
    <s v="Male"/>
    <s v="Widowed"/>
    <s v="Production Technician I"/>
    <s v="Active"/>
    <s v="Part-Time"/>
    <s v="Zone A"/>
    <s v="Production       "/>
    <s v="Finance &amp; Accounting"/>
    <s v="Black"/>
    <s v="PIP"/>
    <n v="1"/>
  </r>
  <r>
    <x v="123"/>
    <x v="1"/>
    <x v="119"/>
    <s v="17-27"/>
    <n v="22"/>
    <d v="1997-05-01T00:00:00"/>
    <s v="Massachusetts"/>
    <s v="MA"/>
    <s v="Male"/>
    <s v="Married"/>
    <s v="Production Technician I"/>
    <s v="Active"/>
    <s v="Part-Time"/>
    <s v="Zone C"/>
    <s v="Production       "/>
    <s v="Billable Consultants"/>
    <s v="White"/>
    <s v="Fully Meets"/>
    <n v="2"/>
  </r>
  <r>
    <x v="124"/>
    <x v="0"/>
    <x v="120"/>
    <s v="17-27"/>
    <n v="22"/>
    <d v="1996-01-04T00:00:00"/>
    <s v="Massachusetts"/>
    <s v="MA"/>
    <s v="Male"/>
    <s v="Widowed"/>
    <s v="Production Technician I"/>
    <s v="Active"/>
    <s v="Part-Time"/>
    <s v="Zone A"/>
    <s v="Production       "/>
    <s v="Field Operations"/>
    <s v="Hispanic"/>
    <s v="Fully Meets"/>
    <n v="4"/>
  </r>
  <r>
    <x v="125"/>
    <x v="2"/>
    <x v="121"/>
    <s v="17-27"/>
    <n v="22"/>
    <d v="1998-04-04T00:00:00"/>
    <s v="Massachusetts"/>
    <s v="MA"/>
    <s v="Male"/>
    <s v="Married"/>
    <s v="Production Technician I"/>
    <s v="Active"/>
    <s v="Full-Time"/>
    <s v="Zone A"/>
    <s v="Production       "/>
    <s v="Field Operations"/>
    <s v="White"/>
    <s v="Fully Meets"/>
    <n v="3"/>
  </r>
  <r>
    <x v="126"/>
    <x v="1"/>
    <x v="122"/>
    <s v="17-27"/>
    <n v="22"/>
    <d v="1997-01-14T00:00:00"/>
    <s v="Massachusetts"/>
    <s v="MA"/>
    <s v="Female"/>
    <s v="Single"/>
    <s v="Production Technician I"/>
    <s v="Active"/>
    <s v="Full-Time"/>
    <s v="Zone C"/>
    <s v="Production       "/>
    <s v="Field Operations"/>
    <s v="White"/>
    <s v="Fully Meets"/>
    <n v="5"/>
  </r>
  <r>
    <x v="127"/>
    <x v="4"/>
    <x v="123"/>
    <s v="17-27"/>
    <n v="22"/>
    <d v="2000-11-28T00:00:00"/>
    <s v="Massachusetts"/>
    <s v="MA"/>
    <s v="Male"/>
    <s v="Single"/>
    <s v="Production Technician I"/>
    <s v="Active"/>
    <s v="Part-Time"/>
    <s v="Zone A"/>
    <s v="Production       "/>
    <s v="Field Operations"/>
    <s v="Black"/>
    <s v="Needs Improvement"/>
    <n v="3"/>
  </r>
  <r>
    <x v="128"/>
    <x v="4"/>
    <x v="124"/>
    <s v="17-27"/>
    <n v="22"/>
    <d v="2000-10-16T00:00:00"/>
    <s v="Massachusetts"/>
    <s v="MA"/>
    <s v="Male"/>
    <s v="Divorced"/>
    <s v="Production Technician I"/>
    <s v="Active"/>
    <s v="Full-Time"/>
    <s v="Zone C"/>
    <s v="Production       "/>
    <s v="Project Management - Con"/>
    <s v="Other"/>
    <s v="Needs Improvement"/>
    <n v="2"/>
  </r>
  <r>
    <x v="129"/>
    <x v="5"/>
    <x v="125"/>
    <s v="17-27"/>
    <n v="22"/>
    <d v="2001-02-19T00:00:00"/>
    <s v="Massachusetts"/>
    <s v="MA"/>
    <s v="Female"/>
    <s v="Divorced"/>
    <s v="Production Technician I"/>
    <s v="Terminated"/>
    <s v="Contract"/>
    <s v="Zone B"/>
    <s v="Production       "/>
    <s v="Wireless"/>
    <s v="White"/>
    <s v="Fully Meets"/>
    <n v="3"/>
  </r>
  <r>
    <x v="130"/>
    <x v="5"/>
    <x v="126"/>
    <s v="17-27"/>
    <n v="22"/>
    <d v="2001-05-29T00:00:00"/>
    <s v="Massachusetts"/>
    <s v="MA"/>
    <s v="Female"/>
    <s v="Widowed"/>
    <s v="Production Technician I"/>
    <s v="Active"/>
    <s v="Contract"/>
    <s v="Zone C"/>
    <s v="Production       "/>
    <s v="General - Con"/>
    <s v="Hispanic"/>
    <s v="Fully Meets"/>
    <n v="4"/>
  </r>
  <r>
    <x v="131"/>
    <x v="4"/>
    <x v="127"/>
    <s v="17-27"/>
    <n v="22"/>
    <d v="2000-02-02T00:00:00"/>
    <s v="Massachusetts"/>
    <s v="MA"/>
    <s v="Female"/>
    <s v="Single"/>
    <s v="Production Technician I"/>
    <s v="Active"/>
    <s v="Contract"/>
    <s v="Zone B"/>
    <s v="Production       "/>
    <s v="Field Operations"/>
    <s v="Other"/>
    <s v="Fully Meets"/>
    <n v="2"/>
  </r>
  <r>
    <x v="132"/>
    <x v="3"/>
    <x v="128"/>
    <s v="17-27"/>
    <n v="22"/>
    <d v="1999-10-01T00:00:00"/>
    <s v="Massachusetts"/>
    <s v="MA"/>
    <s v="Male"/>
    <s v="Widowed"/>
    <s v="Production Technician I"/>
    <s v="Active"/>
    <s v="Contract"/>
    <s v="Zone A"/>
    <s v="Production       "/>
    <s v="Field Operations"/>
    <s v="Hispanic"/>
    <s v="Fully Meets"/>
    <n v="4"/>
  </r>
  <r>
    <x v="133"/>
    <x v="4"/>
    <x v="129"/>
    <s v="17-27"/>
    <n v="22"/>
    <d v="2000-07-19T00:00:00"/>
    <s v="Massachusetts"/>
    <s v="MA"/>
    <s v="Female"/>
    <s v="Widowed"/>
    <s v="Production Technician I"/>
    <s v="Terminated"/>
    <s v="Full-Time"/>
    <s v="Zone A"/>
    <s v="Production       "/>
    <s v="General - Con"/>
    <s v="Hispanic"/>
    <s v="Exceeds"/>
    <n v="5"/>
  </r>
  <r>
    <x v="134"/>
    <x v="3"/>
    <x v="130"/>
    <s v="17-27"/>
    <n v="22"/>
    <d v="1999-05-25T00:00:00"/>
    <s v="Massachusetts"/>
    <s v="MA"/>
    <s v="Male"/>
    <s v="Divorced"/>
    <s v="Production Technician I"/>
    <s v="Terminated"/>
    <s v="Full-Time"/>
    <s v="Zone B"/>
    <s v="Production       "/>
    <s v="Field Operations"/>
    <s v="Asian"/>
    <s v="Fully Meets"/>
    <n v="5"/>
  </r>
  <r>
    <x v="135"/>
    <x v="0"/>
    <x v="131"/>
    <s v="17-27"/>
    <n v="22"/>
    <d v="1996-08-04T00:00:00"/>
    <s v="Massachusetts"/>
    <s v="MA"/>
    <s v="Female"/>
    <s v="Divorced"/>
    <s v="Production Technician I"/>
    <s v="Terminated"/>
    <s v="Full-Time"/>
    <s v="Zone A"/>
    <s v="Production       "/>
    <s v="Catv"/>
    <s v="Asian"/>
    <s v="Fully Meets"/>
    <n v="1"/>
  </r>
  <r>
    <x v="136"/>
    <x v="1"/>
    <x v="132"/>
    <s v="17-27"/>
    <n v="22"/>
    <d v="1997-08-23T00:00:00"/>
    <s v="Massachusetts"/>
    <s v="MA"/>
    <s v="Male"/>
    <s v="Divorced"/>
    <s v="Production Technician I"/>
    <s v="Terminated"/>
    <s v="Full-Time"/>
    <s v="Zone C"/>
    <s v="Production       "/>
    <s v="General - Con"/>
    <s v="Other"/>
    <s v="Fully Meets"/>
    <n v="5"/>
  </r>
  <r>
    <x v="137"/>
    <x v="1"/>
    <x v="133"/>
    <s v="17-27"/>
    <n v="22"/>
    <d v="1997-02-19T00:00:00"/>
    <s v="Massachusetts"/>
    <s v="MA"/>
    <s v="Male"/>
    <s v="Widowed"/>
    <s v="Production Technician I"/>
    <s v="Active"/>
    <s v="Contract"/>
    <s v="Zone A"/>
    <s v="Production       "/>
    <s v="Field Operations"/>
    <s v="Black"/>
    <s v="Fully Meets"/>
    <n v="1"/>
  </r>
  <r>
    <x v="138"/>
    <x v="2"/>
    <x v="134"/>
    <s v="17-27"/>
    <n v="22"/>
    <d v="1998-04-01T00:00:00"/>
    <s v="Massachusetts"/>
    <s v="MA"/>
    <s v="Male"/>
    <s v="Single"/>
    <s v="Production Manager"/>
    <s v="Active"/>
    <s v="Contract"/>
    <s v="Zone B"/>
    <s v="Production       "/>
    <s v="Field Operations"/>
    <s v="Other"/>
    <s v="Fully Meets"/>
    <n v="3"/>
  </r>
  <r>
    <x v="139"/>
    <x v="3"/>
    <x v="135"/>
    <s v="17-27"/>
    <n v="22"/>
    <d v="1999-10-01T00:00:00"/>
    <s v="Massachusetts"/>
    <s v="MA"/>
    <s v="Male"/>
    <s v="Widowed"/>
    <s v="Network Engineer"/>
    <s v="Active"/>
    <s v="Part-Time"/>
    <s v="Zone B"/>
    <s v="Executive Office"/>
    <s v="People Services"/>
    <s v="Other"/>
    <s v="Fully Meets"/>
    <n v="3"/>
  </r>
  <r>
    <x v="140"/>
    <x v="0"/>
    <x v="136"/>
    <s v="17-27"/>
    <n v="22"/>
    <d v="1996-10-04T00:00:00"/>
    <s v="Massachusetts"/>
    <s v="MA"/>
    <s v="Female"/>
    <s v="Widowed"/>
    <s v="IT Support"/>
    <s v="Active"/>
    <s v="Part-Time"/>
    <s v="Zone A"/>
    <s v="IT/IS"/>
    <s v="General - Con"/>
    <s v="White"/>
    <s v="Fully Meets"/>
    <n v="3"/>
  </r>
  <r>
    <x v="141"/>
    <x v="5"/>
    <x v="137"/>
    <s v="17-27"/>
    <n v="22"/>
    <d v="2001-04-11T00:00:00"/>
    <s v="Massachusetts"/>
    <s v="MA"/>
    <s v="Male"/>
    <s v="Divorced"/>
    <s v="IT Support"/>
    <s v="Active"/>
    <s v="Part-Time"/>
    <s v="Zone B"/>
    <s v="IT/IS"/>
    <s v="Field Operations"/>
    <s v="Asian"/>
    <s v="Fully Meets"/>
    <n v="1"/>
  </r>
  <r>
    <x v="142"/>
    <x v="2"/>
    <x v="138"/>
    <s v="17-27"/>
    <n v="22"/>
    <d v="1998-07-17T00:00:00"/>
    <s v="Massachusetts"/>
    <s v="MA"/>
    <s v="Female"/>
    <s v="Widowed"/>
    <s v="IT Support"/>
    <s v="Active"/>
    <s v="Part-Time"/>
    <s v="Zone A"/>
    <s v="IT/IS"/>
    <s v="Wireline Construction"/>
    <s v="Hispanic"/>
    <s v="Exceeds"/>
    <n v="3"/>
  </r>
  <r>
    <x v="143"/>
    <x v="3"/>
    <x v="139"/>
    <s v="17-27"/>
    <n v="22"/>
    <d v="1999-02-20T00:00:00"/>
    <s v="Massachusetts"/>
    <s v="MA"/>
    <s v="Male"/>
    <s v="Widowed"/>
    <s v="IT Manager - Infra"/>
    <s v="Active"/>
    <s v="Full-Time"/>
    <s v="Zone C"/>
    <s v="IT/IS"/>
    <s v="Engineers"/>
    <s v="White"/>
    <s v="Fully Meets"/>
    <n v="5"/>
  </r>
  <r>
    <x v="144"/>
    <x v="0"/>
    <x v="140"/>
    <s v="17-27"/>
    <n v="22"/>
    <d v="1996-06-10T00:00:00"/>
    <s v="Massachusetts"/>
    <s v="MA"/>
    <s v="Male"/>
    <s v="Single"/>
    <s v="Director of Sales"/>
    <s v="Active"/>
    <s v="Contract"/>
    <s v="Zone A"/>
    <s v="IT/IS"/>
    <s v="General - Sga"/>
    <s v="Hispanic"/>
    <s v="Fully Meets"/>
    <n v="1"/>
  </r>
  <r>
    <x v="145"/>
    <x v="1"/>
    <x v="141"/>
    <s v="17-27"/>
    <n v="22"/>
    <d v="1997-01-02T00:00:00"/>
    <s v="Texas"/>
    <s v="TX"/>
    <s v="Female"/>
    <s v="Widowed"/>
    <s v="Database Administrator"/>
    <s v="Active"/>
    <s v="Contract"/>
    <s v="Zone A"/>
    <s v="IT/IS"/>
    <s v="General - Sga"/>
    <s v="Black"/>
    <s v="Fully Meets"/>
    <n v="5"/>
  </r>
  <r>
    <x v="146"/>
    <x v="3"/>
    <x v="142"/>
    <s v="17-27"/>
    <n v="22"/>
    <d v="1999-11-29T00:00:00"/>
    <s v="Massachusetts"/>
    <s v="MA"/>
    <s v="Female"/>
    <s v="Widowed"/>
    <s v="Database Administrator"/>
    <s v="Active"/>
    <s v="Part-Time"/>
    <s v="Zone C"/>
    <s v="IT/IS"/>
    <s v="Catv"/>
    <s v="White"/>
    <s v="Fully Meets"/>
    <n v="5"/>
  </r>
  <r>
    <x v="147"/>
    <x v="2"/>
    <x v="143"/>
    <s v="17-27"/>
    <n v="22"/>
    <d v="1998-10-28T00:00:00"/>
    <s v="Massachusetts"/>
    <s v="MA"/>
    <s v="Female"/>
    <s v="Married"/>
    <s v="Database Administrator"/>
    <s v="Active"/>
    <s v="Contract"/>
    <s v="Zone C"/>
    <s v="IT/IS"/>
    <s v="Project Management - Con"/>
    <s v="Hispanic"/>
    <s v="Fully Meets"/>
    <n v="1"/>
  </r>
  <r>
    <x v="148"/>
    <x v="4"/>
    <x v="144"/>
    <s v="17-27"/>
    <n v="22"/>
    <d v="2000-05-30T00:00:00"/>
    <s v="Massachusetts"/>
    <s v="MA"/>
    <s v="Male"/>
    <s v="Married"/>
    <s v="Data Analyst"/>
    <s v="Active"/>
    <s v="Contract"/>
    <s v="Zone B"/>
    <s v="Production       "/>
    <s v="Field Operations"/>
    <s v="White"/>
    <s v="Fully Meets"/>
    <n v="1"/>
  </r>
  <r>
    <x v="149"/>
    <x v="5"/>
    <x v="145"/>
    <s v="17-27"/>
    <n v="22"/>
    <d v="2001-06-17T00:00:00"/>
    <s v="Massachusetts"/>
    <s v="MA"/>
    <s v="Male"/>
    <s v="Divorced"/>
    <s v="BI Developer"/>
    <s v="Active"/>
    <s v="Full-Time"/>
    <s v="Zone C"/>
    <s v="IT/IS"/>
    <s v="Finance &amp; Accounting"/>
    <s v="Other"/>
    <s v="Needs Improvement"/>
    <n v="2"/>
  </r>
  <r>
    <x v="150"/>
    <x v="1"/>
    <x v="17"/>
    <s v="17-27"/>
    <n v="22"/>
    <d v="1997-02-09T00:00:00"/>
    <s v="New York"/>
    <s v="NY"/>
    <s v="Male"/>
    <s v="Married"/>
    <s v="Area Sales Manager"/>
    <s v="Active"/>
    <s v="Full-Time"/>
    <s v="Zone A"/>
    <s v="Sales"/>
    <s v="Aerial"/>
    <s v="Black"/>
    <s v="Fully Meets"/>
    <n v="2"/>
  </r>
  <r>
    <x v="151"/>
    <x v="3"/>
    <x v="146"/>
    <s v="17-27"/>
    <n v="22"/>
    <d v="1999-12-19T00:00:00"/>
    <s v="Massachusetts"/>
    <s v="MA"/>
    <s v="Male"/>
    <s v="Divorced"/>
    <s v="Area Sales Manager"/>
    <s v="Active"/>
    <s v="Full-Time"/>
    <s v="Zone B"/>
    <s v="IT/IS"/>
    <s v="Engineers"/>
    <s v="Black"/>
    <s v="Fully Meets"/>
    <n v="3"/>
  </r>
  <r>
    <x v="152"/>
    <x v="3"/>
    <x v="147"/>
    <s v="17-27"/>
    <n v="22"/>
    <d v="1999-01-18T00:00:00"/>
    <s v="Kentucky"/>
    <s v="KY"/>
    <s v="Male"/>
    <s v="Widowed"/>
    <s v="Area Sales Manager"/>
    <s v="Active"/>
    <s v="Full-Time"/>
    <s v="Zone C"/>
    <s v="Sales"/>
    <s v="Project Management - Eng"/>
    <s v="Other"/>
    <s v="Exceeds"/>
    <n v="1"/>
  </r>
  <r>
    <x v="153"/>
    <x v="2"/>
    <x v="148"/>
    <s v="17-27"/>
    <n v="22"/>
    <d v="1998-07-30T00:00:00"/>
    <s v="Arizona"/>
    <s v="AZ"/>
    <s v="Male"/>
    <s v="Widowed"/>
    <s v="Area Sales Manager"/>
    <s v="Active"/>
    <s v="Part-Time"/>
    <s v="Zone A"/>
    <s v="Sales"/>
    <s v="Field Operations"/>
    <s v="Black"/>
    <s v="Fully Meets"/>
    <n v="4"/>
  </r>
  <r>
    <x v="154"/>
    <x v="0"/>
    <x v="149"/>
    <s v="17-27"/>
    <n v="22"/>
    <d v="1996-03-29T00:00:00"/>
    <s v="Massachusetts"/>
    <s v="MA"/>
    <s v="Male"/>
    <s v="Married"/>
    <s v="Accountant I"/>
    <s v="Active"/>
    <s v="Part-Time"/>
    <s v="Zone B"/>
    <s v="Admin Offices"/>
    <s v="Field Operations"/>
    <s v="Black"/>
    <s v="Fully Meets"/>
    <n v="2"/>
  </r>
  <r>
    <x v="155"/>
    <x v="2"/>
    <x v="150"/>
    <s v="17-27"/>
    <n v="23"/>
    <d v="1997-10-22T00:00:00"/>
    <s v="Connecticut"/>
    <s v="CT"/>
    <s v="Male"/>
    <s v="Married"/>
    <s v="Sr. Network Engineer"/>
    <s v="Active"/>
    <s v="Part-Time"/>
    <s v="Zone C"/>
    <s v="IT/IS"/>
    <s v="General - Con"/>
    <s v="Hispanic"/>
    <s v="Fully Meets"/>
    <n v="4"/>
  </r>
  <r>
    <x v="156"/>
    <x v="2"/>
    <x v="151"/>
    <s v="17-27"/>
    <n v="23"/>
    <d v="1997-03-19T00:00:00"/>
    <s v="Massachusetts"/>
    <s v="MA"/>
    <s v="Female"/>
    <s v="Divorced"/>
    <s v="Software Engineer"/>
    <s v="Active"/>
    <s v="Contract"/>
    <s v="Zone C"/>
    <s v="Software Engineering"/>
    <s v="Aerial"/>
    <s v="Asian"/>
    <s v="Fully Meets"/>
    <n v="3"/>
  </r>
  <r>
    <x v="157"/>
    <x v="3"/>
    <x v="152"/>
    <s v="17-27"/>
    <n v="23"/>
    <d v="1998-12-24T00:00:00"/>
    <s v="Massachusetts"/>
    <s v="MA"/>
    <s v="Female"/>
    <s v="Widowed"/>
    <s v="Software Engineer"/>
    <s v="Active"/>
    <s v="Full-Time"/>
    <s v="Zone B"/>
    <s v="Software Engineering"/>
    <s v="Wireline Construction"/>
    <s v="Black"/>
    <s v="Fully Meets"/>
    <n v="2"/>
  </r>
  <r>
    <x v="158"/>
    <x v="0"/>
    <x v="153"/>
    <s v="17-27"/>
    <n v="23"/>
    <d v="1995-06-26T00:00:00"/>
    <s v="Massachusetts"/>
    <s v="MA"/>
    <s v="Male"/>
    <s v="Widowed"/>
    <s v="Software Engineer"/>
    <s v="Active"/>
    <s v="Contract"/>
    <s v="Zone C"/>
    <s v="Software Engineering"/>
    <s v="Engineers"/>
    <s v="Other"/>
    <s v="Fully Meets"/>
    <n v="3"/>
  </r>
  <r>
    <x v="159"/>
    <x v="0"/>
    <x v="154"/>
    <s v="17-27"/>
    <n v="23"/>
    <d v="1995-11-24T00:00:00"/>
    <s v="Massachusetts"/>
    <s v="MA"/>
    <s v="Female"/>
    <s v="Widowed"/>
    <s v="Software Engineer"/>
    <s v="Active"/>
    <s v="Contract"/>
    <s v="Zone C"/>
    <s v="Software Engineering"/>
    <s v="Field Operations"/>
    <s v="White"/>
    <s v="Fully Meets"/>
    <n v="4"/>
  </r>
  <r>
    <x v="160"/>
    <x v="2"/>
    <x v="151"/>
    <s v="17-27"/>
    <n v="23"/>
    <d v="1997-08-27T00:00:00"/>
    <s v="Massachusetts"/>
    <s v="MA"/>
    <s v="Male"/>
    <s v="Single"/>
    <s v="Production Technician II"/>
    <s v="Active"/>
    <s v="Part-Time"/>
    <s v="Zone A"/>
    <s v="Production       "/>
    <s v="Isp"/>
    <s v="White"/>
    <s v="Fully Meets"/>
    <n v="4"/>
  </r>
  <r>
    <x v="161"/>
    <x v="0"/>
    <x v="155"/>
    <s v="17-27"/>
    <n v="23"/>
    <d v="1995-06-03T00:00:00"/>
    <s v="Massachusetts"/>
    <s v="MA"/>
    <s v="Female"/>
    <s v="Single"/>
    <s v="Production Technician II"/>
    <s v="Terminated"/>
    <s v="Contract"/>
    <s v="Zone B"/>
    <s v="Production       "/>
    <s v="Field Operations"/>
    <s v="Other"/>
    <s v="Fully Meets"/>
    <n v="2"/>
  </r>
  <r>
    <x v="162"/>
    <x v="4"/>
    <x v="156"/>
    <s v="17-27"/>
    <n v="23"/>
    <d v="1999-03-29T00:00:00"/>
    <s v="Massachusetts"/>
    <s v="MA"/>
    <s v="Female"/>
    <s v="Married"/>
    <s v="Production Technician II"/>
    <s v="Active"/>
    <s v="Contract"/>
    <s v="Zone C"/>
    <s v="Production       "/>
    <s v="Project Management - Con"/>
    <s v="Black"/>
    <s v="Fully Meets"/>
    <n v="4"/>
  </r>
  <r>
    <x v="163"/>
    <x v="1"/>
    <x v="157"/>
    <s v="17-27"/>
    <n v="23"/>
    <d v="1996-01-24T00:00:00"/>
    <s v="Massachusetts"/>
    <s v="MA"/>
    <s v="Female"/>
    <s v="Divorced"/>
    <s v="Production Technician II"/>
    <s v="Active"/>
    <s v="Full-Time"/>
    <s v="Zone B"/>
    <s v="Production       "/>
    <s v="General - Con"/>
    <s v="Asian"/>
    <s v="Fully Meets"/>
    <n v="3"/>
  </r>
  <r>
    <x v="164"/>
    <x v="0"/>
    <x v="158"/>
    <s v="17-27"/>
    <n v="23"/>
    <d v="1995-01-16T00:00:00"/>
    <s v="Massachusetts"/>
    <s v="MA"/>
    <s v="Female"/>
    <s v="Divorced"/>
    <s v="Production Technician II"/>
    <s v="Active"/>
    <s v="Part-Time"/>
    <s v="Zone B"/>
    <s v="Production       "/>
    <s v="Field Operations"/>
    <s v="Black"/>
    <s v="Exceeds"/>
    <n v="1"/>
  </r>
  <r>
    <x v="165"/>
    <x v="4"/>
    <x v="159"/>
    <s v="17-27"/>
    <n v="23"/>
    <d v="1999-03-14T00:00:00"/>
    <s v="Massachusetts"/>
    <s v="MA"/>
    <s v="Female"/>
    <s v="Single"/>
    <s v="Production Technician II"/>
    <s v="Active"/>
    <s v="Contract"/>
    <s v="Zone C"/>
    <s v="Production       "/>
    <s v="Field Operations"/>
    <s v="Black"/>
    <s v="Fully Meets"/>
    <n v="1"/>
  </r>
  <r>
    <x v="166"/>
    <x v="4"/>
    <x v="160"/>
    <s v="17-27"/>
    <n v="23"/>
    <d v="1999-02-21T00:00:00"/>
    <s v="Massachusetts"/>
    <s v="MA"/>
    <s v="Female"/>
    <s v="Widowed"/>
    <s v="Production Technician II"/>
    <s v="Active"/>
    <s v="Full-Time"/>
    <s v="Zone C"/>
    <s v="Production       "/>
    <s v="General - Con"/>
    <s v="Black"/>
    <s v="Fully Meets"/>
    <n v="4"/>
  </r>
  <r>
    <x v="167"/>
    <x v="5"/>
    <x v="161"/>
    <s v="17-27"/>
    <n v="23"/>
    <d v="2000-09-21T00:00:00"/>
    <s v="Massachusetts"/>
    <s v="MA"/>
    <s v="Female"/>
    <s v="Divorced"/>
    <s v="Production Technician I"/>
    <s v="Active"/>
    <s v="Contract"/>
    <s v="Zone A"/>
    <s v="Production       "/>
    <s v="Field Operations"/>
    <s v="Asian"/>
    <s v="Fully Meets"/>
    <n v="1"/>
  </r>
  <r>
    <x v="168"/>
    <x v="2"/>
    <x v="162"/>
    <s v="17-27"/>
    <n v="23"/>
    <d v="1997-01-27T00:00:00"/>
    <s v="Massachusetts"/>
    <s v="MA"/>
    <s v="Male"/>
    <s v="Single"/>
    <s v="Production Technician I"/>
    <s v="Terminated"/>
    <s v="Contract"/>
    <s v="Zone B"/>
    <s v="Production       "/>
    <s v="Wireline Construction"/>
    <s v="White"/>
    <s v="Fully Meets"/>
    <n v="4"/>
  </r>
  <r>
    <x v="169"/>
    <x v="4"/>
    <x v="163"/>
    <s v="17-27"/>
    <n v="23"/>
    <d v="1999-12-04T00:00:00"/>
    <s v="Massachusetts"/>
    <s v="MA"/>
    <s v="Male"/>
    <s v="Divorced"/>
    <s v="Production Technician I"/>
    <s v="Terminated"/>
    <s v="Part-Time"/>
    <s v="Zone A"/>
    <s v="Production       "/>
    <s v="Field Operations"/>
    <s v="Hispanic"/>
    <s v="Exceeds"/>
    <n v="3"/>
  </r>
  <r>
    <x v="170"/>
    <x v="0"/>
    <x v="164"/>
    <s v="17-27"/>
    <n v="23"/>
    <d v="1995-12-07T00:00:00"/>
    <s v="Massachusetts"/>
    <s v="MA"/>
    <s v="Male"/>
    <s v="Single"/>
    <s v="Production Technician I"/>
    <s v="Active"/>
    <s v="Part-Time"/>
    <s v="Zone A"/>
    <s v="Production       "/>
    <s v="Field Operations"/>
    <s v="Other"/>
    <s v="Fully Meets"/>
    <n v="1"/>
  </r>
  <r>
    <x v="171"/>
    <x v="5"/>
    <x v="137"/>
    <s v="17-27"/>
    <n v="23"/>
    <d v="2000-04-29T00:00:00"/>
    <s v="Massachusetts"/>
    <s v="MA"/>
    <s v="Male"/>
    <s v="Divorced"/>
    <s v="Production Technician I"/>
    <s v="Active"/>
    <s v="Contract"/>
    <s v="Zone B"/>
    <s v="Production       "/>
    <s v="Fielders"/>
    <s v="Hispanic"/>
    <s v="Fully Meets"/>
    <n v="2"/>
  </r>
  <r>
    <x v="172"/>
    <x v="5"/>
    <x v="165"/>
    <s v="17-27"/>
    <n v="23"/>
    <d v="2000-02-03T00:00:00"/>
    <s v="Massachusetts"/>
    <s v="MA"/>
    <s v="Male"/>
    <s v="Widowed"/>
    <s v="Production Technician I"/>
    <s v="Active"/>
    <s v="Full-Time"/>
    <s v="Zone C"/>
    <s v="Production       "/>
    <s v="General - Con"/>
    <s v="White"/>
    <s v="Fully Meets"/>
    <n v="3"/>
  </r>
  <r>
    <x v="173"/>
    <x v="4"/>
    <x v="75"/>
    <s v="17-27"/>
    <n v="23"/>
    <d v="1999-04-13T00:00:00"/>
    <s v="Massachusetts"/>
    <s v="MA"/>
    <s v="Female"/>
    <s v="Single"/>
    <s v="Production Technician I"/>
    <s v="Active"/>
    <s v="Part-Time"/>
    <s v="Zone C"/>
    <s v="Production       "/>
    <s v="Field Operations"/>
    <s v="Black"/>
    <s v="Fully Meets"/>
    <n v="2"/>
  </r>
  <r>
    <x v="174"/>
    <x v="4"/>
    <x v="166"/>
    <s v="17-27"/>
    <n v="23"/>
    <d v="1999-12-22T00:00:00"/>
    <s v="Massachusetts"/>
    <s v="MA"/>
    <s v="Female"/>
    <s v="Single"/>
    <s v="Production Technician I"/>
    <s v="Active"/>
    <s v="Full-Time"/>
    <s v="Zone B"/>
    <s v="Production       "/>
    <s v="Fielders"/>
    <s v="White"/>
    <s v="Fully Meets"/>
    <n v="3"/>
  </r>
  <r>
    <x v="175"/>
    <x v="1"/>
    <x v="6"/>
    <s v="17-27"/>
    <n v="23"/>
    <d v="1996-10-23T00:00:00"/>
    <s v="Massachusetts"/>
    <s v="MA"/>
    <s v="Female"/>
    <s v="Married"/>
    <s v="Production Technician I"/>
    <s v="Terminated"/>
    <s v="Contract"/>
    <s v="Zone A"/>
    <s v="Production       "/>
    <s v="Aerial"/>
    <s v="White"/>
    <s v="PIP"/>
    <n v="1"/>
  </r>
  <r>
    <x v="176"/>
    <x v="3"/>
    <x v="167"/>
    <s v="17-27"/>
    <n v="23"/>
    <d v="1998-05-10T00:00:00"/>
    <s v="Massachusetts"/>
    <s v="MA"/>
    <s v="Male"/>
    <s v="Divorced"/>
    <s v="Production Technician I"/>
    <s v="Active"/>
    <s v="Part-Time"/>
    <s v="Zone B"/>
    <s v="Production       "/>
    <s v="General - Con"/>
    <s v="Asian"/>
    <s v="Exceeds"/>
    <n v="4"/>
  </r>
  <r>
    <x v="177"/>
    <x v="2"/>
    <x v="168"/>
    <s v="17-27"/>
    <n v="23"/>
    <d v="1997-02-24T00:00:00"/>
    <s v="Massachusetts"/>
    <s v="MA"/>
    <s v="Female"/>
    <s v="Widowed"/>
    <s v="Production Technician I"/>
    <s v="Active"/>
    <s v="Part-Time"/>
    <s v="Zone A"/>
    <s v="Production       "/>
    <s v="Field Operations"/>
    <s v="White"/>
    <s v="PIP"/>
    <n v="4"/>
  </r>
  <r>
    <x v="178"/>
    <x v="5"/>
    <x v="169"/>
    <s v="17-27"/>
    <n v="23"/>
    <d v="2000-07-09T00:00:00"/>
    <s v="Massachusetts"/>
    <s v="MA"/>
    <s v="Male"/>
    <s v="Single"/>
    <s v="Production Technician I"/>
    <s v="Active"/>
    <s v="Full-Time"/>
    <s v="Zone A"/>
    <s v="Production       "/>
    <s v="Field Operations"/>
    <s v="Asian"/>
    <s v="Exceeds"/>
    <n v="5"/>
  </r>
  <r>
    <x v="179"/>
    <x v="3"/>
    <x v="167"/>
    <s v="17-27"/>
    <n v="23"/>
    <d v="1998-11-29T00:00:00"/>
    <s v="Massachusetts"/>
    <s v="MA"/>
    <s v="Female"/>
    <s v="Single"/>
    <s v="Production Technician I"/>
    <s v="Active"/>
    <s v="Contract"/>
    <s v="Zone C"/>
    <s v="Production       "/>
    <s v="Field Operations"/>
    <s v="Hispanic"/>
    <s v="Exceeds"/>
    <n v="2"/>
  </r>
  <r>
    <x v="180"/>
    <x v="3"/>
    <x v="170"/>
    <s v="17-27"/>
    <n v="23"/>
    <d v="1998-11-14T00:00:00"/>
    <s v="Massachusetts"/>
    <s v="MA"/>
    <s v="Male"/>
    <s v="Married"/>
    <s v="Production Technician I"/>
    <s v="Terminated"/>
    <s v="Full-Time"/>
    <s v="Zone B"/>
    <s v="Production       "/>
    <s v="Field Operations"/>
    <s v="White"/>
    <s v="Fully Meets"/>
    <n v="5"/>
  </r>
  <r>
    <x v="181"/>
    <x v="1"/>
    <x v="171"/>
    <s v="17-27"/>
    <n v="23"/>
    <d v="1996-11-30T00:00:00"/>
    <s v="Massachusetts"/>
    <s v="MA"/>
    <s v="Female"/>
    <s v="Divorced"/>
    <s v="Production Technician I"/>
    <s v="Active"/>
    <s v="Full-Time"/>
    <s v="Zone A"/>
    <s v="Production       "/>
    <s v="Field Operations"/>
    <s v="Asian"/>
    <s v="Fully Meets"/>
    <n v="4"/>
  </r>
  <r>
    <x v="182"/>
    <x v="1"/>
    <x v="172"/>
    <s v="17-27"/>
    <n v="23"/>
    <d v="1996-03-18T00:00:00"/>
    <s v="Massachusetts"/>
    <s v="MA"/>
    <s v="Male"/>
    <s v="Married"/>
    <s v="Production Technician I"/>
    <s v="Active"/>
    <s v="Part-Time"/>
    <s v="Zone A"/>
    <s v="Production       "/>
    <s v="Wireline Construction"/>
    <s v="Hispanic"/>
    <s v="Fully Meets"/>
    <n v="4"/>
  </r>
  <r>
    <x v="183"/>
    <x v="2"/>
    <x v="173"/>
    <s v="17-27"/>
    <n v="23"/>
    <d v="1997-02-17T00:00:00"/>
    <s v="Massachusetts"/>
    <s v="MA"/>
    <s v="Female"/>
    <s v="Divorced"/>
    <s v="Production Technician I"/>
    <s v="Active"/>
    <s v="Contract"/>
    <s v="Zone A"/>
    <s v="Production       "/>
    <s v="Technology / It"/>
    <s v="Hispanic"/>
    <s v="Fully Meets"/>
    <n v="5"/>
  </r>
  <r>
    <x v="184"/>
    <x v="4"/>
    <x v="174"/>
    <s v="17-27"/>
    <n v="23"/>
    <d v="1999-01-25T00:00:00"/>
    <s v="Massachusetts"/>
    <s v="MA"/>
    <s v="Female"/>
    <s v="Divorced"/>
    <s v="Production Manager"/>
    <s v="Active"/>
    <s v="Full-Time"/>
    <s v="Zone B"/>
    <s v="Production       "/>
    <s v="Field Operations"/>
    <s v="Asian"/>
    <s v="Fully Meets"/>
    <n v="5"/>
  </r>
  <r>
    <x v="185"/>
    <x v="3"/>
    <x v="175"/>
    <s v="17-27"/>
    <n v="23"/>
    <d v="1998-09-09T00:00:00"/>
    <s v="Massachusetts"/>
    <s v="MA"/>
    <s v="Female"/>
    <s v="Widowed"/>
    <s v="Production Manager"/>
    <s v="Active"/>
    <s v="Full-Time"/>
    <s v="Zone C"/>
    <s v="Production       "/>
    <s v="Field Operations"/>
    <s v="Other"/>
    <s v="Fully Meets"/>
    <n v="3"/>
  </r>
  <r>
    <x v="186"/>
    <x v="4"/>
    <x v="176"/>
    <s v="17-27"/>
    <n v="23"/>
    <d v="1999-08-20T00:00:00"/>
    <s v="Massachusetts"/>
    <s v="MA"/>
    <s v="Male"/>
    <s v="Divorced"/>
    <s v="Network Engineer"/>
    <s v="Active"/>
    <s v="Full-Time"/>
    <s v="Zone B"/>
    <s v="IT/IS"/>
    <s v="General - Con"/>
    <s v="Asian"/>
    <s v="Fully Meets"/>
    <n v="3"/>
  </r>
  <r>
    <x v="187"/>
    <x v="1"/>
    <x v="177"/>
    <s v="17-27"/>
    <n v="23"/>
    <d v="1996-01-13T00:00:00"/>
    <s v="Massachusetts"/>
    <s v="MA"/>
    <s v="Male"/>
    <s v="Married"/>
    <s v="Network Engineer"/>
    <s v="Active"/>
    <s v="Full-Time"/>
    <s v="Zone C"/>
    <s v="IT/IS"/>
    <s v="Field Operations"/>
    <s v="Hispanic"/>
    <s v="Fully Meets"/>
    <n v="5"/>
  </r>
  <r>
    <x v="188"/>
    <x v="1"/>
    <x v="178"/>
    <s v="17-27"/>
    <n v="23"/>
    <d v="1996-08-18T00:00:00"/>
    <s v="Massachusetts"/>
    <s v="MA"/>
    <s v="Male"/>
    <s v="Married"/>
    <s v="IT Support"/>
    <s v="Active"/>
    <s v="Full-Time"/>
    <s v="Zone C"/>
    <s v="IT/IS"/>
    <s v="Field Operations"/>
    <s v="Asian"/>
    <s v="Fully Meets"/>
    <n v="1"/>
  </r>
  <r>
    <x v="189"/>
    <x v="4"/>
    <x v="179"/>
    <s v="17-27"/>
    <n v="23"/>
    <d v="1999-12-17T00:00:00"/>
    <s v="Massachusetts"/>
    <s v="MA"/>
    <s v="Female"/>
    <s v="Widowed"/>
    <s v="IT Support"/>
    <s v="Active"/>
    <s v="Part-Time"/>
    <s v="Zone B"/>
    <s v="IT/IS"/>
    <s v="Field Operations"/>
    <s v="Hispanic"/>
    <s v="Fully Meets"/>
    <n v="5"/>
  </r>
  <r>
    <x v="190"/>
    <x v="2"/>
    <x v="180"/>
    <s v="17-27"/>
    <n v="23"/>
    <d v="1997-07-05T00:00:00"/>
    <s v="Massachusetts"/>
    <s v="MA"/>
    <s v="Female"/>
    <s v="Single"/>
    <s v="Data Analyst"/>
    <s v="Active"/>
    <s v="Full-Time"/>
    <s v="Zone A"/>
    <s v="IT/IS"/>
    <s v="General - Sga"/>
    <s v="White"/>
    <s v="Fully Meets"/>
    <n v="3"/>
  </r>
  <r>
    <x v="191"/>
    <x v="4"/>
    <x v="181"/>
    <s v="17-27"/>
    <n v="23"/>
    <d v="1999-05-09T00:00:00"/>
    <s v="Massachusetts"/>
    <s v="MA"/>
    <s v="Male"/>
    <s v="Divorced"/>
    <s v="Data Analyst"/>
    <s v="Active"/>
    <s v="Full-Time"/>
    <s v="Zone A"/>
    <s v="Production       "/>
    <s v="Field Operations"/>
    <s v="Other"/>
    <s v="Fully Meets"/>
    <n v="2"/>
  </r>
  <r>
    <x v="192"/>
    <x v="1"/>
    <x v="182"/>
    <s v="17-27"/>
    <n v="23"/>
    <d v="1996-02-16T00:00:00"/>
    <s v="Massachusetts"/>
    <s v="MA"/>
    <s v="Male"/>
    <s v="Widowed"/>
    <s v="BI Developer"/>
    <s v="Active"/>
    <s v="Full-Time"/>
    <s v="Zone B"/>
    <s v="IT/IS"/>
    <s v="General - Con"/>
    <s v="Hispanic"/>
    <s v="Fully Meets"/>
    <n v="2"/>
  </r>
  <r>
    <x v="193"/>
    <x v="2"/>
    <x v="183"/>
    <s v="17-27"/>
    <n v="23"/>
    <d v="1997-11-22T00:00:00"/>
    <s v="Tennessee"/>
    <s v="TN"/>
    <s v="Male"/>
    <s v="Widowed"/>
    <s v="Area Sales Manager"/>
    <s v="Active"/>
    <s v="Full-Time"/>
    <s v="Zone A"/>
    <s v="Sales"/>
    <s v="Underground"/>
    <s v="White"/>
    <s v="Fully Meets"/>
    <n v="5"/>
  </r>
  <r>
    <x v="194"/>
    <x v="3"/>
    <x v="184"/>
    <s v="17-27"/>
    <n v="23"/>
    <d v="1998-04-04T00:00:00"/>
    <s v="North Dakota"/>
    <s v="ND"/>
    <s v="Male"/>
    <s v="Single"/>
    <s v="Area Sales Manager"/>
    <s v="Active"/>
    <s v="Contract"/>
    <s v="Zone A"/>
    <s v="Sales"/>
    <s v="Finance &amp; Accounting"/>
    <s v="Other"/>
    <s v="Fully Meets"/>
    <n v="5"/>
  </r>
  <r>
    <x v="195"/>
    <x v="5"/>
    <x v="185"/>
    <s v="17-27"/>
    <n v="23"/>
    <d v="2000-10-05T00:00:00"/>
    <s v="Massachusetts"/>
    <s v="MA"/>
    <s v="Male"/>
    <s v="Widowed"/>
    <s v="Area Sales Manager"/>
    <s v="Active"/>
    <s v="Contract"/>
    <s v="Zone C"/>
    <s v="IT/IS"/>
    <s v="Aerial"/>
    <s v="Other"/>
    <s v="Fully Meets"/>
    <n v="1"/>
  </r>
  <r>
    <x v="196"/>
    <x v="3"/>
    <x v="186"/>
    <s v="17-27"/>
    <n v="23"/>
    <d v="1998-04-09T00:00:00"/>
    <s v="Idaho"/>
    <s v="ID"/>
    <s v="Female"/>
    <s v="Widowed"/>
    <s v="Area Sales Manager"/>
    <s v="Active"/>
    <s v="Full-Time"/>
    <s v="Zone C"/>
    <s v="Sales"/>
    <s v="Catv"/>
    <s v="Black"/>
    <s v="Fully Meets"/>
    <n v="1"/>
  </r>
  <r>
    <x v="197"/>
    <x v="0"/>
    <x v="187"/>
    <s v="17-27"/>
    <n v="23"/>
    <d v="1995-07-18T00:00:00"/>
    <s v="Colorado"/>
    <s v="CO"/>
    <s v="Male"/>
    <s v="Single"/>
    <s v="Area Sales Manager"/>
    <s v="Active"/>
    <s v="Part-Time"/>
    <s v="Zone B"/>
    <s v="Sales"/>
    <s v="General - Con"/>
    <s v="Other"/>
    <s v="Fully Meets"/>
    <n v="2"/>
  </r>
  <r>
    <x v="198"/>
    <x v="5"/>
    <x v="188"/>
    <s v="17-27"/>
    <n v="23"/>
    <d v="2000-09-16T00:00:00"/>
    <s v="California"/>
    <s v="CA"/>
    <s v="Male"/>
    <s v="Single"/>
    <s v="Area Sales Manager"/>
    <s v="Active"/>
    <s v="Contract"/>
    <s v="Zone A"/>
    <s v="Sales"/>
    <s v="Aerial"/>
    <s v="Asian"/>
    <s v="Fully Meets"/>
    <n v="5"/>
  </r>
  <r>
    <x v="199"/>
    <x v="4"/>
    <x v="189"/>
    <s v="17-27"/>
    <n v="23"/>
    <d v="1999-01-26T00:00:00"/>
    <s v="Arizona"/>
    <s v="AZ"/>
    <s v="Male"/>
    <s v="Married"/>
    <s v="Area Sales Manager"/>
    <s v="Active"/>
    <s v="Part-Time"/>
    <s v="Zone A"/>
    <s v="Sales"/>
    <s v="Aerial"/>
    <s v="Other"/>
    <s v="Fully Meets"/>
    <n v="5"/>
  </r>
  <r>
    <x v="200"/>
    <x v="4"/>
    <x v="190"/>
    <s v="17-27"/>
    <n v="23"/>
    <d v="1999-07-19T00:00:00"/>
    <s v="Arizona"/>
    <s v="AZ"/>
    <s v="Male"/>
    <s v="Single"/>
    <s v="Area Sales Manager"/>
    <s v="Active"/>
    <s v="Full-Time"/>
    <s v="Zone B"/>
    <s v="Sales"/>
    <s v="Splicing"/>
    <s v="Other"/>
    <s v="Fully Meets"/>
    <n v="1"/>
  </r>
  <r>
    <x v="201"/>
    <x v="3"/>
    <x v="191"/>
    <s v="17-27"/>
    <n v="23"/>
    <d v="1998-03-05T00:00:00"/>
    <s v="Massachusetts"/>
    <s v="MA"/>
    <s v="Male"/>
    <s v="Divorced"/>
    <s v="Accountant I"/>
    <s v="Active"/>
    <s v="Contract"/>
    <s v="Zone C"/>
    <s v="Admin Offices"/>
    <s v="Field Operations"/>
    <s v="White"/>
    <s v="Fully Meets"/>
    <n v="1"/>
  </r>
  <r>
    <x v="202"/>
    <x v="2"/>
    <x v="192"/>
    <s v="17-27"/>
    <n v="24"/>
    <d v="1996-05-01T00:00:00"/>
    <s v="Massachusetts"/>
    <s v="MA"/>
    <s v="Female"/>
    <s v="Single"/>
    <s v="Production Technician II"/>
    <s v="Terminated"/>
    <s v="Part-Time"/>
    <s v="Zone C"/>
    <s v="Production       "/>
    <s v="Engineers"/>
    <s v="Other"/>
    <s v="Fully Meets"/>
    <n v="4"/>
  </r>
  <r>
    <x v="203"/>
    <x v="2"/>
    <x v="193"/>
    <s v="17-27"/>
    <n v="24"/>
    <d v="1996-02-04T00:00:00"/>
    <s v="Massachusetts"/>
    <s v="MA"/>
    <s v="Female"/>
    <s v="Married"/>
    <s v="Production Technician II"/>
    <s v="Active"/>
    <s v="Part-Time"/>
    <s v="Zone B"/>
    <s v="Production       "/>
    <s v="Technology / It"/>
    <s v="Asian"/>
    <s v="Fully Meets"/>
    <n v="2"/>
  </r>
  <r>
    <x v="204"/>
    <x v="1"/>
    <x v="194"/>
    <s v="17-27"/>
    <n v="24"/>
    <d v="1995-02-18T00:00:00"/>
    <s v="Massachusetts"/>
    <s v="MA"/>
    <s v="Female"/>
    <s v="Widowed"/>
    <s v="Production Technician II"/>
    <s v="Active"/>
    <s v="Contract"/>
    <s v="Zone C"/>
    <s v="Production       "/>
    <s v="General - Con"/>
    <s v="Hispanic"/>
    <s v="Fully Meets"/>
    <n v="1"/>
  </r>
  <r>
    <x v="205"/>
    <x v="2"/>
    <x v="195"/>
    <s v="17-27"/>
    <n v="24"/>
    <d v="1996-03-10T00:00:00"/>
    <s v="Massachusetts"/>
    <s v="MA"/>
    <s v="Female"/>
    <s v="Widowed"/>
    <s v="Production Technician II"/>
    <s v="Active"/>
    <s v="Full-Time"/>
    <s v="Zone A"/>
    <s v="Production       "/>
    <s v="Field Operations"/>
    <s v="Hispanic"/>
    <s v="Fully Meets"/>
    <n v="4"/>
  </r>
  <r>
    <x v="206"/>
    <x v="2"/>
    <x v="196"/>
    <s v="17-27"/>
    <n v="24"/>
    <d v="1996-10-07T00:00:00"/>
    <s v="Massachusetts"/>
    <s v="MA"/>
    <s v="Female"/>
    <s v="Divorced"/>
    <s v="Production Technician II"/>
    <s v="Active"/>
    <s v="Contract"/>
    <s v="Zone C"/>
    <s v="Production       "/>
    <s v="Aerial"/>
    <s v="White"/>
    <s v="Fully Meets"/>
    <n v="5"/>
  </r>
  <r>
    <x v="207"/>
    <x v="5"/>
    <x v="197"/>
    <s v="17-27"/>
    <n v="24"/>
    <d v="1999-03-20T00:00:00"/>
    <s v="Massachusetts"/>
    <s v="MA"/>
    <s v="Female"/>
    <s v="Widowed"/>
    <s v="Production Technician II"/>
    <s v="Active"/>
    <s v="Part-Time"/>
    <s v="Zone A"/>
    <s v="Production       "/>
    <s v="Wireless"/>
    <s v="Black"/>
    <s v="Exceeds"/>
    <n v="4"/>
  </r>
  <r>
    <x v="208"/>
    <x v="4"/>
    <x v="198"/>
    <s v="17-27"/>
    <n v="24"/>
    <d v="1998-01-28T00:00:00"/>
    <s v="Massachusetts"/>
    <s v="MA"/>
    <s v="Female"/>
    <s v="Divorced"/>
    <s v="Production Technician II"/>
    <s v="Active"/>
    <s v="Full-Time"/>
    <s v="Zone B"/>
    <s v="Production       "/>
    <s v="Field Operations"/>
    <s v="Hispanic"/>
    <s v="Exceeds"/>
    <n v="5"/>
  </r>
  <r>
    <x v="209"/>
    <x v="0"/>
    <x v="199"/>
    <s v="17-27"/>
    <n v="24"/>
    <d v="1994-02-10T00:00:00"/>
    <s v="Massachusetts"/>
    <s v="MA"/>
    <s v="Female"/>
    <s v="Divorced"/>
    <s v="Production Technician II"/>
    <s v="Terminated"/>
    <s v="Part-Time"/>
    <s v="Zone C"/>
    <s v="Production       "/>
    <s v="General - Con"/>
    <s v="Other"/>
    <s v="Fully Meets"/>
    <n v="2"/>
  </r>
  <r>
    <x v="210"/>
    <x v="4"/>
    <x v="200"/>
    <s v="17-27"/>
    <n v="24"/>
    <d v="1998-03-14T00:00:00"/>
    <s v="Massachusetts"/>
    <s v="MA"/>
    <s v="Female"/>
    <s v="Single"/>
    <s v="Production Technician I"/>
    <s v="Active"/>
    <s v="Contract"/>
    <s v="Zone A"/>
    <s v="Production       "/>
    <s v="Splicing"/>
    <s v="White"/>
    <s v="Fully Meets"/>
    <n v="3"/>
  </r>
  <r>
    <x v="211"/>
    <x v="4"/>
    <x v="201"/>
    <s v="17-27"/>
    <n v="24"/>
    <d v="1998-08-23T00:00:00"/>
    <s v="Massachusetts"/>
    <s v="MA"/>
    <s v="Male"/>
    <s v="Single"/>
    <s v="Production Technician I"/>
    <s v="Active"/>
    <s v="Part-Time"/>
    <s v="Zone B"/>
    <s v="Production       "/>
    <s v="Billable Consultants"/>
    <s v="Black"/>
    <s v="Fully Meets"/>
    <n v="1"/>
  </r>
  <r>
    <x v="212"/>
    <x v="1"/>
    <x v="202"/>
    <s v="17-27"/>
    <n v="24"/>
    <d v="1995-07-19T00:00:00"/>
    <s v="Massachusetts"/>
    <s v="MA"/>
    <s v="Female"/>
    <s v="Divorced"/>
    <s v="Production Technician I"/>
    <s v="Active"/>
    <s v="Part-Time"/>
    <s v="Zone B"/>
    <s v="Production       "/>
    <s v="Catv"/>
    <s v="Hispanic"/>
    <s v="Fully Meets"/>
    <n v="3"/>
  </r>
  <r>
    <x v="213"/>
    <x v="4"/>
    <x v="203"/>
    <s v="17-27"/>
    <n v="24"/>
    <d v="1998-05-04T00:00:00"/>
    <s v="Massachusetts"/>
    <s v="MA"/>
    <s v="Female"/>
    <s v="Married"/>
    <s v="Production Technician I"/>
    <s v="Active"/>
    <s v="Contract"/>
    <s v="Zone C"/>
    <s v="Production       "/>
    <s v="General - Con"/>
    <s v="Hispanic"/>
    <s v="Exceeds"/>
    <n v="2"/>
  </r>
  <r>
    <x v="214"/>
    <x v="4"/>
    <x v="204"/>
    <s v="17-27"/>
    <n v="24"/>
    <d v="1998-11-22T00:00:00"/>
    <s v="Massachusetts"/>
    <s v="MA"/>
    <s v="Female"/>
    <s v="Married"/>
    <s v="Production Technician I"/>
    <s v="Active"/>
    <s v="Contract"/>
    <s v="Zone C"/>
    <s v="Production       "/>
    <s v="General - Sga"/>
    <s v="Black"/>
    <s v="Fully Meets"/>
    <n v="3"/>
  </r>
  <r>
    <x v="215"/>
    <x v="4"/>
    <x v="205"/>
    <s v="17-27"/>
    <n v="24"/>
    <d v="1998-12-08T00:00:00"/>
    <s v="Massachusetts"/>
    <s v="MA"/>
    <s v="Female"/>
    <s v="Divorced"/>
    <s v="Production Technician I"/>
    <s v="Active"/>
    <s v="Full-Time"/>
    <s v="Zone A"/>
    <s v="Production       "/>
    <s v="People Services"/>
    <s v="Asian"/>
    <s v="Fully Meets"/>
    <n v="5"/>
  </r>
  <r>
    <x v="216"/>
    <x v="2"/>
    <x v="206"/>
    <s v="17-27"/>
    <n v="24"/>
    <d v="1996-08-23T00:00:00"/>
    <s v="Massachusetts"/>
    <s v="MA"/>
    <s v="Female"/>
    <s v="Married"/>
    <s v="Production Technician I"/>
    <s v="Active"/>
    <s v="Contract"/>
    <s v="Zone A"/>
    <s v="Production       "/>
    <s v="Wireline Construction"/>
    <s v="Black"/>
    <s v="Fully Meets"/>
    <n v="2"/>
  </r>
  <r>
    <x v="217"/>
    <x v="3"/>
    <x v="207"/>
    <s v="17-27"/>
    <n v="24"/>
    <d v="1997-06-11T00:00:00"/>
    <s v="Massachusetts"/>
    <s v="MA"/>
    <s v="Male"/>
    <s v="Married"/>
    <s v="Production Technician I"/>
    <s v="Active"/>
    <s v="Full-Time"/>
    <s v="Zone B"/>
    <s v="Production       "/>
    <s v="Project Management - Con"/>
    <s v="Asian"/>
    <s v="Fully Meets"/>
    <n v="1"/>
  </r>
  <r>
    <x v="218"/>
    <x v="3"/>
    <x v="208"/>
    <s v="17-27"/>
    <n v="24"/>
    <d v="1997-05-14T00:00:00"/>
    <s v="Massachusetts"/>
    <s v="MA"/>
    <s v="Female"/>
    <s v="Divorced"/>
    <s v="Production Technician I"/>
    <s v="Active"/>
    <s v="Full-Time"/>
    <s v="Zone C"/>
    <s v="Production       "/>
    <s v="Shop (Fleet)"/>
    <s v="White"/>
    <s v="Exceeds"/>
    <n v="3"/>
  </r>
  <r>
    <x v="219"/>
    <x v="5"/>
    <x v="209"/>
    <s v="17-27"/>
    <n v="24"/>
    <d v="1999-04-23T00:00:00"/>
    <s v="Massachusetts"/>
    <s v="MA"/>
    <s v="Male"/>
    <s v="Divorced"/>
    <s v="Production Technician I"/>
    <s v="Active"/>
    <s v="Contract"/>
    <s v="Zone B"/>
    <s v="Production       "/>
    <s v="General - Sga"/>
    <s v="Hispanic"/>
    <s v="Fully Meets"/>
    <n v="2"/>
  </r>
  <r>
    <x v="220"/>
    <x v="2"/>
    <x v="210"/>
    <s v="17-27"/>
    <n v="24"/>
    <d v="1996-06-29T00:00:00"/>
    <s v="Massachusetts"/>
    <s v="MA"/>
    <s v="Male"/>
    <s v="Widowed"/>
    <s v="Production Technician I"/>
    <s v="Active"/>
    <s v="Part-Time"/>
    <s v="Zone A"/>
    <s v="Production       "/>
    <s v="General - Con"/>
    <s v="Black"/>
    <s v="Fully Meets"/>
    <n v="3"/>
  </r>
  <r>
    <x v="221"/>
    <x v="4"/>
    <x v="211"/>
    <s v="17-27"/>
    <n v="24"/>
    <d v="1998-09-12T00:00:00"/>
    <s v="Massachusetts"/>
    <s v="MA"/>
    <s v="Male"/>
    <s v="Divorced"/>
    <s v="Production Technician I"/>
    <s v="Active"/>
    <s v="Part-Time"/>
    <s v="Zone A"/>
    <s v="Production       "/>
    <s v="Field Operations"/>
    <s v="Hispanic"/>
    <s v="Fully Meets"/>
    <n v="2"/>
  </r>
  <r>
    <x v="222"/>
    <x v="3"/>
    <x v="212"/>
    <s v="17-27"/>
    <n v="24"/>
    <d v="1997-02-07T00:00:00"/>
    <s v="Massachusetts"/>
    <s v="MA"/>
    <s v="Female"/>
    <s v="Married"/>
    <s v="Production Technician I"/>
    <s v="Active"/>
    <s v="Contract"/>
    <s v="Zone C"/>
    <s v="Production       "/>
    <s v="Wireline Construction"/>
    <s v="Asian"/>
    <s v="Fully Meets"/>
    <n v="4"/>
  </r>
  <r>
    <x v="223"/>
    <x v="3"/>
    <x v="213"/>
    <s v="17-27"/>
    <n v="24"/>
    <d v="1997-03-26T00:00:00"/>
    <s v="Massachusetts"/>
    <s v="MA"/>
    <s v="Female"/>
    <s v="Single"/>
    <s v="Production Technician I"/>
    <s v="Terminated"/>
    <s v="Full-Time"/>
    <s v="Zone A"/>
    <s v="Production       "/>
    <s v="Project Management - Con"/>
    <s v="White"/>
    <s v="Exceeds"/>
    <n v="3"/>
  </r>
  <r>
    <x v="224"/>
    <x v="3"/>
    <x v="214"/>
    <s v="17-27"/>
    <n v="24"/>
    <d v="1997-10-01T00:00:00"/>
    <s v="Massachusetts"/>
    <s v="MA"/>
    <s v="Female"/>
    <s v="Widowed"/>
    <s v="Production Technician I"/>
    <s v="Active"/>
    <s v="Contract"/>
    <s v="Zone C"/>
    <s v="Production       "/>
    <s v="Project Management - Con"/>
    <s v="White"/>
    <s v="Fully Meets"/>
    <n v="2"/>
  </r>
  <r>
    <x v="225"/>
    <x v="1"/>
    <x v="215"/>
    <s v="17-27"/>
    <n v="24"/>
    <d v="1995-07-03T00:00:00"/>
    <s v="Massachusetts"/>
    <s v="MA"/>
    <s v="Female"/>
    <s v="Single"/>
    <s v="Production Technician I"/>
    <s v="Active"/>
    <s v="Contract"/>
    <s v="Zone C"/>
    <s v="Production       "/>
    <s v="Field Operations"/>
    <s v="Other"/>
    <s v="Exceeds"/>
    <n v="2"/>
  </r>
  <r>
    <x v="226"/>
    <x v="2"/>
    <x v="216"/>
    <s v="17-27"/>
    <n v="24"/>
    <d v="1996-07-02T00:00:00"/>
    <s v="Massachusetts"/>
    <s v="MA"/>
    <s v="Female"/>
    <s v="Married"/>
    <s v="Production Technician I"/>
    <s v="Active"/>
    <s v="Contract"/>
    <s v="Zone A"/>
    <s v="Production       "/>
    <s v="Field Operations"/>
    <s v="White"/>
    <s v="Fully Meets"/>
    <n v="1"/>
  </r>
  <r>
    <x v="227"/>
    <x v="1"/>
    <x v="217"/>
    <s v="17-27"/>
    <n v="24"/>
    <d v="1995-03-19T00:00:00"/>
    <s v="Massachusetts"/>
    <s v="MA"/>
    <s v="Female"/>
    <s v="Widowed"/>
    <s v="Production Technician I"/>
    <s v="Active"/>
    <s v="Contract"/>
    <s v="Zone C"/>
    <s v="Production       "/>
    <s v="General - Sga"/>
    <s v="Other"/>
    <s v="Needs Improvement"/>
    <n v="2"/>
  </r>
  <r>
    <x v="228"/>
    <x v="2"/>
    <x v="218"/>
    <s v="17-27"/>
    <n v="24"/>
    <d v="1996-06-25T00:00:00"/>
    <s v="Massachusetts"/>
    <s v="MA"/>
    <s v="Male"/>
    <s v="Single"/>
    <s v="Production Technician I"/>
    <s v="Active"/>
    <s v="Contract"/>
    <s v="Zone C"/>
    <s v="Production       "/>
    <s v="Project Management - Con"/>
    <s v="Asian"/>
    <s v="Exceeds"/>
    <n v="5"/>
  </r>
  <r>
    <x v="229"/>
    <x v="3"/>
    <x v="219"/>
    <s v="17-27"/>
    <n v="24"/>
    <d v="1997-08-09T00:00:00"/>
    <s v="Massachusetts"/>
    <s v="MA"/>
    <s v="Female"/>
    <s v="Widowed"/>
    <s v="Production Technician I"/>
    <s v="Active"/>
    <s v="Full-Time"/>
    <s v="Zone B"/>
    <s v="Production       "/>
    <s v="General - Eng"/>
    <s v="Black"/>
    <s v="Fully Meets"/>
    <n v="5"/>
  </r>
  <r>
    <x v="230"/>
    <x v="3"/>
    <x v="220"/>
    <s v="17-27"/>
    <n v="24"/>
    <d v="1997-08-07T00:00:00"/>
    <s v="Massachusetts"/>
    <s v="MA"/>
    <s v="Male"/>
    <s v="Single"/>
    <s v="Production Technician I"/>
    <s v="Active"/>
    <s v="Part-Time"/>
    <s v="Zone B"/>
    <s v="Production       "/>
    <s v="Project Management - Con"/>
    <s v="Hispanic"/>
    <s v="Fully Meets"/>
    <n v="3"/>
  </r>
  <r>
    <x v="231"/>
    <x v="4"/>
    <x v="221"/>
    <s v="17-27"/>
    <n v="24"/>
    <d v="1998-05-29T00:00:00"/>
    <s v="Massachusetts"/>
    <s v="MA"/>
    <s v="Female"/>
    <s v="Single"/>
    <s v="Production Technician I"/>
    <s v="Active"/>
    <s v="Full-Time"/>
    <s v="Zone C"/>
    <s v="Production       "/>
    <s v="Aerial"/>
    <s v="Hispanic"/>
    <s v="Fully Meets"/>
    <n v="4"/>
  </r>
  <r>
    <x v="232"/>
    <x v="1"/>
    <x v="222"/>
    <s v="17-27"/>
    <n v="24"/>
    <d v="1995-03-22T00:00:00"/>
    <s v="Massachusetts"/>
    <s v="MA"/>
    <s v="Female"/>
    <s v="Single"/>
    <s v="Production Technician I"/>
    <s v="Active"/>
    <s v="Part-Time"/>
    <s v="Zone B"/>
    <s v="Production       "/>
    <s v="Splicing"/>
    <s v="Black"/>
    <s v="Fully Meets"/>
    <n v="4"/>
  </r>
  <r>
    <x v="233"/>
    <x v="1"/>
    <x v="223"/>
    <s v="17-27"/>
    <n v="24"/>
    <d v="1995-09-14T00:00:00"/>
    <s v="Massachusetts"/>
    <s v="MA"/>
    <s v="Male"/>
    <s v="Divorced"/>
    <s v="Production Technician I"/>
    <s v="Active"/>
    <s v="Part-Time"/>
    <s v="Zone C"/>
    <s v="Production       "/>
    <s v="General - Eng"/>
    <s v="Asian"/>
    <s v="Fully Meets"/>
    <n v="4"/>
  </r>
  <r>
    <x v="234"/>
    <x v="5"/>
    <x v="209"/>
    <s v="17-27"/>
    <n v="24"/>
    <d v="1999-08-02T00:00:00"/>
    <s v="Massachusetts"/>
    <s v="MA"/>
    <s v="Male"/>
    <s v="Divorced"/>
    <s v="Production Technician I"/>
    <s v="Active"/>
    <s v="Contract"/>
    <s v="Zone B"/>
    <s v="Production       "/>
    <s v="Field Operations"/>
    <s v="Hispanic"/>
    <s v="Fully Meets"/>
    <n v="2"/>
  </r>
  <r>
    <x v="235"/>
    <x v="2"/>
    <x v="224"/>
    <s v="17-27"/>
    <n v="24"/>
    <d v="1996-07-01T00:00:00"/>
    <s v="Massachusetts"/>
    <s v="MA"/>
    <s v="Female"/>
    <s v="Married"/>
    <s v="Production Manager"/>
    <s v="Active"/>
    <s v="Full-Time"/>
    <s v="Zone B"/>
    <s v="Production       "/>
    <s v="Engineers"/>
    <s v="Other"/>
    <s v="Fully Meets"/>
    <n v="4"/>
  </r>
  <r>
    <x v="236"/>
    <x v="5"/>
    <x v="225"/>
    <s v="17-27"/>
    <n v="24"/>
    <d v="1999-06-04T00:00:00"/>
    <s v="Massachusetts"/>
    <s v="MA"/>
    <s v="Female"/>
    <s v="Married"/>
    <s v="Production Manager"/>
    <s v="Active"/>
    <s v="Part-Time"/>
    <s v="Zone A"/>
    <s v="Production       "/>
    <s v="Wireline Construction"/>
    <s v="Other"/>
    <s v="Fully Meets"/>
    <n v="3"/>
  </r>
  <r>
    <x v="237"/>
    <x v="3"/>
    <x v="226"/>
    <s v="17-27"/>
    <n v="24"/>
    <d v="1997-09-15T00:00:00"/>
    <s v="Massachusetts"/>
    <s v="MA"/>
    <s v="Female"/>
    <s v="Single"/>
    <s v="Production Manager"/>
    <s v="Active"/>
    <s v="Part-Time"/>
    <s v="Zone A"/>
    <s v="Production       "/>
    <s v="Aerial"/>
    <s v="Black"/>
    <s v="Fully Meets"/>
    <n v="1"/>
  </r>
  <r>
    <x v="238"/>
    <x v="2"/>
    <x v="227"/>
    <s v="17-27"/>
    <n v="24"/>
    <d v="1996-01-04T00:00:00"/>
    <s v="Massachusetts"/>
    <s v="MA"/>
    <s v="Female"/>
    <s v="Single"/>
    <s v="IT Support"/>
    <s v="Active"/>
    <s v="Contract"/>
    <s v="Zone B"/>
    <s v="IT/IS"/>
    <s v="Catv"/>
    <s v="Asian"/>
    <s v="Fully Meets"/>
    <n v="4"/>
  </r>
  <r>
    <x v="239"/>
    <x v="4"/>
    <x v="228"/>
    <s v="17-27"/>
    <n v="24"/>
    <d v="1998-05-23T00:00:00"/>
    <s v="Massachusetts"/>
    <s v="MA"/>
    <s v="Male"/>
    <s v="Married"/>
    <s v="IT Support"/>
    <s v="Active"/>
    <s v="Full-Time"/>
    <s v="Zone A"/>
    <s v="IT/IS"/>
    <s v="Field Operations"/>
    <s v="Black"/>
    <s v="Fully Meets"/>
    <n v="4"/>
  </r>
  <r>
    <x v="240"/>
    <x v="0"/>
    <x v="229"/>
    <s v="17-27"/>
    <n v="24"/>
    <d v="1994-11-07T00:00:00"/>
    <s v="Massachusetts"/>
    <s v="MA"/>
    <s v="Female"/>
    <s v="Divorced"/>
    <s v="IT Support"/>
    <s v="Active"/>
    <s v="Contract"/>
    <s v="Zone C"/>
    <s v="IT/IS"/>
    <s v="Field Operations"/>
    <s v="Black"/>
    <s v="Fully Meets"/>
    <n v="5"/>
  </r>
  <r>
    <x v="241"/>
    <x v="4"/>
    <x v="230"/>
    <s v="17-27"/>
    <n v="24"/>
    <d v="1998-06-27T00:00:00"/>
    <s v="Connecticut"/>
    <s v="CT"/>
    <s v="Male"/>
    <s v="Widowed"/>
    <s v="Enterprise Architect"/>
    <s v="Terminated"/>
    <s v="Full-Time"/>
    <s v="Zone B"/>
    <s v="IT/IS"/>
    <s v="General - Sga"/>
    <s v="Other"/>
    <s v="Fully Meets"/>
    <n v="3"/>
  </r>
  <r>
    <x v="242"/>
    <x v="1"/>
    <x v="231"/>
    <s v="17-27"/>
    <n v="24"/>
    <d v="1995-07-11T00:00:00"/>
    <s v="Massachusetts"/>
    <s v="MA"/>
    <s v="Male"/>
    <s v="Married"/>
    <s v="Director of Sales"/>
    <s v="Active"/>
    <s v="Contract"/>
    <s v="Zone B"/>
    <s v="Sales"/>
    <s v="General - Con"/>
    <s v="Hispanic"/>
    <s v="Fully Meets"/>
    <n v="4"/>
  </r>
  <r>
    <x v="243"/>
    <x v="2"/>
    <x v="232"/>
    <s v="17-27"/>
    <n v="24"/>
    <d v="1996-04-25T00:00:00"/>
    <s v="Massachusetts"/>
    <s v="MA"/>
    <s v="Male"/>
    <s v="Married"/>
    <s v="Director of Sales"/>
    <s v="Active"/>
    <s v="Part-Time"/>
    <s v="Zone A"/>
    <s v="Sales"/>
    <s v="Project Management - Eng"/>
    <s v="White"/>
    <s v="Fully Meets"/>
    <n v="1"/>
  </r>
  <r>
    <x v="244"/>
    <x v="2"/>
    <x v="233"/>
    <s v="17-27"/>
    <n v="24"/>
    <d v="1996-12-03T00:00:00"/>
    <s v="Massachusetts"/>
    <s v="MA"/>
    <s v="Female"/>
    <s v="Married"/>
    <s v="Database Administrator"/>
    <s v="Terminated"/>
    <s v="Full-Time"/>
    <s v="Zone B"/>
    <s v="IT/IS"/>
    <s v="Field Operations"/>
    <s v="Hispanic"/>
    <s v="Fully Meets"/>
    <n v="3"/>
  </r>
  <r>
    <x v="245"/>
    <x v="2"/>
    <x v="234"/>
    <s v="17-27"/>
    <n v="24"/>
    <d v="1996-10-30T00:00:00"/>
    <s v="Massachusetts"/>
    <s v="MA"/>
    <s v="Female"/>
    <s v="Single"/>
    <s v="Data Analyst "/>
    <s v="Active"/>
    <s v="Full-Time"/>
    <s v="Zone B"/>
    <s v="IT/IS"/>
    <s v="Engineers"/>
    <s v="White"/>
    <s v="Fully Meets"/>
    <n v="3"/>
  </r>
  <r>
    <x v="246"/>
    <x v="4"/>
    <x v="235"/>
    <s v="17-27"/>
    <n v="24"/>
    <d v="1998-03-23T00:00:00"/>
    <s v="Massachusetts"/>
    <s v="MA"/>
    <s v="Female"/>
    <s v="Single"/>
    <s v="Data Analyst"/>
    <s v="Active"/>
    <s v="Full-Time"/>
    <s v="Zone C"/>
    <s v="IT/IS"/>
    <s v="Engineers"/>
    <s v="Black"/>
    <s v="PIP"/>
    <n v="4"/>
  </r>
  <r>
    <x v="247"/>
    <x v="2"/>
    <x v="236"/>
    <s v="17-27"/>
    <n v="24"/>
    <d v="1996-02-29T00:00:00"/>
    <s v="New York"/>
    <s v="NY"/>
    <s v="Male"/>
    <s v="Married"/>
    <s v="Area Sales Manager"/>
    <s v="Active"/>
    <s v="Contract"/>
    <s v="Zone B"/>
    <s v="Sales"/>
    <s v="Engineers"/>
    <s v="Black"/>
    <s v="Fully Meets"/>
    <n v="5"/>
  </r>
  <r>
    <x v="248"/>
    <x v="0"/>
    <x v="237"/>
    <s v="17-27"/>
    <n v="24"/>
    <d v="1994-05-05T00:00:00"/>
    <s v="Massachusetts"/>
    <s v="MA"/>
    <s v="Female"/>
    <s v="Widowed"/>
    <s v="Area Sales Manager"/>
    <s v="Active"/>
    <s v="Contract"/>
    <s v="Zone B"/>
    <s v="IT/IS"/>
    <s v="Field Operations"/>
    <s v="Black"/>
    <s v="Fully Meets"/>
    <n v="3"/>
  </r>
  <r>
    <x v="249"/>
    <x v="0"/>
    <x v="238"/>
    <s v="17-27"/>
    <n v="24"/>
    <d v="1994-02-02T00:00:00"/>
    <s v="Kentucky"/>
    <s v="KY"/>
    <s v="Female"/>
    <s v="Single"/>
    <s v="Area Sales Manager"/>
    <s v="Active"/>
    <s v="Full-Time"/>
    <s v="Zone A"/>
    <s v="Sales"/>
    <s v="Fielders"/>
    <s v="Black"/>
    <s v="Fully Meets"/>
    <n v="5"/>
  </r>
  <r>
    <x v="250"/>
    <x v="3"/>
    <x v="239"/>
    <s v="17-27"/>
    <n v="24"/>
    <d v="1997-02-18T00:00:00"/>
    <s v="Kentucky"/>
    <s v="KY"/>
    <s v="Female"/>
    <s v="Divorced"/>
    <s v="Area Sales Manager"/>
    <s v="Active"/>
    <s v="Part-Time"/>
    <s v="Zone B"/>
    <s v="Sales"/>
    <s v="Finance &amp; Accounting"/>
    <s v="Asian"/>
    <s v="Fully Meets"/>
    <n v="4"/>
  </r>
  <r>
    <x v="251"/>
    <x v="4"/>
    <x v="240"/>
    <s v="17-27"/>
    <n v="25"/>
    <d v="1997-02-22T00:00:00"/>
    <s v="Massachusetts"/>
    <s v="MA"/>
    <s v="Female"/>
    <s v="Widowed"/>
    <s v="Sr. Network Engineer"/>
    <s v="Active"/>
    <s v="Part-Time"/>
    <s v="Zone A"/>
    <s v="IT/IS"/>
    <s v="Wireless"/>
    <s v="White"/>
    <s v="Needs Improvement"/>
    <n v="3"/>
  </r>
  <r>
    <x v="252"/>
    <x v="5"/>
    <x v="241"/>
    <s v="17-27"/>
    <n v="25"/>
    <d v="1998-10-27T00:00:00"/>
    <s v="Massachusetts"/>
    <s v="MA"/>
    <s v="Male"/>
    <s v="Widowed"/>
    <s v="Software Engineer"/>
    <s v="Active"/>
    <s v="Full-Time"/>
    <s v="Zone A"/>
    <s v="Software Engineering"/>
    <s v="Wireline Construction"/>
    <s v="Asian"/>
    <s v="Fully Meets"/>
    <n v="2"/>
  </r>
  <r>
    <x v="253"/>
    <x v="2"/>
    <x v="242"/>
    <s v="17-27"/>
    <n v="25"/>
    <d v="1995-10-16T00:00:00"/>
    <s v="Massachusetts"/>
    <s v="MA"/>
    <s v="Female"/>
    <s v="Divorced"/>
    <s v="Production Technician II"/>
    <s v="Active"/>
    <s v="Part-Time"/>
    <s v="Zone A"/>
    <s v="Production       "/>
    <s v="Field Operations"/>
    <s v="Hispanic"/>
    <s v="Fully Meets"/>
    <n v="1"/>
  </r>
  <r>
    <x v="254"/>
    <x v="1"/>
    <x v="58"/>
    <s v="17-27"/>
    <n v="25"/>
    <d v="1994-11-07T00:00:00"/>
    <s v="Massachusetts"/>
    <s v="MA"/>
    <s v="Female"/>
    <s v="Divorced"/>
    <s v="Production Technician II"/>
    <s v="Terminated"/>
    <s v="Full-Time"/>
    <s v="Zone C"/>
    <s v="Production       "/>
    <s v="Aerial"/>
    <s v="White"/>
    <s v="Fully Meets"/>
    <n v="4"/>
  </r>
  <r>
    <x v="255"/>
    <x v="1"/>
    <x v="243"/>
    <s v="17-27"/>
    <n v="25"/>
    <d v="1994-01-31T00:00:00"/>
    <s v="Massachusetts"/>
    <s v="MA"/>
    <s v="Male"/>
    <s v="Married"/>
    <s v="Production Technician II"/>
    <s v="Active"/>
    <s v="Full-Time"/>
    <s v="Zone A"/>
    <s v="Production       "/>
    <s v="Engineers"/>
    <s v="Black"/>
    <s v="Fully Meets"/>
    <n v="2"/>
  </r>
  <r>
    <x v="256"/>
    <x v="4"/>
    <x v="244"/>
    <s v="17-27"/>
    <n v="25"/>
    <d v="1997-05-17T00:00:00"/>
    <s v="Massachusetts"/>
    <s v="MA"/>
    <s v="Female"/>
    <s v="Married"/>
    <s v="Production Technician II"/>
    <s v="Active"/>
    <s v="Full-Time"/>
    <s v="Zone B"/>
    <s v="Production       "/>
    <s v="Project Management - Con"/>
    <s v="Hispanic"/>
    <s v="Fully Meets"/>
    <n v="3"/>
  </r>
  <r>
    <x v="257"/>
    <x v="5"/>
    <x v="137"/>
    <s v="17-27"/>
    <n v="25"/>
    <d v="1998-05-26T00:00:00"/>
    <s v="Massachusetts"/>
    <s v="MA"/>
    <s v="Male"/>
    <s v="Married"/>
    <s v="Production Technician II"/>
    <s v="Active"/>
    <s v="Part-Time"/>
    <s v="Zone C"/>
    <s v="Production       "/>
    <s v="General - Con"/>
    <s v="White"/>
    <s v="Fully Meets"/>
    <n v="1"/>
  </r>
  <r>
    <x v="258"/>
    <x v="1"/>
    <x v="245"/>
    <s v="17-27"/>
    <n v="25"/>
    <d v="1994-06-15T00:00:00"/>
    <s v="Massachusetts"/>
    <s v="MA"/>
    <s v="Female"/>
    <s v="Single"/>
    <s v="Production Technician II"/>
    <s v="Active"/>
    <s v="Part-Time"/>
    <s v="Zone A"/>
    <s v="Production       "/>
    <s v="Technology / It"/>
    <s v="White"/>
    <s v="Fully Meets"/>
    <n v="1"/>
  </r>
  <r>
    <x v="259"/>
    <x v="0"/>
    <x v="246"/>
    <s v="17-27"/>
    <n v="25"/>
    <d v="1993-12-25T00:00:00"/>
    <s v="Massachusetts"/>
    <s v="MA"/>
    <s v="Female"/>
    <s v="Divorced"/>
    <s v="Production Technician II"/>
    <s v="Active"/>
    <s v="Part-Time"/>
    <s v="Zone B"/>
    <s v="Production       "/>
    <s v="Billable Consultants"/>
    <s v="Asian"/>
    <s v="Fully Meets"/>
    <n v="2"/>
  </r>
  <r>
    <x v="260"/>
    <x v="2"/>
    <x v="247"/>
    <s v="17-27"/>
    <n v="25"/>
    <d v="1995-12-26T00:00:00"/>
    <s v="Massachusetts"/>
    <s v="MA"/>
    <s v="Female"/>
    <s v="Widowed"/>
    <s v="Production Technician II"/>
    <s v="Active"/>
    <s v="Full-Time"/>
    <s v="Zone A"/>
    <s v="Production       "/>
    <s v="General - Con"/>
    <s v="Black"/>
    <s v="Exceeds"/>
    <n v="2"/>
  </r>
  <r>
    <x v="261"/>
    <x v="4"/>
    <x v="248"/>
    <s v="17-27"/>
    <n v="25"/>
    <d v="1997-04-18T00:00:00"/>
    <s v="Massachusetts"/>
    <s v="MA"/>
    <s v="Female"/>
    <s v="Single"/>
    <s v="Production Technician II"/>
    <s v="Active"/>
    <s v="Part-Time"/>
    <s v="Zone C"/>
    <s v="Production       "/>
    <s v="General - Con"/>
    <s v="Black"/>
    <s v="Fully Meets"/>
    <n v="1"/>
  </r>
  <r>
    <x v="262"/>
    <x v="3"/>
    <x v="249"/>
    <s v="17-27"/>
    <n v="25"/>
    <d v="1996-01-23T00:00:00"/>
    <s v="Massachusetts"/>
    <s v="MA"/>
    <s v="Male"/>
    <s v="Single"/>
    <s v="Production Technician II"/>
    <s v="Active"/>
    <s v="Contract"/>
    <s v="Zone A"/>
    <s v="Production       "/>
    <s v="Field Operations"/>
    <s v="Asian"/>
    <s v="Fully Meets"/>
    <n v="2"/>
  </r>
  <r>
    <x v="263"/>
    <x v="0"/>
    <x v="250"/>
    <s v="17-27"/>
    <n v="25"/>
    <d v="1993-05-19T00:00:00"/>
    <s v="Massachusetts"/>
    <s v="MA"/>
    <s v="Female"/>
    <s v="Married"/>
    <s v="Production Technician II"/>
    <s v="Active"/>
    <s v="Contract"/>
    <s v="Zone A"/>
    <s v="Production       "/>
    <s v="General - Con"/>
    <s v="Hispanic"/>
    <s v="Exceeds"/>
    <n v="3"/>
  </r>
  <r>
    <x v="264"/>
    <x v="2"/>
    <x v="251"/>
    <s v="17-27"/>
    <n v="25"/>
    <d v="1995-04-01T00:00:00"/>
    <s v="Massachusetts"/>
    <s v="MA"/>
    <s v="Female"/>
    <s v="Single"/>
    <s v="Production Technician II"/>
    <s v="Terminated"/>
    <s v="Part-Time"/>
    <s v="Zone C"/>
    <s v="Production       "/>
    <s v="Field Operations"/>
    <s v="Other"/>
    <s v="Needs Improvement"/>
    <n v="1"/>
  </r>
  <r>
    <x v="265"/>
    <x v="2"/>
    <x v="96"/>
    <s v="17-27"/>
    <n v="25"/>
    <d v="1995-12-11T00:00:00"/>
    <s v="Massachusetts"/>
    <s v="MA"/>
    <s v="Male"/>
    <s v="Widowed"/>
    <s v="Production Technician II"/>
    <s v="Active"/>
    <s v="Contract"/>
    <s v="Zone C"/>
    <s v="Production       "/>
    <s v="Engineers"/>
    <s v="Black"/>
    <s v="Needs Improvement"/>
    <n v="4"/>
  </r>
  <r>
    <x v="266"/>
    <x v="2"/>
    <x v="252"/>
    <s v="17-27"/>
    <n v="25"/>
    <d v="1995-07-25T00:00:00"/>
    <s v="Massachusetts"/>
    <s v="MA"/>
    <s v="Female"/>
    <s v="Married"/>
    <s v="Production Technician I"/>
    <s v="Active"/>
    <s v="Contract"/>
    <s v="Zone A"/>
    <s v="Production       "/>
    <s v="General - Con"/>
    <s v="Other"/>
    <s v="Fully Meets"/>
    <n v="4"/>
  </r>
  <r>
    <x v="267"/>
    <x v="0"/>
    <x v="187"/>
    <s v="17-27"/>
    <n v="25"/>
    <d v="1993-11-29T00:00:00"/>
    <s v="Massachusetts"/>
    <s v="MA"/>
    <s v="Male"/>
    <s v="Divorced"/>
    <s v="Production Technician I"/>
    <s v="Active"/>
    <s v="Contract"/>
    <s v="Zone B"/>
    <s v="Production       "/>
    <s v="Yard (Material Handling)"/>
    <s v="Black"/>
    <s v="Fully Meets"/>
    <n v="4"/>
  </r>
  <r>
    <x v="268"/>
    <x v="5"/>
    <x v="253"/>
    <s v="17-27"/>
    <n v="25"/>
    <d v="1998-10-20T00:00:00"/>
    <s v="Massachusetts"/>
    <s v="MA"/>
    <s v="Male"/>
    <s v="Married"/>
    <s v="Production Technician I"/>
    <s v="Active"/>
    <s v="Part-Time"/>
    <s v="Zone C"/>
    <s v="Production       "/>
    <s v="Engineers"/>
    <s v="Asian"/>
    <s v="Fully Meets"/>
    <n v="5"/>
  </r>
  <r>
    <x v="269"/>
    <x v="1"/>
    <x v="254"/>
    <s v="17-27"/>
    <n v="25"/>
    <d v="1994-06-07T00:00:00"/>
    <s v="Massachusetts"/>
    <s v="MA"/>
    <s v="Male"/>
    <s v="Single"/>
    <s v="Production Technician I"/>
    <s v="Active"/>
    <s v="Contract"/>
    <s v="Zone A"/>
    <s v="Production       "/>
    <s v="Fielders"/>
    <s v="White"/>
    <s v="Fully Meets"/>
    <n v="5"/>
  </r>
  <r>
    <x v="270"/>
    <x v="3"/>
    <x v="255"/>
    <s v="17-27"/>
    <n v="25"/>
    <d v="1996-11-20T00:00:00"/>
    <s v="Massachusetts"/>
    <s v="MA"/>
    <s v="Male"/>
    <s v="Divorced"/>
    <s v="Production Technician I"/>
    <s v="Active"/>
    <s v="Contract"/>
    <s v="Zone A"/>
    <s v="Production       "/>
    <s v="Engineers"/>
    <s v="Asian"/>
    <s v="Fully Meets"/>
    <n v="2"/>
  </r>
  <r>
    <x v="271"/>
    <x v="0"/>
    <x v="256"/>
    <s v="17-27"/>
    <n v="25"/>
    <d v="1993-01-23T00:00:00"/>
    <s v="Massachusetts"/>
    <s v="MA"/>
    <s v="Female"/>
    <s v="Single"/>
    <s v="Production Technician I"/>
    <s v="Active"/>
    <s v="Part-Time"/>
    <s v="Zone C"/>
    <s v="Production       "/>
    <s v="Aerial"/>
    <s v="Asian"/>
    <s v="Fully Meets"/>
    <n v="3"/>
  </r>
  <r>
    <x v="272"/>
    <x v="2"/>
    <x v="257"/>
    <s v="17-27"/>
    <n v="25"/>
    <d v="1995-02-25T00:00:00"/>
    <s v="Massachusetts"/>
    <s v="MA"/>
    <s v="Female"/>
    <s v="Widowed"/>
    <s v="Production Technician I"/>
    <s v="Active"/>
    <s v="Part-Time"/>
    <s v="Zone A"/>
    <s v="Production       "/>
    <s v="Engineers"/>
    <s v="White"/>
    <s v="Fully Meets"/>
    <n v="1"/>
  </r>
  <r>
    <x v="273"/>
    <x v="1"/>
    <x v="258"/>
    <s v="17-27"/>
    <n v="25"/>
    <d v="1994-12-24T00:00:00"/>
    <s v="Massachusetts"/>
    <s v="MA"/>
    <s v="Female"/>
    <s v="Single"/>
    <s v="Production Technician I"/>
    <s v="Active"/>
    <s v="Part-Time"/>
    <s v="Zone C"/>
    <s v="Production       "/>
    <s v="Field Operations"/>
    <s v="Black"/>
    <s v="Fully Meets"/>
    <n v="5"/>
  </r>
  <r>
    <x v="274"/>
    <x v="4"/>
    <x v="259"/>
    <s v="17-27"/>
    <n v="25"/>
    <d v="1997-03-18T00:00:00"/>
    <s v="Massachusetts"/>
    <s v="MA"/>
    <s v="Female"/>
    <s v="Married"/>
    <s v="Production Technician I"/>
    <s v="Terminated"/>
    <s v="Full-Time"/>
    <s v="Zone C"/>
    <s v="Production       "/>
    <s v="Field Operations"/>
    <s v="Other"/>
    <s v="Fully Meets"/>
    <n v="2"/>
  </r>
  <r>
    <x v="275"/>
    <x v="1"/>
    <x v="16"/>
    <s v="17-27"/>
    <n v="25"/>
    <d v="1994-12-13T00:00:00"/>
    <s v="Massachusetts"/>
    <s v="MA"/>
    <s v="Female"/>
    <s v="Single"/>
    <s v="Production Technician I"/>
    <s v="Active"/>
    <s v="Part-Time"/>
    <s v="Zone A"/>
    <s v="Production       "/>
    <s v="Field Operations"/>
    <s v="Other"/>
    <s v="Fully Meets"/>
    <n v="5"/>
  </r>
  <r>
    <x v="276"/>
    <x v="2"/>
    <x v="260"/>
    <s v="17-27"/>
    <n v="25"/>
    <d v="1995-12-09T00:00:00"/>
    <s v="Massachusetts"/>
    <s v="MA"/>
    <s v="Male"/>
    <s v="Divorced"/>
    <s v="Production Technician I"/>
    <s v="Active"/>
    <s v="Contract"/>
    <s v="Zone B"/>
    <s v="Production       "/>
    <s v="Wireline Construction"/>
    <s v="White"/>
    <s v="Fully Meets"/>
    <n v="1"/>
  </r>
  <r>
    <x v="277"/>
    <x v="5"/>
    <x v="261"/>
    <s v="17-27"/>
    <n v="25"/>
    <d v="1998-02-26T00:00:00"/>
    <s v="Massachusetts"/>
    <s v="MA"/>
    <s v="Male"/>
    <s v="Single"/>
    <s v="Production Technician I"/>
    <s v="Active"/>
    <s v="Part-Time"/>
    <s v="Zone A"/>
    <s v="Production       "/>
    <s v="Engineers"/>
    <s v="Asian"/>
    <s v="Needs Improvement"/>
    <n v="3"/>
  </r>
  <r>
    <x v="278"/>
    <x v="5"/>
    <x v="262"/>
    <s v="17-27"/>
    <n v="25"/>
    <d v="1998-04-11T00:00:00"/>
    <s v="Massachusetts"/>
    <s v="MA"/>
    <s v="Male"/>
    <s v="Married"/>
    <s v="Production Technician I"/>
    <s v="Terminated"/>
    <s v="Full-Time"/>
    <s v="Zone A"/>
    <s v="Production       "/>
    <s v="Field Operations"/>
    <s v="Asian"/>
    <s v="Fully Meets"/>
    <n v="2"/>
  </r>
  <r>
    <x v="279"/>
    <x v="5"/>
    <x v="263"/>
    <s v="17-27"/>
    <n v="25"/>
    <d v="1998-09-12T00:00:00"/>
    <s v="Massachusetts"/>
    <s v="MA"/>
    <s v="Male"/>
    <s v="Widowed"/>
    <s v="Production Technician I"/>
    <s v="Active"/>
    <s v="Contract"/>
    <s v="Zone A"/>
    <s v="Production       "/>
    <s v="Field Operations"/>
    <s v="White"/>
    <s v="Fully Meets"/>
    <n v="1"/>
  </r>
  <r>
    <x v="280"/>
    <x v="0"/>
    <x v="264"/>
    <s v="17-27"/>
    <n v="25"/>
    <d v="1993-12-30T00:00:00"/>
    <s v="Massachusetts"/>
    <s v="MA"/>
    <s v="Female"/>
    <s v="Married"/>
    <s v="Production Technician I"/>
    <s v="Active"/>
    <s v="Contract"/>
    <s v="Zone C"/>
    <s v="Production       "/>
    <s v="Project Management - Con"/>
    <s v="Black"/>
    <s v="Fully Meets"/>
    <n v="5"/>
  </r>
  <r>
    <x v="281"/>
    <x v="1"/>
    <x v="265"/>
    <s v="17-27"/>
    <n v="25"/>
    <d v="1994-12-11T00:00:00"/>
    <s v="Massachusetts"/>
    <s v="MA"/>
    <s v="Female"/>
    <s v="Single"/>
    <s v="Production Technician I"/>
    <s v="Active"/>
    <s v="Part-Time"/>
    <s v="Zone A"/>
    <s v="Production       "/>
    <s v="General - Con"/>
    <s v="Other"/>
    <s v="Fully Meets"/>
    <n v="2"/>
  </r>
  <r>
    <x v="282"/>
    <x v="4"/>
    <x v="266"/>
    <s v="17-27"/>
    <n v="25"/>
    <d v="1997-09-13T00:00:00"/>
    <s v="Massachusetts"/>
    <s v="MA"/>
    <s v="Male"/>
    <s v="Divorced"/>
    <s v="Production Technician I"/>
    <s v="Active"/>
    <s v="Full-Time"/>
    <s v="Zone C"/>
    <s v="Production       "/>
    <s v="Field Operations"/>
    <s v="White"/>
    <s v="Fully Meets"/>
    <n v="3"/>
  </r>
  <r>
    <x v="283"/>
    <x v="3"/>
    <x v="267"/>
    <s v="17-27"/>
    <n v="25"/>
    <d v="1996-08-09T00:00:00"/>
    <s v="Massachusetts"/>
    <s v="MA"/>
    <s v="Female"/>
    <s v="Widowed"/>
    <s v="Production Technician I"/>
    <s v="Active"/>
    <s v="Contract"/>
    <s v="Zone C"/>
    <s v="Production       "/>
    <s v="Wireline Construction"/>
    <s v="White"/>
    <s v="Fully Meets"/>
    <n v="4"/>
  </r>
  <r>
    <x v="284"/>
    <x v="3"/>
    <x v="268"/>
    <s v="17-27"/>
    <n v="25"/>
    <d v="1996-12-05T00:00:00"/>
    <s v="Massachusetts"/>
    <s v="MA"/>
    <s v="Male"/>
    <s v="Married"/>
    <s v="Production Technician I"/>
    <s v="Active"/>
    <s v="Contract"/>
    <s v="Zone A"/>
    <s v="Production       "/>
    <s v="Splicing"/>
    <s v="White"/>
    <s v="Fully Meets"/>
    <n v="3"/>
  </r>
  <r>
    <x v="285"/>
    <x v="1"/>
    <x v="269"/>
    <s v="17-27"/>
    <n v="25"/>
    <d v="1994-10-05T00:00:00"/>
    <s v="Massachusetts"/>
    <s v="MA"/>
    <s v="Male"/>
    <s v="Widowed"/>
    <s v="Production Technician I"/>
    <s v="Active"/>
    <s v="Part-Time"/>
    <s v="Zone B"/>
    <s v="Production       "/>
    <s v="General - Con"/>
    <s v="Other"/>
    <s v="Fully Meets"/>
    <n v="1"/>
  </r>
  <r>
    <x v="286"/>
    <x v="3"/>
    <x v="270"/>
    <s v="17-27"/>
    <n v="25"/>
    <d v="1996-08-15T00:00:00"/>
    <s v="Massachusetts"/>
    <s v="MA"/>
    <s v="Female"/>
    <s v="Widowed"/>
    <s v="Production Technician I"/>
    <s v="Active"/>
    <s v="Full-Time"/>
    <s v="Zone C"/>
    <s v="Production       "/>
    <s v="General - Sga"/>
    <s v="Black"/>
    <s v="Fully Meets"/>
    <n v="2"/>
  </r>
  <r>
    <x v="287"/>
    <x v="1"/>
    <x v="271"/>
    <s v="17-27"/>
    <n v="25"/>
    <d v="1994-04-27T00:00:00"/>
    <s v="Massachusetts"/>
    <s v="MA"/>
    <s v="Male"/>
    <s v="Married"/>
    <s v="Production Technician I"/>
    <s v="Active"/>
    <s v="Part-Time"/>
    <s v="Zone B"/>
    <s v="Production       "/>
    <s v="Shop (Fleet)"/>
    <s v="Black"/>
    <s v="Needs Improvement"/>
    <n v="1"/>
  </r>
  <r>
    <x v="288"/>
    <x v="0"/>
    <x v="272"/>
    <s v="17-27"/>
    <n v="25"/>
    <d v="1993-07-10T00:00:00"/>
    <s v="Massachusetts"/>
    <s v="MA"/>
    <s v="Female"/>
    <s v="Single"/>
    <s v="Production Technician I"/>
    <s v="Active"/>
    <s v="Full-Time"/>
    <s v="Zone A"/>
    <s v="Production       "/>
    <s v="Safety"/>
    <s v="Black"/>
    <s v="Needs Improvement"/>
    <n v="4"/>
  </r>
  <r>
    <x v="289"/>
    <x v="3"/>
    <x v="273"/>
    <s v="17-27"/>
    <n v="25"/>
    <d v="1996-08-30T00:00:00"/>
    <s v="Massachusetts"/>
    <s v="MA"/>
    <s v="Female"/>
    <s v="Divorced"/>
    <s v="Production Technician I"/>
    <s v="Active"/>
    <s v="Contract"/>
    <s v="Zone C"/>
    <s v="Production       "/>
    <s v="General - Con"/>
    <s v="White"/>
    <s v="Fully Meets"/>
    <n v="5"/>
  </r>
  <r>
    <x v="290"/>
    <x v="3"/>
    <x v="274"/>
    <s v="17-27"/>
    <n v="25"/>
    <d v="1996-05-14T00:00:00"/>
    <s v="Massachusetts"/>
    <s v="MA"/>
    <s v="Female"/>
    <s v="Married"/>
    <s v="Production Technician I"/>
    <s v="Active"/>
    <s v="Full-Time"/>
    <s v="Zone A"/>
    <s v="Production       "/>
    <s v="General - Sga"/>
    <s v="White"/>
    <s v="Fully Meets"/>
    <n v="4"/>
  </r>
  <r>
    <x v="291"/>
    <x v="3"/>
    <x v="275"/>
    <s v="17-27"/>
    <n v="25"/>
    <d v="1996-01-15T00:00:00"/>
    <s v="Massachusetts"/>
    <s v="MA"/>
    <s v="Female"/>
    <s v="Widowed"/>
    <s v="Production Technician I"/>
    <s v="Active"/>
    <s v="Full-Time"/>
    <s v="Zone C"/>
    <s v="Production       "/>
    <s v="Engineers"/>
    <s v="Asian"/>
    <s v="Fully Meets"/>
    <n v="1"/>
  </r>
  <r>
    <x v="292"/>
    <x v="3"/>
    <x v="276"/>
    <s v="17-27"/>
    <n v="25"/>
    <d v="1996-09-07T00:00:00"/>
    <s v="Massachusetts"/>
    <s v="MA"/>
    <s v="Female"/>
    <s v="Single"/>
    <s v="Production Technician I"/>
    <s v="Terminated"/>
    <s v="Part-Time"/>
    <s v="Zone C"/>
    <s v="Production       "/>
    <s v="General - Con"/>
    <s v="Asian"/>
    <s v="Fully Meets"/>
    <n v="1"/>
  </r>
  <r>
    <x v="293"/>
    <x v="1"/>
    <x v="277"/>
    <s v="17-27"/>
    <n v="25"/>
    <d v="1994-12-31T00:00:00"/>
    <s v="Massachusetts"/>
    <s v="MA"/>
    <s v="Female"/>
    <s v="Single"/>
    <s v="Production Technician I"/>
    <s v="Active"/>
    <s v="Part-Time"/>
    <s v="Zone C"/>
    <s v="Production       "/>
    <s v="Field Operations"/>
    <s v="White"/>
    <s v="Fully Meets"/>
    <n v="4"/>
  </r>
  <r>
    <x v="294"/>
    <x v="0"/>
    <x v="91"/>
    <s v="17-27"/>
    <n v="25"/>
    <d v="1993-09-04T00:00:00"/>
    <s v="Massachusetts"/>
    <s v="MA"/>
    <s v="Female"/>
    <s v="Widowed"/>
    <s v="Production Manager"/>
    <s v="Active"/>
    <s v="Full-Time"/>
    <s v="Zone C"/>
    <s v="Production       "/>
    <s v="Engineers"/>
    <s v="Other"/>
    <s v="Fully Meets"/>
    <n v="2"/>
  </r>
  <r>
    <x v="295"/>
    <x v="3"/>
    <x v="278"/>
    <s v="17-27"/>
    <n v="25"/>
    <d v="1996-07-17T00:00:00"/>
    <s v="Massachusetts"/>
    <s v="MA"/>
    <s v="Female"/>
    <s v="Widowed"/>
    <s v="Production Manager"/>
    <s v="Terminated"/>
    <s v="Part-Time"/>
    <s v="Zone A"/>
    <s v="Production       "/>
    <s v="General - Con"/>
    <s v="Black"/>
    <s v="Fully Meets"/>
    <n v="2"/>
  </r>
  <r>
    <x v="296"/>
    <x v="2"/>
    <x v="279"/>
    <s v="17-27"/>
    <n v="25"/>
    <d v="1995-07-21T00:00:00"/>
    <s v="Connecticut"/>
    <s v="CT"/>
    <s v="Female"/>
    <s v="Divorced"/>
    <s v="IT Manager - Infra"/>
    <s v="Active"/>
    <s v="Part-Time"/>
    <s v="Zone A"/>
    <s v="IT/IS"/>
    <s v="People Services"/>
    <s v="Hispanic"/>
    <s v="Exceeds"/>
    <n v="1"/>
  </r>
  <r>
    <x v="297"/>
    <x v="2"/>
    <x v="280"/>
    <s v="17-27"/>
    <n v="25"/>
    <d v="1995-07-10T00:00:00"/>
    <s v="Rhode Island"/>
    <s v="RI"/>
    <s v="Female"/>
    <s v="Married"/>
    <s v="Director of Operations"/>
    <s v="Active"/>
    <s v="Full-Time"/>
    <s v="Zone A"/>
    <s v="Production       "/>
    <s v="Field Operations"/>
    <s v="Asian"/>
    <s v="Fully Meets"/>
    <n v="5"/>
  </r>
  <r>
    <x v="298"/>
    <x v="3"/>
    <x v="281"/>
    <s v="17-27"/>
    <n v="25"/>
    <d v="1996-05-01T00:00:00"/>
    <s v="Texas"/>
    <s v="TX"/>
    <s v="Female"/>
    <s v="Divorced"/>
    <s v="Area Sales Manager"/>
    <s v="Active"/>
    <s v="Part-Time"/>
    <s v="Zone A"/>
    <s v="Sales"/>
    <s v="Field Operations"/>
    <s v="White"/>
    <s v="Exceeds"/>
    <n v="3"/>
  </r>
  <r>
    <x v="299"/>
    <x v="2"/>
    <x v="282"/>
    <s v="17-27"/>
    <n v="25"/>
    <d v="1995-11-05T00:00:00"/>
    <s v="Massachusetts"/>
    <s v="MA"/>
    <s v="Male"/>
    <s v="Divorced"/>
    <s v="Area Sales Manager"/>
    <s v="Active"/>
    <s v="Full-Time"/>
    <s v="Zone A"/>
    <s v="Sales"/>
    <s v="Field Operations"/>
    <s v="Black"/>
    <s v="Fully Meets"/>
    <n v="1"/>
  </r>
  <r>
    <x v="300"/>
    <x v="5"/>
    <x v="137"/>
    <s v="17-27"/>
    <n v="25"/>
    <d v="1998-10-17T00:00:00"/>
    <s v="Kentucky"/>
    <s v="KY"/>
    <s v="Female"/>
    <s v="Widowed"/>
    <s v="Area Sales Manager"/>
    <s v="Active"/>
    <s v="Full-Time"/>
    <s v="Zone A"/>
    <s v="Sales"/>
    <s v="General - Sga"/>
    <s v="White"/>
    <s v="Fully Meets"/>
    <n v="3"/>
  </r>
  <r>
    <x v="301"/>
    <x v="4"/>
    <x v="283"/>
    <s v="17-27"/>
    <n v="25"/>
    <d v="1997-11-12T00:00:00"/>
    <s v="Kentucky"/>
    <s v="KY"/>
    <s v="Female"/>
    <s v="Single"/>
    <s v="Area Sales Manager"/>
    <s v="Active"/>
    <s v="Contract"/>
    <s v="Zone B"/>
    <s v="Sales"/>
    <s v="Wireline Construction"/>
    <s v="Asian"/>
    <s v="Fully Meets"/>
    <n v="5"/>
  </r>
  <r>
    <x v="302"/>
    <x v="4"/>
    <x v="284"/>
    <s v="17-27"/>
    <n v="25"/>
    <d v="1997-04-14T00:00:00"/>
    <s v="Arizona"/>
    <s v="AZ"/>
    <s v="Male"/>
    <s v="Married"/>
    <s v="Area Sales Manager"/>
    <s v="Active"/>
    <s v="Part-Time"/>
    <s v="Zone B"/>
    <s v="Sales"/>
    <s v="Project Management - Con"/>
    <s v="Black"/>
    <s v="Fully Meets"/>
    <n v="3"/>
  </r>
  <r>
    <x v="303"/>
    <x v="5"/>
    <x v="285"/>
    <s v="17-27"/>
    <n v="25"/>
    <d v="1998-02-07T00:00:00"/>
    <s v="Arizona"/>
    <s v="AZ"/>
    <s v="Male"/>
    <s v="Married"/>
    <s v="Area Sales Manager"/>
    <s v="Active"/>
    <s v="Part-Time"/>
    <s v="Zone A"/>
    <s v="Sales"/>
    <s v="Engineers"/>
    <s v="Asian"/>
    <s v="Fully Meets"/>
    <n v="1"/>
  </r>
  <r>
    <x v="304"/>
    <x v="2"/>
    <x v="286"/>
    <s v="17-27"/>
    <n v="25"/>
    <d v="1995-04-26T00:00:00"/>
    <s v="Washington"/>
    <s v="WA"/>
    <s v="Female"/>
    <s v="Single"/>
    <s v="Administrative Assistant"/>
    <s v="Active"/>
    <s v="Full-Time"/>
    <s v="Zone C"/>
    <s v="Sales"/>
    <s v="Catv"/>
    <s v="Hispanic"/>
    <s v="Fully Meets"/>
    <n v="4"/>
  </r>
  <r>
    <x v="305"/>
    <x v="1"/>
    <x v="287"/>
    <s v="17-27"/>
    <n v="25"/>
    <d v="1994-11-20T00:00:00"/>
    <s v="Massachusetts"/>
    <s v="MA"/>
    <s v="Female"/>
    <s v="Married"/>
    <s v="Accountant I"/>
    <s v="Active"/>
    <s v="Part-Time"/>
    <s v="Zone A"/>
    <s v="Admin Offices"/>
    <s v="Wireline Construction"/>
    <s v="White"/>
    <s v="Fully Meets"/>
    <n v="3"/>
  </r>
  <r>
    <x v="306"/>
    <x v="5"/>
    <x v="288"/>
    <s v="17-27"/>
    <n v="26"/>
    <d v="1997-03-28T00:00:00"/>
    <s v="Massachusetts"/>
    <s v="MA"/>
    <s v="Male"/>
    <s v="Single"/>
    <s v="Shared Services Manager"/>
    <s v="Active"/>
    <s v="Contract"/>
    <s v="Zone B"/>
    <s v="Software Engineering"/>
    <s v="Field Operations"/>
    <s v="Other"/>
    <s v="Fully Meets"/>
    <n v="1"/>
  </r>
  <r>
    <x v="307"/>
    <x v="0"/>
    <x v="289"/>
    <s v="17-27"/>
    <n v="26"/>
    <d v="1992-04-05T00:00:00"/>
    <s v="Massachusetts"/>
    <s v="MA"/>
    <s v="Male"/>
    <s v="Divorced"/>
    <s v="Shared Services Manager"/>
    <s v="Active"/>
    <s v="Contract"/>
    <s v="Zone C"/>
    <s v="Software Engineering"/>
    <s v="General - Con"/>
    <s v="Hispanic"/>
    <s v="Fully Meets"/>
    <n v="4"/>
  </r>
  <r>
    <x v="308"/>
    <x v="2"/>
    <x v="290"/>
    <s v="17-27"/>
    <n v="26"/>
    <d v="1994-07-20T00:00:00"/>
    <s v="Massachusetts"/>
    <s v="MA"/>
    <s v="Male"/>
    <s v="Divorced"/>
    <s v="Sales Manager"/>
    <s v="Active"/>
    <s v="Full-Time"/>
    <s v="Zone B"/>
    <s v="Sales"/>
    <s v="Finance &amp; Accounting"/>
    <s v="Asian"/>
    <s v="Fully Meets"/>
    <n v="4"/>
  </r>
  <r>
    <x v="309"/>
    <x v="5"/>
    <x v="291"/>
    <s v="17-27"/>
    <n v="26"/>
    <d v="1997-05-17T00:00:00"/>
    <s v="Massachusetts"/>
    <s v="MA"/>
    <s v="Male"/>
    <s v="Married"/>
    <s v="Production Technician II"/>
    <s v="Active"/>
    <s v="Part-Time"/>
    <s v="Zone A"/>
    <s v="Production       "/>
    <s v="Field Operations"/>
    <s v="Hispanic"/>
    <s v="Exceeds"/>
    <n v="1"/>
  </r>
  <r>
    <x v="310"/>
    <x v="5"/>
    <x v="292"/>
    <s v="17-27"/>
    <n v="26"/>
    <d v="1997-10-19T00:00:00"/>
    <s v="Massachusetts"/>
    <s v="MA"/>
    <s v="Female"/>
    <s v="Divorced"/>
    <s v="Production Technician II"/>
    <s v="Active"/>
    <s v="Full-Time"/>
    <s v="Zone A"/>
    <s v="Production       "/>
    <s v="Project Management - Con"/>
    <s v="Other"/>
    <s v="Fully Meets"/>
    <n v="3"/>
  </r>
  <r>
    <x v="311"/>
    <x v="1"/>
    <x v="293"/>
    <s v="17-27"/>
    <n v="26"/>
    <d v="1993-10-03T00:00:00"/>
    <s v="Massachusetts"/>
    <s v="MA"/>
    <s v="Male"/>
    <s v="Widowed"/>
    <s v="Production Technician II"/>
    <s v="Active"/>
    <s v="Contract"/>
    <s v="Zone C"/>
    <s v="Production       "/>
    <s v="General - Eng"/>
    <s v="Other"/>
    <s v="Fully Meets"/>
    <n v="3"/>
  </r>
  <r>
    <x v="312"/>
    <x v="3"/>
    <x v="294"/>
    <s v="17-27"/>
    <n v="26"/>
    <d v="1995-01-01T00:00:00"/>
    <s v="Massachusetts"/>
    <s v="MA"/>
    <s v="Male"/>
    <s v="Single"/>
    <s v="Production Technician II"/>
    <s v="Active"/>
    <s v="Full-Time"/>
    <s v="Zone B"/>
    <s v="Production       "/>
    <s v="Aerial"/>
    <s v="Other"/>
    <s v="Fully Meets"/>
    <n v="3"/>
  </r>
  <r>
    <x v="313"/>
    <x v="3"/>
    <x v="295"/>
    <s v="17-27"/>
    <n v="26"/>
    <d v="1995-06-29T00:00:00"/>
    <s v="Massachusetts"/>
    <s v="MA"/>
    <s v="Male"/>
    <s v="Widowed"/>
    <s v="Production Technician I"/>
    <s v="Terminated"/>
    <s v="Contract"/>
    <s v="Zone B"/>
    <s v="Production       "/>
    <s v="General - Con"/>
    <s v="Asian"/>
    <s v="Exceeds"/>
    <n v="4"/>
  </r>
  <r>
    <x v="314"/>
    <x v="4"/>
    <x v="296"/>
    <s v="17-27"/>
    <n v="26"/>
    <d v="1996-08-12T00:00:00"/>
    <s v="Massachusetts"/>
    <s v="MA"/>
    <s v="Female"/>
    <s v="Widowed"/>
    <s v="Production Technician I"/>
    <s v="Active"/>
    <s v="Part-Time"/>
    <s v="Zone B"/>
    <s v="Production       "/>
    <s v="General - Con"/>
    <s v="Asian"/>
    <s v="Fully Meets"/>
    <n v="3"/>
  </r>
  <r>
    <x v="315"/>
    <x v="3"/>
    <x v="207"/>
    <s v="17-27"/>
    <n v="26"/>
    <d v="1995-08-11T00:00:00"/>
    <s v="Massachusetts"/>
    <s v="MA"/>
    <s v="Female"/>
    <s v="Divorced"/>
    <s v="Production Technician I"/>
    <s v="Active"/>
    <s v="Contract"/>
    <s v="Zone B"/>
    <s v="Production       "/>
    <s v="Field Operations"/>
    <s v="Asian"/>
    <s v="Fully Meets"/>
    <n v="5"/>
  </r>
  <r>
    <x v="316"/>
    <x v="1"/>
    <x v="297"/>
    <s v="17-27"/>
    <n v="26"/>
    <d v="1993-11-02T00:00:00"/>
    <s v="Massachusetts"/>
    <s v="MA"/>
    <s v="Female"/>
    <s v="Single"/>
    <s v="Production Technician I"/>
    <s v="Active"/>
    <s v="Part-Time"/>
    <s v="Zone A"/>
    <s v="Production       "/>
    <s v="Field Operations"/>
    <s v="White"/>
    <s v="Exceeds"/>
    <n v="4"/>
  </r>
  <r>
    <x v="317"/>
    <x v="3"/>
    <x v="298"/>
    <s v="17-27"/>
    <n v="26"/>
    <d v="1995-08-16T00:00:00"/>
    <s v="Massachusetts"/>
    <s v="MA"/>
    <s v="Male"/>
    <s v="Widowed"/>
    <s v="Production Technician I"/>
    <s v="Active"/>
    <s v="Contract"/>
    <s v="Zone A"/>
    <s v="Production       "/>
    <s v="Wireline Construction"/>
    <s v="Black"/>
    <s v="Fully Meets"/>
    <n v="2"/>
  </r>
  <r>
    <x v="318"/>
    <x v="3"/>
    <x v="299"/>
    <s v="17-27"/>
    <n v="26"/>
    <d v="1995-04-11T00:00:00"/>
    <s v="Massachusetts"/>
    <s v="MA"/>
    <s v="Female"/>
    <s v="Divorced"/>
    <s v="Production Technician I"/>
    <s v="Active"/>
    <s v="Contract"/>
    <s v="Zone C"/>
    <s v="Production       "/>
    <s v="Engineers"/>
    <s v="White"/>
    <s v="Fully Meets"/>
    <n v="5"/>
  </r>
  <r>
    <x v="319"/>
    <x v="4"/>
    <x v="300"/>
    <s v="17-27"/>
    <n v="26"/>
    <d v="1996-01-04T00:00:00"/>
    <s v="Massachusetts"/>
    <s v="MA"/>
    <s v="Female"/>
    <s v="Widowed"/>
    <s v="Production Technician I"/>
    <s v="Terminated"/>
    <s v="Contract"/>
    <s v="Zone B"/>
    <s v="Production       "/>
    <s v="Project Management - Con"/>
    <s v="Black"/>
    <s v="PIP"/>
    <n v="3"/>
  </r>
  <r>
    <x v="320"/>
    <x v="4"/>
    <x v="301"/>
    <s v="17-27"/>
    <n v="26"/>
    <d v="1996-11-05T00:00:00"/>
    <s v="Massachusetts"/>
    <s v="MA"/>
    <s v="Male"/>
    <s v="Divorced"/>
    <s v="Production Technician I"/>
    <s v="Active"/>
    <s v="Contract"/>
    <s v="Zone C"/>
    <s v="Production       "/>
    <s v="Field Operations"/>
    <s v="Asian"/>
    <s v="Fully Meets"/>
    <n v="2"/>
  </r>
  <r>
    <x v="321"/>
    <x v="2"/>
    <x v="302"/>
    <s v="17-27"/>
    <n v="26"/>
    <d v="1994-05-18T00:00:00"/>
    <s v="Massachusetts"/>
    <s v="MA"/>
    <s v="Female"/>
    <s v="Married"/>
    <s v="Production Technician I"/>
    <s v="Active"/>
    <s v="Part-Time"/>
    <s v="Zone C"/>
    <s v="Production       "/>
    <s v="General - Eng"/>
    <s v="Other"/>
    <s v="Fully Meets"/>
    <n v="1"/>
  </r>
  <r>
    <x v="322"/>
    <x v="5"/>
    <x v="303"/>
    <s v="17-27"/>
    <n v="26"/>
    <d v="1997-02-21T00:00:00"/>
    <s v="Massachusetts"/>
    <s v="MA"/>
    <s v="Female"/>
    <s v="Single"/>
    <s v="Production Technician I"/>
    <s v="Active"/>
    <s v="Part-Time"/>
    <s v="Zone A"/>
    <s v="Production       "/>
    <s v="Field Operations"/>
    <s v="Hispanic"/>
    <s v="Needs Improvement"/>
    <n v="1"/>
  </r>
  <r>
    <x v="323"/>
    <x v="3"/>
    <x v="304"/>
    <s v="17-27"/>
    <n v="26"/>
    <d v="1995-08-25T00:00:00"/>
    <s v="Massachusetts"/>
    <s v="MA"/>
    <s v="Female"/>
    <s v="Widowed"/>
    <s v="Production Technician I"/>
    <s v="Active"/>
    <s v="Part-Time"/>
    <s v="Zone C"/>
    <s v="Production       "/>
    <s v="General - Con"/>
    <s v="White"/>
    <s v="Needs Improvement"/>
    <n v="1"/>
  </r>
  <r>
    <x v="324"/>
    <x v="1"/>
    <x v="305"/>
    <s v="17-27"/>
    <n v="26"/>
    <d v="1993-01-10T00:00:00"/>
    <s v="Massachusetts"/>
    <s v="MA"/>
    <s v="Male"/>
    <s v="Widowed"/>
    <s v="Production Technician I"/>
    <s v="Terminated"/>
    <s v="Part-Time"/>
    <s v="Zone A"/>
    <s v="Production       "/>
    <s v="General - Eng"/>
    <s v="Asian"/>
    <s v="Fully Meets"/>
    <n v="2"/>
  </r>
  <r>
    <x v="325"/>
    <x v="4"/>
    <x v="306"/>
    <s v="17-27"/>
    <n v="26"/>
    <d v="1996-10-15T00:00:00"/>
    <s v="Massachusetts"/>
    <s v="MA"/>
    <s v="Male"/>
    <s v="Single"/>
    <s v="Production Manager"/>
    <s v="Active"/>
    <s v="Full-Time"/>
    <s v="Zone A"/>
    <s v="Production       "/>
    <s v="Aerial"/>
    <s v="Asian"/>
    <s v="Fully Meets"/>
    <n v="3"/>
  </r>
  <r>
    <x v="326"/>
    <x v="4"/>
    <x v="307"/>
    <s v="17-27"/>
    <n v="26"/>
    <d v="1996-12-05T00:00:00"/>
    <s v="Massachusetts"/>
    <s v="MA"/>
    <s v="Female"/>
    <s v="Divorced"/>
    <s v="Production Manager"/>
    <s v="Terminated"/>
    <s v="Full-Time"/>
    <s v="Zone C"/>
    <s v="Production       "/>
    <s v="Project Management - Con"/>
    <s v="Asian"/>
    <s v="Fully Meets"/>
    <n v="4"/>
  </r>
  <r>
    <x v="327"/>
    <x v="2"/>
    <x v="308"/>
    <s v="17-27"/>
    <n v="26"/>
    <d v="1994-10-03T00:00:00"/>
    <s v="Massachusetts"/>
    <s v="MA"/>
    <s v="Female"/>
    <s v="Married"/>
    <s v="Production Manager"/>
    <s v="Active"/>
    <s v="Contract"/>
    <s v="Zone B"/>
    <s v="Production       "/>
    <s v="Wireless"/>
    <s v="Black"/>
    <s v="Fully Meets"/>
    <n v="2"/>
  </r>
  <r>
    <x v="328"/>
    <x v="4"/>
    <x v="309"/>
    <s v="17-27"/>
    <n v="26"/>
    <d v="1996-02-07T00:00:00"/>
    <s v="Massachusetts"/>
    <s v="MA"/>
    <s v="Female"/>
    <s v="Divorced"/>
    <s v="Production Manager"/>
    <s v="Active"/>
    <s v="Contract"/>
    <s v="Zone A"/>
    <s v="Production       "/>
    <s v="Project Management - Con"/>
    <s v="White"/>
    <s v="Fully Meets"/>
    <n v="2"/>
  </r>
  <r>
    <x v="329"/>
    <x v="1"/>
    <x v="310"/>
    <s v="17-27"/>
    <n v="26"/>
    <d v="1993-04-11T00:00:00"/>
    <s v="Massachusetts"/>
    <s v="MA"/>
    <s v="Female"/>
    <s v="Widowed"/>
    <s v="Network Engineer"/>
    <s v="Active"/>
    <s v="Part-Time"/>
    <s v="Zone C"/>
    <s v="IT/IS"/>
    <s v="General - Con"/>
    <s v="Black"/>
    <s v="Exceeds"/>
    <n v="1"/>
  </r>
  <r>
    <x v="330"/>
    <x v="1"/>
    <x v="311"/>
    <s v="17-27"/>
    <n v="26"/>
    <d v="1993-07-21T00:00:00"/>
    <s v="Massachusetts"/>
    <s v="MA"/>
    <s v="Male"/>
    <s v="Single"/>
    <s v="Network Engineer"/>
    <s v="Active"/>
    <s v="Full-Time"/>
    <s v="Zone A"/>
    <s v="IT/IS"/>
    <s v="Field Operations"/>
    <s v="Hispanic"/>
    <s v="Fully Meets"/>
    <n v="4"/>
  </r>
  <r>
    <x v="331"/>
    <x v="1"/>
    <x v="269"/>
    <s v="17-27"/>
    <n v="26"/>
    <d v="1993-10-11T00:00:00"/>
    <s v="Massachusetts"/>
    <s v="MA"/>
    <s v="Male"/>
    <s v="Divorced"/>
    <s v="IT Support"/>
    <s v="Active"/>
    <s v="Part-Time"/>
    <s v="Zone B"/>
    <s v="IT/IS"/>
    <s v="Yard (Material Handling)"/>
    <s v="Hispanic"/>
    <s v="Fully Meets"/>
    <n v="3"/>
  </r>
  <r>
    <x v="332"/>
    <x v="4"/>
    <x v="312"/>
    <s v="17-27"/>
    <n v="26"/>
    <d v="1996-07-20T00:00:00"/>
    <s v="Massachusetts"/>
    <s v="MA"/>
    <s v="Female"/>
    <s v="Single"/>
    <s v="IT Support"/>
    <s v="Active"/>
    <s v="Full-Time"/>
    <s v="Zone A"/>
    <s v="IT/IS"/>
    <s v="Field Operations"/>
    <s v="Hispanic"/>
    <s v="Fully Meets"/>
    <n v="4"/>
  </r>
  <r>
    <x v="333"/>
    <x v="3"/>
    <x v="313"/>
    <s v="17-27"/>
    <n v="26"/>
    <d v="1995-06-05T00:00:00"/>
    <s v="Massachusetts"/>
    <s v="MA"/>
    <s v="Female"/>
    <s v="Widowed"/>
    <s v="IT Support"/>
    <s v="Active"/>
    <s v="Contract"/>
    <s v="Zone B"/>
    <s v="IT/IS"/>
    <s v="Aerial"/>
    <s v="Black"/>
    <s v="Needs Improvement"/>
    <n v="3"/>
  </r>
  <r>
    <x v="334"/>
    <x v="1"/>
    <x v="182"/>
    <s v="17-27"/>
    <n v="26"/>
    <d v="1993-11-14T00:00:00"/>
    <s v="Massachusetts"/>
    <s v="MA"/>
    <s v="Female"/>
    <s v="Single"/>
    <s v="IT Support"/>
    <s v="Active"/>
    <s v="Contract"/>
    <s v="Zone C"/>
    <s v="IT/IS"/>
    <s v="Field Operations"/>
    <s v="Hispanic"/>
    <s v="Exceeds"/>
    <n v="5"/>
  </r>
  <r>
    <x v="335"/>
    <x v="3"/>
    <x v="314"/>
    <s v="17-27"/>
    <n v="26"/>
    <d v="1995-03-28T00:00:00"/>
    <s v="Massachusetts"/>
    <s v="MA"/>
    <s v="Male"/>
    <s v="Single"/>
    <s v="IT Manager - DB"/>
    <s v="Active"/>
    <s v="Full-Time"/>
    <s v="Zone C"/>
    <s v="IT/IS"/>
    <s v="General - Con"/>
    <s v="Black"/>
    <s v="Fully Meets"/>
    <n v="4"/>
  </r>
  <r>
    <x v="336"/>
    <x v="2"/>
    <x v="315"/>
    <s v="17-27"/>
    <n v="26"/>
    <d v="1994-07-26T00:00:00"/>
    <s v="Rhode Island"/>
    <s v="RI"/>
    <s v="Female"/>
    <s v="Single"/>
    <s v="Director of Operations"/>
    <s v="Active"/>
    <s v="Full-Time"/>
    <s v="Zone A"/>
    <s v="Production       "/>
    <s v="General - Con"/>
    <s v="White"/>
    <s v="Fully Meets"/>
    <n v="4"/>
  </r>
  <r>
    <x v="337"/>
    <x v="4"/>
    <x v="316"/>
    <s v="17-27"/>
    <n v="26"/>
    <d v="1996-05-24T00:00:00"/>
    <s v="Massachusetts"/>
    <s v="MA"/>
    <s v="Female"/>
    <s v="Married"/>
    <s v="Data Analyst"/>
    <s v="Active"/>
    <s v="Contract"/>
    <s v="Zone C"/>
    <s v="IT/IS"/>
    <s v="Field Operations"/>
    <s v="Asian"/>
    <s v="Fully Meets"/>
    <n v="4"/>
  </r>
  <r>
    <x v="338"/>
    <x v="2"/>
    <x v="317"/>
    <s v="17-27"/>
    <n v="26"/>
    <d v="1994-06-21T00:00:00"/>
    <s v="Massachusetts"/>
    <s v="MA"/>
    <s v="Female"/>
    <s v="Widowed"/>
    <s v="CIO"/>
    <s v="Active"/>
    <s v="Part-Time"/>
    <s v="Zone C"/>
    <s v="IT/IS"/>
    <s v="Project Management - Con"/>
    <s v="Hispanic"/>
    <s v="Fully Meets"/>
    <n v="4"/>
  </r>
  <r>
    <x v="339"/>
    <x v="1"/>
    <x v="318"/>
    <s v="17-27"/>
    <n v="26"/>
    <d v="1993-01-23T00:00:00"/>
    <s v="Massachusetts"/>
    <s v="MA"/>
    <s v="Female"/>
    <s v="Widowed"/>
    <s v="BI Developer"/>
    <s v="Terminated"/>
    <s v="Part-Time"/>
    <s v="Zone A"/>
    <s v="IT/IS"/>
    <s v="Aerial"/>
    <s v="Black"/>
    <s v="Fully Meets"/>
    <n v="4"/>
  </r>
  <r>
    <x v="340"/>
    <x v="0"/>
    <x v="319"/>
    <s v="17-27"/>
    <n v="26"/>
    <d v="1992-07-08T00:00:00"/>
    <s v="New York"/>
    <s v="NY"/>
    <s v="Male"/>
    <s v="Married"/>
    <s v="Area Sales Manager"/>
    <s v="Active"/>
    <s v="Full-Time"/>
    <s v="Zone A"/>
    <s v="Sales"/>
    <s v="General - Con"/>
    <s v="Other"/>
    <s v="Fully Meets"/>
    <n v="2"/>
  </r>
  <r>
    <x v="341"/>
    <x v="2"/>
    <x v="320"/>
    <s v="17-27"/>
    <n v="26"/>
    <d v="1994-06-18T00:00:00"/>
    <s v="Indiana"/>
    <s v="IN"/>
    <s v="Male"/>
    <s v="Single"/>
    <s v="Area Sales Manager"/>
    <s v="Active"/>
    <s v="Part-Time"/>
    <s v="Zone C"/>
    <s v="Sales"/>
    <s v="Field Operations"/>
    <s v="Hispanic"/>
    <s v="Fully Meets"/>
    <n v="3"/>
  </r>
  <r>
    <x v="342"/>
    <x v="2"/>
    <x v="321"/>
    <s v="17-27"/>
    <n v="26"/>
    <d v="1994-02-08T00:00:00"/>
    <s v="Colorado"/>
    <s v="CO"/>
    <s v="Male"/>
    <s v="Single"/>
    <s v="Area Sales Manager"/>
    <s v="Active"/>
    <s v="Contract"/>
    <s v="Zone B"/>
    <s v="Sales"/>
    <s v="General - Con"/>
    <s v="Black"/>
    <s v="Fully Meets"/>
    <n v="2"/>
  </r>
  <r>
    <x v="343"/>
    <x v="1"/>
    <x v="322"/>
    <s v="17-27"/>
    <n v="26"/>
    <d v="1993-01-08T00:00:00"/>
    <s v="Colorado"/>
    <s v="CO"/>
    <s v="Male"/>
    <s v="Married"/>
    <s v="Area Sales Manager"/>
    <s v="Active"/>
    <s v="Full-Time"/>
    <s v="Zone C"/>
    <s v="Sales"/>
    <s v="General - Con"/>
    <s v="Asian"/>
    <s v="Fully Meets"/>
    <n v="5"/>
  </r>
  <r>
    <x v="344"/>
    <x v="2"/>
    <x v="323"/>
    <s v="17-27"/>
    <n v="26"/>
    <d v="1994-08-11T00:00:00"/>
    <s v="Colorado"/>
    <s v="CO"/>
    <s v="Male"/>
    <s v="Single"/>
    <s v="Area Sales Manager"/>
    <s v="Active"/>
    <s v="Contract"/>
    <s v="Zone C"/>
    <s v="Sales"/>
    <s v="Field Operations"/>
    <s v="Other"/>
    <s v="Exceeds"/>
    <n v="3"/>
  </r>
  <r>
    <x v="345"/>
    <x v="1"/>
    <x v="324"/>
    <s v="17-27"/>
    <n v="26"/>
    <d v="1993-06-16T00:00:00"/>
    <s v="California"/>
    <s v="CA"/>
    <s v="Female"/>
    <s v="Widowed"/>
    <s v="Area Sales Manager"/>
    <s v="Active"/>
    <s v="Full-Time"/>
    <s v="Zone B"/>
    <s v="Sales"/>
    <s v="Field Operations"/>
    <s v="Black"/>
    <s v="Fully Meets"/>
    <n v="2"/>
  </r>
  <r>
    <x v="346"/>
    <x v="4"/>
    <x v="325"/>
    <s v="17-27"/>
    <n v="26"/>
    <d v="1996-01-05T00:00:00"/>
    <s v="Arizona"/>
    <s v="AZ"/>
    <s v="Male"/>
    <s v="Single"/>
    <s v="Area Sales Manager"/>
    <s v="Active"/>
    <s v="Contract"/>
    <s v="Zone A"/>
    <s v="Sales"/>
    <s v="General - Sga"/>
    <s v="Black"/>
    <s v="Fully Meets"/>
    <n v="4"/>
  </r>
  <r>
    <x v="347"/>
    <x v="4"/>
    <x v="326"/>
    <s v="17-27"/>
    <n v="26"/>
    <d v="1996-02-11T00:00:00"/>
    <s v="Arizona"/>
    <s v="AZ"/>
    <s v="Male"/>
    <s v="Divorced"/>
    <s v="Area Sales Manager"/>
    <s v="Active"/>
    <s v="Contract"/>
    <s v="Zone C"/>
    <s v="Sales"/>
    <s v="Finance &amp; Accounting"/>
    <s v="Hispanic"/>
    <s v="Fully Meets"/>
    <n v="5"/>
  </r>
  <r>
    <x v="348"/>
    <x v="3"/>
    <x v="327"/>
    <s v="17-27"/>
    <n v="26"/>
    <d v="1995-06-06T00:00:00"/>
    <s v="Arizona"/>
    <s v="AZ"/>
    <s v="Male"/>
    <s v="Widowed"/>
    <s v="Area Sales Manager"/>
    <s v="Active"/>
    <s v="Contract"/>
    <s v="Zone B"/>
    <s v="Sales"/>
    <s v="Isp"/>
    <s v="White"/>
    <s v="Fully Meets"/>
    <n v="3"/>
  </r>
  <r>
    <x v="349"/>
    <x v="1"/>
    <x v="328"/>
    <s v="17-27"/>
    <n v="26"/>
    <d v="1993-08-08T00:00:00"/>
    <s v="Arizona"/>
    <s v="AZ"/>
    <s v="Male"/>
    <s v="Single"/>
    <s v="Area Sales Manager"/>
    <s v="Active"/>
    <s v="Full-Time"/>
    <s v="Zone B"/>
    <s v="Sales"/>
    <s v="General - Con"/>
    <s v="Asian"/>
    <s v="Fully Meets"/>
    <n v="5"/>
  </r>
  <r>
    <x v="350"/>
    <x v="4"/>
    <x v="329"/>
    <s v="17-27"/>
    <n v="27"/>
    <d v="1995-03-21T00:00:00"/>
    <s v="Massachusetts"/>
    <s v="MA"/>
    <s v="Male"/>
    <s v="Married"/>
    <s v="Sr. Network Engineer"/>
    <s v="Active"/>
    <s v="Part-Time"/>
    <s v="Zone B"/>
    <s v="IT/IS"/>
    <s v="General - Con"/>
    <s v="Hispanic"/>
    <s v="Fully Meets"/>
    <n v="3"/>
  </r>
  <r>
    <x v="351"/>
    <x v="2"/>
    <x v="233"/>
    <s v="17-27"/>
    <n v="27"/>
    <d v="1993-08-26T00:00:00"/>
    <s v="Massachusetts"/>
    <s v="MA"/>
    <s v="Female"/>
    <s v="Widowed"/>
    <s v="Sr. Accountant"/>
    <s v="Active"/>
    <s v="Part-Time"/>
    <s v="Zone C"/>
    <s v="Admin Offices"/>
    <s v="General - Sga"/>
    <s v="White"/>
    <s v="Exceeds"/>
    <n v="2"/>
  </r>
  <r>
    <x v="352"/>
    <x v="1"/>
    <x v="330"/>
    <s v="17-27"/>
    <n v="27"/>
    <d v="1992-05-10T00:00:00"/>
    <s v="Massachusetts"/>
    <s v="MA"/>
    <s v="Female"/>
    <s v="Single"/>
    <s v="Software Engineer"/>
    <s v="Active"/>
    <s v="Contract"/>
    <s v="Zone B"/>
    <s v="Software Engineering"/>
    <s v="Wireless"/>
    <s v="Black"/>
    <s v="Fully Meets"/>
    <n v="2"/>
  </r>
  <r>
    <x v="353"/>
    <x v="2"/>
    <x v="279"/>
    <s v="17-27"/>
    <n v="27"/>
    <d v="1993-07-04T00:00:00"/>
    <s v="Massachusetts"/>
    <s v="MA"/>
    <s v="Male"/>
    <s v="Widowed"/>
    <s v="Software Engineer"/>
    <s v="Active"/>
    <s v="Contract"/>
    <s v="Zone B"/>
    <s v="Software Engineering"/>
    <s v="Finance &amp; Accounting"/>
    <s v="Black"/>
    <s v="Fully Meets"/>
    <n v="5"/>
  </r>
  <r>
    <x v="354"/>
    <x v="2"/>
    <x v="331"/>
    <s v="17-27"/>
    <n v="27"/>
    <d v="1993-07-27T00:00:00"/>
    <s v="Massachusetts"/>
    <s v="MA"/>
    <s v="Male"/>
    <s v="Widowed"/>
    <s v="Software Engineer"/>
    <s v="Terminated"/>
    <s v="Part-Time"/>
    <s v="Zone C"/>
    <s v="Software Engineering"/>
    <s v="Fielders"/>
    <s v="Other"/>
    <s v="Fully Meets"/>
    <n v="1"/>
  </r>
  <r>
    <x v="355"/>
    <x v="5"/>
    <x v="332"/>
    <s v="17-27"/>
    <n v="27"/>
    <d v="1996-10-22T00:00:00"/>
    <s v="Massachusetts"/>
    <s v="MA"/>
    <s v="Male"/>
    <s v="Widowed"/>
    <s v="Senior BI Developer"/>
    <s v="Active"/>
    <s v="Full-Time"/>
    <s v="Zone A"/>
    <s v="IT/IS"/>
    <s v="Field Operations"/>
    <s v="White"/>
    <s v="Needs Improvement"/>
    <n v="1"/>
  </r>
  <r>
    <x v="356"/>
    <x v="4"/>
    <x v="333"/>
    <s v="17-27"/>
    <n v="27"/>
    <d v="1995-12-13T00:00:00"/>
    <s v="Massachusetts"/>
    <s v="MA"/>
    <s v="Female"/>
    <s v="Single"/>
    <s v="Production Technician II"/>
    <s v="Active"/>
    <s v="Full-Time"/>
    <s v="Zone B"/>
    <s v="Production       "/>
    <s v="General - Sga"/>
    <s v="Black"/>
    <s v="Fully Meets"/>
    <n v="1"/>
  </r>
  <r>
    <x v="357"/>
    <x v="3"/>
    <x v="334"/>
    <s v="17-27"/>
    <n v="27"/>
    <d v="1994-10-12T00:00:00"/>
    <s v="Massachusetts"/>
    <s v="MA"/>
    <s v="Female"/>
    <s v="Married"/>
    <s v="Production Technician II"/>
    <s v="Terminated"/>
    <s v="Full-Time"/>
    <s v="Zone B"/>
    <s v="Production       "/>
    <s v="Engineers"/>
    <s v="Hispanic"/>
    <s v="Fully Meets"/>
    <n v="3"/>
  </r>
  <r>
    <x v="358"/>
    <x v="1"/>
    <x v="119"/>
    <s v="17-27"/>
    <n v="27"/>
    <d v="1992-07-19T00:00:00"/>
    <s v="Massachusetts"/>
    <s v="MA"/>
    <s v="Male"/>
    <s v="Single"/>
    <s v="Production Technician II"/>
    <s v="Active"/>
    <s v="Part-Time"/>
    <s v="Zone C"/>
    <s v="Production       "/>
    <s v="Field Operations"/>
    <s v="Black"/>
    <s v="Fully Meets"/>
    <n v="2"/>
  </r>
  <r>
    <x v="359"/>
    <x v="2"/>
    <x v="335"/>
    <s v="17-27"/>
    <n v="27"/>
    <d v="1993-04-25T00:00:00"/>
    <s v="Massachusetts"/>
    <s v="MA"/>
    <s v="Female"/>
    <s v="Single"/>
    <s v="Production Technician II"/>
    <s v="Active"/>
    <s v="Part-Time"/>
    <s v="Zone A"/>
    <s v="Production       "/>
    <s v="Project Management - Con"/>
    <s v="White"/>
    <s v="Fully Meets"/>
    <n v="2"/>
  </r>
  <r>
    <x v="360"/>
    <x v="4"/>
    <x v="336"/>
    <s v="17-27"/>
    <n v="27"/>
    <d v="1995-12-26T00:00:00"/>
    <s v="Massachusetts"/>
    <s v="MA"/>
    <s v="Male"/>
    <s v="Single"/>
    <s v="Production Technician II"/>
    <s v="Active"/>
    <s v="Part-Time"/>
    <s v="Zone B"/>
    <s v="Production       "/>
    <s v="Field Operations"/>
    <s v="Asian"/>
    <s v="Fully Meets"/>
    <n v="3"/>
  </r>
  <r>
    <x v="361"/>
    <x v="2"/>
    <x v="337"/>
    <s v="17-27"/>
    <n v="27"/>
    <d v="1993-05-17T00:00:00"/>
    <s v="Massachusetts"/>
    <s v="MA"/>
    <s v="Female"/>
    <s v="Divorced"/>
    <s v="Production Technician II"/>
    <s v="Active"/>
    <s v="Full-Time"/>
    <s v="Zone B"/>
    <s v="Production       "/>
    <s v="Field Operations"/>
    <s v="Hispanic"/>
    <s v="Exceeds"/>
    <n v="3"/>
  </r>
  <r>
    <x v="362"/>
    <x v="1"/>
    <x v="338"/>
    <s v="17-27"/>
    <n v="27"/>
    <d v="1992-04-24T00:00:00"/>
    <s v="Massachusetts"/>
    <s v="MA"/>
    <s v="Female"/>
    <s v="Single"/>
    <s v="Production Technician II"/>
    <s v="Active"/>
    <s v="Contract"/>
    <s v="Zone C"/>
    <s v="Production       "/>
    <s v="Engineers"/>
    <s v="White"/>
    <s v="Exceeds"/>
    <n v="4"/>
  </r>
  <r>
    <x v="363"/>
    <x v="4"/>
    <x v="116"/>
    <s v="17-27"/>
    <n v="27"/>
    <d v="1995-04-06T00:00:00"/>
    <s v="Massachusetts"/>
    <s v="MA"/>
    <s v="Female"/>
    <s v="Married"/>
    <s v="Production Technician II"/>
    <s v="Active"/>
    <s v="Contract"/>
    <s v="Zone B"/>
    <s v="Production       "/>
    <s v="Aerial"/>
    <s v="Asian"/>
    <s v="Fully Meets"/>
    <n v="5"/>
  </r>
  <r>
    <x v="364"/>
    <x v="1"/>
    <x v="277"/>
    <s v="17-27"/>
    <n v="27"/>
    <d v="1992-02-29T00:00:00"/>
    <s v="Massachusetts"/>
    <s v="MA"/>
    <s v="Female"/>
    <s v="Married"/>
    <s v="Production Technician II"/>
    <s v="Active"/>
    <s v="Part-Time"/>
    <s v="Zone C"/>
    <s v="Production       "/>
    <s v="General - Con"/>
    <s v="White"/>
    <s v="Fully Meets"/>
    <n v="2"/>
  </r>
  <r>
    <x v="365"/>
    <x v="3"/>
    <x v="339"/>
    <s v="17-27"/>
    <n v="27"/>
    <d v="1994-09-30T00:00:00"/>
    <s v="Massachusetts"/>
    <s v="MA"/>
    <s v="Male"/>
    <s v="Divorced"/>
    <s v="Production Technician II"/>
    <s v="Active"/>
    <s v="Part-Time"/>
    <s v="Zone A"/>
    <s v="Production       "/>
    <s v="General - Con"/>
    <s v="White"/>
    <s v="Fully Meets"/>
    <n v="3"/>
  </r>
  <r>
    <x v="366"/>
    <x v="0"/>
    <x v="93"/>
    <s v="17-27"/>
    <n v="27"/>
    <d v="1991-06-16T00:00:00"/>
    <s v="Massachusetts"/>
    <s v="MA"/>
    <s v="Male"/>
    <s v="Divorced"/>
    <s v="Production Technician II"/>
    <s v="Terminated"/>
    <s v="Part-Time"/>
    <s v="Zone B"/>
    <s v="Production       "/>
    <s v="Project Management - Con"/>
    <s v="Hispanic"/>
    <s v="Fully Meets"/>
    <n v="1"/>
  </r>
  <r>
    <x v="367"/>
    <x v="3"/>
    <x v="340"/>
    <s v="17-27"/>
    <n v="27"/>
    <d v="1994-07-16T00:00:00"/>
    <s v="Massachusetts"/>
    <s v="MA"/>
    <s v="Female"/>
    <s v="Married"/>
    <s v="Production Technician II"/>
    <s v="Terminated"/>
    <s v="Part-Time"/>
    <s v="Zone B"/>
    <s v="Production       "/>
    <s v="Field Operations"/>
    <s v="White"/>
    <s v="Fully Meets"/>
    <n v="3"/>
  </r>
  <r>
    <x v="368"/>
    <x v="4"/>
    <x v="341"/>
    <s v="17-27"/>
    <n v="27"/>
    <d v="1995-01-26T00:00:00"/>
    <s v="Massachusetts"/>
    <s v="MA"/>
    <s v="Male"/>
    <s v="Married"/>
    <s v="Production Technician I"/>
    <s v="Terminated"/>
    <s v="Contract"/>
    <s v="Zone B"/>
    <s v="Production       "/>
    <s v="Aerial"/>
    <s v="Asian"/>
    <s v="Fully Meets"/>
    <n v="3"/>
  </r>
  <r>
    <x v="369"/>
    <x v="4"/>
    <x v="201"/>
    <s v="17-27"/>
    <n v="27"/>
    <d v="1995-12-01T00:00:00"/>
    <s v="Massachusetts"/>
    <s v="MA"/>
    <s v="Male"/>
    <s v="Divorced"/>
    <s v="Production Technician I"/>
    <s v="Active"/>
    <s v="Contract"/>
    <s v="Zone B"/>
    <s v="Production       "/>
    <s v="Engineers"/>
    <s v="Asian"/>
    <s v="Exceeds"/>
    <n v="2"/>
  </r>
  <r>
    <x v="370"/>
    <x v="2"/>
    <x v="279"/>
    <s v="17-27"/>
    <n v="27"/>
    <d v="1993-01-03T00:00:00"/>
    <s v="Massachusetts"/>
    <s v="MA"/>
    <s v="Male"/>
    <s v="Single"/>
    <s v="Production Technician I"/>
    <s v="Active"/>
    <s v="Part-Time"/>
    <s v="Zone C"/>
    <s v="Production       "/>
    <s v="Finance &amp; Accounting"/>
    <s v="Asian"/>
    <s v="Needs Improvement"/>
    <n v="1"/>
  </r>
  <r>
    <x v="371"/>
    <x v="5"/>
    <x v="342"/>
    <s v="17-27"/>
    <n v="27"/>
    <d v="1996-05-24T00:00:00"/>
    <s v="Massachusetts"/>
    <s v="MA"/>
    <s v="Male"/>
    <s v="Widowed"/>
    <s v="Production Technician I"/>
    <s v="Active"/>
    <s v="Full-Time"/>
    <s v="Zone C"/>
    <s v="Production       "/>
    <s v="Underground"/>
    <s v="Asian"/>
    <s v="Needs Improvement"/>
    <n v="5"/>
  </r>
  <r>
    <x v="372"/>
    <x v="4"/>
    <x v="343"/>
    <s v="17-27"/>
    <n v="27"/>
    <d v="1995-03-30T00:00:00"/>
    <s v="Massachusetts"/>
    <s v="MA"/>
    <s v="Male"/>
    <s v="Divorced"/>
    <s v="Production Technician I"/>
    <s v="Active"/>
    <s v="Part-Time"/>
    <s v="Zone A"/>
    <s v="Production       "/>
    <s v="Aerial"/>
    <s v="Asian"/>
    <s v="Exceeds"/>
    <n v="4"/>
  </r>
  <r>
    <x v="373"/>
    <x v="4"/>
    <x v="344"/>
    <s v="17-27"/>
    <n v="27"/>
    <d v="1995-04-17T00:00:00"/>
    <s v="Massachusetts"/>
    <s v="MA"/>
    <s v="Male"/>
    <s v="Divorced"/>
    <s v="Production Technician I"/>
    <s v="Active"/>
    <s v="Full-Time"/>
    <s v="Zone C"/>
    <s v="Production       "/>
    <s v="Aerial"/>
    <s v="Asian"/>
    <s v="Fully Meets"/>
    <n v="1"/>
  </r>
  <r>
    <x v="374"/>
    <x v="0"/>
    <x v="345"/>
    <s v="17-27"/>
    <n v="27"/>
    <d v="1991-08-14T00:00:00"/>
    <s v="Massachusetts"/>
    <s v="MA"/>
    <s v="Female"/>
    <s v="Married"/>
    <s v="Production Technician I"/>
    <s v="Active"/>
    <s v="Full-Time"/>
    <s v="Zone C"/>
    <s v="Production       "/>
    <s v="General - Eng"/>
    <s v="Asian"/>
    <s v="Needs Improvement"/>
    <n v="5"/>
  </r>
  <r>
    <x v="375"/>
    <x v="1"/>
    <x v="346"/>
    <s v="17-27"/>
    <n v="27"/>
    <d v="1992-04-07T00:00:00"/>
    <s v="Massachusetts"/>
    <s v="MA"/>
    <s v="Male"/>
    <s v="Divorced"/>
    <s v="Production Technician I"/>
    <s v="Terminated"/>
    <s v="Part-Time"/>
    <s v="Zone B"/>
    <s v="Production       "/>
    <s v="Field Operations"/>
    <s v="Other"/>
    <s v="Fully Meets"/>
    <n v="1"/>
  </r>
  <r>
    <x v="376"/>
    <x v="2"/>
    <x v="347"/>
    <s v="17-27"/>
    <n v="27"/>
    <d v="1993-06-13T00:00:00"/>
    <s v="Massachusetts"/>
    <s v="MA"/>
    <s v="Female"/>
    <s v="Divorced"/>
    <s v="Production Technician I"/>
    <s v="Active"/>
    <s v="Full-Time"/>
    <s v="Zone A"/>
    <s v="Production       "/>
    <s v="Aerial"/>
    <s v="Hispanic"/>
    <s v="Fully Meets"/>
    <n v="5"/>
  </r>
  <r>
    <x v="377"/>
    <x v="0"/>
    <x v="348"/>
    <s v="17-27"/>
    <n v="27"/>
    <d v="1991-12-21T00:00:00"/>
    <s v="Massachusetts"/>
    <s v="MA"/>
    <s v="Female"/>
    <s v="Single"/>
    <s v="Production Technician I"/>
    <s v="Active"/>
    <s v="Part-Time"/>
    <s v="Zone A"/>
    <s v="Production       "/>
    <s v="Wireline Construction"/>
    <s v="White"/>
    <s v="Fully Meets"/>
    <n v="4"/>
  </r>
  <r>
    <x v="378"/>
    <x v="4"/>
    <x v="221"/>
    <s v="17-27"/>
    <n v="27"/>
    <d v="1995-09-28T00:00:00"/>
    <s v="Massachusetts"/>
    <s v="MA"/>
    <s v="Male"/>
    <s v="Divorced"/>
    <s v="Production Technician I"/>
    <s v="Active"/>
    <s v="Full-Time"/>
    <s v="Zone C"/>
    <s v="Production       "/>
    <s v="Field Operations"/>
    <s v="White"/>
    <s v="Fully Meets"/>
    <n v="3"/>
  </r>
  <r>
    <x v="379"/>
    <x v="2"/>
    <x v="349"/>
    <s v="17-27"/>
    <n v="27"/>
    <d v="1993-06-05T00:00:00"/>
    <s v="Massachusetts"/>
    <s v="MA"/>
    <s v="Male"/>
    <s v="Divorced"/>
    <s v="Production Technician I"/>
    <s v="Active"/>
    <s v="Full-Time"/>
    <s v="Zone B"/>
    <s v="Production       "/>
    <s v="Field Operations"/>
    <s v="Other"/>
    <s v="Fully Meets"/>
    <n v="5"/>
  </r>
  <r>
    <x v="380"/>
    <x v="1"/>
    <x v="350"/>
    <s v="17-27"/>
    <n v="27"/>
    <d v="1992-02-18T00:00:00"/>
    <s v="Massachusetts"/>
    <s v="MA"/>
    <s v="Female"/>
    <s v="Widowed"/>
    <s v="Production Technician I"/>
    <s v="Active"/>
    <s v="Full-Time"/>
    <s v="Zone B"/>
    <s v="Production       "/>
    <s v="Field Operations"/>
    <s v="Other"/>
    <s v="Needs Improvement"/>
    <n v="4"/>
  </r>
  <r>
    <x v="381"/>
    <x v="3"/>
    <x v="268"/>
    <s v="17-27"/>
    <n v="27"/>
    <d v="1994-06-01T00:00:00"/>
    <s v="Massachusetts"/>
    <s v="MA"/>
    <s v="Female"/>
    <s v="Single"/>
    <s v="Production Technician I"/>
    <s v="Terminated"/>
    <s v="Part-Time"/>
    <s v="Zone C"/>
    <s v="Production       "/>
    <s v="Field Operations"/>
    <s v="Other"/>
    <s v="Exceeds"/>
    <n v="4"/>
  </r>
  <r>
    <x v="382"/>
    <x v="0"/>
    <x v="351"/>
    <s v="17-27"/>
    <n v="27"/>
    <d v="1991-10-08T00:00:00"/>
    <s v="Massachusetts"/>
    <s v="MA"/>
    <s v="Female"/>
    <s v="Divorced"/>
    <s v="Production Technician I"/>
    <s v="Active"/>
    <s v="Part-Time"/>
    <s v="Zone A"/>
    <s v="Production       "/>
    <s v="Underground"/>
    <s v="Other"/>
    <s v="Exceeds"/>
    <n v="2"/>
  </r>
  <r>
    <x v="383"/>
    <x v="3"/>
    <x v="352"/>
    <s v="17-27"/>
    <n v="27"/>
    <d v="1994-07-27T00:00:00"/>
    <s v="Massachusetts"/>
    <s v="MA"/>
    <s v="Male"/>
    <s v="Married"/>
    <s v="Production Technician I"/>
    <s v="Active"/>
    <s v="Contract"/>
    <s v="Zone C"/>
    <s v="Production       "/>
    <s v="Engineers"/>
    <s v="Other"/>
    <s v="Fully Meets"/>
    <n v="2"/>
  </r>
  <r>
    <x v="384"/>
    <x v="3"/>
    <x v="239"/>
    <s v="17-27"/>
    <n v="27"/>
    <d v="1994-11-30T00:00:00"/>
    <s v="Massachusetts"/>
    <s v="MA"/>
    <s v="Male"/>
    <s v="Divorced"/>
    <s v="Production Technician I"/>
    <s v="Active"/>
    <s v="Full-Time"/>
    <s v="Zone A"/>
    <s v="Production       "/>
    <s v="General - Con"/>
    <s v="Black"/>
    <s v="Fully Meets"/>
    <n v="1"/>
  </r>
  <r>
    <x v="385"/>
    <x v="2"/>
    <x v="353"/>
    <s v="17-27"/>
    <n v="27"/>
    <d v="1993-08-20T00:00:00"/>
    <s v="Massachusetts"/>
    <s v="MA"/>
    <s v="Male"/>
    <s v="Single"/>
    <s v="Production Technician I"/>
    <s v="Active"/>
    <s v="Part-Time"/>
    <s v="Zone C"/>
    <s v="Production       "/>
    <s v="General - Con"/>
    <s v="Hispanic"/>
    <s v="Fully Meets"/>
    <n v="3"/>
  </r>
  <r>
    <x v="386"/>
    <x v="0"/>
    <x v="354"/>
    <s v="17-27"/>
    <n v="27"/>
    <d v="1991-06-03T00:00:00"/>
    <s v="Massachusetts"/>
    <s v="MA"/>
    <s v="Female"/>
    <s v="Divorced"/>
    <s v="Production Technician I"/>
    <s v="Active"/>
    <s v="Full-Time"/>
    <s v="Zone A"/>
    <s v="Production       "/>
    <s v="Field Operations"/>
    <s v="Black"/>
    <s v="Needs Improvement"/>
    <n v="4"/>
  </r>
  <r>
    <x v="387"/>
    <x v="3"/>
    <x v="355"/>
    <s v="17-27"/>
    <n v="27"/>
    <d v="1994-03-19T00:00:00"/>
    <s v="Massachusetts"/>
    <s v="MA"/>
    <s v="Female"/>
    <s v="Single"/>
    <s v="Production Technician I"/>
    <s v="Active"/>
    <s v="Full-Time"/>
    <s v="Zone A"/>
    <s v="Production       "/>
    <s v="Wireline Construction"/>
    <s v="Hispanic"/>
    <s v="Exceeds"/>
    <n v="2"/>
  </r>
  <r>
    <x v="388"/>
    <x v="5"/>
    <x v="356"/>
    <s v="17-27"/>
    <n v="27"/>
    <d v="1996-02-13T00:00:00"/>
    <s v="Massachusetts"/>
    <s v="MA"/>
    <s v="Female"/>
    <s v="Widowed"/>
    <s v="Production Technician I"/>
    <s v="Active"/>
    <s v="Full-Time"/>
    <s v="Zone B"/>
    <s v="Production       "/>
    <s v="Safety"/>
    <s v="Asian"/>
    <s v="Fully Meets"/>
    <n v="5"/>
  </r>
  <r>
    <x v="389"/>
    <x v="3"/>
    <x v="357"/>
    <s v="17-27"/>
    <n v="27"/>
    <d v="1994-07-21T00:00:00"/>
    <s v="Massachusetts"/>
    <s v="MA"/>
    <s v="Male"/>
    <s v="Widowed"/>
    <s v="Production Technician I"/>
    <s v="Active"/>
    <s v="Part-Time"/>
    <s v="Zone C"/>
    <s v="Production       "/>
    <s v="General - Eng"/>
    <s v="Hispanic"/>
    <s v="Fully Meets"/>
    <n v="2"/>
  </r>
  <r>
    <x v="390"/>
    <x v="1"/>
    <x v="358"/>
    <s v="17-27"/>
    <n v="27"/>
    <d v="1992-03-13T00:00:00"/>
    <s v="Massachusetts"/>
    <s v="MA"/>
    <s v="Female"/>
    <s v="Married"/>
    <s v="Production Technician I"/>
    <s v="Terminated"/>
    <s v="Contract"/>
    <s v="Zone B"/>
    <s v="Production       "/>
    <s v="Field Operations"/>
    <s v="Black"/>
    <s v="Fully Meets"/>
    <n v="4"/>
  </r>
  <r>
    <x v="391"/>
    <x v="3"/>
    <x v="359"/>
    <s v="17-27"/>
    <n v="27"/>
    <d v="1994-12-02T00:00:00"/>
    <s v="Massachusetts"/>
    <s v="MA"/>
    <s v="Female"/>
    <s v="Widowed"/>
    <s v="Production Technician I"/>
    <s v="Active"/>
    <s v="Contract"/>
    <s v="Zone B"/>
    <s v="Production       "/>
    <s v="Fielders"/>
    <s v="Other"/>
    <s v="Fully Meets"/>
    <n v="5"/>
  </r>
  <r>
    <x v="392"/>
    <x v="2"/>
    <x v="360"/>
    <s v="17-27"/>
    <n v="27"/>
    <d v="1993-03-20T00:00:00"/>
    <s v="Massachusetts"/>
    <s v="MA"/>
    <s v="Male"/>
    <s v="Married"/>
    <s v="Production Manager"/>
    <s v="Active"/>
    <s v="Part-Time"/>
    <s v="Zone B"/>
    <s v="Production       "/>
    <s v="Executive"/>
    <s v="Black"/>
    <s v="Fully Meets"/>
    <n v="3"/>
  </r>
  <r>
    <x v="393"/>
    <x v="2"/>
    <x v="361"/>
    <s v="17-27"/>
    <n v="27"/>
    <d v="1993-11-16T00:00:00"/>
    <s v="Massachusetts"/>
    <s v="MA"/>
    <s v="Male"/>
    <s v="Widowed"/>
    <s v="IT Support"/>
    <s v="Active"/>
    <s v="Full-Time"/>
    <s v="Zone C"/>
    <s v="IT/IS"/>
    <s v="Aerial"/>
    <s v="White"/>
    <s v="Fully Meets"/>
    <n v="1"/>
  </r>
  <r>
    <x v="394"/>
    <x v="1"/>
    <x v="362"/>
    <s v="17-27"/>
    <n v="27"/>
    <d v="1992-11-12T00:00:00"/>
    <s v="Massachusetts"/>
    <s v="MA"/>
    <s v="Male"/>
    <s v="Divorced"/>
    <s v="IT Support"/>
    <s v="Active"/>
    <s v="Part-Time"/>
    <s v="Zone B"/>
    <s v="IT/IS"/>
    <s v="Field Operations"/>
    <s v="Other"/>
    <s v="Fully Meets"/>
    <n v="3"/>
  </r>
  <r>
    <x v="395"/>
    <x v="1"/>
    <x v="16"/>
    <s v="17-27"/>
    <n v="27"/>
    <d v="1992-04-20T00:00:00"/>
    <s v="Massachusetts"/>
    <s v="MA"/>
    <s v="Female"/>
    <s v="Married"/>
    <s v="IT Support"/>
    <s v="Active"/>
    <s v="Full-Time"/>
    <s v="Zone B"/>
    <s v="IT/IS"/>
    <s v="Fielders"/>
    <s v="Hispanic"/>
    <s v="PIP"/>
    <n v="2"/>
  </r>
  <r>
    <x v="396"/>
    <x v="1"/>
    <x v="363"/>
    <s v="17-27"/>
    <n v="27"/>
    <d v="1992-09-24T00:00:00"/>
    <s v="Massachusetts"/>
    <s v="MA"/>
    <s v="Male"/>
    <s v="Widowed"/>
    <s v="IT Support"/>
    <s v="Active"/>
    <s v="Part-Time"/>
    <s v="Zone B"/>
    <s v="IT/IS"/>
    <s v="General - Eng"/>
    <s v="Asian"/>
    <s v="Fully Meets"/>
    <n v="3"/>
  </r>
  <r>
    <x v="397"/>
    <x v="1"/>
    <x v="364"/>
    <s v="17-27"/>
    <n v="27"/>
    <d v="1992-09-04T00:00:00"/>
    <s v="Texas"/>
    <s v="TX"/>
    <s v="Male"/>
    <s v="Married"/>
    <s v="Data Analyst"/>
    <s v="Active"/>
    <s v="Part-Time"/>
    <s v="Zone A"/>
    <s v="IT/IS"/>
    <s v="General - Con"/>
    <s v="Black"/>
    <s v="Fully Meets"/>
    <n v="2"/>
  </r>
  <r>
    <x v="398"/>
    <x v="1"/>
    <x v="365"/>
    <s v="17-27"/>
    <n v="27"/>
    <d v="1992-03-10T00:00:00"/>
    <s v="Massachusetts"/>
    <s v="MA"/>
    <s v="Female"/>
    <s v="Single"/>
    <s v="Data Analyst"/>
    <s v="Active"/>
    <s v="Full-Time"/>
    <s v="Zone A"/>
    <s v="Production       "/>
    <s v="Field Operations"/>
    <s v="Hispanic"/>
    <s v="Fully Meets"/>
    <n v="4"/>
  </r>
  <r>
    <x v="399"/>
    <x v="2"/>
    <x v="30"/>
    <s v="17-27"/>
    <n v="27"/>
    <d v="1993-12-31T00:00:00"/>
    <s v="Massachusetts"/>
    <s v="MA"/>
    <s v="Male"/>
    <s v="Widowed"/>
    <s v="Data Analyst"/>
    <s v="Active"/>
    <s v="Full-Time"/>
    <s v="Zone B"/>
    <s v="Production       "/>
    <s v="General - Con"/>
    <s v="White"/>
    <s v="Fully Meets"/>
    <n v="3"/>
  </r>
  <r>
    <x v="400"/>
    <x v="3"/>
    <x v="366"/>
    <s v="17-27"/>
    <n v="27"/>
    <d v="1994-03-20T00:00:00"/>
    <s v="Massachusetts"/>
    <s v="MA"/>
    <s v="Male"/>
    <s v="Married"/>
    <s v="BI Developer"/>
    <s v="Active"/>
    <s v="Part-Time"/>
    <s v="Zone C"/>
    <s v="IT/IS"/>
    <s v="Wireline Construction"/>
    <s v="Asian"/>
    <s v="Fully Meets"/>
    <n v="4"/>
  </r>
  <r>
    <x v="401"/>
    <x v="5"/>
    <x v="367"/>
    <s v="17-27"/>
    <n v="27"/>
    <d v="1996-01-28T00:00:00"/>
    <s v="Vermont"/>
    <s v="VT"/>
    <s v="Female"/>
    <s v="Single"/>
    <s v="Area Sales Manager"/>
    <s v="Active"/>
    <s v="Part-Time"/>
    <s v="Zone A"/>
    <s v="Sales"/>
    <s v="Shop (Fleet)"/>
    <s v="Black"/>
    <s v="Fully Meets"/>
    <n v="5"/>
  </r>
  <r>
    <x v="402"/>
    <x v="0"/>
    <x v="368"/>
    <s v="17-27"/>
    <n v="27"/>
    <d v="1991-10-06T00:00:00"/>
    <s v="Massachusetts"/>
    <s v="MA"/>
    <s v="Male"/>
    <s v="Widowed"/>
    <s v="Area Sales Manager"/>
    <s v="Active"/>
    <s v="Full-Time"/>
    <s v="Zone B"/>
    <s v="Sales"/>
    <s v="General - Sga"/>
    <s v="Hispanic"/>
    <s v="Fully Meets"/>
    <n v="2"/>
  </r>
  <r>
    <x v="403"/>
    <x v="3"/>
    <x v="369"/>
    <s v="17-27"/>
    <n v="27"/>
    <d v="1994-03-06T00:00:00"/>
    <s v="Massachusetts"/>
    <s v="MA"/>
    <s v="Male"/>
    <s v="Widowed"/>
    <s v="Area Sales Manager"/>
    <s v="Active"/>
    <s v="Part-Time"/>
    <s v="Zone A"/>
    <s v="Sales"/>
    <s v="Engineers"/>
    <s v="Other"/>
    <s v="Fully Meets"/>
    <n v="2"/>
  </r>
  <r>
    <x v="404"/>
    <x v="3"/>
    <x v="370"/>
    <s v="17-27"/>
    <n v="27"/>
    <d v="1994-11-14T00:00:00"/>
    <s v="Massachusetts"/>
    <s v="MA"/>
    <s v="Male"/>
    <s v="Married"/>
    <s v="Area Sales Manager"/>
    <s v="Active"/>
    <s v="Full-Time"/>
    <s v="Zone A"/>
    <s v="IT/IS"/>
    <s v="Billable Consultants"/>
    <s v="White"/>
    <s v="Fully Meets"/>
    <n v="5"/>
  </r>
  <r>
    <x v="405"/>
    <x v="3"/>
    <x v="371"/>
    <s v="17-27"/>
    <n v="27"/>
    <d v="1994-04-08T00:00:00"/>
    <s v="Kentucky"/>
    <s v="KY"/>
    <s v="Male"/>
    <s v="Widowed"/>
    <s v="Area Sales Manager"/>
    <s v="Active"/>
    <s v="Full-Time"/>
    <s v="Zone C"/>
    <s v="IT/IS"/>
    <s v="Project Management - Con"/>
    <s v="Asian"/>
    <s v="Fully Meets"/>
    <n v="2"/>
  </r>
  <r>
    <x v="406"/>
    <x v="3"/>
    <x v="372"/>
    <s v="17-27"/>
    <n v="27"/>
    <d v="1994-08-22T00:00:00"/>
    <s v="Colorado"/>
    <s v="CO"/>
    <s v="Male"/>
    <s v="Widowed"/>
    <s v="Area Sales Manager"/>
    <s v="Active"/>
    <s v="Contract"/>
    <s v="Zone C"/>
    <s v="Sales"/>
    <s v="Field Operations"/>
    <s v="White"/>
    <s v="Fully Meets"/>
    <n v="1"/>
  </r>
  <r>
    <x v="407"/>
    <x v="3"/>
    <x v="373"/>
    <s v="28-37"/>
    <n v="28"/>
    <d v="1993-04-27T00:00:00"/>
    <s v="Connecticut"/>
    <s v="CT"/>
    <s v="Male"/>
    <s v="Widowed"/>
    <s v="Sr. Network Engineer"/>
    <s v="Active"/>
    <s v="Full-Time"/>
    <s v="Zone B"/>
    <s v="IT/IS"/>
    <s v="General - Con"/>
    <s v="Other"/>
    <s v="Fully Meets"/>
    <n v="4"/>
  </r>
  <r>
    <x v="408"/>
    <x v="4"/>
    <x v="374"/>
    <s v="28-37"/>
    <n v="28"/>
    <d v="1994-10-10T00:00:00"/>
    <s v="Massachusetts"/>
    <s v="MA"/>
    <s v="Female"/>
    <s v="Divorced"/>
    <s v="Sr. Accountant"/>
    <s v="Active"/>
    <s v="Contract"/>
    <s v="Zone C"/>
    <s v="Admin Offices"/>
    <s v="General - Con"/>
    <s v="Hispanic"/>
    <s v="Exceeds"/>
    <n v="1"/>
  </r>
  <r>
    <x v="409"/>
    <x v="4"/>
    <x v="375"/>
    <s v="28-37"/>
    <n v="28"/>
    <d v="1994-08-26T00:00:00"/>
    <s v="Massachusetts"/>
    <s v="MA"/>
    <s v="Female"/>
    <s v="Divorced"/>
    <s v="Software Engineering Manager"/>
    <s v="Active"/>
    <s v="Contract"/>
    <s v="Zone B"/>
    <s v="Software Engineering"/>
    <s v="Finance &amp; Accounting"/>
    <s v="Black"/>
    <s v="Fully Meets"/>
    <n v="4"/>
  </r>
  <r>
    <x v="410"/>
    <x v="1"/>
    <x v="376"/>
    <s v="28-37"/>
    <n v="28"/>
    <d v="1991-12-25T00:00:00"/>
    <s v="Massachusetts"/>
    <s v="MA"/>
    <s v="Male"/>
    <s v="Divorced"/>
    <s v="Software Engineer"/>
    <s v="Terminated"/>
    <s v="Full-Time"/>
    <s v="Zone A"/>
    <s v="Software Engineering"/>
    <s v="General - Con"/>
    <s v="White"/>
    <s v="Fully Meets"/>
    <n v="4"/>
  </r>
  <r>
    <x v="411"/>
    <x v="3"/>
    <x v="377"/>
    <s v="28-37"/>
    <n v="28"/>
    <d v="1993-06-17T00:00:00"/>
    <s v="Massachusetts"/>
    <s v="MA"/>
    <s v="Male"/>
    <s v="Married"/>
    <s v="Senior BI Developer"/>
    <s v="Active"/>
    <s v="Contract"/>
    <s v="Zone C"/>
    <s v="Admin Offices"/>
    <s v="Executive"/>
    <s v="Hispanic"/>
    <s v="Fully Meets"/>
    <n v="4"/>
  </r>
  <r>
    <x v="412"/>
    <x v="3"/>
    <x v="378"/>
    <s v="28-37"/>
    <n v="28"/>
    <d v="1993-08-08T00:00:00"/>
    <s v="Massachusetts"/>
    <s v="MA"/>
    <s v="Male"/>
    <s v="Single"/>
    <s v="Senior BI Developer"/>
    <s v="Active"/>
    <s v="Part-Time"/>
    <s v="Zone A"/>
    <s v="Admin Offices"/>
    <s v="Field Operations"/>
    <s v="Asian"/>
    <s v="Fully Meets"/>
    <n v="2"/>
  </r>
  <r>
    <x v="413"/>
    <x v="1"/>
    <x v="379"/>
    <s v="28-37"/>
    <n v="28"/>
    <d v="1991-09-29T00:00:00"/>
    <s v="Pennsylvania"/>
    <s v="PA"/>
    <s v="Female"/>
    <s v="Widowed"/>
    <s v="Sales Manager"/>
    <s v="Terminated"/>
    <s v="Contract"/>
    <s v="Zone B"/>
    <s v="Sales"/>
    <s v="General - Eng"/>
    <s v="Other"/>
    <s v="Fully Meets"/>
    <n v="5"/>
  </r>
  <r>
    <x v="414"/>
    <x v="2"/>
    <x v="380"/>
    <s v="28-37"/>
    <n v="28"/>
    <d v="1992-12-26T00:00:00"/>
    <s v="Massachusetts"/>
    <s v="MA"/>
    <s v="Female"/>
    <s v="Single"/>
    <s v="Production Technician II"/>
    <s v="Active"/>
    <s v="Full-Time"/>
    <s v="Zone A"/>
    <s v="Production       "/>
    <s v="Field Operations"/>
    <s v="Other"/>
    <s v="PIP"/>
    <n v="4"/>
  </r>
  <r>
    <x v="415"/>
    <x v="1"/>
    <x v="381"/>
    <s v="28-37"/>
    <n v="28"/>
    <d v="1991-02-24T00:00:00"/>
    <s v="Massachusetts"/>
    <s v="MA"/>
    <s v="Female"/>
    <s v="Divorced"/>
    <s v="Production Technician II"/>
    <s v="Active"/>
    <s v="Part-Time"/>
    <s v="Zone A"/>
    <s v="Production       "/>
    <s v="General - Con"/>
    <s v="Asian"/>
    <s v="Fully Meets"/>
    <n v="2"/>
  </r>
  <r>
    <x v="416"/>
    <x v="1"/>
    <x v="382"/>
    <s v="28-37"/>
    <n v="28"/>
    <d v="1991-01-19T00:00:00"/>
    <s v="Massachusetts"/>
    <s v="MA"/>
    <s v="Female"/>
    <s v="Single"/>
    <s v="Production Technician II"/>
    <s v="Active"/>
    <s v="Full-Time"/>
    <s v="Zone C"/>
    <s v="Production       "/>
    <s v="General - Con"/>
    <s v="White"/>
    <s v="Fully Meets"/>
    <n v="4"/>
  </r>
  <r>
    <x v="417"/>
    <x v="1"/>
    <x v="383"/>
    <s v="28-37"/>
    <n v="28"/>
    <d v="1991-12-25T00:00:00"/>
    <s v="Massachusetts"/>
    <s v="MA"/>
    <s v="Female"/>
    <s v="Divorced"/>
    <s v="Production Technician II"/>
    <s v="Terminated"/>
    <s v="Full-Time"/>
    <s v="Zone B"/>
    <s v="Production       "/>
    <s v="Field Operations"/>
    <s v="White"/>
    <s v="Fully Meets"/>
    <n v="2"/>
  </r>
  <r>
    <x v="418"/>
    <x v="3"/>
    <x v="384"/>
    <s v="28-37"/>
    <n v="28"/>
    <d v="1993-10-28T00:00:00"/>
    <s v="Massachusetts"/>
    <s v="MA"/>
    <s v="Female"/>
    <s v="Single"/>
    <s v="Production Technician II"/>
    <s v="Active"/>
    <s v="Full-Time"/>
    <s v="Zone B"/>
    <s v="Production       "/>
    <s v="Field Operations"/>
    <s v="Asian"/>
    <s v="Fully Meets"/>
    <n v="5"/>
  </r>
  <r>
    <x v="419"/>
    <x v="1"/>
    <x v="385"/>
    <s v="28-37"/>
    <n v="28"/>
    <d v="1991-03-20T00:00:00"/>
    <s v="Massachusetts"/>
    <s v="MA"/>
    <s v="Female"/>
    <s v="Divorced"/>
    <s v="Production Technician II"/>
    <s v="Active"/>
    <s v="Part-Time"/>
    <s v="Zone A"/>
    <s v="Production       "/>
    <s v="Shop (Fleet)"/>
    <s v="White"/>
    <s v="Exceeds"/>
    <n v="4"/>
  </r>
  <r>
    <x v="420"/>
    <x v="3"/>
    <x v="386"/>
    <s v="28-37"/>
    <n v="28"/>
    <d v="1993-10-14T00:00:00"/>
    <s v="Massachusetts"/>
    <s v="MA"/>
    <s v="Female"/>
    <s v="Single"/>
    <s v="Production Technician II"/>
    <s v="Terminated"/>
    <s v="Contract"/>
    <s v="Zone A"/>
    <s v="Production       "/>
    <s v="Field Operations"/>
    <s v="White"/>
    <s v="Fully Meets"/>
    <n v="5"/>
  </r>
  <r>
    <x v="421"/>
    <x v="1"/>
    <x v="387"/>
    <s v="28-37"/>
    <n v="28"/>
    <d v="1991-10-10T00:00:00"/>
    <s v="Massachusetts"/>
    <s v="MA"/>
    <s v="Female"/>
    <s v="Married"/>
    <s v="Production Technician II"/>
    <s v="Active"/>
    <s v="Full-Time"/>
    <s v="Zone B"/>
    <s v="Production       "/>
    <s v="General - Con"/>
    <s v="Black"/>
    <s v="Fully Meets"/>
    <n v="2"/>
  </r>
  <r>
    <x v="422"/>
    <x v="1"/>
    <x v="53"/>
    <s v="28-37"/>
    <n v="28"/>
    <d v="1991-09-07T00:00:00"/>
    <s v="Massachusetts"/>
    <s v="MA"/>
    <s v="Female"/>
    <s v="Divorced"/>
    <s v="Production Technician II"/>
    <s v="Active"/>
    <s v="Contract"/>
    <s v="Zone C"/>
    <s v="Production       "/>
    <s v="Project Management - Con"/>
    <s v="Asian"/>
    <s v="Fully Meets"/>
    <n v="5"/>
  </r>
  <r>
    <x v="423"/>
    <x v="1"/>
    <x v="388"/>
    <s v="28-37"/>
    <n v="28"/>
    <d v="1991-07-29T00:00:00"/>
    <s v="Massachusetts"/>
    <s v="MA"/>
    <s v="Male"/>
    <s v="Married"/>
    <s v="Production Technician II"/>
    <s v="Active"/>
    <s v="Contract"/>
    <s v="Zone A"/>
    <s v="Production       "/>
    <s v="Project Management - Con"/>
    <s v="White"/>
    <s v="Exceeds"/>
    <n v="3"/>
  </r>
  <r>
    <x v="424"/>
    <x v="2"/>
    <x v="389"/>
    <s v="28-37"/>
    <n v="28"/>
    <d v="1992-02-09T00:00:00"/>
    <s v="Massachusetts"/>
    <s v="MA"/>
    <s v="Female"/>
    <s v="Single"/>
    <s v="Production Technician II"/>
    <s v="Active"/>
    <s v="Contract"/>
    <s v="Zone A"/>
    <s v="Production       "/>
    <s v="Wireline Construction"/>
    <s v="Other"/>
    <s v="Fully Meets"/>
    <n v="5"/>
  </r>
  <r>
    <x v="425"/>
    <x v="3"/>
    <x v="390"/>
    <s v="28-37"/>
    <n v="28"/>
    <d v="1993-03-07T00:00:00"/>
    <s v="Massachusetts"/>
    <s v="MA"/>
    <s v="Female"/>
    <s v="Divorced"/>
    <s v="Production Technician I"/>
    <s v="Terminated"/>
    <s v="Full-Time"/>
    <s v="Zone B"/>
    <s v="Production       "/>
    <s v="General - Con"/>
    <s v="Black"/>
    <s v="Fully Meets"/>
    <n v="5"/>
  </r>
  <r>
    <x v="426"/>
    <x v="3"/>
    <x v="391"/>
    <s v="28-37"/>
    <n v="28"/>
    <d v="1993-06-09T00:00:00"/>
    <s v="Massachusetts"/>
    <s v="MA"/>
    <s v="Female"/>
    <s v="Widowed"/>
    <s v="Production Technician I"/>
    <s v="Active"/>
    <s v="Contract"/>
    <s v="Zone B"/>
    <s v="Production       "/>
    <s v="Shop (Fleet)"/>
    <s v="Other"/>
    <s v="Fully Meets"/>
    <n v="2"/>
  </r>
  <r>
    <x v="427"/>
    <x v="1"/>
    <x v="392"/>
    <s v="28-37"/>
    <n v="28"/>
    <d v="1991-11-18T00:00:00"/>
    <s v="Massachusetts"/>
    <s v="MA"/>
    <s v="Male"/>
    <s v="Single"/>
    <s v="Production Technician I"/>
    <s v="Active"/>
    <s v="Part-Time"/>
    <s v="Zone C"/>
    <s v="Production       "/>
    <s v="Field Operations"/>
    <s v="White"/>
    <s v="Fully Meets"/>
    <n v="2"/>
  </r>
  <r>
    <x v="428"/>
    <x v="2"/>
    <x v="393"/>
    <s v="28-37"/>
    <n v="28"/>
    <d v="1992-12-18T00:00:00"/>
    <s v="Massachusetts"/>
    <s v="MA"/>
    <s v="Male"/>
    <s v="Married"/>
    <s v="Production Technician I"/>
    <s v="Active"/>
    <s v="Full-Time"/>
    <s v="Zone B"/>
    <s v="Production       "/>
    <s v="Finance &amp; Accounting"/>
    <s v="Asian"/>
    <s v="Fully Meets"/>
    <n v="2"/>
  </r>
  <r>
    <x v="429"/>
    <x v="1"/>
    <x v="46"/>
    <s v="28-37"/>
    <n v="28"/>
    <d v="1991-07-18T00:00:00"/>
    <s v="Massachusetts"/>
    <s v="MA"/>
    <s v="Female"/>
    <s v="Married"/>
    <s v="Production Technician I"/>
    <s v="Active"/>
    <s v="Full-Time"/>
    <s v="Zone C"/>
    <s v="Production       "/>
    <s v="Field Operations"/>
    <s v="Hispanic"/>
    <s v="Fully Meets"/>
    <n v="1"/>
  </r>
  <r>
    <x v="430"/>
    <x v="3"/>
    <x v="394"/>
    <s v="28-37"/>
    <n v="28"/>
    <d v="1993-09-04T00:00:00"/>
    <s v="Massachusetts"/>
    <s v="MA"/>
    <s v="Female"/>
    <s v="Single"/>
    <s v="Production Technician I"/>
    <s v="Active"/>
    <s v="Contract"/>
    <s v="Zone B"/>
    <s v="Production       "/>
    <s v="General - Con"/>
    <s v="White"/>
    <s v="Exceeds"/>
    <n v="1"/>
  </r>
  <r>
    <x v="431"/>
    <x v="2"/>
    <x v="395"/>
    <s v="28-37"/>
    <n v="28"/>
    <d v="1992-07-09T00:00:00"/>
    <s v="Massachusetts"/>
    <s v="MA"/>
    <s v="Female"/>
    <s v="Widowed"/>
    <s v="Production Technician I"/>
    <s v="Terminated"/>
    <s v="Contract"/>
    <s v="Zone C"/>
    <s v="Production       "/>
    <s v="Project Management - Con"/>
    <s v="Other"/>
    <s v="Fully Meets"/>
    <n v="4"/>
  </r>
  <r>
    <x v="432"/>
    <x v="3"/>
    <x v="396"/>
    <s v="28-37"/>
    <n v="28"/>
    <d v="1993-06-05T00:00:00"/>
    <s v="Massachusetts"/>
    <s v="MA"/>
    <s v="Male"/>
    <s v="Single"/>
    <s v="Production Technician I"/>
    <s v="Active"/>
    <s v="Part-Time"/>
    <s v="Zone C"/>
    <s v="Production       "/>
    <s v="General - Con"/>
    <s v="Other"/>
    <s v="Fully Meets"/>
    <n v="5"/>
  </r>
  <r>
    <x v="433"/>
    <x v="4"/>
    <x v="228"/>
    <s v="28-37"/>
    <n v="28"/>
    <d v="1994-04-26T00:00:00"/>
    <s v="Massachusetts"/>
    <s v="MA"/>
    <s v="Male"/>
    <s v="Divorced"/>
    <s v="Production Technician I"/>
    <s v="Active"/>
    <s v="Part-Time"/>
    <s v="Zone B"/>
    <s v="Production       "/>
    <s v="Engineers"/>
    <s v="Hispanic"/>
    <s v="Needs Improvement"/>
    <n v="2"/>
  </r>
  <r>
    <x v="434"/>
    <x v="2"/>
    <x v="397"/>
    <s v="28-37"/>
    <n v="28"/>
    <d v="1992-04-29T00:00:00"/>
    <s v="Massachusetts"/>
    <s v="MA"/>
    <s v="Male"/>
    <s v="Single"/>
    <s v="Production Technician I"/>
    <s v="Active"/>
    <s v="Part-Time"/>
    <s v="Zone B"/>
    <s v="Production       "/>
    <s v="Project Management - Con"/>
    <s v="Other"/>
    <s v="Fully Meets"/>
    <n v="5"/>
  </r>
  <r>
    <x v="435"/>
    <x v="4"/>
    <x v="244"/>
    <s v="28-37"/>
    <n v="28"/>
    <d v="1994-04-06T00:00:00"/>
    <s v="Massachusetts"/>
    <s v="MA"/>
    <s v="Male"/>
    <s v="Widowed"/>
    <s v="Production Technician I"/>
    <s v="Terminated"/>
    <s v="Contract"/>
    <s v="Zone B"/>
    <s v="Production       "/>
    <s v="General - Con"/>
    <s v="Other"/>
    <s v="Needs Improvement"/>
    <n v="1"/>
  </r>
  <r>
    <x v="436"/>
    <x v="4"/>
    <x v="398"/>
    <s v="28-37"/>
    <n v="28"/>
    <d v="1994-05-26T00:00:00"/>
    <s v="Massachusetts"/>
    <s v="MA"/>
    <s v="Male"/>
    <s v="Married"/>
    <s v="Production Technician I"/>
    <s v="Active"/>
    <s v="Full-Time"/>
    <s v="Zone B"/>
    <s v="Production       "/>
    <s v="General - Eng"/>
    <s v="White"/>
    <s v="Fully Meets"/>
    <n v="2"/>
  </r>
  <r>
    <x v="437"/>
    <x v="1"/>
    <x v="36"/>
    <s v="28-37"/>
    <n v="28"/>
    <d v="1991-05-18T00:00:00"/>
    <s v="Massachusetts"/>
    <s v="MA"/>
    <s v="Female"/>
    <s v="Single"/>
    <s v="Production Technician I"/>
    <s v="Active"/>
    <s v="Part-Time"/>
    <s v="Zone C"/>
    <s v="Production       "/>
    <s v="Field Operations"/>
    <s v="Hispanic"/>
    <s v="Fully Meets"/>
    <n v="2"/>
  </r>
  <r>
    <x v="438"/>
    <x v="1"/>
    <x v="56"/>
    <s v="28-37"/>
    <n v="28"/>
    <d v="1991-08-13T00:00:00"/>
    <s v="Massachusetts"/>
    <s v="MA"/>
    <s v="Female"/>
    <s v="Single"/>
    <s v="Production Technician I"/>
    <s v="Active"/>
    <s v="Contract"/>
    <s v="Zone A"/>
    <s v="Production       "/>
    <s v="Field Operations"/>
    <s v="Black"/>
    <s v="PIP"/>
    <n v="1"/>
  </r>
  <r>
    <x v="439"/>
    <x v="4"/>
    <x v="399"/>
    <s v="28-37"/>
    <n v="28"/>
    <d v="1994-08-06T00:00:00"/>
    <s v="Massachusetts"/>
    <s v="MA"/>
    <s v="Female"/>
    <s v="Married"/>
    <s v="Production Technician I"/>
    <s v="Active"/>
    <s v="Contract"/>
    <s v="Zone B"/>
    <s v="Production       "/>
    <s v="Finance &amp; Accounting"/>
    <s v="Asian"/>
    <s v="Fully Meets"/>
    <n v="2"/>
  </r>
  <r>
    <x v="440"/>
    <x v="0"/>
    <x v="400"/>
    <s v="28-37"/>
    <n v="28"/>
    <d v="1990-05-25T00:00:00"/>
    <s v="Massachusetts"/>
    <s v="MA"/>
    <s v="Female"/>
    <s v="Married"/>
    <s v="Production Technician I"/>
    <s v="Terminated"/>
    <s v="Contract"/>
    <s v="Zone B"/>
    <s v="Production       "/>
    <s v="General - Con"/>
    <s v="White"/>
    <s v="Fully Meets"/>
    <n v="4"/>
  </r>
  <r>
    <x v="441"/>
    <x v="3"/>
    <x v="401"/>
    <s v="28-37"/>
    <n v="28"/>
    <d v="1993-11-14T00:00:00"/>
    <s v="Massachusetts"/>
    <s v="MA"/>
    <s v="Male"/>
    <s v="Divorced"/>
    <s v="Production Technician I"/>
    <s v="Active"/>
    <s v="Contract"/>
    <s v="Zone A"/>
    <s v="Production       "/>
    <s v="General - Con"/>
    <s v="Black"/>
    <s v="Fully Meets"/>
    <n v="4"/>
  </r>
  <r>
    <x v="442"/>
    <x v="5"/>
    <x v="402"/>
    <s v="28-37"/>
    <n v="28"/>
    <d v="1995-12-31T00:00:00"/>
    <s v="Massachusetts"/>
    <s v="MA"/>
    <s v="Female"/>
    <s v="Divorced"/>
    <s v="Production Technician I"/>
    <s v="Active"/>
    <s v="Contract"/>
    <s v="Zone A"/>
    <s v="Production       "/>
    <s v="General - Con"/>
    <s v="White"/>
    <s v="Fully Meets"/>
    <n v="1"/>
  </r>
  <r>
    <x v="443"/>
    <x v="5"/>
    <x v="403"/>
    <s v="28-37"/>
    <n v="28"/>
    <d v="1995-03-15T00:00:00"/>
    <s v="Massachusetts"/>
    <s v="MA"/>
    <s v="Female"/>
    <s v="Divorced"/>
    <s v="Production Technician I"/>
    <s v="Active"/>
    <s v="Part-Time"/>
    <s v="Zone B"/>
    <s v="Production       "/>
    <s v="Yard (Material Handling)"/>
    <s v="Asian"/>
    <s v="Fully Meets"/>
    <n v="2"/>
  </r>
  <r>
    <x v="444"/>
    <x v="5"/>
    <x v="404"/>
    <s v="28-37"/>
    <n v="28"/>
    <d v="1995-09-20T00:00:00"/>
    <s v="Massachusetts"/>
    <s v="MA"/>
    <s v="Female"/>
    <s v="Married"/>
    <s v="Production Technician I"/>
    <s v="Active"/>
    <s v="Part-Time"/>
    <s v="Zone B"/>
    <s v="Production       "/>
    <s v="General - Sga"/>
    <s v="Asian"/>
    <s v="Exceeds"/>
    <n v="4"/>
  </r>
  <r>
    <x v="445"/>
    <x v="3"/>
    <x v="405"/>
    <s v="28-37"/>
    <n v="28"/>
    <d v="1993-10-21T00:00:00"/>
    <s v="Massachusetts"/>
    <s v="MA"/>
    <s v="Female"/>
    <s v="Single"/>
    <s v="Production Technician I"/>
    <s v="Active"/>
    <s v="Contract"/>
    <s v="Zone B"/>
    <s v="Production       "/>
    <s v="Wireline Construction"/>
    <s v="Asian"/>
    <s v="Fully Meets"/>
    <n v="3"/>
  </r>
  <r>
    <x v="446"/>
    <x v="0"/>
    <x v="406"/>
    <s v="28-37"/>
    <n v="28"/>
    <d v="1990-12-08T00:00:00"/>
    <s v="Massachusetts"/>
    <s v="MA"/>
    <s v="Female"/>
    <s v="Widowed"/>
    <s v="Production Technician I"/>
    <s v="Active"/>
    <s v="Contract"/>
    <s v="Zone B"/>
    <s v="Production       "/>
    <s v="General - Sga"/>
    <s v="Black"/>
    <s v="Fully Meets"/>
    <n v="5"/>
  </r>
  <r>
    <x v="447"/>
    <x v="3"/>
    <x v="407"/>
    <s v="28-37"/>
    <n v="28"/>
    <d v="1993-06-16T00:00:00"/>
    <s v="Massachusetts"/>
    <s v="MA"/>
    <s v="Male"/>
    <s v="Married"/>
    <s v="Production Technician I"/>
    <s v="Active"/>
    <s v="Full-Time"/>
    <s v="Zone C"/>
    <s v="Production       "/>
    <s v="Wireline Construction"/>
    <s v="Other"/>
    <s v="Fully Meets"/>
    <n v="5"/>
  </r>
  <r>
    <x v="448"/>
    <x v="2"/>
    <x v="408"/>
    <s v="28-37"/>
    <n v="28"/>
    <d v="1992-04-13T00:00:00"/>
    <s v="Massachusetts"/>
    <s v="MA"/>
    <s v="Female"/>
    <s v="Widowed"/>
    <s v="Production Manager"/>
    <s v="Active"/>
    <s v="Full-Time"/>
    <s v="Zone A"/>
    <s v="Production       "/>
    <s v="Engineers"/>
    <s v="White"/>
    <s v="Fully Meets"/>
    <n v="3"/>
  </r>
  <r>
    <x v="449"/>
    <x v="4"/>
    <x v="409"/>
    <s v="28-37"/>
    <n v="28"/>
    <d v="1994-06-08T00:00:00"/>
    <s v="Massachusetts"/>
    <s v="MA"/>
    <s v="Male"/>
    <s v="Single"/>
    <s v="Production Manager"/>
    <s v="Active"/>
    <s v="Contract"/>
    <s v="Zone C"/>
    <s v="Production       "/>
    <s v="General - Con"/>
    <s v="Asian"/>
    <s v="Fully Meets"/>
    <n v="5"/>
  </r>
  <r>
    <x v="450"/>
    <x v="4"/>
    <x v="410"/>
    <s v="28-37"/>
    <n v="28"/>
    <d v="1994-10-13T00:00:00"/>
    <s v="Massachusetts"/>
    <s v="MA"/>
    <s v="Male"/>
    <s v="Widowed"/>
    <s v="Production Manager"/>
    <s v="Active"/>
    <s v="Full-Time"/>
    <s v="Zone B"/>
    <s v="Production       "/>
    <s v="Engineers"/>
    <s v="White"/>
    <s v="Fully Meets"/>
    <n v="4"/>
  </r>
  <r>
    <x v="451"/>
    <x v="4"/>
    <x v="411"/>
    <s v="28-37"/>
    <n v="28"/>
    <d v="1994-07-16T00:00:00"/>
    <s v="Massachusetts"/>
    <s v="MA"/>
    <s v="Female"/>
    <s v="Widowed"/>
    <s v="Production Manager"/>
    <s v="Active"/>
    <s v="Part-Time"/>
    <s v="Zone B"/>
    <s v="Production       "/>
    <s v="General - Con"/>
    <s v="Black"/>
    <s v="Fully Meets"/>
    <n v="3"/>
  </r>
  <r>
    <x v="452"/>
    <x v="0"/>
    <x v="412"/>
    <s v="28-37"/>
    <n v="28"/>
    <d v="1990-08-22T00:00:00"/>
    <s v="Massachusetts"/>
    <s v="MA"/>
    <s v="Female"/>
    <s v="Widowed"/>
    <s v="Production Manager"/>
    <s v="Active"/>
    <s v="Part-Time"/>
    <s v="Zone B"/>
    <s v="Production       "/>
    <s v="Field Operations"/>
    <s v="Other"/>
    <s v="Fully Meets"/>
    <n v="5"/>
  </r>
  <r>
    <x v="453"/>
    <x v="1"/>
    <x v="36"/>
    <s v="28-37"/>
    <n v="28"/>
    <d v="1991-12-22T00:00:00"/>
    <s v="Massachusetts"/>
    <s v="MA"/>
    <s v="Female"/>
    <s v="Divorced"/>
    <s v="Production Manager"/>
    <s v="Terminated"/>
    <s v="Full-Time"/>
    <s v="Zone C"/>
    <s v="Production       "/>
    <s v="Fielders"/>
    <s v="Asian"/>
    <s v="Fully Meets"/>
    <n v="5"/>
  </r>
  <r>
    <x v="454"/>
    <x v="1"/>
    <x v="413"/>
    <s v="28-37"/>
    <n v="28"/>
    <d v="1991-08-23T00:00:00"/>
    <s v="Massachusetts"/>
    <s v="MA"/>
    <s v="Female"/>
    <s v="Divorced"/>
    <s v="Production Manager"/>
    <s v="Active"/>
    <s v="Contract"/>
    <s v="Zone C"/>
    <s v="Production       "/>
    <s v="Yard (Material Handling)"/>
    <s v="Other"/>
    <s v="Fully Meets"/>
    <n v="5"/>
  </r>
  <r>
    <x v="455"/>
    <x v="5"/>
    <x v="414"/>
    <s v="28-37"/>
    <n v="28"/>
    <d v="1995-09-26T00:00:00"/>
    <s v="Massachusetts"/>
    <s v="MA"/>
    <s v="Female"/>
    <s v="Single"/>
    <s v="Principal Data Architect"/>
    <s v="Active"/>
    <s v="Contract"/>
    <s v="Zone C"/>
    <s v="IT/IS"/>
    <s v="Field Operations"/>
    <s v="Asian"/>
    <s v="Fully Meets"/>
    <n v="2"/>
  </r>
  <r>
    <x v="456"/>
    <x v="4"/>
    <x v="415"/>
    <s v="28-37"/>
    <n v="28"/>
    <d v="1994-05-28T00:00:00"/>
    <s v="Massachusetts"/>
    <s v="MA"/>
    <s v="Male"/>
    <s v="Widowed"/>
    <s v="President &amp; CEO"/>
    <s v="Active"/>
    <s v="Contract"/>
    <s v="Zone C"/>
    <s v="Production       "/>
    <s v="Safety"/>
    <s v="Hispanic"/>
    <s v="Fully Meets"/>
    <n v="2"/>
  </r>
  <r>
    <x v="457"/>
    <x v="2"/>
    <x v="416"/>
    <s v="28-37"/>
    <n v="28"/>
    <d v="1992-10-21T00:00:00"/>
    <s v="Massachusetts"/>
    <s v="MA"/>
    <s v="Female"/>
    <s v="Widowed"/>
    <s v="IT Support"/>
    <s v="Active"/>
    <s v="Part-Time"/>
    <s v="Zone B"/>
    <s v="IT/IS"/>
    <s v="Engineers"/>
    <s v="Hispanic"/>
    <s v="Fully Meets"/>
    <n v="1"/>
  </r>
  <r>
    <x v="458"/>
    <x v="4"/>
    <x v="417"/>
    <s v="28-37"/>
    <n v="28"/>
    <d v="1994-03-29T00:00:00"/>
    <s v="Massachusetts"/>
    <s v="MA"/>
    <s v="Female"/>
    <s v="Married"/>
    <s v="IT Support"/>
    <s v="Active"/>
    <s v="Full-Time"/>
    <s v="Zone C"/>
    <s v="IT/IS"/>
    <s v="Field Operations"/>
    <s v="Hispanic"/>
    <s v="Fully Meets"/>
    <n v="2"/>
  </r>
  <r>
    <x v="459"/>
    <x v="1"/>
    <x v="223"/>
    <s v="28-37"/>
    <n v="28"/>
    <d v="1991-11-18T00:00:00"/>
    <s v="Massachusetts"/>
    <s v="MA"/>
    <s v="Male"/>
    <s v="Single"/>
    <s v="IT Director"/>
    <s v="Active"/>
    <s v="Contract"/>
    <s v="Zone A"/>
    <s v="IT/IS"/>
    <s v="Field Operations"/>
    <s v="Black"/>
    <s v="Fully Meets"/>
    <n v="3"/>
  </r>
  <r>
    <x v="460"/>
    <x v="1"/>
    <x v="122"/>
    <s v="28-37"/>
    <n v="28"/>
    <d v="1991-04-07T00:00:00"/>
    <s v="Massachusetts"/>
    <s v="MA"/>
    <s v="Male"/>
    <s v="Widowed"/>
    <s v="Data Analyst"/>
    <s v="Active"/>
    <s v="Part-Time"/>
    <s v="Zone A"/>
    <s v="Production       "/>
    <s v="General - Con"/>
    <s v="Hispanic"/>
    <s v="Fully Meets"/>
    <n v="5"/>
  </r>
  <r>
    <x v="461"/>
    <x v="4"/>
    <x v="418"/>
    <s v="28-37"/>
    <n v="28"/>
    <d v="1994-05-20T00:00:00"/>
    <s v="Massachusetts"/>
    <s v="MA"/>
    <s v="Male"/>
    <s v="Widowed"/>
    <s v="BI Developer"/>
    <s v="Active"/>
    <s v="Contract"/>
    <s v="Zone A"/>
    <s v="IT/IS"/>
    <s v="Engineers"/>
    <s v="Asian"/>
    <s v="Fully Meets"/>
    <n v="1"/>
  </r>
  <r>
    <x v="462"/>
    <x v="1"/>
    <x v="419"/>
    <s v="28-37"/>
    <n v="28"/>
    <d v="1991-06-14T00:00:00"/>
    <s v="Massachusetts"/>
    <s v="MA"/>
    <s v="Male"/>
    <s v="Married"/>
    <s v="BI Developer"/>
    <s v="Active"/>
    <s v="Full-Time"/>
    <s v="Zone A"/>
    <s v="IT/IS"/>
    <s v="Engineers"/>
    <s v="Asian"/>
    <s v="Fully Meets"/>
    <n v="4"/>
  </r>
  <r>
    <x v="463"/>
    <x v="3"/>
    <x v="420"/>
    <s v="28-37"/>
    <n v="28"/>
    <d v="1993-05-10T00:00:00"/>
    <s v="Massachusetts"/>
    <s v="MA"/>
    <s v="Male"/>
    <s v="Widowed"/>
    <s v="BI Developer"/>
    <s v="Active"/>
    <s v="Contract"/>
    <s v="Zone B"/>
    <s v="IT/IS"/>
    <s v="Field Operations"/>
    <s v="Hispanic"/>
    <s v="Fully Meets"/>
    <n v="3"/>
  </r>
  <r>
    <x v="464"/>
    <x v="5"/>
    <x v="403"/>
    <s v="28-37"/>
    <n v="28"/>
    <d v="1995-08-18T00:00:00"/>
    <s v="Washington"/>
    <s v="WA"/>
    <s v="Female"/>
    <s v="Divorced"/>
    <s v="Area Sales Manager"/>
    <s v="Active"/>
    <s v="Full-Time"/>
    <s v="Zone B"/>
    <s v="Sales"/>
    <s v="Field Operations"/>
    <s v="Asian"/>
    <s v="Fully Meets"/>
    <n v="5"/>
  </r>
  <r>
    <x v="465"/>
    <x v="1"/>
    <x v="421"/>
    <s v="28-37"/>
    <n v="28"/>
    <d v="1991-07-10T00:00:00"/>
    <s v="Texas"/>
    <s v="TX"/>
    <s v="Female"/>
    <s v="Divorced"/>
    <s v="Area Sales Manager"/>
    <s v="Active"/>
    <s v="Part-Time"/>
    <s v="Zone A"/>
    <s v="Sales"/>
    <s v="General - Sga"/>
    <s v="Hispanic"/>
    <s v="Fully Meets"/>
    <n v="3"/>
  </r>
  <r>
    <x v="466"/>
    <x v="2"/>
    <x v="422"/>
    <s v="28-37"/>
    <n v="28"/>
    <d v="1992-08-31T00:00:00"/>
    <s v="Ohio"/>
    <s v="OH"/>
    <s v="Female"/>
    <s v="Single"/>
    <s v="Area Sales Manager"/>
    <s v="Active"/>
    <s v="Part-Time"/>
    <s v="Zone C"/>
    <s v="Sales"/>
    <s v="Wireline Construction"/>
    <s v="Hispanic"/>
    <s v="Fully Meets"/>
    <n v="2"/>
  </r>
  <r>
    <x v="467"/>
    <x v="4"/>
    <x v="423"/>
    <s v="28-37"/>
    <n v="28"/>
    <d v="1994-08-13T00:00:00"/>
    <s v="North Carolina"/>
    <s v="NC"/>
    <s v="Female"/>
    <s v="Widowed"/>
    <s v="Area Sales Manager"/>
    <s v="Active"/>
    <s v="Contract"/>
    <s v="Zone A"/>
    <s v="Sales"/>
    <s v="Field Operations"/>
    <s v="Asian"/>
    <s v="Fully Meets"/>
    <n v="3"/>
  </r>
  <r>
    <x v="468"/>
    <x v="4"/>
    <x v="78"/>
    <s v="28-37"/>
    <n v="28"/>
    <d v="1994-04-14T00:00:00"/>
    <s v="Idaho"/>
    <s v="ID"/>
    <s v="Male"/>
    <s v="Single"/>
    <s v="Area Sales Manager"/>
    <s v="Active"/>
    <s v="Part-Time"/>
    <s v="Zone C"/>
    <s v="Sales"/>
    <s v="Field Operations"/>
    <s v="Black"/>
    <s v="Fully Meets"/>
    <n v="2"/>
  </r>
  <r>
    <x v="469"/>
    <x v="4"/>
    <x v="424"/>
    <s v="28-37"/>
    <n v="28"/>
    <d v="1994-07-05T00:00:00"/>
    <s v="Idaho"/>
    <s v="ID"/>
    <s v="Male"/>
    <s v="Married"/>
    <s v="Area Sales Manager"/>
    <s v="Active"/>
    <s v="Part-Time"/>
    <s v="Zone A"/>
    <s v="Sales"/>
    <s v="Fielders"/>
    <s v="Other"/>
    <s v="Fully Meets"/>
    <n v="2"/>
  </r>
  <r>
    <x v="470"/>
    <x v="4"/>
    <x v="204"/>
    <s v="28-37"/>
    <n v="28"/>
    <d v="1994-11-04T00:00:00"/>
    <s v="Idaho"/>
    <s v="ID"/>
    <s v="Male"/>
    <s v="Widowed"/>
    <s v="Area Sales Manager"/>
    <s v="Active"/>
    <s v="Part-Time"/>
    <s v="Zone B"/>
    <s v="Sales"/>
    <s v="Field Operations"/>
    <s v="Asian"/>
    <s v="Fully Meets"/>
    <n v="5"/>
  </r>
  <r>
    <x v="471"/>
    <x v="2"/>
    <x v="425"/>
    <s v="28-37"/>
    <n v="28"/>
    <d v="1992-03-02T00:00:00"/>
    <s v="Washington"/>
    <s v="WA"/>
    <s v="Female"/>
    <s v="Divorced"/>
    <s v="Administrative Assistant"/>
    <s v="Active"/>
    <s v="Contract"/>
    <s v="Zone C"/>
    <s v="Sales"/>
    <s v="Project Management - Con"/>
    <s v="Hispanic"/>
    <s v="Fully Meets"/>
    <n v="3"/>
  </r>
  <r>
    <x v="472"/>
    <x v="1"/>
    <x v="426"/>
    <s v="28-37"/>
    <n v="29"/>
    <d v="1990-10-28T00:00:00"/>
    <s v="Massachusetts"/>
    <s v="MA"/>
    <s v="Male"/>
    <s v="Divorced"/>
    <s v="Sr. Network Engineer"/>
    <s v="Active"/>
    <s v="Part-Time"/>
    <s v="Zone A"/>
    <s v="IT/IS"/>
    <s v="Aerial"/>
    <s v="Black"/>
    <s v="Fully Meets"/>
    <n v="5"/>
  </r>
  <r>
    <x v="473"/>
    <x v="2"/>
    <x v="427"/>
    <s v="28-37"/>
    <n v="29"/>
    <d v="1991-04-08T00:00:00"/>
    <s v="Massachusetts"/>
    <s v="MA"/>
    <s v="Female"/>
    <s v="Widowed"/>
    <s v="Software Engineer"/>
    <s v="Active"/>
    <s v="Contract"/>
    <s v="Zone B"/>
    <s v="Software Engineering"/>
    <s v="General - Con"/>
    <s v="White"/>
    <s v="Fully Meets"/>
    <n v="3"/>
  </r>
  <r>
    <x v="474"/>
    <x v="3"/>
    <x v="428"/>
    <s v="28-37"/>
    <n v="29"/>
    <d v="1992-10-21T00:00:00"/>
    <s v="Massachusetts"/>
    <s v="MA"/>
    <s v="Male"/>
    <s v="Divorced"/>
    <s v="Software Engineer"/>
    <s v="Terminated"/>
    <s v="Part-Time"/>
    <s v="Zone C"/>
    <s v="Software Engineering"/>
    <s v="Field Operations"/>
    <s v="Hispanic"/>
    <s v="Fully Meets"/>
    <n v="4"/>
  </r>
  <r>
    <x v="475"/>
    <x v="4"/>
    <x v="429"/>
    <s v="28-37"/>
    <n v="29"/>
    <d v="1993-05-21T00:00:00"/>
    <s v="Massachusetts"/>
    <s v="MA"/>
    <s v="Female"/>
    <s v="Single"/>
    <s v="Shared Services Manager"/>
    <s v="Active"/>
    <s v="Part-Time"/>
    <s v="Zone C"/>
    <s v="Software Engineering"/>
    <s v="General - Sga"/>
    <s v="Other"/>
    <s v="Fully Meets"/>
    <n v="3"/>
  </r>
  <r>
    <x v="476"/>
    <x v="4"/>
    <x v="430"/>
    <s v="28-37"/>
    <n v="29"/>
    <d v="1993-06-27T00:00:00"/>
    <s v="Massachusetts"/>
    <s v="MA"/>
    <s v="Female"/>
    <s v="Married"/>
    <s v="Production Technician II"/>
    <s v="Terminated"/>
    <s v="Full-Time"/>
    <s v="Zone A"/>
    <s v="Production       "/>
    <s v="General - Con"/>
    <s v="Black"/>
    <s v="Fully Meets"/>
    <n v="3"/>
  </r>
  <r>
    <x v="477"/>
    <x v="0"/>
    <x v="431"/>
    <s v="28-37"/>
    <n v="29"/>
    <d v="1989-11-28T00:00:00"/>
    <s v="Massachusetts"/>
    <s v="MA"/>
    <s v="Female"/>
    <s v="Divorced"/>
    <s v="Production Technician II"/>
    <s v="Terminated"/>
    <s v="Contract"/>
    <s v="Zone C"/>
    <s v="Production       "/>
    <s v="Catv"/>
    <s v="Hispanic"/>
    <s v="PIP"/>
    <n v="1"/>
  </r>
  <r>
    <x v="478"/>
    <x v="3"/>
    <x v="270"/>
    <s v="28-37"/>
    <n v="29"/>
    <d v="1992-04-26T00:00:00"/>
    <s v="Massachusetts"/>
    <s v="MA"/>
    <s v="Female"/>
    <s v="Single"/>
    <s v="Production Technician II"/>
    <s v="Active"/>
    <s v="Full-Time"/>
    <s v="Zone B"/>
    <s v="Production       "/>
    <s v="Engineers"/>
    <s v="Asian"/>
    <s v="Exceeds"/>
    <n v="3"/>
  </r>
  <r>
    <x v="479"/>
    <x v="2"/>
    <x v="432"/>
    <s v="28-37"/>
    <n v="29"/>
    <d v="1991-11-04T00:00:00"/>
    <s v="Massachusetts"/>
    <s v="MA"/>
    <s v="Female"/>
    <s v="Divorced"/>
    <s v="Production Technician II"/>
    <s v="Active"/>
    <s v="Part-Time"/>
    <s v="Zone C"/>
    <s v="Production       "/>
    <s v="General - Sga"/>
    <s v="Black"/>
    <s v="Fully Meets"/>
    <n v="3"/>
  </r>
  <r>
    <x v="480"/>
    <x v="1"/>
    <x v="48"/>
    <s v="28-37"/>
    <n v="29"/>
    <d v="1990-09-17T00:00:00"/>
    <s v="Massachusetts"/>
    <s v="MA"/>
    <s v="Male"/>
    <s v="Divorced"/>
    <s v="Production Technician II"/>
    <s v="Active"/>
    <s v="Part-Time"/>
    <s v="Zone A"/>
    <s v="Production       "/>
    <s v="Fielders"/>
    <s v="Black"/>
    <s v="Fully Meets"/>
    <n v="1"/>
  </r>
  <r>
    <x v="481"/>
    <x v="3"/>
    <x v="433"/>
    <s v="28-37"/>
    <n v="29"/>
    <d v="1992-06-17T00:00:00"/>
    <s v="Massachusetts"/>
    <s v="MA"/>
    <s v="Male"/>
    <s v="Single"/>
    <s v="Production Technician II"/>
    <s v="Active"/>
    <s v="Contract"/>
    <s v="Zone B"/>
    <s v="Production       "/>
    <s v="General - Con"/>
    <s v="Hispanic"/>
    <s v="Fully Meets"/>
    <n v="2"/>
  </r>
  <r>
    <x v="482"/>
    <x v="2"/>
    <x v="210"/>
    <s v="28-37"/>
    <n v="29"/>
    <d v="1991-05-16T00:00:00"/>
    <s v="Massachusetts"/>
    <s v="MA"/>
    <s v="Female"/>
    <s v="Widowed"/>
    <s v="Production Technician II"/>
    <s v="Active"/>
    <s v="Full-Time"/>
    <s v="Zone A"/>
    <s v="Production       "/>
    <s v="General - Con"/>
    <s v="White"/>
    <s v="Fully Meets"/>
    <n v="3"/>
  </r>
  <r>
    <x v="483"/>
    <x v="1"/>
    <x v="434"/>
    <s v="28-37"/>
    <n v="29"/>
    <d v="1990-06-09T00:00:00"/>
    <s v="Massachusetts"/>
    <s v="MA"/>
    <s v="Female"/>
    <s v="Divorced"/>
    <s v="Production Technician II"/>
    <s v="Active"/>
    <s v="Part-Time"/>
    <s v="Zone B"/>
    <s v="Production       "/>
    <s v="Wireline Construction"/>
    <s v="Asian"/>
    <s v="Fully Meets"/>
    <n v="3"/>
  </r>
  <r>
    <x v="484"/>
    <x v="3"/>
    <x v="128"/>
    <s v="28-37"/>
    <n v="29"/>
    <d v="1992-07-10T00:00:00"/>
    <s v="Massachusetts"/>
    <s v="MA"/>
    <s v="Female"/>
    <s v="Single"/>
    <s v="Production Technician II"/>
    <s v="Active"/>
    <s v="Part-Time"/>
    <s v="Zone A"/>
    <s v="Production       "/>
    <s v="Aerial"/>
    <s v="White"/>
    <s v="Fully Meets"/>
    <n v="5"/>
  </r>
  <r>
    <x v="485"/>
    <x v="2"/>
    <x v="435"/>
    <s v="28-37"/>
    <n v="29"/>
    <d v="1991-08-14T00:00:00"/>
    <s v="Massachusetts"/>
    <s v="MA"/>
    <s v="Female"/>
    <s v="Widowed"/>
    <s v="Production Technician II"/>
    <s v="Active"/>
    <s v="Contract"/>
    <s v="Zone A"/>
    <s v="Production       "/>
    <s v="Wireline Construction"/>
    <s v="White"/>
    <s v="Fully Meets"/>
    <n v="4"/>
  </r>
  <r>
    <x v="486"/>
    <x v="5"/>
    <x v="436"/>
    <s v="28-37"/>
    <n v="29"/>
    <d v="1994-03-18T00:00:00"/>
    <s v="Massachusetts"/>
    <s v="MA"/>
    <s v="Female"/>
    <s v="Single"/>
    <s v="Production Technician II"/>
    <s v="Active"/>
    <s v="Part-Time"/>
    <s v="Zone A"/>
    <s v="Production       "/>
    <s v="Field Operations"/>
    <s v="Other"/>
    <s v="Fully Meets"/>
    <n v="4"/>
  </r>
  <r>
    <x v="487"/>
    <x v="2"/>
    <x v="437"/>
    <s v="28-37"/>
    <n v="29"/>
    <d v="1991-05-30T00:00:00"/>
    <s v="Massachusetts"/>
    <s v="MA"/>
    <s v="Female"/>
    <s v="Divorced"/>
    <s v="Production Technician I"/>
    <s v="Active"/>
    <s v="Contract"/>
    <s v="Zone B"/>
    <s v="Production       "/>
    <s v="Catv"/>
    <s v="Black"/>
    <s v="Fully Meets"/>
    <n v="4"/>
  </r>
  <r>
    <x v="488"/>
    <x v="3"/>
    <x v="438"/>
    <s v="28-37"/>
    <n v="29"/>
    <d v="1992-03-04T00:00:00"/>
    <s v="Massachusetts"/>
    <s v="MA"/>
    <s v="Female"/>
    <s v="Single"/>
    <s v="Production Technician I"/>
    <s v="Active"/>
    <s v="Part-Time"/>
    <s v="Zone C"/>
    <s v="Production       "/>
    <s v="General - Con"/>
    <s v="Black"/>
    <s v="Fully Meets"/>
    <n v="2"/>
  </r>
  <r>
    <x v="489"/>
    <x v="5"/>
    <x v="439"/>
    <s v="28-37"/>
    <n v="29"/>
    <d v="1994-10-12T00:00:00"/>
    <s v="Massachusetts"/>
    <s v="MA"/>
    <s v="Male"/>
    <s v="Married"/>
    <s v="Production Technician I"/>
    <s v="Active"/>
    <s v="Part-Time"/>
    <s v="Zone A"/>
    <s v="Production       "/>
    <s v="General - Eng"/>
    <s v="Hispanic"/>
    <s v="Fully Meets"/>
    <n v="2"/>
  </r>
  <r>
    <x v="490"/>
    <x v="3"/>
    <x v="440"/>
    <s v="28-37"/>
    <n v="29"/>
    <d v="1992-07-16T00:00:00"/>
    <s v="Massachusetts"/>
    <s v="MA"/>
    <s v="Female"/>
    <s v="Divorced"/>
    <s v="Production Technician I"/>
    <s v="Active"/>
    <s v="Full-Time"/>
    <s v="Zone A"/>
    <s v="Production       "/>
    <s v="Yard (Material Handling)"/>
    <s v="Black"/>
    <s v="Fully Meets"/>
    <n v="2"/>
  </r>
  <r>
    <x v="491"/>
    <x v="0"/>
    <x v="441"/>
    <s v="28-37"/>
    <n v="29"/>
    <d v="1989-02-06T00:00:00"/>
    <s v="Massachusetts"/>
    <s v="MA"/>
    <s v="Male"/>
    <s v="Married"/>
    <s v="Production Technician I"/>
    <s v="Active"/>
    <s v="Contract"/>
    <s v="Zone A"/>
    <s v="Production       "/>
    <s v="Aerial"/>
    <s v="Other"/>
    <s v="Exceeds"/>
    <n v="4"/>
  </r>
  <r>
    <x v="492"/>
    <x v="5"/>
    <x v="442"/>
    <s v="28-37"/>
    <n v="29"/>
    <d v="1994-12-12T00:00:00"/>
    <s v="Massachusetts"/>
    <s v="MA"/>
    <s v="Female"/>
    <s v="Divorced"/>
    <s v="Production Technician I"/>
    <s v="Active"/>
    <s v="Full-Time"/>
    <s v="Zone B"/>
    <s v="Production       "/>
    <s v="Field Operations"/>
    <s v="Other"/>
    <s v="PIP"/>
    <n v="5"/>
  </r>
  <r>
    <x v="493"/>
    <x v="4"/>
    <x v="296"/>
    <s v="28-37"/>
    <n v="29"/>
    <d v="1993-04-25T00:00:00"/>
    <s v="Massachusetts"/>
    <s v="MA"/>
    <s v="Female"/>
    <s v="Married"/>
    <s v="Production Technician I"/>
    <s v="Active"/>
    <s v="Part-Time"/>
    <s v="Zone B"/>
    <s v="Production       "/>
    <s v="General - Con"/>
    <s v="Other"/>
    <s v="Exceeds"/>
    <n v="2"/>
  </r>
  <r>
    <x v="494"/>
    <x v="2"/>
    <x v="443"/>
    <s v="28-37"/>
    <n v="29"/>
    <d v="1991-12-25T00:00:00"/>
    <s v="Massachusetts"/>
    <s v="MA"/>
    <s v="Male"/>
    <s v="Widowed"/>
    <s v="Production Technician I"/>
    <s v="Active"/>
    <s v="Contract"/>
    <s v="Zone A"/>
    <s v="Production       "/>
    <s v="Field Operations"/>
    <s v="Other"/>
    <s v="Exceeds"/>
    <n v="4"/>
  </r>
  <r>
    <x v="495"/>
    <x v="4"/>
    <x v="444"/>
    <s v="28-37"/>
    <n v="29"/>
    <d v="1993-03-24T00:00:00"/>
    <s v="Massachusetts"/>
    <s v="MA"/>
    <s v="Male"/>
    <s v="Single"/>
    <s v="Production Technician I"/>
    <s v="Active"/>
    <s v="Part-Time"/>
    <s v="Zone C"/>
    <s v="Production       "/>
    <s v="Engineers"/>
    <s v="Black"/>
    <s v="Fully Meets"/>
    <n v="4"/>
  </r>
  <r>
    <x v="496"/>
    <x v="0"/>
    <x v="445"/>
    <s v="28-37"/>
    <n v="29"/>
    <d v="1989-05-04T00:00:00"/>
    <s v="Massachusetts"/>
    <s v="MA"/>
    <s v="Male"/>
    <s v="Divorced"/>
    <s v="Production Technician I"/>
    <s v="Active"/>
    <s v="Full-Time"/>
    <s v="Zone B"/>
    <s v="Production       "/>
    <s v="Aerial"/>
    <s v="White"/>
    <s v="Fully Meets"/>
    <n v="1"/>
  </r>
  <r>
    <x v="497"/>
    <x v="3"/>
    <x v="446"/>
    <s v="28-37"/>
    <n v="29"/>
    <d v="1992-01-20T00:00:00"/>
    <s v="Massachusetts"/>
    <s v="MA"/>
    <s v="Female"/>
    <s v="Widowed"/>
    <s v="Production Technician I"/>
    <s v="Active"/>
    <s v="Full-Time"/>
    <s v="Zone A"/>
    <s v="Production       "/>
    <s v="General - Eng"/>
    <s v="Black"/>
    <s v="Exceeds"/>
    <n v="1"/>
  </r>
  <r>
    <x v="498"/>
    <x v="3"/>
    <x v="447"/>
    <s v="28-37"/>
    <n v="29"/>
    <d v="1992-02-11T00:00:00"/>
    <s v="Massachusetts"/>
    <s v="MA"/>
    <s v="Female"/>
    <s v="Married"/>
    <s v="Production Technician I"/>
    <s v="Active"/>
    <s v="Full-Time"/>
    <s v="Zone A"/>
    <s v="Production       "/>
    <s v="Executive"/>
    <s v="Hispanic"/>
    <s v="Exceeds"/>
    <n v="3"/>
  </r>
  <r>
    <x v="499"/>
    <x v="0"/>
    <x v="140"/>
    <s v="28-37"/>
    <n v="29"/>
    <d v="1989-01-29T00:00:00"/>
    <s v="Massachusetts"/>
    <s v="MA"/>
    <s v="Female"/>
    <s v="Widowed"/>
    <s v="Production Technician I"/>
    <s v="Active"/>
    <s v="Part-Time"/>
    <s v="Zone B"/>
    <s v="Production       "/>
    <s v="Executive"/>
    <s v="Black"/>
    <s v="Exceeds"/>
    <n v="1"/>
  </r>
  <r>
    <x v="500"/>
    <x v="0"/>
    <x v="448"/>
    <s v="28-37"/>
    <n v="29"/>
    <d v="1989-10-26T00:00:00"/>
    <s v="Massachusetts"/>
    <s v="MA"/>
    <s v="Female"/>
    <s v="Single"/>
    <s v="Production Technician I"/>
    <s v="Active"/>
    <s v="Contract"/>
    <s v="Zone A"/>
    <s v="Production       "/>
    <s v="Field Operations"/>
    <s v="Black"/>
    <s v="Fully Meets"/>
    <n v="3"/>
  </r>
  <r>
    <x v="501"/>
    <x v="1"/>
    <x v="449"/>
    <s v="28-37"/>
    <n v="29"/>
    <d v="1990-10-18T00:00:00"/>
    <s v="Massachusetts"/>
    <s v="MA"/>
    <s v="Female"/>
    <s v="Married"/>
    <s v="Production Technician I"/>
    <s v="Active"/>
    <s v="Contract"/>
    <s v="Zone B"/>
    <s v="Production       "/>
    <s v="Sales &amp; Marketing"/>
    <s v="Other"/>
    <s v="Fully Meets"/>
    <n v="2"/>
  </r>
  <r>
    <x v="502"/>
    <x v="5"/>
    <x v="450"/>
    <s v="28-37"/>
    <n v="29"/>
    <d v="1994-11-29T00:00:00"/>
    <s v="Massachusetts"/>
    <s v="MA"/>
    <s v="Female"/>
    <s v="Married"/>
    <s v="Production Technician I"/>
    <s v="Active"/>
    <s v="Part-Time"/>
    <s v="Zone B"/>
    <s v="Production       "/>
    <s v="Field Operations"/>
    <s v="Hispanic"/>
    <s v="Fully Meets"/>
    <n v="5"/>
  </r>
  <r>
    <x v="503"/>
    <x v="4"/>
    <x v="451"/>
    <s v="28-37"/>
    <n v="29"/>
    <d v="1993-07-11T00:00:00"/>
    <s v="Massachusetts"/>
    <s v="MA"/>
    <s v="Female"/>
    <s v="Widowed"/>
    <s v="Production Technician I"/>
    <s v="Active"/>
    <s v="Contract"/>
    <s v="Zone C"/>
    <s v="Production       "/>
    <s v="Field Operations"/>
    <s v="Hispanic"/>
    <s v="Fully Meets"/>
    <n v="3"/>
  </r>
  <r>
    <x v="504"/>
    <x v="4"/>
    <x v="399"/>
    <s v="28-37"/>
    <n v="29"/>
    <d v="1993-05-28T00:00:00"/>
    <s v="Massachusetts"/>
    <s v="MA"/>
    <s v="Male"/>
    <s v="Single"/>
    <s v="Production Technician I"/>
    <s v="Active"/>
    <s v="Part-Time"/>
    <s v="Zone B"/>
    <s v="Production       "/>
    <s v="General - Sga"/>
    <s v="White"/>
    <s v="Needs Improvement"/>
    <n v="5"/>
  </r>
  <r>
    <x v="505"/>
    <x v="4"/>
    <x v="452"/>
    <s v="28-37"/>
    <n v="29"/>
    <d v="1993-01-16T00:00:00"/>
    <s v="Massachusetts"/>
    <s v="MA"/>
    <s v="Female"/>
    <s v="Married"/>
    <s v="Production Technician I"/>
    <s v="Active"/>
    <s v="Part-Time"/>
    <s v="Zone C"/>
    <s v="Production       "/>
    <s v="Executive"/>
    <s v="Other"/>
    <s v="Fully Meets"/>
    <n v="3"/>
  </r>
  <r>
    <x v="506"/>
    <x v="4"/>
    <x v="453"/>
    <s v="28-37"/>
    <n v="29"/>
    <d v="1993-12-25T00:00:00"/>
    <s v="Massachusetts"/>
    <s v="MA"/>
    <s v="Female"/>
    <s v="Widowed"/>
    <s v="Production Technician I"/>
    <s v="Active"/>
    <s v="Contract"/>
    <s v="Zone B"/>
    <s v="Production       "/>
    <s v="Technology / It"/>
    <s v="Hispanic"/>
    <s v="Fully Meets"/>
    <n v="4"/>
  </r>
  <r>
    <x v="507"/>
    <x v="2"/>
    <x v="454"/>
    <s v="28-37"/>
    <n v="29"/>
    <d v="1991-07-02T00:00:00"/>
    <s v="Massachusetts"/>
    <s v="MA"/>
    <s v="Female"/>
    <s v="Married"/>
    <s v="Production Technician I"/>
    <s v="Active"/>
    <s v="Full-Time"/>
    <s v="Zone B"/>
    <s v="Production       "/>
    <s v="General - Con"/>
    <s v="Hispanic"/>
    <s v="Exceeds"/>
    <n v="2"/>
  </r>
  <r>
    <x v="508"/>
    <x v="2"/>
    <x v="455"/>
    <s v="28-37"/>
    <n v="29"/>
    <d v="1991-12-06T00:00:00"/>
    <s v="Massachusetts"/>
    <s v="MA"/>
    <s v="Female"/>
    <s v="Single"/>
    <s v="Production Manager"/>
    <s v="Active"/>
    <s v="Full-Time"/>
    <s v="Zone B"/>
    <s v="Production       "/>
    <s v="General - Con"/>
    <s v="Hispanic"/>
    <s v="Fully Meets"/>
    <n v="3"/>
  </r>
  <r>
    <x v="509"/>
    <x v="5"/>
    <x v="456"/>
    <s v="28-37"/>
    <n v="29"/>
    <d v="1994-05-17T00:00:00"/>
    <s v="Massachusetts"/>
    <s v="MA"/>
    <s v="Male"/>
    <s v="Divorced"/>
    <s v="Network Engineer"/>
    <s v="Active"/>
    <s v="Part-Time"/>
    <s v="Zone C"/>
    <s v="Executive Office"/>
    <s v="Wireline Construction"/>
    <s v="Other"/>
    <s v="PIP"/>
    <n v="1"/>
  </r>
  <r>
    <x v="510"/>
    <x v="1"/>
    <x v="254"/>
    <s v="28-37"/>
    <n v="29"/>
    <d v="1990-04-27T00:00:00"/>
    <s v="Massachusetts"/>
    <s v="MA"/>
    <s v="Male"/>
    <s v="Widowed"/>
    <s v="IT Manager - DB"/>
    <s v="Active"/>
    <s v="Full-Time"/>
    <s v="Zone C"/>
    <s v="IT/IS"/>
    <s v="Aerial"/>
    <s v="Asian"/>
    <s v="Fully Meets"/>
    <n v="5"/>
  </r>
  <r>
    <x v="511"/>
    <x v="1"/>
    <x v="25"/>
    <s v="28-37"/>
    <n v="29"/>
    <d v="1990-10-13T00:00:00"/>
    <s v="Tennessee"/>
    <s v="TN"/>
    <s v="Male"/>
    <s v="Divorced"/>
    <s v="Area Sales Manager"/>
    <s v="Active"/>
    <s v="Contract"/>
    <s v="Zone B"/>
    <s v="Sales"/>
    <s v="Splicing"/>
    <s v="Hispanic"/>
    <s v="Fully Meets"/>
    <n v="1"/>
  </r>
  <r>
    <x v="512"/>
    <x v="2"/>
    <x v="457"/>
    <s v="28-37"/>
    <n v="29"/>
    <d v="1991-07-14T00:00:00"/>
    <s v="New York"/>
    <s v="NY"/>
    <s v="Male"/>
    <s v="Married"/>
    <s v="Area Sales Manager"/>
    <s v="Active"/>
    <s v="Contract"/>
    <s v="Zone A"/>
    <s v="Sales"/>
    <s v="Splicing"/>
    <s v="Hispanic"/>
    <s v="Fully Meets"/>
    <n v="5"/>
  </r>
  <r>
    <x v="513"/>
    <x v="5"/>
    <x v="169"/>
    <s v="28-37"/>
    <n v="29"/>
    <d v="1994-02-01T00:00:00"/>
    <s v="Kentucky"/>
    <s v="KY"/>
    <s v="Female"/>
    <s v="Divorced"/>
    <s v="Area Sales Manager"/>
    <s v="Active"/>
    <s v="Contract"/>
    <s v="Zone B"/>
    <s v="Sales"/>
    <s v="General - Sga"/>
    <s v="Other"/>
    <s v="Fully Meets"/>
    <n v="4"/>
  </r>
  <r>
    <x v="514"/>
    <x v="2"/>
    <x v="251"/>
    <s v="28-37"/>
    <n v="29"/>
    <d v="1991-10-27T00:00:00"/>
    <s v="Indiana"/>
    <s v="IN"/>
    <s v="Male"/>
    <s v="Married"/>
    <s v="Area Sales Manager"/>
    <s v="Active"/>
    <s v="Full-Time"/>
    <s v="Zone B"/>
    <s v="Sales"/>
    <s v="Field Operations"/>
    <s v="Black"/>
    <s v="Exceeds"/>
    <n v="3"/>
  </r>
  <r>
    <x v="515"/>
    <x v="2"/>
    <x v="458"/>
    <s v="28-37"/>
    <n v="29"/>
    <d v="1991-09-30T00:00:00"/>
    <s v="Arizona"/>
    <s v="AZ"/>
    <s v="Male"/>
    <s v="Widowed"/>
    <s v="Area Sales Manager"/>
    <s v="Active"/>
    <s v="Contract"/>
    <s v="Zone B"/>
    <s v="Sales"/>
    <s v="Executive"/>
    <s v="Asian"/>
    <s v="Fully Meets"/>
    <n v="5"/>
  </r>
  <r>
    <x v="516"/>
    <x v="2"/>
    <x v="459"/>
    <s v="28-37"/>
    <n v="30"/>
    <d v="1990-08-12T00:00:00"/>
    <s v="Massachusetts"/>
    <s v="MA"/>
    <s v="Female"/>
    <s v="Divorced"/>
    <s v="Sr. Network Engineer"/>
    <s v="Active"/>
    <s v="Part-Time"/>
    <s v="Zone B"/>
    <s v="IT/IS"/>
    <s v="Executive"/>
    <s v="White"/>
    <s v="Exceeds"/>
    <n v="4"/>
  </r>
  <r>
    <x v="517"/>
    <x v="3"/>
    <x v="460"/>
    <s v="28-37"/>
    <n v="30"/>
    <d v="1991-11-17T00:00:00"/>
    <s v="Massachusetts"/>
    <s v="MA"/>
    <s v="Female"/>
    <s v="Divorced"/>
    <s v="Sr. DBA"/>
    <s v="Active"/>
    <s v="Full-Time"/>
    <s v="Zone C"/>
    <s v="IT/IS"/>
    <s v="Field Operations"/>
    <s v="White"/>
    <s v="Fully Meets"/>
    <n v="5"/>
  </r>
  <r>
    <x v="518"/>
    <x v="5"/>
    <x v="461"/>
    <s v="28-37"/>
    <n v="30"/>
    <d v="1993-05-10T00:00:00"/>
    <s v="Massachusetts"/>
    <s v="MA"/>
    <s v="Male"/>
    <s v="Single"/>
    <s v="Software Engineer"/>
    <s v="Active"/>
    <s v="Part-Time"/>
    <s v="Zone A"/>
    <s v="Software Engineering"/>
    <s v="Engineers"/>
    <s v="White"/>
    <s v="Fully Meets"/>
    <n v="5"/>
  </r>
  <r>
    <x v="519"/>
    <x v="1"/>
    <x v="258"/>
    <s v="28-37"/>
    <n v="30"/>
    <d v="1989-11-01T00:00:00"/>
    <s v="Vermont"/>
    <s v="VT"/>
    <s v="Female"/>
    <s v="Widowed"/>
    <s v="Sales Manager"/>
    <s v="Active"/>
    <s v="Contract"/>
    <s v="Zone C"/>
    <s v="Sales"/>
    <s v="Aerial"/>
    <s v="Black"/>
    <s v="Fully Meets"/>
    <n v="4"/>
  </r>
  <r>
    <x v="520"/>
    <x v="2"/>
    <x v="462"/>
    <s v="28-37"/>
    <n v="30"/>
    <d v="1990-04-30T00:00:00"/>
    <s v="Massachusetts"/>
    <s v="MA"/>
    <s v="Female"/>
    <s v="Married"/>
    <s v="Production Technician II"/>
    <s v="Terminated"/>
    <s v="Part-Time"/>
    <s v="Zone C"/>
    <s v="Production       "/>
    <s v="Field Operations"/>
    <s v="White"/>
    <s v="PIP"/>
    <n v="2"/>
  </r>
  <r>
    <x v="521"/>
    <x v="1"/>
    <x v="463"/>
    <s v="28-37"/>
    <n v="30"/>
    <d v="1989-10-04T00:00:00"/>
    <s v="Massachusetts"/>
    <s v="MA"/>
    <s v="Female"/>
    <s v="Divorced"/>
    <s v="Production Technician II"/>
    <s v="Active"/>
    <s v="Full-Time"/>
    <s v="Zone A"/>
    <s v="Production       "/>
    <s v="General - Sga"/>
    <s v="Other"/>
    <s v="Exceeds"/>
    <n v="3"/>
  </r>
  <r>
    <x v="522"/>
    <x v="4"/>
    <x v="464"/>
    <s v="28-37"/>
    <n v="30"/>
    <d v="1992-02-20T00:00:00"/>
    <s v="Massachusetts"/>
    <s v="MA"/>
    <s v="Female"/>
    <s v="Married"/>
    <s v="Production Technician II"/>
    <s v="Active"/>
    <s v="Contract"/>
    <s v="Zone C"/>
    <s v="Production       "/>
    <s v="Wireline Construction"/>
    <s v="Black"/>
    <s v="Fully Meets"/>
    <n v="1"/>
  </r>
  <r>
    <x v="523"/>
    <x v="3"/>
    <x v="378"/>
    <s v="28-37"/>
    <n v="30"/>
    <d v="1991-03-25T00:00:00"/>
    <s v="Massachusetts"/>
    <s v="MA"/>
    <s v="Female"/>
    <s v="Single"/>
    <s v="Production Technician II"/>
    <s v="Active"/>
    <s v="Full-Time"/>
    <s v="Zone C"/>
    <s v="Production       "/>
    <s v="Field Operations"/>
    <s v="Asian"/>
    <s v="Fully Meets"/>
    <n v="1"/>
  </r>
  <r>
    <x v="524"/>
    <x v="5"/>
    <x v="436"/>
    <s v="28-37"/>
    <n v="30"/>
    <d v="1993-02-11T00:00:00"/>
    <s v="Massachusetts"/>
    <s v="MA"/>
    <s v="Female"/>
    <s v="Widowed"/>
    <s v="Production Technician II"/>
    <s v="Active"/>
    <s v="Full-Time"/>
    <s v="Zone B"/>
    <s v="Production       "/>
    <s v="Project Management - Con"/>
    <s v="Asian"/>
    <s v="Fully Meets"/>
    <n v="5"/>
  </r>
  <r>
    <x v="525"/>
    <x v="5"/>
    <x v="465"/>
    <s v="28-37"/>
    <n v="30"/>
    <d v="1993-08-19T00:00:00"/>
    <s v="Massachusetts"/>
    <s v="MA"/>
    <s v="Male"/>
    <s v="Married"/>
    <s v="Production Technician II"/>
    <s v="Active"/>
    <s v="Full-Time"/>
    <s v="Zone A"/>
    <s v="Production       "/>
    <s v="Wireline Construction"/>
    <s v="Other"/>
    <s v="Exceeds"/>
    <n v="3"/>
  </r>
  <r>
    <x v="526"/>
    <x v="4"/>
    <x v="466"/>
    <s v="28-37"/>
    <n v="30"/>
    <d v="1992-05-07T00:00:00"/>
    <s v="Massachusetts"/>
    <s v="MA"/>
    <s v="Male"/>
    <s v="Divorced"/>
    <s v="Production Technician II"/>
    <s v="Active"/>
    <s v="Full-Time"/>
    <s v="Zone A"/>
    <s v="Production       "/>
    <s v="Wireline Construction"/>
    <s v="Other"/>
    <s v="Fully Meets"/>
    <n v="5"/>
  </r>
  <r>
    <x v="527"/>
    <x v="3"/>
    <x v="467"/>
    <s v="28-37"/>
    <n v="30"/>
    <d v="1991-05-05T00:00:00"/>
    <s v="Massachusetts"/>
    <s v="MA"/>
    <s v="Male"/>
    <s v="Married"/>
    <s v="Production Technician II"/>
    <s v="Active"/>
    <s v="Contract"/>
    <s v="Zone B"/>
    <s v="Production       "/>
    <s v="Aerial"/>
    <s v="Hispanic"/>
    <s v="Fully Meets"/>
    <n v="3"/>
  </r>
  <r>
    <x v="528"/>
    <x v="1"/>
    <x v="468"/>
    <s v="28-37"/>
    <n v="30"/>
    <d v="1989-07-16T00:00:00"/>
    <s v="Massachusetts"/>
    <s v="MA"/>
    <s v="Male"/>
    <s v="Divorced"/>
    <s v="Production Technician I"/>
    <s v="Active"/>
    <s v="Full-Time"/>
    <s v="Zone A"/>
    <s v="Production       "/>
    <s v="Engineers"/>
    <s v="Asian"/>
    <s v="Fully Meets"/>
    <n v="2"/>
  </r>
  <r>
    <x v="529"/>
    <x v="1"/>
    <x v="469"/>
    <s v="28-37"/>
    <n v="30"/>
    <d v="1989-10-30T00:00:00"/>
    <s v="Massachusetts"/>
    <s v="MA"/>
    <s v="Male"/>
    <s v="Divorced"/>
    <s v="Production Technician I"/>
    <s v="Active"/>
    <s v="Full-Time"/>
    <s v="Zone A"/>
    <s v="Production       "/>
    <s v="Field Operations"/>
    <s v="Other"/>
    <s v="Exceeds"/>
    <n v="1"/>
  </r>
  <r>
    <x v="530"/>
    <x v="4"/>
    <x v="163"/>
    <s v="28-37"/>
    <n v="30"/>
    <d v="1992-03-31T00:00:00"/>
    <s v="Massachusetts"/>
    <s v="MA"/>
    <s v="Male"/>
    <s v="Married"/>
    <s v="Production Technician I"/>
    <s v="Terminated"/>
    <s v="Full-Time"/>
    <s v="Zone A"/>
    <s v="Production       "/>
    <s v="Field Operations"/>
    <s v="White"/>
    <s v="PIP"/>
    <n v="5"/>
  </r>
  <r>
    <x v="531"/>
    <x v="5"/>
    <x v="470"/>
    <s v="28-37"/>
    <n v="30"/>
    <d v="1993-11-02T00:00:00"/>
    <s v="Massachusetts"/>
    <s v="MA"/>
    <s v="Female"/>
    <s v="Divorced"/>
    <s v="Production Technician I"/>
    <s v="Active"/>
    <s v="Full-Time"/>
    <s v="Zone A"/>
    <s v="Production       "/>
    <s v="Shop (Fleet)"/>
    <s v="Black"/>
    <s v="PIP"/>
    <n v="3"/>
  </r>
  <r>
    <x v="532"/>
    <x v="4"/>
    <x v="374"/>
    <s v="28-37"/>
    <n v="30"/>
    <d v="1992-01-23T00:00:00"/>
    <s v="Massachusetts"/>
    <s v="MA"/>
    <s v="Male"/>
    <s v="Married"/>
    <s v="Production Technician I"/>
    <s v="Active"/>
    <s v="Full-Time"/>
    <s v="Zone C"/>
    <s v="Production       "/>
    <s v="Field Operations"/>
    <s v="Asian"/>
    <s v="Fully Meets"/>
    <n v="3"/>
  </r>
  <r>
    <x v="533"/>
    <x v="4"/>
    <x v="471"/>
    <s v="28-37"/>
    <n v="30"/>
    <d v="1992-09-03T00:00:00"/>
    <s v="Massachusetts"/>
    <s v="MA"/>
    <s v="Male"/>
    <s v="Widowed"/>
    <s v="Production Technician I"/>
    <s v="Terminated"/>
    <s v="Full-Time"/>
    <s v="Zone B"/>
    <s v="Production       "/>
    <s v="Field Operations"/>
    <s v="Asian"/>
    <s v="Exceeds"/>
    <n v="4"/>
  </r>
  <r>
    <x v="534"/>
    <x v="4"/>
    <x v="235"/>
    <s v="28-37"/>
    <n v="30"/>
    <d v="1992-12-04T00:00:00"/>
    <s v="Massachusetts"/>
    <s v="MA"/>
    <s v="Female"/>
    <s v="Married"/>
    <s v="Production Technician I"/>
    <s v="Active"/>
    <s v="Full-Time"/>
    <s v="Zone C"/>
    <s v="Production       "/>
    <s v="General - Con"/>
    <s v="Black"/>
    <s v="Fully Meets"/>
    <n v="2"/>
  </r>
  <r>
    <x v="535"/>
    <x v="2"/>
    <x v="227"/>
    <s v="28-37"/>
    <n v="30"/>
    <d v="1990-06-27T00:00:00"/>
    <s v="Massachusetts"/>
    <s v="MA"/>
    <s v="Male"/>
    <s v="Married"/>
    <s v="Production Technician I"/>
    <s v="Active"/>
    <s v="Contract"/>
    <s v="Zone C"/>
    <s v="Production       "/>
    <s v="Project Management - Con"/>
    <s v="Other"/>
    <s v="Exceeds"/>
    <n v="1"/>
  </r>
  <r>
    <x v="536"/>
    <x v="3"/>
    <x v="472"/>
    <s v="28-37"/>
    <n v="30"/>
    <d v="1991-06-12T00:00:00"/>
    <s v="Massachusetts"/>
    <s v="MA"/>
    <s v="Female"/>
    <s v="Divorced"/>
    <s v="Production Technician I"/>
    <s v="Terminated"/>
    <s v="Part-Time"/>
    <s v="Zone B"/>
    <s v="Production       "/>
    <s v="Wireline Construction"/>
    <s v="White"/>
    <s v="Fully Meets"/>
    <n v="4"/>
  </r>
  <r>
    <x v="537"/>
    <x v="4"/>
    <x v="473"/>
    <s v="28-37"/>
    <n v="30"/>
    <d v="1992-03-31T00:00:00"/>
    <s v="Massachusetts"/>
    <s v="MA"/>
    <s v="Female"/>
    <s v="Married"/>
    <s v="Production Technician I"/>
    <s v="Active"/>
    <s v="Contract"/>
    <s v="Zone B"/>
    <s v="Production       "/>
    <s v="Engineers"/>
    <s v="Hispanic"/>
    <s v="Fully Meets"/>
    <n v="5"/>
  </r>
  <r>
    <x v="538"/>
    <x v="1"/>
    <x v="474"/>
    <s v="28-37"/>
    <n v="30"/>
    <d v="1989-09-24T00:00:00"/>
    <s v="Massachusetts"/>
    <s v="MA"/>
    <s v="Female"/>
    <s v="Widowed"/>
    <s v="Production Technician I"/>
    <s v="Active"/>
    <s v="Full-Time"/>
    <s v="Zone B"/>
    <s v="Production       "/>
    <s v="Field Operations"/>
    <s v="Asian"/>
    <s v="Fully Meets"/>
    <n v="1"/>
  </r>
  <r>
    <x v="539"/>
    <x v="4"/>
    <x v="343"/>
    <s v="28-37"/>
    <n v="30"/>
    <d v="1992-01-01T00:00:00"/>
    <s v="Massachusetts"/>
    <s v="MA"/>
    <s v="Male"/>
    <s v="Single"/>
    <s v="Production Technician I"/>
    <s v="Active"/>
    <s v="Contract"/>
    <s v="Zone C"/>
    <s v="Production       "/>
    <s v="General - Con"/>
    <s v="Asian"/>
    <s v="Fully Meets"/>
    <n v="4"/>
  </r>
  <r>
    <x v="540"/>
    <x v="4"/>
    <x v="475"/>
    <s v="28-37"/>
    <n v="30"/>
    <d v="1992-12-11T00:00:00"/>
    <s v="Massachusetts"/>
    <s v="MA"/>
    <s v="Male"/>
    <s v="Married"/>
    <s v="Production Technician I"/>
    <s v="Active"/>
    <s v="Full-Time"/>
    <s v="Zone A"/>
    <s v="Production       "/>
    <s v="Splicing"/>
    <s v="White"/>
    <s v="Fully Meets"/>
    <n v="4"/>
  </r>
  <r>
    <x v="541"/>
    <x v="2"/>
    <x v="476"/>
    <s v="28-37"/>
    <n v="30"/>
    <d v="1990-04-15T00:00:00"/>
    <s v="Massachusetts"/>
    <s v="MA"/>
    <s v="Male"/>
    <s v="Single"/>
    <s v="Production Technician I"/>
    <s v="Active"/>
    <s v="Contract"/>
    <s v="Zone B"/>
    <s v="Production       "/>
    <s v="Wireline Construction"/>
    <s v="Black"/>
    <s v="Needs Improvement"/>
    <n v="1"/>
  </r>
  <r>
    <x v="542"/>
    <x v="4"/>
    <x v="477"/>
    <s v="28-37"/>
    <n v="30"/>
    <d v="1992-03-12T00:00:00"/>
    <s v="Massachusetts"/>
    <s v="MA"/>
    <s v="Female"/>
    <s v="Single"/>
    <s v="Production Technician I"/>
    <s v="Active"/>
    <s v="Full-Time"/>
    <s v="Zone A"/>
    <s v="Production       "/>
    <s v="Aerial"/>
    <s v="White"/>
    <s v="Needs Improvement"/>
    <n v="5"/>
  </r>
  <r>
    <x v="543"/>
    <x v="2"/>
    <x v="478"/>
    <s v="28-37"/>
    <n v="30"/>
    <d v="1990-07-16T00:00:00"/>
    <s v="Massachusetts"/>
    <s v="MA"/>
    <s v="Female"/>
    <s v="Single"/>
    <s v="IT Support"/>
    <s v="Active"/>
    <s v="Full-Time"/>
    <s v="Zone C"/>
    <s v="IT/IS"/>
    <s v="Wireline Construction"/>
    <s v="Hispanic"/>
    <s v="Fully Meets"/>
    <n v="4"/>
  </r>
  <r>
    <x v="544"/>
    <x v="2"/>
    <x v="479"/>
    <s v="28-37"/>
    <n v="30"/>
    <d v="1990-04-24T00:00:00"/>
    <s v="Connecticut"/>
    <s v="CT"/>
    <s v="Female"/>
    <s v="Single"/>
    <s v="IT Manager - Infra"/>
    <s v="Active"/>
    <s v="Full-Time"/>
    <s v="Zone A"/>
    <s v="IT/IS"/>
    <s v="General - Con"/>
    <s v="Other"/>
    <s v="Fully Meets"/>
    <n v="2"/>
  </r>
  <r>
    <x v="545"/>
    <x v="2"/>
    <x v="480"/>
    <s v="28-37"/>
    <n v="30"/>
    <d v="1990-05-12T00:00:00"/>
    <s v="Massachusetts"/>
    <s v="MA"/>
    <s v="Male"/>
    <s v="Widowed"/>
    <s v="BI Developer"/>
    <s v="Active"/>
    <s v="Full-Time"/>
    <s v="Zone A"/>
    <s v="IT/IS"/>
    <s v="Splicing"/>
    <s v="Asian"/>
    <s v="Fully Meets"/>
    <n v="5"/>
  </r>
  <r>
    <x v="546"/>
    <x v="2"/>
    <x v="481"/>
    <s v="28-37"/>
    <n v="30"/>
    <d v="1990-04-03T00:00:00"/>
    <s v="Massachusetts"/>
    <s v="MA"/>
    <s v="Female"/>
    <s v="Married"/>
    <s v="BI Developer"/>
    <s v="Active"/>
    <s v="Contract"/>
    <s v="Zone A"/>
    <s v="IT/IS"/>
    <s v="Aerial"/>
    <s v="Hispanic"/>
    <s v="Fully Meets"/>
    <n v="2"/>
  </r>
  <r>
    <x v="547"/>
    <x v="3"/>
    <x v="482"/>
    <s v="28-37"/>
    <n v="30"/>
    <d v="1991-11-19T00:00:00"/>
    <s v="Tennessee"/>
    <s v="TN"/>
    <s v="Male"/>
    <s v="Divorced"/>
    <s v="Area Sales Manager"/>
    <s v="Active"/>
    <s v="Part-Time"/>
    <s v="Zone A"/>
    <s v="Sales"/>
    <s v="Sales &amp; Marketing"/>
    <s v="Hispanic"/>
    <s v="Fully Meets"/>
    <n v="4"/>
  </r>
  <r>
    <x v="548"/>
    <x v="1"/>
    <x v="483"/>
    <s v="28-37"/>
    <n v="30"/>
    <d v="1989-11-21T00:00:00"/>
    <s v="Nevada"/>
    <s v="NV"/>
    <s v="Male"/>
    <s v="Widowed"/>
    <s v="Area Sales Manager"/>
    <s v="Active"/>
    <s v="Part-Time"/>
    <s v="Zone A"/>
    <s v="Sales"/>
    <s v="General - Con"/>
    <s v="Asian"/>
    <s v="Exceeds"/>
    <n v="2"/>
  </r>
  <r>
    <x v="549"/>
    <x v="3"/>
    <x v="484"/>
    <s v="28-37"/>
    <n v="30"/>
    <d v="1991-09-10T00:00:00"/>
    <s v="Massachusetts"/>
    <s v="MA"/>
    <s v="Male"/>
    <s v="Single"/>
    <s v="Area Sales Manager"/>
    <s v="Active"/>
    <s v="Full-Time"/>
    <s v="Zone C"/>
    <s v="IT/IS"/>
    <s v="Splicing"/>
    <s v="White"/>
    <s v="Fully Meets"/>
    <n v="1"/>
  </r>
  <r>
    <x v="550"/>
    <x v="5"/>
    <x v="485"/>
    <s v="28-37"/>
    <n v="30"/>
    <d v="1993-01-27T00:00:00"/>
    <s v="Indiana"/>
    <s v="IN"/>
    <s v="Male"/>
    <s v="Married"/>
    <s v="Area Sales Manager"/>
    <s v="Active"/>
    <s v="Part-Time"/>
    <s v="Zone B"/>
    <s v="Sales"/>
    <s v="Wireline Construction"/>
    <s v="Other"/>
    <s v="Fully Meets"/>
    <n v="3"/>
  </r>
  <r>
    <x v="551"/>
    <x v="4"/>
    <x v="486"/>
    <s v="28-37"/>
    <n v="30"/>
    <d v="1992-08-20T00:00:00"/>
    <s v="Alabama"/>
    <s v="AL"/>
    <s v="Male"/>
    <s v="Married"/>
    <s v="Area Sales Manager"/>
    <s v="Active"/>
    <s v="Full-Time"/>
    <s v="Zone B"/>
    <s v="Sales"/>
    <s v="General - Con"/>
    <s v="White"/>
    <s v="Fully Meets"/>
    <n v="2"/>
  </r>
  <r>
    <x v="552"/>
    <x v="4"/>
    <x v="174"/>
    <s v="28-37"/>
    <n v="30"/>
    <d v="1992-12-13T00:00:00"/>
    <s v="Massachusetts"/>
    <s v="MA"/>
    <s v="Female"/>
    <s v="Married"/>
    <s v="Administrative Assistant"/>
    <s v="Active"/>
    <s v="Part-Time"/>
    <s v="Zone A"/>
    <s v="Admin Offices"/>
    <s v="General - Con"/>
    <s v="Black"/>
    <s v="Exceeds"/>
    <n v="2"/>
  </r>
  <r>
    <x v="553"/>
    <x v="3"/>
    <x v="487"/>
    <s v="28-37"/>
    <n v="31"/>
    <d v="1990-11-18T00:00:00"/>
    <s v="Massachusetts"/>
    <s v="MA"/>
    <s v="Female"/>
    <s v="Divorced"/>
    <s v="Sr. DBA"/>
    <s v="Active"/>
    <s v="Contract"/>
    <s v="Zone B"/>
    <s v="IT/IS"/>
    <s v="Aerial"/>
    <s v="Hispanic"/>
    <s v="Fully Meets"/>
    <n v="3"/>
  </r>
  <r>
    <x v="554"/>
    <x v="1"/>
    <x v="194"/>
    <s v="28-37"/>
    <n v="31"/>
    <d v="1988-03-24T00:00:00"/>
    <s v="Massachusetts"/>
    <s v="MA"/>
    <s v="Male"/>
    <s v="Single"/>
    <s v="Software Engineer"/>
    <s v="Active"/>
    <s v="Contract"/>
    <s v="Zone C"/>
    <s v="Software Engineering"/>
    <s v="Aerial"/>
    <s v="Asian"/>
    <s v="Fully Meets"/>
    <n v="2"/>
  </r>
  <r>
    <x v="555"/>
    <x v="2"/>
    <x v="488"/>
    <s v="28-37"/>
    <n v="31"/>
    <d v="1989-01-25T00:00:00"/>
    <s v="Massachusetts"/>
    <s v="MA"/>
    <s v="Male"/>
    <s v="Single"/>
    <s v="Software Engineer"/>
    <s v="Terminated"/>
    <s v="Full-Time"/>
    <s v="Zone C"/>
    <s v="Software Engineering"/>
    <s v="General - Eng"/>
    <s v="Hispanic"/>
    <s v="Fully Meets"/>
    <n v="1"/>
  </r>
  <r>
    <x v="556"/>
    <x v="0"/>
    <x v="489"/>
    <s v="28-37"/>
    <n v="31"/>
    <d v="1987-03-30T00:00:00"/>
    <s v="Massachusetts"/>
    <s v="MA"/>
    <s v="Female"/>
    <s v="Divorced"/>
    <s v="Shared Services Manager"/>
    <s v="Active"/>
    <s v="Contract"/>
    <s v="Zone A"/>
    <s v="Software Engineering"/>
    <s v="Fielders"/>
    <s v="Other"/>
    <s v="Fully Meets"/>
    <n v="3"/>
  </r>
  <r>
    <x v="557"/>
    <x v="2"/>
    <x v="490"/>
    <s v="28-37"/>
    <n v="31"/>
    <d v="1989-07-31T00:00:00"/>
    <s v="Pennsylvania"/>
    <s v="PA"/>
    <s v="Female"/>
    <s v="Divorced"/>
    <s v="Sales Manager"/>
    <s v="Active"/>
    <s v="Full-Time"/>
    <s v="Zone A"/>
    <s v="Sales"/>
    <s v="Underground"/>
    <s v="Other"/>
    <s v="Fully Meets"/>
    <n v="5"/>
  </r>
  <r>
    <x v="558"/>
    <x v="3"/>
    <x v="491"/>
    <s v="28-37"/>
    <n v="31"/>
    <d v="1990-08-29T00:00:00"/>
    <s v="Massachusetts"/>
    <s v="MA"/>
    <s v="Female"/>
    <s v="Married"/>
    <s v="Sales Manager"/>
    <s v="Active"/>
    <s v="Contract"/>
    <s v="Zone B"/>
    <s v="IT/IS"/>
    <s v="General - Con"/>
    <s v="Asian"/>
    <s v="Fully Meets"/>
    <n v="4"/>
  </r>
  <r>
    <x v="559"/>
    <x v="5"/>
    <x v="492"/>
    <s v="28-37"/>
    <n v="31"/>
    <d v="1992-11-07T00:00:00"/>
    <s v="Massachusetts"/>
    <s v="MA"/>
    <s v="Female"/>
    <s v="Married"/>
    <s v="Production Technician II"/>
    <s v="Active"/>
    <s v="Contract"/>
    <s v="Zone B"/>
    <s v="Production       "/>
    <s v="Field Operations"/>
    <s v="Asian"/>
    <s v="Fully Meets"/>
    <n v="1"/>
  </r>
  <r>
    <x v="560"/>
    <x v="2"/>
    <x v="493"/>
    <s v="28-37"/>
    <n v="31"/>
    <d v="1989-10-07T00:00:00"/>
    <s v="Massachusetts"/>
    <s v="MA"/>
    <s v="Female"/>
    <s v="Widowed"/>
    <s v="Production Technician II"/>
    <s v="Terminated"/>
    <s v="Contract"/>
    <s v="Zone B"/>
    <s v="Production       "/>
    <s v="Wireless"/>
    <s v="Hispanic"/>
    <s v="PIP"/>
    <n v="1"/>
  </r>
  <r>
    <x v="561"/>
    <x v="1"/>
    <x v="494"/>
    <s v="28-37"/>
    <n v="31"/>
    <d v="1988-02-29T00:00:00"/>
    <s v="Massachusetts"/>
    <s v="MA"/>
    <s v="Female"/>
    <s v="Single"/>
    <s v="Production Technician II"/>
    <s v="Terminated"/>
    <s v="Full-Time"/>
    <s v="Zone B"/>
    <s v="Production       "/>
    <s v="General - Con"/>
    <s v="Other"/>
    <s v="Fully Meets"/>
    <n v="4"/>
  </r>
  <r>
    <x v="562"/>
    <x v="3"/>
    <x v="152"/>
    <s v="28-37"/>
    <n v="31"/>
    <d v="1990-08-31T00:00:00"/>
    <s v="Massachusetts"/>
    <s v="MA"/>
    <s v="Female"/>
    <s v="Single"/>
    <s v="Production Technician II"/>
    <s v="Active"/>
    <s v="Full-Time"/>
    <s v="Zone A"/>
    <s v="Production       "/>
    <s v="Field Operations"/>
    <s v="Other"/>
    <s v="Fully Meets"/>
    <n v="3"/>
  </r>
  <r>
    <x v="563"/>
    <x v="4"/>
    <x v="495"/>
    <s v="28-37"/>
    <n v="31"/>
    <d v="1991-12-25T00:00:00"/>
    <s v="Massachusetts"/>
    <s v="MA"/>
    <s v="Female"/>
    <s v="Widowed"/>
    <s v="Production Technician II"/>
    <s v="Active"/>
    <s v="Full-Time"/>
    <s v="Zone C"/>
    <s v="Production       "/>
    <s v="Wireline Construction"/>
    <s v="Other"/>
    <s v="Fully Meets"/>
    <n v="1"/>
  </r>
  <r>
    <x v="564"/>
    <x v="5"/>
    <x v="496"/>
    <s v="28-37"/>
    <n v="31"/>
    <d v="1992-03-05T00:00:00"/>
    <s v="Massachusetts"/>
    <s v="MA"/>
    <s v="Female"/>
    <s v="Widowed"/>
    <s v="Production Technician II"/>
    <s v="Active"/>
    <s v="Part-Time"/>
    <s v="Zone B"/>
    <s v="Production       "/>
    <s v="Engineers"/>
    <s v="White"/>
    <s v="Fully Meets"/>
    <n v="3"/>
  </r>
  <r>
    <x v="565"/>
    <x v="5"/>
    <x v="497"/>
    <s v="28-37"/>
    <n v="31"/>
    <d v="1992-02-09T00:00:00"/>
    <s v="Massachusetts"/>
    <s v="MA"/>
    <s v="Male"/>
    <s v="Married"/>
    <s v="Production Technician I"/>
    <s v="Active"/>
    <s v="Full-Time"/>
    <s v="Zone A"/>
    <s v="Production       "/>
    <s v="Wireline Construction"/>
    <s v="Other"/>
    <s v="Fully Meets"/>
    <n v="5"/>
  </r>
  <r>
    <x v="566"/>
    <x v="1"/>
    <x v="498"/>
    <s v="28-37"/>
    <n v="31"/>
    <d v="1988-04-12T00:00:00"/>
    <s v="Massachusetts"/>
    <s v="MA"/>
    <s v="Male"/>
    <s v="Divorced"/>
    <s v="Production Technician I"/>
    <s v="Active"/>
    <s v="Part-Time"/>
    <s v="Zone A"/>
    <s v="Production       "/>
    <s v="Wireline Construction"/>
    <s v="Hispanic"/>
    <s v="PIP"/>
    <n v="1"/>
  </r>
  <r>
    <x v="567"/>
    <x v="2"/>
    <x v="151"/>
    <s v="28-37"/>
    <n v="31"/>
    <d v="1989-09-06T00:00:00"/>
    <s v="Massachusetts"/>
    <s v="MA"/>
    <s v="Female"/>
    <s v="Widowed"/>
    <s v="Production Technician I"/>
    <s v="Active"/>
    <s v="Part-Time"/>
    <s v="Zone A"/>
    <s v="Production       "/>
    <s v="Splicing"/>
    <s v="Asian"/>
    <s v="Exceeds"/>
    <n v="5"/>
  </r>
  <r>
    <x v="568"/>
    <x v="5"/>
    <x v="499"/>
    <s v="28-37"/>
    <n v="31"/>
    <d v="1992-05-27T00:00:00"/>
    <s v="Massachusetts"/>
    <s v="MA"/>
    <s v="Female"/>
    <s v="Divorced"/>
    <s v="Production Technician I"/>
    <s v="Terminated"/>
    <s v="Contract"/>
    <s v="Zone C"/>
    <s v="Production       "/>
    <s v="Project Management - Con"/>
    <s v="Asian"/>
    <s v="Fully Meets"/>
    <n v="3"/>
  </r>
  <r>
    <x v="569"/>
    <x v="5"/>
    <x v="450"/>
    <s v="28-37"/>
    <n v="31"/>
    <d v="1992-10-29T00:00:00"/>
    <s v="Massachusetts"/>
    <s v="MA"/>
    <s v="Male"/>
    <s v="Single"/>
    <s v="Production Technician I"/>
    <s v="Active"/>
    <s v="Contract"/>
    <s v="Zone B"/>
    <s v="Production       "/>
    <s v="Field Operations"/>
    <s v="Hispanic"/>
    <s v="Fully Meets"/>
    <n v="3"/>
  </r>
  <r>
    <x v="570"/>
    <x v="4"/>
    <x v="244"/>
    <s v="28-37"/>
    <n v="31"/>
    <d v="1991-12-31T00:00:00"/>
    <s v="Massachusetts"/>
    <s v="MA"/>
    <s v="Male"/>
    <s v="Divorced"/>
    <s v="Production Technician I"/>
    <s v="Active"/>
    <s v="Part-Time"/>
    <s v="Zone B"/>
    <s v="Production       "/>
    <s v="General - Con"/>
    <s v="Other"/>
    <s v="PIP"/>
    <n v="2"/>
  </r>
  <r>
    <x v="571"/>
    <x v="1"/>
    <x v="500"/>
    <s v="28-37"/>
    <n v="31"/>
    <d v="1988-04-15T00:00:00"/>
    <s v="Massachusetts"/>
    <s v="MA"/>
    <s v="Female"/>
    <s v="Married"/>
    <s v="Production Technician I"/>
    <s v="Terminated"/>
    <s v="Part-Time"/>
    <s v="Zone C"/>
    <s v="Production       "/>
    <s v="Safety"/>
    <s v="White"/>
    <s v="Fully Meets"/>
    <n v="1"/>
  </r>
  <r>
    <x v="572"/>
    <x v="1"/>
    <x v="501"/>
    <s v="28-37"/>
    <n v="31"/>
    <d v="1988-12-31T00:00:00"/>
    <s v="Massachusetts"/>
    <s v="MA"/>
    <s v="Female"/>
    <s v="Married"/>
    <s v="Production Technician I"/>
    <s v="Active"/>
    <s v="Contract"/>
    <s v="Zone B"/>
    <s v="Production       "/>
    <s v="General - Eng"/>
    <s v="Black"/>
    <s v="Fully Meets"/>
    <n v="2"/>
  </r>
  <r>
    <x v="573"/>
    <x v="3"/>
    <x v="83"/>
    <s v="28-37"/>
    <n v="31"/>
    <d v="1990-08-14T00:00:00"/>
    <s v="Massachusetts"/>
    <s v="MA"/>
    <s v="Female"/>
    <s v="Married"/>
    <s v="Production Technician I"/>
    <s v="Active"/>
    <s v="Contract"/>
    <s v="Zone A"/>
    <s v="Production       "/>
    <s v="Shop (Fleet)"/>
    <s v="Hispanic"/>
    <s v="Fully Meets"/>
    <n v="5"/>
  </r>
  <r>
    <x v="574"/>
    <x v="4"/>
    <x v="502"/>
    <s v="28-37"/>
    <n v="31"/>
    <d v="1991-10-26T00:00:00"/>
    <s v="Massachusetts"/>
    <s v="MA"/>
    <s v="Male"/>
    <s v="Married"/>
    <s v="Production Technician I"/>
    <s v="Active"/>
    <s v="Part-Time"/>
    <s v="Zone A"/>
    <s v="Production       "/>
    <s v="Project Management - Con"/>
    <s v="White"/>
    <s v="Fully Meets"/>
    <n v="5"/>
  </r>
  <r>
    <x v="575"/>
    <x v="2"/>
    <x v="503"/>
    <s v="28-37"/>
    <n v="31"/>
    <d v="1989-10-06T00:00:00"/>
    <s v="Massachusetts"/>
    <s v="MA"/>
    <s v="Male"/>
    <s v="Married"/>
    <s v="Production Technician I"/>
    <s v="Active"/>
    <s v="Full-Time"/>
    <s v="Zone C"/>
    <s v="Production       "/>
    <s v="Field Operations"/>
    <s v="Asian"/>
    <s v="Fully Meets"/>
    <n v="4"/>
  </r>
  <r>
    <x v="576"/>
    <x v="1"/>
    <x v="42"/>
    <s v="28-37"/>
    <n v="31"/>
    <d v="1988-11-07T00:00:00"/>
    <s v="Massachusetts"/>
    <s v="MA"/>
    <s v="Female"/>
    <s v="Single"/>
    <s v="Production Technician I"/>
    <s v="Active"/>
    <s v="Full-Time"/>
    <s v="Zone A"/>
    <s v="Production       "/>
    <s v="Field Operations"/>
    <s v="White"/>
    <s v="Needs Improvement"/>
    <n v="1"/>
  </r>
  <r>
    <x v="577"/>
    <x v="2"/>
    <x v="504"/>
    <s v="28-37"/>
    <n v="31"/>
    <d v="1989-03-25T00:00:00"/>
    <s v="Massachusetts"/>
    <s v="MA"/>
    <s v="Male"/>
    <s v="Married"/>
    <s v="Production Technician I"/>
    <s v="Active"/>
    <s v="Contract"/>
    <s v="Zone A"/>
    <s v="Production       "/>
    <s v="General - Con"/>
    <s v="Asian"/>
    <s v="Fully Meets"/>
    <n v="5"/>
  </r>
  <r>
    <x v="578"/>
    <x v="4"/>
    <x v="505"/>
    <s v="28-37"/>
    <n v="31"/>
    <d v="1991-09-01T00:00:00"/>
    <s v="Massachusetts"/>
    <s v="MA"/>
    <s v="Female"/>
    <s v="Married"/>
    <s v="Production Technician I"/>
    <s v="Active"/>
    <s v="Contract"/>
    <s v="Zone A"/>
    <s v="Production       "/>
    <s v="Engineers"/>
    <s v="Asian"/>
    <s v="Fully Meets"/>
    <n v="4"/>
  </r>
  <r>
    <x v="579"/>
    <x v="1"/>
    <x v="506"/>
    <s v="28-37"/>
    <n v="31"/>
    <d v="1988-02-02T00:00:00"/>
    <s v="Massachusetts"/>
    <s v="MA"/>
    <s v="Male"/>
    <s v="Divorced"/>
    <s v="Production Technician I"/>
    <s v="Active"/>
    <s v="Part-Time"/>
    <s v="Zone B"/>
    <s v="Production       "/>
    <s v="Field Operations"/>
    <s v="Other"/>
    <s v="Needs Improvement"/>
    <n v="5"/>
  </r>
  <r>
    <x v="580"/>
    <x v="2"/>
    <x v="507"/>
    <s v="28-37"/>
    <n v="31"/>
    <d v="1989-07-19T00:00:00"/>
    <s v="Massachusetts"/>
    <s v="MA"/>
    <s v="Female"/>
    <s v="Divorced"/>
    <s v="Production Technician I"/>
    <s v="Active"/>
    <s v="Contract"/>
    <s v="Zone A"/>
    <s v="Production       "/>
    <s v="Engineers"/>
    <s v="White"/>
    <s v="Fully Meets"/>
    <n v="4"/>
  </r>
  <r>
    <x v="581"/>
    <x v="4"/>
    <x v="508"/>
    <s v="28-37"/>
    <n v="31"/>
    <d v="1991-01-28T00:00:00"/>
    <s v="Massachusetts"/>
    <s v="MA"/>
    <s v="Female"/>
    <s v="Divorced"/>
    <s v="Production Technician I"/>
    <s v="Active"/>
    <s v="Full-Time"/>
    <s v="Zone A"/>
    <s v="Production       "/>
    <s v="General - Con"/>
    <s v="White"/>
    <s v="Fully Meets"/>
    <n v="1"/>
  </r>
  <r>
    <x v="582"/>
    <x v="3"/>
    <x v="509"/>
    <s v="28-37"/>
    <n v="31"/>
    <d v="1990-06-16T00:00:00"/>
    <s v="Massachusetts"/>
    <s v="MA"/>
    <s v="Female"/>
    <s v="Married"/>
    <s v="Production Technician I"/>
    <s v="Active"/>
    <s v="Part-Time"/>
    <s v="Zone C"/>
    <s v="Production       "/>
    <s v="General - Con"/>
    <s v="Hispanic"/>
    <s v="Fully Meets"/>
    <n v="4"/>
  </r>
  <r>
    <x v="583"/>
    <x v="1"/>
    <x v="510"/>
    <s v="28-37"/>
    <n v="31"/>
    <d v="1988-02-20T00:00:00"/>
    <s v="Massachusetts"/>
    <s v="MA"/>
    <s v="Female"/>
    <s v="Widowed"/>
    <s v="Production Technician I"/>
    <s v="Active"/>
    <s v="Contract"/>
    <s v="Zone A"/>
    <s v="Production       "/>
    <s v="Wireline Construction"/>
    <s v="Asian"/>
    <s v="Exceeds"/>
    <n v="4"/>
  </r>
  <r>
    <x v="584"/>
    <x v="4"/>
    <x v="248"/>
    <s v="28-37"/>
    <n v="31"/>
    <d v="1991-11-18T00:00:00"/>
    <s v="Massachusetts"/>
    <s v="MA"/>
    <s v="Male"/>
    <s v="Single"/>
    <s v="Production Technician I"/>
    <s v="Active"/>
    <s v="Part-Time"/>
    <s v="Zone C"/>
    <s v="Production       "/>
    <s v="Project Management - Con"/>
    <s v="Asian"/>
    <s v="Fully Meets"/>
    <n v="5"/>
  </r>
  <r>
    <x v="585"/>
    <x v="4"/>
    <x v="511"/>
    <s v="28-37"/>
    <n v="31"/>
    <d v="1991-12-27T00:00:00"/>
    <s v="Massachusetts"/>
    <s v="MA"/>
    <s v="Female"/>
    <s v="Divorced"/>
    <s v="Production Technician I"/>
    <s v="Active"/>
    <s v="Full-Time"/>
    <s v="Zone B"/>
    <s v="Production       "/>
    <s v="Aerial"/>
    <s v="Black"/>
    <s v="Needs Improvement"/>
    <n v="1"/>
  </r>
  <r>
    <x v="586"/>
    <x v="0"/>
    <x v="154"/>
    <s v="28-37"/>
    <n v="31"/>
    <d v="1987-01-16T00:00:00"/>
    <s v="Massachusetts"/>
    <s v="MA"/>
    <s v="Male"/>
    <s v="Divorced"/>
    <s v="Production Technician I"/>
    <s v="Active"/>
    <s v="Contract"/>
    <s v="Zone A"/>
    <s v="Production       "/>
    <s v="Engineers"/>
    <s v="White"/>
    <s v="Fully Meets"/>
    <n v="5"/>
  </r>
  <r>
    <x v="587"/>
    <x v="2"/>
    <x v="512"/>
    <s v="28-37"/>
    <n v="31"/>
    <d v="1989-01-17T00:00:00"/>
    <s v="Massachusetts"/>
    <s v="MA"/>
    <s v="Female"/>
    <s v="Single"/>
    <s v="Production Manager"/>
    <s v="Terminated"/>
    <s v="Full-Time"/>
    <s v="Zone C"/>
    <s v="Production       "/>
    <s v="General - Eng"/>
    <s v="Asian"/>
    <s v="Fully Meets"/>
    <n v="2"/>
  </r>
  <r>
    <x v="588"/>
    <x v="1"/>
    <x v="157"/>
    <s v="28-37"/>
    <n v="31"/>
    <d v="1988-04-08T00:00:00"/>
    <s v="Massachusetts"/>
    <s v="MA"/>
    <s v="Female"/>
    <s v="Divorced"/>
    <s v="Production Manager"/>
    <s v="Active"/>
    <s v="Part-Time"/>
    <s v="Zone B"/>
    <s v="Production       "/>
    <s v="Catv"/>
    <s v="Other"/>
    <s v="Fully Meets"/>
    <n v="3"/>
  </r>
  <r>
    <x v="589"/>
    <x v="3"/>
    <x v="513"/>
    <s v="28-37"/>
    <n v="31"/>
    <d v="1990-10-06T00:00:00"/>
    <s v="Massachusetts"/>
    <s v="MA"/>
    <s v="Female"/>
    <s v="Widowed"/>
    <s v="Production Manager"/>
    <s v="Terminated"/>
    <s v="Part-Time"/>
    <s v="Zone B"/>
    <s v="Production       "/>
    <s v="Fielders"/>
    <s v="Asian"/>
    <s v="Fully Meets"/>
    <n v="4"/>
  </r>
  <r>
    <x v="590"/>
    <x v="1"/>
    <x v="269"/>
    <s v="28-37"/>
    <n v="31"/>
    <d v="1988-11-28T00:00:00"/>
    <s v="Massachusetts"/>
    <s v="MA"/>
    <s v="Female"/>
    <s v="Married"/>
    <s v="Production Manager"/>
    <s v="Terminated"/>
    <s v="Contract"/>
    <s v="Zone C"/>
    <s v="Production       "/>
    <s v="Wireline Construction"/>
    <s v="Hispanic"/>
    <s v="Fully Meets"/>
    <n v="5"/>
  </r>
  <r>
    <x v="591"/>
    <x v="5"/>
    <x v="514"/>
    <s v="28-37"/>
    <n v="31"/>
    <d v="1992-11-10T00:00:00"/>
    <s v="Massachusetts"/>
    <s v="MA"/>
    <s v="Female"/>
    <s v="Married"/>
    <s v="Production Manager"/>
    <s v="Active"/>
    <s v="Full-Time"/>
    <s v="Zone B"/>
    <s v="Production       "/>
    <s v="Project Management - Con"/>
    <s v="Asian"/>
    <s v="Fully Meets"/>
    <n v="4"/>
  </r>
  <r>
    <x v="592"/>
    <x v="4"/>
    <x v="515"/>
    <s v="28-37"/>
    <n v="31"/>
    <d v="1991-05-03T00:00:00"/>
    <s v="Massachusetts"/>
    <s v="MA"/>
    <s v="Male"/>
    <s v="Widowed"/>
    <s v="Network Engineer"/>
    <s v="Active"/>
    <s v="Contract"/>
    <s v="Zone B"/>
    <s v="IT/IS"/>
    <s v="Field Operations"/>
    <s v="Other"/>
    <s v="Fully Meets"/>
    <n v="3"/>
  </r>
  <r>
    <x v="593"/>
    <x v="4"/>
    <x v="516"/>
    <s v="28-37"/>
    <n v="31"/>
    <d v="1991-06-16T00:00:00"/>
    <s v="Massachusetts"/>
    <s v="MA"/>
    <s v="Female"/>
    <s v="Widowed"/>
    <s v="IT Support"/>
    <s v="Active"/>
    <s v="Contract"/>
    <s v="Zone B"/>
    <s v="IT/IS"/>
    <s v="Field Operations"/>
    <s v="White"/>
    <s v="Fully Meets"/>
    <n v="2"/>
  </r>
  <r>
    <x v="594"/>
    <x v="4"/>
    <x v="399"/>
    <s v="28-37"/>
    <n v="31"/>
    <d v="1991-05-11T00:00:00"/>
    <s v="Massachusetts"/>
    <s v="MA"/>
    <s v="Female"/>
    <s v="Widowed"/>
    <s v="IT Support"/>
    <s v="Active"/>
    <s v="Full-Time"/>
    <s v="Zone C"/>
    <s v="IT/IS"/>
    <s v="Field Operations"/>
    <s v="White"/>
    <s v="Exceeds"/>
    <n v="1"/>
  </r>
  <r>
    <x v="595"/>
    <x v="4"/>
    <x v="517"/>
    <s v="28-37"/>
    <n v="31"/>
    <d v="1991-10-03T00:00:00"/>
    <s v="Massachusetts"/>
    <s v="MA"/>
    <s v="Male"/>
    <s v="Widowed"/>
    <s v="IT Manager - DB"/>
    <s v="Active"/>
    <s v="Part-Time"/>
    <s v="Zone A"/>
    <s v="IT/IS"/>
    <s v="General - Eng"/>
    <s v="Hispanic"/>
    <s v="Fully Meets"/>
    <n v="1"/>
  </r>
  <r>
    <x v="596"/>
    <x v="1"/>
    <x v="518"/>
    <s v="28-37"/>
    <n v="31"/>
    <d v="1988-05-01T00:00:00"/>
    <s v="Massachusetts"/>
    <s v="MA"/>
    <s v="Male"/>
    <s v="Single"/>
    <s v="Director of Sales"/>
    <s v="Active"/>
    <s v="Contract"/>
    <s v="Zone B"/>
    <s v="IT/IS"/>
    <s v="Splicing"/>
    <s v="Asian"/>
    <s v="Fully Meets"/>
    <n v="2"/>
  </r>
  <r>
    <x v="597"/>
    <x v="5"/>
    <x v="285"/>
    <s v="28-37"/>
    <n v="31"/>
    <d v="1992-01-18T00:00:00"/>
    <s v="Texas"/>
    <s v="TX"/>
    <s v="Male"/>
    <s v="Widowed"/>
    <s v="Database Administrator"/>
    <s v="Terminated"/>
    <s v="Part-Time"/>
    <s v="Zone A"/>
    <s v="IT/IS"/>
    <s v="People Services"/>
    <s v="White"/>
    <s v="Fully Meets"/>
    <n v="4"/>
  </r>
  <r>
    <x v="598"/>
    <x v="4"/>
    <x v="519"/>
    <s v="28-37"/>
    <n v="31"/>
    <d v="1991-01-02T00:00:00"/>
    <s v="Texas"/>
    <s v="TX"/>
    <s v="Female"/>
    <s v="Divorced"/>
    <s v="Database Administrator"/>
    <s v="Active"/>
    <s v="Contract"/>
    <s v="Zone C"/>
    <s v="IT/IS"/>
    <s v="Field Operations"/>
    <s v="Other"/>
    <s v="Fully Meets"/>
    <n v="2"/>
  </r>
  <r>
    <x v="599"/>
    <x v="4"/>
    <x v="344"/>
    <s v="28-37"/>
    <n v="31"/>
    <d v="1991-10-09T00:00:00"/>
    <s v="New Hampshire"/>
    <s v="NH"/>
    <s v="Male"/>
    <s v="Married"/>
    <s v="Area Sales Manager"/>
    <s v="Active"/>
    <s v="Full-Time"/>
    <s v="Zone B"/>
    <s v="Sales"/>
    <s v="Field Operations"/>
    <s v="Asian"/>
    <s v="Fully Meets"/>
    <n v="3"/>
  </r>
  <r>
    <x v="600"/>
    <x v="0"/>
    <x v="131"/>
    <s v="28-37"/>
    <n v="31"/>
    <d v="1987-03-10T00:00:00"/>
    <s v="Massachusetts"/>
    <s v="MA"/>
    <s v="Male"/>
    <s v="Divorced"/>
    <s v="Area Sales Manager"/>
    <s v="Active"/>
    <s v="Contract"/>
    <s v="Zone C"/>
    <s v="Sales"/>
    <s v="Aerial"/>
    <s v="Other"/>
    <s v="Fully Meets"/>
    <n v="1"/>
  </r>
  <r>
    <x v="601"/>
    <x v="1"/>
    <x v="520"/>
    <s v="28-37"/>
    <n v="31"/>
    <d v="1988-07-06T00:00:00"/>
    <s v="Indiana"/>
    <s v="IN"/>
    <s v="Male"/>
    <s v="Married"/>
    <s v="Area Sales Manager"/>
    <s v="Active"/>
    <s v="Full-Time"/>
    <s v="Zone B"/>
    <s v="Sales"/>
    <s v="Field Operations"/>
    <s v="Other"/>
    <s v="Fully Meets"/>
    <n v="2"/>
  </r>
  <r>
    <x v="602"/>
    <x v="4"/>
    <x v="521"/>
    <s v="28-37"/>
    <n v="31"/>
    <d v="1991-12-13T00:00:00"/>
    <s v="Colorado"/>
    <s v="CO"/>
    <s v="Male"/>
    <s v="Widowed"/>
    <s v="Area Sales Manager"/>
    <s v="Active"/>
    <s v="Full-Time"/>
    <s v="Zone C"/>
    <s v="Sales"/>
    <s v="Finance &amp; Accounting"/>
    <s v="Hispanic"/>
    <s v="Fully Meets"/>
    <n v="2"/>
  </r>
  <r>
    <x v="603"/>
    <x v="5"/>
    <x v="522"/>
    <s v="28-37"/>
    <n v="31"/>
    <d v="1992-09-01T00:00:00"/>
    <s v="Massachusetts"/>
    <s v="MA"/>
    <s v="Female"/>
    <s v="Single"/>
    <s v="Administrative Assistant"/>
    <s v="Active"/>
    <s v="Full-Time"/>
    <s v="Zone B"/>
    <s v="Sales"/>
    <s v="Project Management - Con"/>
    <s v="Other"/>
    <s v="Fully Meets"/>
    <n v="5"/>
  </r>
  <r>
    <x v="604"/>
    <x v="4"/>
    <x v="523"/>
    <s v="28-37"/>
    <n v="31"/>
    <d v="1991-08-19T00:00:00"/>
    <s v="Massachusetts"/>
    <s v="MA"/>
    <s v="Male"/>
    <s v="Single"/>
    <s v="Accountant I"/>
    <s v="Active"/>
    <s v="Contract"/>
    <s v="Zone A"/>
    <s v="Admin Offices"/>
    <s v="Aerial"/>
    <s v="White"/>
    <s v="Exceeds"/>
    <n v="1"/>
  </r>
  <r>
    <x v="605"/>
    <x v="2"/>
    <x v="524"/>
    <s v="28-37"/>
    <n v="32"/>
    <d v="1988-03-14T00:00:00"/>
    <s v="Massachusetts"/>
    <s v="MA"/>
    <s v="Male"/>
    <s v="Widowed"/>
    <s v="Sr. Network Engineer"/>
    <s v="Active"/>
    <s v="Contract"/>
    <s v="Zone C"/>
    <s v="Admin Offices"/>
    <s v="Shop (Fleet)"/>
    <s v="Other"/>
    <s v="Fully Meets"/>
    <n v="1"/>
  </r>
  <r>
    <x v="606"/>
    <x v="1"/>
    <x v="525"/>
    <s v="28-37"/>
    <n v="32"/>
    <d v="1987-03-01T00:00:00"/>
    <s v="Massachusetts"/>
    <s v="MA"/>
    <s v="Female"/>
    <s v="Single"/>
    <s v="Software Engineer"/>
    <s v="Active"/>
    <s v="Part-Time"/>
    <s v="Zone C"/>
    <s v="Software Engineering"/>
    <s v="General - Con"/>
    <s v="Other"/>
    <s v="Fully Meets"/>
    <n v="5"/>
  </r>
  <r>
    <x v="607"/>
    <x v="2"/>
    <x v="526"/>
    <s v="28-37"/>
    <n v="32"/>
    <d v="1988-08-04T00:00:00"/>
    <s v="Massachusetts"/>
    <s v="MA"/>
    <s v="Male"/>
    <s v="Widowed"/>
    <s v="Shared Services Manager"/>
    <s v="Active"/>
    <s v="Part-Time"/>
    <s v="Zone C"/>
    <s v="Software Engineering"/>
    <s v="Fielders"/>
    <s v="Black"/>
    <s v="Fully Meets"/>
    <n v="1"/>
  </r>
  <r>
    <x v="608"/>
    <x v="1"/>
    <x v="527"/>
    <s v="28-37"/>
    <n v="32"/>
    <d v="1987-06-17T00:00:00"/>
    <s v="Massachusetts"/>
    <s v="MA"/>
    <s v="Male"/>
    <s v="Divorced"/>
    <s v="Sales Manager"/>
    <s v="Active"/>
    <s v="Contract"/>
    <s v="Zone C"/>
    <s v="Admin Offices"/>
    <s v="General - Sga"/>
    <s v="Black"/>
    <s v="Fully Meets"/>
    <n v="2"/>
  </r>
  <r>
    <x v="609"/>
    <x v="5"/>
    <x v="528"/>
    <s v="28-37"/>
    <n v="32"/>
    <d v="1991-05-26T00:00:00"/>
    <s v="Pennsylvania"/>
    <s v="PA"/>
    <s v="Female"/>
    <s v="Widowed"/>
    <s v="Production Technician II"/>
    <s v="Active"/>
    <s v="Full-Time"/>
    <s v="Zone B"/>
    <s v="Sales"/>
    <s v="Field Operations"/>
    <s v="Hispanic"/>
    <s v="Fully Meets"/>
    <n v="3"/>
  </r>
  <r>
    <x v="610"/>
    <x v="1"/>
    <x v="231"/>
    <s v="28-37"/>
    <n v="32"/>
    <d v="1987-12-01T00:00:00"/>
    <s v="Massachusetts"/>
    <s v="MA"/>
    <s v="Female"/>
    <s v="Widowed"/>
    <s v="Production Technician II"/>
    <s v="Active"/>
    <s v="Part-Time"/>
    <s v="Zone A"/>
    <s v="Production       "/>
    <s v="General - Con"/>
    <s v="Asian"/>
    <s v="Fully Meets"/>
    <n v="2"/>
  </r>
  <r>
    <x v="611"/>
    <x v="2"/>
    <x v="138"/>
    <s v="28-37"/>
    <n v="32"/>
    <d v="1988-08-13T00:00:00"/>
    <s v="Massachusetts"/>
    <s v="MA"/>
    <s v="Female"/>
    <s v="Married"/>
    <s v="Production Technician II"/>
    <s v="Active"/>
    <s v="Contract"/>
    <s v="Zone B"/>
    <s v="Production       "/>
    <s v="Wireline Construction"/>
    <s v="Hispanic"/>
    <s v="Fully Meets"/>
    <n v="3"/>
  </r>
  <r>
    <x v="612"/>
    <x v="1"/>
    <x v="324"/>
    <s v="28-37"/>
    <n v="32"/>
    <d v="1987-09-09T00:00:00"/>
    <s v="Massachusetts"/>
    <s v="MA"/>
    <s v="Female"/>
    <s v="Widowed"/>
    <s v="Production Technician II"/>
    <s v="Active"/>
    <s v="Part-Time"/>
    <s v="Zone C"/>
    <s v="Production       "/>
    <s v="Field Operations"/>
    <s v="Asian"/>
    <s v="Fully Meets"/>
    <n v="2"/>
  </r>
  <r>
    <x v="613"/>
    <x v="0"/>
    <x v="164"/>
    <s v="28-37"/>
    <n v="32"/>
    <d v="1986-05-30T00:00:00"/>
    <s v="Massachusetts"/>
    <s v="MA"/>
    <s v="Female"/>
    <s v="Single"/>
    <s v="Production Technician II"/>
    <s v="Active"/>
    <s v="Contract"/>
    <s v="Zone A"/>
    <s v="Production       "/>
    <s v="Aerial"/>
    <s v="Asian"/>
    <s v="Fully Meets"/>
    <n v="3"/>
  </r>
  <r>
    <x v="614"/>
    <x v="1"/>
    <x v="529"/>
    <s v="28-37"/>
    <n v="32"/>
    <d v="1987-01-07T00:00:00"/>
    <s v="Massachusetts"/>
    <s v="MA"/>
    <s v="Female"/>
    <s v="Divorced"/>
    <s v="Production Technician II"/>
    <s v="Active"/>
    <s v="Contract"/>
    <s v="Zone A"/>
    <s v="Production       "/>
    <s v="Aerial"/>
    <s v="Other"/>
    <s v="Fully Meets"/>
    <n v="1"/>
  </r>
  <r>
    <x v="615"/>
    <x v="4"/>
    <x v="530"/>
    <s v="28-37"/>
    <n v="32"/>
    <d v="1990-10-08T00:00:00"/>
    <s v="Massachusetts"/>
    <s v="MA"/>
    <s v="Male"/>
    <s v="Single"/>
    <s v="Production Technician II"/>
    <s v="Active"/>
    <s v="Part-Time"/>
    <s v="Zone C"/>
    <s v="Production       "/>
    <s v="Engineers"/>
    <s v="Asian"/>
    <s v="Exceeds"/>
    <n v="2"/>
  </r>
  <r>
    <x v="616"/>
    <x v="2"/>
    <x v="380"/>
    <s v="28-37"/>
    <n v="32"/>
    <d v="1988-03-07T00:00:00"/>
    <s v="Massachusetts"/>
    <s v="MA"/>
    <s v="Female"/>
    <s v="Married"/>
    <s v="Production Technician II"/>
    <s v="Terminated"/>
    <s v="Contract"/>
    <s v="Zone C"/>
    <s v="Production       "/>
    <s v="General - Eng"/>
    <s v="Other"/>
    <s v="Fully Meets"/>
    <n v="5"/>
  </r>
  <r>
    <x v="617"/>
    <x v="4"/>
    <x v="531"/>
    <s v="28-37"/>
    <n v="32"/>
    <d v="1990-09-11T00:00:00"/>
    <s v="Massachusetts"/>
    <s v="MA"/>
    <s v="Female"/>
    <s v="Married"/>
    <s v="Production Technician I"/>
    <s v="Active"/>
    <s v="Full-Time"/>
    <s v="Zone B"/>
    <s v="Production       "/>
    <s v="Field Operations"/>
    <s v="White"/>
    <s v="Fully Meets"/>
    <n v="3"/>
  </r>
  <r>
    <x v="618"/>
    <x v="5"/>
    <x v="532"/>
    <s v="28-37"/>
    <n v="32"/>
    <d v="1991-02-23T00:00:00"/>
    <s v="Massachusetts"/>
    <s v="MA"/>
    <s v="Female"/>
    <s v="Divorced"/>
    <s v="Production Technician I"/>
    <s v="Active"/>
    <s v="Contract"/>
    <s v="Zone B"/>
    <s v="Production       "/>
    <s v="Aerial"/>
    <s v="White"/>
    <s v="Fully Meets"/>
    <n v="3"/>
  </r>
  <r>
    <x v="619"/>
    <x v="4"/>
    <x v="533"/>
    <s v="28-37"/>
    <n v="32"/>
    <d v="1990-04-14T00:00:00"/>
    <s v="Massachusetts"/>
    <s v="MA"/>
    <s v="Male"/>
    <s v="Single"/>
    <s v="Production Technician I"/>
    <s v="Terminated"/>
    <s v="Full-Time"/>
    <s v="Zone A"/>
    <s v="Production       "/>
    <s v="Engineers"/>
    <s v="Asian"/>
    <s v="PIP"/>
    <n v="3"/>
  </r>
  <r>
    <x v="620"/>
    <x v="4"/>
    <x v="534"/>
    <s v="28-37"/>
    <n v="32"/>
    <d v="1990-04-02T00:00:00"/>
    <s v="Massachusetts"/>
    <s v="MA"/>
    <s v="Male"/>
    <s v="Widowed"/>
    <s v="Production Technician I"/>
    <s v="Active"/>
    <s v="Contract"/>
    <s v="Zone C"/>
    <s v="Production       "/>
    <s v="Catv"/>
    <s v="Hispanic"/>
    <s v="Fully Meets"/>
    <n v="1"/>
  </r>
  <r>
    <x v="621"/>
    <x v="1"/>
    <x v="535"/>
    <s v="28-37"/>
    <n v="32"/>
    <d v="1987-03-29T00:00:00"/>
    <s v="Massachusetts"/>
    <s v="MA"/>
    <s v="Female"/>
    <s v="Divorced"/>
    <s v="Production Technician I"/>
    <s v="Active"/>
    <s v="Part-Time"/>
    <s v="Zone B"/>
    <s v="Production       "/>
    <s v="Aerial"/>
    <s v="Asian"/>
    <s v="Fully Meets"/>
    <n v="2"/>
  </r>
  <r>
    <x v="622"/>
    <x v="1"/>
    <x v="536"/>
    <s v="28-37"/>
    <n v="32"/>
    <d v="1987-01-09T00:00:00"/>
    <s v="Massachusetts"/>
    <s v="MA"/>
    <s v="Female"/>
    <s v="Single"/>
    <s v="Production Technician I"/>
    <s v="Active"/>
    <s v="Contract"/>
    <s v="Zone A"/>
    <s v="Production       "/>
    <s v="Field Operations"/>
    <s v="Other"/>
    <s v="Fully Meets"/>
    <n v="4"/>
  </r>
  <r>
    <x v="623"/>
    <x v="0"/>
    <x v="81"/>
    <s v="28-37"/>
    <n v="32"/>
    <d v="1986-07-13T00:00:00"/>
    <s v="Massachusetts"/>
    <s v="MA"/>
    <s v="Male"/>
    <s v="Widowed"/>
    <s v="Production Technician I"/>
    <s v="Active"/>
    <s v="Full-Time"/>
    <s v="Zone C"/>
    <s v="Production       "/>
    <s v="General - Con"/>
    <s v="White"/>
    <s v="Fully Meets"/>
    <n v="4"/>
  </r>
  <r>
    <x v="624"/>
    <x v="1"/>
    <x v="537"/>
    <s v="28-37"/>
    <n v="32"/>
    <d v="1987-06-18T00:00:00"/>
    <s v="Massachusetts"/>
    <s v="MA"/>
    <s v="Female"/>
    <s v="Single"/>
    <s v="Production Technician I"/>
    <s v="Active"/>
    <s v="Full-Time"/>
    <s v="Zone C"/>
    <s v="Production       "/>
    <s v="General - Con"/>
    <s v="Black"/>
    <s v="Fully Meets"/>
    <n v="5"/>
  </r>
  <r>
    <x v="625"/>
    <x v="4"/>
    <x v="538"/>
    <s v="28-37"/>
    <n v="32"/>
    <d v="1990-08-30T00:00:00"/>
    <s v="Massachusetts"/>
    <s v="MA"/>
    <s v="Female"/>
    <s v="Married"/>
    <s v="Production Technician I"/>
    <s v="Active"/>
    <s v="Contract"/>
    <s v="Zone B"/>
    <s v="Production       "/>
    <s v="Fielders"/>
    <s v="Hispanic"/>
    <s v="PIP"/>
    <n v="1"/>
  </r>
  <r>
    <x v="626"/>
    <x v="1"/>
    <x v="539"/>
    <s v="28-37"/>
    <n v="32"/>
    <d v="1987-10-02T00:00:00"/>
    <s v="Massachusetts"/>
    <s v="MA"/>
    <s v="Female"/>
    <s v="Widowed"/>
    <s v="Production Technician I"/>
    <s v="Active"/>
    <s v="Contract"/>
    <s v="Zone C"/>
    <s v="Production       "/>
    <s v="Field Operations"/>
    <s v="Hispanic"/>
    <s v="Exceeds"/>
    <n v="3"/>
  </r>
  <r>
    <x v="627"/>
    <x v="2"/>
    <x v="540"/>
    <s v="28-37"/>
    <n v="32"/>
    <d v="1988-06-08T00:00:00"/>
    <s v="Massachusetts"/>
    <s v="MA"/>
    <s v="Female"/>
    <s v="Married"/>
    <s v="Production Technician I"/>
    <s v="Active"/>
    <s v="Part-Time"/>
    <s v="Zone A"/>
    <s v="Production       "/>
    <s v="Engineers"/>
    <s v="Asian"/>
    <s v="Fully Meets"/>
    <n v="1"/>
  </r>
  <r>
    <x v="628"/>
    <x v="0"/>
    <x v="10"/>
    <s v="28-37"/>
    <n v="32"/>
    <d v="1986-10-26T00:00:00"/>
    <s v="Massachusetts"/>
    <s v="MA"/>
    <s v="Female"/>
    <s v="Single"/>
    <s v="Production Technician I"/>
    <s v="Terminated"/>
    <s v="Full-Time"/>
    <s v="Zone B"/>
    <s v="Production       "/>
    <s v="Field Operations"/>
    <s v="White"/>
    <s v="Fully Meets"/>
    <n v="5"/>
  </r>
  <r>
    <x v="629"/>
    <x v="3"/>
    <x v="541"/>
    <s v="28-37"/>
    <n v="32"/>
    <d v="1989-02-09T00:00:00"/>
    <s v="Massachusetts"/>
    <s v="MA"/>
    <s v="Female"/>
    <s v="Divorced"/>
    <s v="Production Technician I"/>
    <s v="Active"/>
    <s v="Part-Time"/>
    <s v="Zone B"/>
    <s v="Production       "/>
    <s v="Engineers"/>
    <s v="White"/>
    <s v="Fully Meets"/>
    <n v="3"/>
  </r>
  <r>
    <x v="630"/>
    <x v="4"/>
    <x v="542"/>
    <s v="28-37"/>
    <n v="32"/>
    <d v="1990-08-15T00:00:00"/>
    <s v="Massachusetts"/>
    <s v="MA"/>
    <s v="Female"/>
    <s v="Widowed"/>
    <s v="Production Technician I"/>
    <s v="Terminated"/>
    <s v="Contract"/>
    <s v="Zone A"/>
    <s v="Production       "/>
    <s v="Shop (Fleet)"/>
    <s v="Other"/>
    <s v="Fully Meets"/>
    <n v="3"/>
  </r>
  <r>
    <x v="631"/>
    <x v="1"/>
    <x v="543"/>
    <s v="28-37"/>
    <n v="32"/>
    <d v="1987-09-18T00:00:00"/>
    <s v="Massachusetts"/>
    <s v="MA"/>
    <s v="Female"/>
    <s v="Single"/>
    <s v="Production Technician I"/>
    <s v="Active"/>
    <s v="Part-Time"/>
    <s v="Zone C"/>
    <s v="Production       "/>
    <s v="Engineers"/>
    <s v="Other"/>
    <s v="Exceeds"/>
    <n v="2"/>
  </r>
  <r>
    <x v="632"/>
    <x v="3"/>
    <x v="544"/>
    <s v="28-37"/>
    <n v="32"/>
    <d v="1989-08-06T00:00:00"/>
    <s v="Massachusetts"/>
    <s v="MA"/>
    <s v="Female"/>
    <s v="Married"/>
    <s v="Production Technician I"/>
    <s v="Active"/>
    <s v="Full-Time"/>
    <s v="Zone C"/>
    <s v="Production       "/>
    <s v="General - Con"/>
    <s v="Hispanic"/>
    <s v="Fully Meets"/>
    <n v="4"/>
  </r>
  <r>
    <x v="633"/>
    <x v="5"/>
    <x v="545"/>
    <s v="28-37"/>
    <n v="32"/>
    <d v="1991-03-04T00:00:00"/>
    <s v="Massachusetts"/>
    <s v="MA"/>
    <s v="Male"/>
    <s v="Widowed"/>
    <s v="Production Technician I"/>
    <s v="Active"/>
    <s v="Contract"/>
    <s v="Zone A"/>
    <s v="Production       "/>
    <s v="General - Con"/>
    <s v="Other"/>
    <s v="Exceeds"/>
    <n v="1"/>
  </r>
  <r>
    <x v="634"/>
    <x v="3"/>
    <x v="546"/>
    <s v="28-37"/>
    <n v="32"/>
    <d v="1989-03-08T00:00:00"/>
    <s v="Massachusetts"/>
    <s v="MA"/>
    <s v="Female"/>
    <s v="Widowed"/>
    <s v="Production Technician I"/>
    <s v="Active"/>
    <s v="Full-Time"/>
    <s v="Zone A"/>
    <s v="Production       "/>
    <s v="Billable Consultants"/>
    <s v="White"/>
    <s v="Exceeds"/>
    <n v="4"/>
  </r>
  <r>
    <x v="635"/>
    <x v="0"/>
    <x v="489"/>
    <s v="28-37"/>
    <n v="32"/>
    <d v="1986-12-28T00:00:00"/>
    <s v="Massachusetts"/>
    <s v="MA"/>
    <s v="Female"/>
    <s v="Divorced"/>
    <s v="Production Technician I"/>
    <s v="Active"/>
    <s v="Part-Time"/>
    <s v="Zone C"/>
    <s v="Production       "/>
    <s v="Splicing"/>
    <s v="White"/>
    <s v="Exceeds"/>
    <n v="2"/>
  </r>
  <r>
    <x v="636"/>
    <x v="1"/>
    <x v="547"/>
    <s v="28-37"/>
    <n v="32"/>
    <d v="1987-03-21T00:00:00"/>
    <s v="Massachusetts"/>
    <s v="MA"/>
    <s v="Female"/>
    <s v="Divorced"/>
    <s v="Production Technician I"/>
    <s v="Active"/>
    <s v="Part-Time"/>
    <s v="Zone C"/>
    <s v="Production       "/>
    <s v="Billable Consultants"/>
    <s v="Other"/>
    <s v="Fully Meets"/>
    <n v="2"/>
  </r>
  <r>
    <x v="637"/>
    <x v="4"/>
    <x v="548"/>
    <s v="28-37"/>
    <n v="32"/>
    <d v="1990-09-08T00:00:00"/>
    <s v="Massachusetts"/>
    <s v="MA"/>
    <s v="Male"/>
    <s v="Divorced"/>
    <s v="Production Technician I"/>
    <s v="Active"/>
    <s v="Part-Time"/>
    <s v="Zone A"/>
    <s v="Production       "/>
    <s v="Aerial"/>
    <s v="Black"/>
    <s v="Fully Meets"/>
    <n v="5"/>
  </r>
  <r>
    <x v="638"/>
    <x v="0"/>
    <x v="549"/>
    <s v="28-37"/>
    <n v="32"/>
    <d v="1986-08-26T00:00:00"/>
    <s v="Massachusetts"/>
    <s v="MA"/>
    <s v="Male"/>
    <s v="Single"/>
    <s v="Production Technician I"/>
    <s v="Active"/>
    <s v="Contract"/>
    <s v="Zone B"/>
    <s v="Production       "/>
    <s v="General - Sga"/>
    <s v="Asian"/>
    <s v="Fully Meets"/>
    <n v="4"/>
  </r>
  <r>
    <x v="639"/>
    <x v="0"/>
    <x v="550"/>
    <s v="28-37"/>
    <n v="32"/>
    <d v="1986-04-03T00:00:00"/>
    <s v="Massachusetts"/>
    <s v="MA"/>
    <s v="Female"/>
    <s v="Widowed"/>
    <s v="Production Manager"/>
    <s v="Active"/>
    <s v="Part-Time"/>
    <s v="Zone A"/>
    <s v="Production       "/>
    <s v="Fielders"/>
    <s v="Hispanic"/>
    <s v="Fully Meets"/>
    <n v="5"/>
  </r>
  <r>
    <x v="640"/>
    <x v="3"/>
    <x v="551"/>
    <s v="28-37"/>
    <n v="32"/>
    <d v="1989-03-12T00:00:00"/>
    <s v="Massachusetts"/>
    <s v="MA"/>
    <s v="Female"/>
    <s v="Married"/>
    <s v="Production Manager"/>
    <s v="Active"/>
    <s v="Full-Time"/>
    <s v="Zone A"/>
    <s v="Production       "/>
    <s v="Fielders"/>
    <s v="Asian"/>
    <s v="Fully Meets"/>
    <n v="4"/>
  </r>
  <r>
    <x v="641"/>
    <x v="5"/>
    <x v="499"/>
    <s v="28-37"/>
    <n v="32"/>
    <d v="1991-09-22T00:00:00"/>
    <s v="Massachusetts"/>
    <s v="MA"/>
    <s v="Male"/>
    <s v="Single"/>
    <s v="Production Manager"/>
    <s v="Active"/>
    <s v="Part-Time"/>
    <s v="Zone A"/>
    <s v="Production       "/>
    <s v="General - Con"/>
    <s v="Asian"/>
    <s v="Fully Meets"/>
    <n v="2"/>
  </r>
  <r>
    <x v="642"/>
    <x v="3"/>
    <x v="220"/>
    <s v="28-37"/>
    <n v="32"/>
    <d v="1989-01-25T00:00:00"/>
    <s v="Massachusetts"/>
    <s v="MA"/>
    <s v="Male"/>
    <s v="Single"/>
    <s v="Production Manager"/>
    <s v="Active"/>
    <s v="Full-Time"/>
    <s v="Zone C"/>
    <s v="Production       "/>
    <s v="Engineers"/>
    <s v="Other"/>
    <s v="Fully Meets"/>
    <n v="4"/>
  </r>
  <r>
    <x v="643"/>
    <x v="0"/>
    <x v="445"/>
    <s v="28-37"/>
    <n v="32"/>
    <d v="1986-10-21T00:00:00"/>
    <s v="Massachusetts"/>
    <s v="MA"/>
    <s v="Male"/>
    <s v="Widowed"/>
    <s v="Network Engineer"/>
    <s v="Active"/>
    <s v="Part-Time"/>
    <s v="Zone B"/>
    <s v="Executive Office"/>
    <s v="Catv"/>
    <s v="Other"/>
    <s v="Fully Meets"/>
    <n v="3"/>
  </r>
  <r>
    <x v="644"/>
    <x v="2"/>
    <x v="552"/>
    <s v="28-37"/>
    <n v="32"/>
    <d v="1988-05-05T00:00:00"/>
    <s v="Massachusetts"/>
    <s v="MA"/>
    <s v="Male"/>
    <s v="Single"/>
    <s v="Network Engineer"/>
    <s v="Active"/>
    <s v="Part-Time"/>
    <s v="Zone C"/>
    <s v="Executive Office"/>
    <s v="Project Management - Con"/>
    <s v="Asian"/>
    <s v="Fully Meets"/>
    <n v="2"/>
  </r>
  <r>
    <x v="645"/>
    <x v="1"/>
    <x v="330"/>
    <s v="28-37"/>
    <n v="32"/>
    <d v="1987-04-27T00:00:00"/>
    <s v="Massachusetts"/>
    <s v="MA"/>
    <s v="Female"/>
    <s v="Widowed"/>
    <s v="IT Support"/>
    <s v="Active"/>
    <s v="Full-Time"/>
    <s v="Zone B"/>
    <s v="IT/IS"/>
    <s v="Engineers"/>
    <s v="Black"/>
    <s v="Fully Meets"/>
    <n v="2"/>
  </r>
  <r>
    <x v="646"/>
    <x v="4"/>
    <x v="553"/>
    <s v="28-37"/>
    <n v="32"/>
    <d v="1990-02-14T00:00:00"/>
    <s v="Massachusetts"/>
    <s v="MA"/>
    <s v="Male"/>
    <s v="Married"/>
    <s v="IT Director"/>
    <s v="Active"/>
    <s v="Part-Time"/>
    <s v="Zone A"/>
    <s v="IT/IS"/>
    <s v="Finance &amp; Accounting"/>
    <s v="Other"/>
    <s v="Fully Meets"/>
    <n v="4"/>
  </r>
  <r>
    <x v="647"/>
    <x v="0"/>
    <x v="136"/>
    <s v="28-37"/>
    <n v="32"/>
    <d v="1986-01-07T00:00:00"/>
    <s v="Texas"/>
    <s v="TX"/>
    <s v="Male"/>
    <s v="Married"/>
    <s v="Data Architect"/>
    <s v="Terminated"/>
    <s v="Part-Time"/>
    <s v="Zone C"/>
    <s v="IT/IS"/>
    <s v="General - Eng"/>
    <s v="Other"/>
    <s v="Exceeds"/>
    <n v="5"/>
  </r>
  <r>
    <x v="648"/>
    <x v="3"/>
    <x v="50"/>
    <s v="28-37"/>
    <n v="32"/>
    <d v="1989-02-11T00:00:00"/>
    <s v="Massachusetts"/>
    <s v="MA"/>
    <s v="Female"/>
    <s v="Divorced"/>
    <s v="BI Director"/>
    <s v="Active"/>
    <s v="Part-Time"/>
    <s v="Zone A"/>
    <s v="IT/IS"/>
    <s v="Field Operations"/>
    <s v="Asian"/>
    <s v="Fully Meets"/>
    <n v="3"/>
  </r>
  <r>
    <x v="649"/>
    <x v="2"/>
    <x v="554"/>
    <s v="28-37"/>
    <n v="32"/>
    <d v="1988-07-24T00:00:00"/>
    <s v="Massachusetts"/>
    <s v="MA"/>
    <s v="Male"/>
    <s v="Single"/>
    <s v="Area Sales Manager"/>
    <s v="Active"/>
    <s v="Full-Time"/>
    <s v="Zone C"/>
    <s v="Sales"/>
    <s v="Field Operations"/>
    <s v="Other"/>
    <s v="Fully Meets"/>
    <n v="1"/>
  </r>
  <r>
    <x v="650"/>
    <x v="4"/>
    <x v="555"/>
    <s v="28-37"/>
    <n v="32"/>
    <d v="1990-11-14T00:00:00"/>
    <s v="Indiana"/>
    <s v="IN"/>
    <s v="Male"/>
    <s v="Widowed"/>
    <s v="Area Sales Manager"/>
    <s v="Active"/>
    <s v="Part-Time"/>
    <s v="Zone C"/>
    <s v="Sales"/>
    <s v="Fielders"/>
    <s v="Other"/>
    <s v="Fully Meets"/>
    <n v="1"/>
  </r>
  <r>
    <x v="651"/>
    <x v="0"/>
    <x v="556"/>
    <s v="28-37"/>
    <n v="32"/>
    <d v="1986-04-07T00:00:00"/>
    <s v="Arizona"/>
    <s v="AZ"/>
    <s v="Male"/>
    <s v="Single"/>
    <s v="Area Sales Manager"/>
    <s v="Active"/>
    <s v="Full-Time"/>
    <s v="Zone A"/>
    <s v="Sales"/>
    <s v="General - Con"/>
    <s v="Other"/>
    <s v="Fully Meets"/>
    <n v="5"/>
  </r>
  <r>
    <x v="652"/>
    <x v="4"/>
    <x v="517"/>
    <s v="28-37"/>
    <n v="32"/>
    <d v="1990-07-13T00:00:00"/>
    <s v="Alabama"/>
    <s v="AL"/>
    <s v="Male"/>
    <s v="Single"/>
    <s v="Area Sales Manager"/>
    <s v="Active"/>
    <s v="Part-Time"/>
    <s v="Zone B"/>
    <s v="Sales"/>
    <s v="General - Con"/>
    <s v="Black"/>
    <s v="Fully Meets"/>
    <n v="3"/>
  </r>
  <r>
    <x v="653"/>
    <x v="4"/>
    <x v="557"/>
    <s v="28-37"/>
    <n v="32"/>
    <d v="1990-03-01T00:00:00"/>
    <s v="Massachusetts"/>
    <s v="MA"/>
    <s v="Female"/>
    <s v="Divorced"/>
    <s v="Accountant I"/>
    <s v="Active"/>
    <s v="Full-Time"/>
    <s v="Zone A"/>
    <s v="Admin Offices"/>
    <s v="General - Con"/>
    <s v="White"/>
    <s v="Fully Meets"/>
    <n v="5"/>
  </r>
  <r>
    <x v="654"/>
    <x v="5"/>
    <x v="558"/>
    <s v="28-37"/>
    <n v="33"/>
    <d v="1990-12-20T00:00:00"/>
    <s v="Massachusetts"/>
    <s v="MA"/>
    <s v="Female"/>
    <s v="Widowed"/>
    <s v="Software Engineer"/>
    <s v="Terminated"/>
    <s v="Contract"/>
    <s v="Zone C"/>
    <s v="Software Engineering"/>
    <s v="Field Operations"/>
    <s v="Black"/>
    <s v="Fully Meets"/>
    <n v="1"/>
  </r>
  <r>
    <x v="655"/>
    <x v="0"/>
    <x v="229"/>
    <s v="28-37"/>
    <n v="33"/>
    <d v="1985-04-21T00:00:00"/>
    <s v="Massachusetts"/>
    <s v="MA"/>
    <s v="Male"/>
    <s v="Widowed"/>
    <s v="Senior BI Developer"/>
    <s v="Active"/>
    <s v="Full-Time"/>
    <s v="Zone A"/>
    <s v="IT/IS"/>
    <s v="General - Con"/>
    <s v="Other"/>
    <s v="Fully Meets"/>
    <n v="1"/>
  </r>
  <r>
    <x v="656"/>
    <x v="4"/>
    <x v="508"/>
    <s v="28-37"/>
    <n v="33"/>
    <d v="1989-09-08T00:00:00"/>
    <s v="Massachusetts"/>
    <s v="MA"/>
    <s v="Female"/>
    <s v="Single"/>
    <s v="Sales Manager"/>
    <s v="Active"/>
    <s v="Contract"/>
    <s v="Zone A"/>
    <s v="IT/IS"/>
    <s v="Project Management - Con"/>
    <s v="Other"/>
    <s v="Fully Meets"/>
    <n v="1"/>
  </r>
  <r>
    <x v="657"/>
    <x v="1"/>
    <x v="559"/>
    <s v="28-37"/>
    <n v="33"/>
    <d v="1986-02-03T00:00:00"/>
    <s v="Massachusetts"/>
    <s v="MA"/>
    <s v="Male"/>
    <s v="Widowed"/>
    <s v="Sales Manager"/>
    <s v="Active"/>
    <s v="Contract"/>
    <s v="Zone B"/>
    <s v="IT/IS"/>
    <s v="Catv"/>
    <s v="Black"/>
    <s v="Fully Meets"/>
    <n v="2"/>
  </r>
  <r>
    <x v="658"/>
    <x v="1"/>
    <x v="560"/>
    <s v="28-37"/>
    <n v="33"/>
    <d v="1986-01-11T00:00:00"/>
    <s v="Massachusetts"/>
    <s v="MA"/>
    <s v="Male"/>
    <s v="Single"/>
    <s v="Production Technician II"/>
    <s v="Active"/>
    <s v="Contract"/>
    <s v="Zone B"/>
    <s v="Production       "/>
    <s v="Engineers"/>
    <s v="White"/>
    <s v="Fully Meets"/>
    <n v="1"/>
  </r>
  <r>
    <x v="659"/>
    <x v="2"/>
    <x v="216"/>
    <s v="28-37"/>
    <n v="33"/>
    <d v="1987-12-10T00:00:00"/>
    <s v="Massachusetts"/>
    <s v="MA"/>
    <s v="Male"/>
    <s v="Divorced"/>
    <s v="Production Technician II"/>
    <s v="Active"/>
    <s v="Part-Time"/>
    <s v="Zone A"/>
    <s v="Production       "/>
    <s v="Yard (Material Handling)"/>
    <s v="Black"/>
    <s v="Fully Meets"/>
    <n v="4"/>
  </r>
  <r>
    <x v="660"/>
    <x v="2"/>
    <x v="561"/>
    <s v="28-37"/>
    <n v="33"/>
    <d v="1987-12-28T00:00:00"/>
    <s v="Massachusetts"/>
    <s v="MA"/>
    <s v="Female"/>
    <s v="Married"/>
    <s v="Production Technician II"/>
    <s v="Terminated"/>
    <s v="Contract"/>
    <s v="Zone A"/>
    <s v="Production       "/>
    <s v="General - Con"/>
    <s v="Hispanic"/>
    <s v="Fully Meets"/>
    <n v="5"/>
  </r>
  <r>
    <x v="661"/>
    <x v="2"/>
    <x v="37"/>
    <s v="28-37"/>
    <n v="33"/>
    <d v="1987-04-27T00:00:00"/>
    <s v="Massachusetts"/>
    <s v="MA"/>
    <s v="Female"/>
    <s v="Married"/>
    <s v="Production Technician II"/>
    <s v="Terminated"/>
    <s v="Full-Time"/>
    <s v="Zone A"/>
    <s v="Production       "/>
    <s v="Shop (Fleet)"/>
    <s v="Black"/>
    <s v="Fully Meets"/>
    <n v="1"/>
  </r>
  <r>
    <x v="662"/>
    <x v="2"/>
    <x v="562"/>
    <s v="28-37"/>
    <n v="33"/>
    <d v="1987-10-16T00:00:00"/>
    <s v="Massachusetts"/>
    <s v="MA"/>
    <s v="Female"/>
    <s v="Married"/>
    <s v="Production Technician II"/>
    <s v="Active"/>
    <s v="Part-Time"/>
    <s v="Zone B"/>
    <s v="Production       "/>
    <s v="Engineers"/>
    <s v="Asian"/>
    <s v="Fully Meets"/>
    <n v="5"/>
  </r>
  <r>
    <x v="663"/>
    <x v="4"/>
    <x v="259"/>
    <s v="28-37"/>
    <n v="33"/>
    <d v="1989-01-25T00:00:00"/>
    <s v="Massachusetts"/>
    <s v="MA"/>
    <s v="Female"/>
    <s v="Married"/>
    <s v="Production Technician II"/>
    <s v="Active"/>
    <s v="Part-Time"/>
    <s v="Zone A"/>
    <s v="Production       "/>
    <s v="Wireline Construction"/>
    <s v="White"/>
    <s v="Fully Meets"/>
    <n v="5"/>
  </r>
  <r>
    <x v="664"/>
    <x v="4"/>
    <x v="563"/>
    <s v="28-37"/>
    <n v="33"/>
    <d v="1989-02-19T00:00:00"/>
    <s v="Massachusetts"/>
    <s v="MA"/>
    <s v="Male"/>
    <s v="Married"/>
    <s v="Production Technician II"/>
    <s v="Terminated"/>
    <s v="Part-Time"/>
    <s v="Zone C"/>
    <s v="Production       "/>
    <s v="Field Operations"/>
    <s v="Black"/>
    <s v="Fully Meets"/>
    <n v="5"/>
  </r>
  <r>
    <x v="665"/>
    <x v="4"/>
    <x v="564"/>
    <s v="28-37"/>
    <n v="33"/>
    <d v="1989-09-26T00:00:00"/>
    <s v="Massachusetts"/>
    <s v="MA"/>
    <s v="Female"/>
    <s v="Widowed"/>
    <s v="Production Technician II"/>
    <s v="Active"/>
    <s v="Contract"/>
    <s v="Zone C"/>
    <s v="Production       "/>
    <s v="Aerial"/>
    <s v="Other"/>
    <s v="Fully Meets"/>
    <n v="4"/>
  </r>
  <r>
    <x v="666"/>
    <x v="5"/>
    <x v="439"/>
    <s v="28-37"/>
    <n v="33"/>
    <d v="1990-08-20T00:00:00"/>
    <s v="Massachusetts"/>
    <s v="MA"/>
    <s v="Male"/>
    <s v="Single"/>
    <s v="Production Technician II"/>
    <s v="Active"/>
    <s v="Full-Time"/>
    <s v="Zone C"/>
    <s v="Production       "/>
    <s v="Engineers"/>
    <s v="Black"/>
    <s v="Needs Improvement"/>
    <n v="5"/>
  </r>
  <r>
    <x v="667"/>
    <x v="2"/>
    <x v="565"/>
    <s v="28-37"/>
    <n v="33"/>
    <d v="1987-03-22T00:00:00"/>
    <s v="Massachusetts"/>
    <s v="MA"/>
    <s v="Female"/>
    <s v="Married"/>
    <s v="Production Technician II"/>
    <s v="Active"/>
    <s v="Part-Time"/>
    <s v="Zone A"/>
    <s v="Production       "/>
    <s v="Project Management - Con"/>
    <s v="White"/>
    <s v="Fully Meets"/>
    <n v="2"/>
  </r>
  <r>
    <x v="668"/>
    <x v="4"/>
    <x v="566"/>
    <s v="28-37"/>
    <n v="33"/>
    <d v="1989-08-01T00:00:00"/>
    <s v="Massachusetts"/>
    <s v="MA"/>
    <s v="Male"/>
    <s v="Divorced"/>
    <s v="Production Technician I"/>
    <s v="Active"/>
    <s v="Part-Time"/>
    <s v="Zone A"/>
    <s v="Production       "/>
    <s v="General - Sga"/>
    <s v="White"/>
    <s v="Exceeds"/>
    <n v="3"/>
  </r>
  <r>
    <x v="669"/>
    <x v="2"/>
    <x v="567"/>
    <s v="28-37"/>
    <n v="33"/>
    <d v="1987-11-07T00:00:00"/>
    <s v="Massachusetts"/>
    <s v="MA"/>
    <s v="Female"/>
    <s v="Married"/>
    <s v="Production Technician I"/>
    <s v="Active"/>
    <s v="Contract"/>
    <s v="Zone C"/>
    <s v="Production       "/>
    <s v="Field Operations"/>
    <s v="Other"/>
    <s v="Fully Meets"/>
    <n v="2"/>
  </r>
  <r>
    <x v="670"/>
    <x v="2"/>
    <x v="568"/>
    <s v="28-37"/>
    <n v="33"/>
    <d v="1987-05-14T00:00:00"/>
    <s v="Massachusetts"/>
    <s v="MA"/>
    <s v="Male"/>
    <s v="Single"/>
    <s v="Production Technician I"/>
    <s v="Active"/>
    <s v="Contract"/>
    <s v="Zone A"/>
    <s v="Production       "/>
    <s v="Wireline Construction"/>
    <s v="Other"/>
    <s v="PIP"/>
    <n v="3"/>
  </r>
  <r>
    <x v="671"/>
    <x v="4"/>
    <x v="569"/>
    <s v="28-37"/>
    <n v="33"/>
    <d v="1989-09-30T00:00:00"/>
    <s v="Massachusetts"/>
    <s v="MA"/>
    <s v="Female"/>
    <s v="Widowed"/>
    <s v="Production Technician I"/>
    <s v="Active"/>
    <s v="Contract"/>
    <s v="Zone B"/>
    <s v="Production       "/>
    <s v="General - Con"/>
    <s v="Other"/>
    <s v="Fully Meets"/>
    <n v="2"/>
  </r>
  <r>
    <x v="672"/>
    <x v="3"/>
    <x v="570"/>
    <s v="28-37"/>
    <n v="33"/>
    <d v="1988-02-21T00:00:00"/>
    <s v="Massachusetts"/>
    <s v="MA"/>
    <s v="Male"/>
    <s v="Divorced"/>
    <s v="Production Technician I"/>
    <s v="Active"/>
    <s v="Part-Time"/>
    <s v="Zone A"/>
    <s v="Production       "/>
    <s v="Engineers"/>
    <s v="White"/>
    <s v="Fully Meets"/>
    <n v="1"/>
  </r>
  <r>
    <x v="673"/>
    <x v="3"/>
    <x v="314"/>
    <s v="28-37"/>
    <n v="33"/>
    <d v="1988-12-22T00:00:00"/>
    <s v="Massachusetts"/>
    <s v="MA"/>
    <s v="Female"/>
    <s v="Married"/>
    <s v="Production Technician I"/>
    <s v="Active"/>
    <s v="Full-Time"/>
    <s v="Zone B"/>
    <s v="Production       "/>
    <s v="Field Operations"/>
    <s v="Asian"/>
    <s v="Exceeds"/>
    <n v="1"/>
  </r>
  <r>
    <x v="674"/>
    <x v="3"/>
    <x v="571"/>
    <s v="28-37"/>
    <n v="33"/>
    <d v="1988-11-22T00:00:00"/>
    <s v="Massachusetts"/>
    <s v="MA"/>
    <s v="Female"/>
    <s v="Divorced"/>
    <s v="Production Technician I"/>
    <s v="Active"/>
    <s v="Part-Time"/>
    <s v="Zone C"/>
    <s v="Production       "/>
    <s v="Field Operations"/>
    <s v="Other"/>
    <s v="Exceeds"/>
    <n v="3"/>
  </r>
  <r>
    <x v="675"/>
    <x v="4"/>
    <x v="572"/>
    <s v="28-37"/>
    <n v="33"/>
    <d v="1989-08-02T00:00:00"/>
    <s v="Massachusetts"/>
    <s v="MA"/>
    <s v="Female"/>
    <s v="Married"/>
    <s v="Production Technician I"/>
    <s v="Active"/>
    <s v="Part-Time"/>
    <s v="Zone B"/>
    <s v="Production       "/>
    <s v="Project Management - Con"/>
    <s v="Asian"/>
    <s v="Fully Meets"/>
    <n v="3"/>
  </r>
  <r>
    <x v="676"/>
    <x v="5"/>
    <x v="573"/>
    <s v="28-37"/>
    <n v="33"/>
    <d v="1990-09-12T00:00:00"/>
    <s v="Massachusetts"/>
    <s v="MA"/>
    <s v="Female"/>
    <s v="Single"/>
    <s v="Production Technician I"/>
    <s v="Active"/>
    <s v="Contract"/>
    <s v="Zone B"/>
    <s v="Production       "/>
    <s v="Field Operations"/>
    <s v="Black"/>
    <s v="Fully Meets"/>
    <n v="5"/>
  </r>
  <r>
    <x v="677"/>
    <x v="2"/>
    <x v="574"/>
    <s v="28-37"/>
    <n v="33"/>
    <d v="1987-08-13T00:00:00"/>
    <s v="Massachusetts"/>
    <s v="MA"/>
    <s v="Male"/>
    <s v="Married"/>
    <s v="Production Technician I"/>
    <s v="Active"/>
    <s v="Part-Time"/>
    <s v="Zone B"/>
    <s v="Production       "/>
    <s v="Engineers"/>
    <s v="White"/>
    <s v="Exceeds"/>
    <n v="1"/>
  </r>
  <r>
    <x v="678"/>
    <x v="2"/>
    <x v="92"/>
    <s v="28-37"/>
    <n v="33"/>
    <d v="1987-09-18T00:00:00"/>
    <s v="Massachusetts"/>
    <s v="MA"/>
    <s v="Female"/>
    <s v="Widowed"/>
    <s v="Production Technician I"/>
    <s v="Active"/>
    <s v="Full-Time"/>
    <s v="Zone A"/>
    <s v="Production       "/>
    <s v="General - Con"/>
    <s v="Hispanic"/>
    <s v="Fully Meets"/>
    <n v="3"/>
  </r>
  <r>
    <x v="679"/>
    <x v="1"/>
    <x v="575"/>
    <s v="28-37"/>
    <n v="33"/>
    <d v="1986-01-28T00:00:00"/>
    <s v="Massachusetts"/>
    <s v="MA"/>
    <s v="Female"/>
    <s v="Single"/>
    <s v="Production Technician I"/>
    <s v="Active"/>
    <s v="Part-Time"/>
    <s v="Zone B"/>
    <s v="Production       "/>
    <s v="General - Con"/>
    <s v="White"/>
    <s v="Needs Improvement"/>
    <n v="5"/>
  </r>
  <r>
    <x v="680"/>
    <x v="4"/>
    <x v="300"/>
    <s v="28-37"/>
    <n v="33"/>
    <d v="1989-05-27T00:00:00"/>
    <s v="Massachusetts"/>
    <s v="MA"/>
    <s v="Male"/>
    <s v="Married"/>
    <s v="Production Technician I"/>
    <s v="Active"/>
    <s v="Full-Time"/>
    <s v="Zone C"/>
    <s v="Production       "/>
    <s v="Field Operations"/>
    <s v="Hispanic"/>
    <s v="Needs Improvement"/>
    <n v="2"/>
  </r>
  <r>
    <x v="681"/>
    <x v="3"/>
    <x v="576"/>
    <s v="28-37"/>
    <n v="33"/>
    <d v="1988-10-12T00:00:00"/>
    <s v="Massachusetts"/>
    <s v="MA"/>
    <s v="Female"/>
    <s v="Divorced"/>
    <s v="Production Technician I"/>
    <s v="Active"/>
    <s v="Full-Time"/>
    <s v="Zone B"/>
    <s v="Production       "/>
    <s v="General - Sga"/>
    <s v="White"/>
    <s v="Exceeds"/>
    <n v="4"/>
  </r>
  <r>
    <x v="682"/>
    <x v="3"/>
    <x v="577"/>
    <s v="28-37"/>
    <n v="33"/>
    <d v="1988-09-09T00:00:00"/>
    <s v="Massachusetts"/>
    <s v="MA"/>
    <s v="Female"/>
    <s v="Divorced"/>
    <s v="Production Technician I"/>
    <s v="Active"/>
    <s v="Part-Time"/>
    <s v="Zone B"/>
    <s v="Production       "/>
    <s v="Underground"/>
    <s v="White"/>
    <s v="Fully Meets"/>
    <n v="3"/>
  </r>
  <r>
    <x v="683"/>
    <x v="3"/>
    <x v="578"/>
    <s v="28-37"/>
    <n v="33"/>
    <d v="1988-08-11T00:00:00"/>
    <s v="Massachusetts"/>
    <s v="MA"/>
    <s v="Female"/>
    <s v="Single"/>
    <s v="Production Technician I"/>
    <s v="Active"/>
    <s v="Part-Time"/>
    <s v="Zone C"/>
    <s v="Production       "/>
    <s v="Engineers"/>
    <s v="Black"/>
    <s v="Fully Meets"/>
    <n v="3"/>
  </r>
  <r>
    <x v="684"/>
    <x v="3"/>
    <x v="579"/>
    <s v="28-37"/>
    <n v="33"/>
    <d v="1988-10-24T00:00:00"/>
    <s v="Massachusetts"/>
    <s v="MA"/>
    <s v="Male"/>
    <s v="Single"/>
    <s v="Production Manager"/>
    <s v="Active"/>
    <s v="Full-Time"/>
    <s v="Zone C"/>
    <s v="Production       "/>
    <s v="General - Con"/>
    <s v="Asian"/>
    <s v="Fully Meets"/>
    <n v="5"/>
  </r>
  <r>
    <x v="685"/>
    <x v="0"/>
    <x v="2"/>
    <s v="28-37"/>
    <n v="33"/>
    <d v="1985-03-06T00:00:00"/>
    <s v="Massachusetts"/>
    <s v="MA"/>
    <s v="Female"/>
    <s v="Married"/>
    <s v="Production Manager"/>
    <s v="Terminated"/>
    <s v="Contract"/>
    <s v="Zone A"/>
    <s v="Production       "/>
    <s v="Catv"/>
    <s v="White"/>
    <s v="Fully Meets"/>
    <n v="2"/>
  </r>
  <r>
    <x v="686"/>
    <x v="1"/>
    <x v="580"/>
    <s v="28-37"/>
    <n v="33"/>
    <d v="1986-06-17T00:00:00"/>
    <s v="Massachusetts"/>
    <s v="MA"/>
    <s v="Female"/>
    <s v="Married"/>
    <s v="Production Manager"/>
    <s v="Active"/>
    <s v="Full-Time"/>
    <s v="Zone A"/>
    <s v="Production       "/>
    <s v="Engineers"/>
    <s v="Other"/>
    <s v="Fully Meets"/>
    <n v="2"/>
  </r>
  <r>
    <x v="687"/>
    <x v="3"/>
    <x v="581"/>
    <s v="28-37"/>
    <n v="33"/>
    <d v="1988-02-05T00:00:00"/>
    <s v="Massachusetts"/>
    <s v="MA"/>
    <s v="Male"/>
    <s v="Single"/>
    <s v="Network Engineer"/>
    <s v="Active"/>
    <s v="Part-Time"/>
    <s v="Zone A"/>
    <s v="Executive Office"/>
    <s v="Project Management - Eng"/>
    <s v="Hispanic"/>
    <s v="Fully Meets"/>
    <n v="2"/>
  </r>
  <r>
    <x v="688"/>
    <x v="1"/>
    <x v="297"/>
    <s v="28-37"/>
    <n v="33"/>
    <d v="1986-07-11T00:00:00"/>
    <s v="Massachusetts"/>
    <s v="MA"/>
    <s v="Female"/>
    <s v="Married"/>
    <s v="IT Support"/>
    <s v="Active"/>
    <s v="Part-Time"/>
    <s v="Zone C"/>
    <s v="IT/IS"/>
    <s v="Splicing"/>
    <s v="Black"/>
    <s v="Needs Improvement"/>
    <n v="5"/>
  </r>
  <r>
    <x v="689"/>
    <x v="3"/>
    <x v="582"/>
    <s v="28-37"/>
    <n v="33"/>
    <d v="1988-10-22T00:00:00"/>
    <s v="Massachusetts"/>
    <s v="MA"/>
    <s v="Male"/>
    <s v="Married"/>
    <s v="IT Manager - Support"/>
    <s v="Active"/>
    <s v="Contract"/>
    <s v="Zone B"/>
    <s v="IT/IS"/>
    <s v="General - Eng"/>
    <s v="White"/>
    <s v="Fully Meets"/>
    <n v="3"/>
  </r>
  <r>
    <x v="690"/>
    <x v="4"/>
    <x v="583"/>
    <s v="28-37"/>
    <n v="33"/>
    <d v="1989-01-31T00:00:00"/>
    <s v="Massachusetts"/>
    <s v="MA"/>
    <s v="Male"/>
    <s v="Married"/>
    <s v="IT Director"/>
    <s v="Active"/>
    <s v="Contract"/>
    <s v="Zone A"/>
    <s v="IT/IS"/>
    <s v="Field Operations"/>
    <s v="Other"/>
    <s v="Fully Meets"/>
    <n v="4"/>
  </r>
  <r>
    <x v="691"/>
    <x v="4"/>
    <x v="511"/>
    <s v="28-37"/>
    <n v="33"/>
    <d v="1989-07-25T00:00:00"/>
    <s v="Massachusetts"/>
    <s v="MA"/>
    <s v="Male"/>
    <s v="Widowed"/>
    <s v="Director of Operations"/>
    <s v="Active"/>
    <s v="Full-Time"/>
    <s v="Zone C"/>
    <s v="IT/IS"/>
    <s v="Field Operations"/>
    <s v="Hispanic"/>
    <s v="Fully Meets"/>
    <n v="1"/>
  </r>
  <r>
    <x v="692"/>
    <x v="0"/>
    <x v="15"/>
    <s v="28-37"/>
    <n v="33"/>
    <d v="1985-08-30T00:00:00"/>
    <s v="Massachusetts"/>
    <s v="MA"/>
    <s v="Male"/>
    <s v="Married"/>
    <s v="Data Analyst"/>
    <s v="Active"/>
    <s v="Full-Time"/>
    <s v="Zone B"/>
    <s v="IT/IS"/>
    <s v="Field Operations"/>
    <s v="White"/>
    <s v="Fully Meets"/>
    <n v="3"/>
  </r>
  <r>
    <x v="693"/>
    <x v="1"/>
    <x v="474"/>
    <s v="28-37"/>
    <n v="33"/>
    <d v="1986-02-19T00:00:00"/>
    <s v="Massachusetts"/>
    <s v="MA"/>
    <s v="Female"/>
    <s v="Single"/>
    <s v="BI Developer"/>
    <s v="Active"/>
    <s v="Full-Time"/>
    <s v="Zone C"/>
    <s v="IT/IS"/>
    <s v="Wireline Construction"/>
    <s v="Hispanic"/>
    <s v="Fully Meets"/>
    <n v="4"/>
  </r>
  <r>
    <x v="694"/>
    <x v="2"/>
    <x v="416"/>
    <s v="28-37"/>
    <n v="33"/>
    <d v="1987-01-02T00:00:00"/>
    <s v="Virginia"/>
    <s v="VA"/>
    <s v="Female"/>
    <s v="Divorced"/>
    <s v="Area Sales Manager"/>
    <s v="Terminated"/>
    <s v="Contract"/>
    <s v="Zone A"/>
    <s v="Sales"/>
    <s v="Field Operations"/>
    <s v="Black"/>
    <s v="Fully Meets"/>
    <n v="4"/>
  </r>
  <r>
    <x v="695"/>
    <x v="2"/>
    <x v="584"/>
    <s v="28-37"/>
    <n v="33"/>
    <d v="1987-09-26T00:00:00"/>
    <s v="Tennessee"/>
    <s v="TN"/>
    <s v="Male"/>
    <s v="Married"/>
    <s v="Area Sales Manager"/>
    <s v="Active"/>
    <s v="Part-Time"/>
    <s v="Zone C"/>
    <s v="Sales"/>
    <s v="General - Sga"/>
    <s v="White"/>
    <s v="Fully Meets"/>
    <n v="5"/>
  </r>
  <r>
    <x v="696"/>
    <x v="5"/>
    <x v="585"/>
    <s v="28-37"/>
    <n v="33"/>
    <d v="1990-05-26T00:00:00"/>
    <s v="Tennessee"/>
    <s v="TN"/>
    <s v="Male"/>
    <s v="Divorced"/>
    <s v="Area Sales Manager"/>
    <s v="Active"/>
    <s v="Full-Time"/>
    <s v="Zone C"/>
    <s v="Sales"/>
    <s v="Wireline Construction"/>
    <s v="Other"/>
    <s v="Fully Meets"/>
    <n v="3"/>
  </r>
  <r>
    <x v="697"/>
    <x v="4"/>
    <x v="586"/>
    <s v="28-37"/>
    <n v="33"/>
    <d v="1989-04-07T00:00:00"/>
    <s v="Maine"/>
    <s v="ME"/>
    <s v="Male"/>
    <s v="Single"/>
    <s v="Area Sales Manager"/>
    <s v="Active"/>
    <s v="Contract"/>
    <s v="Zone A"/>
    <s v="Sales"/>
    <s v="Shop (Fleet)"/>
    <s v="Black"/>
    <s v="Fully Meets"/>
    <n v="5"/>
  </r>
  <r>
    <x v="698"/>
    <x v="3"/>
    <x v="587"/>
    <s v="28-37"/>
    <n v="33"/>
    <d v="1988-09-26T00:00:00"/>
    <s v="Massachusetts"/>
    <s v="MA"/>
    <s v="Male"/>
    <s v="Single"/>
    <s v="Area Sales Manager"/>
    <s v="Active"/>
    <s v="Full-Time"/>
    <s v="Zone C"/>
    <s v="IT/IS"/>
    <s v="Safety"/>
    <s v="Hispanic"/>
    <s v="Fully Meets"/>
    <n v="4"/>
  </r>
  <r>
    <x v="699"/>
    <x v="2"/>
    <x v="588"/>
    <s v="28-37"/>
    <n v="33"/>
    <d v="1987-05-14T00:00:00"/>
    <s v="Kentucky"/>
    <s v="KY"/>
    <s v="Female"/>
    <s v="Divorced"/>
    <s v="Area Sales Manager"/>
    <s v="Active"/>
    <s v="Contract"/>
    <s v="Zone A"/>
    <s v="Sales"/>
    <s v="Fielders"/>
    <s v="Asian"/>
    <s v="Exceeds"/>
    <n v="3"/>
  </r>
  <r>
    <x v="700"/>
    <x v="4"/>
    <x v="589"/>
    <s v="28-37"/>
    <n v="33"/>
    <d v="1989-01-02T00:00:00"/>
    <s v="Georgia"/>
    <s v="GA"/>
    <s v="Female"/>
    <s v="Single"/>
    <s v="Area Sales Manager"/>
    <s v="Active"/>
    <s v="Contract"/>
    <s v="Zone C"/>
    <s v="Sales"/>
    <s v="General - Sga"/>
    <s v="Black"/>
    <s v="Fully Meets"/>
    <n v="2"/>
  </r>
  <r>
    <x v="701"/>
    <x v="1"/>
    <x v="590"/>
    <s v="28-37"/>
    <n v="34"/>
    <d v="1985-05-24T00:00:00"/>
    <s v="Massachusetts"/>
    <s v="MA"/>
    <s v="Female"/>
    <s v="Single"/>
    <s v="Sr. Network Engineer"/>
    <s v="Active"/>
    <s v="Contract"/>
    <s v="Zone B"/>
    <s v="IT/IS"/>
    <s v="General - Eng"/>
    <s v="Hispanic"/>
    <s v="Fully Meets"/>
    <n v="3"/>
  </r>
  <r>
    <x v="702"/>
    <x v="5"/>
    <x v="591"/>
    <s v="28-37"/>
    <n v="34"/>
    <d v="1989-09-04T00:00:00"/>
    <s v="Massachusetts"/>
    <s v="MA"/>
    <s v="Male"/>
    <s v="Married"/>
    <s v="Software Engineer"/>
    <s v="Active"/>
    <s v="Contract"/>
    <s v="Zone B"/>
    <s v="Software Engineering"/>
    <s v="Project Management - Con"/>
    <s v="Asian"/>
    <s v="Fully Meets"/>
    <n v="5"/>
  </r>
  <r>
    <x v="703"/>
    <x v="5"/>
    <x v="592"/>
    <s v="28-37"/>
    <n v="34"/>
    <d v="1989-08-12T00:00:00"/>
    <s v="Massachusetts"/>
    <s v="MA"/>
    <s v="Male"/>
    <s v="Single"/>
    <s v="Software Engineer"/>
    <s v="Active"/>
    <s v="Contract"/>
    <s v="Zone C"/>
    <s v="Software Engineering"/>
    <s v="Executive"/>
    <s v="White"/>
    <s v="Fully Meets"/>
    <n v="2"/>
  </r>
  <r>
    <x v="704"/>
    <x v="4"/>
    <x v="593"/>
    <s v="28-37"/>
    <n v="34"/>
    <d v="1988-02-14T00:00:00"/>
    <s v="Massachusetts"/>
    <s v="MA"/>
    <s v="Female"/>
    <s v="Married"/>
    <s v="Sales Manager"/>
    <s v="Terminated"/>
    <s v="Full-Time"/>
    <s v="Zone B"/>
    <s v="Sales"/>
    <s v="Aerial"/>
    <s v="Other"/>
    <s v="Fully Meets"/>
    <n v="4"/>
  </r>
  <r>
    <x v="705"/>
    <x v="2"/>
    <x v="594"/>
    <s v="28-37"/>
    <n v="34"/>
    <d v="1986-01-18T00:00:00"/>
    <s v="Massachusetts"/>
    <s v="MA"/>
    <s v="Male"/>
    <s v="Divorced"/>
    <s v="Sales Manager"/>
    <s v="Active"/>
    <s v="Full-Time"/>
    <s v="Zone C"/>
    <s v="Admin Offices"/>
    <s v="General - Con"/>
    <s v="Black"/>
    <s v="Fully Meets"/>
    <n v="1"/>
  </r>
  <r>
    <x v="706"/>
    <x v="5"/>
    <x v="595"/>
    <s v="28-37"/>
    <n v="34"/>
    <d v="1989-12-29T00:00:00"/>
    <s v="Massachusetts"/>
    <s v="MA"/>
    <s v="Female"/>
    <s v="Divorced"/>
    <s v="Production Technician II"/>
    <s v="Terminated"/>
    <s v="Part-Time"/>
    <s v="Zone A"/>
    <s v="Production       "/>
    <s v="Splicing"/>
    <s v="Asian"/>
    <s v="Needs Improvement"/>
    <n v="4"/>
  </r>
  <r>
    <x v="707"/>
    <x v="2"/>
    <x v="195"/>
    <s v="28-37"/>
    <n v="34"/>
    <d v="1986-04-10T00:00:00"/>
    <s v="Massachusetts"/>
    <s v="MA"/>
    <s v="Female"/>
    <s v="Single"/>
    <s v="Production Technician II"/>
    <s v="Active"/>
    <s v="Full-Time"/>
    <s v="Zone A"/>
    <s v="Production       "/>
    <s v="Wireline Construction"/>
    <s v="Other"/>
    <s v="Fully Meets"/>
    <n v="3"/>
  </r>
  <r>
    <x v="708"/>
    <x v="0"/>
    <x v="596"/>
    <s v="28-37"/>
    <n v="34"/>
    <d v="1984-06-29T00:00:00"/>
    <s v="Massachusetts"/>
    <s v="MA"/>
    <s v="Male"/>
    <s v="Divorced"/>
    <s v="Production Technician II"/>
    <s v="Active"/>
    <s v="Contract"/>
    <s v="Zone A"/>
    <s v="Production       "/>
    <s v="Splicing"/>
    <s v="Black"/>
    <s v="Needs Improvement"/>
    <n v="5"/>
  </r>
  <r>
    <x v="709"/>
    <x v="2"/>
    <x v="597"/>
    <s v="28-37"/>
    <n v="34"/>
    <d v="1986-06-05T00:00:00"/>
    <s v="Massachusetts"/>
    <s v="MA"/>
    <s v="Female"/>
    <s v="Widowed"/>
    <s v="Production Technician II"/>
    <s v="Terminated"/>
    <s v="Full-Time"/>
    <s v="Zone B"/>
    <s v="Production       "/>
    <s v="Field Operations"/>
    <s v="White"/>
    <s v="Needs Improvement"/>
    <n v="3"/>
  </r>
  <r>
    <x v="710"/>
    <x v="4"/>
    <x v="598"/>
    <s v="28-37"/>
    <n v="34"/>
    <d v="1988-07-30T00:00:00"/>
    <s v="Massachusetts"/>
    <s v="MA"/>
    <s v="Male"/>
    <s v="Widowed"/>
    <s v="Production Technician II"/>
    <s v="Active"/>
    <s v="Full-Time"/>
    <s v="Zone C"/>
    <s v="Production       "/>
    <s v="Field Operations"/>
    <s v="White"/>
    <s v="Fully Meets"/>
    <n v="3"/>
  </r>
  <r>
    <x v="711"/>
    <x v="5"/>
    <x v="303"/>
    <s v="28-37"/>
    <n v="34"/>
    <d v="1989-05-25T00:00:00"/>
    <s v="Massachusetts"/>
    <s v="MA"/>
    <s v="Female"/>
    <s v="Single"/>
    <s v="Production Technician II"/>
    <s v="Active"/>
    <s v="Contract"/>
    <s v="Zone A"/>
    <s v="Production       "/>
    <s v="Project Management - Con"/>
    <s v="Asian"/>
    <s v="Fully Meets"/>
    <n v="5"/>
  </r>
  <r>
    <x v="712"/>
    <x v="4"/>
    <x v="599"/>
    <s v="28-37"/>
    <n v="34"/>
    <d v="1988-12-29T00:00:00"/>
    <s v="Massachusetts"/>
    <s v="MA"/>
    <s v="Female"/>
    <s v="Single"/>
    <s v="Production Technician II"/>
    <s v="Active"/>
    <s v="Full-Time"/>
    <s v="Zone A"/>
    <s v="Production       "/>
    <s v="General - Con"/>
    <s v="Other"/>
    <s v="Fully Meets"/>
    <n v="5"/>
  </r>
  <r>
    <x v="713"/>
    <x v="1"/>
    <x v="600"/>
    <s v="28-37"/>
    <n v="34"/>
    <d v="1985-01-27T00:00:00"/>
    <s v="Massachusetts"/>
    <s v="MA"/>
    <s v="Female"/>
    <s v="Widowed"/>
    <s v="Production Technician II"/>
    <s v="Terminated"/>
    <s v="Full-Time"/>
    <s v="Zone B"/>
    <s v="Production       "/>
    <s v="Field Operations"/>
    <s v="Asian"/>
    <s v="Fully Meets"/>
    <n v="1"/>
  </r>
  <r>
    <x v="714"/>
    <x v="4"/>
    <x v="601"/>
    <s v="28-37"/>
    <n v="34"/>
    <d v="1988-12-07T00:00:00"/>
    <s v="Massachusetts"/>
    <s v="MA"/>
    <s v="Female"/>
    <s v="Single"/>
    <s v="Production Technician II"/>
    <s v="Active"/>
    <s v="Full-Time"/>
    <s v="Zone C"/>
    <s v="Production       "/>
    <s v="General - Con"/>
    <s v="White"/>
    <s v="Fully Meets"/>
    <n v="1"/>
  </r>
  <r>
    <x v="715"/>
    <x v="1"/>
    <x v="602"/>
    <s v="28-37"/>
    <n v="34"/>
    <d v="1985-03-30T00:00:00"/>
    <s v="Massachusetts"/>
    <s v="MA"/>
    <s v="Male"/>
    <s v="Married"/>
    <s v="Production Technician I"/>
    <s v="Active"/>
    <s v="Full-Time"/>
    <s v="Zone B"/>
    <s v="Production       "/>
    <s v="Field Operations"/>
    <s v="Asian"/>
    <s v="Fully Meets"/>
    <n v="2"/>
  </r>
  <r>
    <x v="716"/>
    <x v="3"/>
    <x v="603"/>
    <s v="28-37"/>
    <n v="34"/>
    <d v="1987-03-05T00:00:00"/>
    <s v="Massachusetts"/>
    <s v="MA"/>
    <s v="Male"/>
    <s v="Single"/>
    <s v="Production Technician I"/>
    <s v="Terminated"/>
    <s v="Part-Time"/>
    <s v="Zone A"/>
    <s v="Production       "/>
    <s v="Field Operations"/>
    <s v="Hispanic"/>
    <s v="Exceeds"/>
    <n v="1"/>
  </r>
  <r>
    <x v="717"/>
    <x v="5"/>
    <x v="367"/>
    <s v="28-37"/>
    <n v="34"/>
    <d v="1989-05-19T00:00:00"/>
    <s v="Massachusetts"/>
    <s v="MA"/>
    <s v="Male"/>
    <s v="Single"/>
    <s v="Production Technician I"/>
    <s v="Active"/>
    <s v="Part-Time"/>
    <s v="Zone B"/>
    <s v="Production       "/>
    <s v="Project Management - Con"/>
    <s v="White"/>
    <s v="Fully Meets"/>
    <n v="4"/>
  </r>
  <r>
    <x v="718"/>
    <x v="1"/>
    <x v="604"/>
    <s v="28-37"/>
    <n v="34"/>
    <d v="1985-07-11T00:00:00"/>
    <s v="Massachusetts"/>
    <s v="MA"/>
    <s v="Female"/>
    <s v="Widowed"/>
    <s v="Production Technician I"/>
    <s v="Active"/>
    <s v="Full-Time"/>
    <s v="Zone A"/>
    <s v="Production       "/>
    <s v="Underground"/>
    <s v="Black"/>
    <s v="Fully Meets"/>
    <n v="2"/>
  </r>
  <r>
    <x v="719"/>
    <x v="4"/>
    <x v="605"/>
    <s v="28-37"/>
    <n v="34"/>
    <d v="1988-10-04T00:00:00"/>
    <s v="Massachusetts"/>
    <s v="MA"/>
    <s v="Female"/>
    <s v="Single"/>
    <s v="Production Technician I"/>
    <s v="Active"/>
    <s v="Part-Time"/>
    <s v="Zone A"/>
    <s v="Production       "/>
    <s v="Field Operations"/>
    <s v="Other"/>
    <s v="Fully Meets"/>
    <n v="3"/>
  </r>
  <r>
    <x v="720"/>
    <x v="4"/>
    <x v="606"/>
    <s v="28-37"/>
    <n v="34"/>
    <d v="1988-07-20T00:00:00"/>
    <s v="Massachusetts"/>
    <s v="MA"/>
    <s v="Male"/>
    <s v="Single"/>
    <s v="Production Technician I"/>
    <s v="Active"/>
    <s v="Full-Time"/>
    <s v="Zone A"/>
    <s v="Production       "/>
    <s v="General - Sga"/>
    <s v="Black"/>
    <s v="Fully Meets"/>
    <n v="5"/>
  </r>
  <r>
    <x v="721"/>
    <x v="4"/>
    <x v="607"/>
    <s v="28-37"/>
    <n v="34"/>
    <d v="1988-10-07T00:00:00"/>
    <s v="Massachusetts"/>
    <s v="MA"/>
    <s v="Female"/>
    <s v="Divorced"/>
    <s v="Production Technician I"/>
    <s v="Active"/>
    <s v="Contract"/>
    <s v="Zone C"/>
    <s v="Production       "/>
    <s v="Catv"/>
    <s v="Black"/>
    <s v="Fully Meets"/>
    <n v="4"/>
  </r>
  <r>
    <x v="722"/>
    <x v="2"/>
    <x v="574"/>
    <s v="28-37"/>
    <n v="34"/>
    <d v="1986-04-05T00:00:00"/>
    <s v="Massachusetts"/>
    <s v="MA"/>
    <s v="Female"/>
    <s v="Married"/>
    <s v="Production Technician I"/>
    <s v="Terminated"/>
    <s v="Contract"/>
    <s v="Zone A"/>
    <s v="Production       "/>
    <s v="General - Con"/>
    <s v="Asian"/>
    <s v="Exceeds"/>
    <n v="4"/>
  </r>
  <r>
    <x v="723"/>
    <x v="3"/>
    <x v="608"/>
    <s v="28-37"/>
    <n v="34"/>
    <d v="1987-10-04T00:00:00"/>
    <s v="Massachusetts"/>
    <s v="MA"/>
    <s v="Female"/>
    <s v="Divorced"/>
    <s v="Production Technician I"/>
    <s v="Terminated"/>
    <s v="Contract"/>
    <s v="Zone A"/>
    <s v="Production       "/>
    <s v="Engineers"/>
    <s v="Asian"/>
    <s v="Exceeds"/>
    <n v="4"/>
  </r>
  <r>
    <x v="724"/>
    <x v="4"/>
    <x v="609"/>
    <s v="28-37"/>
    <n v="34"/>
    <d v="1988-05-22T00:00:00"/>
    <s v="Massachusetts"/>
    <s v="MA"/>
    <s v="Female"/>
    <s v="Married"/>
    <s v="Production Technician I"/>
    <s v="Active"/>
    <s v="Full-Time"/>
    <s v="Zone A"/>
    <s v="Production       "/>
    <s v="General - Con"/>
    <s v="Other"/>
    <s v="Exceeds"/>
    <n v="1"/>
  </r>
  <r>
    <x v="725"/>
    <x v="2"/>
    <x v="393"/>
    <s v="28-37"/>
    <n v="34"/>
    <d v="1986-12-25T00:00:00"/>
    <s v="Massachusetts"/>
    <s v="MA"/>
    <s v="Female"/>
    <s v="Widowed"/>
    <s v="Production Technician I"/>
    <s v="Active"/>
    <s v="Contract"/>
    <s v="Zone A"/>
    <s v="Production       "/>
    <s v="Field Operations"/>
    <s v="Asian"/>
    <s v="Exceeds"/>
    <n v="4"/>
  </r>
  <r>
    <x v="726"/>
    <x v="4"/>
    <x v="336"/>
    <s v="28-37"/>
    <n v="34"/>
    <d v="1988-11-04T00:00:00"/>
    <s v="Massachusetts"/>
    <s v="MA"/>
    <s v="Male"/>
    <s v="Widowed"/>
    <s v="Production Technician I"/>
    <s v="Active"/>
    <s v="Full-Time"/>
    <s v="Zone C"/>
    <s v="Production       "/>
    <s v="Field Operations"/>
    <s v="Asian"/>
    <s v="Fully Meets"/>
    <n v="4"/>
  </r>
  <r>
    <x v="727"/>
    <x v="3"/>
    <x v="610"/>
    <s v="28-37"/>
    <n v="34"/>
    <d v="1987-12-10T00:00:00"/>
    <s v="Massachusetts"/>
    <s v="MA"/>
    <s v="Female"/>
    <s v="Married"/>
    <s v="Production Technician I"/>
    <s v="Active"/>
    <s v="Contract"/>
    <s v="Zone C"/>
    <s v="Production       "/>
    <s v="Shop (Fleet)"/>
    <s v="Hispanic"/>
    <s v="Needs Improvement"/>
    <n v="5"/>
  </r>
  <r>
    <x v="728"/>
    <x v="3"/>
    <x v="611"/>
    <s v="28-37"/>
    <n v="34"/>
    <d v="1987-04-04T00:00:00"/>
    <s v="Massachusetts"/>
    <s v="MA"/>
    <s v="Female"/>
    <s v="Divorced"/>
    <s v="Production Technician I"/>
    <s v="Active"/>
    <s v="Contract"/>
    <s v="Zone B"/>
    <s v="Production       "/>
    <s v="Field Operations"/>
    <s v="Other"/>
    <s v="Fully Meets"/>
    <n v="3"/>
  </r>
  <r>
    <x v="729"/>
    <x v="1"/>
    <x v="107"/>
    <s v="28-37"/>
    <n v="34"/>
    <d v="1985-02-02T00:00:00"/>
    <s v="Massachusetts"/>
    <s v="MA"/>
    <s v="Female"/>
    <s v="Divorced"/>
    <s v="Production Technician I"/>
    <s v="Active"/>
    <s v="Part-Time"/>
    <s v="Zone B"/>
    <s v="Production       "/>
    <s v="Field Operations"/>
    <s v="Hispanic"/>
    <s v="Fully Meets"/>
    <n v="4"/>
  </r>
  <r>
    <x v="730"/>
    <x v="5"/>
    <x v="612"/>
    <s v="28-37"/>
    <n v="34"/>
    <d v="1989-04-16T00:00:00"/>
    <s v="Massachusetts"/>
    <s v="MA"/>
    <s v="Female"/>
    <s v="Married"/>
    <s v="Production Technician I"/>
    <s v="Active"/>
    <s v="Full-Time"/>
    <s v="Zone A"/>
    <s v="Production       "/>
    <s v="People Services"/>
    <s v="Black"/>
    <s v="Fully Meets"/>
    <n v="4"/>
  </r>
  <r>
    <x v="731"/>
    <x v="4"/>
    <x v="613"/>
    <s v="28-37"/>
    <n v="34"/>
    <d v="1988-01-24T00:00:00"/>
    <s v="Massachusetts"/>
    <s v="MA"/>
    <s v="Female"/>
    <s v="Widowed"/>
    <s v="Production Technician I"/>
    <s v="Active"/>
    <s v="Full-Time"/>
    <s v="Zone A"/>
    <s v="Production       "/>
    <s v="General - Con"/>
    <s v="Asian"/>
    <s v="Needs Improvement"/>
    <n v="1"/>
  </r>
  <r>
    <x v="732"/>
    <x v="1"/>
    <x v="614"/>
    <s v="28-37"/>
    <n v="34"/>
    <d v="1985-01-28T00:00:00"/>
    <s v="Massachusetts"/>
    <s v="MA"/>
    <s v="Female"/>
    <s v="Married"/>
    <s v="Production Technician I"/>
    <s v="Active"/>
    <s v="Contract"/>
    <s v="Zone B"/>
    <s v="Production       "/>
    <s v="General - Eng"/>
    <s v="Other"/>
    <s v="Fully Meets"/>
    <n v="1"/>
  </r>
  <r>
    <x v="733"/>
    <x v="3"/>
    <x v="541"/>
    <s v="28-37"/>
    <n v="34"/>
    <d v="1987-11-01T00:00:00"/>
    <s v="Massachusetts"/>
    <s v="MA"/>
    <s v="Female"/>
    <s v="Married"/>
    <s v="Production Technician I"/>
    <s v="Terminated"/>
    <s v="Full-Time"/>
    <s v="Zone C"/>
    <s v="Production       "/>
    <s v="Field Operations"/>
    <s v="White"/>
    <s v="Fully Meets"/>
    <n v="3"/>
  </r>
  <r>
    <x v="734"/>
    <x v="2"/>
    <x v="615"/>
    <s v="28-37"/>
    <n v="34"/>
    <d v="1986-02-10T00:00:00"/>
    <s v="Massachusetts"/>
    <s v="MA"/>
    <s v="Female"/>
    <s v="Single"/>
    <s v="Production Manager"/>
    <s v="Terminated"/>
    <s v="Part-Time"/>
    <s v="Zone B"/>
    <s v="Production       "/>
    <s v="Aerial"/>
    <s v="Hispanic"/>
    <s v="Fully Meets"/>
    <n v="5"/>
  </r>
  <r>
    <x v="735"/>
    <x v="0"/>
    <x v="616"/>
    <s v="28-37"/>
    <n v="34"/>
    <d v="1984-11-02T00:00:00"/>
    <s v="Massachusetts"/>
    <s v="MA"/>
    <s v="Female"/>
    <s v="Divorced"/>
    <s v="Production Manager"/>
    <s v="Active"/>
    <s v="Full-Time"/>
    <s v="Zone A"/>
    <s v="Production       "/>
    <s v="General - Sga"/>
    <s v="Hispanic"/>
    <s v="Fully Meets"/>
    <n v="5"/>
  </r>
  <r>
    <x v="736"/>
    <x v="0"/>
    <x v="617"/>
    <s v="28-37"/>
    <n v="34"/>
    <d v="1984-09-09T00:00:00"/>
    <s v="Massachusetts"/>
    <s v="MA"/>
    <s v="Female"/>
    <s v="Divorced"/>
    <s v="Production Manager"/>
    <s v="Active"/>
    <s v="Full-Time"/>
    <s v="Zone A"/>
    <s v="Production       "/>
    <s v="Fielders"/>
    <s v="Black"/>
    <s v="Fully Meets"/>
    <n v="1"/>
  </r>
  <r>
    <x v="737"/>
    <x v="3"/>
    <x v="587"/>
    <s v="28-37"/>
    <n v="34"/>
    <d v="1987-09-16T00:00:00"/>
    <s v="Massachusetts"/>
    <s v="MA"/>
    <s v="Male"/>
    <s v="Divorced"/>
    <s v="Network Engineer"/>
    <s v="Active"/>
    <s v="Part-Time"/>
    <s v="Zone B"/>
    <s v="Production       "/>
    <s v="Field Operations"/>
    <s v="Other"/>
    <s v="Fully Meets"/>
    <n v="2"/>
  </r>
  <r>
    <x v="738"/>
    <x v="5"/>
    <x v="618"/>
    <s v="28-37"/>
    <n v="34"/>
    <d v="1989-01-29T00:00:00"/>
    <s v="Massachusetts"/>
    <s v="MA"/>
    <s v="Female"/>
    <s v="Widowed"/>
    <s v="Database Administrator"/>
    <s v="Active"/>
    <s v="Full-Time"/>
    <s v="Zone A"/>
    <s v="IT/IS"/>
    <s v="Fielders"/>
    <s v="Hispanic"/>
    <s v="Fully Meets"/>
    <n v="3"/>
  </r>
  <r>
    <x v="739"/>
    <x v="4"/>
    <x v="619"/>
    <s v="28-37"/>
    <n v="34"/>
    <d v="1988-08-20T00:00:00"/>
    <s v="Texas"/>
    <s v="TX"/>
    <s v="Male"/>
    <s v="Single"/>
    <s v="Data Architect"/>
    <s v="Terminated"/>
    <s v="Part-Time"/>
    <s v="Zone A"/>
    <s v="IT/IS"/>
    <s v="General - Con"/>
    <s v="Hispanic"/>
    <s v="Fully Meets"/>
    <n v="4"/>
  </r>
  <r>
    <x v="740"/>
    <x v="5"/>
    <x v="620"/>
    <s v="28-37"/>
    <n v="34"/>
    <d v="1989-10-06T00:00:00"/>
    <s v="Massachusetts"/>
    <s v="MA"/>
    <s v="Female"/>
    <s v="Married"/>
    <s v="BI Developer"/>
    <s v="Terminated"/>
    <s v="Part-Time"/>
    <s v="Zone C"/>
    <s v="IT/IS"/>
    <s v="Field Operations"/>
    <s v="Other"/>
    <s v="Fully Meets"/>
    <n v="4"/>
  </r>
  <r>
    <x v="741"/>
    <x v="3"/>
    <x v="621"/>
    <s v="28-37"/>
    <n v="34"/>
    <d v="1987-03-14T00:00:00"/>
    <s v="Idaho"/>
    <s v="ID"/>
    <s v="Male"/>
    <s v="Divorced"/>
    <s v="Area Sales Manager"/>
    <s v="Active"/>
    <s v="Part-Time"/>
    <s v="Zone A"/>
    <s v="Sales"/>
    <s v="Field Operations"/>
    <s v="Black"/>
    <s v="Fully Meets"/>
    <n v="1"/>
  </r>
  <r>
    <x v="742"/>
    <x v="4"/>
    <x v="475"/>
    <s v="28-37"/>
    <n v="34"/>
    <d v="1988-06-25T00:00:00"/>
    <s v="Colorado"/>
    <s v="CO"/>
    <s v="Male"/>
    <s v="Divorced"/>
    <s v="Area Sales Manager"/>
    <s v="Active"/>
    <s v="Contract"/>
    <s v="Zone B"/>
    <s v="Sales"/>
    <s v="Project Management - Con"/>
    <s v="Asian"/>
    <s v="Fully Meets"/>
    <n v="3"/>
  </r>
  <r>
    <x v="743"/>
    <x v="1"/>
    <x v="622"/>
    <s v="28-37"/>
    <n v="34"/>
    <d v="1985-06-30T00:00:00"/>
    <s v="Massachusetts"/>
    <s v="MA"/>
    <s v="Female"/>
    <s v="Single"/>
    <s v="Accountant I"/>
    <s v="Active"/>
    <s v="Full-Time"/>
    <s v="Zone B"/>
    <s v="Admin Offices"/>
    <s v="Aerial"/>
    <s v="Asian"/>
    <s v="Fully Meets"/>
    <n v="2"/>
  </r>
  <r>
    <x v="744"/>
    <x v="5"/>
    <x v="623"/>
    <s v="28-37"/>
    <n v="35"/>
    <d v="1988-05-12T00:00:00"/>
    <s v="Massachusetts"/>
    <s v="MA"/>
    <s v="Female"/>
    <s v="Widowed"/>
    <s v="Software Engineer"/>
    <s v="Active"/>
    <s v="Full-Time"/>
    <s v="Zone B"/>
    <s v="Software Engineering"/>
    <s v="General - Con"/>
    <s v="Other"/>
    <s v="Fully Meets"/>
    <n v="2"/>
  </r>
  <r>
    <x v="745"/>
    <x v="4"/>
    <x v="624"/>
    <s v="28-37"/>
    <n v="35"/>
    <d v="1987-02-24T00:00:00"/>
    <s v="Massachusetts"/>
    <s v="MA"/>
    <s v="Male"/>
    <s v="Divorced"/>
    <s v="Software Engineer"/>
    <s v="Terminated"/>
    <s v="Part-Time"/>
    <s v="Zone A"/>
    <s v="Software Engineering"/>
    <s v="Field Operations"/>
    <s v="White"/>
    <s v="Fully Meets"/>
    <n v="4"/>
  </r>
  <r>
    <x v="746"/>
    <x v="1"/>
    <x v="625"/>
    <s v="28-37"/>
    <n v="35"/>
    <d v="1984-12-07T00:00:00"/>
    <s v="Massachusetts"/>
    <s v="MA"/>
    <s v="Female"/>
    <s v="Single"/>
    <s v="Production Technician II"/>
    <s v="Active"/>
    <s v="Part-Time"/>
    <s v="Zone A"/>
    <s v="Production       "/>
    <s v="Wireline Construction"/>
    <s v="Other"/>
    <s v="Fully Meets"/>
    <n v="4"/>
  </r>
  <r>
    <x v="747"/>
    <x v="4"/>
    <x v="144"/>
    <s v="28-37"/>
    <n v="35"/>
    <d v="1987-12-08T00:00:00"/>
    <s v="Massachusetts"/>
    <s v="MA"/>
    <s v="Male"/>
    <s v="Married"/>
    <s v="Production Technician II"/>
    <s v="Active"/>
    <s v="Contract"/>
    <s v="Zone B"/>
    <s v="Production       "/>
    <s v="General - Eng"/>
    <s v="White"/>
    <s v="Fully Meets"/>
    <n v="1"/>
  </r>
  <r>
    <x v="748"/>
    <x v="1"/>
    <x v="626"/>
    <s v="28-37"/>
    <n v="35"/>
    <d v="1984-03-16T00:00:00"/>
    <s v="Massachusetts"/>
    <s v="MA"/>
    <s v="Female"/>
    <s v="Divorced"/>
    <s v="Production Technician II"/>
    <s v="Active"/>
    <s v="Contract"/>
    <s v="Zone A"/>
    <s v="Production       "/>
    <s v="Billable Consultants"/>
    <s v="White"/>
    <s v="Exceeds"/>
    <n v="1"/>
  </r>
  <r>
    <x v="749"/>
    <x v="4"/>
    <x v="627"/>
    <s v="28-37"/>
    <n v="35"/>
    <d v="1987-04-07T00:00:00"/>
    <s v="Massachusetts"/>
    <s v="MA"/>
    <s v="Female"/>
    <s v="Single"/>
    <s v="Production Technician II"/>
    <s v="Terminated"/>
    <s v="Contract"/>
    <s v="Zone A"/>
    <s v="Production       "/>
    <s v="Field Operations"/>
    <s v="Black"/>
    <s v="Fully Meets"/>
    <n v="3"/>
  </r>
  <r>
    <x v="750"/>
    <x v="4"/>
    <x v="628"/>
    <s v="28-37"/>
    <n v="35"/>
    <d v="1987-04-26T00:00:00"/>
    <s v="Massachusetts"/>
    <s v="MA"/>
    <s v="Female"/>
    <s v="Single"/>
    <s v="Production Technician II"/>
    <s v="Terminated"/>
    <s v="Contract"/>
    <s v="Zone A"/>
    <s v="Production       "/>
    <s v="General - Con"/>
    <s v="Black"/>
    <s v="Fully Meets"/>
    <n v="3"/>
  </r>
  <r>
    <x v="751"/>
    <x v="3"/>
    <x v="629"/>
    <s v="28-37"/>
    <n v="35"/>
    <d v="1986-07-21T00:00:00"/>
    <s v="Massachusetts"/>
    <s v="MA"/>
    <s v="Male"/>
    <s v="Divorced"/>
    <s v="Production Technician II"/>
    <s v="Active"/>
    <s v="Part-Time"/>
    <s v="Zone A"/>
    <s v="Production       "/>
    <s v="Field Operations"/>
    <s v="White"/>
    <s v="Fully Meets"/>
    <n v="3"/>
  </r>
  <r>
    <x v="752"/>
    <x v="3"/>
    <x v="630"/>
    <s v="28-37"/>
    <n v="35"/>
    <d v="1986-03-05T00:00:00"/>
    <s v="Massachusetts"/>
    <s v="MA"/>
    <s v="Male"/>
    <s v="Married"/>
    <s v="Production Technician II"/>
    <s v="Active"/>
    <s v="Full-Time"/>
    <s v="Zone C"/>
    <s v="Production       "/>
    <s v="Splicing"/>
    <s v="White"/>
    <s v="Fully Meets"/>
    <n v="5"/>
  </r>
  <r>
    <x v="753"/>
    <x v="1"/>
    <x v="631"/>
    <s v="28-37"/>
    <n v="35"/>
    <d v="1984-05-10T00:00:00"/>
    <s v="Massachusetts"/>
    <s v="MA"/>
    <s v="Female"/>
    <s v="Single"/>
    <s v="Production Technician II"/>
    <s v="Active"/>
    <s v="Full-Time"/>
    <s v="Zone C"/>
    <s v="Production       "/>
    <s v="Splicing"/>
    <s v="Other"/>
    <s v="Fully Meets"/>
    <n v="3"/>
  </r>
  <r>
    <x v="754"/>
    <x v="1"/>
    <x v="21"/>
    <s v="28-37"/>
    <n v="35"/>
    <d v="1984-11-24T00:00:00"/>
    <s v="Massachusetts"/>
    <s v="MA"/>
    <s v="Female"/>
    <s v="Married"/>
    <s v="Production Technician II"/>
    <s v="Terminated"/>
    <s v="Full-Time"/>
    <s v="Zone A"/>
    <s v="Production       "/>
    <s v="General - Con"/>
    <s v="Black"/>
    <s v="Fully Meets"/>
    <n v="1"/>
  </r>
  <r>
    <x v="755"/>
    <x v="4"/>
    <x v="632"/>
    <s v="28-37"/>
    <n v="35"/>
    <d v="1987-05-05T00:00:00"/>
    <s v="Massachusetts"/>
    <s v="MA"/>
    <s v="Female"/>
    <s v="Single"/>
    <s v="Production Technician II"/>
    <s v="Active"/>
    <s v="Full-Time"/>
    <s v="Zone B"/>
    <s v="Production       "/>
    <s v="General - Con"/>
    <s v="Asian"/>
    <s v="Fully Meets"/>
    <n v="1"/>
  </r>
  <r>
    <x v="756"/>
    <x v="1"/>
    <x v="633"/>
    <s v="28-37"/>
    <n v="35"/>
    <d v="1984-09-25T00:00:00"/>
    <s v="Massachusetts"/>
    <s v="MA"/>
    <s v="Male"/>
    <s v="Widowed"/>
    <s v="Production Technician I"/>
    <s v="Terminated"/>
    <s v="Full-Time"/>
    <s v="Zone B"/>
    <s v="Production       "/>
    <s v="Field Operations"/>
    <s v="Asian"/>
    <s v="Fully Meets"/>
    <n v="5"/>
  </r>
  <r>
    <x v="757"/>
    <x v="2"/>
    <x v="138"/>
    <s v="28-37"/>
    <n v="35"/>
    <d v="1985-04-10T00:00:00"/>
    <s v="Massachusetts"/>
    <s v="MA"/>
    <s v="Male"/>
    <s v="Widowed"/>
    <s v="Production Technician I"/>
    <s v="Active"/>
    <s v="Full-Time"/>
    <s v="Zone B"/>
    <s v="Production       "/>
    <s v="General - Sga"/>
    <s v="Hispanic"/>
    <s v="Fully Meets"/>
    <n v="4"/>
  </r>
  <r>
    <x v="758"/>
    <x v="2"/>
    <x v="634"/>
    <s v="28-37"/>
    <n v="35"/>
    <d v="1985-09-14T00:00:00"/>
    <s v="Massachusetts"/>
    <s v="MA"/>
    <s v="Female"/>
    <s v="Divorced"/>
    <s v="Production Technician I"/>
    <s v="Active"/>
    <s v="Part-Time"/>
    <s v="Zone B"/>
    <s v="Production       "/>
    <s v="Underground"/>
    <s v="Other"/>
    <s v="Fully Meets"/>
    <n v="2"/>
  </r>
  <r>
    <x v="759"/>
    <x v="4"/>
    <x v="635"/>
    <s v="28-37"/>
    <n v="35"/>
    <d v="1987-03-24T00:00:00"/>
    <s v="Massachusetts"/>
    <s v="MA"/>
    <s v="Female"/>
    <s v="Single"/>
    <s v="Production Technician I"/>
    <s v="Active"/>
    <s v="Contract"/>
    <s v="Zone B"/>
    <s v="Production       "/>
    <s v="Aerial"/>
    <s v="Hispanic"/>
    <s v="Fully Meets"/>
    <n v="4"/>
  </r>
  <r>
    <x v="760"/>
    <x v="2"/>
    <x v="636"/>
    <s v="28-37"/>
    <n v="35"/>
    <d v="1985-04-01T00:00:00"/>
    <s v="Massachusetts"/>
    <s v="MA"/>
    <s v="Female"/>
    <s v="Divorced"/>
    <s v="Production Technician I"/>
    <s v="Terminated"/>
    <s v="Part-Time"/>
    <s v="Zone C"/>
    <s v="Production       "/>
    <s v="General - Con"/>
    <s v="Hispanic"/>
    <s v="Exceeds"/>
    <n v="2"/>
  </r>
  <r>
    <x v="761"/>
    <x v="4"/>
    <x v="486"/>
    <s v="28-37"/>
    <n v="35"/>
    <d v="1987-11-16T00:00:00"/>
    <s v="Massachusetts"/>
    <s v="MA"/>
    <s v="Female"/>
    <s v="Divorced"/>
    <s v="Production Technician I"/>
    <s v="Active"/>
    <s v="Part-Time"/>
    <s v="Zone A"/>
    <s v="Production       "/>
    <s v="General - Con"/>
    <s v="Asian"/>
    <s v="Fully Meets"/>
    <n v="4"/>
  </r>
  <r>
    <x v="762"/>
    <x v="0"/>
    <x v="637"/>
    <s v="28-37"/>
    <n v="35"/>
    <d v="1983-04-12T00:00:00"/>
    <s v="Massachusetts"/>
    <s v="MA"/>
    <s v="Female"/>
    <s v="Divorced"/>
    <s v="Production Technician I"/>
    <s v="Terminated"/>
    <s v="Contract"/>
    <s v="Zone C"/>
    <s v="Production       "/>
    <s v="Wireline Construction"/>
    <s v="Asian"/>
    <s v="Needs Improvement"/>
    <n v="3"/>
  </r>
  <r>
    <x v="763"/>
    <x v="2"/>
    <x v="638"/>
    <s v="28-37"/>
    <n v="35"/>
    <d v="1985-07-01T00:00:00"/>
    <s v="Massachusetts"/>
    <s v="MA"/>
    <s v="Female"/>
    <s v="Married"/>
    <s v="Production Technician I"/>
    <s v="Terminated"/>
    <s v="Contract"/>
    <s v="Zone B"/>
    <s v="Production       "/>
    <s v="Shop (Fleet)"/>
    <s v="Other"/>
    <s v="Fully Meets"/>
    <n v="5"/>
  </r>
  <r>
    <x v="764"/>
    <x v="5"/>
    <x v="639"/>
    <s v="28-37"/>
    <n v="35"/>
    <d v="1988-03-03T00:00:00"/>
    <s v="Massachusetts"/>
    <s v="MA"/>
    <s v="Female"/>
    <s v="Widowed"/>
    <s v="Production Technician I"/>
    <s v="Active"/>
    <s v="Contract"/>
    <s v="Zone A"/>
    <s v="Production       "/>
    <s v="Field Operations"/>
    <s v="Asian"/>
    <s v="Fully Meets"/>
    <n v="1"/>
  </r>
  <r>
    <x v="765"/>
    <x v="2"/>
    <x v="193"/>
    <s v="28-37"/>
    <n v="35"/>
    <d v="1985-02-01T00:00:00"/>
    <s v="Massachusetts"/>
    <s v="MA"/>
    <s v="Female"/>
    <s v="Widowed"/>
    <s v="Production Technician I"/>
    <s v="Active"/>
    <s v="Full-Time"/>
    <s v="Zone A"/>
    <s v="Production       "/>
    <s v="Finance &amp; Accounting"/>
    <s v="White"/>
    <s v="Fully Meets"/>
    <n v="4"/>
  </r>
  <r>
    <x v="766"/>
    <x v="0"/>
    <x v="640"/>
    <s v="28-37"/>
    <n v="35"/>
    <d v="1983-02-26T00:00:00"/>
    <s v="Massachusetts"/>
    <s v="MA"/>
    <s v="Female"/>
    <s v="Widowed"/>
    <s v="Production Technician I"/>
    <s v="Active"/>
    <s v="Contract"/>
    <s v="Zone C"/>
    <s v="Production       "/>
    <s v="General - Eng"/>
    <s v="Hispanic"/>
    <s v="Fully Meets"/>
    <n v="5"/>
  </r>
  <r>
    <x v="767"/>
    <x v="3"/>
    <x v="208"/>
    <s v="28-37"/>
    <n v="35"/>
    <d v="1986-09-12T00:00:00"/>
    <s v="Massachusetts"/>
    <s v="MA"/>
    <s v="Female"/>
    <s v="Divorced"/>
    <s v="Production Technician I"/>
    <s v="Active"/>
    <s v="Part-Time"/>
    <s v="Zone A"/>
    <s v="Production       "/>
    <s v="Yard (Material Handling)"/>
    <s v="Hispanic"/>
    <s v="Exceeds"/>
    <n v="2"/>
  </r>
  <r>
    <x v="768"/>
    <x v="3"/>
    <x v="641"/>
    <s v="28-37"/>
    <n v="35"/>
    <d v="1986-12-15T00:00:00"/>
    <s v="Massachusetts"/>
    <s v="MA"/>
    <s v="Male"/>
    <s v="Divorced"/>
    <s v="Production Technician I"/>
    <s v="Active"/>
    <s v="Full-Time"/>
    <s v="Zone B"/>
    <s v="Production       "/>
    <s v="General - Eng"/>
    <s v="White"/>
    <s v="Fully Meets"/>
    <n v="3"/>
  </r>
  <r>
    <x v="769"/>
    <x v="5"/>
    <x v="642"/>
    <s v="28-37"/>
    <n v="35"/>
    <d v="1988-02-11T00:00:00"/>
    <s v="Massachusetts"/>
    <s v="MA"/>
    <s v="Female"/>
    <s v="Single"/>
    <s v="Production Technician I"/>
    <s v="Active"/>
    <s v="Part-Time"/>
    <s v="Zone B"/>
    <s v="Production       "/>
    <s v="General - Con"/>
    <s v="Asian"/>
    <s v="Fully Meets"/>
    <n v="4"/>
  </r>
  <r>
    <x v="770"/>
    <x v="5"/>
    <x v="643"/>
    <s v="28-37"/>
    <n v="35"/>
    <d v="1988-03-12T00:00:00"/>
    <s v="Massachusetts"/>
    <s v="MA"/>
    <s v="Female"/>
    <s v="Divorced"/>
    <s v="Production Technician I"/>
    <s v="Active"/>
    <s v="Contract"/>
    <s v="Zone B"/>
    <s v="Production       "/>
    <s v="Engineers"/>
    <s v="Black"/>
    <s v="Fully Meets"/>
    <n v="4"/>
  </r>
  <r>
    <x v="771"/>
    <x v="2"/>
    <x v="644"/>
    <s v="28-37"/>
    <n v="35"/>
    <d v="1985-04-11T00:00:00"/>
    <s v="Massachusetts"/>
    <s v="MA"/>
    <s v="Female"/>
    <s v="Single"/>
    <s v="Production Technician I"/>
    <s v="Active"/>
    <s v="Contract"/>
    <s v="Zone B"/>
    <s v="Production       "/>
    <s v="Isp"/>
    <s v="Asian"/>
    <s v="Fully Meets"/>
    <n v="4"/>
  </r>
  <r>
    <x v="772"/>
    <x v="1"/>
    <x v="633"/>
    <s v="28-37"/>
    <n v="35"/>
    <d v="1984-08-10T00:00:00"/>
    <s v="Massachusetts"/>
    <s v="MA"/>
    <s v="Male"/>
    <s v="Divorced"/>
    <s v="Production Technician I"/>
    <s v="Terminated"/>
    <s v="Full-Time"/>
    <s v="Zone A"/>
    <s v="Production       "/>
    <s v="Field Operations"/>
    <s v="White"/>
    <s v="Fully Meets"/>
    <n v="4"/>
  </r>
  <r>
    <x v="773"/>
    <x v="5"/>
    <x v="645"/>
    <s v="28-37"/>
    <n v="35"/>
    <d v="1988-09-22T00:00:00"/>
    <s v="Massachusetts"/>
    <s v="MA"/>
    <s v="Male"/>
    <s v="Widowed"/>
    <s v="Production Manager"/>
    <s v="Active"/>
    <s v="Full-Time"/>
    <s v="Zone C"/>
    <s v="Production       "/>
    <s v="Underground"/>
    <s v="Other"/>
    <s v="Fully Meets"/>
    <n v="3"/>
  </r>
  <r>
    <x v="774"/>
    <x v="3"/>
    <x v="646"/>
    <s v="28-37"/>
    <n v="35"/>
    <d v="1986-09-03T00:00:00"/>
    <s v="Massachusetts"/>
    <s v="MA"/>
    <s v="Female"/>
    <s v="Married"/>
    <s v="Production Manager"/>
    <s v="Active"/>
    <s v="Full-Time"/>
    <s v="Zone C"/>
    <s v="Production       "/>
    <s v="Engineers"/>
    <s v="Asian"/>
    <s v="Fully Meets"/>
    <n v="3"/>
  </r>
  <r>
    <x v="775"/>
    <x v="3"/>
    <x v="647"/>
    <s v="28-37"/>
    <n v="35"/>
    <d v="1986-11-10T00:00:00"/>
    <s v="Massachusetts"/>
    <s v="MA"/>
    <s v="Male"/>
    <s v="Single"/>
    <s v="Production Manager"/>
    <s v="Active"/>
    <s v="Contract"/>
    <s v="Zone C"/>
    <s v="Production       "/>
    <s v="Engineers"/>
    <s v="White"/>
    <s v="Fully Meets"/>
    <n v="3"/>
  </r>
  <r>
    <x v="776"/>
    <x v="1"/>
    <x v="11"/>
    <s v="28-37"/>
    <n v="35"/>
    <d v="1984-05-06T00:00:00"/>
    <s v="Massachusetts"/>
    <s v="MA"/>
    <s v="Female"/>
    <s v="Single"/>
    <s v="Production Manager"/>
    <s v="Active"/>
    <s v="Contract"/>
    <s v="Zone A"/>
    <s v="Production       "/>
    <s v="General - Con"/>
    <s v="Other"/>
    <s v="Fully Meets"/>
    <n v="1"/>
  </r>
  <r>
    <x v="777"/>
    <x v="1"/>
    <x v="277"/>
    <s v="28-37"/>
    <n v="35"/>
    <d v="1984-04-09T00:00:00"/>
    <s v="Massachusetts"/>
    <s v="MA"/>
    <s v="Female"/>
    <s v="Married"/>
    <s v="Network Engineer"/>
    <s v="Active"/>
    <s v="Contract"/>
    <s v="Zone A"/>
    <s v="IT/IS"/>
    <s v="General - Con"/>
    <s v="Asian"/>
    <s v="Fully Meets"/>
    <n v="4"/>
  </r>
  <r>
    <x v="778"/>
    <x v="4"/>
    <x v="101"/>
    <s v="28-37"/>
    <n v="35"/>
    <d v="1987-08-24T00:00:00"/>
    <s v="Massachusetts"/>
    <s v="MA"/>
    <s v="Male"/>
    <s v="Single"/>
    <s v="Network Engineer"/>
    <s v="Active"/>
    <s v="Full-Time"/>
    <s v="Zone A"/>
    <s v="Executive Office"/>
    <s v="Shop (Fleet)"/>
    <s v="White"/>
    <s v="Needs Improvement"/>
    <n v="4"/>
  </r>
  <r>
    <x v="779"/>
    <x v="0"/>
    <x v="648"/>
    <s v="28-37"/>
    <n v="35"/>
    <d v="1983-04-10T00:00:00"/>
    <s v="Massachusetts"/>
    <s v="MA"/>
    <s v="Female"/>
    <s v="Widowed"/>
    <s v="IT Support"/>
    <s v="Active"/>
    <s v="Part-Time"/>
    <s v="Zone B"/>
    <s v="IT/IS"/>
    <s v="Fielders"/>
    <s v="Hispanic"/>
    <s v="Fully Meets"/>
    <n v="4"/>
  </r>
  <r>
    <x v="780"/>
    <x v="4"/>
    <x v="649"/>
    <s v="28-37"/>
    <n v="35"/>
    <d v="1987-04-04T00:00:00"/>
    <s v="Connecticut"/>
    <s v="CT"/>
    <s v="Female"/>
    <s v="Divorced"/>
    <s v="IT Support"/>
    <s v="Active"/>
    <s v="Part-Time"/>
    <s v="Zone C"/>
    <s v="IT/IS"/>
    <s v="Field Operations"/>
    <s v="Black"/>
    <s v="Fully Meets"/>
    <n v="5"/>
  </r>
  <r>
    <x v="781"/>
    <x v="2"/>
    <x v="650"/>
    <s v="28-37"/>
    <n v="35"/>
    <d v="1985-08-24T00:00:00"/>
    <s v="Massachusetts"/>
    <s v="MA"/>
    <s v="Male"/>
    <s v="Married"/>
    <s v="IT Manager - DB"/>
    <s v="Active"/>
    <s v="Part-Time"/>
    <s v="Zone A"/>
    <s v="IT/IS"/>
    <s v="General - Con"/>
    <s v="Black"/>
    <s v="Fully Meets"/>
    <n v="1"/>
  </r>
  <r>
    <x v="782"/>
    <x v="2"/>
    <x v="651"/>
    <s v="28-37"/>
    <n v="35"/>
    <d v="1985-02-17T00:00:00"/>
    <s v="Massachusetts"/>
    <s v="MA"/>
    <s v="Female"/>
    <s v="Married"/>
    <s v="Director of Operations"/>
    <s v="Active"/>
    <s v="Contract"/>
    <s v="Zone B"/>
    <s v="Production       "/>
    <s v="General - Con"/>
    <s v="Black"/>
    <s v="Fully Meets"/>
    <n v="4"/>
  </r>
  <r>
    <x v="783"/>
    <x v="4"/>
    <x v="652"/>
    <s v="28-37"/>
    <n v="35"/>
    <d v="1987-02-08T00:00:00"/>
    <s v="Massachusetts"/>
    <s v="MA"/>
    <s v="Female"/>
    <s v="Single"/>
    <s v="Data Analyst"/>
    <s v="Active"/>
    <s v="Full-Time"/>
    <s v="Zone A"/>
    <s v="IT/IS"/>
    <s v="Field Operations"/>
    <s v="Asian"/>
    <s v="Fully Meets"/>
    <n v="5"/>
  </r>
  <r>
    <x v="784"/>
    <x v="2"/>
    <x v="290"/>
    <s v="28-37"/>
    <n v="35"/>
    <d v="1985-11-14T00:00:00"/>
    <s v="Massachusetts"/>
    <s v="MA"/>
    <s v="Female"/>
    <s v="Married"/>
    <s v="BI Developer"/>
    <s v="Active"/>
    <s v="Contract"/>
    <s v="Zone C"/>
    <s v="IT/IS"/>
    <s v="Field Operations"/>
    <s v="White"/>
    <s v="Fully Meets"/>
    <n v="5"/>
  </r>
  <r>
    <x v="785"/>
    <x v="5"/>
    <x v="653"/>
    <s v="28-37"/>
    <n v="35"/>
    <d v="1988-01-11T00:00:00"/>
    <s v="Indiana"/>
    <s v="IN"/>
    <s v="Female"/>
    <s v="Widowed"/>
    <s v="Area Sales Manager"/>
    <s v="Active"/>
    <s v="Full-Time"/>
    <s v="Zone C"/>
    <s v="Sales"/>
    <s v="General - Eng"/>
    <s v="Hispanic"/>
    <s v="Fully Meets"/>
    <n v="5"/>
  </r>
  <r>
    <x v="786"/>
    <x v="1"/>
    <x v="654"/>
    <s v="28-37"/>
    <n v="35"/>
    <d v="1984-04-17T00:00:00"/>
    <s v="Colorado"/>
    <s v="CO"/>
    <s v="Male"/>
    <s v="Widowed"/>
    <s v="Area Sales Manager"/>
    <s v="Active"/>
    <s v="Full-Time"/>
    <s v="Zone C"/>
    <s v="Sales"/>
    <s v="Project Management - Con"/>
    <s v="Asian"/>
    <s v="Fully Meets"/>
    <n v="1"/>
  </r>
  <r>
    <x v="787"/>
    <x v="0"/>
    <x v="136"/>
    <s v="28-37"/>
    <n v="35"/>
    <d v="1983-09-06T00:00:00"/>
    <s v="Massachusetts"/>
    <s v="MA"/>
    <s v="Female"/>
    <s v="Widowed"/>
    <s v="Administrative Assistant"/>
    <s v="Active"/>
    <s v="Part-Time"/>
    <s v="Zone B"/>
    <s v="Admin Offices"/>
    <s v="Wireline Construction"/>
    <s v="White"/>
    <s v="Fully Meets"/>
    <n v="1"/>
  </r>
  <r>
    <x v="788"/>
    <x v="5"/>
    <x v="655"/>
    <s v="28-37"/>
    <n v="35"/>
    <d v="1988-06-12T00:00:00"/>
    <s v="Massachusetts"/>
    <s v="MA"/>
    <s v="Female"/>
    <s v="Married"/>
    <s v="Accountant I"/>
    <s v="Active"/>
    <s v="Part-Time"/>
    <s v="Zone A"/>
    <s v="Admin Offices"/>
    <s v="Engineers"/>
    <s v="Hispanic"/>
    <s v="Fully Meets"/>
    <n v="1"/>
  </r>
  <r>
    <x v="789"/>
    <x v="3"/>
    <x v="278"/>
    <s v="28-37"/>
    <n v="35"/>
    <d v="1986-10-28T00:00:00"/>
    <s v="Massachusetts"/>
    <s v="MA"/>
    <s v="Female"/>
    <s v="Single"/>
    <s v="Accountant I"/>
    <s v="Active"/>
    <s v="Part-Time"/>
    <s v="Zone A"/>
    <s v="Admin Offices"/>
    <s v="General - Con"/>
    <s v="Hispanic"/>
    <s v="Fully Meets"/>
    <n v="3"/>
  </r>
  <r>
    <x v="790"/>
    <x v="3"/>
    <x v="656"/>
    <s v="28-37"/>
    <n v="36"/>
    <d v="1985-12-04T00:00:00"/>
    <s v="Massachusetts"/>
    <s v="MA"/>
    <s v="Male"/>
    <s v="Married"/>
    <s v="Senior BI Developer"/>
    <s v="Active"/>
    <s v="Part-Time"/>
    <s v="Zone C"/>
    <s v="Admin Offices"/>
    <s v="Field Operations"/>
    <s v="Other"/>
    <s v="Fully Meets"/>
    <n v="3"/>
  </r>
  <r>
    <x v="791"/>
    <x v="5"/>
    <x v="485"/>
    <s v="28-37"/>
    <n v="36"/>
    <d v="1987-11-23T00:00:00"/>
    <s v="Massachusetts"/>
    <s v="MA"/>
    <s v="Female"/>
    <s v="Married"/>
    <s v="Production Technician II"/>
    <s v="Active"/>
    <s v="Contract"/>
    <s v="Zone A"/>
    <s v="Production       "/>
    <s v="General - Sga"/>
    <s v="Black"/>
    <s v="Fully Meets"/>
    <n v="4"/>
  </r>
  <r>
    <x v="792"/>
    <x v="4"/>
    <x v="657"/>
    <s v="28-37"/>
    <n v="36"/>
    <d v="1986-01-27T00:00:00"/>
    <s v="Massachusetts"/>
    <s v="MA"/>
    <s v="Female"/>
    <s v="Divorced"/>
    <s v="Production Technician II"/>
    <s v="Active"/>
    <s v="Contract"/>
    <s v="Zone C"/>
    <s v="Production       "/>
    <s v="Yard (Material Handling)"/>
    <s v="Asian"/>
    <s v="Fully Meets"/>
    <n v="2"/>
  </r>
  <r>
    <x v="793"/>
    <x v="3"/>
    <x v="658"/>
    <s v="28-37"/>
    <n v="36"/>
    <d v="1985-05-02T00:00:00"/>
    <s v="Massachusetts"/>
    <s v="MA"/>
    <s v="Female"/>
    <s v="Married"/>
    <s v="Production Technician I"/>
    <s v="Active"/>
    <s v="Full-Time"/>
    <s v="Zone A"/>
    <s v="Production       "/>
    <s v="Project Management - Eng"/>
    <s v="Other"/>
    <s v="Fully Meets"/>
    <n v="3"/>
  </r>
  <r>
    <x v="794"/>
    <x v="4"/>
    <x v="659"/>
    <s v="28-37"/>
    <n v="36"/>
    <d v="1986-06-22T00:00:00"/>
    <s v="Massachusetts"/>
    <s v="MA"/>
    <s v="Male"/>
    <s v="Widowed"/>
    <s v="Production Technician I"/>
    <s v="Active"/>
    <s v="Full-Time"/>
    <s v="Zone C"/>
    <s v="Production       "/>
    <s v="Project Management - Con"/>
    <s v="Asian"/>
    <s v="Fully Meets"/>
    <n v="3"/>
  </r>
  <r>
    <x v="795"/>
    <x v="4"/>
    <x v="660"/>
    <s v="28-37"/>
    <n v="36"/>
    <d v="1986-06-24T00:00:00"/>
    <s v="Massachusetts"/>
    <s v="MA"/>
    <s v="Male"/>
    <s v="Married"/>
    <s v="Production Technician I"/>
    <s v="Active"/>
    <s v="Part-Time"/>
    <s v="Zone B"/>
    <s v="Production       "/>
    <s v="Field Operations"/>
    <s v="Black"/>
    <s v="Fully Meets"/>
    <n v="4"/>
  </r>
  <r>
    <x v="796"/>
    <x v="1"/>
    <x v="661"/>
    <s v="28-37"/>
    <n v="36"/>
    <d v="1983-07-09T00:00:00"/>
    <s v="Massachusetts"/>
    <s v="MA"/>
    <s v="Female"/>
    <s v="Divorced"/>
    <s v="Production Technician I"/>
    <s v="Active"/>
    <s v="Contract"/>
    <s v="Zone C"/>
    <s v="Production       "/>
    <s v="Shop (Fleet)"/>
    <s v="Asian"/>
    <s v="Fully Meets"/>
    <n v="3"/>
  </r>
  <r>
    <x v="797"/>
    <x v="2"/>
    <x v="662"/>
    <s v="28-37"/>
    <n v="36"/>
    <d v="1984-02-01T00:00:00"/>
    <s v="Massachusetts"/>
    <s v="MA"/>
    <s v="Female"/>
    <s v="Divorced"/>
    <s v="Production Technician I"/>
    <s v="Active"/>
    <s v="Full-Time"/>
    <s v="Zone A"/>
    <s v="Production       "/>
    <s v="Field Operations"/>
    <s v="White"/>
    <s v="Fully Meets"/>
    <n v="1"/>
  </r>
  <r>
    <x v="798"/>
    <x v="5"/>
    <x v="663"/>
    <s v="28-37"/>
    <n v="36"/>
    <d v="1987-07-27T00:00:00"/>
    <s v="Massachusetts"/>
    <s v="MA"/>
    <s v="Female"/>
    <s v="Married"/>
    <s v="Production Technician I"/>
    <s v="Terminated"/>
    <s v="Full-Time"/>
    <s v="Zone C"/>
    <s v="Production       "/>
    <s v="General - Con"/>
    <s v="White"/>
    <s v="Fully Meets"/>
    <n v="4"/>
  </r>
  <r>
    <x v="799"/>
    <x v="2"/>
    <x v="462"/>
    <s v="28-37"/>
    <n v="36"/>
    <d v="1984-06-06T00:00:00"/>
    <s v="Massachusetts"/>
    <s v="MA"/>
    <s v="Female"/>
    <s v="Single"/>
    <s v="Production Technician I"/>
    <s v="Active"/>
    <s v="Contract"/>
    <s v="Zone B"/>
    <s v="Production       "/>
    <s v="General - Sga"/>
    <s v="White"/>
    <s v="Fully Meets"/>
    <n v="3"/>
  </r>
  <r>
    <x v="800"/>
    <x v="3"/>
    <x v="359"/>
    <s v="28-37"/>
    <n v="36"/>
    <d v="1985-03-25T00:00:00"/>
    <s v="Massachusetts"/>
    <s v="MA"/>
    <s v="Male"/>
    <s v="Single"/>
    <s v="Production Technician I"/>
    <s v="Active"/>
    <s v="Full-Time"/>
    <s v="Zone C"/>
    <s v="Production       "/>
    <s v="Aerial"/>
    <s v="Other"/>
    <s v="Exceeds"/>
    <n v="4"/>
  </r>
  <r>
    <x v="801"/>
    <x v="1"/>
    <x v="664"/>
    <s v="28-37"/>
    <n v="36"/>
    <d v="1983-12-11T00:00:00"/>
    <s v="Massachusetts"/>
    <s v="MA"/>
    <s v="Female"/>
    <s v="Divorced"/>
    <s v="Production Technician I"/>
    <s v="Active"/>
    <s v="Contract"/>
    <s v="Zone A"/>
    <s v="Production       "/>
    <s v="General - Sga"/>
    <s v="White"/>
    <s v="Fully Meets"/>
    <n v="2"/>
  </r>
  <r>
    <x v="802"/>
    <x v="2"/>
    <x v="665"/>
    <s v="28-37"/>
    <n v="36"/>
    <d v="1984-11-18T00:00:00"/>
    <s v="Massachusetts"/>
    <s v="MA"/>
    <s v="Male"/>
    <s v="Widowed"/>
    <s v="Production Technician I"/>
    <s v="Active"/>
    <s v="Part-Time"/>
    <s v="Zone B"/>
    <s v="Production       "/>
    <s v="Catv"/>
    <s v="Asian"/>
    <s v="Exceeds"/>
    <n v="4"/>
  </r>
  <r>
    <x v="803"/>
    <x v="3"/>
    <x v="50"/>
    <s v="28-37"/>
    <n v="36"/>
    <d v="1985-01-19T00:00:00"/>
    <s v="Massachusetts"/>
    <s v="MA"/>
    <s v="Female"/>
    <s v="Widowed"/>
    <s v="Production Technician I"/>
    <s v="Active"/>
    <s v="Contract"/>
    <s v="Zone A"/>
    <s v="Production       "/>
    <s v="Shop (Fleet)"/>
    <s v="Other"/>
    <s v="Fully Meets"/>
    <n v="1"/>
  </r>
  <r>
    <x v="804"/>
    <x v="3"/>
    <x v="407"/>
    <s v="28-37"/>
    <n v="36"/>
    <d v="1985-04-21T00:00:00"/>
    <s v="Massachusetts"/>
    <s v="MA"/>
    <s v="Female"/>
    <s v="Single"/>
    <s v="Production Technician I"/>
    <s v="Active"/>
    <s v="Contract"/>
    <s v="Zone A"/>
    <s v="Production       "/>
    <s v="General - Sga"/>
    <s v="Black"/>
    <s v="Fully Meets"/>
    <n v="2"/>
  </r>
  <r>
    <x v="805"/>
    <x v="5"/>
    <x v="666"/>
    <s v="28-37"/>
    <n v="36"/>
    <d v="1987-02-22T00:00:00"/>
    <s v="Massachusetts"/>
    <s v="MA"/>
    <s v="Male"/>
    <s v="Single"/>
    <s v="Production Technician I"/>
    <s v="Active"/>
    <s v="Full-Time"/>
    <s v="Zone C"/>
    <s v="Production       "/>
    <s v="Engineers"/>
    <s v="Asian"/>
    <s v="Fully Meets"/>
    <n v="2"/>
  </r>
  <r>
    <x v="806"/>
    <x v="1"/>
    <x v="667"/>
    <s v="28-37"/>
    <n v="36"/>
    <d v="1983-08-02T00:00:00"/>
    <s v="Massachusetts"/>
    <s v="MA"/>
    <s v="Male"/>
    <s v="Divorced"/>
    <s v="Production Technician I"/>
    <s v="Active"/>
    <s v="Full-Time"/>
    <s v="Zone B"/>
    <s v="Production       "/>
    <s v="General - Eng"/>
    <s v="Black"/>
    <s v="Fully Meets"/>
    <n v="5"/>
  </r>
  <r>
    <x v="807"/>
    <x v="1"/>
    <x v="27"/>
    <s v="28-37"/>
    <n v="36"/>
    <d v="1983-06-24T00:00:00"/>
    <s v="Massachusetts"/>
    <s v="MA"/>
    <s v="Male"/>
    <s v="Divorced"/>
    <s v="Production Manager"/>
    <s v="Active"/>
    <s v="Part-Time"/>
    <s v="Zone C"/>
    <s v="Production       "/>
    <s v="General - Eng"/>
    <s v="Black"/>
    <s v="Fully Meets"/>
    <n v="1"/>
  </r>
  <r>
    <x v="808"/>
    <x v="1"/>
    <x v="668"/>
    <s v="28-37"/>
    <n v="36"/>
    <d v="1983-02-18T00:00:00"/>
    <s v="Massachusetts"/>
    <s v="MA"/>
    <s v="Female"/>
    <s v="Widowed"/>
    <s v="Production Manager"/>
    <s v="Terminated"/>
    <s v="Contract"/>
    <s v="Zone A"/>
    <s v="Production       "/>
    <s v="General - Sga"/>
    <s v="White"/>
    <s v="Fully Meets"/>
    <n v="4"/>
  </r>
  <r>
    <x v="809"/>
    <x v="4"/>
    <x v="669"/>
    <s v="28-37"/>
    <n v="36"/>
    <d v="1986-02-19T00:00:00"/>
    <s v="Massachusetts"/>
    <s v="MA"/>
    <s v="Female"/>
    <s v="Married"/>
    <s v="Production Manager"/>
    <s v="Active"/>
    <s v="Full-Time"/>
    <s v="Zone A"/>
    <s v="Production       "/>
    <s v="Project Management - Con"/>
    <s v="Other"/>
    <s v="Fully Meets"/>
    <n v="3"/>
  </r>
  <r>
    <x v="810"/>
    <x v="5"/>
    <x v="670"/>
    <s v="28-37"/>
    <n v="36"/>
    <d v="1987-06-15T00:00:00"/>
    <s v="Massachusetts"/>
    <s v="MA"/>
    <s v="Male"/>
    <s v="Widowed"/>
    <s v="BI Developer"/>
    <s v="Active"/>
    <s v="Full-Time"/>
    <s v="Zone B"/>
    <s v="IT/IS"/>
    <s v="General - Con"/>
    <s v="Asian"/>
    <s v="Fully Meets"/>
    <n v="5"/>
  </r>
  <r>
    <x v="811"/>
    <x v="3"/>
    <x v="671"/>
    <s v="28-37"/>
    <n v="36"/>
    <d v="1985-06-01T00:00:00"/>
    <s v="Massachusetts"/>
    <s v="MA"/>
    <s v="Female"/>
    <s v="Single"/>
    <s v="BI Developer"/>
    <s v="Terminated"/>
    <s v="Full-Time"/>
    <s v="Zone C"/>
    <s v="IT/IS"/>
    <s v="Field Operations"/>
    <s v="White"/>
    <s v="Fully Meets"/>
    <n v="4"/>
  </r>
  <r>
    <x v="812"/>
    <x v="2"/>
    <x v="672"/>
    <s v="28-37"/>
    <n v="36"/>
    <d v="1984-10-12T00:00:00"/>
    <s v="New York"/>
    <s v="NY"/>
    <s v="Male"/>
    <s v="Divorced"/>
    <s v="Area Sales Manager"/>
    <s v="Active"/>
    <s v="Contract"/>
    <s v="Zone C"/>
    <s v="Sales"/>
    <s v="General - Con"/>
    <s v="White"/>
    <s v="Fully Meets"/>
    <n v="3"/>
  </r>
  <r>
    <x v="813"/>
    <x v="3"/>
    <x v="673"/>
    <s v="28-37"/>
    <n v="36"/>
    <d v="1985-12-07T00:00:00"/>
    <s v="Kentucky"/>
    <s v="KY"/>
    <s v="Female"/>
    <s v="Married"/>
    <s v="Area Sales Manager"/>
    <s v="Active"/>
    <s v="Contract"/>
    <s v="Zone C"/>
    <s v="Sales"/>
    <s v="Project Management - Con"/>
    <s v="Other"/>
    <s v="Exceeds"/>
    <n v="5"/>
  </r>
  <r>
    <x v="814"/>
    <x v="2"/>
    <x v="674"/>
    <s v="28-37"/>
    <n v="36"/>
    <d v="1984-02-04T00:00:00"/>
    <s v="Idaho"/>
    <s v="ID"/>
    <s v="Male"/>
    <s v="Married"/>
    <s v="Area Sales Manager"/>
    <s v="Active"/>
    <s v="Part-Time"/>
    <s v="Zone C"/>
    <s v="Sales"/>
    <s v="Field Operations"/>
    <s v="Black"/>
    <s v="Fully Meets"/>
    <n v="3"/>
  </r>
  <r>
    <x v="815"/>
    <x v="1"/>
    <x v="614"/>
    <s v="28-37"/>
    <n v="36"/>
    <d v="1983-11-27T00:00:00"/>
    <s v="Colorado"/>
    <s v="CO"/>
    <s v="Male"/>
    <s v="Single"/>
    <s v="Area Sales Manager"/>
    <s v="Active"/>
    <s v="Full-Time"/>
    <s v="Zone C"/>
    <s v="Sales"/>
    <s v="General - Con"/>
    <s v="Hispanic"/>
    <s v="Fully Meets"/>
    <n v="3"/>
  </r>
  <r>
    <x v="816"/>
    <x v="1"/>
    <x v="675"/>
    <s v="28-37"/>
    <n v="36"/>
    <d v="1983-10-11T00:00:00"/>
    <s v="Massachusetts"/>
    <s v="MA"/>
    <s v="Female"/>
    <s v="Widowed"/>
    <s v="Administrative Assistant"/>
    <s v="Active"/>
    <s v="Full-Time"/>
    <s v="Zone C"/>
    <s v="Admin Offices"/>
    <s v="General - Con"/>
    <s v="Asian"/>
    <s v="Exceeds"/>
    <n v="2"/>
  </r>
  <r>
    <x v="817"/>
    <x v="4"/>
    <x v="105"/>
    <s v="28-37"/>
    <n v="36"/>
    <d v="1986-04-20T00:00:00"/>
    <s v="Massachusetts"/>
    <s v="MA"/>
    <s v="Male"/>
    <s v="Divorced"/>
    <s v="Accountant I"/>
    <s v="Active"/>
    <s v="Contract"/>
    <s v="Zone A"/>
    <s v="Admin Offices"/>
    <s v="Field Operations"/>
    <s v="Other"/>
    <s v="Exceeds"/>
    <n v="2"/>
  </r>
  <r>
    <x v="818"/>
    <x v="1"/>
    <x v="547"/>
    <s v="28-37"/>
    <n v="37"/>
    <d v="1982-11-17T00:00:00"/>
    <s v="Massachusetts"/>
    <s v="MA"/>
    <s v="Female"/>
    <s v="Widowed"/>
    <s v="Software Engineer"/>
    <s v="Terminated"/>
    <s v="Part-Time"/>
    <s v="Zone B"/>
    <s v="Software Engineering"/>
    <s v="Finance &amp; Accounting"/>
    <s v="Other"/>
    <s v="Fully Meets"/>
    <n v="4"/>
  </r>
  <r>
    <x v="819"/>
    <x v="4"/>
    <x v="563"/>
    <s v="28-37"/>
    <n v="37"/>
    <d v="1985-05-20T00:00:00"/>
    <s v="Massachusetts"/>
    <s v="MA"/>
    <s v="Male"/>
    <s v="Single"/>
    <s v="Senior BI Developer"/>
    <s v="Active"/>
    <s v="Part-Time"/>
    <s v="Zone C"/>
    <s v="Admin Offices"/>
    <s v="Field Operations"/>
    <s v="Black"/>
    <s v="Fully Meets"/>
    <n v="4"/>
  </r>
  <r>
    <x v="820"/>
    <x v="4"/>
    <x v="676"/>
    <s v="28-37"/>
    <n v="37"/>
    <d v="1985-08-13T00:00:00"/>
    <s v="Massachusetts"/>
    <s v="MA"/>
    <s v="Female"/>
    <s v="Single"/>
    <s v="Sales Manager"/>
    <s v="Active"/>
    <s v="Contract"/>
    <s v="Zone C"/>
    <s v="IT/IS"/>
    <s v="Field Operations"/>
    <s v="Other"/>
    <s v="Fully Meets"/>
    <n v="5"/>
  </r>
  <r>
    <x v="821"/>
    <x v="5"/>
    <x v="137"/>
    <s v="28-37"/>
    <n v="37"/>
    <d v="1986-02-15T00:00:00"/>
    <s v="Massachusetts"/>
    <s v="MA"/>
    <s v="Female"/>
    <s v="Divorced"/>
    <s v="Production Technician II"/>
    <s v="Active"/>
    <s v="Full-Time"/>
    <s v="Zone B"/>
    <s v="Production       "/>
    <s v="Wireless"/>
    <s v="Asian"/>
    <s v="Fully Meets"/>
    <n v="4"/>
  </r>
  <r>
    <x v="822"/>
    <x v="2"/>
    <x v="677"/>
    <s v="28-37"/>
    <n v="37"/>
    <d v="1983-10-30T00:00:00"/>
    <s v="Massachusetts"/>
    <s v="MA"/>
    <s v="Male"/>
    <s v="Married"/>
    <s v="Production Technician II"/>
    <s v="Active"/>
    <s v="Contract"/>
    <s v="Zone A"/>
    <s v="Production       "/>
    <s v="Field Operations"/>
    <s v="Asian"/>
    <s v="Fully Meets"/>
    <n v="5"/>
  </r>
  <r>
    <x v="823"/>
    <x v="4"/>
    <x v="678"/>
    <s v="28-37"/>
    <n v="37"/>
    <d v="1985-12-07T00:00:00"/>
    <s v="Massachusetts"/>
    <s v="MA"/>
    <s v="Female"/>
    <s v="Widowed"/>
    <s v="Production Technician II"/>
    <s v="Active"/>
    <s v="Part-Time"/>
    <s v="Zone A"/>
    <s v="Production       "/>
    <s v="Splicing"/>
    <s v="Black"/>
    <s v="Fully Meets"/>
    <n v="2"/>
  </r>
  <r>
    <x v="824"/>
    <x v="1"/>
    <x v="654"/>
    <s v="28-37"/>
    <n v="37"/>
    <d v="1982-01-11T00:00:00"/>
    <s v="Massachusetts"/>
    <s v="MA"/>
    <s v="Female"/>
    <s v="Married"/>
    <s v="Production Technician II"/>
    <s v="Active"/>
    <s v="Contract"/>
    <s v="Zone B"/>
    <s v="Production       "/>
    <s v="Aerial"/>
    <s v="Hispanic"/>
    <s v="Fully Meets"/>
    <n v="5"/>
  </r>
  <r>
    <x v="825"/>
    <x v="2"/>
    <x v="679"/>
    <s v="28-37"/>
    <n v="37"/>
    <d v="1983-07-18T00:00:00"/>
    <s v="Massachusetts"/>
    <s v="MA"/>
    <s v="Female"/>
    <s v="Widowed"/>
    <s v="Production Technician II"/>
    <s v="Active"/>
    <s v="Contract"/>
    <s v="Zone C"/>
    <s v="Production       "/>
    <s v="Aerial"/>
    <s v="Asian"/>
    <s v="Fully Meets"/>
    <n v="1"/>
  </r>
  <r>
    <x v="826"/>
    <x v="2"/>
    <x v="257"/>
    <s v="28-37"/>
    <n v="37"/>
    <d v="1983-08-27T00:00:00"/>
    <s v="Massachusetts"/>
    <s v="MA"/>
    <s v="Female"/>
    <s v="Single"/>
    <s v="Production Technician II"/>
    <s v="Terminated"/>
    <s v="Contract"/>
    <s v="Zone C"/>
    <s v="Production       "/>
    <s v="Engineers"/>
    <s v="Hispanic"/>
    <s v="Fully Meets"/>
    <n v="5"/>
  </r>
  <r>
    <x v="827"/>
    <x v="0"/>
    <x v="680"/>
    <s v="28-37"/>
    <n v="37"/>
    <d v="1981-12-11T00:00:00"/>
    <s v="Massachusetts"/>
    <s v="MA"/>
    <s v="Male"/>
    <s v="Widowed"/>
    <s v="Production Technician II"/>
    <s v="Terminated"/>
    <s v="Part-Time"/>
    <s v="Zone B"/>
    <s v="Production       "/>
    <s v="Field Operations"/>
    <s v="Other"/>
    <s v="Fully Meets"/>
    <n v="3"/>
  </r>
  <r>
    <x v="828"/>
    <x v="1"/>
    <x v="681"/>
    <s v="28-37"/>
    <n v="37"/>
    <d v="1982-07-19T00:00:00"/>
    <s v="Massachusetts"/>
    <s v="MA"/>
    <s v="Male"/>
    <s v="Single"/>
    <s v="Production Technician I"/>
    <s v="Active"/>
    <s v="Part-Time"/>
    <s v="Zone C"/>
    <s v="Production       "/>
    <s v="Splicing"/>
    <s v="Other"/>
    <s v="Needs Improvement"/>
    <n v="3"/>
  </r>
  <r>
    <x v="829"/>
    <x v="2"/>
    <x v="682"/>
    <s v="28-37"/>
    <n v="37"/>
    <d v="1983-10-26T00:00:00"/>
    <s v="Massachusetts"/>
    <s v="MA"/>
    <s v="Female"/>
    <s v="Divorced"/>
    <s v="Production Technician I"/>
    <s v="Active"/>
    <s v="Contract"/>
    <s v="Zone B"/>
    <s v="Production       "/>
    <s v="Field Operations"/>
    <s v="Asian"/>
    <s v="Exceeds"/>
    <n v="1"/>
  </r>
  <r>
    <x v="830"/>
    <x v="5"/>
    <x v="683"/>
    <s v="28-37"/>
    <n v="37"/>
    <d v="1986-11-11T00:00:00"/>
    <s v="Massachusetts"/>
    <s v="MA"/>
    <s v="Female"/>
    <s v="Single"/>
    <s v="Production Technician I"/>
    <s v="Active"/>
    <s v="Part-Time"/>
    <s v="Zone B"/>
    <s v="Production       "/>
    <s v="Field Operations"/>
    <s v="Asian"/>
    <s v="Exceeds"/>
    <n v="1"/>
  </r>
  <r>
    <x v="831"/>
    <x v="5"/>
    <x v="684"/>
    <s v="28-37"/>
    <n v="37"/>
    <d v="1986-04-05T00:00:00"/>
    <s v="Massachusetts"/>
    <s v="MA"/>
    <s v="Male"/>
    <s v="Single"/>
    <s v="Production Technician I"/>
    <s v="Active"/>
    <s v="Part-Time"/>
    <s v="Zone B"/>
    <s v="Production       "/>
    <s v="Field Operations"/>
    <s v="Other"/>
    <s v="Fully Meets"/>
    <n v="5"/>
  </r>
  <r>
    <x v="832"/>
    <x v="1"/>
    <x v="685"/>
    <s v="28-37"/>
    <n v="37"/>
    <d v="1982-03-21T00:00:00"/>
    <s v="Massachusetts"/>
    <s v="MA"/>
    <s v="Male"/>
    <s v="Single"/>
    <s v="Production Technician I"/>
    <s v="Active"/>
    <s v="Part-Time"/>
    <s v="Zone B"/>
    <s v="Production       "/>
    <s v="Field Operations"/>
    <s v="Hispanic"/>
    <s v="Fully Meets"/>
    <n v="1"/>
  </r>
  <r>
    <x v="833"/>
    <x v="1"/>
    <x v="686"/>
    <s v="28-37"/>
    <n v="37"/>
    <d v="1982-03-25T00:00:00"/>
    <s v="Massachusetts"/>
    <s v="MA"/>
    <s v="Female"/>
    <s v="Widowed"/>
    <s v="Production Technician I"/>
    <s v="Active"/>
    <s v="Full-Time"/>
    <s v="Zone C"/>
    <s v="Production       "/>
    <s v="Splicing"/>
    <s v="Asian"/>
    <s v="PIP"/>
    <n v="2"/>
  </r>
  <r>
    <x v="834"/>
    <x v="4"/>
    <x v="687"/>
    <s v="28-37"/>
    <n v="37"/>
    <d v="1985-06-30T00:00:00"/>
    <s v="Massachusetts"/>
    <s v="MA"/>
    <s v="Female"/>
    <s v="Married"/>
    <s v="Production Technician I"/>
    <s v="Active"/>
    <s v="Contract"/>
    <s v="Zone B"/>
    <s v="Production       "/>
    <s v="General - Con"/>
    <s v="Other"/>
    <s v="Fully Meets"/>
    <n v="2"/>
  </r>
  <r>
    <x v="835"/>
    <x v="0"/>
    <x v="688"/>
    <s v="28-37"/>
    <n v="37"/>
    <d v="1981-06-05T00:00:00"/>
    <s v="Massachusetts"/>
    <s v="MA"/>
    <s v="Female"/>
    <s v="Single"/>
    <s v="Production Technician I"/>
    <s v="Active"/>
    <s v="Part-Time"/>
    <s v="Zone B"/>
    <s v="Production       "/>
    <s v="General - Con"/>
    <s v="Black"/>
    <s v="Fully Meets"/>
    <n v="5"/>
  </r>
  <r>
    <x v="836"/>
    <x v="1"/>
    <x v="689"/>
    <s v="28-37"/>
    <n v="37"/>
    <d v="1982-10-03T00:00:00"/>
    <s v="Massachusetts"/>
    <s v="MA"/>
    <s v="Female"/>
    <s v="Single"/>
    <s v="Production Technician I"/>
    <s v="Active"/>
    <s v="Full-Time"/>
    <s v="Zone A"/>
    <s v="Production       "/>
    <s v="Engineers"/>
    <s v="Hispanic"/>
    <s v="Fully Meets"/>
    <n v="2"/>
  </r>
  <r>
    <x v="837"/>
    <x v="3"/>
    <x v="366"/>
    <s v="28-37"/>
    <n v="37"/>
    <d v="1984-10-23T00:00:00"/>
    <s v="Massachusetts"/>
    <s v="MA"/>
    <s v="Female"/>
    <s v="Divorced"/>
    <s v="Production Technician I"/>
    <s v="Active"/>
    <s v="Part-Time"/>
    <s v="Zone B"/>
    <s v="Production       "/>
    <s v="Shop (Fleet)"/>
    <s v="Other"/>
    <s v="Needs Improvement"/>
    <n v="2"/>
  </r>
  <r>
    <x v="838"/>
    <x v="3"/>
    <x v="690"/>
    <s v="28-37"/>
    <n v="37"/>
    <d v="1984-02-20T00:00:00"/>
    <s v="Massachusetts"/>
    <s v="MA"/>
    <s v="Female"/>
    <s v="Divorced"/>
    <s v="Production Technician I"/>
    <s v="Active"/>
    <s v="Full-Time"/>
    <s v="Zone C"/>
    <s v="Production       "/>
    <s v="Aerial"/>
    <s v="Other"/>
    <s v="Exceeds"/>
    <n v="4"/>
  </r>
  <r>
    <x v="839"/>
    <x v="1"/>
    <x v="691"/>
    <s v="28-37"/>
    <n v="37"/>
    <d v="1982-08-13T00:00:00"/>
    <s v="Massachusetts"/>
    <s v="MA"/>
    <s v="Female"/>
    <s v="Married"/>
    <s v="Production Technician I"/>
    <s v="Active"/>
    <s v="Full-Time"/>
    <s v="Zone B"/>
    <s v="Production       "/>
    <s v="Wireline Construction"/>
    <s v="Asian"/>
    <s v="Fully Meets"/>
    <n v="1"/>
  </r>
  <r>
    <x v="840"/>
    <x v="5"/>
    <x v="692"/>
    <s v="28-37"/>
    <n v="37"/>
    <d v="1986-08-26T00:00:00"/>
    <s v="Massachusetts"/>
    <s v="MA"/>
    <s v="Female"/>
    <s v="Single"/>
    <s v="Production Technician I"/>
    <s v="Active"/>
    <s v="Full-Time"/>
    <s v="Zone C"/>
    <s v="Production       "/>
    <s v="General - Con"/>
    <s v="Asian"/>
    <s v="Fully Meets"/>
    <n v="3"/>
  </r>
  <r>
    <x v="841"/>
    <x v="1"/>
    <x v="43"/>
    <s v="28-37"/>
    <n v="37"/>
    <d v="1982-01-25T00:00:00"/>
    <s v="Massachusetts"/>
    <s v="MA"/>
    <s v="Female"/>
    <s v="Married"/>
    <s v="Production Technician I"/>
    <s v="Active"/>
    <s v="Part-Time"/>
    <s v="Zone C"/>
    <s v="Production       "/>
    <s v="Catv"/>
    <s v="Asian"/>
    <s v="Exceeds"/>
    <n v="2"/>
  </r>
  <r>
    <x v="842"/>
    <x v="2"/>
    <x v="693"/>
    <s v="28-37"/>
    <n v="37"/>
    <d v="1983-04-09T00:00:00"/>
    <s v="Massachusetts"/>
    <s v="MA"/>
    <s v="Male"/>
    <s v="Divorced"/>
    <s v="Production Technician I"/>
    <s v="Active"/>
    <s v="Part-Time"/>
    <s v="Zone B"/>
    <s v="Production       "/>
    <s v="Wireline Construction"/>
    <s v="Black"/>
    <s v="Exceeds"/>
    <n v="3"/>
  </r>
  <r>
    <x v="843"/>
    <x v="1"/>
    <x v="43"/>
    <s v="28-37"/>
    <n v="37"/>
    <d v="1982-05-11T00:00:00"/>
    <s v="Massachusetts"/>
    <s v="MA"/>
    <s v="Female"/>
    <s v="Divorced"/>
    <s v="Production Technician I"/>
    <s v="Active"/>
    <s v="Full-Time"/>
    <s v="Zone C"/>
    <s v="Production       "/>
    <s v="General - Eng"/>
    <s v="Other"/>
    <s v="Fully Meets"/>
    <n v="3"/>
  </r>
  <r>
    <x v="844"/>
    <x v="1"/>
    <x v="68"/>
    <s v="28-37"/>
    <n v="37"/>
    <d v="1982-09-19T00:00:00"/>
    <s v="Massachusetts"/>
    <s v="MA"/>
    <s v="Female"/>
    <s v="Widowed"/>
    <s v="Production Technician I"/>
    <s v="Active"/>
    <s v="Part-Time"/>
    <s v="Zone B"/>
    <s v="Production       "/>
    <s v="Field Operations"/>
    <s v="White"/>
    <s v="Exceeds"/>
    <n v="3"/>
  </r>
  <r>
    <x v="845"/>
    <x v="0"/>
    <x v="136"/>
    <s v="28-37"/>
    <n v="37"/>
    <d v="1981-02-26T00:00:00"/>
    <s v="Massachusetts"/>
    <s v="MA"/>
    <s v="Male"/>
    <s v="Single"/>
    <s v="Production Technician I"/>
    <s v="Active"/>
    <s v="Contract"/>
    <s v="Zone A"/>
    <s v="Production       "/>
    <s v="General - Con"/>
    <s v="Other"/>
    <s v="Exceeds"/>
    <n v="2"/>
  </r>
  <r>
    <x v="846"/>
    <x v="5"/>
    <x v="694"/>
    <s v="28-37"/>
    <n v="37"/>
    <d v="1986-06-19T00:00:00"/>
    <s v="Massachusetts"/>
    <s v="MA"/>
    <s v="Female"/>
    <s v="Single"/>
    <s v="Production Technician I"/>
    <s v="Terminated"/>
    <s v="Part-Time"/>
    <s v="Zone B"/>
    <s v="Production       "/>
    <s v="General - Con"/>
    <s v="Black"/>
    <s v="Fully Meets"/>
    <n v="1"/>
  </r>
  <r>
    <x v="847"/>
    <x v="4"/>
    <x v="695"/>
    <s v="28-37"/>
    <n v="37"/>
    <d v="1985-09-19T00:00:00"/>
    <s v="Massachusetts"/>
    <s v="MA"/>
    <s v="Female"/>
    <s v="Widowed"/>
    <s v="Production Manager"/>
    <s v="Terminated"/>
    <s v="Full-Time"/>
    <s v="Zone C"/>
    <s v="Production       "/>
    <s v="Shop (Fleet)"/>
    <s v="Black"/>
    <s v="Fully Meets"/>
    <n v="2"/>
  </r>
  <r>
    <x v="848"/>
    <x v="0"/>
    <x v="696"/>
    <s v="28-37"/>
    <n v="37"/>
    <d v="1981-10-10T00:00:00"/>
    <s v="Massachusetts"/>
    <s v="MA"/>
    <s v="Male"/>
    <s v="Divorced"/>
    <s v="Production Manager"/>
    <s v="Active"/>
    <s v="Contract"/>
    <s v="Zone B"/>
    <s v="Production       "/>
    <s v="General - Eng"/>
    <s v="Black"/>
    <s v="Fully Meets"/>
    <n v="4"/>
  </r>
  <r>
    <x v="849"/>
    <x v="3"/>
    <x v="697"/>
    <s v="28-37"/>
    <n v="37"/>
    <d v="1984-05-26T00:00:00"/>
    <s v="Massachusetts"/>
    <s v="MA"/>
    <s v="Male"/>
    <s v="Divorced"/>
    <s v="Network Engineer"/>
    <s v="Active"/>
    <s v="Contract"/>
    <s v="Zone C"/>
    <s v="IT/IS"/>
    <s v="Project Management - Con"/>
    <s v="White"/>
    <s v="Fully Meets"/>
    <n v="5"/>
  </r>
  <r>
    <x v="850"/>
    <x v="0"/>
    <x v="698"/>
    <s v="28-37"/>
    <n v="37"/>
    <d v="1981-11-13T00:00:00"/>
    <s v="Massachusetts"/>
    <s v="MA"/>
    <s v="Female"/>
    <s v="Widowed"/>
    <s v="BI Director"/>
    <s v="Terminated"/>
    <s v="Contract"/>
    <s v="Zone C"/>
    <s v="IT/IS"/>
    <s v="Isp"/>
    <s v="Other"/>
    <s v="Fully Meets"/>
    <n v="3"/>
  </r>
  <r>
    <x v="851"/>
    <x v="1"/>
    <x v="699"/>
    <s v="28-37"/>
    <n v="37"/>
    <d v="1982-05-16T00:00:00"/>
    <s v="Massachusetts"/>
    <s v="MA"/>
    <s v="Male"/>
    <s v="Divorced"/>
    <s v="BI Director"/>
    <s v="Active"/>
    <s v="Contract"/>
    <s v="Zone C"/>
    <s v="IT/IS"/>
    <s v="Finance &amp; Accounting"/>
    <s v="Hispanic"/>
    <s v="Fully Meets"/>
    <n v="4"/>
  </r>
  <r>
    <x v="852"/>
    <x v="5"/>
    <x v="643"/>
    <s v="28-37"/>
    <n v="37"/>
    <d v="1986-10-24T00:00:00"/>
    <s v="Massachusetts"/>
    <s v="MA"/>
    <s v="Female"/>
    <s v="Widowed"/>
    <s v="BI Developer"/>
    <s v="Terminated"/>
    <s v="Full-Time"/>
    <s v="Zone C"/>
    <s v="IT/IS"/>
    <s v="Executive"/>
    <s v="White"/>
    <s v="Fully Meets"/>
    <n v="4"/>
  </r>
  <r>
    <x v="853"/>
    <x v="2"/>
    <x v="503"/>
    <s v="28-37"/>
    <n v="37"/>
    <d v="1983-10-12T00:00:00"/>
    <s v="Kentucky"/>
    <s v="KY"/>
    <s v="Female"/>
    <s v="Single"/>
    <s v="Area Sales Manager"/>
    <s v="Active"/>
    <s v="Full-Time"/>
    <s v="Zone C"/>
    <s v="Sales"/>
    <s v="Splicing"/>
    <s v="Other"/>
    <s v="Fully Meets"/>
    <n v="5"/>
  </r>
  <r>
    <x v="854"/>
    <x v="4"/>
    <x v="700"/>
    <s v="28-37"/>
    <n v="37"/>
    <d v="1985-01-28T00:00:00"/>
    <s v="Idaho"/>
    <s v="ID"/>
    <s v="Male"/>
    <s v="Married"/>
    <s v="Area Sales Manager"/>
    <s v="Active"/>
    <s v="Full-Time"/>
    <s v="Zone A"/>
    <s v="Sales"/>
    <s v="Field Operations"/>
    <s v="Asian"/>
    <s v="Fully Meets"/>
    <n v="2"/>
  </r>
  <r>
    <x v="855"/>
    <x v="2"/>
    <x v="335"/>
    <s v="28-37"/>
    <n v="37"/>
    <d v="1983-06-09T00:00:00"/>
    <s v="Colorado"/>
    <s v="CO"/>
    <s v="Male"/>
    <s v="Widowed"/>
    <s v="Area Sales Manager"/>
    <s v="Active"/>
    <s v="Full-Time"/>
    <s v="Zone B"/>
    <s v="Sales"/>
    <s v="Splicing"/>
    <s v="White"/>
    <s v="Exceeds"/>
    <n v="2"/>
  </r>
  <r>
    <x v="856"/>
    <x v="4"/>
    <x v="701"/>
    <s v="28-37"/>
    <n v="37"/>
    <d v="1985-09-09T00:00:00"/>
    <s v="Washington"/>
    <s v="WA"/>
    <s v="Female"/>
    <s v="Single"/>
    <s v="Administrative Assistant"/>
    <s v="Active"/>
    <s v="Part-Time"/>
    <s v="Zone C"/>
    <s v="Sales"/>
    <s v="Project Management - Con"/>
    <s v="White"/>
    <s v="Fully Meets"/>
    <n v="2"/>
  </r>
  <r>
    <x v="857"/>
    <x v="1"/>
    <x v="702"/>
    <s v="28-37"/>
    <n v="37"/>
    <d v="1982-08-07T00:00:00"/>
    <s v="Massachusetts"/>
    <s v="MA"/>
    <s v="Female"/>
    <s v="Widowed"/>
    <s v="Accountant I"/>
    <s v="Active"/>
    <s v="Full-Time"/>
    <s v="Zone C"/>
    <s v="Admin Offices"/>
    <s v="Wireline Construction"/>
    <s v="Other"/>
    <s v="Fully Meets"/>
    <n v="5"/>
  </r>
  <r>
    <x v="858"/>
    <x v="1"/>
    <x v="703"/>
    <s v="28-37"/>
    <n v="37"/>
    <d v="1982-07-13T00:00:00"/>
    <s v="Massachusetts"/>
    <s v="MA"/>
    <s v="Male"/>
    <s v="Widowed"/>
    <s v="Accountant I"/>
    <s v="Active"/>
    <s v="Contract"/>
    <s v="Zone C"/>
    <s v="Admin Offices"/>
    <s v="Field Operations"/>
    <s v="Hispanic"/>
    <s v="Exceeds"/>
    <n v="1"/>
  </r>
  <r>
    <x v="859"/>
    <x v="1"/>
    <x v="704"/>
    <s v="28-37"/>
    <n v="37"/>
    <d v="1982-05-02T00:00:00"/>
    <s v="Massachusetts"/>
    <s v="MA"/>
    <s v="Female"/>
    <s v="Divorced"/>
    <s v="Accountant I"/>
    <s v="Active"/>
    <s v="Contract"/>
    <s v="Zone B"/>
    <s v="Admin Offices"/>
    <s v="Engineers"/>
    <s v="Black"/>
    <s v="Fully Meets"/>
    <n v="5"/>
  </r>
  <r>
    <x v="860"/>
    <x v="3"/>
    <x v="705"/>
    <s v="38-47"/>
    <n v="38"/>
    <d v="1983-07-08T00:00:00"/>
    <s v="Massachusetts"/>
    <s v="MA"/>
    <s v="Male"/>
    <s v="Divorced"/>
    <s v="Software Engineer"/>
    <s v="Terminated"/>
    <s v="Full-Time"/>
    <s v="Zone A"/>
    <s v="Software Engineering"/>
    <s v="General - Con"/>
    <s v="Asian"/>
    <s v="Fully Meets"/>
    <n v="4"/>
  </r>
  <r>
    <x v="861"/>
    <x v="1"/>
    <x v="706"/>
    <s v="38-47"/>
    <n v="38"/>
    <d v="1981-12-21T00:00:00"/>
    <s v="Massachusetts"/>
    <s v="MA"/>
    <s v="Female"/>
    <s v="Married"/>
    <s v="Software Engineer"/>
    <s v="Active"/>
    <s v="Contract"/>
    <s v="Zone B"/>
    <s v="Software Engineering"/>
    <s v="General - Con"/>
    <s v="Hispanic"/>
    <s v="Fully Meets"/>
    <n v="2"/>
  </r>
  <r>
    <x v="862"/>
    <x v="2"/>
    <x v="707"/>
    <s v="38-47"/>
    <n v="38"/>
    <d v="1982-07-21T00:00:00"/>
    <s v="Pennsylvania"/>
    <s v="PA"/>
    <s v="Female"/>
    <s v="Single"/>
    <s v="Sales Manager"/>
    <s v="Active"/>
    <s v="Part-Time"/>
    <s v="Zone C"/>
    <s v="Sales"/>
    <s v="General - Sga"/>
    <s v="White"/>
    <s v="Fully Meets"/>
    <n v="3"/>
  </r>
  <r>
    <x v="863"/>
    <x v="0"/>
    <x v="708"/>
    <s v="38-47"/>
    <n v="38"/>
    <d v="1980-07-07T00:00:00"/>
    <s v="Massachusetts"/>
    <s v="MA"/>
    <s v="Male"/>
    <s v="Widowed"/>
    <s v="Production Technician II"/>
    <s v="Active"/>
    <s v="Contract"/>
    <s v="Zone C"/>
    <s v="Production       "/>
    <s v="People Services"/>
    <s v="Hispanic"/>
    <s v="Fully Meets"/>
    <n v="3"/>
  </r>
  <r>
    <x v="864"/>
    <x v="4"/>
    <x v="123"/>
    <s v="38-47"/>
    <n v="38"/>
    <d v="1984-01-27T00:00:00"/>
    <s v="Massachusetts"/>
    <s v="MA"/>
    <s v="Female"/>
    <s v="Divorced"/>
    <s v="Production Technician II"/>
    <s v="Active"/>
    <s v="Full-Time"/>
    <s v="Zone A"/>
    <s v="Production       "/>
    <s v="Catv"/>
    <s v="Black"/>
    <s v="PIP"/>
    <n v="3"/>
  </r>
  <r>
    <x v="865"/>
    <x v="0"/>
    <x v="709"/>
    <s v="38-47"/>
    <n v="38"/>
    <d v="1980-03-05T00:00:00"/>
    <s v="Massachusetts"/>
    <s v="MA"/>
    <s v="Female"/>
    <s v="Married"/>
    <s v="Production Technician II"/>
    <s v="Terminated"/>
    <s v="Full-Time"/>
    <s v="Zone C"/>
    <s v="Production       "/>
    <s v="Shop (Fleet)"/>
    <s v="Asian"/>
    <s v="Fully Meets"/>
    <n v="5"/>
  </r>
  <r>
    <x v="866"/>
    <x v="3"/>
    <x v="710"/>
    <s v="38-47"/>
    <n v="38"/>
    <d v="1983-03-17T00:00:00"/>
    <s v="Massachusetts"/>
    <s v="MA"/>
    <s v="Male"/>
    <s v="Widowed"/>
    <s v="Production Technician II"/>
    <s v="Active"/>
    <s v="Contract"/>
    <s v="Zone A"/>
    <s v="Production       "/>
    <s v="General - Con"/>
    <s v="Hispanic"/>
    <s v="Fully Meets"/>
    <n v="3"/>
  </r>
  <r>
    <x v="867"/>
    <x v="1"/>
    <x v="711"/>
    <s v="38-47"/>
    <n v="38"/>
    <d v="1981-07-02T00:00:00"/>
    <s v="Massachusetts"/>
    <s v="MA"/>
    <s v="Female"/>
    <s v="Divorced"/>
    <s v="Production Technician II"/>
    <s v="Active"/>
    <s v="Contract"/>
    <s v="Zone C"/>
    <s v="Production       "/>
    <s v="Project Management - Con"/>
    <s v="White"/>
    <s v="Fully Meets"/>
    <n v="2"/>
  </r>
  <r>
    <x v="868"/>
    <x v="5"/>
    <x v="712"/>
    <s v="38-47"/>
    <n v="38"/>
    <d v="1985-01-20T00:00:00"/>
    <s v="Massachusetts"/>
    <s v="MA"/>
    <s v="Female"/>
    <s v="Single"/>
    <s v="Production Technician II"/>
    <s v="Active"/>
    <s v="Part-Time"/>
    <s v="Zone C"/>
    <s v="Production       "/>
    <s v="General - Con"/>
    <s v="Asian"/>
    <s v="Needs Improvement"/>
    <n v="2"/>
  </r>
  <r>
    <x v="869"/>
    <x v="5"/>
    <x v="713"/>
    <s v="38-47"/>
    <n v="38"/>
    <d v="1985-07-17T00:00:00"/>
    <s v="Massachusetts"/>
    <s v="MA"/>
    <s v="Female"/>
    <s v="Single"/>
    <s v="Production Technician II"/>
    <s v="Active"/>
    <s v="Contract"/>
    <s v="Zone C"/>
    <s v="Production       "/>
    <s v="Field Operations"/>
    <s v="Black"/>
    <s v="Fully Meets"/>
    <n v="4"/>
  </r>
  <r>
    <x v="870"/>
    <x v="4"/>
    <x v="714"/>
    <s v="38-47"/>
    <n v="38"/>
    <d v="1984-11-11T00:00:00"/>
    <s v="Massachusetts"/>
    <s v="MA"/>
    <s v="Female"/>
    <s v="Divorced"/>
    <s v="Production Technician II"/>
    <s v="Active"/>
    <s v="Part-Time"/>
    <s v="Zone B"/>
    <s v="Production       "/>
    <s v="Splicing"/>
    <s v="Asian"/>
    <s v="Fully Meets"/>
    <n v="5"/>
  </r>
  <r>
    <x v="871"/>
    <x v="1"/>
    <x v="715"/>
    <s v="38-47"/>
    <n v="38"/>
    <d v="1981-04-04T00:00:00"/>
    <s v="Massachusetts"/>
    <s v="MA"/>
    <s v="Female"/>
    <s v="Married"/>
    <s v="Production Technician II"/>
    <s v="Terminated"/>
    <s v="Part-Time"/>
    <s v="Zone B"/>
    <s v="Production       "/>
    <s v="Engineers"/>
    <s v="Other"/>
    <s v="Fully Meets"/>
    <n v="4"/>
  </r>
  <r>
    <x v="872"/>
    <x v="2"/>
    <x v="716"/>
    <s v="38-47"/>
    <n v="38"/>
    <d v="1982-03-13T00:00:00"/>
    <s v="Massachusetts"/>
    <s v="MA"/>
    <s v="Male"/>
    <s v="Divorced"/>
    <s v="Production Technician I"/>
    <s v="Active"/>
    <s v="Contract"/>
    <s v="Zone B"/>
    <s v="Production       "/>
    <s v="Catv"/>
    <s v="Asian"/>
    <s v="Fully Meets"/>
    <n v="5"/>
  </r>
  <r>
    <x v="873"/>
    <x v="4"/>
    <x v="717"/>
    <s v="38-47"/>
    <n v="38"/>
    <d v="1984-12-25T00:00:00"/>
    <s v="Massachusetts"/>
    <s v="MA"/>
    <s v="Male"/>
    <s v="Single"/>
    <s v="Production Technician I"/>
    <s v="Active"/>
    <s v="Contract"/>
    <s v="Zone A"/>
    <s v="Production       "/>
    <s v="Field Operations"/>
    <s v="Black"/>
    <s v="PIP"/>
    <n v="3"/>
  </r>
  <r>
    <x v="874"/>
    <x v="4"/>
    <x v="718"/>
    <s v="38-47"/>
    <n v="38"/>
    <d v="1984-02-25T00:00:00"/>
    <s v="Massachusetts"/>
    <s v="MA"/>
    <s v="Female"/>
    <s v="Widowed"/>
    <s v="Production Technician I"/>
    <s v="Active"/>
    <s v="Full-Time"/>
    <s v="Zone B"/>
    <s v="Production       "/>
    <s v="Aerial"/>
    <s v="White"/>
    <s v="Fully Meets"/>
    <n v="4"/>
  </r>
  <r>
    <x v="875"/>
    <x v="4"/>
    <x v="605"/>
    <s v="38-47"/>
    <n v="38"/>
    <d v="1984-07-16T00:00:00"/>
    <s v="Massachusetts"/>
    <s v="MA"/>
    <s v="Female"/>
    <s v="Widowed"/>
    <s v="Production Technician I"/>
    <s v="Active"/>
    <s v="Part-Time"/>
    <s v="Zone A"/>
    <s v="Production       "/>
    <s v="Aerial"/>
    <s v="Asian"/>
    <s v="Fully Meets"/>
    <n v="4"/>
  </r>
  <r>
    <x v="876"/>
    <x v="3"/>
    <x v="719"/>
    <s v="38-47"/>
    <n v="38"/>
    <d v="1983-09-27T00:00:00"/>
    <s v="Massachusetts"/>
    <s v="MA"/>
    <s v="Female"/>
    <s v="Single"/>
    <s v="Production Technician I"/>
    <s v="Active"/>
    <s v="Full-Time"/>
    <s v="Zone A"/>
    <s v="Production       "/>
    <s v="Field Operations"/>
    <s v="Black"/>
    <s v="Exceeds"/>
    <n v="1"/>
  </r>
  <r>
    <x v="877"/>
    <x v="3"/>
    <x v="440"/>
    <s v="38-47"/>
    <n v="38"/>
    <d v="1983-10-21T00:00:00"/>
    <s v="Massachusetts"/>
    <s v="MA"/>
    <s v="Female"/>
    <s v="Widowed"/>
    <s v="Production Technician I"/>
    <s v="Active"/>
    <s v="Contract"/>
    <s v="Zone B"/>
    <s v="Production       "/>
    <s v="Field Operations"/>
    <s v="Other"/>
    <s v="Fully Meets"/>
    <n v="5"/>
  </r>
  <r>
    <x v="878"/>
    <x v="2"/>
    <x v="236"/>
    <s v="38-47"/>
    <n v="38"/>
    <d v="1982-04-30T00:00:00"/>
    <s v="Massachusetts"/>
    <s v="MA"/>
    <s v="Female"/>
    <s v="Widowed"/>
    <s v="Production Technician I"/>
    <s v="Active"/>
    <s v="Full-Time"/>
    <s v="Zone B"/>
    <s v="Production       "/>
    <s v="General - Con"/>
    <s v="Hispanic"/>
    <s v="Fully Meets"/>
    <n v="5"/>
  </r>
  <r>
    <x v="879"/>
    <x v="5"/>
    <x v="720"/>
    <s v="38-47"/>
    <n v="38"/>
    <d v="1985-12-07T00:00:00"/>
    <s v="Massachusetts"/>
    <s v="MA"/>
    <s v="Female"/>
    <s v="Divorced"/>
    <s v="Production Technician I"/>
    <s v="Active"/>
    <s v="Contract"/>
    <s v="Zone B"/>
    <s v="Production       "/>
    <s v="General - Con"/>
    <s v="White"/>
    <s v="Fully Meets"/>
    <n v="2"/>
  </r>
  <r>
    <x v="880"/>
    <x v="0"/>
    <x v="721"/>
    <s v="38-47"/>
    <n v="38"/>
    <d v="1980-08-10T00:00:00"/>
    <s v="Massachusetts"/>
    <s v="MA"/>
    <s v="Female"/>
    <s v="Widowed"/>
    <s v="Production Technician I"/>
    <s v="Active"/>
    <s v="Full-Time"/>
    <s v="Zone A"/>
    <s v="Production       "/>
    <s v="Field Operations"/>
    <s v="Hispanic"/>
    <s v="PIP"/>
    <n v="4"/>
  </r>
  <r>
    <x v="881"/>
    <x v="3"/>
    <x v="722"/>
    <s v="38-47"/>
    <n v="38"/>
    <d v="1983-05-31T00:00:00"/>
    <s v="Massachusetts"/>
    <s v="MA"/>
    <s v="Female"/>
    <s v="Widowed"/>
    <s v="Production Technician I"/>
    <s v="Active"/>
    <s v="Full-Time"/>
    <s v="Zone C"/>
    <s v="Production       "/>
    <s v="Aerial"/>
    <s v="White"/>
    <s v="Exceeds"/>
    <n v="1"/>
  </r>
  <r>
    <x v="882"/>
    <x v="4"/>
    <x v="723"/>
    <s v="38-47"/>
    <n v="38"/>
    <d v="1984-01-13T00:00:00"/>
    <s v="Massachusetts"/>
    <s v="MA"/>
    <s v="Male"/>
    <s v="Divorced"/>
    <s v="Production Technician I"/>
    <s v="Active"/>
    <s v="Full-Time"/>
    <s v="Zone A"/>
    <s v="Production       "/>
    <s v="Field Operations"/>
    <s v="White"/>
    <s v="Fully Meets"/>
    <n v="5"/>
  </r>
  <r>
    <x v="883"/>
    <x v="0"/>
    <x v="556"/>
    <s v="38-47"/>
    <n v="38"/>
    <d v="1980-05-24T00:00:00"/>
    <s v="Massachusetts"/>
    <s v="MA"/>
    <s v="Female"/>
    <s v="Married"/>
    <s v="Production Technician I"/>
    <s v="Active"/>
    <s v="Full-Time"/>
    <s v="Zone C"/>
    <s v="Production       "/>
    <s v="General - Sga"/>
    <s v="Hispanic"/>
    <s v="Fully Meets"/>
    <n v="5"/>
  </r>
  <r>
    <x v="884"/>
    <x v="2"/>
    <x v="724"/>
    <s v="38-47"/>
    <n v="38"/>
    <d v="1982-09-06T00:00:00"/>
    <s v="Massachusetts"/>
    <s v="MA"/>
    <s v="Female"/>
    <s v="Married"/>
    <s v="Production Technician I"/>
    <s v="Active"/>
    <s v="Contract"/>
    <s v="Zone C"/>
    <s v="Production       "/>
    <s v="Field Operations"/>
    <s v="Asian"/>
    <s v="Fully Meets"/>
    <n v="4"/>
  </r>
  <r>
    <x v="885"/>
    <x v="4"/>
    <x v="473"/>
    <s v="38-47"/>
    <n v="38"/>
    <d v="1984-12-06T00:00:00"/>
    <s v="Massachusetts"/>
    <s v="MA"/>
    <s v="Male"/>
    <s v="Single"/>
    <s v="Production Technician I"/>
    <s v="Active"/>
    <s v="Contract"/>
    <s v="Zone A"/>
    <s v="Production       "/>
    <s v="Executive"/>
    <s v="White"/>
    <s v="Fully Meets"/>
    <n v="2"/>
  </r>
  <r>
    <x v="886"/>
    <x v="4"/>
    <x v="190"/>
    <s v="38-47"/>
    <n v="38"/>
    <d v="1984-05-23T00:00:00"/>
    <s v="Massachusetts"/>
    <s v="MA"/>
    <s v="Male"/>
    <s v="Married"/>
    <s v="Production Technician I"/>
    <s v="Active"/>
    <s v="Contract"/>
    <s v="Zone B"/>
    <s v="Production       "/>
    <s v="General - Con"/>
    <s v="Other"/>
    <s v="Fully Meets"/>
    <n v="2"/>
  </r>
  <r>
    <x v="887"/>
    <x v="2"/>
    <x v="437"/>
    <s v="38-47"/>
    <n v="38"/>
    <d v="1982-12-14T00:00:00"/>
    <s v="Massachusetts"/>
    <s v="MA"/>
    <s v="Female"/>
    <s v="Married"/>
    <s v="Production Technician I"/>
    <s v="Active"/>
    <s v="Contract"/>
    <s v="Zone A"/>
    <s v="Production       "/>
    <s v="Field Operations"/>
    <s v="Hispanic"/>
    <s v="Exceeds"/>
    <n v="2"/>
  </r>
  <r>
    <x v="888"/>
    <x v="1"/>
    <x v="84"/>
    <s v="38-47"/>
    <n v="38"/>
    <d v="1981-10-18T00:00:00"/>
    <s v="Massachusetts"/>
    <s v="MA"/>
    <s v="Female"/>
    <s v="Single"/>
    <s v="Production Technician I"/>
    <s v="Terminated"/>
    <s v="Full-Time"/>
    <s v="Zone A"/>
    <s v="Production       "/>
    <s v="General - Con"/>
    <s v="Black"/>
    <s v="PIP"/>
    <n v="4"/>
  </r>
  <r>
    <x v="889"/>
    <x v="2"/>
    <x v="725"/>
    <s v="38-47"/>
    <n v="38"/>
    <d v="1982-08-13T00:00:00"/>
    <s v="Massachusetts"/>
    <s v="MA"/>
    <s v="Female"/>
    <s v="Divorced"/>
    <s v="Production Technician I"/>
    <s v="Active"/>
    <s v="Part-Time"/>
    <s v="Zone B"/>
    <s v="Production       "/>
    <s v="Field Operations"/>
    <s v="Other"/>
    <s v="Fully Meets"/>
    <n v="2"/>
  </r>
  <r>
    <x v="890"/>
    <x v="3"/>
    <x v="130"/>
    <s v="38-47"/>
    <n v="38"/>
    <d v="1983-09-09T00:00:00"/>
    <s v="Massachusetts"/>
    <s v="MA"/>
    <s v="Male"/>
    <s v="Single"/>
    <s v="Production Technician I"/>
    <s v="Active"/>
    <s v="Part-Time"/>
    <s v="Zone A"/>
    <s v="Production       "/>
    <s v="Wireline Construction"/>
    <s v="Black"/>
    <s v="Fully Meets"/>
    <n v="1"/>
  </r>
  <r>
    <x v="891"/>
    <x v="4"/>
    <x v="156"/>
    <s v="38-47"/>
    <n v="38"/>
    <d v="1984-12-12T00:00:00"/>
    <s v="Massachusetts"/>
    <s v="MA"/>
    <s v="Male"/>
    <s v="Divorced"/>
    <s v="Production Technician I"/>
    <s v="Active"/>
    <s v="Part-Time"/>
    <s v="Zone C"/>
    <s v="Production       "/>
    <s v="Splicing"/>
    <s v="Other"/>
    <s v="Fully Meets"/>
    <n v="5"/>
  </r>
  <r>
    <x v="892"/>
    <x v="2"/>
    <x v="682"/>
    <s v="38-47"/>
    <n v="38"/>
    <d v="1982-02-27T00:00:00"/>
    <s v="Massachusetts"/>
    <s v="MA"/>
    <s v="Female"/>
    <s v="Married"/>
    <s v="Production Technician I"/>
    <s v="Active"/>
    <s v="Part-Time"/>
    <s v="Zone C"/>
    <s v="Production       "/>
    <s v="Project Management - Con"/>
    <s v="Hispanic"/>
    <s v="Exceeds"/>
    <n v="3"/>
  </r>
  <r>
    <x v="893"/>
    <x v="1"/>
    <x v="726"/>
    <s v="38-47"/>
    <n v="38"/>
    <d v="1981-04-02T00:00:00"/>
    <s v="Massachusetts"/>
    <s v="MA"/>
    <s v="Female"/>
    <s v="Widowed"/>
    <s v="Production Technician I"/>
    <s v="Terminated"/>
    <s v="Full-Time"/>
    <s v="Zone A"/>
    <s v="Production       "/>
    <s v="General - Con"/>
    <s v="Other"/>
    <s v="Exceeds"/>
    <n v="2"/>
  </r>
  <r>
    <x v="894"/>
    <x v="3"/>
    <x v="175"/>
    <s v="38-47"/>
    <n v="38"/>
    <d v="1983-02-17T00:00:00"/>
    <s v="Massachusetts"/>
    <s v="MA"/>
    <s v="Female"/>
    <s v="Widowed"/>
    <s v="Production Manager"/>
    <s v="Active"/>
    <s v="Full-Time"/>
    <s v="Zone C"/>
    <s v="Production       "/>
    <s v="Wireline Construction"/>
    <s v="Hispanic"/>
    <s v="Fully Meets"/>
    <n v="5"/>
  </r>
  <r>
    <x v="895"/>
    <x v="3"/>
    <x v="186"/>
    <s v="38-47"/>
    <n v="38"/>
    <d v="1983-08-25T00:00:00"/>
    <s v="Massachusetts"/>
    <s v="MA"/>
    <s v="Female"/>
    <s v="Single"/>
    <s v="Production Manager"/>
    <s v="Active"/>
    <s v="Full-Time"/>
    <s v="Zone A"/>
    <s v="Production       "/>
    <s v="Splicing"/>
    <s v="Hispanic"/>
    <s v="Fully Meets"/>
    <n v="3"/>
  </r>
  <r>
    <x v="896"/>
    <x v="2"/>
    <x v="693"/>
    <s v="38-47"/>
    <n v="38"/>
    <d v="1982-10-12T00:00:00"/>
    <s v="Massachusetts"/>
    <s v="MA"/>
    <s v="Male"/>
    <s v="Single"/>
    <s v="Network Engineer"/>
    <s v="Active"/>
    <s v="Contract"/>
    <s v="Zone C"/>
    <s v="Executive Office"/>
    <s v="Aerial"/>
    <s v="Other"/>
    <s v="Fully Meets"/>
    <n v="4"/>
  </r>
  <r>
    <x v="897"/>
    <x v="2"/>
    <x v="727"/>
    <s v="38-47"/>
    <n v="38"/>
    <d v="1982-02-05T00:00:00"/>
    <s v="Massachusetts"/>
    <s v="MA"/>
    <s v="Female"/>
    <s v="Single"/>
    <s v="IT Support"/>
    <s v="Active"/>
    <s v="Full-Time"/>
    <s v="Zone A"/>
    <s v="IT/IS"/>
    <s v="Field Operations"/>
    <s v="Other"/>
    <s v="Fully Meets"/>
    <n v="1"/>
  </r>
  <r>
    <x v="898"/>
    <x v="1"/>
    <x v="728"/>
    <s v="38-47"/>
    <n v="38"/>
    <d v="1981-12-29T00:00:00"/>
    <s v="Connecticut"/>
    <s v="CT"/>
    <s v="Female"/>
    <s v="Widowed"/>
    <s v="IT Support"/>
    <s v="Active"/>
    <s v="Part-Time"/>
    <s v="Zone C"/>
    <s v="IT/IS"/>
    <s v="Field Operations"/>
    <s v="Asian"/>
    <s v="Fully Meets"/>
    <n v="5"/>
  </r>
  <r>
    <x v="899"/>
    <x v="2"/>
    <x v="168"/>
    <s v="38-47"/>
    <n v="38"/>
    <d v="1982-10-22T00:00:00"/>
    <s v="Massachusetts"/>
    <s v="MA"/>
    <s v="Female"/>
    <s v="Divorced"/>
    <s v="Data Analyst "/>
    <s v="Active"/>
    <s v="Full-Time"/>
    <s v="Zone A"/>
    <s v="IT/IS"/>
    <s v="Catv"/>
    <s v="Other"/>
    <s v="Fully Meets"/>
    <n v="5"/>
  </r>
  <r>
    <x v="900"/>
    <x v="3"/>
    <x v="270"/>
    <s v="38-47"/>
    <n v="38"/>
    <d v="1983-02-19T00:00:00"/>
    <s v="Massachusetts"/>
    <s v="MA"/>
    <s v="Male"/>
    <s v="Single"/>
    <s v="Data Analyst"/>
    <s v="Active"/>
    <s v="Contract"/>
    <s v="Zone A"/>
    <s v="IT/IS"/>
    <s v="Engineers"/>
    <s v="Asian"/>
    <s v="Fully Meets"/>
    <n v="3"/>
  </r>
  <r>
    <x v="901"/>
    <x v="5"/>
    <x v="655"/>
    <s v="38-47"/>
    <n v="38"/>
    <d v="1985-06-09T00:00:00"/>
    <s v="Massachusetts"/>
    <s v="MA"/>
    <s v="Male"/>
    <s v="Married"/>
    <s v="BI Developer"/>
    <s v="Active"/>
    <s v="Part-Time"/>
    <s v="Zone C"/>
    <s v="IT/IS"/>
    <s v="Project Management - Con"/>
    <s v="White"/>
    <s v="Fully Meets"/>
    <n v="4"/>
  </r>
  <r>
    <x v="902"/>
    <x v="5"/>
    <x v="729"/>
    <s v="38-47"/>
    <n v="38"/>
    <d v="1985-09-06T00:00:00"/>
    <s v="Massachusetts"/>
    <s v="MA"/>
    <s v="Female"/>
    <s v="Single"/>
    <s v="BI Developer"/>
    <s v="Terminated"/>
    <s v="Part-Time"/>
    <s v="Zone B"/>
    <s v="IT/IS"/>
    <s v="Aerial"/>
    <s v="White"/>
    <s v="Fully Meets"/>
    <n v="3"/>
  </r>
  <r>
    <x v="903"/>
    <x v="1"/>
    <x v="449"/>
    <s v="38-47"/>
    <n v="38"/>
    <d v="1981-01-21T00:00:00"/>
    <s v="Massachusetts"/>
    <s v="MA"/>
    <s v="Male"/>
    <s v="Single"/>
    <s v="BI Developer"/>
    <s v="Active"/>
    <s v="Contract"/>
    <s v="Zone B"/>
    <s v="IT/IS"/>
    <s v="Wireline Construction"/>
    <s v="Asian"/>
    <s v="Fully Meets"/>
    <n v="5"/>
  </r>
  <r>
    <x v="904"/>
    <x v="5"/>
    <x v="730"/>
    <s v="38-47"/>
    <n v="38"/>
    <d v="1985-08-24T00:00:00"/>
    <s v="Washington"/>
    <s v="WA"/>
    <s v="Female"/>
    <s v="Married"/>
    <s v="Area Sales Manager"/>
    <s v="Active"/>
    <s v="Contract"/>
    <s v="Zone C"/>
    <s v="Sales"/>
    <s v="Engineers"/>
    <s v="Other"/>
    <s v="Fully Meets"/>
    <n v="1"/>
  </r>
  <r>
    <x v="905"/>
    <x v="1"/>
    <x v="731"/>
    <s v="38-47"/>
    <n v="38"/>
    <d v="1981-05-19T00:00:00"/>
    <s v="Massachusetts"/>
    <s v="MA"/>
    <s v="Male"/>
    <s v="Widowed"/>
    <s v="Area Sales Manager"/>
    <s v="Active"/>
    <s v="Full-Time"/>
    <s v="Zone A"/>
    <s v="IT/IS"/>
    <s v="Aerial"/>
    <s v="Other"/>
    <s v="Fully Meets"/>
    <n v="3"/>
  </r>
  <r>
    <x v="906"/>
    <x v="3"/>
    <x v="732"/>
    <s v="38-47"/>
    <n v="38"/>
    <d v="1983-11-15T00:00:00"/>
    <s v="Kentucky"/>
    <s v="KY"/>
    <s v="Male"/>
    <s v="Widowed"/>
    <s v="Area Sales Manager"/>
    <s v="Active"/>
    <s v="Contract"/>
    <s v="Zone A"/>
    <s v="Sales"/>
    <s v="Engineers"/>
    <s v="Other"/>
    <s v="Fully Meets"/>
    <n v="2"/>
  </r>
  <r>
    <x v="907"/>
    <x v="5"/>
    <x v="528"/>
    <s v="38-47"/>
    <n v="38"/>
    <d v="1985-05-18T00:00:00"/>
    <s v="Massachusetts"/>
    <s v="MA"/>
    <s v="Female"/>
    <s v="Widowed"/>
    <s v="Accountant I"/>
    <s v="Active"/>
    <s v="Full-Time"/>
    <s v="Zone B"/>
    <s v="Admin Offices"/>
    <s v="Executive"/>
    <s v="Hispanic"/>
    <s v="Fully Meets"/>
    <n v="5"/>
  </r>
  <r>
    <x v="908"/>
    <x v="5"/>
    <x v="439"/>
    <s v="38-47"/>
    <n v="39"/>
    <d v="1984-06-12T00:00:00"/>
    <s v="Massachusetts"/>
    <s v="MA"/>
    <s v="Female"/>
    <s v="Married"/>
    <s v="Production Technician II"/>
    <s v="Active"/>
    <s v="Full-Time"/>
    <s v="Zone A"/>
    <s v="Production       "/>
    <s v="Catv"/>
    <s v="Hispanic"/>
    <s v="PIP"/>
    <n v="5"/>
  </r>
  <r>
    <x v="909"/>
    <x v="0"/>
    <x v="733"/>
    <s v="38-47"/>
    <n v="39"/>
    <d v="1979-02-11T00:00:00"/>
    <s v="Massachusetts"/>
    <s v="MA"/>
    <s v="Male"/>
    <s v="Divorced"/>
    <s v="Production Technician II"/>
    <s v="Active"/>
    <s v="Contract"/>
    <s v="Zone B"/>
    <s v="Production       "/>
    <s v="Field Operations"/>
    <s v="Asian"/>
    <s v="Needs Improvement"/>
    <n v="5"/>
  </r>
  <r>
    <x v="910"/>
    <x v="3"/>
    <x v="576"/>
    <s v="38-47"/>
    <n v="39"/>
    <d v="1982-11-25T00:00:00"/>
    <s v="Massachusetts"/>
    <s v="MA"/>
    <s v="Female"/>
    <s v="Single"/>
    <s v="Production Technician II"/>
    <s v="Active"/>
    <s v="Part-Time"/>
    <s v="Zone B"/>
    <s v="Production       "/>
    <s v="Field Operations"/>
    <s v="Asian"/>
    <s v="Needs Improvement"/>
    <n v="2"/>
  </r>
  <r>
    <x v="911"/>
    <x v="2"/>
    <x v="734"/>
    <s v="38-47"/>
    <n v="39"/>
    <d v="1981-02-24T00:00:00"/>
    <s v="Massachusetts"/>
    <s v="MA"/>
    <s v="Male"/>
    <s v="Married"/>
    <s v="Production Technician II"/>
    <s v="Active"/>
    <s v="Part-Time"/>
    <s v="Zone A"/>
    <s v="Production       "/>
    <s v="Field Operations"/>
    <s v="Black"/>
    <s v="Fully Meets"/>
    <n v="5"/>
  </r>
  <r>
    <x v="912"/>
    <x v="4"/>
    <x v="735"/>
    <s v="38-47"/>
    <n v="39"/>
    <d v="1983-12-05T00:00:00"/>
    <s v="Massachusetts"/>
    <s v="MA"/>
    <s v="Male"/>
    <s v="Widowed"/>
    <s v="Production Technician II"/>
    <s v="Active"/>
    <s v="Contract"/>
    <s v="Zone C"/>
    <s v="Production       "/>
    <s v="Splicing"/>
    <s v="Hispanic"/>
    <s v="Fully Meets"/>
    <n v="3"/>
  </r>
  <r>
    <x v="913"/>
    <x v="4"/>
    <x v="736"/>
    <s v="38-47"/>
    <n v="39"/>
    <d v="1983-11-26T00:00:00"/>
    <s v="Massachusetts"/>
    <s v="MA"/>
    <s v="Male"/>
    <s v="Divorced"/>
    <s v="Production Technician I"/>
    <s v="Terminated"/>
    <s v="Contract"/>
    <s v="Zone B"/>
    <s v="Production       "/>
    <s v="Field Operations"/>
    <s v="Black"/>
    <s v="Fully Meets"/>
    <n v="4"/>
  </r>
  <r>
    <x v="914"/>
    <x v="5"/>
    <x v="185"/>
    <s v="38-47"/>
    <n v="39"/>
    <d v="1984-03-17T00:00:00"/>
    <s v="Massachusetts"/>
    <s v="MA"/>
    <s v="Male"/>
    <s v="Married"/>
    <s v="Production Technician I"/>
    <s v="Active"/>
    <s v="Full-Time"/>
    <s v="Zone A"/>
    <s v="Production       "/>
    <s v="General - Con"/>
    <s v="Asian"/>
    <s v="Fully Meets"/>
    <n v="5"/>
  </r>
  <r>
    <x v="915"/>
    <x v="5"/>
    <x v="592"/>
    <s v="38-47"/>
    <n v="39"/>
    <d v="1984-12-19T00:00:00"/>
    <s v="Massachusetts"/>
    <s v="MA"/>
    <s v="Male"/>
    <s v="Widowed"/>
    <s v="Production Technician I"/>
    <s v="Active"/>
    <s v="Full-Time"/>
    <s v="Zone C"/>
    <s v="Production       "/>
    <s v="Field Operations"/>
    <s v="Black"/>
    <s v="Exceeds"/>
    <n v="3"/>
  </r>
  <r>
    <x v="916"/>
    <x v="4"/>
    <x v="737"/>
    <s v="38-47"/>
    <n v="39"/>
    <d v="1983-04-08T00:00:00"/>
    <s v="Massachusetts"/>
    <s v="MA"/>
    <s v="Female"/>
    <s v="Single"/>
    <s v="Production Technician I"/>
    <s v="Active"/>
    <s v="Part-Time"/>
    <s v="Zone C"/>
    <s v="Production       "/>
    <s v="Finance &amp; Accounting"/>
    <s v="Other"/>
    <s v="Fully Meets"/>
    <n v="5"/>
  </r>
  <r>
    <x v="917"/>
    <x v="2"/>
    <x v="738"/>
    <s v="38-47"/>
    <n v="39"/>
    <d v="1981-01-31T00:00:00"/>
    <s v="Massachusetts"/>
    <s v="MA"/>
    <s v="Female"/>
    <s v="Divorced"/>
    <s v="Production Technician I"/>
    <s v="Active"/>
    <s v="Full-Time"/>
    <s v="Zone A"/>
    <s v="Production       "/>
    <s v="General - Con"/>
    <s v="White"/>
    <s v="Fully Meets"/>
    <n v="4"/>
  </r>
  <r>
    <x v="918"/>
    <x v="2"/>
    <x v="739"/>
    <s v="38-47"/>
    <n v="39"/>
    <d v="1981-05-09T00:00:00"/>
    <s v="Massachusetts"/>
    <s v="MA"/>
    <s v="Female"/>
    <s v="Widowed"/>
    <s v="Production Technician I"/>
    <s v="Active"/>
    <s v="Part-Time"/>
    <s v="Zone A"/>
    <s v="Production       "/>
    <s v="Wireline Construction"/>
    <s v="Black"/>
    <s v="Fully Meets"/>
    <n v="3"/>
  </r>
  <r>
    <x v="919"/>
    <x v="4"/>
    <x v="740"/>
    <s v="38-47"/>
    <n v="39"/>
    <d v="1983-12-06T00:00:00"/>
    <s v="Massachusetts"/>
    <s v="MA"/>
    <s v="Female"/>
    <s v="Married"/>
    <s v="Production Technician I"/>
    <s v="Active"/>
    <s v="Full-Time"/>
    <s v="Zone A"/>
    <s v="Production       "/>
    <s v="Field Operations"/>
    <s v="Other"/>
    <s v="Fully Meets"/>
    <n v="3"/>
  </r>
  <r>
    <x v="920"/>
    <x v="5"/>
    <x v="741"/>
    <s v="38-47"/>
    <n v="39"/>
    <d v="1984-09-15T00:00:00"/>
    <s v="Massachusetts"/>
    <s v="MA"/>
    <s v="Male"/>
    <s v="Married"/>
    <s v="Production Technician I"/>
    <s v="Active"/>
    <s v="Contract"/>
    <s v="Zone C"/>
    <s v="Production       "/>
    <s v="General - Con"/>
    <s v="Asian"/>
    <s v="Needs Improvement"/>
    <n v="3"/>
  </r>
  <r>
    <x v="921"/>
    <x v="0"/>
    <x v="742"/>
    <s v="38-47"/>
    <n v="39"/>
    <d v="1979-05-08T00:00:00"/>
    <s v="Massachusetts"/>
    <s v="MA"/>
    <s v="Female"/>
    <s v="Widowed"/>
    <s v="Production Technician I"/>
    <s v="Active"/>
    <s v="Part-Time"/>
    <s v="Zone B"/>
    <s v="Production       "/>
    <s v="Field Operations"/>
    <s v="Black"/>
    <s v="Exceeds"/>
    <n v="3"/>
  </r>
  <r>
    <x v="922"/>
    <x v="2"/>
    <x v="361"/>
    <s v="38-47"/>
    <n v="39"/>
    <d v="1981-06-03T00:00:00"/>
    <s v="Massachusetts"/>
    <s v="MA"/>
    <s v="Female"/>
    <s v="Divorced"/>
    <s v="Production Technician I"/>
    <s v="Active"/>
    <s v="Full-Time"/>
    <s v="Zone C"/>
    <s v="Production       "/>
    <s v="General - Con"/>
    <s v="Black"/>
    <s v="Fully Meets"/>
    <n v="5"/>
  </r>
  <r>
    <x v="923"/>
    <x v="5"/>
    <x v="285"/>
    <s v="38-47"/>
    <n v="39"/>
    <d v="1984-06-11T00:00:00"/>
    <s v="Massachusetts"/>
    <s v="MA"/>
    <s v="Female"/>
    <s v="Widowed"/>
    <s v="Production Technician I"/>
    <s v="Active"/>
    <s v="Contract"/>
    <s v="Zone B"/>
    <s v="Production       "/>
    <s v="Field Operations"/>
    <s v="Black"/>
    <s v="Fully Meets"/>
    <n v="1"/>
  </r>
  <r>
    <x v="924"/>
    <x v="4"/>
    <x v="743"/>
    <s v="38-47"/>
    <n v="39"/>
    <d v="1983-06-25T00:00:00"/>
    <s v="Massachusetts"/>
    <s v="MA"/>
    <s v="Male"/>
    <s v="Single"/>
    <s v="Production Technician I"/>
    <s v="Terminated"/>
    <s v="Full-Time"/>
    <s v="Zone A"/>
    <s v="Production       "/>
    <s v="Underground"/>
    <s v="White"/>
    <s v="Needs Improvement"/>
    <n v="2"/>
  </r>
  <r>
    <x v="925"/>
    <x v="2"/>
    <x v="567"/>
    <s v="38-47"/>
    <n v="39"/>
    <d v="1981-11-06T00:00:00"/>
    <s v="Massachusetts"/>
    <s v="MA"/>
    <s v="Female"/>
    <s v="Divorced"/>
    <s v="Production Technician I"/>
    <s v="Active"/>
    <s v="Contract"/>
    <s v="Zone B"/>
    <s v="Production       "/>
    <s v="Aerial"/>
    <s v="Hispanic"/>
    <s v="Exceeds"/>
    <n v="1"/>
  </r>
  <r>
    <x v="926"/>
    <x v="2"/>
    <x v="744"/>
    <s v="38-47"/>
    <n v="39"/>
    <d v="1981-05-16T00:00:00"/>
    <s v="Massachusetts"/>
    <s v="MA"/>
    <s v="Female"/>
    <s v="Divorced"/>
    <s v="Production Technician I"/>
    <s v="Active"/>
    <s v="Contract"/>
    <s v="Zone C"/>
    <s v="Production       "/>
    <s v="Engineers"/>
    <s v="Hispanic"/>
    <s v="Fully Meets"/>
    <n v="2"/>
  </r>
  <r>
    <x v="927"/>
    <x v="4"/>
    <x v="701"/>
    <s v="38-47"/>
    <n v="39"/>
    <d v="1983-03-17T00:00:00"/>
    <s v="Massachusetts"/>
    <s v="MA"/>
    <s v="Female"/>
    <s v="Widowed"/>
    <s v="Production Technician I"/>
    <s v="Active"/>
    <s v="Full-Time"/>
    <s v="Zone A"/>
    <s v="Production       "/>
    <s v="General - Con"/>
    <s v="Hispanic"/>
    <s v="Fully Meets"/>
    <n v="5"/>
  </r>
  <r>
    <x v="928"/>
    <x v="3"/>
    <x v="745"/>
    <s v="38-47"/>
    <n v="39"/>
    <d v="1982-05-21T00:00:00"/>
    <s v="Massachusetts"/>
    <s v="MA"/>
    <s v="Female"/>
    <s v="Widowed"/>
    <s v="Production Technician I"/>
    <s v="Active"/>
    <s v="Contract"/>
    <s v="Zone C"/>
    <s v="Production       "/>
    <s v="Field Operations"/>
    <s v="Other"/>
    <s v="Needs Improvement"/>
    <n v="3"/>
  </r>
  <r>
    <x v="929"/>
    <x v="2"/>
    <x v="746"/>
    <s v="38-47"/>
    <n v="39"/>
    <d v="1981-08-15T00:00:00"/>
    <s v="Massachusetts"/>
    <s v="MA"/>
    <s v="Male"/>
    <s v="Single"/>
    <s v="Production Technician I"/>
    <s v="Active"/>
    <s v="Full-Time"/>
    <s v="Zone A"/>
    <s v="Production       "/>
    <s v="Engineers"/>
    <s v="Other"/>
    <s v="Exceeds"/>
    <n v="1"/>
  </r>
  <r>
    <x v="930"/>
    <x v="3"/>
    <x v="747"/>
    <s v="38-47"/>
    <n v="39"/>
    <d v="1982-03-16T00:00:00"/>
    <s v="Massachusetts"/>
    <s v="MA"/>
    <s v="Female"/>
    <s v="Married"/>
    <s v="Production Technician I"/>
    <s v="Active"/>
    <s v="Contract"/>
    <s v="Zone A"/>
    <s v="Production       "/>
    <s v="Field Operations"/>
    <s v="Hispanic"/>
    <s v="Needs Improvement"/>
    <n v="1"/>
  </r>
  <r>
    <x v="931"/>
    <x v="5"/>
    <x v="720"/>
    <s v="38-47"/>
    <n v="39"/>
    <d v="1984-01-11T00:00:00"/>
    <s v="Massachusetts"/>
    <s v="MA"/>
    <s v="Female"/>
    <s v="Divorced"/>
    <s v="Production Technician I"/>
    <s v="Active"/>
    <s v="Contract"/>
    <s v="Zone C"/>
    <s v="Production       "/>
    <s v="Field Operations"/>
    <s v="Other"/>
    <s v="Exceeds"/>
    <n v="2"/>
  </r>
  <r>
    <x v="932"/>
    <x v="1"/>
    <x v="518"/>
    <s v="38-47"/>
    <n v="39"/>
    <d v="1980-05-26T00:00:00"/>
    <s v="Massachusetts"/>
    <s v="MA"/>
    <s v="Female"/>
    <s v="Married"/>
    <s v="Production Technician I"/>
    <s v="Active"/>
    <s v="Part-Time"/>
    <s v="Zone C"/>
    <s v="Production       "/>
    <s v="Aerial"/>
    <s v="Hispanic"/>
    <s v="Exceeds"/>
    <n v="4"/>
  </r>
  <r>
    <x v="933"/>
    <x v="4"/>
    <x v="748"/>
    <s v="38-47"/>
    <n v="39"/>
    <d v="1983-06-20T00:00:00"/>
    <s v="Massachusetts"/>
    <s v="MA"/>
    <s v="Male"/>
    <s v="Widowed"/>
    <s v="Production Technician I"/>
    <s v="Terminated"/>
    <s v="Contract"/>
    <s v="Zone B"/>
    <s v="Production       "/>
    <s v="Wireline Construction"/>
    <s v="White"/>
    <s v="Fully Meets"/>
    <n v="3"/>
  </r>
  <r>
    <x v="934"/>
    <x v="4"/>
    <x v="530"/>
    <s v="38-47"/>
    <n v="39"/>
    <d v="1983-08-17T00:00:00"/>
    <s v="Massachusetts"/>
    <s v="MA"/>
    <s v="Female"/>
    <s v="Widowed"/>
    <s v="Production Technician I"/>
    <s v="Active"/>
    <s v="Full-Time"/>
    <s v="Zone C"/>
    <s v="Production       "/>
    <s v="General - Con"/>
    <s v="Asian"/>
    <s v="Fully Meets"/>
    <n v="3"/>
  </r>
  <r>
    <x v="935"/>
    <x v="1"/>
    <x v="419"/>
    <s v="38-47"/>
    <n v="39"/>
    <d v="1980-04-20T00:00:00"/>
    <s v="Massachusetts"/>
    <s v="MA"/>
    <s v="Male"/>
    <s v="Married"/>
    <s v="Production Technician I"/>
    <s v="Terminated"/>
    <s v="Contract"/>
    <s v="Zone A"/>
    <s v="Production       "/>
    <s v="Billable Consultants"/>
    <s v="Hispanic"/>
    <s v="Fully Meets"/>
    <n v="5"/>
  </r>
  <r>
    <x v="936"/>
    <x v="2"/>
    <x v="749"/>
    <s v="38-47"/>
    <n v="39"/>
    <d v="1981-04-03T00:00:00"/>
    <s v="Massachusetts"/>
    <s v="MA"/>
    <s v="Female"/>
    <s v="Single"/>
    <s v="Production Technician I"/>
    <s v="Active"/>
    <s v="Part-Time"/>
    <s v="Zone A"/>
    <s v="Production       "/>
    <s v="Aerial"/>
    <s v="White"/>
    <s v="Fully Meets"/>
    <n v="4"/>
  </r>
  <r>
    <x v="937"/>
    <x v="3"/>
    <x v="369"/>
    <s v="38-47"/>
    <n v="39"/>
    <d v="1982-07-15T00:00:00"/>
    <s v="Massachusetts"/>
    <s v="MA"/>
    <s v="Male"/>
    <s v="Single"/>
    <s v="Production Manager"/>
    <s v="Active"/>
    <s v="Contract"/>
    <s v="Zone B"/>
    <s v="Production       "/>
    <s v="Corp Operations"/>
    <s v="Hispanic"/>
    <s v="Fully Meets"/>
    <n v="4"/>
  </r>
  <r>
    <x v="938"/>
    <x v="5"/>
    <x v="750"/>
    <s v="38-47"/>
    <n v="39"/>
    <d v="1984-02-28T00:00:00"/>
    <s v="Massachusetts"/>
    <s v="MA"/>
    <s v="Female"/>
    <s v="Widowed"/>
    <s v="Production Manager"/>
    <s v="Active"/>
    <s v="Part-Time"/>
    <s v="Zone A"/>
    <s v="Production       "/>
    <s v="Field Operations"/>
    <s v="Hispanic"/>
    <s v="Fully Meets"/>
    <n v="3"/>
  </r>
  <r>
    <x v="939"/>
    <x v="1"/>
    <x v="751"/>
    <s v="38-47"/>
    <n v="39"/>
    <d v="1980-05-26T00:00:00"/>
    <s v="Massachusetts"/>
    <s v="MA"/>
    <s v="Male"/>
    <s v="Divorced"/>
    <s v="Network Engineer"/>
    <s v="Active"/>
    <s v="Full-Time"/>
    <s v="Zone B"/>
    <s v="Production       "/>
    <s v="General - Con"/>
    <s v="Asian"/>
    <s v="Fully Meets"/>
    <n v="4"/>
  </r>
  <r>
    <x v="940"/>
    <x v="1"/>
    <x v="752"/>
    <s v="38-47"/>
    <n v="39"/>
    <d v="1980-11-20T00:00:00"/>
    <s v="Massachusetts"/>
    <s v="MA"/>
    <s v="Female"/>
    <s v="Widowed"/>
    <s v="IT Support"/>
    <s v="Active"/>
    <s v="Part-Time"/>
    <s v="Zone B"/>
    <s v="IT/IS"/>
    <s v="Engineers"/>
    <s v="Other"/>
    <s v="Fully Meets"/>
    <n v="3"/>
  </r>
  <r>
    <x v="941"/>
    <x v="0"/>
    <x v="753"/>
    <s v="38-47"/>
    <n v="39"/>
    <d v="1979-08-14T00:00:00"/>
    <s v="Massachusetts"/>
    <s v="MA"/>
    <s v="Female"/>
    <s v="Single"/>
    <s v="IT Support"/>
    <s v="Active"/>
    <s v="Part-Time"/>
    <s v="Zone A"/>
    <s v="IT/IS"/>
    <s v="Field Operations"/>
    <s v="Asian"/>
    <s v="PIP"/>
    <n v="1"/>
  </r>
  <r>
    <x v="942"/>
    <x v="4"/>
    <x v="754"/>
    <s v="38-47"/>
    <n v="39"/>
    <d v="1983-11-21T00:00:00"/>
    <s v="Massachusetts"/>
    <s v="MA"/>
    <s v="Male"/>
    <s v="Single"/>
    <s v="Data Analyst "/>
    <s v="Active"/>
    <s v="Part-Time"/>
    <s v="Zone B"/>
    <s v="Production       "/>
    <s v="Fielders"/>
    <s v="Hispanic"/>
    <s v="Fully Meets"/>
    <n v="1"/>
  </r>
  <r>
    <x v="943"/>
    <x v="3"/>
    <x v="64"/>
    <s v="38-47"/>
    <n v="39"/>
    <d v="1982-01-28T00:00:00"/>
    <s v="Washington"/>
    <s v="WA"/>
    <s v="Male"/>
    <s v="Married"/>
    <s v="Area Sales Manager"/>
    <s v="Active"/>
    <s v="Full-Time"/>
    <s v="Zone B"/>
    <s v="Sales"/>
    <s v="Field Operations"/>
    <s v="Black"/>
    <s v="Fully Meets"/>
    <n v="2"/>
  </r>
  <r>
    <x v="944"/>
    <x v="2"/>
    <x v="693"/>
    <s v="38-47"/>
    <n v="39"/>
    <d v="1981-11-15T00:00:00"/>
    <s v="North Carolina"/>
    <s v="NC"/>
    <s v="Male"/>
    <s v="Married"/>
    <s v="Area Sales Manager"/>
    <s v="Active"/>
    <s v="Full-Time"/>
    <s v="Zone A"/>
    <s v="Sales"/>
    <s v="Shop (Fleet)"/>
    <s v="Hispanic"/>
    <s v="Fully Meets"/>
    <n v="4"/>
  </r>
  <r>
    <x v="945"/>
    <x v="4"/>
    <x v="755"/>
    <s v="38-47"/>
    <n v="39"/>
    <d v="1983-09-25T00:00:00"/>
    <s v="Idaho"/>
    <s v="ID"/>
    <s v="Male"/>
    <s v="Single"/>
    <s v="Area Sales Manager"/>
    <s v="Active"/>
    <s v="Full-Time"/>
    <s v="Zone B"/>
    <s v="Sales"/>
    <s v="General - Sga"/>
    <s v="Black"/>
    <s v="Fully Meets"/>
    <n v="5"/>
  </r>
  <r>
    <x v="946"/>
    <x v="2"/>
    <x v="756"/>
    <s v="38-47"/>
    <n v="39"/>
    <d v="1981-02-18T00:00:00"/>
    <s v="California"/>
    <s v="CA"/>
    <s v="Female"/>
    <s v="Single"/>
    <s v="Area Sales Manager"/>
    <s v="Active"/>
    <s v="Part-Time"/>
    <s v="Zone A"/>
    <s v="Sales"/>
    <s v="General - Con"/>
    <s v="Black"/>
    <s v="Fully Meets"/>
    <n v="5"/>
  </r>
  <r>
    <x v="947"/>
    <x v="5"/>
    <x v="757"/>
    <s v="38-47"/>
    <n v="39"/>
    <d v="1984-07-22T00:00:00"/>
    <s v="Alabama"/>
    <s v="AL"/>
    <s v="Male"/>
    <s v="Single"/>
    <s v="Area Sales Manager"/>
    <s v="Active"/>
    <s v="Part-Time"/>
    <s v="Zone C"/>
    <s v="Sales"/>
    <s v="Wireline Construction"/>
    <s v="Other"/>
    <s v="Fully Meets"/>
    <n v="4"/>
  </r>
  <r>
    <x v="948"/>
    <x v="4"/>
    <x v="116"/>
    <s v="38-47"/>
    <n v="39"/>
    <d v="1983-10-07T00:00:00"/>
    <s v="Massachusetts"/>
    <s v="MA"/>
    <s v="Female"/>
    <s v="Widowed"/>
    <s v="Administrative Assistant"/>
    <s v="Active"/>
    <s v="Full-Time"/>
    <s v="Zone C"/>
    <s v="Sales"/>
    <s v="General - Sga"/>
    <s v="White"/>
    <s v="Fully Meets"/>
    <n v="4"/>
  </r>
  <r>
    <x v="949"/>
    <x v="5"/>
    <x v="663"/>
    <s v="38-47"/>
    <n v="39"/>
    <d v="1984-05-14T00:00:00"/>
    <s v="Massachusetts"/>
    <s v="MA"/>
    <s v="Female"/>
    <s v="Divorced"/>
    <s v="Administrative Assistant"/>
    <s v="Active"/>
    <s v="Contract"/>
    <s v="Zone B"/>
    <s v="Admin Offices"/>
    <s v="Field Operations"/>
    <s v="White"/>
    <s v="Fully Meets"/>
    <n v="4"/>
  </r>
  <r>
    <x v="950"/>
    <x v="5"/>
    <x v="758"/>
    <s v="38-47"/>
    <n v="39"/>
    <d v="1984-10-21T00:00:00"/>
    <s v="Massachusetts"/>
    <s v="MA"/>
    <s v="Male"/>
    <s v="Widowed"/>
    <s v="Accountant I"/>
    <s v="Active"/>
    <s v="Part-Time"/>
    <s v="Zone A"/>
    <s v="Admin Offices"/>
    <s v="General - Sga"/>
    <s v="White"/>
    <s v="Exceeds"/>
    <n v="2"/>
  </r>
  <r>
    <x v="951"/>
    <x v="3"/>
    <x v="759"/>
    <s v="38-47"/>
    <n v="40"/>
    <d v="1981-04-03T00:00:00"/>
    <s v="Massachusetts"/>
    <s v="MA"/>
    <s v="Male"/>
    <s v="Single"/>
    <s v="Sr. Network Engineer"/>
    <s v="Active"/>
    <s v="Contract"/>
    <s v="Zone A"/>
    <s v="IT/IS"/>
    <s v="Field Operations"/>
    <s v="White"/>
    <s v="Fully Meets"/>
    <n v="4"/>
  </r>
  <r>
    <x v="952"/>
    <x v="3"/>
    <x v="760"/>
    <s v="38-47"/>
    <n v="40"/>
    <d v="1981-11-19T00:00:00"/>
    <s v="Massachusetts"/>
    <s v="MA"/>
    <s v="Male"/>
    <s v="Widowed"/>
    <s v="Sr. Network Engineer"/>
    <s v="Active"/>
    <s v="Contract"/>
    <s v="Zone B"/>
    <s v="IT/IS"/>
    <s v="Wireline Construction"/>
    <s v="Hispanic"/>
    <s v="Fully Meets"/>
    <n v="3"/>
  </r>
  <r>
    <x v="953"/>
    <x v="2"/>
    <x v="761"/>
    <s v="38-47"/>
    <n v="40"/>
    <d v="1980-04-26T00:00:00"/>
    <s v="Massachusetts"/>
    <s v="MA"/>
    <s v="Male"/>
    <s v="Widowed"/>
    <s v="Sr. Accountant"/>
    <s v="Active"/>
    <s v="Part-Time"/>
    <s v="Zone B"/>
    <s v="IT/IS"/>
    <s v="General - Con"/>
    <s v="Asian"/>
    <s v="Fully Meets"/>
    <n v="3"/>
  </r>
  <r>
    <x v="954"/>
    <x v="3"/>
    <x v="313"/>
    <s v="38-47"/>
    <n v="40"/>
    <d v="1981-04-23T00:00:00"/>
    <s v="Massachusetts"/>
    <s v="MA"/>
    <s v="Male"/>
    <s v="Single"/>
    <s v="Software Engineer"/>
    <s v="Active"/>
    <s v="Full-Time"/>
    <s v="Zone C"/>
    <s v="Software Engineering"/>
    <s v="Catv"/>
    <s v="Hispanic"/>
    <s v="Fully Meets"/>
    <n v="3"/>
  </r>
  <r>
    <x v="955"/>
    <x v="0"/>
    <x v="762"/>
    <s v="38-47"/>
    <n v="40"/>
    <d v="1978-02-23T00:00:00"/>
    <s v="Massachusetts"/>
    <s v="MA"/>
    <s v="Female"/>
    <s v="Single"/>
    <s v="Sales Manager"/>
    <s v="Active"/>
    <s v="Full-Time"/>
    <s v="Zone B"/>
    <s v="Sales"/>
    <s v="Aerial"/>
    <s v="Other"/>
    <s v="Fully Meets"/>
    <n v="1"/>
  </r>
  <r>
    <x v="956"/>
    <x v="3"/>
    <x v="763"/>
    <s v="38-47"/>
    <n v="40"/>
    <d v="1981-09-12T00:00:00"/>
    <s v="Massachusetts"/>
    <s v="MA"/>
    <s v="Female"/>
    <s v="Married"/>
    <s v="Production Technician II"/>
    <s v="Active"/>
    <s v="Contract"/>
    <s v="Zone A"/>
    <s v="Production       "/>
    <s v="Field Operations"/>
    <s v="Asian"/>
    <s v="Fully Meets"/>
    <n v="1"/>
  </r>
  <r>
    <x v="957"/>
    <x v="3"/>
    <x v="212"/>
    <s v="38-47"/>
    <n v="40"/>
    <d v="1981-04-09T00:00:00"/>
    <s v="Massachusetts"/>
    <s v="MA"/>
    <s v="Male"/>
    <s v="Single"/>
    <s v="Production Technician II"/>
    <s v="Terminated"/>
    <s v="Full-Time"/>
    <s v="Zone C"/>
    <s v="Production       "/>
    <s v="Project Management - Con"/>
    <s v="Asian"/>
    <s v="Fully Meets"/>
    <n v="1"/>
  </r>
  <r>
    <x v="958"/>
    <x v="5"/>
    <x v="764"/>
    <s v="38-47"/>
    <n v="40"/>
    <d v="1983-07-09T00:00:00"/>
    <s v="Massachusetts"/>
    <s v="MA"/>
    <s v="Male"/>
    <s v="Divorced"/>
    <s v="Production Technician II"/>
    <s v="Terminated"/>
    <s v="Part-Time"/>
    <s v="Zone A"/>
    <s v="Production       "/>
    <s v="Project Management - Con"/>
    <s v="Other"/>
    <s v="Fully Meets"/>
    <n v="5"/>
  </r>
  <r>
    <x v="959"/>
    <x v="5"/>
    <x v="765"/>
    <s v="38-47"/>
    <n v="40"/>
    <d v="1983-04-17T00:00:00"/>
    <s v="Massachusetts"/>
    <s v="MA"/>
    <s v="Female"/>
    <s v="Divorced"/>
    <s v="Production Technician II"/>
    <s v="Terminated"/>
    <s v="Full-Time"/>
    <s v="Zone C"/>
    <s v="Production       "/>
    <s v="General - Con"/>
    <s v="Black"/>
    <s v="Fully Meets"/>
    <n v="5"/>
  </r>
  <r>
    <x v="960"/>
    <x v="0"/>
    <x v="766"/>
    <s v="38-47"/>
    <n v="40"/>
    <d v="1978-05-29T00:00:00"/>
    <s v="Massachusetts"/>
    <s v="MA"/>
    <s v="Female"/>
    <s v="Married"/>
    <s v="Production Technician II"/>
    <s v="Active"/>
    <s v="Full-Time"/>
    <s v="Zone B"/>
    <s v="Production       "/>
    <s v="Field Operations"/>
    <s v="Asian"/>
    <s v="Fully Meets"/>
    <n v="1"/>
  </r>
  <r>
    <x v="961"/>
    <x v="3"/>
    <x v="546"/>
    <s v="38-47"/>
    <n v="40"/>
    <d v="1981-10-24T00:00:00"/>
    <s v="Massachusetts"/>
    <s v="MA"/>
    <s v="Female"/>
    <s v="Married"/>
    <s v="Production Technician II"/>
    <s v="Active"/>
    <s v="Part-Time"/>
    <s v="Zone B"/>
    <s v="Production       "/>
    <s v="Field Operations"/>
    <s v="Hispanic"/>
    <s v="Fully Meets"/>
    <n v="1"/>
  </r>
  <r>
    <x v="962"/>
    <x v="5"/>
    <x v="496"/>
    <s v="38-47"/>
    <n v="40"/>
    <d v="1983-06-05T00:00:00"/>
    <s v="Massachusetts"/>
    <s v="MA"/>
    <s v="Female"/>
    <s v="Single"/>
    <s v="Production Technician II"/>
    <s v="Terminated"/>
    <s v="Part-Time"/>
    <s v="Zone A"/>
    <s v="Production       "/>
    <s v="Wireline Construction"/>
    <s v="Other"/>
    <s v="Exceeds"/>
    <n v="5"/>
  </r>
  <r>
    <x v="963"/>
    <x v="2"/>
    <x v="767"/>
    <s v="38-47"/>
    <n v="40"/>
    <d v="1980-08-09T00:00:00"/>
    <s v="Massachusetts"/>
    <s v="MA"/>
    <s v="Female"/>
    <s v="Married"/>
    <s v="Production Technician II"/>
    <s v="Terminated"/>
    <s v="Full-Time"/>
    <s v="Zone A"/>
    <s v="Production       "/>
    <s v="Field Operations"/>
    <s v="Other"/>
    <s v="Fully Meets"/>
    <n v="4"/>
  </r>
  <r>
    <x v="964"/>
    <x v="3"/>
    <x v="768"/>
    <s v="38-47"/>
    <n v="40"/>
    <d v="1981-03-08T00:00:00"/>
    <s v="Massachusetts"/>
    <s v="MA"/>
    <s v="Male"/>
    <s v="Divorced"/>
    <s v="Production Technician II"/>
    <s v="Active"/>
    <s v="Contract"/>
    <s v="Zone B"/>
    <s v="Production       "/>
    <s v="Field Operations"/>
    <s v="White"/>
    <s v="Fully Meets"/>
    <n v="3"/>
  </r>
  <r>
    <x v="965"/>
    <x v="5"/>
    <x v="367"/>
    <s v="38-47"/>
    <n v="40"/>
    <d v="1983-11-17T00:00:00"/>
    <s v="Massachusetts"/>
    <s v="MA"/>
    <s v="Male"/>
    <s v="Single"/>
    <s v="Production Technician II"/>
    <s v="Terminated"/>
    <s v="Contract"/>
    <s v="Zone A"/>
    <s v="Production       "/>
    <s v="General - Eng"/>
    <s v="White"/>
    <s v="Fully Meets"/>
    <n v="1"/>
  </r>
  <r>
    <x v="966"/>
    <x v="4"/>
    <x v="769"/>
    <s v="38-47"/>
    <n v="40"/>
    <d v="1982-11-10T00:00:00"/>
    <s v="Massachusetts"/>
    <s v="MA"/>
    <s v="Female"/>
    <s v="Single"/>
    <s v="Production Technician II"/>
    <s v="Active"/>
    <s v="Part-Time"/>
    <s v="Zone A"/>
    <s v="Production       "/>
    <s v="General - Con"/>
    <s v="Asian"/>
    <s v="Exceeds"/>
    <n v="1"/>
  </r>
  <r>
    <x v="967"/>
    <x v="0"/>
    <x v="770"/>
    <s v="38-47"/>
    <n v="40"/>
    <d v="1978-12-06T00:00:00"/>
    <s v="Massachusetts"/>
    <s v="MA"/>
    <s v="Male"/>
    <s v="Single"/>
    <s v="Production Technician II"/>
    <s v="Terminated"/>
    <s v="Contract"/>
    <s v="Zone B"/>
    <s v="Production       "/>
    <s v="Finance &amp; Accounting"/>
    <s v="Hispanic"/>
    <s v="Exceeds"/>
    <n v="2"/>
  </r>
  <r>
    <x v="968"/>
    <x v="5"/>
    <x v="253"/>
    <s v="38-47"/>
    <n v="40"/>
    <d v="1983-03-10T00:00:00"/>
    <s v="Massachusetts"/>
    <s v="MA"/>
    <s v="Female"/>
    <s v="Married"/>
    <s v="Production Technician II"/>
    <s v="Active"/>
    <s v="Part-Time"/>
    <s v="Zone B"/>
    <s v="Production       "/>
    <s v="General - Con"/>
    <s v="Black"/>
    <s v="Fully Meets"/>
    <n v="2"/>
  </r>
  <r>
    <x v="969"/>
    <x v="4"/>
    <x v="411"/>
    <s v="38-47"/>
    <n v="40"/>
    <d v="1982-06-19T00:00:00"/>
    <s v="Massachusetts"/>
    <s v="MA"/>
    <s v="Female"/>
    <s v="Single"/>
    <s v="Production Technician II"/>
    <s v="Active"/>
    <s v="Full-Time"/>
    <s v="Zone B"/>
    <s v="Production       "/>
    <s v="Aerial"/>
    <s v="Other"/>
    <s v="Fully Meets"/>
    <n v="5"/>
  </r>
  <r>
    <x v="970"/>
    <x v="4"/>
    <x v="771"/>
    <s v="38-47"/>
    <n v="40"/>
    <d v="1982-04-23T00:00:00"/>
    <s v="Massachusetts"/>
    <s v="MA"/>
    <s v="Male"/>
    <s v="Divorced"/>
    <s v="Production Technician I"/>
    <s v="Active"/>
    <s v="Full-Time"/>
    <s v="Zone B"/>
    <s v="Production       "/>
    <s v="General - Con"/>
    <s v="Other"/>
    <s v="Fully Meets"/>
    <n v="5"/>
  </r>
  <r>
    <x v="971"/>
    <x v="3"/>
    <x v="472"/>
    <s v="38-47"/>
    <n v="40"/>
    <d v="1981-09-20T00:00:00"/>
    <s v="Massachusetts"/>
    <s v="MA"/>
    <s v="Male"/>
    <s v="Married"/>
    <s v="Production Technician I"/>
    <s v="Terminated"/>
    <s v="Part-Time"/>
    <s v="Zone B"/>
    <s v="Production       "/>
    <s v="General - Con"/>
    <s v="Asian"/>
    <s v="Fully Meets"/>
    <n v="2"/>
  </r>
  <r>
    <x v="972"/>
    <x v="3"/>
    <x v="299"/>
    <s v="38-47"/>
    <n v="40"/>
    <d v="1981-01-03T00:00:00"/>
    <s v="Massachusetts"/>
    <s v="MA"/>
    <s v="Female"/>
    <s v="Single"/>
    <s v="Production Technician I"/>
    <s v="Active"/>
    <s v="Part-Time"/>
    <s v="Zone A"/>
    <s v="Production       "/>
    <s v="Finance &amp; Accounting"/>
    <s v="Black"/>
    <s v="Needs Improvement"/>
    <n v="3"/>
  </r>
  <r>
    <x v="973"/>
    <x v="1"/>
    <x v="43"/>
    <s v="38-47"/>
    <n v="40"/>
    <d v="1979-12-15T00:00:00"/>
    <s v="Massachusetts"/>
    <s v="MA"/>
    <s v="Male"/>
    <s v="Widowed"/>
    <s v="Production Technician I"/>
    <s v="Active"/>
    <s v="Full-Time"/>
    <s v="Zone B"/>
    <s v="Production       "/>
    <s v="Aerial"/>
    <s v="Black"/>
    <s v="Needs Improvement"/>
    <n v="5"/>
  </r>
  <r>
    <x v="974"/>
    <x v="1"/>
    <x v="590"/>
    <s v="38-47"/>
    <n v="40"/>
    <d v="1979-07-06T00:00:00"/>
    <s v="Massachusetts"/>
    <s v="MA"/>
    <s v="Male"/>
    <s v="Married"/>
    <s v="Production Technician I"/>
    <s v="Active"/>
    <s v="Full-Time"/>
    <s v="Zone C"/>
    <s v="Production       "/>
    <s v="Field Operations"/>
    <s v="Other"/>
    <s v="Fully Meets"/>
    <n v="3"/>
  </r>
  <r>
    <x v="975"/>
    <x v="2"/>
    <x v="772"/>
    <s v="38-47"/>
    <n v="40"/>
    <d v="1980-02-08T00:00:00"/>
    <s v="Massachusetts"/>
    <s v="MA"/>
    <s v="Male"/>
    <s v="Married"/>
    <s v="Production Technician I"/>
    <s v="Active"/>
    <s v="Full-Time"/>
    <s v="Zone C"/>
    <s v="Production       "/>
    <s v="Field Operations"/>
    <s v="Hispanic"/>
    <s v="Exceeds"/>
    <n v="1"/>
  </r>
  <r>
    <x v="976"/>
    <x v="2"/>
    <x v="773"/>
    <s v="38-47"/>
    <n v="40"/>
    <d v="1980-11-06T00:00:00"/>
    <s v="Massachusetts"/>
    <s v="MA"/>
    <s v="Female"/>
    <s v="Divorced"/>
    <s v="Production Technician I"/>
    <s v="Active"/>
    <s v="Contract"/>
    <s v="Zone A"/>
    <s v="Production       "/>
    <s v="General - Con"/>
    <s v="White"/>
    <s v="Fully Meets"/>
    <n v="5"/>
  </r>
  <r>
    <x v="977"/>
    <x v="0"/>
    <x v="774"/>
    <s v="38-47"/>
    <n v="40"/>
    <d v="1978-01-17T00:00:00"/>
    <s v="Massachusetts"/>
    <s v="MA"/>
    <s v="Female"/>
    <s v="Married"/>
    <s v="Production Technician I"/>
    <s v="Active"/>
    <s v="Full-Time"/>
    <s v="Zone B"/>
    <s v="Production       "/>
    <s v="Engineers"/>
    <s v="Hispanic"/>
    <s v="Fully Meets"/>
    <n v="4"/>
  </r>
  <r>
    <x v="978"/>
    <x v="1"/>
    <x v="215"/>
    <s v="38-47"/>
    <n v="40"/>
    <d v="1979-03-13T00:00:00"/>
    <s v="Massachusetts"/>
    <s v="MA"/>
    <s v="Male"/>
    <s v="Married"/>
    <s v="Production Technician I"/>
    <s v="Active"/>
    <s v="Contract"/>
    <s v="Zone A"/>
    <s v="Production       "/>
    <s v="Catv"/>
    <s v="Black"/>
    <s v="Fully Meets"/>
    <n v="4"/>
  </r>
  <r>
    <x v="979"/>
    <x v="0"/>
    <x v="775"/>
    <s v="38-47"/>
    <n v="40"/>
    <d v="1978-10-18T00:00:00"/>
    <s v="Massachusetts"/>
    <s v="MA"/>
    <s v="Female"/>
    <s v="Widowed"/>
    <s v="Production Technician I"/>
    <s v="Active"/>
    <s v="Part-Time"/>
    <s v="Zone C"/>
    <s v="Production       "/>
    <s v="Project Management - Con"/>
    <s v="White"/>
    <s v="Fully Meets"/>
    <n v="1"/>
  </r>
  <r>
    <x v="980"/>
    <x v="2"/>
    <x v="776"/>
    <s v="38-47"/>
    <n v="40"/>
    <d v="1980-03-17T00:00:00"/>
    <s v="Massachusetts"/>
    <s v="MA"/>
    <s v="Male"/>
    <s v="Widowed"/>
    <s v="Production Technician I"/>
    <s v="Active"/>
    <s v="Part-Time"/>
    <s v="Zone C"/>
    <s v="Production       "/>
    <s v="Finance &amp; Accounting"/>
    <s v="White"/>
    <s v="Fully Meets"/>
    <n v="3"/>
  </r>
  <r>
    <x v="981"/>
    <x v="3"/>
    <x v="777"/>
    <s v="38-47"/>
    <n v="40"/>
    <d v="1981-08-19T00:00:00"/>
    <s v="Massachusetts"/>
    <s v="MA"/>
    <s v="Male"/>
    <s v="Divorced"/>
    <s v="Production Technician I"/>
    <s v="Active"/>
    <s v="Full-Time"/>
    <s v="Zone A"/>
    <s v="Production       "/>
    <s v="Yard (Material Handling)"/>
    <s v="Black"/>
    <s v="Fully Meets"/>
    <n v="5"/>
  </r>
  <r>
    <x v="982"/>
    <x v="3"/>
    <x v="778"/>
    <s v="38-47"/>
    <n v="40"/>
    <d v="1981-05-02T00:00:00"/>
    <s v="Massachusetts"/>
    <s v="MA"/>
    <s v="Female"/>
    <s v="Widowed"/>
    <s v="Production Technician I"/>
    <s v="Terminated"/>
    <s v="Full-Time"/>
    <s v="Zone C"/>
    <s v="Production       "/>
    <s v="Field Operations"/>
    <s v="Hispanic"/>
    <s v="Fully Meets"/>
    <n v="4"/>
  </r>
  <r>
    <x v="983"/>
    <x v="4"/>
    <x v="609"/>
    <s v="38-47"/>
    <n v="40"/>
    <d v="1982-10-11T00:00:00"/>
    <s v="Massachusetts"/>
    <s v="MA"/>
    <s v="Female"/>
    <s v="Widowed"/>
    <s v="Production Technician I"/>
    <s v="Active"/>
    <s v="Contract"/>
    <s v="Zone C"/>
    <s v="Production       "/>
    <s v="General - Con"/>
    <s v="Asian"/>
    <s v="Fully Meets"/>
    <n v="1"/>
  </r>
  <r>
    <x v="984"/>
    <x v="5"/>
    <x v="779"/>
    <s v="38-47"/>
    <n v="40"/>
    <d v="1983-12-31T00:00:00"/>
    <s v="Massachusetts"/>
    <s v="MA"/>
    <s v="Female"/>
    <s v="Married"/>
    <s v="Production Technician I"/>
    <s v="Active"/>
    <s v="Part-Time"/>
    <s v="Zone B"/>
    <s v="Production       "/>
    <s v="Field Operations"/>
    <s v="White"/>
    <s v="Needs Improvement"/>
    <n v="3"/>
  </r>
  <r>
    <x v="985"/>
    <x v="2"/>
    <x v="780"/>
    <s v="38-47"/>
    <n v="40"/>
    <d v="1980-01-12T00:00:00"/>
    <s v="Massachusetts"/>
    <s v="MA"/>
    <s v="Female"/>
    <s v="Divorced"/>
    <s v="Production Technician I"/>
    <s v="Active"/>
    <s v="Contract"/>
    <s v="Zone C"/>
    <s v="Production       "/>
    <s v="Aerial"/>
    <s v="Other"/>
    <s v="Fully Meets"/>
    <n v="5"/>
  </r>
  <r>
    <x v="986"/>
    <x v="5"/>
    <x v="781"/>
    <s v="38-47"/>
    <n v="40"/>
    <d v="1983-09-25T00:00:00"/>
    <s v="Massachusetts"/>
    <s v="MA"/>
    <s v="Female"/>
    <s v="Married"/>
    <s v="Production Technician I"/>
    <s v="Active"/>
    <s v="Part-Time"/>
    <s v="Zone A"/>
    <s v="Production       "/>
    <s v="Splicing"/>
    <s v="Black"/>
    <s v="Fully Meets"/>
    <n v="2"/>
  </r>
  <r>
    <x v="987"/>
    <x v="1"/>
    <x v="31"/>
    <s v="38-47"/>
    <n v="40"/>
    <d v="1979-11-13T00:00:00"/>
    <s v="Massachusetts"/>
    <s v="MA"/>
    <s v="Female"/>
    <s v="Widowed"/>
    <s v="Production Technician I"/>
    <s v="Active"/>
    <s v="Contract"/>
    <s v="Zone C"/>
    <s v="Production       "/>
    <s v="Yard (Material Handling)"/>
    <s v="White"/>
    <s v="Fully Meets"/>
    <n v="4"/>
  </r>
  <r>
    <x v="988"/>
    <x v="3"/>
    <x v="782"/>
    <s v="38-47"/>
    <n v="40"/>
    <d v="1981-08-02T00:00:00"/>
    <s v="Massachusetts"/>
    <s v="MA"/>
    <s v="Female"/>
    <s v="Divorced"/>
    <s v="Production Technician I"/>
    <s v="Active"/>
    <s v="Contract"/>
    <s v="Zone A"/>
    <s v="Production       "/>
    <s v="Wireline Construction"/>
    <s v="Hispanic"/>
    <s v="Fully Meets"/>
    <n v="5"/>
  </r>
  <r>
    <x v="989"/>
    <x v="3"/>
    <x v="783"/>
    <s v="38-47"/>
    <n v="40"/>
    <d v="1981-12-07T00:00:00"/>
    <s v="Massachusetts"/>
    <s v="MA"/>
    <s v="Female"/>
    <s v="Widowed"/>
    <s v="Production Technician I"/>
    <s v="Active"/>
    <s v="Part-Time"/>
    <s v="Zone C"/>
    <s v="Production       "/>
    <s v="General - Con"/>
    <s v="White"/>
    <s v="Fully Meets"/>
    <n v="2"/>
  </r>
  <r>
    <x v="990"/>
    <x v="4"/>
    <x v="784"/>
    <s v="38-47"/>
    <n v="40"/>
    <d v="1982-11-04T00:00:00"/>
    <s v="Massachusetts"/>
    <s v="MA"/>
    <s v="Male"/>
    <s v="Single"/>
    <s v="Production Technician I"/>
    <s v="Active"/>
    <s v="Part-Time"/>
    <s v="Zone B"/>
    <s v="Production       "/>
    <s v="General - Con"/>
    <s v="White"/>
    <s v="Fully Meets"/>
    <n v="1"/>
  </r>
  <r>
    <x v="991"/>
    <x v="5"/>
    <x v="262"/>
    <s v="38-47"/>
    <n v="40"/>
    <d v="1983-03-30T00:00:00"/>
    <s v="Massachusetts"/>
    <s v="MA"/>
    <s v="Male"/>
    <s v="Married"/>
    <s v="Production Technician I"/>
    <s v="Active"/>
    <s v="Full-Time"/>
    <s v="Zone B"/>
    <s v="Production       "/>
    <s v="General - Sga"/>
    <s v="Hispanic"/>
    <s v="Exceeds"/>
    <n v="3"/>
  </r>
  <r>
    <x v="992"/>
    <x v="2"/>
    <x v="785"/>
    <s v="38-47"/>
    <n v="40"/>
    <d v="1980-05-15T00:00:00"/>
    <s v="Massachusetts"/>
    <s v="MA"/>
    <s v="Female"/>
    <s v="Widowed"/>
    <s v="Production Technician I"/>
    <s v="Active"/>
    <s v="Part-Time"/>
    <s v="Zone C"/>
    <s v="Production       "/>
    <s v="Field Operations"/>
    <s v="Other"/>
    <s v="Fully Meets"/>
    <n v="1"/>
  </r>
  <r>
    <x v="993"/>
    <x v="3"/>
    <x v="763"/>
    <s v="38-47"/>
    <n v="40"/>
    <d v="1981-02-24T00:00:00"/>
    <s v="Massachusetts"/>
    <s v="MA"/>
    <s v="Male"/>
    <s v="Married"/>
    <s v="Production Technician I"/>
    <s v="Terminated"/>
    <s v="Contract"/>
    <s v="Zone A"/>
    <s v="Production       "/>
    <s v="Engineers"/>
    <s v="Black"/>
    <s v="Fully Meets"/>
    <n v="5"/>
  </r>
  <r>
    <x v="994"/>
    <x v="5"/>
    <x v="750"/>
    <s v="38-47"/>
    <n v="40"/>
    <d v="1983-10-10T00:00:00"/>
    <s v="Massachusetts"/>
    <s v="MA"/>
    <s v="Female"/>
    <s v="Divorced"/>
    <s v="Production Manager"/>
    <s v="Active"/>
    <s v="Full-Time"/>
    <s v="Zone A"/>
    <s v="Production       "/>
    <s v="Field Operations"/>
    <s v="Asian"/>
    <s v="Fully Meets"/>
    <n v="2"/>
  </r>
  <r>
    <x v="995"/>
    <x v="4"/>
    <x v="786"/>
    <s v="38-47"/>
    <n v="40"/>
    <d v="1982-02-21T00:00:00"/>
    <s v="Massachusetts"/>
    <s v="MA"/>
    <s v="Female"/>
    <s v="Divorced"/>
    <s v="Production Manager"/>
    <s v="Active"/>
    <s v="Part-Time"/>
    <s v="Zone A"/>
    <s v="Production       "/>
    <s v="Project Management - Con"/>
    <s v="Asian"/>
    <s v="Fully Meets"/>
    <n v="3"/>
  </r>
  <r>
    <x v="996"/>
    <x v="1"/>
    <x v="28"/>
    <s v="38-47"/>
    <n v="40"/>
    <d v="1979-12-30T00:00:00"/>
    <s v="Massachusetts"/>
    <s v="MA"/>
    <s v="Female"/>
    <s v="Single"/>
    <s v="Production Manager"/>
    <s v="Active"/>
    <s v="Contract"/>
    <s v="Zone A"/>
    <s v="Production       "/>
    <s v="Wireline Construction"/>
    <s v="Black"/>
    <s v="Fully Meets"/>
    <n v="1"/>
  </r>
  <r>
    <x v="997"/>
    <x v="3"/>
    <x v="787"/>
    <s v="38-47"/>
    <n v="40"/>
    <d v="1981-05-29T00:00:00"/>
    <s v="Massachusetts"/>
    <s v="MA"/>
    <s v="Female"/>
    <s v="Widowed"/>
    <s v="Production Manager"/>
    <s v="Active"/>
    <s v="Part-Time"/>
    <s v="Zone C"/>
    <s v="Production       "/>
    <s v="Aerial"/>
    <s v="Hispanic"/>
    <s v="Fully Meets"/>
    <n v="1"/>
  </r>
  <r>
    <x v="998"/>
    <x v="4"/>
    <x v="788"/>
    <s v="38-47"/>
    <n v="40"/>
    <d v="1982-10-15T00:00:00"/>
    <s v="Massachusetts"/>
    <s v="MA"/>
    <s v="Male"/>
    <s v="Single"/>
    <s v="Network Engineer"/>
    <s v="Active"/>
    <s v="Contract"/>
    <s v="Zone B"/>
    <s v="Executive Office"/>
    <s v="General - Con"/>
    <s v="Black"/>
    <s v="Fully Meets"/>
    <n v="1"/>
  </r>
  <r>
    <x v="999"/>
    <x v="3"/>
    <x v="789"/>
    <s v="38-47"/>
    <n v="40"/>
    <d v="1981-06-01T00:00:00"/>
    <s v="Massachusetts"/>
    <s v="MA"/>
    <s v="Female"/>
    <s v="Married"/>
    <s v="IT Support"/>
    <s v="Active"/>
    <s v="Part-Time"/>
    <s v="Zone C"/>
    <s v="IT/IS"/>
    <s v="Technology / It"/>
    <s v="Hispanic"/>
    <s v="Fully Meets"/>
    <n v="4"/>
  </r>
  <r>
    <x v="1000"/>
    <x v="4"/>
    <x v="790"/>
    <s v="38-47"/>
    <n v="40"/>
    <d v="1982-09-14T00:00:00"/>
    <s v="Rhode Island"/>
    <s v="RI"/>
    <s v="Female"/>
    <s v="Divorced"/>
    <s v="Director of Sales"/>
    <s v="Active"/>
    <s v="Contract"/>
    <s v="Zone A"/>
    <s v="Sales"/>
    <s v="Field Operations"/>
    <s v="Asian"/>
    <s v="Fully Meets"/>
    <n v="4"/>
  </r>
  <r>
    <x v="1001"/>
    <x v="4"/>
    <x v="791"/>
    <s v="38-47"/>
    <n v="40"/>
    <d v="1982-06-15T00:00:00"/>
    <s v="Massachusetts"/>
    <s v="MA"/>
    <s v="Male"/>
    <s v="Divorced"/>
    <s v="Director of Operations"/>
    <s v="Active"/>
    <s v="Contract"/>
    <s v="Zone C"/>
    <s v="Production       "/>
    <s v="Wireline Construction"/>
    <s v="Asian"/>
    <s v="Fully Meets"/>
    <n v="2"/>
  </r>
  <r>
    <x v="1002"/>
    <x v="4"/>
    <x v="792"/>
    <s v="38-47"/>
    <n v="40"/>
    <d v="1982-05-03T00:00:00"/>
    <s v="Texas"/>
    <s v="TX"/>
    <s v="Male"/>
    <s v="Widowed"/>
    <s v="Data Architect"/>
    <s v="Terminated"/>
    <s v="Full-Time"/>
    <s v="Zone A"/>
    <s v="IT/IS"/>
    <s v="Catv"/>
    <s v="Other"/>
    <s v="Exceeds"/>
    <n v="4"/>
  </r>
  <r>
    <x v="1003"/>
    <x v="3"/>
    <x v="793"/>
    <s v="38-47"/>
    <n v="40"/>
    <d v="1981-02-18T00:00:00"/>
    <s v="Oregon"/>
    <s v="OR"/>
    <s v="Female"/>
    <s v="Widowed"/>
    <s v="Area Sales Manager"/>
    <s v="Active"/>
    <s v="Part-Time"/>
    <s v="Zone C"/>
    <s v="Sales"/>
    <s v="Project Management - Con"/>
    <s v="Hispanic"/>
    <s v="Fully Meets"/>
    <n v="3"/>
  </r>
  <r>
    <x v="1004"/>
    <x v="2"/>
    <x v="794"/>
    <s v="38-47"/>
    <n v="40"/>
    <d v="1980-04-25T00:00:00"/>
    <s v="North Carolina"/>
    <s v="NC"/>
    <s v="Male"/>
    <s v="Divorced"/>
    <s v="Area Sales Manager"/>
    <s v="Active"/>
    <s v="Full-Time"/>
    <s v="Zone B"/>
    <s v="Sales"/>
    <s v="Field Operations"/>
    <s v="Asian"/>
    <s v="Fully Meets"/>
    <n v="4"/>
  </r>
  <r>
    <x v="1005"/>
    <x v="4"/>
    <x v="521"/>
    <s v="38-47"/>
    <n v="40"/>
    <d v="1982-04-07T00:00:00"/>
    <s v="Massachusetts"/>
    <s v="MA"/>
    <s v="Male"/>
    <s v="Widowed"/>
    <s v="Area Sales Manager"/>
    <s v="Active"/>
    <s v="Contract"/>
    <s v="Zone C"/>
    <s v="Sales"/>
    <s v="Fielders"/>
    <s v="White"/>
    <s v="Fully Meets"/>
    <n v="5"/>
  </r>
  <r>
    <x v="1006"/>
    <x v="0"/>
    <x v="400"/>
    <s v="38-47"/>
    <n v="41"/>
    <d v="1977-12-06T00:00:00"/>
    <s v="Connecticut"/>
    <s v="CT"/>
    <s v="Male"/>
    <s v="Single"/>
    <s v="Sr. Network Engineer"/>
    <s v="Active"/>
    <s v="Part-Time"/>
    <s v="Zone B"/>
    <s v="IT/IS"/>
    <s v="Wireless"/>
    <s v="Other"/>
    <s v="Fully Meets"/>
    <n v="2"/>
  </r>
  <r>
    <x v="1007"/>
    <x v="4"/>
    <x v="124"/>
    <s v="38-47"/>
    <n v="41"/>
    <d v="1981-05-16T00:00:00"/>
    <s v="Massachusetts"/>
    <s v="MA"/>
    <s v="Male"/>
    <s v="Divorced"/>
    <s v="Software Engineer"/>
    <s v="Active"/>
    <s v="Contract"/>
    <s v="Zone C"/>
    <s v="Software Engineering"/>
    <s v="Field Operations"/>
    <s v="Black"/>
    <s v="Fully Meets"/>
    <n v="3"/>
  </r>
  <r>
    <x v="1008"/>
    <x v="0"/>
    <x v="795"/>
    <s v="38-47"/>
    <n v="41"/>
    <d v="1977-01-20T00:00:00"/>
    <s v="Massachusetts"/>
    <s v="MA"/>
    <s v="Female"/>
    <s v="Widowed"/>
    <s v="Software Engineer"/>
    <s v="Active"/>
    <s v="Part-Time"/>
    <s v="Zone C"/>
    <s v="Software Engineering"/>
    <s v="Field Operations"/>
    <s v="Asian"/>
    <s v="Fully Meets"/>
    <n v="2"/>
  </r>
  <r>
    <x v="1009"/>
    <x v="4"/>
    <x v="796"/>
    <s v="38-47"/>
    <n v="41"/>
    <d v="1981-04-29T00:00:00"/>
    <s v="Massachusetts"/>
    <s v="MA"/>
    <s v="Male"/>
    <s v="Divorced"/>
    <s v="Software Engineer"/>
    <s v="Active"/>
    <s v="Full-Time"/>
    <s v="Zone C"/>
    <s v="Software Engineering"/>
    <s v="Field Operations"/>
    <s v="White"/>
    <s v="Fully Meets"/>
    <n v="4"/>
  </r>
  <r>
    <x v="1010"/>
    <x v="2"/>
    <x v="797"/>
    <s v="38-47"/>
    <n v="41"/>
    <d v="1979-06-01T00:00:00"/>
    <s v="Massachusetts"/>
    <s v="MA"/>
    <s v="Female"/>
    <s v="Divorced"/>
    <s v="Software Engineer"/>
    <s v="Active"/>
    <s v="Part-Time"/>
    <s v="Zone B"/>
    <s v="Software Engineering"/>
    <s v="Field Operations"/>
    <s v="Asian"/>
    <s v="Fully Meets"/>
    <n v="5"/>
  </r>
  <r>
    <x v="1011"/>
    <x v="3"/>
    <x v="798"/>
    <s v="38-47"/>
    <n v="41"/>
    <d v="1980-06-21T00:00:00"/>
    <s v="Massachusetts"/>
    <s v="MA"/>
    <s v="Female"/>
    <s v="Single"/>
    <s v="Shared Services Manager"/>
    <s v="Active"/>
    <s v="Contract"/>
    <s v="Zone B"/>
    <s v="Software Engineering"/>
    <s v="General - Con"/>
    <s v="Hispanic"/>
    <s v="Fully Meets"/>
    <n v="4"/>
  </r>
  <r>
    <x v="1012"/>
    <x v="2"/>
    <x v="92"/>
    <s v="38-47"/>
    <n v="41"/>
    <d v="1979-02-16T00:00:00"/>
    <s v="Massachusetts"/>
    <s v="MA"/>
    <s v="Female"/>
    <s v="Divorced"/>
    <s v="Senior BI Developer"/>
    <s v="Active"/>
    <s v="Full-Time"/>
    <s v="Zone A"/>
    <s v="Admin Offices"/>
    <s v="Underground"/>
    <s v="Asian"/>
    <s v="Fully Meets"/>
    <n v="5"/>
  </r>
  <r>
    <x v="1013"/>
    <x v="0"/>
    <x v="799"/>
    <s v="38-47"/>
    <n v="41"/>
    <d v="1977-02-15T00:00:00"/>
    <s v="Massachusetts"/>
    <s v="MA"/>
    <s v="Female"/>
    <s v="Married"/>
    <s v="Production Technician II"/>
    <s v="Terminated"/>
    <s v="Full-Time"/>
    <s v="Zone A"/>
    <s v="Production       "/>
    <s v="Field Operations"/>
    <s v="White"/>
    <s v="Fully Meets"/>
    <n v="1"/>
  </r>
  <r>
    <x v="1014"/>
    <x v="2"/>
    <x v="800"/>
    <s v="38-47"/>
    <n v="41"/>
    <d v="1979-12-10T00:00:00"/>
    <s v="Massachusetts"/>
    <s v="MA"/>
    <s v="Female"/>
    <s v="Married"/>
    <s v="Production Technician II"/>
    <s v="Active"/>
    <s v="Contract"/>
    <s v="Zone A"/>
    <s v="Production       "/>
    <s v="Field Operations"/>
    <s v="Other"/>
    <s v="Fully Meets"/>
    <n v="4"/>
  </r>
  <r>
    <x v="1015"/>
    <x v="3"/>
    <x v="801"/>
    <s v="38-47"/>
    <n v="41"/>
    <d v="1980-04-06T00:00:00"/>
    <s v="Massachusetts"/>
    <s v="MA"/>
    <s v="Male"/>
    <s v="Single"/>
    <s v="Production Technician II"/>
    <s v="Active"/>
    <s v="Contract"/>
    <s v="Zone C"/>
    <s v="Production       "/>
    <s v="Project Management - Con"/>
    <s v="Asian"/>
    <s v="Exceeds"/>
    <n v="2"/>
  </r>
  <r>
    <x v="1016"/>
    <x v="2"/>
    <x v="802"/>
    <s v="38-47"/>
    <n v="41"/>
    <d v="1979-06-18T00:00:00"/>
    <s v="Massachusetts"/>
    <s v="MA"/>
    <s v="Female"/>
    <s v="Single"/>
    <s v="Production Technician II"/>
    <s v="Active"/>
    <s v="Full-Time"/>
    <s v="Zone B"/>
    <s v="Production       "/>
    <s v="General - Con"/>
    <s v="White"/>
    <s v="Fully Meets"/>
    <n v="4"/>
  </r>
  <r>
    <x v="1017"/>
    <x v="5"/>
    <x v="803"/>
    <s v="38-47"/>
    <n v="41"/>
    <d v="1982-12-29T00:00:00"/>
    <s v="Massachusetts"/>
    <s v="MA"/>
    <s v="Male"/>
    <s v="Widowed"/>
    <s v="Production Technician II"/>
    <s v="Active"/>
    <s v="Full-Time"/>
    <s v="Zone C"/>
    <s v="Production       "/>
    <s v="Project Management - Eng"/>
    <s v="Hispanic"/>
    <s v="Fully Meets"/>
    <n v="4"/>
  </r>
  <r>
    <x v="1018"/>
    <x v="1"/>
    <x v="804"/>
    <s v="38-47"/>
    <n v="41"/>
    <d v="1978-03-30T00:00:00"/>
    <s v="Massachusetts"/>
    <s v="MA"/>
    <s v="Female"/>
    <s v="Married"/>
    <s v="Production Technician II"/>
    <s v="Active"/>
    <s v="Contract"/>
    <s v="Zone A"/>
    <s v="Production       "/>
    <s v="Billable Consultants"/>
    <s v="Asian"/>
    <s v="Exceeds"/>
    <n v="2"/>
  </r>
  <r>
    <x v="1019"/>
    <x v="3"/>
    <x v="805"/>
    <s v="38-47"/>
    <n v="41"/>
    <d v="1980-08-20T00:00:00"/>
    <s v="Massachusetts"/>
    <s v="MA"/>
    <s v="Male"/>
    <s v="Married"/>
    <s v="Production Technician II"/>
    <s v="Terminated"/>
    <s v="Part-Time"/>
    <s v="Zone B"/>
    <s v="Production       "/>
    <s v="Field Operations"/>
    <s v="Hispanic"/>
    <s v="Needs Improvement"/>
    <n v="5"/>
  </r>
  <r>
    <x v="1020"/>
    <x v="0"/>
    <x v="806"/>
    <s v="38-47"/>
    <n v="41"/>
    <d v="1977-03-30T00:00:00"/>
    <s v="Massachusetts"/>
    <s v="MA"/>
    <s v="Female"/>
    <s v="Single"/>
    <s v="Production Technician II"/>
    <s v="Active"/>
    <s v="Part-Time"/>
    <s v="Zone A"/>
    <s v="Production       "/>
    <s v="Field Operations"/>
    <s v="Other"/>
    <s v="Exceeds"/>
    <n v="3"/>
  </r>
  <r>
    <x v="1021"/>
    <x v="1"/>
    <x v="385"/>
    <s v="38-47"/>
    <n v="41"/>
    <d v="1978-04-21T00:00:00"/>
    <s v="Massachusetts"/>
    <s v="MA"/>
    <s v="Female"/>
    <s v="Married"/>
    <s v="Production Technician II"/>
    <s v="Active"/>
    <s v="Full-Time"/>
    <s v="Zone A"/>
    <s v="Production       "/>
    <s v="General - Sga"/>
    <s v="White"/>
    <s v="Fully Meets"/>
    <n v="4"/>
  </r>
  <r>
    <x v="1022"/>
    <x v="1"/>
    <x v="277"/>
    <s v="38-47"/>
    <n v="41"/>
    <d v="1978-04-25T00:00:00"/>
    <s v="Massachusetts"/>
    <s v="MA"/>
    <s v="Female"/>
    <s v="Divorced"/>
    <s v="Production Technician II"/>
    <s v="Active"/>
    <s v="Full-Time"/>
    <s v="Zone B"/>
    <s v="Production       "/>
    <s v="Wireline Construction"/>
    <s v="Black"/>
    <s v="Fully Meets"/>
    <n v="4"/>
  </r>
  <r>
    <x v="1023"/>
    <x v="2"/>
    <x v="234"/>
    <s v="38-47"/>
    <n v="41"/>
    <d v="1979-05-28T00:00:00"/>
    <s v="Massachusetts"/>
    <s v="MA"/>
    <s v="Male"/>
    <s v="Divorced"/>
    <s v="Production Technician II"/>
    <s v="Terminated"/>
    <s v="Contract"/>
    <s v="Zone B"/>
    <s v="Production       "/>
    <s v="General - Sga"/>
    <s v="Black"/>
    <s v="Fully Meets"/>
    <n v="1"/>
  </r>
  <r>
    <x v="1024"/>
    <x v="1"/>
    <x v="807"/>
    <s v="38-47"/>
    <n v="41"/>
    <d v="1978-09-26T00:00:00"/>
    <s v="Massachusetts"/>
    <s v="MA"/>
    <s v="Female"/>
    <s v="Single"/>
    <s v="Production Technician I"/>
    <s v="Active"/>
    <s v="Full-Time"/>
    <s v="Zone C"/>
    <s v="Production       "/>
    <s v="General - Con"/>
    <s v="Hispanic"/>
    <s v="Fully Meets"/>
    <n v="2"/>
  </r>
  <r>
    <x v="1025"/>
    <x v="3"/>
    <x v="808"/>
    <s v="38-47"/>
    <n v="41"/>
    <d v="1980-04-28T00:00:00"/>
    <s v="Massachusetts"/>
    <s v="MA"/>
    <s v="Male"/>
    <s v="Married"/>
    <s v="Production Technician I"/>
    <s v="Active"/>
    <s v="Contract"/>
    <s v="Zone A"/>
    <s v="Production       "/>
    <s v="General - Eng"/>
    <s v="Black"/>
    <s v="Fully Meets"/>
    <n v="1"/>
  </r>
  <r>
    <x v="1026"/>
    <x v="3"/>
    <x v="386"/>
    <s v="38-47"/>
    <n v="41"/>
    <d v="1980-10-15T00:00:00"/>
    <s v="Massachusetts"/>
    <s v="MA"/>
    <s v="Male"/>
    <s v="Widowed"/>
    <s v="Production Technician I"/>
    <s v="Active"/>
    <s v="Contract"/>
    <s v="Zone B"/>
    <s v="Production       "/>
    <s v="Field Operations"/>
    <s v="Other"/>
    <s v="Fully Meets"/>
    <n v="1"/>
  </r>
  <r>
    <x v="1027"/>
    <x v="1"/>
    <x v="182"/>
    <s v="38-47"/>
    <n v="41"/>
    <d v="1978-07-20T00:00:00"/>
    <s v="Massachusetts"/>
    <s v="MA"/>
    <s v="Male"/>
    <s v="Single"/>
    <s v="Production Technician I"/>
    <s v="Terminated"/>
    <s v="Full-Time"/>
    <s v="Zone C"/>
    <s v="Production       "/>
    <s v="General - Con"/>
    <s v="Asian"/>
    <s v="Fully Meets"/>
    <n v="4"/>
  </r>
  <r>
    <x v="1028"/>
    <x v="4"/>
    <x v="809"/>
    <s v="38-47"/>
    <n v="41"/>
    <d v="1981-03-24T00:00:00"/>
    <s v="Massachusetts"/>
    <s v="MA"/>
    <s v="Female"/>
    <s v="Married"/>
    <s v="Production Technician I"/>
    <s v="Active"/>
    <s v="Contract"/>
    <s v="Zone C"/>
    <s v="Production       "/>
    <s v="General - Con"/>
    <s v="Hispanic"/>
    <s v="Fully Meets"/>
    <n v="1"/>
  </r>
  <r>
    <x v="1029"/>
    <x v="2"/>
    <x v="810"/>
    <s v="38-47"/>
    <n v="41"/>
    <d v="1979-04-27T00:00:00"/>
    <s v="Massachusetts"/>
    <s v="MA"/>
    <s v="Female"/>
    <s v="Widowed"/>
    <s v="Production Technician I"/>
    <s v="Active"/>
    <s v="Contract"/>
    <s v="Zone C"/>
    <s v="Production       "/>
    <s v="Fielders"/>
    <s v="Hispanic"/>
    <s v="Fully Meets"/>
    <n v="1"/>
  </r>
  <r>
    <x v="1030"/>
    <x v="1"/>
    <x v="604"/>
    <s v="38-47"/>
    <n v="41"/>
    <d v="1978-10-18T00:00:00"/>
    <s v="Massachusetts"/>
    <s v="MA"/>
    <s v="Male"/>
    <s v="Married"/>
    <s v="Production Technician I"/>
    <s v="Active"/>
    <s v="Full-Time"/>
    <s v="Zone C"/>
    <s v="Production       "/>
    <s v="Executive"/>
    <s v="Asian"/>
    <s v="Fully Meets"/>
    <n v="4"/>
  </r>
  <r>
    <x v="1031"/>
    <x v="4"/>
    <x v="811"/>
    <s v="38-47"/>
    <n v="41"/>
    <d v="1981-08-28T00:00:00"/>
    <s v="Massachusetts"/>
    <s v="MA"/>
    <s v="Female"/>
    <s v="Widowed"/>
    <s v="Production Technician I"/>
    <s v="Active"/>
    <s v="Full-Time"/>
    <s v="Zone C"/>
    <s v="Production       "/>
    <s v="Project Management - Con"/>
    <s v="White"/>
    <s v="Fully Meets"/>
    <n v="4"/>
  </r>
  <r>
    <x v="1032"/>
    <x v="2"/>
    <x v="812"/>
    <s v="38-47"/>
    <n v="41"/>
    <d v="1979-09-20T00:00:00"/>
    <s v="Massachusetts"/>
    <s v="MA"/>
    <s v="Female"/>
    <s v="Divorced"/>
    <s v="Production Technician I"/>
    <s v="Active"/>
    <s v="Full-Time"/>
    <s v="Zone A"/>
    <s v="Production       "/>
    <s v="Field Operations"/>
    <s v="Asian"/>
    <s v="Fully Meets"/>
    <n v="2"/>
  </r>
  <r>
    <x v="1033"/>
    <x v="4"/>
    <x v="659"/>
    <s v="38-47"/>
    <n v="41"/>
    <d v="1981-09-11T00:00:00"/>
    <s v="Massachusetts"/>
    <s v="MA"/>
    <s v="Male"/>
    <s v="Divorced"/>
    <s v="Production Technician I"/>
    <s v="Active"/>
    <s v="Full-Time"/>
    <s v="Zone C"/>
    <s v="Production       "/>
    <s v="Yard (Material Handling)"/>
    <s v="Hispanic"/>
    <s v="Fully Meets"/>
    <n v="2"/>
  </r>
  <r>
    <x v="1034"/>
    <x v="1"/>
    <x v="813"/>
    <s v="38-47"/>
    <n v="41"/>
    <d v="1978-11-29T00:00:00"/>
    <s v="Massachusetts"/>
    <s v="MA"/>
    <s v="Male"/>
    <s v="Widowed"/>
    <s v="Production Technician I"/>
    <s v="Terminated"/>
    <s v="Part-Time"/>
    <s v="Zone B"/>
    <s v="Production       "/>
    <s v="Shop (Fleet)"/>
    <s v="Asian"/>
    <s v="Fully Meets"/>
    <n v="2"/>
  </r>
  <r>
    <x v="1035"/>
    <x v="4"/>
    <x v="669"/>
    <s v="38-47"/>
    <n v="41"/>
    <d v="1981-02-20T00:00:00"/>
    <s v="Massachusetts"/>
    <s v="MA"/>
    <s v="Male"/>
    <s v="Married"/>
    <s v="Production Technician I"/>
    <s v="Active"/>
    <s v="Part-Time"/>
    <s v="Zone B"/>
    <s v="Production       "/>
    <s v="Underground"/>
    <s v="Asian"/>
    <s v="Fully Meets"/>
    <n v="1"/>
  </r>
  <r>
    <x v="1036"/>
    <x v="2"/>
    <x v="280"/>
    <s v="38-47"/>
    <n v="41"/>
    <d v="1979-05-05T00:00:00"/>
    <s v="Massachusetts"/>
    <s v="MA"/>
    <s v="Female"/>
    <s v="Widowed"/>
    <s v="Production Technician I"/>
    <s v="Active"/>
    <s v="Full-Time"/>
    <s v="Zone C"/>
    <s v="Production       "/>
    <s v="Splicing"/>
    <s v="Black"/>
    <s v="Fully Meets"/>
    <n v="1"/>
  </r>
  <r>
    <x v="1037"/>
    <x v="0"/>
    <x v="814"/>
    <s v="38-47"/>
    <n v="41"/>
    <d v="1977-04-11T00:00:00"/>
    <s v="Massachusetts"/>
    <s v="MA"/>
    <s v="Female"/>
    <s v="Widowed"/>
    <s v="Production Technician I"/>
    <s v="Active"/>
    <s v="Full-Time"/>
    <s v="Zone C"/>
    <s v="Production       "/>
    <s v="Field Operations"/>
    <s v="Other"/>
    <s v="Fully Meets"/>
    <n v="2"/>
  </r>
  <r>
    <x v="1038"/>
    <x v="4"/>
    <x v="205"/>
    <s v="38-47"/>
    <n v="41"/>
    <d v="1981-01-11T00:00:00"/>
    <s v="Massachusetts"/>
    <s v="MA"/>
    <s v="Female"/>
    <s v="Single"/>
    <s v="Production Technician I"/>
    <s v="Active"/>
    <s v="Contract"/>
    <s v="Zone A"/>
    <s v="Production       "/>
    <s v="General - Eng"/>
    <s v="Asian"/>
    <s v="Fully Meets"/>
    <n v="4"/>
  </r>
  <r>
    <x v="1039"/>
    <x v="3"/>
    <x v="815"/>
    <s v="38-47"/>
    <n v="41"/>
    <d v="1980-09-16T00:00:00"/>
    <s v="Massachusetts"/>
    <s v="MA"/>
    <s v="Female"/>
    <s v="Married"/>
    <s v="Production Technician I"/>
    <s v="Active"/>
    <s v="Contract"/>
    <s v="Zone C"/>
    <s v="Production       "/>
    <s v="General - Sga"/>
    <s v="Black"/>
    <s v="Fully Meets"/>
    <n v="3"/>
  </r>
  <r>
    <x v="1040"/>
    <x v="0"/>
    <x v="448"/>
    <s v="38-47"/>
    <n v="41"/>
    <d v="1977-08-03T00:00:00"/>
    <s v="Massachusetts"/>
    <s v="MA"/>
    <s v="Female"/>
    <s v="Married"/>
    <s v="Production Technician I"/>
    <s v="Active"/>
    <s v="Contract"/>
    <s v="Zone A"/>
    <s v="Production       "/>
    <s v="Field Operations"/>
    <s v="Other"/>
    <s v="Exceeds"/>
    <n v="1"/>
  </r>
  <r>
    <x v="1041"/>
    <x v="3"/>
    <x v="50"/>
    <s v="38-47"/>
    <n v="41"/>
    <d v="1980-12-03T00:00:00"/>
    <s v="Massachusetts"/>
    <s v="MA"/>
    <s v="Female"/>
    <s v="Single"/>
    <s v="Production Technician I"/>
    <s v="Active"/>
    <s v="Contract"/>
    <s v="Zone B"/>
    <s v="Production       "/>
    <s v="Field Operations"/>
    <s v="Other"/>
    <s v="Exceeds"/>
    <n v="3"/>
  </r>
  <r>
    <x v="1042"/>
    <x v="3"/>
    <x v="219"/>
    <s v="38-47"/>
    <n v="41"/>
    <d v="1980-12-28T00:00:00"/>
    <s v="Massachusetts"/>
    <s v="MA"/>
    <s v="Female"/>
    <s v="Widowed"/>
    <s v="Production Technician I"/>
    <s v="Terminated"/>
    <s v="Part-Time"/>
    <s v="Zone A"/>
    <s v="Production       "/>
    <s v="Catv"/>
    <s v="Black"/>
    <s v="Fully Meets"/>
    <n v="3"/>
  </r>
  <r>
    <x v="1043"/>
    <x v="2"/>
    <x v="816"/>
    <s v="38-47"/>
    <n v="41"/>
    <d v="1979-03-07T00:00:00"/>
    <s v="Massachusetts"/>
    <s v="MA"/>
    <s v="Female"/>
    <s v="Widowed"/>
    <s v="Production Technician I"/>
    <s v="Active"/>
    <s v="Contract"/>
    <s v="Zone A"/>
    <s v="Production       "/>
    <s v="General - Con"/>
    <s v="White"/>
    <s v="Fully Meets"/>
    <n v="2"/>
  </r>
  <r>
    <x v="1044"/>
    <x v="1"/>
    <x v="633"/>
    <s v="38-47"/>
    <n v="41"/>
    <d v="1978-11-07T00:00:00"/>
    <s v="Massachusetts"/>
    <s v="MA"/>
    <s v="Female"/>
    <s v="Married"/>
    <s v="Production Technician I"/>
    <s v="Active"/>
    <s v="Part-Time"/>
    <s v="Zone C"/>
    <s v="Production       "/>
    <s v="General - Eng"/>
    <s v="Other"/>
    <s v="Fully Meets"/>
    <n v="5"/>
  </r>
  <r>
    <x v="1045"/>
    <x v="4"/>
    <x v="85"/>
    <s v="38-47"/>
    <n v="41"/>
    <d v="1981-10-01T00:00:00"/>
    <s v="Massachusetts"/>
    <s v="MA"/>
    <s v="Female"/>
    <s v="Divorced"/>
    <s v="Production Technician I"/>
    <s v="Terminated"/>
    <s v="Full-Time"/>
    <s v="Zone C"/>
    <s v="Production       "/>
    <s v="Field Operations"/>
    <s v="White"/>
    <s v="Fully Meets"/>
    <n v="5"/>
  </r>
  <r>
    <x v="1046"/>
    <x v="5"/>
    <x v="817"/>
    <s v="38-47"/>
    <n v="41"/>
    <d v="1982-06-05T00:00:00"/>
    <s v="Massachusetts"/>
    <s v="MA"/>
    <s v="Male"/>
    <s v="Widowed"/>
    <s v="Production Manager"/>
    <s v="Terminated"/>
    <s v="Full-Time"/>
    <s v="Zone C"/>
    <s v="Production       "/>
    <s v="Engineers"/>
    <s v="Other"/>
    <s v="Fully Meets"/>
    <n v="3"/>
  </r>
  <r>
    <x v="1047"/>
    <x v="5"/>
    <x v="818"/>
    <s v="38-47"/>
    <n v="41"/>
    <d v="1982-11-21T00:00:00"/>
    <s v="Massachusetts"/>
    <s v="MA"/>
    <s v="Female"/>
    <s v="Divorced"/>
    <s v="Production Manager"/>
    <s v="Active"/>
    <s v="Full-Time"/>
    <s v="Zone B"/>
    <s v="Production       "/>
    <s v="Project Management - Con"/>
    <s v="White"/>
    <s v="Fully Meets"/>
    <n v="2"/>
  </r>
  <r>
    <x v="1048"/>
    <x v="2"/>
    <x v="89"/>
    <s v="38-47"/>
    <n v="41"/>
    <d v="1979-03-10T00:00:00"/>
    <s v="Massachusetts"/>
    <s v="MA"/>
    <s v="Male"/>
    <s v="Widowed"/>
    <s v="President &amp; CEO"/>
    <s v="Active"/>
    <s v="Part-Time"/>
    <s v="Zone B"/>
    <s v="Production       "/>
    <s v="Shop (Fleet)"/>
    <s v="Other"/>
    <s v="Fully Meets"/>
    <n v="3"/>
  </r>
  <r>
    <x v="1049"/>
    <x v="0"/>
    <x v="819"/>
    <s v="38-47"/>
    <n v="41"/>
    <d v="1977-11-10T00:00:00"/>
    <s v="Massachusetts"/>
    <s v="MA"/>
    <s v="Male"/>
    <s v="Divorced"/>
    <s v="President &amp; CEO"/>
    <s v="Active"/>
    <s v="Contract"/>
    <s v="Zone A"/>
    <s v="Production       "/>
    <s v="General - Con"/>
    <s v="Asian"/>
    <s v="Fully Meets"/>
    <n v="3"/>
  </r>
  <r>
    <x v="1050"/>
    <x v="2"/>
    <x v="794"/>
    <s v="38-47"/>
    <n v="41"/>
    <d v="1979-01-03T00:00:00"/>
    <s v="Massachusetts"/>
    <s v="MA"/>
    <s v="Female"/>
    <s v="Widowed"/>
    <s v="IT Support"/>
    <s v="Active"/>
    <s v="Full-Time"/>
    <s v="Zone C"/>
    <s v="IT/IS"/>
    <s v="Executive"/>
    <s v="Asian"/>
    <s v="Fully Meets"/>
    <n v="3"/>
  </r>
  <r>
    <x v="1051"/>
    <x v="1"/>
    <x v="820"/>
    <s v="38-47"/>
    <n v="41"/>
    <d v="1978-12-09T00:00:00"/>
    <s v="Massachusetts"/>
    <s v="MA"/>
    <s v="Male"/>
    <s v="Single"/>
    <s v="IT Manager - DB"/>
    <s v="Active"/>
    <s v="Part-Time"/>
    <s v="Zone A"/>
    <s v="IT/IS"/>
    <s v="Splicing"/>
    <s v="White"/>
    <s v="Fully Meets"/>
    <n v="1"/>
  </r>
  <r>
    <x v="1052"/>
    <x v="5"/>
    <x v="821"/>
    <s v="38-47"/>
    <n v="41"/>
    <d v="1982-01-12T00:00:00"/>
    <s v="Texas"/>
    <s v="TX"/>
    <s v="Male"/>
    <s v="Married"/>
    <s v="Area Sales Manager"/>
    <s v="Active"/>
    <s v="Contract"/>
    <s v="Zone C"/>
    <s v="Sales"/>
    <s v="Project Management - Con"/>
    <s v="Other"/>
    <s v="Exceeds"/>
    <n v="5"/>
  </r>
  <r>
    <x v="1053"/>
    <x v="3"/>
    <x v="64"/>
    <s v="38-47"/>
    <n v="41"/>
    <d v="1980-07-14T00:00:00"/>
    <s v="North Dakota"/>
    <s v="ND"/>
    <s v="Male"/>
    <s v="Widowed"/>
    <s v="Area Sales Manager"/>
    <s v="Active"/>
    <s v="Full-Time"/>
    <s v="Zone B"/>
    <s v="Sales"/>
    <s v="General - Con"/>
    <s v="Hispanic"/>
    <s v="Exceeds"/>
    <n v="5"/>
  </r>
  <r>
    <x v="1054"/>
    <x v="3"/>
    <x v="822"/>
    <s v="38-47"/>
    <n v="41"/>
    <d v="1980-08-23T00:00:00"/>
    <s v="Colorado"/>
    <s v="CO"/>
    <s v="Male"/>
    <s v="Married"/>
    <s v="Area Sales Manager"/>
    <s v="Active"/>
    <s v="Full-Time"/>
    <s v="Zone B"/>
    <s v="Sales"/>
    <s v="General - Con"/>
    <s v="Hispanic"/>
    <s v="Fully Meets"/>
    <n v="4"/>
  </r>
  <r>
    <x v="1055"/>
    <x v="4"/>
    <x v="823"/>
    <s v="38-47"/>
    <n v="41"/>
    <d v="1981-11-24T00:00:00"/>
    <s v="Colorado"/>
    <s v="CO"/>
    <s v="Male"/>
    <s v="Single"/>
    <s v="Area Sales Manager"/>
    <s v="Active"/>
    <s v="Full-Time"/>
    <s v="Zone A"/>
    <s v="Sales"/>
    <s v="Splicing"/>
    <s v="Other"/>
    <s v="Fully Meets"/>
    <n v="2"/>
  </r>
  <r>
    <x v="1056"/>
    <x v="2"/>
    <x v="824"/>
    <s v="38-47"/>
    <n v="41"/>
    <d v="1979-12-02T00:00:00"/>
    <s v="Alabama"/>
    <s v="AL"/>
    <s v="Male"/>
    <s v="Single"/>
    <s v="Area Sales Manager"/>
    <s v="Active"/>
    <s v="Contract"/>
    <s v="Zone C"/>
    <s v="Sales"/>
    <s v="General - Con"/>
    <s v="White"/>
    <s v="Fully Meets"/>
    <n v="4"/>
  </r>
  <r>
    <x v="1057"/>
    <x v="5"/>
    <x v="825"/>
    <s v="38-47"/>
    <n v="41"/>
    <d v="1982-04-21T00:00:00"/>
    <s v="Massachusetts"/>
    <s v="MA"/>
    <s v="Female"/>
    <s v="Divorced"/>
    <s v="Accountant I"/>
    <s v="Active"/>
    <s v="Full-Time"/>
    <s v="Zone A"/>
    <s v="Admin Offices"/>
    <s v="General - Con"/>
    <s v="Asian"/>
    <s v="PIP"/>
    <n v="2"/>
  </r>
  <r>
    <x v="1058"/>
    <x v="3"/>
    <x v="377"/>
    <s v="38-47"/>
    <n v="42"/>
    <d v="1979-02-22T00:00:00"/>
    <s v="Massachusetts"/>
    <s v="MA"/>
    <s v="Female"/>
    <s v="Single"/>
    <s v="Software Engineering Manager"/>
    <s v="Active"/>
    <s v="Part-Time"/>
    <s v="Zone C"/>
    <s v="Software Engineering"/>
    <s v="Engineers"/>
    <s v="Hispanic"/>
    <s v="Fully Meets"/>
    <n v="3"/>
  </r>
  <r>
    <x v="1059"/>
    <x v="4"/>
    <x v="826"/>
    <s v="38-47"/>
    <n v="42"/>
    <d v="1980-04-11T00:00:00"/>
    <s v="Massachusetts"/>
    <s v="MA"/>
    <s v="Male"/>
    <s v="Divorced"/>
    <s v="Software Engineer"/>
    <s v="Active"/>
    <s v="Part-Time"/>
    <s v="Zone C"/>
    <s v="Software Engineering"/>
    <s v="Yard (Material Handling)"/>
    <s v="White"/>
    <s v="Fully Meets"/>
    <n v="1"/>
  </r>
  <r>
    <x v="1060"/>
    <x v="2"/>
    <x v="488"/>
    <s v="38-47"/>
    <n v="42"/>
    <d v="1978-10-03T00:00:00"/>
    <s v="Massachusetts"/>
    <s v="MA"/>
    <s v="Male"/>
    <s v="Single"/>
    <s v="Software Engineer"/>
    <s v="Terminated"/>
    <s v="Contract"/>
    <s v="Zone A"/>
    <s v="Software Engineering"/>
    <s v="General - Eng"/>
    <s v="White"/>
    <s v="Fully Meets"/>
    <n v="5"/>
  </r>
  <r>
    <x v="1061"/>
    <x v="3"/>
    <x v="541"/>
    <s v="38-47"/>
    <n v="42"/>
    <d v="1979-06-05T00:00:00"/>
    <s v="Massachusetts"/>
    <s v="MA"/>
    <s v="Male"/>
    <s v="Divorced"/>
    <s v="Shared Services Manager"/>
    <s v="Active"/>
    <s v="Part-Time"/>
    <s v="Zone A"/>
    <s v="Admin Offices"/>
    <s v="Splicing"/>
    <s v="Black"/>
    <s v="Fully Meets"/>
    <n v="2"/>
  </r>
  <r>
    <x v="1062"/>
    <x v="0"/>
    <x v="819"/>
    <s v="38-47"/>
    <n v="42"/>
    <d v="1976-02-05T00:00:00"/>
    <s v="Massachusetts"/>
    <s v="MA"/>
    <s v="Female"/>
    <s v="Single"/>
    <s v="Shared Services Manager"/>
    <s v="Active"/>
    <s v="Part-Time"/>
    <s v="Zone B"/>
    <s v="Software Engineering"/>
    <s v="General - Con"/>
    <s v="Black"/>
    <s v="Fully Meets"/>
    <n v="5"/>
  </r>
  <r>
    <x v="1063"/>
    <x v="1"/>
    <x v="529"/>
    <s v="38-47"/>
    <n v="42"/>
    <d v="1977-12-08T00:00:00"/>
    <s v="Massachusetts"/>
    <s v="MA"/>
    <s v="Female"/>
    <s v="Single"/>
    <s v="Shared Services Manager"/>
    <s v="Active"/>
    <s v="Full-Time"/>
    <s v="Zone C"/>
    <s v="Software Engineering"/>
    <s v="Project Management - Con"/>
    <s v="Black"/>
    <s v="Fully Meets"/>
    <n v="5"/>
  </r>
  <r>
    <x v="1064"/>
    <x v="1"/>
    <x v="668"/>
    <s v="38-47"/>
    <n v="42"/>
    <d v="1977-02-17T00:00:00"/>
    <s v="Massachusetts"/>
    <s v="MA"/>
    <s v="Female"/>
    <s v="Married"/>
    <s v="Sales Manager"/>
    <s v="Terminated"/>
    <s v="Full-Time"/>
    <s v="Zone A"/>
    <s v="Sales"/>
    <s v="Engineers"/>
    <s v="White"/>
    <s v="Fully Meets"/>
    <n v="3"/>
  </r>
  <r>
    <x v="1065"/>
    <x v="1"/>
    <x v="580"/>
    <s v="38-47"/>
    <n v="42"/>
    <d v="1977-08-16T00:00:00"/>
    <s v="Massachusetts"/>
    <s v="MA"/>
    <s v="Male"/>
    <s v="Widowed"/>
    <s v="Sales Manager"/>
    <s v="Active"/>
    <s v="Full-Time"/>
    <s v="Zone A"/>
    <s v="Sales"/>
    <s v="General - Sga"/>
    <s v="Other"/>
    <s v="Fully Meets"/>
    <n v="5"/>
  </r>
  <r>
    <x v="1066"/>
    <x v="1"/>
    <x v="322"/>
    <s v="38-47"/>
    <n v="42"/>
    <d v="1977-06-30T00:00:00"/>
    <s v="Massachusetts"/>
    <s v="MA"/>
    <s v="Female"/>
    <s v="Single"/>
    <s v="Sales Manager"/>
    <s v="Active"/>
    <s v="Full-Time"/>
    <s v="Zone C"/>
    <s v="Sales"/>
    <s v="Field Operations"/>
    <s v="White"/>
    <s v="Fully Meets"/>
    <n v="5"/>
  </r>
  <r>
    <x v="1067"/>
    <x v="1"/>
    <x v="827"/>
    <s v="38-47"/>
    <n v="42"/>
    <d v="1977-08-01T00:00:00"/>
    <s v="Massachusetts"/>
    <s v="MA"/>
    <s v="Female"/>
    <s v="Married"/>
    <s v="Production Technician II"/>
    <s v="Active"/>
    <s v="Part-Time"/>
    <s v="Zone B"/>
    <s v="Production       "/>
    <s v="Project Management - Con"/>
    <s v="White"/>
    <s v="Exceeds"/>
    <n v="1"/>
  </r>
  <r>
    <x v="1068"/>
    <x v="5"/>
    <x v="828"/>
    <s v="38-47"/>
    <n v="42"/>
    <d v="1981-11-11T00:00:00"/>
    <s v="Massachusetts"/>
    <s v="MA"/>
    <s v="Female"/>
    <s v="Single"/>
    <s v="Production Technician II"/>
    <s v="Active"/>
    <s v="Full-Time"/>
    <s v="Zone A"/>
    <s v="Production       "/>
    <s v="Field Operations"/>
    <s v="Black"/>
    <s v="Fully Meets"/>
    <n v="2"/>
  </r>
  <r>
    <x v="1069"/>
    <x v="2"/>
    <x v="816"/>
    <s v="38-47"/>
    <n v="42"/>
    <d v="1978-06-23T00:00:00"/>
    <s v="Massachusetts"/>
    <s v="MA"/>
    <s v="Female"/>
    <s v="Married"/>
    <s v="Production Technician II"/>
    <s v="Active"/>
    <s v="Full-Time"/>
    <s v="Zone B"/>
    <s v="Production       "/>
    <s v="Wireline Construction"/>
    <s v="Asian"/>
    <s v="Fully Meets"/>
    <n v="1"/>
  </r>
  <r>
    <x v="1070"/>
    <x v="2"/>
    <x v="829"/>
    <s v="38-47"/>
    <n v="42"/>
    <d v="1978-09-13T00:00:00"/>
    <s v="Massachusetts"/>
    <s v="MA"/>
    <s v="Female"/>
    <s v="Divorced"/>
    <s v="Production Technician II"/>
    <s v="Active"/>
    <s v="Contract"/>
    <s v="Zone C"/>
    <s v="Production       "/>
    <s v="Project Management - Con"/>
    <s v="White"/>
    <s v="Needs Improvement"/>
    <n v="5"/>
  </r>
  <r>
    <x v="1071"/>
    <x v="4"/>
    <x v="830"/>
    <s v="38-47"/>
    <n v="42"/>
    <d v="1980-07-19T00:00:00"/>
    <s v="Massachusetts"/>
    <s v="MA"/>
    <s v="Male"/>
    <s v="Married"/>
    <s v="Production Technician II"/>
    <s v="Active"/>
    <s v="Full-Time"/>
    <s v="Zone B"/>
    <s v="Production       "/>
    <s v="Field Operations"/>
    <s v="Black"/>
    <s v="Fully Meets"/>
    <n v="2"/>
  </r>
  <r>
    <x v="1072"/>
    <x v="2"/>
    <x v="831"/>
    <s v="38-47"/>
    <n v="42"/>
    <d v="1978-02-02T00:00:00"/>
    <s v="Massachusetts"/>
    <s v="MA"/>
    <s v="Female"/>
    <s v="Divorced"/>
    <s v="Production Technician I"/>
    <s v="Active"/>
    <s v="Full-Time"/>
    <s v="Zone B"/>
    <s v="Production       "/>
    <s v="Finance &amp; Accounting"/>
    <s v="Asian"/>
    <s v="Fully Meets"/>
    <n v="1"/>
  </r>
  <r>
    <x v="1073"/>
    <x v="2"/>
    <x v="150"/>
    <s v="38-47"/>
    <n v="42"/>
    <d v="1978-05-31T00:00:00"/>
    <s v="Massachusetts"/>
    <s v="MA"/>
    <s v="Male"/>
    <s v="Married"/>
    <s v="Production Technician I"/>
    <s v="Active"/>
    <s v="Full-Time"/>
    <s v="Zone C"/>
    <s v="Production       "/>
    <s v="Project Management - Con"/>
    <s v="Black"/>
    <s v="Fully Meets"/>
    <n v="3"/>
  </r>
  <r>
    <x v="1074"/>
    <x v="1"/>
    <x v="419"/>
    <s v="38-47"/>
    <n v="42"/>
    <d v="1977-09-16T00:00:00"/>
    <s v="Massachusetts"/>
    <s v="MA"/>
    <s v="Male"/>
    <s v="Single"/>
    <s v="Production Technician I"/>
    <s v="Active"/>
    <s v="Part-Time"/>
    <s v="Zone C"/>
    <s v="Production       "/>
    <s v="General - Con"/>
    <s v="Asian"/>
    <s v="Fully Meets"/>
    <n v="3"/>
  </r>
  <r>
    <x v="1075"/>
    <x v="2"/>
    <x v="832"/>
    <s v="38-47"/>
    <n v="42"/>
    <d v="1978-03-12T00:00:00"/>
    <s v="Massachusetts"/>
    <s v="MA"/>
    <s v="Female"/>
    <s v="Single"/>
    <s v="Production Technician I"/>
    <s v="Active"/>
    <s v="Part-Time"/>
    <s v="Zone C"/>
    <s v="Production       "/>
    <s v="Yard (Material Handling)"/>
    <s v="Hispanic"/>
    <s v="Fully Meets"/>
    <n v="5"/>
  </r>
  <r>
    <x v="1076"/>
    <x v="2"/>
    <x v="833"/>
    <s v="38-47"/>
    <n v="42"/>
    <d v="1978-06-11T00:00:00"/>
    <s v="Massachusetts"/>
    <s v="MA"/>
    <s v="Female"/>
    <s v="Married"/>
    <s v="Production Technician I"/>
    <s v="Active"/>
    <s v="Contract"/>
    <s v="Zone B"/>
    <s v="Production       "/>
    <s v="General - Con"/>
    <s v="Hispanic"/>
    <s v="Fully Meets"/>
    <n v="3"/>
  </r>
  <r>
    <x v="1077"/>
    <x v="2"/>
    <x v="834"/>
    <s v="38-47"/>
    <n v="42"/>
    <d v="1978-10-08T00:00:00"/>
    <s v="Massachusetts"/>
    <s v="MA"/>
    <s v="Male"/>
    <s v="Divorced"/>
    <s v="Production Technician I"/>
    <s v="Active"/>
    <s v="Part-Time"/>
    <s v="Zone B"/>
    <s v="Production       "/>
    <s v="General - Sga"/>
    <s v="Hispanic"/>
    <s v="Fully Meets"/>
    <n v="4"/>
  </r>
  <r>
    <x v="1078"/>
    <x v="3"/>
    <x v="835"/>
    <s v="38-47"/>
    <n v="42"/>
    <d v="1979-06-10T00:00:00"/>
    <s v="Massachusetts"/>
    <s v="MA"/>
    <s v="Female"/>
    <s v="Divorced"/>
    <s v="Production Technician I"/>
    <s v="Active"/>
    <s v="Part-Time"/>
    <s v="Zone A"/>
    <s v="Production       "/>
    <s v="General - Con"/>
    <s v="Asian"/>
    <s v="Fully Meets"/>
    <n v="1"/>
  </r>
  <r>
    <x v="1079"/>
    <x v="1"/>
    <x v="836"/>
    <s v="38-47"/>
    <n v="42"/>
    <d v="1977-03-31T00:00:00"/>
    <s v="Massachusetts"/>
    <s v="MA"/>
    <s v="Female"/>
    <s v="Divorced"/>
    <s v="Production Technician I"/>
    <s v="Active"/>
    <s v="Contract"/>
    <s v="Zone A"/>
    <s v="Production       "/>
    <s v="General - Con"/>
    <s v="Hispanic"/>
    <s v="PIP"/>
    <n v="5"/>
  </r>
  <r>
    <x v="1080"/>
    <x v="0"/>
    <x v="819"/>
    <s v="38-47"/>
    <n v="42"/>
    <d v="1976-07-16T00:00:00"/>
    <s v="Massachusetts"/>
    <s v="MA"/>
    <s v="Male"/>
    <s v="Married"/>
    <s v="Production Technician I"/>
    <s v="Active"/>
    <s v="Full-Time"/>
    <s v="Zone C"/>
    <s v="Production       "/>
    <s v="Splicing"/>
    <s v="Other"/>
    <s v="PIP"/>
    <n v="2"/>
  </r>
  <r>
    <x v="1081"/>
    <x v="4"/>
    <x v="837"/>
    <s v="38-47"/>
    <n v="42"/>
    <d v="1980-07-23T00:00:00"/>
    <s v="Massachusetts"/>
    <s v="MA"/>
    <s v="Female"/>
    <s v="Single"/>
    <s v="Production Technician I"/>
    <s v="Active"/>
    <s v="Contract"/>
    <s v="Zone B"/>
    <s v="Production       "/>
    <s v="General - Eng"/>
    <s v="Hispanic"/>
    <s v="Needs Improvement"/>
    <n v="3"/>
  </r>
  <r>
    <x v="1082"/>
    <x v="3"/>
    <x v="722"/>
    <s v="38-47"/>
    <n v="42"/>
    <d v="1979-05-15T00:00:00"/>
    <s v="Massachusetts"/>
    <s v="MA"/>
    <s v="Male"/>
    <s v="Married"/>
    <s v="Production Technician I"/>
    <s v="Terminated"/>
    <s v="Contract"/>
    <s v="Zone B"/>
    <s v="Production       "/>
    <s v="Field Operations"/>
    <s v="Asian"/>
    <s v="Exceeds"/>
    <n v="4"/>
  </r>
  <r>
    <x v="1083"/>
    <x v="4"/>
    <x v="809"/>
    <s v="38-47"/>
    <n v="42"/>
    <d v="1980-07-01T00:00:00"/>
    <s v="Massachusetts"/>
    <s v="MA"/>
    <s v="Female"/>
    <s v="Married"/>
    <s v="Production Technician I"/>
    <s v="Active"/>
    <s v="Part-Time"/>
    <s v="Zone A"/>
    <s v="Production       "/>
    <s v="Field Operations"/>
    <s v="White"/>
    <s v="Needs Improvement"/>
    <n v="1"/>
  </r>
  <r>
    <x v="1084"/>
    <x v="3"/>
    <x v="838"/>
    <s v="38-47"/>
    <n v="42"/>
    <d v="1979-11-28T00:00:00"/>
    <s v="Massachusetts"/>
    <s v="MA"/>
    <s v="Male"/>
    <s v="Divorced"/>
    <s v="Production Technician I"/>
    <s v="Active"/>
    <s v="Full-Time"/>
    <s v="Zone B"/>
    <s v="Production       "/>
    <s v="Field Operations"/>
    <s v="Other"/>
    <s v="Fully Meets"/>
    <n v="4"/>
  </r>
  <r>
    <x v="1085"/>
    <x v="3"/>
    <x v="576"/>
    <s v="38-47"/>
    <n v="42"/>
    <d v="1979-02-12T00:00:00"/>
    <s v="Massachusetts"/>
    <s v="MA"/>
    <s v="Female"/>
    <s v="Widowed"/>
    <s v="Production Technician I"/>
    <s v="Active"/>
    <s v="Contract"/>
    <s v="Zone B"/>
    <s v="Production       "/>
    <s v="Catv"/>
    <s v="White"/>
    <s v="Exceeds"/>
    <n v="5"/>
  </r>
  <r>
    <x v="1086"/>
    <x v="0"/>
    <x v="839"/>
    <s v="38-47"/>
    <n v="42"/>
    <d v="1976-10-13T00:00:00"/>
    <s v="Massachusetts"/>
    <s v="MA"/>
    <s v="Female"/>
    <s v="Married"/>
    <s v="Production Technician I"/>
    <s v="Active"/>
    <s v="Contract"/>
    <s v="Zone A"/>
    <s v="Production       "/>
    <s v="Project Management - Con"/>
    <s v="Other"/>
    <s v="Fully Meets"/>
    <n v="5"/>
  </r>
  <r>
    <x v="1087"/>
    <x v="1"/>
    <x v="840"/>
    <s v="38-47"/>
    <n v="42"/>
    <d v="1977-08-17T00:00:00"/>
    <s v="Massachusetts"/>
    <s v="MA"/>
    <s v="Female"/>
    <s v="Widowed"/>
    <s v="Production Technician I"/>
    <s v="Terminated"/>
    <s v="Contract"/>
    <s v="Zone B"/>
    <s v="Production       "/>
    <s v="Yard (Material Handling)"/>
    <s v="White"/>
    <s v="Fully Meets"/>
    <n v="3"/>
  </r>
  <r>
    <x v="1088"/>
    <x v="4"/>
    <x v="841"/>
    <s v="38-47"/>
    <n v="42"/>
    <d v="1980-07-19T00:00:00"/>
    <s v="Massachusetts"/>
    <s v="MA"/>
    <s v="Female"/>
    <s v="Widowed"/>
    <s v="Production Technician I"/>
    <s v="Active"/>
    <s v="Full-Time"/>
    <s v="Zone B"/>
    <s v="Production       "/>
    <s v="General - Sga"/>
    <s v="Hispanic"/>
    <s v="Fully Meets"/>
    <n v="2"/>
  </r>
  <r>
    <x v="1089"/>
    <x v="4"/>
    <x v="842"/>
    <s v="38-47"/>
    <n v="42"/>
    <d v="1980-03-08T00:00:00"/>
    <s v="Massachusetts"/>
    <s v="MA"/>
    <s v="Female"/>
    <s v="Widowed"/>
    <s v="Production Technician I"/>
    <s v="Active"/>
    <s v="Full-Time"/>
    <s v="Zone A"/>
    <s v="Production       "/>
    <s v="Wireline Construction"/>
    <s v="Black"/>
    <s v="Fully Meets"/>
    <n v="3"/>
  </r>
  <r>
    <x v="1090"/>
    <x v="4"/>
    <x v="718"/>
    <s v="38-47"/>
    <n v="42"/>
    <d v="1980-03-13T00:00:00"/>
    <s v="Massachusetts"/>
    <s v="MA"/>
    <s v="Female"/>
    <s v="Widowed"/>
    <s v="Production Technician I"/>
    <s v="Active"/>
    <s v="Part-Time"/>
    <s v="Zone A"/>
    <s v="Production       "/>
    <s v="Engineers"/>
    <s v="Asian"/>
    <s v="Fully Meets"/>
    <n v="1"/>
  </r>
  <r>
    <x v="1091"/>
    <x v="4"/>
    <x v="843"/>
    <s v="38-47"/>
    <n v="42"/>
    <d v="1980-10-03T00:00:00"/>
    <s v="Massachusetts"/>
    <s v="MA"/>
    <s v="Female"/>
    <s v="Divorced"/>
    <s v="Production Technician I"/>
    <s v="Active"/>
    <s v="Full-Time"/>
    <s v="Zone C"/>
    <s v="Production       "/>
    <s v="Project Management - Con"/>
    <s v="Asian"/>
    <s v="Fully Meets"/>
    <n v="5"/>
  </r>
  <r>
    <x v="1092"/>
    <x v="4"/>
    <x v="844"/>
    <s v="38-47"/>
    <n v="42"/>
    <d v="1980-09-17T00:00:00"/>
    <s v="Massachusetts"/>
    <s v="MA"/>
    <s v="Male"/>
    <s v="Single"/>
    <s v="Production Manager"/>
    <s v="Active"/>
    <s v="Full-Time"/>
    <s v="Zone C"/>
    <s v="Production       "/>
    <s v="Field Operations"/>
    <s v="White"/>
    <s v="Fully Meets"/>
    <n v="1"/>
  </r>
  <r>
    <x v="1093"/>
    <x v="3"/>
    <x v="808"/>
    <s v="38-47"/>
    <n v="42"/>
    <d v="1979-09-11T00:00:00"/>
    <s v="Massachusetts"/>
    <s v="MA"/>
    <s v="Female"/>
    <s v="Married"/>
    <s v="Production Manager"/>
    <s v="Terminated"/>
    <s v="Full-Time"/>
    <s v="Zone A"/>
    <s v="Production       "/>
    <s v="Field Operations"/>
    <s v="Hispanic"/>
    <s v="Fully Meets"/>
    <n v="2"/>
  </r>
  <r>
    <x v="1094"/>
    <x v="1"/>
    <x v="845"/>
    <s v="38-47"/>
    <n v="42"/>
    <d v="1977-11-07T00:00:00"/>
    <s v="Massachusetts"/>
    <s v="MA"/>
    <s v="Female"/>
    <s v="Single"/>
    <s v="President &amp; CEO"/>
    <s v="Active"/>
    <s v="Full-Time"/>
    <s v="Zone A"/>
    <s v="Production       "/>
    <s v="Field Operations"/>
    <s v="White"/>
    <s v="Fully Meets"/>
    <n v="3"/>
  </r>
  <r>
    <x v="1095"/>
    <x v="0"/>
    <x v="237"/>
    <s v="38-47"/>
    <n v="42"/>
    <d v="1976-01-21T00:00:00"/>
    <s v="Massachusetts"/>
    <s v="MA"/>
    <s v="Male"/>
    <s v="Single"/>
    <s v="Network Engineer"/>
    <s v="Active"/>
    <s v="Part-Time"/>
    <s v="Zone A"/>
    <s v="Executive Office"/>
    <s v="General - Con"/>
    <s v="Asian"/>
    <s v="PIP"/>
    <n v="3"/>
  </r>
  <r>
    <x v="1096"/>
    <x v="0"/>
    <x v="846"/>
    <s v="38-47"/>
    <n v="42"/>
    <d v="1976-09-29T00:00:00"/>
    <s v="Massachusetts"/>
    <s v="MA"/>
    <s v="Female"/>
    <s v="Divorced"/>
    <s v="Network Engineer"/>
    <s v="Active"/>
    <s v="Contract"/>
    <s v="Zone C"/>
    <s v="IT/IS"/>
    <s v="General - Con"/>
    <s v="Other"/>
    <s v="Fully Meets"/>
    <n v="3"/>
  </r>
  <r>
    <x v="1097"/>
    <x v="1"/>
    <x v="847"/>
    <s v="38-47"/>
    <n v="42"/>
    <d v="1977-06-10T00:00:00"/>
    <s v="Massachusetts"/>
    <s v="MA"/>
    <s v="Male"/>
    <s v="Divorced"/>
    <s v="IT Support"/>
    <s v="Active"/>
    <s v="Full-Time"/>
    <s v="Zone A"/>
    <s v="IT/IS"/>
    <s v="Field Operations"/>
    <s v="Hispanic"/>
    <s v="Fully Meets"/>
    <n v="4"/>
  </r>
  <r>
    <x v="1098"/>
    <x v="3"/>
    <x v="848"/>
    <s v="38-47"/>
    <n v="42"/>
    <d v="1979-01-21T00:00:00"/>
    <s v="Massachusetts"/>
    <s v="MA"/>
    <s v="Female"/>
    <s v="Widowed"/>
    <s v="IT Support"/>
    <s v="Active"/>
    <s v="Contract"/>
    <s v="Zone A"/>
    <s v="IT/IS"/>
    <s v="General - Con"/>
    <s v="White"/>
    <s v="Fully Meets"/>
    <n v="3"/>
  </r>
  <r>
    <x v="1099"/>
    <x v="1"/>
    <x v="849"/>
    <s v="38-47"/>
    <n v="42"/>
    <d v="1977-04-22T00:00:00"/>
    <s v="Massachusetts"/>
    <s v="MA"/>
    <s v="Female"/>
    <s v="Single"/>
    <s v="IT Support"/>
    <s v="Active"/>
    <s v="Contract"/>
    <s v="Zone B"/>
    <s v="IT/IS"/>
    <s v="Splicing"/>
    <s v="Asian"/>
    <s v="Fully Meets"/>
    <n v="1"/>
  </r>
  <r>
    <x v="1100"/>
    <x v="3"/>
    <x v="850"/>
    <s v="38-47"/>
    <n v="42"/>
    <d v="1979-03-05T00:00:00"/>
    <s v="Massachusetts"/>
    <s v="MA"/>
    <s v="Male"/>
    <s v="Single"/>
    <s v="IT Manager - Infra"/>
    <s v="Active"/>
    <s v="Part-Time"/>
    <s v="Zone A"/>
    <s v="IT/IS"/>
    <s v="Executive"/>
    <s v="White"/>
    <s v="Fully Meets"/>
    <n v="2"/>
  </r>
  <r>
    <x v="1101"/>
    <x v="2"/>
    <x v="233"/>
    <s v="38-47"/>
    <n v="42"/>
    <d v="1978-08-04T00:00:00"/>
    <s v="Massachusetts"/>
    <s v="MA"/>
    <s v="Male"/>
    <s v="Married"/>
    <s v="IT Manager - DB"/>
    <s v="Active"/>
    <s v="Contract"/>
    <s v="Zone A"/>
    <s v="IT/IS"/>
    <s v="Field Operations"/>
    <s v="Asian"/>
    <s v="Fully Meets"/>
    <n v="1"/>
  </r>
  <r>
    <x v="1102"/>
    <x v="2"/>
    <x v="851"/>
    <s v="38-47"/>
    <n v="42"/>
    <d v="1978-09-22T00:00:00"/>
    <s v="Massachusetts"/>
    <s v="MA"/>
    <s v="Male"/>
    <s v="Single"/>
    <s v="Director of Sales"/>
    <s v="Active"/>
    <s v="Contract"/>
    <s v="Zone B"/>
    <s v="Sales"/>
    <s v="Field Operations"/>
    <s v="Other"/>
    <s v="Fully Meets"/>
    <n v="5"/>
  </r>
  <r>
    <x v="1103"/>
    <x v="4"/>
    <x v="852"/>
    <s v="38-47"/>
    <n v="42"/>
    <d v="1980-12-21T00:00:00"/>
    <s v="Massachusetts"/>
    <s v="MA"/>
    <s v="Male"/>
    <s v="Single"/>
    <s v="Accountant I"/>
    <s v="Active"/>
    <s v="Part-Time"/>
    <s v="Zone A"/>
    <s v="Admin Offices"/>
    <s v="General - Con"/>
    <s v="White"/>
    <s v="Fully Meets"/>
    <n v="4"/>
  </r>
  <r>
    <x v="1104"/>
    <x v="2"/>
    <x v="853"/>
    <s v="38-47"/>
    <n v="43"/>
    <d v="1977-11-17T00:00:00"/>
    <s v="Massachusetts"/>
    <s v="MA"/>
    <s v="Male"/>
    <s v="Widowed"/>
    <s v="Sr. Network Engineer"/>
    <s v="Active"/>
    <s v="Full-Time"/>
    <s v="Zone A"/>
    <s v="Admin Offices"/>
    <s v="General - Eng"/>
    <s v="White"/>
    <s v="Fully Meets"/>
    <n v="3"/>
  </r>
  <r>
    <x v="1105"/>
    <x v="1"/>
    <x v="43"/>
    <s v="38-47"/>
    <n v="43"/>
    <d v="1976-11-04T00:00:00"/>
    <s v="Massachusetts"/>
    <s v="MA"/>
    <s v="Male"/>
    <s v="Single"/>
    <s v="Software Engineer"/>
    <s v="Terminated"/>
    <s v="Full-Time"/>
    <s v="Zone A"/>
    <s v="Software Engineering"/>
    <s v="Engineers"/>
    <s v="White"/>
    <s v="Fully Meets"/>
    <n v="1"/>
  </r>
  <r>
    <x v="1106"/>
    <x v="0"/>
    <x v="616"/>
    <s v="38-47"/>
    <n v="43"/>
    <d v="1975-09-13T00:00:00"/>
    <s v="Massachusetts"/>
    <s v="MA"/>
    <s v="Female"/>
    <s v="Widowed"/>
    <s v="Shared Services Manager"/>
    <s v="Active"/>
    <s v="Full-Time"/>
    <s v="Zone B"/>
    <s v="Software Engineering"/>
    <s v="General - Con"/>
    <s v="Other"/>
    <s v="Fully Meets"/>
    <n v="1"/>
  </r>
  <r>
    <x v="1107"/>
    <x v="1"/>
    <x v="845"/>
    <s v="38-47"/>
    <n v="43"/>
    <d v="1976-09-01T00:00:00"/>
    <s v="Massachusetts"/>
    <s v="MA"/>
    <s v="Male"/>
    <s v="Divorced"/>
    <s v="Senior BI Developer"/>
    <s v="Active"/>
    <s v="Full-Time"/>
    <s v="Zone C"/>
    <s v="IT/IS"/>
    <s v="General - Con"/>
    <s v="Other"/>
    <s v="Fully Meets"/>
    <n v="4"/>
  </r>
  <r>
    <x v="1108"/>
    <x v="2"/>
    <x v="854"/>
    <s v="38-47"/>
    <n v="43"/>
    <d v="1977-05-25T00:00:00"/>
    <s v="Massachusetts"/>
    <s v="MA"/>
    <s v="Female"/>
    <s v="Widowed"/>
    <s v="Production Technician II"/>
    <s v="Active"/>
    <s v="Contract"/>
    <s v="Zone A"/>
    <s v="Production       "/>
    <s v="Wireline Construction"/>
    <s v="Other"/>
    <s v="Fully Meets"/>
    <n v="1"/>
  </r>
  <r>
    <x v="1109"/>
    <x v="1"/>
    <x v="501"/>
    <s v="38-47"/>
    <n v="43"/>
    <d v="1976-05-14T00:00:00"/>
    <s v="Massachusetts"/>
    <s v="MA"/>
    <s v="Male"/>
    <s v="Widowed"/>
    <s v="Production Technician II"/>
    <s v="Terminated"/>
    <s v="Contract"/>
    <s v="Zone C"/>
    <s v="Production       "/>
    <s v="General - Con"/>
    <s v="Black"/>
    <s v="Exceeds"/>
    <n v="5"/>
  </r>
  <r>
    <x v="1110"/>
    <x v="5"/>
    <x v="414"/>
    <s v="38-47"/>
    <n v="43"/>
    <d v="1980-05-21T00:00:00"/>
    <s v="Massachusetts"/>
    <s v="MA"/>
    <s v="Female"/>
    <s v="Married"/>
    <s v="Production Technician II"/>
    <s v="Active"/>
    <s v="Part-Time"/>
    <s v="Zone B"/>
    <s v="Production       "/>
    <s v="Aerial"/>
    <s v="Hispanic"/>
    <s v="Fully Meets"/>
    <n v="2"/>
  </r>
  <r>
    <x v="1111"/>
    <x v="4"/>
    <x v="855"/>
    <s v="38-47"/>
    <n v="43"/>
    <d v="1979-06-04T00:00:00"/>
    <s v="Massachusetts"/>
    <s v="MA"/>
    <s v="Female"/>
    <s v="Married"/>
    <s v="Production Technician II"/>
    <s v="Active"/>
    <s v="Contract"/>
    <s v="Zone C"/>
    <s v="Production       "/>
    <s v="People Services"/>
    <s v="Asian"/>
    <s v="Fully Meets"/>
    <n v="4"/>
  </r>
  <r>
    <x v="1112"/>
    <x v="1"/>
    <x v="856"/>
    <s v="38-47"/>
    <n v="43"/>
    <d v="1976-09-21T00:00:00"/>
    <s v="Massachusetts"/>
    <s v="MA"/>
    <s v="Female"/>
    <s v="Divorced"/>
    <s v="Production Technician II"/>
    <s v="Active"/>
    <s v="Full-Time"/>
    <s v="Zone B"/>
    <s v="Production       "/>
    <s v="Splicing"/>
    <s v="Asian"/>
    <s v="Fully Meets"/>
    <n v="4"/>
  </r>
  <r>
    <x v="1113"/>
    <x v="2"/>
    <x v="857"/>
    <s v="38-47"/>
    <n v="43"/>
    <d v="1977-03-06T00:00:00"/>
    <s v="Massachusetts"/>
    <s v="MA"/>
    <s v="Female"/>
    <s v="Widowed"/>
    <s v="Production Technician II"/>
    <s v="Active"/>
    <s v="Full-Time"/>
    <s v="Zone A"/>
    <s v="Production       "/>
    <s v="General - Sga"/>
    <s v="Black"/>
    <s v="Fully Meets"/>
    <n v="1"/>
  </r>
  <r>
    <x v="1114"/>
    <x v="4"/>
    <x v="75"/>
    <s v="38-47"/>
    <n v="43"/>
    <d v="1979-09-14T00:00:00"/>
    <s v="Massachusetts"/>
    <s v="MA"/>
    <s v="Male"/>
    <s v="Married"/>
    <s v="Production Technician II"/>
    <s v="Active"/>
    <s v="Part-Time"/>
    <s v="Zone A"/>
    <s v="Production       "/>
    <s v="Wireline Construction"/>
    <s v="Other"/>
    <s v="Fully Meets"/>
    <n v="2"/>
  </r>
  <r>
    <x v="1115"/>
    <x v="5"/>
    <x v="858"/>
    <s v="38-47"/>
    <n v="43"/>
    <d v="1980-09-07T00:00:00"/>
    <s v="Massachusetts"/>
    <s v="MA"/>
    <s v="Female"/>
    <s v="Single"/>
    <s v="Production Technician II"/>
    <s v="Active"/>
    <s v="Contract"/>
    <s v="Zone A"/>
    <s v="Production       "/>
    <s v="Project Management - Con"/>
    <s v="White"/>
    <s v="Fully Meets"/>
    <n v="4"/>
  </r>
  <r>
    <x v="1116"/>
    <x v="3"/>
    <x v="859"/>
    <s v="38-47"/>
    <n v="43"/>
    <d v="1978-11-07T00:00:00"/>
    <s v="Massachusetts"/>
    <s v="MA"/>
    <s v="Female"/>
    <s v="Divorced"/>
    <s v="Production Technician II"/>
    <s v="Active"/>
    <s v="Full-Time"/>
    <s v="Zone B"/>
    <s v="Production       "/>
    <s v="Engineers"/>
    <s v="Asian"/>
    <s v="Fully Meets"/>
    <n v="1"/>
  </r>
  <r>
    <x v="1117"/>
    <x v="1"/>
    <x v="12"/>
    <s v="38-47"/>
    <n v="43"/>
    <d v="1976-02-05T00:00:00"/>
    <s v="Massachusetts"/>
    <s v="MA"/>
    <s v="Female"/>
    <s v="Married"/>
    <s v="Production Technician I"/>
    <s v="Active"/>
    <s v="Full-Time"/>
    <s v="Zone C"/>
    <s v="Production       "/>
    <s v="Field Operations"/>
    <s v="Asian"/>
    <s v="Exceeds"/>
    <n v="4"/>
  </r>
  <r>
    <x v="1118"/>
    <x v="1"/>
    <x v="860"/>
    <s v="38-47"/>
    <n v="43"/>
    <d v="1976-04-22T00:00:00"/>
    <s v="Massachusetts"/>
    <s v="MA"/>
    <s v="Male"/>
    <s v="Single"/>
    <s v="Production Technician I"/>
    <s v="Active"/>
    <s v="Part-Time"/>
    <s v="Zone C"/>
    <s v="Production       "/>
    <s v="Aerial"/>
    <s v="Asian"/>
    <s v="Exceeds"/>
    <n v="4"/>
  </r>
  <r>
    <x v="1119"/>
    <x v="1"/>
    <x v="861"/>
    <s v="38-47"/>
    <n v="43"/>
    <d v="1976-08-03T00:00:00"/>
    <s v="Massachusetts"/>
    <s v="MA"/>
    <s v="Male"/>
    <s v="Married"/>
    <s v="Production Technician I"/>
    <s v="Active"/>
    <s v="Full-Time"/>
    <s v="Zone A"/>
    <s v="Production       "/>
    <s v="Project Management - Con"/>
    <s v="Other"/>
    <s v="Fully Meets"/>
    <n v="4"/>
  </r>
  <r>
    <x v="1120"/>
    <x v="5"/>
    <x v="862"/>
    <s v="38-47"/>
    <n v="43"/>
    <d v="1980-10-11T00:00:00"/>
    <s v="Massachusetts"/>
    <s v="MA"/>
    <s v="Female"/>
    <s v="Divorced"/>
    <s v="Production Technician I"/>
    <s v="Active"/>
    <s v="Part-Time"/>
    <s v="Zone A"/>
    <s v="Production       "/>
    <s v="Field Operations"/>
    <s v="Other"/>
    <s v="Fully Meets"/>
    <n v="4"/>
  </r>
  <r>
    <x v="1121"/>
    <x v="4"/>
    <x v="106"/>
    <s v="38-47"/>
    <n v="43"/>
    <d v="1979-09-21T00:00:00"/>
    <s v="Massachusetts"/>
    <s v="MA"/>
    <s v="Female"/>
    <s v="Married"/>
    <s v="Production Technician I"/>
    <s v="Active"/>
    <s v="Contract"/>
    <s v="Zone B"/>
    <s v="Production       "/>
    <s v="Finance &amp; Accounting"/>
    <s v="Asian"/>
    <s v="PIP"/>
    <n v="4"/>
  </r>
  <r>
    <x v="1122"/>
    <x v="4"/>
    <x v="466"/>
    <s v="38-47"/>
    <n v="43"/>
    <d v="1979-12-25T00:00:00"/>
    <s v="Massachusetts"/>
    <s v="MA"/>
    <s v="Female"/>
    <s v="Single"/>
    <s v="Production Technician I"/>
    <s v="Active"/>
    <s v="Part-Time"/>
    <s v="Zone B"/>
    <s v="Production       "/>
    <s v="Aerial"/>
    <s v="Black"/>
    <s v="Fully Meets"/>
    <n v="3"/>
  </r>
  <r>
    <x v="1123"/>
    <x v="1"/>
    <x v="863"/>
    <s v="38-47"/>
    <n v="43"/>
    <d v="1976-09-21T00:00:00"/>
    <s v="Massachusetts"/>
    <s v="MA"/>
    <s v="Female"/>
    <s v="Divorced"/>
    <s v="Production Technician I"/>
    <s v="Active"/>
    <s v="Full-Time"/>
    <s v="Zone C"/>
    <s v="Production       "/>
    <s v="General - Con"/>
    <s v="White"/>
    <s v="Fully Meets"/>
    <n v="4"/>
  </r>
  <r>
    <x v="1124"/>
    <x v="1"/>
    <x v="864"/>
    <s v="38-47"/>
    <n v="43"/>
    <d v="1976-08-21T00:00:00"/>
    <s v="Massachusetts"/>
    <s v="MA"/>
    <s v="Male"/>
    <s v="Widowed"/>
    <s v="Production Technician I"/>
    <s v="Terminated"/>
    <s v="Full-Time"/>
    <s v="Zone B"/>
    <s v="Production       "/>
    <s v="Aerial"/>
    <s v="White"/>
    <s v="Needs Improvement"/>
    <n v="2"/>
  </r>
  <r>
    <x v="1125"/>
    <x v="4"/>
    <x v="865"/>
    <s v="38-47"/>
    <n v="43"/>
    <d v="1979-02-18T00:00:00"/>
    <s v="Massachusetts"/>
    <s v="MA"/>
    <s v="Female"/>
    <s v="Single"/>
    <s v="Production Technician I"/>
    <s v="Active"/>
    <s v="Part-Time"/>
    <s v="Zone C"/>
    <s v="Production       "/>
    <s v="Field Operations"/>
    <s v="Black"/>
    <s v="Needs Improvement"/>
    <n v="5"/>
  </r>
  <r>
    <x v="1126"/>
    <x v="4"/>
    <x v="866"/>
    <s v="38-47"/>
    <n v="43"/>
    <d v="1979-07-09T00:00:00"/>
    <s v="Massachusetts"/>
    <s v="MA"/>
    <s v="Male"/>
    <s v="Divorced"/>
    <s v="Production Technician I"/>
    <s v="Active"/>
    <s v="Full-Time"/>
    <s v="Zone C"/>
    <s v="Production       "/>
    <s v="Wireline Construction"/>
    <s v="Hispanic"/>
    <s v="Fully Meets"/>
    <n v="1"/>
  </r>
  <r>
    <x v="1127"/>
    <x v="2"/>
    <x v="117"/>
    <s v="38-47"/>
    <n v="43"/>
    <d v="1977-08-11T00:00:00"/>
    <s v="Massachusetts"/>
    <s v="MA"/>
    <s v="Female"/>
    <s v="Married"/>
    <s v="Production Technician I"/>
    <s v="Active"/>
    <s v="Contract"/>
    <s v="Zone C"/>
    <s v="Production       "/>
    <s v="General - Con"/>
    <s v="White"/>
    <s v="Fully Meets"/>
    <n v="3"/>
  </r>
  <r>
    <x v="1128"/>
    <x v="2"/>
    <x v="867"/>
    <s v="38-47"/>
    <n v="43"/>
    <d v="1977-05-05T00:00:00"/>
    <s v="Massachusetts"/>
    <s v="MA"/>
    <s v="Male"/>
    <s v="Married"/>
    <s v="Production Technician I"/>
    <s v="Active"/>
    <s v="Full-Time"/>
    <s v="Zone C"/>
    <s v="Production       "/>
    <s v="Engineers"/>
    <s v="Other"/>
    <s v="Fully Meets"/>
    <n v="5"/>
  </r>
  <r>
    <x v="1129"/>
    <x v="2"/>
    <x v="868"/>
    <s v="38-47"/>
    <n v="43"/>
    <d v="1977-07-10T00:00:00"/>
    <s v="Massachusetts"/>
    <s v="MA"/>
    <s v="Female"/>
    <s v="Divorced"/>
    <s v="Production Technician I"/>
    <s v="Active"/>
    <s v="Full-Time"/>
    <s v="Zone C"/>
    <s v="Production       "/>
    <s v="General - Con"/>
    <s v="White"/>
    <s v="Exceeds"/>
    <n v="3"/>
  </r>
  <r>
    <x v="1130"/>
    <x v="3"/>
    <x v="869"/>
    <s v="38-47"/>
    <n v="43"/>
    <d v="1978-11-14T00:00:00"/>
    <s v="Massachusetts"/>
    <s v="MA"/>
    <s v="Female"/>
    <s v="Divorced"/>
    <s v="Production Technician I"/>
    <s v="Active"/>
    <s v="Contract"/>
    <s v="Zone A"/>
    <s v="Production       "/>
    <s v="General - Con"/>
    <s v="Asian"/>
    <s v="Fully Meets"/>
    <n v="4"/>
  </r>
  <r>
    <x v="1131"/>
    <x v="5"/>
    <x v="870"/>
    <s v="38-47"/>
    <n v="43"/>
    <d v="1980-02-13T00:00:00"/>
    <s v="Massachusetts"/>
    <s v="MA"/>
    <s v="Male"/>
    <s v="Divorced"/>
    <s v="Production Technician I"/>
    <s v="Active"/>
    <s v="Contract"/>
    <s v="Zone B"/>
    <s v="Production       "/>
    <s v="Splicing"/>
    <s v="Other"/>
    <s v="Fully Meets"/>
    <n v="5"/>
  </r>
  <r>
    <x v="1132"/>
    <x v="5"/>
    <x v="871"/>
    <s v="38-47"/>
    <n v="43"/>
    <d v="1980-05-22T00:00:00"/>
    <s v="Massachusetts"/>
    <s v="MA"/>
    <s v="Male"/>
    <s v="Divorced"/>
    <s v="Production Technician I"/>
    <s v="Active"/>
    <s v="Contract"/>
    <s v="Zone A"/>
    <s v="Production       "/>
    <s v="Field Operations"/>
    <s v="Asian"/>
    <s v="Exceeds"/>
    <n v="5"/>
  </r>
  <r>
    <x v="1133"/>
    <x v="5"/>
    <x v="623"/>
    <s v="38-47"/>
    <n v="43"/>
    <d v="1980-02-01T00:00:00"/>
    <s v="Massachusetts"/>
    <s v="MA"/>
    <s v="Female"/>
    <s v="Divorced"/>
    <s v="Production Technician I"/>
    <s v="Active"/>
    <s v="Full-Time"/>
    <s v="Zone C"/>
    <s v="Production       "/>
    <s v="Shop (Fleet)"/>
    <s v="Black"/>
    <s v="Fully Meets"/>
    <n v="4"/>
  </r>
  <r>
    <x v="1134"/>
    <x v="3"/>
    <x v="152"/>
    <s v="38-47"/>
    <n v="43"/>
    <d v="1978-04-29T00:00:00"/>
    <s v="Massachusetts"/>
    <s v="MA"/>
    <s v="Female"/>
    <s v="Widowed"/>
    <s v="Production Technician I"/>
    <s v="Terminated"/>
    <s v="Contract"/>
    <s v="Zone A"/>
    <s v="Production       "/>
    <s v="General - Con"/>
    <s v="Black"/>
    <s v="Fully Meets"/>
    <n v="2"/>
  </r>
  <r>
    <x v="1135"/>
    <x v="1"/>
    <x v="872"/>
    <s v="38-47"/>
    <n v="43"/>
    <d v="1976-04-05T00:00:00"/>
    <s v="Massachusetts"/>
    <s v="MA"/>
    <s v="Female"/>
    <s v="Divorced"/>
    <s v="Production Technician I"/>
    <s v="Active"/>
    <s v="Part-Time"/>
    <s v="Zone C"/>
    <s v="Production       "/>
    <s v="Wireline Construction"/>
    <s v="Black"/>
    <s v="Fully Meets"/>
    <n v="3"/>
  </r>
  <r>
    <x v="1136"/>
    <x v="4"/>
    <x v="873"/>
    <s v="38-47"/>
    <n v="43"/>
    <d v="1979-11-10T00:00:00"/>
    <s v="Massachusetts"/>
    <s v="MA"/>
    <s v="Male"/>
    <s v="Widowed"/>
    <s v="Production Technician I"/>
    <s v="Active"/>
    <s v="Full-Time"/>
    <s v="Zone A"/>
    <s v="Production       "/>
    <s v="Field Operations"/>
    <s v="Hispanic"/>
    <s v="Fully Meets"/>
    <n v="2"/>
  </r>
  <r>
    <x v="1137"/>
    <x v="2"/>
    <x v="874"/>
    <s v="38-47"/>
    <n v="43"/>
    <d v="1977-08-14T00:00:00"/>
    <s v="Massachusetts"/>
    <s v="MA"/>
    <s v="Male"/>
    <s v="Divorced"/>
    <s v="Production Technician I"/>
    <s v="Active"/>
    <s v="Part-Time"/>
    <s v="Zone A"/>
    <s v="Production       "/>
    <s v="Field Operations"/>
    <s v="Asian"/>
    <s v="Exceeds"/>
    <n v="2"/>
  </r>
  <r>
    <x v="1138"/>
    <x v="1"/>
    <x v="875"/>
    <s v="38-47"/>
    <n v="43"/>
    <d v="1976-02-29T00:00:00"/>
    <s v="Massachusetts"/>
    <s v="MA"/>
    <s v="Male"/>
    <s v="Divorced"/>
    <s v="Production Technician I"/>
    <s v="Active"/>
    <s v="Full-Time"/>
    <s v="Zone B"/>
    <s v="Production       "/>
    <s v="Engineers"/>
    <s v="Asian"/>
    <s v="Fully Meets"/>
    <n v="5"/>
  </r>
  <r>
    <x v="1139"/>
    <x v="4"/>
    <x v="179"/>
    <s v="38-47"/>
    <n v="43"/>
    <d v="1979-04-26T00:00:00"/>
    <s v="Massachusetts"/>
    <s v="MA"/>
    <s v="Female"/>
    <s v="Widowed"/>
    <s v="Production Technician I"/>
    <s v="Active"/>
    <s v="Contract"/>
    <s v="Zone B"/>
    <s v="Production       "/>
    <s v="Engineers"/>
    <s v="Asian"/>
    <s v="Fully Meets"/>
    <n v="1"/>
  </r>
  <r>
    <x v="1140"/>
    <x v="4"/>
    <x v="737"/>
    <s v="38-47"/>
    <n v="43"/>
    <d v="1979-01-02T00:00:00"/>
    <s v="Massachusetts"/>
    <s v="MA"/>
    <s v="Female"/>
    <s v="Married"/>
    <s v="Production Manager"/>
    <s v="Terminated"/>
    <s v="Full-Time"/>
    <s v="Zone B"/>
    <s v="Production       "/>
    <s v="Engineers"/>
    <s v="Other"/>
    <s v="Fully Meets"/>
    <n v="1"/>
  </r>
  <r>
    <x v="1141"/>
    <x v="2"/>
    <x v="816"/>
    <s v="38-47"/>
    <n v="43"/>
    <d v="1977-05-30T00:00:00"/>
    <s v="Massachusetts"/>
    <s v="MA"/>
    <s v="Female"/>
    <s v="Single"/>
    <s v="Production Manager"/>
    <s v="Terminated"/>
    <s v="Full-Time"/>
    <s v="Zone A"/>
    <s v="Production       "/>
    <s v="Shop (Fleet)"/>
    <s v="Other"/>
    <s v="Fully Meets"/>
    <n v="5"/>
  </r>
  <r>
    <x v="1142"/>
    <x v="0"/>
    <x v="876"/>
    <s v="38-47"/>
    <n v="43"/>
    <d v="1975-12-25T00:00:00"/>
    <s v="Massachusetts"/>
    <s v="MA"/>
    <s v="Female"/>
    <s v="Widowed"/>
    <s v="Production Manager"/>
    <s v="Active"/>
    <s v="Part-Time"/>
    <s v="Zone B"/>
    <s v="Production       "/>
    <s v="Finance &amp; Accounting"/>
    <s v="Black"/>
    <s v="Fully Meets"/>
    <n v="4"/>
  </r>
  <r>
    <x v="1143"/>
    <x v="3"/>
    <x v="822"/>
    <s v="38-47"/>
    <n v="43"/>
    <d v="1978-01-01T00:00:00"/>
    <s v="Massachusetts"/>
    <s v="MA"/>
    <s v="Female"/>
    <s v="Single"/>
    <s v="IT Support"/>
    <s v="Active"/>
    <s v="Part-Time"/>
    <s v="Zone A"/>
    <s v="IT/IS"/>
    <s v="General - Con"/>
    <s v="Black"/>
    <s v="Needs Improvement"/>
    <n v="3"/>
  </r>
  <r>
    <x v="1144"/>
    <x v="2"/>
    <x v="877"/>
    <s v="38-47"/>
    <n v="43"/>
    <d v="1977-03-26T00:00:00"/>
    <s v="Massachusetts"/>
    <s v="MA"/>
    <s v="Male"/>
    <s v="Widowed"/>
    <s v="IT Director"/>
    <s v="Active"/>
    <s v="Part-Time"/>
    <s v="Zone C"/>
    <s v="IT/IS"/>
    <s v="Splicing"/>
    <s v="White"/>
    <s v="Fully Meets"/>
    <n v="2"/>
  </r>
  <r>
    <x v="1145"/>
    <x v="1"/>
    <x v="878"/>
    <s v="38-47"/>
    <n v="43"/>
    <d v="1976-05-22T00:00:00"/>
    <s v="Massachusetts"/>
    <s v="MA"/>
    <s v="Male"/>
    <s v="Widowed"/>
    <s v="Data Analyst"/>
    <s v="Active"/>
    <s v="Contract"/>
    <s v="Zone C"/>
    <s v="Production       "/>
    <s v="General - Eng"/>
    <s v="White"/>
    <s v="Fully Meets"/>
    <n v="4"/>
  </r>
  <r>
    <x v="1146"/>
    <x v="1"/>
    <x v="879"/>
    <s v="38-47"/>
    <n v="43"/>
    <d v="1976-06-29T00:00:00"/>
    <s v="Texas"/>
    <s v="TX"/>
    <s v="Male"/>
    <s v="Married"/>
    <s v="Area Sales Manager"/>
    <s v="Active"/>
    <s v="Full-Time"/>
    <s v="Zone C"/>
    <s v="Sales"/>
    <s v="Splicing"/>
    <s v="White"/>
    <s v="Fully Meets"/>
    <n v="3"/>
  </r>
  <r>
    <x v="1147"/>
    <x v="2"/>
    <x v="33"/>
    <s v="38-47"/>
    <n v="43"/>
    <d v="1977-12-01T00:00:00"/>
    <s v="Tennessee"/>
    <s v="TN"/>
    <s v="Male"/>
    <s v="Married"/>
    <s v="Area Sales Manager"/>
    <s v="Active"/>
    <s v="Contract"/>
    <s v="Zone A"/>
    <s v="Sales"/>
    <s v="Field Operations"/>
    <s v="Asian"/>
    <s v="Fully Meets"/>
    <n v="4"/>
  </r>
  <r>
    <x v="1148"/>
    <x v="3"/>
    <x v="608"/>
    <s v="38-47"/>
    <n v="43"/>
    <d v="1978-07-22T00:00:00"/>
    <s v="Oregon"/>
    <s v="OR"/>
    <s v="Male"/>
    <s v="Divorced"/>
    <s v="Area Sales Manager"/>
    <s v="Active"/>
    <s v="Full-Time"/>
    <s v="Zone A"/>
    <s v="IT/IS"/>
    <s v="General - Con"/>
    <s v="Black"/>
    <s v="Fully Meets"/>
    <n v="3"/>
  </r>
  <r>
    <x v="1149"/>
    <x v="0"/>
    <x v="7"/>
    <s v="38-47"/>
    <n v="43"/>
    <d v="1975-09-24T00:00:00"/>
    <s v="North Carolina"/>
    <s v="NC"/>
    <s v="Male"/>
    <s v="Widowed"/>
    <s v="Area Sales Manager"/>
    <s v="Active"/>
    <s v="Part-Time"/>
    <s v="Zone A"/>
    <s v="Sales"/>
    <s v="Field Operations"/>
    <s v="Asian"/>
    <s v="Fully Meets"/>
    <n v="2"/>
  </r>
  <r>
    <x v="1150"/>
    <x v="3"/>
    <x v="880"/>
    <s v="38-47"/>
    <n v="43"/>
    <d v="1978-12-19T00:00:00"/>
    <s v="Kentucky"/>
    <s v="KY"/>
    <s v="Female"/>
    <s v="Single"/>
    <s v="Area Sales Manager"/>
    <s v="Active"/>
    <s v="Full-Time"/>
    <s v="Zone A"/>
    <s v="Sales"/>
    <s v="General - Con"/>
    <s v="Other"/>
    <s v="Fully Meets"/>
    <n v="2"/>
  </r>
  <r>
    <x v="1151"/>
    <x v="4"/>
    <x v="607"/>
    <s v="38-47"/>
    <n v="43"/>
    <d v="1979-01-26T00:00:00"/>
    <s v="Kentucky"/>
    <s v="KY"/>
    <s v="Male"/>
    <s v="Married"/>
    <s v="Area Sales Manager"/>
    <s v="Active"/>
    <s v="Part-Time"/>
    <s v="Zone C"/>
    <s v="IT/IS"/>
    <s v="Aerial"/>
    <s v="Other"/>
    <s v="Exceeds"/>
    <n v="3"/>
  </r>
  <r>
    <x v="1152"/>
    <x v="5"/>
    <x v="666"/>
    <s v="38-47"/>
    <n v="43"/>
    <d v="1980-12-15T00:00:00"/>
    <s v="Idaho"/>
    <s v="ID"/>
    <s v="Male"/>
    <s v="Widowed"/>
    <s v="Area Sales Manager"/>
    <s v="Active"/>
    <s v="Full-Time"/>
    <s v="Zone C"/>
    <s v="Sales"/>
    <s v="Engineers"/>
    <s v="Black"/>
    <s v="Fully Meets"/>
    <n v="4"/>
  </r>
  <r>
    <x v="1153"/>
    <x v="1"/>
    <x v="222"/>
    <s v="38-47"/>
    <n v="43"/>
    <d v="1976-10-14T00:00:00"/>
    <s v="Alabama"/>
    <s v="AL"/>
    <s v="Male"/>
    <s v="Married"/>
    <s v="Area Sales Manager"/>
    <s v="Active"/>
    <s v="Contract"/>
    <s v="Zone B"/>
    <s v="Sales"/>
    <s v="Fielders"/>
    <s v="White"/>
    <s v="Fully Meets"/>
    <n v="1"/>
  </r>
  <r>
    <x v="1154"/>
    <x v="2"/>
    <x v="834"/>
    <s v="38-47"/>
    <n v="43"/>
    <d v="1977-05-17T00:00:00"/>
    <s v="Massachusetts"/>
    <s v="MA"/>
    <s v="Female"/>
    <s v="Widowed"/>
    <s v="Administrative Assistant"/>
    <s v="Terminated"/>
    <s v="Full-Time"/>
    <s v="Zone A"/>
    <s v="Sales"/>
    <s v="Project Management - Con"/>
    <s v="Hispanic"/>
    <s v="Fully Meets"/>
    <n v="4"/>
  </r>
  <r>
    <x v="1155"/>
    <x v="1"/>
    <x v="318"/>
    <s v="38-47"/>
    <n v="43"/>
    <d v="1976-08-19T00:00:00"/>
    <s v="Massachusetts"/>
    <s v="MA"/>
    <s v="Female"/>
    <s v="Married"/>
    <s v="Accountant I"/>
    <s v="Active"/>
    <s v="Contract"/>
    <s v="Zone C"/>
    <s v="Admin Offices"/>
    <s v="General - Con"/>
    <s v="White"/>
    <s v="Exceeds"/>
    <n v="4"/>
  </r>
  <r>
    <x v="1156"/>
    <x v="0"/>
    <x v="158"/>
    <s v="38-47"/>
    <n v="44"/>
    <d v="1974-06-18T00:00:00"/>
    <s v="Massachusetts"/>
    <s v="MA"/>
    <s v="Male"/>
    <s v="Divorced"/>
    <s v="Sr. Network Engineer"/>
    <s v="Active"/>
    <s v="Contract"/>
    <s v="Zone B"/>
    <s v="Admin Offices"/>
    <s v="Field Operations"/>
    <s v="Other"/>
    <s v="Fully Meets"/>
    <n v="2"/>
  </r>
  <r>
    <x v="1157"/>
    <x v="4"/>
    <x v="881"/>
    <s v="38-47"/>
    <n v="44"/>
    <d v="1978-04-15T00:00:00"/>
    <s v="Massachusetts"/>
    <s v="MA"/>
    <s v="Male"/>
    <s v="Divorced"/>
    <s v="Sr. Network Engineer"/>
    <s v="Active"/>
    <s v="Part-Time"/>
    <s v="Zone A"/>
    <s v="IT/IS"/>
    <s v="Field Operations"/>
    <s v="Black"/>
    <s v="Fully Meets"/>
    <n v="4"/>
  </r>
  <r>
    <x v="1158"/>
    <x v="4"/>
    <x v="296"/>
    <s v="38-47"/>
    <n v="44"/>
    <d v="1978-11-28T00:00:00"/>
    <s v="Massachusetts"/>
    <s v="MA"/>
    <s v="Male"/>
    <s v="Widowed"/>
    <s v="Software Engineer"/>
    <s v="Terminated"/>
    <s v="Full-Time"/>
    <s v="Zone A"/>
    <s v="Software Engineering"/>
    <s v="Fielders"/>
    <s v="Hispanic"/>
    <s v="Fully Meets"/>
    <n v="3"/>
  </r>
  <r>
    <x v="1159"/>
    <x v="0"/>
    <x v="34"/>
    <s v="38-47"/>
    <n v="44"/>
    <d v="1974-04-12T00:00:00"/>
    <s v="Massachusetts"/>
    <s v="MA"/>
    <s v="Female"/>
    <s v="Single"/>
    <s v="Senior BI Developer"/>
    <s v="Active"/>
    <s v="Part-Time"/>
    <s v="Zone A"/>
    <s v="IT/IS"/>
    <s v="Catv"/>
    <s v="Asian"/>
    <s v="Needs Improvement"/>
    <n v="4"/>
  </r>
  <r>
    <x v="1160"/>
    <x v="1"/>
    <x v="878"/>
    <s v="38-47"/>
    <n v="44"/>
    <d v="1975-12-29T00:00:00"/>
    <s v="Massachusetts"/>
    <s v="MA"/>
    <s v="Male"/>
    <s v="Widowed"/>
    <s v="Sales Manager"/>
    <s v="Active"/>
    <s v="Contract"/>
    <s v="Zone B"/>
    <s v="IT/IS"/>
    <s v="Field Operations"/>
    <s v="Other"/>
    <s v="Fully Meets"/>
    <n v="1"/>
  </r>
  <r>
    <x v="1161"/>
    <x v="3"/>
    <x v="882"/>
    <s v="38-47"/>
    <n v="44"/>
    <d v="1977-08-19T00:00:00"/>
    <s v="Massachusetts"/>
    <s v="MA"/>
    <s v="Male"/>
    <s v="Single"/>
    <s v="Sales Manager"/>
    <s v="Active"/>
    <s v="Part-Time"/>
    <s v="Zone C"/>
    <s v="Sales"/>
    <s v="Aerial"/>
    <s v="White"/>
    <s v="Fully Meets"/>
    <n v="4"/>
  </r>
  <r>
    <x v="1162"/>
    <x v="3"/>
    <x v="378"/>
    <s v="38-47"/>
    <n v="44"/>
    <d v="1977-04-17T00:00:00"/>
    <s v="Massachusetts"/>
    <s v="MA"/>
    <s v="Female"/>
    <s v="Married"/>
    <s v="Production Technician II"/>
    <s v="Terminated"/>
    <s v="Part-Time"/>
    <s v="Zone A"/>
    <s v="Production       "/>
    <s v="Wireline Construction"/>
    <s v="White"/>
    <s v="Fully Meets"/>
    <n v="2"/>
  </r>
  <r>
    <x v="1163"/>
    <x v="4"/>
    <x v="883"/>
    <s v="38-47"/>
    <n v="44"/>
    <d v="1978-08-06T00:00:00"/>
    <s v="Massachusetts"/>
    <s v="MA"/>
    <s v="Female"/>
    <s v="Married"/>
    <s v="Production Technician II"/>
    <s v="Active"/>
    <s v="Contract"/>
    <s v="Zone A"/>
    <s v="Production       "/>
    <s v="Field Operations"/>
    <s v="Other"/>
    <s v="Fully Meets"/>
    <n v="3"/>
  </r>
  <r>
    <x v="1164"/>
    <x v="2"/>
    <x v="884"/>
    <s v="38-47"/>
    <n v="44"/>
    <d v="1976-01-28T00:00:00"/>
    <s v="Massachusetts"/>
    <s v="MA"/>
    <s v="Male"/>
    <s v="Divorced"/>
    <s v="Production Technician II"/>
    <s v="Active"/>
    <s v="Contract"/>
    <s v="Zone A"/>
    <s v="Production       "/>
    <s v="General - Con"/>
    <s v="White"/>
    <s v="Fully Meets"/>
    <n v="3"/>
  </r>
  <r>
    <x v="1165"/>
    <x v="2"/>
    <x v="853"/>
    <s v="38-47"/>
    <n v="44"/>
    <d v="1976-10-19T00:00:00"/>
    <s v="Massachusetts"/>
    <s v="MA"/>
    <s v="Male"/>
    <s v="Married"/>
    <s v="Production Technician II"/>
    <s v="Active"/>
    <s v="Full-Time"/>
    <s v="Zone B"/>
    <s v="Production       "/>
    <s v="General - Con"/>
    <s v="Asian"/>
    <s v="Exceeds"/>
    <n v="5"/>
  </r>
  <r>
    <x v="1166"/>
    <x v="1"/>
    <x v="46"/>
    <s v="38-47"/>
    <n v="44"/>
    <d v="1975-11-26T00:00:00"/>
    <s v="Massachusetts"/>
    <s v="MA"/>
    <s v="Male"/>
    <s v="Divorced"/>
    <s v="Production Technician II"/>
    <s v="Terminated"/>
    <s v="Full-Time"/>
    <s v="Zone B"/>
    <s v="Production       "/>
    <s v="Fielders"/>
    <s v="White"/>
    <s v="Fully Meets"/>
    <n v="4"/>
  </r>
  <r>
    <x v="1167"/>
    <x v="2"/>
    <x v="39"/>
    <s v="38-47"/>
    <n v="44"/>
    <d v="1976-07-02T00:00:00"/>
    <s v="Massachusetts"/>
    <s v="MA"/>
    <s v="Male"/>
    <s v="Married"/>
    <s v="Production Technician I"/>
    <s v="Active"/>
    <s v="Full-Time"/>
    <s v="Zone A"/>
    <s v="Production       "/>
    <s v="Wireline Construction"/>
    <s v="Other"/>
    <s v="Fully Meets"/>
    <n v="1"/>
  </r>
  <r>
    <x v="1168"/>
    <x v="3"/>
    <x v="641"/>
    <s v="38-47"/>
    <n v="44"/>
    <d v="1977-12-25T00:00:00"/>
    <s v="Massachusetts"/>
    <s v="MA"/>
    <s v="Male"/>
    <s v="Divorced"/>
    <s v="Production Technician I"/>
    <s v="Active"/>
    <s v="Full-Time"/>
    <s v="Zone B"/>
    <s v="Production       "/>
    <s v="General - Eng"/>
    <s v="Other"/>
    <s v="Fully Meets"/>
    <n v="2"/>
  </r>
  <r>
    <x v="1169"/>
    <x v="4"/>
    <x v="714"/>
    <s v="38-47"/>
    <n v="44"/>
    <d v="1978-07-10T00:00:00"/>
    <s v="Massachusetts"/>
    <s v="MA"/>
    <s v="Female"/>
    <s v="Divorced"/>
    <s v="Production Technician I"/>
    <s v="Active"/>
    <s v="Part-Time"/>
    <s v="Zone A"/>
    <s v="Production       "/>
    <s v="General - Con"/>
    <s v="Other"/>
    <s v="Fully Meets"/>
    <n v="1"/>
  </r>
  <r>
    <x v="1170"/>
    <x v="5"/>
    <x v="885"/>
    <s v="38-47"/>
    <n v="44"/>
    <d v="1979-06-21T00:00:00"/>
    <s v="Massachusetts"/>
    <s v="MA"/>
    <s v="Male"/>
    <s v="Divorced"/>
    <s v="Production Technician I"/>
    <s v="Terminated"/>
    <s v="Contract"/>
    <s v="Zone A"/>
    <s v="Production       "/>
    <s v="General - Con"/>
    <s v="Asian"/>
    <s v="Fully Meets"/>
    <n v="4"/>
  </r>
  <r>
    <x v="1171"/>
    <x v="2"/>
    <x v="302"/>
    <s v="38-47"/>
    <n v="44"/>
    <d v="1976-03-19T00:00:00"/>
    <s v="Massachusetts"/>
    <s v="MA"/>
    <s v="Female"/>
    <s v="Divorced"/>
    <s v="Production Technician I"/>
    <s v="Active"/>
    <s v="Part-Time"/>
    <s v="Zone C"/>
    <s v="Production       "/>
    <s v="Fielders"/>
    <s v="White"/>
    <s v="Fully Meets"/>
    <n v="3"/>
  </r>
  <r>
    <x v="1172"/>
    <x v="3"/>
    <x v="886"/>
    <s v="38-47"/>
    <n v="44"/>
    <d v="1977-07-29T00:00:00"/>
    <s v="Massachusetts"/>
    <s v="MA"/>
    <s v="Female"/>
    <s v="Divorced"/>
    <s v="Production Technician I"/>
    <s v="Active"/>
    <s v="Contract"/>
    <s v="Zone B"/>
    <s v="Production       "/>
    <s v="General - Con"/>
    <s v="White"/>
    <s v="Fully Meets"/>
    <n v="1"/>
  </r>
  <r>
    <x v="1173"/>
    <x v="5"/>
    <x v="887"/>
    <s v="38-47"/>
    <n v="44"/>
    <d v="1979-09-24T00:00:00"/>
    <s v="Massachusetts"/>
    <s v="MA"/>
    <s v="Female"/>
    <s v="Married"/>
    <s v="Production Technician I"/>
    <s v="Active"/>
    <s v="Contract"/>
    <s v="Zone A"/>
    <s v="Production       "/>
    <s v="General - Con"/>
    <s v="Asian"/>
    <s v="Fully Meets"/>
    <n v="3"/>
  </r>
  <r>
    <x v="1174"/>
    <x v="0"/>
    <x v="69"/>
    <s v="38-47"/>
    <n v="44"/>
    <d v="1974-11-12T00:00:00"/>
    <s v="Massachusetts"/>
    <s v="MA"/>
    <s v="Female"/>
    <s v="Divorced"/>
    <s v="Production Technician I"/>
    <s v="Active"/>
    <s v="Full-Time"/>
    <s v="Zone B"/>
    <s v="Production       "/>
    <s v="Engineers"/>
    <s v="Other"/>
    <s v="Fully Meets"/>
    <n v="3"/>
  </r>
  <r>
    <x v="1175"/>
    <x v="4"/>
    <x v="888"/>
    <s v="38-47"/>
    <n v="44"/>
    <d v="1978-11-04T00:00:00"/>
    <s v="Massachusetts"/>
    <s v="MA"/>
    <s v="Male"/>
    <s v="Divorced"/>
    <s v="Production Technician I"/>
    <s v="Active"/>
    <s v="Part-Time"/>
    <s v="Zone C"/>
    <s v="Production       "/>
    <s v="Field Operations"/>
    <s v="Hispanic"/>
    <s v="Fully Meets"/>
    <n v="2"/>
  </r>
  <r>
    <x v="1176"/>
    <x v="4"/>
    <x v="531"/>
    <s v="38-47"/>
    <n v="44"/>
    <d v="1978-07-02T00:00:00"/>
    <s v="Massachusetts"/>
    <s v="MA"/>
    <s v="Male"/>
    <s v="Divorced"/>
    <s v="Production Technician I"/>
    <s v="Active"/>
    <s v="Contract"/>
    <s v="Zone C"/>
    <s v="Production       "/>
    <s v="Project Management - Con"/>
    <s v="Black"/>
    <s v="Fully Meets"/>
    <n v="5"/>
  </r>
  <r>
    <x v="1177"/>
    <x v="2"/>
    <x v="481"/>
    <s v="38-47"/>
    <n v="44"/>
    <d v="1976-06-14T00:00:00"/>
    <s v="Massachusetts"/>
    <s v="MA"/>
    <s v="Male"/>
    <s v="Single"/>
    <s v="Production Technician I"/>
    <s v="Active"/>
    <s v="Part-Time"/>
    <s v="Zone C"/>
    <s v="Production       "/>
    <s v="General - Sga"/>
    <s v="Hispanic"/>
    <s v="PIP"/>
    <n v="5"/>
  </r>
  <r>
    <x v="1178"/>
    <x v="1"/>
    <x v="12"/>
    <s v="38-47"/>
    <n v="44"/>
    <d v="1975-09-28T00:00:00"/>
    <s v="Massachusetts"/>
    <s v="MA"/>
    <s v="Male"/>
    <s v="Single"/>
    <s v="Production Technician I"/>
    <s v="Active"/>
    <s v="Part-Time"/>
    <s v="Zone A"/>
    <s v="Production       "/>
    <s v="Field Operations"/>
    <s v="Hispanic"/>
    <s v="Fully Meets"/>
    <n v="1"/>
  </r>
  <r>
    <x v="1179"/>
    <x v="4"/>
    <x v="889"/>
    <s v="38-47"/>
    <n v="44"/>
    <d v="1978-09-19T00:00:00"/>
    <s v="Massachusetts"/>
    <s v="MA"/>
    <s v="Female"/>
    <s v="Widowed"/>
    <s v="Production Technician I"/>
    <s v="Terminated"/>
    <s v="Part-Time"/>
    <s v="Zone A"/>
    <s v="Production       "/>
    <s v="Field Operations"/>
    <s v="White"/>
    <s v="Needs Improvement"/>
    <n v="2"/>
  </r>
  <r>
    <x v="1180"/>
    <x v="1"/>
    <x v="107"/>
    <s v="38-47"/>
    <n v="44"/>
    <d v="1975-02-15T00:00:00"/>
    <s v="Massachusetts"/>
    <s v="MA"/>
    <s v="Female"/>
    <s v="Widowed"/>
    <s v="Production Technician I"/>
    <s v="Terminated"/>
    <s v="Part-Time"/>
    <s v="Zone C"/>
    <s v="Production       "/>
    <s v="Field Operations"/>
    <s v="Asian"/>
    <s v="Fully Meets"/>
    <n v="2"/>
  </r>
  <r>
    <x v="1181"/>
    <x v="2"/>
    <x v="890"/>
    <s v="38-47"/>
    <n v="44"/>
    <d v="1976-02-08T00:00:00"/>
    <s v="Massachusetts"/>
    <s v="MA"/>
    <s v="Male"/>
    <s v="Divorced"/>
    <s v="Production Technician I"/>
    <s v="Active"/>
    <s v="Contract"/>
    <s v="Zone C"/>
    <s v="Production       "/>
    <s v="Field Operations"/>
    <s v="Other"/>
    <s v="Fully Meets"/>
    <n v="5"/>
  </r>
  <r>
    <x v="1182"/>
    <x v="3"/>
    <x v="891"/>
    <s v="38-47"/>
    <n v="44"/>
    <d v="1977-06-16T00:00:00"/>
    <s v="Massachusetts"/>
    <s v="MA"/>
    <s v="Male"/>
    <s v="Widowed"/>
    <s v="Production Technician I"/>
    <s v="Active"/>
    <s v="Full-Time"/>
    <s v="Zone B"/>
    <s v="Production       "/>
    <s v="Field Operations"/>
    <s v="White"/>
    <s v="Needs Improvement"/>
    <n v="5"/>
  </r>
  <r>
    <x v="1183"/>
    <x v="4"/>
    <x v="329"/>
    <s v="38-47"/>
    <n v="44"/>
    <d v="1978-11-29T00:00:00"/>
    <s v="Massachusetts"/>
    <s v="MA"/>
    <s v="Female"/>
    <s v="Single"/>
    <s v="Production Technician I"/>
    <s v="Active"/>
    <s v="Contract"/>
    <s v="Zone C"/>
    <s v="Production       "/>
    <s v="Field Operations"/>
    <s v="Asian"/>
    <s v="Fully Meets"/>
    <n v="2"/>
  </r>
  <r>
    <x v="1184"/>
    <x v="2"/>
    <x v="851"/>
    <s v="38-47"/>
    <n v="44"/>
    <d v="1976-07-04T00:00:00"/>
    <s v="Massachusetts"/>
    <s v="MA"/>
    <s v="Female"/>
    <s v="Divorced"/>
    <s v="Production Technician I"/>
    <s v="Active"/>
    <s v="Full-Time"/>
    <s v="Zone A"/>
    <s v="Production       "/>
    <s v="Sales &amp; Marketing"/>
    <s v="White"/>
    <s v="Fully Meets"/>
    <n v="2"/>
  </r>
  <r>
    <x v="1185"/>
    <x v="2"/>
    <x v="892"/>
    <s v="38-47"/>
    <n v="44"/>
    <d v="1976-08-13T00:00:00"/>
    <s v="Massachusetts"/>
    <s v="MA"/>
    <s v="Female"/>
    <s v="Single"/>
    <s v="Production Technician I"/>
    <s v="Active"/>
    <s v="Part-Time"/>
    <s v="Zone A"/>
    <s v="Production       "/>
    <s v="General - Con"/>
    <s v="Other"/>
    <s v="Needs Improvement"/>
    <n v="1"/>
  </r>
  <r>
    <x v="1186"/>
    <x v="3"/>
    <x v="893"/>
    <s v="38-47"/>
    <n v="44"/>
    <d v="1977-03-16T00:00:00"/>
    <s v="Massachusetts"/>
    <s v="MA"/>
    <s v="Female"/>
    <s v="Widowed"/>
    <s v="Production Technician I"/>
    <s v="Terminated"/>
    <s v="Part-Time"/>
    <s v="Zone A"/>
    <s v="Production       "/>
    <s v="Engineers"/>
    <s v="Hispanic"/>
    <s v="Fully Meets"/>
    <n v="4"/>
  </r>
  <r>
    <x v="1187"/>
    <x v="0"/>
    <x v="894"/>
    <s v="38-47"/>
    <n v="44"/>
    <d v="1974-10-15T00:00:00"/>
    <s v="Massachusetts"/>
    <s v="MA"/>
    <s v="Female"/>
    <s v="Married"/>
    <s v="Production Technician I"/>
    <s v="Active"/>
    <s v="Full-Time"/>
    <s v="Zone B"/>
    <s v="Production       "/>
    <s v="General - Con"/>
    <s v="Black"/>
    <s v="Fully Meets"/>
    <n v="3"/>
  </r>
  <r>
    <x v="1188"/>
    <x v="5"/>
    <x v="895"/>
    <s v="38-47"/>
    <n v="44"/>
    <d v="1979-06-03T00:00:00"/>
    <s v="Massachusetts"/>
    <s v="MA"/>
    <s v="Male"/>
    <s v="Divorced"/>
    <s v="Production Technician I"/>
    <s v="Active"/>
    <s v="Part-Time"/>
    <s v="Zone A"/>
    <s v="Production       "/>
    <s v="Splicing"/>
    <s v="Other"/>
    <s v="Fully Meets"/>
    <n v="2"/>
  </r>
  <r>
    <x v="1189"/>
    <x v="4"/>
    <x v="896"/>
    <s v="38-47"/>
    <n v="44"/>
    <d v="1978-06-29T00:00:00"/>
    <s v="Massachusetts"/>
    <s v="MA"/>
    <s v="Male"/>
    <s v="Widowed"/>
    <s v="Production Technician I"/>
    <s v="Active"/>
    <s v="Part-Time"/>
    <s v="Zone A"/>
    <s v="Production       "/>
    <s v="Field Operations"/>
    <s v="Asian"/>
    <s v="Fully Meets"/>
    <n v="3"/>
  </r>
  <r>
    <x v="1190"/>
    <x v="2"/>
    <x v="103"/>
    <s v="38-47"/>
    <n v="44"/>
    <d v="1976-08-30T00:00:00"/>
    <s v="Massachusetts"/>
    <s v="MA"/>
    <s v="Male"/>
    <s v="Widowed"/>
    <s v="Production Manager"/>
    <s v="Active"/>
    <s v="Contract"/>
    <s v="Zone C"/>
    <s v="Production       "/>
    <s v="Engineers"/>
    <s v="White"/>
    <s v="Fully Meets"/>
    <n v="5"/>
  </r>
  <r>
    <x v="1191"/>
    <x v="4"/>
    <x v="555"/>
    <s v="38-47"/>
    <n v="44"/>
    <d v="1978-04-01T00:00:00"/>
    <s v="Massachusetts"/>
    <s v="MA"/>
    <s v="Male"/>
    <s v="Divorced"/>
    <s v="Network Engineer"/>
    <s v="Active"/>
    <s v="Full-Time"/>
    <s v="Zone A"/>
    <s v="IT/IS"/>
    <s v="Engineers"/>
    <s v="Hispanic"/>
    <s v="Fully Meets"/>
    <n v="4"/>
  </r>
  <r>
    <x v="1192"/>
    <x v="1"/>
    <x v="178"/>
    <s v="38-47"/>
    <n v="44"/>
    <d v="1975-09-18T00:00:00"/>
    <s v="Massachusetts"/>
    <s v="MA"/>
    <s v="Male"/>
    <s v="Divorced"/>
    <s v="Network Engineer"/>
    <s v="Active"/>
    <s v="Full-Time"/>
    <s v="Zone B"/>
    <s v="Executive Office"/>
    <s v="General - Con"/>
    <s v="Hispanic"/>
    <s v="Fully Meets"/>
    <n v="4"/>
  </r>
  <r>
    <x v="1193"/>
    <x v="4"/>
    <x v="105"/>
    <s v="38-47"/>
    <n v="44"/>
    <d v="1978-10-03T00:00:00"/>
    <s v="Massachusetts"/>
    <s v="MA"/>
    <s v="Female"/>
    <s v="Divorced"/>
    <s v="IT Manager - Support"/>
    <s v="Active"/>
    <s v="Part-Time"/>
    <s v="Zone B"/>
    <s v="IT/IS"/>
    <s v="Project Management - Con"/>
    <s v="Hispanic"/>
    <s v="Fully Meets"/>
    <n v="4"/>
  </r>
  <r>
    <x v="1194"/>
    <x v="3"/>
    <x v="897"/>
    <s v="38-47"/>
    <n v="44"/>
    <d v="1977-01-05T00:00:00"/>
    <s v="Massachusetts"/>
    <s v="MA"/>
    <s v="Male"/>
    <s v="Widowed"/>
    <s v="IT Manager - Infra"/>
    <s v="Active"/>
    <s v="Part-Time"/>
    <s v="Zone A"/>
    <s v="IT/IS"/>
    <s v="Field Operations"/>
    <s v="Black"/>
    <s v="Fully Meets"/>
    <n v="1"/>
  </r>
  <r>
    <x v="1195"/>
    <x v="2"/>
    <x v="898"/>
    <s v="38-47"/>
    <n v="44"/>
    <d v="1976-03-28T00:00:00"/>
    <s v="Massachusetts"/>
    <s v="MA"/>
    <s v="Female"/>
    <s v="Widowed"/>
    <s v="Data Analyst"/>
    <s v="Active"/>
    <s v="Part-Time"/>
    <s v="Zone B"/>
    <s v="Production       "/>
    <s v="Wireline Construction"/>
    <s v="White"/>
    <s v="Fully Meets"/>
    <n v="3"/>
  </r>
  <r>
    <x v="1196"/>
    <x v="0"/>
    <x v="899"/>
    <s v="38-47"/>
    <n v="44"/>
    <d v="1974-05-15T00:00:00"/>
    <s v="Texas"/>
    <s v="TX"/>
    <s v="Male"/>
    <s v="Widowed"/>
    <s v="Area Sales Manager"/>
    <s v="Active"/>
    <s v="Contract"/>
    <s v="Zone B"/>
    <s v="Sales"/>
    <s v="Executive"/>
    <s v="Black"/>
    <s v="Exceeds"/>
    <n v="3"/>
  </r>
  <r>
    <x v="1197"/>
    <x v="2"/>
    <x v="503"/>
    <s v="38-47"/>
    <n v="44"/>
    <d v="1976-09-04T00:00:00"/>
    <s v="Tennessee"/>
    <s v="TN"/>
    <s v="Male"/>
    <s v="Widowed"/>
    <s v="Area Sales Manager"/>
    <s v="Active"/>
    <s v="Full-Time"/>
    <s v="Zone C"/>
    <s v="Sales"/>
    <s v="Project Management - Con"/>
    <s v="Asian"/>
    <s v="Fully Meets"/>
    <n v="4"/>
  </r>
  <r>
    <x v="1198"/>
    <x v="2"/>
    <x v="422"/>
    <s v="38-47"/>
    <n v="44"/>
    <d v="1976-06-05T00:00:00"/>
    <s v="New York"/>
    <s v="NY"/>
    <s v="Male"/>
    <s v="Widowed"/>
    <s v="Area Sales Manager"/>
    <s v="Active"/>
    <s v="Contract"/>
    <s v="Zone A"/>
    <s v="Sales"/>
    <s v="Field Operations"/>
    <s v="Asian"/>
    <s v="Fully Meets"/>
    <n v="2"/>
  </r>
  <r>
    <x v="1199"/>
    <x v="3"/>
    <x v="900"/>
    <s v="38-47"/>
    <n v="44"/>
    <d v="1977-11-04T00:00:00"/>
    <s v="Kentucky"/>
    <s v="KY"/>
    <s v="Female"/>
    <s v="Married"/>
    <s v="Area Sales Manager"/>
    <s v="Active"/>
    <s v="Part-Time"/>
    <s v="Zone C"/>
    <s v="Sales"/>
    <s v="General - Sga"/>
    <s v="Black"/>
    <s v="Fully Meets"/>
    <n v="5"/>
  </r>
  <r>
    <x v="1200"/>
    <x v="3"/>
    <x v="859"/>
    <s v="38-47"/>
    <n v="44"/>
    <d v="1977-05-20T00:00:00"/>
    <s v="Idaho"/>
    <s v="ID"/>
    <s v="Male"/>
    <s v="Divorced"/>
    <s v="Area Sales Manager"/>
    <s v="Active"/>
    <s v="Contract"/>
    <s v="Zone A"/>
    <s v="Sales"/>
    <s v="Corp Operations"/>
    <s v="Black"/>
    <s v="Fully Meets"/>
    <n v="1"/>
  </r>
  <r>
    <x v="1201"/>
    <x v="3"/>
    <x v="901"/>
    <s v="38-47"/>
    <n v="44"/>
    <d v="1977-06-29T00:00:00"/>
    <s v="Arizona"/>
    <s v="AZ"/>
    <s v="Female"/>
    <s v="Married"/>
    <s v="Area Sales Manager"/>
    <s v="Active"/>
    <s v="Full-Time"/>
    <s v="Zone C"/>
    <s v="Sales"/>
    <s v="General - Eng"/>
    <s v="White"/>
    <s v="Fully Meets"/>
    <n v="4"/>
  </r>
  <r>
    <x v="1202"/>
    <x v="4"/>
    <x v="902"/>
    <s v="38-47"/>
    <n v="44"/>
    <d v="1978-11-12T00:00:00"/>
    <s v="Massachusetts"/>
    <s v="MA"/>
    <s v="Female"/>
    <s v="Married"/>
    <s v="Administrative Assistant"/>
    <s v="Active"/>
    <s v="Contract"/>
    <s v="Zone C"/>
    <s v="Sales"/>
    <s v="General - Con"/>
    <s v="Asian"/>
    <s v="Fully Meets"/>
    <n v="4"/>
  </r>
  <r>
    <x v="1203"/>
    <x v="5"/>
    <x v="903"/>
    <s v="38-47"/>
    <n v="45"/>
    <d v="1978-05-13T00:00:00"/>
    <s v="Massachusetts"/>
    <s v="MA"/>
    <s v="Male"/>
    <s v="Single"/>
    <s v="Sr. Network Engineer"/>
    <s v="Active"/>
    <s v="Full-Time"/>
    <s v="Zone A"/>
    <s v="Admin Offices"/>
    <s v="Fielders"/>
    <s v="Other"/>
    <s v="Fully Meets"/>
    <n v="4"/>
  </r>
  <r>
    <x v="1204"/>
    <x v="2"/>
    <x v="574"/>
    <s v="38-47"/>
    <n v="45"/>
    <d v="1975-12-24T00:00:00"/>
    <s v="Massachusetts"/>
    <s v="MA"/>
    <s v="Male"/>
    <s v="Single"/>
    <s v="Sr. Network Engineer"/>
    <s v="Active"/>
    <s v="Part-Time"/>
    <s v="Zone C"/>
    <s v="IT/IS"/>
    <s v="Executive"/>
    <s v="Asian"/>
    <s v="Fully Meets"/>
    <n v="4"/>
  </r>
  <r>
    <x v="1205"/>
    <x v="3"/>
    <x v="904"/>
    <s v="38-47"/>
    <n v="45"/>
    <d v="1976-03-03T00:00:00"/>
    <s v="Massachusetts"/>
    <s v="MA"/>
    <s v="Male"/>
    <s v="Married"/>
    <s v="Software Engineer"/>
    <s v="Active"/>
    <s v="Part-Time"/>
    <s v="Zone B"/>
    <s v="Software Engineering"/>
    <s v="General - Con"/>
    <s v="Other"/>
    <s v="Fully Meets"/>
    <n v="4"/>
  </r>
  <r>
    <x v="1206"/>
    <x v="4"/>
    <x v="718"/>
    <s v="38-47"/>
    <n v="45"/>
    <d v="1977-09-16T00:00:00"/>
    <s v="Massachusetts"/>
    <s v="MA"/>
    <s v="Male"/>
    <s v="Single"/>
    <s v="Senior BI Developer"/>
    <s v="Active"/>
    <s v="Part-Time"/>
    <s v="Zone B"/>
    <s v="IT/IS"/>
    <s v="Shop (Fleet)"/>
    <s v="Other"/>
    <s v="Exceeds"/>
    <n v="2"/>
  </r>
  <r>
    <x v="1207"/>
    <x v="4"/>
    <x v="905"/>
    <s v="38-47"/>
    <n v="45"/>
    <d v="1977-10-20T00:00:00"/>
    <s v="Massachusetts"/>
    <s v="MA"/>
    <s v="Female"/>
    <s v="Divorced"/>
    <s v="Production Technician II"/>
    <s v="Active"/>
    <s v="Contract"/>
    <s v="Zone C"/>
    <s v="Production       "/>
    <s v="Project Management - Con"/>
    <s v="Black"/>
    <s v="Fully Meets"/>
    <n v="2"/>
  </r>
  <r>
    <x v="1208"/>
    <x v="1"/>
    <x v="48"/>
    <s v="38-47"/>
    <n v="45"/>
    <d v="1974-11-23T00:00:00"/>
    <s v="Massachusetts"/>
    <s v="MA"/>
    <s v="Female"/>
    <s v="Married"/>
    <s v="Production Technician II"/>
    <s v="Terminated"/>
    <s v="Full-Time"/>
    <s v="Zone B"/>
    <s v="Production       "/>
    <s v="Fielders"/>
    <s v="Asian"/>
    <s v="Fully Meets"/>
    <n v="5"/>
  </r>
  <r>
    <x v="1209"/>
    <x v="1"/>
    <x v="906"/>
    <s v="38-47"/>
    <n v="45"/>
    <d v="1974-09-07T00:00:00"/>
    <s v="Massachusetts"/>
    <s v="MA"/>
    <s v="Female"/>
    <s v="Single"/>
    <s v="Production Technician II"/>
    <s v="Terminated"/>
    <s v="Contract"/>
    <s v="Zone B"/>
    <s v="Production       "/>
    <s v="Engineers"/>
    <s v="Hispanic"/>
    <s v="Fully Meets"/>
    <n v="3"/>
  </r>
  <r>
    <x v="1210"/>
    <x v="5"/>
    <x v="692"/>
    <s v="38-47"/>
    <n v="45"/>
    <d v="1978-03-13T00:00:00"/>
    <s v="Massachusetts"/>
    <s v="MA"/>
    <s v="Female"/>
    <s v="Married"/>
    <s v="Production Technician II"/>
    <s v="Active"/>
    <s v="Contract"/>
    <s v="Zone B"/>
    <s v="Production       "/>
    <s v="Isp"/>
    <s v="White"/>
    <s v="Fully Meets"/>
    <n v="2"/>
  </r>
  <r>
    <x v="1211"/>
    <x v="2"/>
    <x v="831"/>
    <s v="38-47"/>
    <n v="45"/>
    <d v="1975-04-03T00:00:00"/>
    <s v="Massachusetts"/>
    <s v="MA"/>
    <s v="Female"/>
    <s v="Divorced"/>
    <s v="Production Technician II"/>
    <s v="Active"/>
    <s v="Contract"/>
    <s v="Zone B"/>
    <s v="Production       "/>
    <s v="Engineers"/>
    <s v="Black"/>
    <s v="Fully Meets"/>
    <n v="1"/>
  </r>
  <r>
    <x v="1212"/>
    <x v="3"/>
    <x v="907"/>
    <s v="38-47"/>
    <n v="45"/>
    <d v="1976-11-19T00:00:00"/>
    <s v="Massachusetts"/>
    <s v="MA"/>
    <s v="Female"/>
    <s v="Divorced"/>
    <s v="Production Technician II"/>
    <s v="Active"/>
    <s v="Part-Time"/>
    <s v="Zone A"/>
    <s v="Production       "/>
    <s v="Fielders"/>
    <s v="Other"/>
    <s v="Fully Meets"/>
    <n v="1"/>
  </r>
  <r>
    <x v="1213"/>
    <x v="4"/>
    <x v="908"/>
    <s v="38-47"/>
    <n v="45"/>
    <d v="1977-01-08T00:00:00"/>
    <s v="Massachusetts"/>
    <s v="MA"/>
    <s v="Female"/>
    <s v="Widowed"/>
    <s v="Production Technician II"/>
    <s v="Active"/>
    <s v="Full-Time"/>
    <s v="Zone C"/>
    <s v="Production       "/>
    <s v="Field Operations"/>
    <s v="White"/>
    <s v="Fully Meets"/>
    <n v="1"/>
  </r>
  <r>
    <x v="1214"/>
    <x v="1"/>
    <x v="909"/>
    <s v="38-47"/>
    <n v="45"/>
    <d v="1974-12-01T00:00:00"/>
    <s v="Massachusetts"/>
    <s v="MA"/>
    <s v="Male"/>
    <s v="Divorced"/>
    <s v="Production Technician II"/>
    <s v="Active"/>
    <s v="Part-Time"/>
    <s v="Zone A"/>
    <s v="Sales"/>
    <s v="Yard (Material Handling)"/>
    <s v="Hispanic"/>
    <s v="Fully Meets"/>
    <n v="1"/>
  </r>
  <r>
    <x v="1215"/>
    <x v="4"/>
    <x v="910"/>
    <s v="38-47"/>
    <n v="45"/>
    <d v="1977-03-12T00:00:00"/>
    <s v="Massachusetts"/>
    <s v="MA"/>
    <s v="Male"/>
    <s v="Married"/>
    <s v="Production Technician II"/>
    <s v="Terminated"/>
    <s v="Full-Time"/>
    <s v="Zone C"/>
    <s v="Production       "/>
    <s v="General - Con"/>
    <s v="Hispanic"/>
    <s v="Needs Improvement"/>
    <n v="2"/>
  </r>
  <r>
    <x v="1216"/>
    <x v="4"/>
    <x v="495"/>
    <s v="38-47"/>
    <n v="45"/>
    <d v="1977-10-16T00:00:00"/>
    <s v="Massachusetts"/>
    <s v="MA"/>
    <s v="Female"/>
    <s v="Widowed"/>
    <s v="Production Technician II"/>
    <s v="Active"/>
    <s v="Full-Time"/>
    <s v="Zone C"/>
    <s v="Production       "/>
    <s v="Aerial"/>
    <s v="Other"/>
    <s v="Fully Meets"/>
    <n v="5"/>
  </r>
  <r>
    <x v="1217"/>
    <x v="2"/>
    <x v="911"/>
    <s v="38-47"/>
    <n v="45"/>
    <d v="1975-06-26T00:00:00"/>
    <s v="Massachusetts"/>
    <s v="MA"/>
    <s v="Female"/>
    <s v="Married"/>
    <s v="Production Technician I"/>
    <s v="Active"/>
    <s v="Contract"/>
    <s v="Zone A"/>
    <s v="Production       "/>
    <s v="Catv"/>
    <s v="Black"/>
    <s v="Fully Meets"/>
    <n v="4"/>
  </r>
  <r>
    <x v="1218"/>
    <x v="3"/>
    <x v="912"/>
    <s v="38-47"/>
    <n v="45"/>
    <d v="1976-03-05T00:00:00"/>
    <s v="Massachusetts"/>
    <s v="MA"/>
    <s v="Male"/>
    <s v="Widowed"/>
    <s v="Production Technician I"/>
    <s v="Active"/>
    <s v="Contract"/>
    <s v="Zone A"/>
    <s v="Production       "/>
    <s v="Project Management - Con"/>
    <s v="Black"/>
    <s v="Fully Meets"/>
    <n v="1"/>
  </r>
  <r>
    <x v="1219"/>
    <x v="1"/>
    <x v="906"/>
    <s v="38-47"/>
    <n v="45"/>
    <d v="1974-11-08T00:00:00"/>
    <s v="Massachusetts"/>
    <s v="MA"/>
    <s v="Male"/>
    <s v="Divorced"/>
    <s v="Production Technician I"/>
    <s v="Active"/>
    <s v="Full-Time"/>
    <s v="Zone B"/>
    <s v="Production       "/>
    <s v="Field Operations"/>
    <s v="White"/>
    <s v="Exceeds"/>
    <n v="1"/>
  </r>
  <r>
    <x v="1220"/>
    <x v="4"/>
    <x v="913"/>
    <s v="38-47"/>
    <n v="45"/>
    <d v="1977-01-31T00:00:00"/>
    <s v="Massachusetts"/>
    <s v="MA"/>
    <s v="Male"/>
    <s v="Divorced"/>
    <s v="Production Technician I"/>
    <s v="Terminated"/>
    <s v="Part-Time"/>
    <s v="Zone B"/>
    <s v="Production       "/>
    <s v="Engineers"/>
    <s v="Asian"/>
    <s v="PIP"/>
    <n v="4"/>
  </r>
  <r>
    <x v="1221"/>
    <x v="3"/>
    <x v="914"/>
    <s v="38-47"/>
    <n v="45"/>
    <d v="1976-03-17T00:00:00"/>
    <s v="Massachusetts"/>
    <s v="MA"/>
    <s v="Female"/>
    <s v="Widowed"/>
    <s v="Production Technician I"/>
    <s v="Active"/>
    <s v="Part-Time"/>
    <s v="Zone B"/>
    <s v="Production       "/>
    <s v="Engineers"/>
    <s v="Black"/>
    <s v="Fully Meets"/>
    <n v="2"/>
  </r>
  <r>
    <x v="1222"/>
    <x v="1"/>
    <x v="915"/>
    <s v="38-47"/>
    <n v="45"/>
    <d v="1974-06-21T00:00:00"/>
    <s v="Massachusetts"/>
    <s v="MA"/>
    <s v="Male"/>
    <s v="Single"/>
    <s v="Production Technician I"/>
    <s v="Active"/>
    <s v="Full-Time"/>
    <s v="Zone A"/>
    <s v="Production       "/>
    <s v="Field Operations"/>
    <s v="Hispanic"/>
    <s v="Exceeds"/>
    <n v="2"/>
  </r>
  <r>
    <x v="1223"/>
    <x v="5"/>
    <x v="916"/>
    <s v="38-47"/>
    <n v="45"/>
    <d v="1978-12-10T00:00:00"/>
    <s v="Massachusetts"/>
    <s v="MA"/>
    <s v="Male"/>
    <s v="Single"/>
    <s v="Production Technician I"/>
    <s v="Active"/>
    <s v="Full-Time"/>
    <s v="Zone C"/>
    <s v="Production       "/>
    <s v="Field Operations"/>
    <s v="Hispanic"/>
    <s v="Fully Meets"/>
    <n v="5"/>
  </r>
  <r>
    <x v="1224"/>
    <x v="0"/>
    <x v="917"/>
    <s v="38-47"/>
    <n v="45"/>
    <d v="1973-04-07T00:00:00"/>
    <s v="Massachusetts"/>
    <s v="MA"/>
    <s v="Female"/>
    <s v="Single"/>
    <s v="Production Technician I"/>
    <s v="Active"/>
    <s v="Part-Time"/>
    <s v="Zone C"/>
    <s v="Production       "/>
    <s v="Field Operations"/>
    <s v="Other"/>
    <s v="Fully Meets"/>
    <n v="5"/>
  </r>
  <r>
    <x v="1225"/>
    <x v="3"/>
    <x v="918"/>
    <s v="38-47"/>
    <n v="45"/>
    <d v="1976-02-16T00:00:00"/>
    <s v="Massachusetts"/>
    <s v="MA"/>
    <s v="Male"/>
    <s v="Married"/>
    <s v="Production Technician I"/>
    <s v="Active"/>
    <s v="Full-Time"/>
    <s v="Zone B"/>
    <s v="Production       "/>
    <s v="Wireline Construction"/>
    <s v="Hispanic"/>
    <s v="Fully Meets"/>
    <n v="2"/>
  </r>
  <r>
    <x v="1226"/>
    <x v="1"/>
    <x v="919"/>
    <s v="38-47"/>
    <n v="45"/>
    <d v="1974-04-15T00:00:00"/>
    <s v="Massachusetts"/>
    <s v="MA"/>
    <s v="Female"/>
    <s v="Widowed"/>
    <s v="Production Technician I"/>
    <s v="Active"/>
    <s v="Part-Time"/>
    <s v="Zone A"/>
    <s v="Production       "/>
    <s v="Field Operations"/>
    <s v="Black"/>
    <s v="Fully Meets"/>
    <n v="5"/>
  </r>
  <r>
    <x v="1227"/>
    <x v="3"/>
    <x v="920"/>
    <s v="38-47"/>
    <n v="45"/>
    <d v="1976-10-07T00:00:00"/>
    <s v="Massachusetts"/>
    <s v="MA"/>
    <s v="Female"/>
    <s v="Divorced"/>
    <s v="Production Technician I"/>
    <s v="Active"/>
    <s v="Part-Time"/>
    <s v="Zone A"/>
    <s v="Production       "/>
    <s v="Field Operations"/>
    <s v="Black"/>
    <s v="Fully Meets"/>
    <n v="1"/>
  </r>
  <r>
    <x v="1228"/>
    <x v="4"/>
    <x v="921"/>
    <s v="38-47"/>
    <n v="45"/>
    <d v="1977-12-20T00:00:00"/>
    <s v="Massachusetts"/>
    <s v="MA"/>
    <s v="Female"/>
    <s v="Divorced"/>
    <s v="Production Technician I"/>
    <s v="Active"/>
    <s v="Full-Time"/>
    <s v="Zone A"/>
    <s v="Production       "/>
    <s v="Field Operations"/>
    <s v="Asian"/>
    <s v="Fully Meets"/>
    <n v="2"/>
  </r>
  <r>
    <x v="1229"/>
    <x v="1"/>
    <x v="922"/>
    <s v="38-47"/>
    <n v="45"/>
    <d v="1974-11-01T00:00:00"/>
    <s v="Massachusetts"/>
    <s v="MA"/>
    <s v="Male"/>
    <s v="Single"/>
    <s v="Production Technician I"/>
    <s v="Active"/>
    <s v="Full-Time"/>
    <s v="Zone A"/>
    <s v="Production       "/>
    <s v="General - Con"/>
    <s v="White"/>
    <s v="Fully Meets"/>
    <n v="2"/>
  </r>
  <r>
    <x v="1230"/>
    <x v="5"/>
    <x v="923"/>
    <s v="38-47"/>
    <n v="45"/>
    <d v="1978-07-29T00:00:00"/>
    <s v="Massachusetts"/>
    <s v="MA"/>
    <s v="Female"/>
    <s v="Single"/>
    <s v="Production Technician I"/>
    <s v="Active"/>
    <s v="Contract"/>
    <s v="Zone C"/>
    <s v="Production       "/>
    <s v="Project Management - Con"/>
    <s v="Asian"/>
    <s v="Fully Meets"/>
    <n v="5"/>
  </r>
  <r>
    <x v="1231"/>
    <x v="3"/>
    <x v="313"/>
    <s v="38-47"/>
    <n v="45"/>
    <d v="1976-05-16T00:00:00"/>
    <s v="Massachusetts"/>
    <s v="MA"/>
    <s v="Male"/>
    <s v="Single"/>
    <s v="Production Technician I"/>
    <s v="Active"/>
    <s v="Contract"/>
    <s v="Zone B"/>
    <s v="Production       "/>
    <s v="Field Operations"/>
    <s v="Hispanic"/>
    <s v="Fully Meets"/>
    <n v="4"/>
  </r>
  <r>
    <x v="1232"/>
    <x v="4"/>
    <x v="924"/>
    <s v="38-47"/>
    <n v="45"/>
    <d v="1977-06-16T00:00:00"/>
    <s v="Massachusetts"/>
    <s v="MA"/>
    <s v="Male"/>
    <s v="Married"/>
    <s v="Production Technician I"/>
    <s v="Active"/>
    <s v="Full-Time"/>
    <s v="Zone C"/>
    <s v="Production       "/>
    <s v="Project Management - Con"/>
    <s v="Asian"/>
    <s v="Fully Meets"/>
    <n v="3"/>
  </r>
  <r>
    <x v="1233"/>
    <x v="1"/>
    <x v="925"/>
    <s v="38-47"/>
    <n v="45"/>
    <d v="1974-08-04T00:00:00"/>
    <s v="Massachusetts"/>
    <s v="MA"/>
    <s v="Female"/>
    <s v="Single"/>
    <s v="Production Technician I"/>
    <s v="Active"/>
    <s v="Part-Time"/>
    <s v="Zone A"/>
    <s v="Production       "/>
    <s v="Fielders"/>
    <s v="Black"/>
    <s v="Fully Meets"/>
    <n v="1"/>
  </r>
  <r>
    <x v="1234"/>
    <x v="3"/>
    <x v="926"/>
    <s v="38-47"/>
    <n v="45"/>
    <d v="1976-12-22T00:00:00"/>
    <s v="Massachusetts"/>
    <s v="MA"/>
    <s v="Female"/>
    <s v="Divorced"/>
    <s v="Production Technician I"/>
    <s v="Terminated"/>
    <s v="Full-Time"/>
    <s v="Zone B"/>
    <s v="Production       "/>
    <s v="Finance &amp; Accounting"/>
    <s v="Other"/>
    <s v="Fully Meets"/>
    <n v="5"/>
  </r>
  <r>
    <x v="1235"/>
    <x v="4"/>
    <x v="85"/>
    <s v="38-47"/>
    <n v="45"/>
    <d v="1977-12-11T00:00:00"/>
    <s v="Massachusetts"/>
    <s v="MA"/>
    <s v="Female"/>
    <s v="Divorced"/>
    <s v="Production Technician I"/>
    <s v="Active"/>
    <s v="Contract"/>
    <s v="Zone A"/>
    <s v="Production       "/>
    <s v="Technology / It"/>
    <s v="Black"/>
    <s v="Fully Meets"/>
    <n v="5"/>
  </r>
  <r>
    <x v="1236"/>
    <x v="3"/>
    <x v="886"/>
    <s v="38-47"/>
    <n v="45"/>
    <d v="1976-06-26T00:00:00"/>
    <s v="Massachusetts"/>
    <s v="MA"/>
    <s v="Female"/>
    <s v="Divorced"/>
    <s v="Production Technician I"/>
    <s v="Terminated"/>
    <s v="Contract"/>
    <s v="Zone A"/>
    <s v="Production       "/>
    <s v="Wireless"/>
    <s v="Hispanic"/>
    <s v="Fully Meets"/>
    <n v="5"/>
  </r>
  <r>
    <x v="1237"/>
    <x v="4"/>
    <x v="521"/>
    <s v="38-47"/>
    <n v="45"/>
    <d v="1977-02-26T00:00:00"/>
    <s v="Massachusetts"/>
    <s v="MA"/>
    <s v="Female"/>
    <s v="Married"/>
    <s v="Production Technician I"/>
    <s v="Active"/>
    <s v="Contract"/>
    <s v="Zone C"/>
    <s v="Production       "/>
    <s v="Aerial"/>
    <s v="Black"/>
    <s v="Fully Meets"/>
    <n v="3"/>
  </r>
  <r>
    <x v="1238"/>
    <x v="3"/>
    <x v="927"/>
    <s v="38-47"/>
    <n v="45"/>
    <d v="1976-08-17T00:00:00"/>
    <s v="Massachusetts"/>
    <s v="MA"/>
    <s v="Female"/>
    <s v="Married"/>
    <s v="Production Technician I"/>
    <s v="Active"/>
    <s v="Full-Time"/>
    <s v="Zone B"/>
    <s v="Production       "/>
    <s v="Field Operations"/>
    <s v="Asian"/>
    <s v="Exceeds"/>
    <n v="2"/>
  </r>
  <r>
    <x v="1239"/>
    <x v="2"/>
    <x v="824"/>
    <s v="38-47"/>
    <n v="45"/>
    <d v="1975-11-28T00:00:00"/>
    <s v="Massachusetts"/>
    <s v="MA"/>
    <s v="Female"/>
    <s v="Divorced"/>
    <s v="Production Technician I"/>
    <s v="Active"/>
    <s v="Contract"/>
    <s v="Zone C"/>
    <s v="Production       "/>
    <s v="Field Operations"/>
    <s v="Hispanic"/>
    <s v="Exceeds"/>
    <n v="4"/>
  </r>
  <r>
    <x v="1240"/>
    <x v="4"/>
    <x v="531"/>
    <s v="38-47"/>
    <n v="45"/>
    <d v="1977-10-08T00:00:00"/>
    <s v="Massachusetts"/>
    <s v="MA"/>
    <s v="Female"/>
    <s v="Married"/>
    <s v="Production Technician I"/>
    <s v="Active"/>
    <s v="Part-Time"/>
    <s v="Zone A"/>
    <s v="Production       "/>
    <s v="General - Con"/>
    <s v="Other"/>
    <s v="Fully Meets"/>
    <n v="5"/>
  </r>
  <r>
    <x v="1241"/>
    <x v="2"/>
    <x v="121"/>
    <s v="38-47"/>
    <n v="45"/>
    <d v="1975-12-03T00:00:00"/>
    <s v="Massachusetts"/>
    <s v="MA"/>
    <s v="Male"/>
    <s v="Single"/>
    <s v="Production Manager"/>
    <s v="Active"/>
    <s v="Contract"/>
    <s v="Zone A"/>
    <s v="Production       "/>
    <s v="Field Operations"/>
    <s v="Black"/>
    <s v="Fully Meets"/>
    <n v="4"/>
  </r>
  <r>
    <x v="1242"/>
    <x v="4"/>
    <x v="415"/>
    <s v="38-47"/>
    <n v="45"/>
    <d v="1977-02-12T00:00:00"/>
    <s v="Massachusetts"/>
    <s v="MA"/>
    <s v="Male"/>
    <s v="Divorced"/>
    <s v="Production Manager"/>
    <s v="Active"/>
    <s v="Contract"/>
    <s v="Zone C"/>
    <s v="Production       "/>
    <s v="Safety"/>
    <s v="Other"/>
    <s v="Fully Meets"/>
    <n v="5"/>
  </r>
  <r>
    <x v="1243"/>
    <x v="0"/>
    <x v="7"/>
    <s v="38-47"/>
    <n v="45"/>
    <d v="1973-02-22T00:00:00"/>
    <s v="Massachusetts"/>
    <s v="MA"/>
    <s v="Female"/>
    <s v="Widowed"/>
    <s v="Production Manager"/>
    <s v="Active"/>
    <s v="Part-Time"/>
    <s v="Zone A"/>
    <s v="Production       "/>
    <s v="Fielders"/>
    <s v="Other"/>
    <s v="Fully Meets"/>
    <n v="2"/>
  </r>
  <r>
    <x v="1244"/>
    <x v="1"/>
    <x v="5"/>
    <s v="38-47"/>
    <n v="45"/>
    <d v="1974-08-18T00:00:00"/>
    <s v="Massachusetts"/>
    <s v="MA"/>
    <s v="Male"/>
    <s v="Divorced"/>
    <s v="Network Engineer"/>
    <s v="Active"/>
    <s v="Full-Time"/>
    <s v="Zone C"/>
    <s v="Executive Office"/>
    <s v="Engineers"/>
    <s v="Hispanic"/>
    <s v="Fully Meets"/>
    <n v="1"/>
  </r>
  <r>
    <x v="1245"/>
    <x v="2"/>
    <x v="734"/>
    <s v="38-47"/>
    <n v="45"/>
    <d v="1975-09-05T00:00:00"/>
    <s v="Massachusetts"/>
    <s v="MA"/>
    <s v="Female"/>
    <s v="Married"/>
    <s v="IT Support"/>
    <s v="Active"/>
    <s v="Contract"/>
    <s v="Zone C"/>
    <s v="IT/IS"/>
    <s v="Wireline Construction"/>
    <s v="Other"/>
    <s v="Fully Meets"/>
    <n v="2"/>
  </r>
  <r>
    <x v="1246"/>
    <x v="2"/>
    <x v="928"/>
    <s v="38-47"/>
    <n v="45"/>
    <d v="1975-08-10T00:00:00"/>
    <s v="Massachusetts"/>
    <s v="MA"/>
    <s v="Male"/>
    <s v="Single"/>
    <s v="IT Support"/>
    <s v="Active"/>
    <s v="Contract"/>
    <s v="Zone C"/>
    <s v="IT/IS"/>
    <s v="Wireline Construction"/>
    <s v="Asian"/>
    <s v="Fully Meets"/>
    <n v="5"/>
  </r>
  <r>
    <x v="1247"/>
    <x v="2"/>
    <x v="347"/>
    <s v="38-47"/>
    <n v="45"/>
    <d v="1975-02-10T00:00:00"/>
    <s v="Massachusetts"/>
    <s v="MA"/>
    <s v="Female"/>
    <s v="Single"/>
    <s v="IT Support"/>
    <s v="Active"/>
    <s v="Full-Time"/>
    <s v="Zone B"/>
    <s v="IT/IS"/>
    <s v="Field Operations"/>
    <s v="Other"/>
    <s v="Fully Meets"/>
    <n v="3"/>
  </r>
  <r>
    <x v="1248"/>
    <x v="4"/>
    <x v="929"/>
    <s v="38-47"/>
    <n v="45"/>
    <d v="1977-10-01T00:00:00"/>
    <s v="Massachusetts"/>
    <s v="MA"/>
    <s v="Female"/>
    <s v="Divorced"/>
    <s v="IT Support"/>
    <s v="Active"/>
    <s v="Part-Time"/>
    <s v="Zone A"/>
    <s v="IT/IS"/>
    <s v="Underground"/>
    <s v="Asian"/>
    <s v="PIP"/>
    <n v="1"/>
  </r>
  <r>
    <x v="1249"/>
    <x v="0"/>
    <x v="930"/>
    <s v="38-47"/>
    <n v="45"/>
    <d v="1973-05-22T00:00:00"/>
    <s v="Texas"/>
    <s v="TX"/>
    <s v="Female"/>
    <s v="Single"/>
    <s v="Database Administrator"/>
    <s v="Terminated"/>
    <s v="Part-Time"/>
    <s v="Zone C"/>
    <s v="IT/IS"/>
    <s v="Field Operations"/>
    <s v="Hispanic"/>
    <s v="Exceeds"/>
    <n v="2"/>
  </r>
  <r>
    <x v="1250"/>
    <x v="2"/>
    <x v="931"/>
    <s v="38-47"/>
    <n v="45"/>
    <d v="1975-12-02T00:00:00"/>
    <s v="Massachusetts"/>
    <s v="MA"/>
    <s v="Female"/>
    <s v="Married"/>
    <s v="Data Analyst"/>
    <s v="Active"/>
    <s v="Full-Time"/>
    <s v="Zone C"/>
    <s v="IT/IS"/>
    <s v="Project Management - Con"/>
    <s v="White"/>
    <s v="Exceeds"/>
    <n v="2"/>
  </r>
  <r>
    <x v="1251"/>
    <x v="5"/>
    <x v="932"/>
    <s v="38-47"/>
    <n v="45"/>
    <d v="1978-06-19T00:00:00"/>
    <s v="Massachusetts"/>
    <s v="MA"/>
    <s v="Male"/>
    <s v="Divorced"/>
    <s v="BI Director"/>
    <s v="Active"/>
    <s v="Full-Time"/>
    <s v="Zone A"/>
    <s v="IT/IS"/>
    <s v="Aerial"/>
    <s v="Black"/>
    <s v="Fully Meets"/>
    <n v="5"/>
  </r>
  <r>
    <x v="1252"/>
    <x v="2"/>
    <x v="933"/>
    <s v="38-47"/>
    <n v="45"/>
    <d v="1975-09-22T00:00:00"/>
    <s v="Arizona"/>
    <s v="AZ"/>
    <s v="Male"/>
    <s v="Married"/>
    <s v="Area Sales Manager"/>
    <s v="Active"/>
    <s v="Part-Time"/>
    <s v="Zone C"/>
    <s v="Sales"/>
    <s v="Project Management - Con"/>
    <s v="Asian"/>
    <s v="Fully Meets"/>
    <n v="3"/>
  </r>
  <r>
    <x v="1253"/>
    <x v="2"/>
    <x v="934"/>
    <s v="38-47"/>
    <n v="46"/>
    <d v="1974-11-19T00:00:00"/>
    <s v="Massachusetts"/>
    <s v="MA"/>
    <s v="Male"/>
    <s v="Single"/>
    <s v="Software Engineer"/>
    <s v="Active"/>
    <s v="Part-Time"/>
    <s v="Zone B"/>
    <s v="Software Engineering"/>
    <s v="Engineers"/>
    <s v="Asian"/>
    <s v="Fully Meets"/>
    <n v="4"/>
  </r>
  <r>
    <x v="1254"/>
    <x v="0"/>
    <x v="93"/>
    <s v="38-47"/>
    <n v="46"/>
    <d v="1972-02-29T00:00:00"/>
    <s v="Massachusetts"/>
    <s v="MA"/>
    <s v="Female"/>
    <s v="Single"/>
    <s v="Senior BI Developer"/>
    <s v="Active"/>
    <s v="Full-Time"/>
    <s v="Zone A"/>
    <s v="IT/IS"/>
    <s v="Engineers"/>
    <s v="Black"/>
    <s v="Fully Meets"/>
    <n v="2"/>
  </r>
  <r>
    <x v="1255"/>
    <x v="0"/>
    <x v="153"/>
    <s v="38-47"/>
    <n v="46"/>
    <d v="1972-03-19T00:00:00"/>
    <s v="Massachusetts"/>
    <s v="MA"/>
    <s v="Male"/>
    <s v="Widowed"/>
    <s v="Senior BI Developer"/>
    <s v="Active"/>
    <s v="Full-Time"/>
    <s v="Zone A"/>
    <s v="Admin Offices"/>
    <s v="Splicing"/>
    <s v="Black"/>
    <s v="Fully Meets"/>
    <n v="3"/>
  </r>
  <r>
    <x v="1256"/>
    <x v="3"/>
    <x v="935"/>
    <s v="38-47"/>
    <n v="46"/>
    <d v="1975-12-14T00:00:00"/>
    <s v="Massachusetts"/>
    <s v="MA"/>
    <s v="Female"/>
    <s v="Single"/>
    <s v="Production Technician II"/>
    <s v="Terminated"/>
    <s v="Contract"/>
    <s v="Zone B"/>
    <s v="Production       "/>
    <s v="Engineers"/>
    <s v="Asian"/>
    <s v="Fully Meets"/>
    <n v="2"/>
  </r>
  <r>
    <x v="1257"/>
    <x v="3"/>
    <x v="936"/>
    <s v="38-47"/>
    <n v="46"/>
    <d v="1975-07-26T00:00:00"/>
    <s v="Massachusetts"/>
    <s v="MA"/>
    <s v="Male"/>
    <s v="Married"/>
    <s v="Production Technician II"/>
    <s v="Active"/>
    <s v="Part-Time"/>
    <s v="Zone B"/>
    <s v="Production       "/>
    <s v="Billable Consultants"/>
    <s v="Asian"/>
    <s v="Fully Meets"/>
    <n v="1"/>
  </r>
  <r>
    <x v="1258"/>
    <x v="0"/>
    <x v="937"/>
    <s v="38-47"/>
    <n v="46"/>
    <d v="1972-09-18T00:00:00"/>
    <s v="Massachusetts"/>
    <s v="MA"/>
    <s v="Male"/>
    <s v="Divorced"/>
    <s v="Production Technician II"/>
    <s v="Active"/>
    <s v="Part-Time"/>
    <s v="Zone B"/>
    <s v="Production       "/>
    <s v="General - Sga"/>
    <s v="Other"/>
    <s v="Exceeds"/>
    <n v="3"/>
  </r>
  <r>
    <x v="1259"/>
    <x v="5"/>
    <x v="757"/>
    <s v="38-47"/>
    <n v="46"/>
    <d v="1977-10-21T00:00:00"/>
    <s v="Massachusetts"/>
    <s v="MA"/>
    <s v="Male"/>
    <s v="Married"/>
    <s v="Production Technician II"/>
    <s v="Active"/>
    <s v="Part-Time"/>
    <s v="Zone A"/>
    <s v="Production       "/>
    <s v="Wireline Construction"/>
    <s v="White"/>
    <s v="Fully Meets"/>
    <n v="1"/>
  </r>
  <r>
    <x v="1260"/>
    <x v="5"/>
    <x v="887"/>
    <s v="38-47"/>
    <n v="46"/>
    <d v="1977-05-14T00:00:00"/>
    <s v="Massachusetts"/>
    <s v="MA"/>
    <s v="Female"/>
    <s v="Widowed"/>
    <s v="Production Technician II"/>
    <s v="Active"/>
    <s v="Contract"/>
    <s v="Zone A"/>
    <s v="Production       "/>
    <s v="Wireline Construction"/>
    <s v="White"/>
    <s v="Fully Meets"/>
    <n v="1"/>
  </r>
  <r>
    <x v="1261"/>
    <x v="3"/>
    <x v="938"/>
    <s v="38-47"/>
    <n v="46"/>
    <d v="1975-04-11T00:00:00"/>
    <s v="Massachusetts"/>
    <s v="MA"/>
    <s v="Female"/>
    <s v="Single"/>
    <s v="Production Technician II"/>
    <s v="Active"/>
    <s v="Part-Time"/>
    <s v="Zone C"/>
    <s v="Production       "/>
    <s v="Field Operations"/>
    <s v="Asian"/>
    <s v="Fully Meets"/>
    <n v="2"/>
  </r>
  <r>
    <x v="1262"/>
    <x v="3"/>
    <x v="939"/>
    <s v="38-47"/>
    <n v="46"/>
    <d v="1975-06-17T00:00:00"/>
    <s v="Massachusetts"/>
    <s v="MA"/>
    <s v="Female"/>
    <s v="Divorced"/>
    <s v="Production Technician II"/>
    <s v="Active"/>
    <s v="Part-Time"/>
    <s v="Zone B"/>
    <s v="Production       "/>
    <s v="Project Management - Con"/>
    <s v="Asian"/>
    <s v="Needs Improvement"/>
    <n v="3"/>
  </r>
  <r>
    <x v="1263"/>
    <x v="3"/>
    <x v="722"/>
    <s v="38-47"/>
    <n v="46"/>
    <d v="1975-12-17T00:00:00"/>
    <s v="Massachusetts"/>
    <s v="MA"/>
    <s v="Female"/>
    <s v="Divorced"/>
    <s v="Production Technician II"/>
    <s v="Terminated"/>
    <s v="Part-Time"/>
    <s v="Zone A"/>
    <s v="Production       "/>
    <s v="Yard (Material Handling)"/>
    <s v="Black"/>
    <s v="Fully Meets"/>
    <n v="3"/>
  </r>
  <r>
    <x v="1264"/>
    <x v="2"/>
    <x v="940"/>
    <s v="38-47"/>
    <n v="46"/>
    <d v="1974-02-19T00:00:00"/>
    <s v="Massachusetts"/>
    <s v="MA"/>
    <s v="Male"/>
    <s v="Married"/>
    <s v="Production Technician I"/>
    <s v="Active"/>
    <s v="Full-Time"/>
    <s v="Zone C"/>
    <s v="Production       "/>
    <s v="Fielders"/>
    <s v="Black"/>
    <s v="Exceeds"/>
    <n v="5"/>
  </r>
  <r>
    <x v="1265"/>
    <x v="1"/>
    <x v="90"/>
    <s v="38-47"/>
    <n v="46"/>
    <d v="1973-06-14T00:00:00"/>
    <s v="Massachusetts"/>
    <s v="MA"/>
    <s v="Male"/>
    <s v="Married"/>
    <s v="Production Technician I"/>
    <s v="Active"/>
    <s v="Contract"/>
    <s v="Zone B"/>
    <s v="Production       "/>
    <s v="Field Operations"/>
    <s v="Asian"/>
    <s v="Exceeds"/>
    <n v="5"/>
  </r>
  <r>
    <x v="1266"/>
    <x v="3"/>
    <x v="705"/>
    <s v="38-47"/>
    <n v="46"/>
    <d v="1975-09-03T00:00:00"/>
    <s v="Massachusetts"/>
    <s v="MA"/>
    <s v="Female"/>
    <s v="Married"/>
    <s v="Production Technician I"/>
    <s v="Terminated"/>
    <s v="Contract"/>
    <s v="Zone A"/>
    <s v="Production       "/>
    <s v="Field Operations"/>
    <s v="Asian"/>
    <s v="Exceeds"/>
    <n v="4"/>
  </r>
  <r>
    <x v="1267"/>
    <x v="3"/>
    <x v="783"/>
    <s v="38-47"/>
    <n v="46"/>
    <d v="1975-02-09T00:00:00"/>
    <s v="Massachusetts"/>
    <s v="MA"/>
    <s v="Female"/>
    <s v="Widowed"/>
    <s v="Production Technician I"/>
    <s v="Terminated"/>
    <s v="Part-Time"/>
    <s v="Zone A"/>
    <s v="Production       "/>
    <s v="Field Operations"/>
    <s v="Other"/>
    <s v="Needs Improvement"/>
    <n v="4"/>
  </r>
  <r>
    <x v="1268"/>
    <x v="2"/>
    <x v="121"/>
    <s v="38-47"/>
    <n v="46"/>
    <d v="1974-06-13T00:00:00"/>
    <s v="Massachusetts"/>
    <s v="MA"/>
    <s v="Female"/>
    <s v="Widowed"/>
    <s v="Production Technician I"/>
    <s v="Active"/>
    <s v="Contract"/>
    <s v="Zone C"/>
    <s v="Production       "/>
    <s v="Project Management - Con"/>
    <s v="Black"/>
    <s v="PIP"/>
    <n v="1"/>
  </r>
  <r>
    <x v="1269"/>
    <x v="3"/>
    <x v="671"/>
    <s v="38-47"/>
    <n v="46"/>
    <d v="1975-09-04T00:00:00"/>
    <s v="Massachusetts"/>
    <s v="MA"/>
    <s v="Male"/>
    <s v="Married"/>
    <s v="Production Technician I"/>
    <s v="Active"/>
    <s v="Full-Time"/>
    <s v="Zone B"/>
    <s v="Production       "/>
    <s v="Field Operations"/>
    <s v="Other"/>
    <s v="Fully Meets"/>
    <n v="3"/>
  </r>
  <r>
    <x v="1270"/>
    <x v="3"/>
    <x v="941"/>
    <s v="38-47"/>
    <n v="46"/>
    <d v="1975-01-03T00:00:00"/>
    <s v="Massachusetts"/>
    <s v="MA"/>
    <s v="Male"/>
    <s v="Married"/>
    <s v="Production Technician I"/>
    <s v="Active"/>
    <s v="Contract"/>
    <s v="Zone C"/>
    <s v="Production       "/>
    <s v="Field Operations"/>
    <s v="White"/>
    <s v="Fully Meets"/>
    <n v="5"/>
  </r>
  <r>
    <x v="1271"/>
    <x v="3"/>
    <x v="440"/>
    <s v="38-47"/>
    <n v="46"/>
    <d v="1975-02-06T00:00:00"/>
    <s v="Massachusetts"/>
    <s v="MA"/>
    <s v="Male"/>
    <s v="Single"/>
    <s v="Production Technician I"/>
    <s v="Active"/>
    <s v="Full-Time"/>
    <s v="Zone B"/>
    <s v="Production       "/>
    <s v="General - Eng"/>
    <s v="White"/>
    <s v="Fully Meets"/>
    <n v="3"/>
  </r>
  <r>
    <x v="1272"/>
    <x v="4"/>
    <x v="942"/>
    <s v="38-47"/>
    <n v="46"/>
    <d v="1976-05-28T00:00:00"/>
    <s v="Massachusetts"/>
    <s v="MA"/>
    <s v="Male"/>
    <s v="Divorced"/>
    <s v="Production Technician I"/>
    <s v="Active"/>
    <s v="Part-Time"/>
    <s v="Zone A"/>
    <s v="Production       "/>
    <s v="General - Con"/>
    <s v="Hispanic"/>
    <s v="Fully Meets"/>
    <n v="5"/>
  </r>
  <r>
    <x v="1273"/>
    <x v="2"/>
    <x v="422"/>
    <s v="38-47"/>
    <n v="46"/>
    <d v="1974-08-20T00:00:00"/>
    <s v="Massachusetts"/>
    <s v="MA"/>
    <s v="Female"/>
    <s v="Single"/>
    <s v="Production Technician I"/>
    <s v="Active"/>
    <s v="Contract"/>
    <s v="Zone A"/>
    <s v="Production       "/>
    <s v="Field Operations"/>
    <s v="Black"/>
    <s v="PIP"/>
    <n v="3"/>
  </r>
  <r>
    <x v="1274"/>
    <x v="3"/>
    <x v="76"/>
    <s v="38-47"/>
    <n v="46"/>
    <d v="1975-10-21T00:00:00"/>
    <s v="Massachusetts"/>
    <s v="MA"/>
    <s v="Female"/>
    <s v="Married"/>
    <s v="Production Technician I"/>
    <s v="Active"/>
    <s v="Full-Time"/>
    <s v="Zone C"/>
    <s v="Production       "/>
    <s v="General - Con"/>
    <s v="Asian"/>
    <s v="Needs Improvement"/>
    <n v="3"/>
  </r>
  <r>
    <x v="1275"/>
    <x v="4"/>
    <x v="943"/>
    <s v="38-47"/>
    <n v="46"/>
    <d v="1976-04-06T00:00:00"/>
    <s v="Massachusetts"/>
    <s v="MA"/>
    <s v="Male"/>
    <s v="Married"/>
    <s v="Production Technician I"/>
    <s v="Active"/>
    <s v="Full-Time"/>
    <s v="Zone C"/>
    <s v="Production       "/>
    <s v="Field Operations"/>
    <s v="Hispanic"/>
    <s v="Fully Meets"/>
    <n v="2"/>
  </r>
  <r>
    <x v="1276"/>
    <x v="3"/>
    <x v="944"/>
    <s v="38-47"/>
    <n v="46"/>
    <d v="1975-02-24T00:00:00"/>
    <s v="Massachusetts"/>
    <s v="MA"/>
    <s v="Male"/>
    <s v="Widowed"/>
    <s v="Production Technician I"/>
    <s v="Active"/>
    <s v="Part-Time"/>
    <s v="Zone C"/>
    <s v="Production       "/>
    <s v="Engineers"/>
    <s v="Black"/>
    <s v="Fully Meets"/>
    <n v="3"/>
  </r>
  <r>
    <x v="1277"/>
    <x v="0"/>
    <x v="945"/>
    <s v="38-47"/>
    <n v="46"/>
    <d v="1972-06-18T00:00:00"/>
    <s v="Massachusetts"/>
    <s v="MA"/>
    <s v="Female"/>
    <s v="Single"/>
    <s v="Production Technician I"/>
    <s v="Active"/>
    <s v="Part-Time"/>
    <s v="Zone B"/>
    <s v="Production       "/>
    <s v="Engineers"/>
    <s v="Hispanic"/>
    <s v="Exceeds"/>
    <n v="3"/>
  </r>
  <r>
    <x v="1278"/>
    <x v="5"/>
    <x v="456"/>
    <s v="38-47"/>
    <n v="46"/>
    <d v="1977-12-16T00:00:00"/>
    <s v="Massachusetts"/>
    <s v="MA"/>
    <s v="Male"/>
    <s v="Married"/>
    <s v="Production Technician I"/>
    <s v="Active"/>
    <s v="Contract"/>
    <s v="Zone B"/>
    <s v="Production       "/>
    <s v="Field Operations"/>
    <s v="Asian"/>
    <s v="Exceeds"/>
    <n v="4"/>
  </r>
  <r>
    <x v="1279"/>
    <x v="5"/>
    <x v="916"/>
    <s v="38-47"/>
    <n v="46"/>
    <d v="1977-12-15T00:00:00"/>
    <s v="Massachusetts"/>
    <s v="MA"/>
    <s v="Female"/>
    <s v="Widowed"/>
    <s v="Production Technician I"/>
    <s v="Active"/>
    <s v="Part-Time"/>
    <s v="Zone C"/>
    <s v="Production       "/>
    <s v="General - Con"/>
    <s v="Other"/>
    <s v="Needs Improvement"/>
    <n v="4"/>
  </r>
  <r>
    <x v="1280"/>
    <x v="4"/>
    <x v="946"/>
    <s v="38-47"/>
    <n v="46"/>
    <d v="1976-05-28T00:00:00"/>
    <s v="Massachusetts"/>
    <s v="MA"/>
    <s v="Male"/>
    <s v="Widowed"/>
    <s v="Production Technician I"/>
    <s v="Terminated"/>
    <s v="Part-Time"/>
    <s v="Zone C"/>
    <s v="Production       "/>
    <s v="Field Operations"/>
    <s v="Black"/>
    <s v="Fully Meets"/>
    <n v="2"/>
  </r>
  <r>
    <x v="1281"/>
    <x v="2"/>
    <x v="947"/>
    <s v="38-47"/>
    <n v="46"/>
    <d v="1974-02-09T00:00:00"/>
    <s v="Massachusetts"/>
    <s v="MA"/>
    <s v="Female"/>
    <s v="Married"/>
    <s v="Production Technician I"/>
    <s v="Terminated"/>
    <s v="Part-Time"/>
    <s v="Zone B"/>
    <s v="Production       "/>
    <s v="Engineers"/>
    <s v="Hispanic"/>
    <s v="Fully Meets"/>
    <n v="2"/>
  </r>
  <r>
    <x v="1282"/>
    <x v="4"/>
    <x v="740"/>
    <s v="38-47"/>
    <n v="46"/>
    <d v="1976-09-10T00:00:00"/>
    <s v="Massachusetts"/>
    <s v="MA"/>
    <s v="Female"/>
    <s v="Single"/>
    <s v="Production Technician I"/>
    <s v="Active"/>
    <s v="Part-Time"/>
    <s v="Zone B"/>
    <s v="Production       "/>
    <s v="General - Con"/>
    <s v="Asian"/>
    <s v="Fully Meets"/>
    <n v="2"/>
  </r>
  <r>
    <x v="1283"/>
    <x v="4"/>
    <x v="948"/>
    <s v="38-47"/>
    <n v="46"/>
    <d v="1976-09-03T00:00:00"/>
    <s v="Massachusetts"/>
    <s v="MA"/>
    <s v="Female"/>
    <s v="Divorced"/>
    <s v="Production Technician I"/>
    <s v="Active"/>
    <s v="Contract"/>
    <s v="Zone B"/>
    <s v="Production       "/>
    <s v="General - Con"/>
    <s v="Asian"/>
    <s v="Fully Meets"/>
    <n v="3"/>
  </r>
  <r>
    <x v="1284"/>
    <x v="2"/>
    <x v="949"/>
    <s v="38-47"/>
    <n v="46"/>
    <d v="1974-05-06T00:00:00"/>
    <s v="Massachusetts"/>
    <s v="MA"/>
    <s v="Female"/>
    <s v="Married"/>
    <s v="Production Manager"/>
    <s v="Active"/>
    <s v="Full-Time"/>
    <s v="Zone C"/>
    <s v="Production       "/>
    <s v="Field Operations"/>
    <s v="Asian"/>
    <s v="Fully Meets"/>
    <n v="4"/>
  </r>
  <r>
    <x v="1285"/>
    <x v="3"/>
    <x v="513"/>
    <s v="38-47"/>
    <n v="46"/>
    <d v="1975-11-13T00:00:00"/>
    <s v="Massachusetts"/>
    <s v="MA"/>
    <s v="Female"/>
    <s v="Married"/>
    <s v="Production Manager"/>
    <s v="Active"/>
    <s v="Contract"/>
    <s v="Zone C"/>
    <s v="Production       "/>
    <s v="General - Con"/>
    <s v="White"/>
    <s v="Fully Meets"/>
    <n v="1"/>
  </r>
  <r>
    <x v="1286"/>
    <x v="5"/>
    <x v="950"/>
    <s v="38-47"/>
    <n v="46"/>
    <d v="1977-04-20T00:00:00"/>
    <s v="Massachusetts"/>
    <s v="MA"/>
    <s v="Female"/>
    <s v="Married"/>
    <s v="Network Engineer"/>
    <s v="Active"/>
    <s v="Contract"/>
    <s v="Zone C"/>
    <s v="IT/IS"/>
    <s v="Wireline Construction"/>
    <s v="Asian"/>
    <s v="Fully Meets"/>
    <n v="5"/>
  </r>
  <r>
    <x v="1287"/>
    <x v="4"/>
    <x v="477"/>
    <s v="38-47"/>
    <n v="46"/>
    <d v="1976-02-21T00:00:00"/>
    <s v="Massachusetts"/>
    <s v="MA"/>
    <s v="Male"/>
    <s v="Single"/>
    <s v="Network Engineer"/>
    <s v="Active"/>
    <s v="Part-Time"/>
    <s v="Zone C"/>
    <s v="Production       "/>
    <s v="Field Operations"/>
    <s v="Asian"/>
    <s v="Fully Meets"/>
    <n v="4"/>
  </r>
  <r>
    <x v="1288"/>
    <x v="3"/>
    <x v="951"/>
    <s v="38-47"/>
    <n v="46"/>
    <d v="1975-02-26T00:00:00"/>
    <s v="Massachusetts"/>
    <s v="MA"/>
    <s v="Female"/>
    <s v="Married"/>
    <s v="IT Support"/>
    <s v="Active"/>
    <s v="Part-Time"/>
    <s v="Zone C"/>
    <s v="IT/IS"/>
    <s v="Wireline Construction"/>
    <s v="Black"/>
    <s v="Fully Meets"/>
    <n v="1"/>
  </r>
  <r>
    <x v="1289"/>
    <x v="2"/>
    <x v="797"/>
    <s v="38-47"/>
    <n v="46"/>
    <d v="1974-01-15T00:00:00"/>
    <s v="Massachusetts"/>
    <s v="MA"/>
    <s v="Male"/>
    <s v="Divorced"/>
    <s v="IT Manager - Support"/>
    <s v="Active"/>
    <s v="Full-Time"/>
    <s v="Zone C"/>
    <s v="IT/IS"/>
    <s v="Executive"/>
    <s v="Hispanic"/>
    <s v="Fully Meets"/>
    <n v="5"/>
  </r>
  <r>
    <x v="1290"/>
    <x v="0"/>
    <x v="952"/>
    <s v="38-47"/>
    <n v="46"/>
    <d v="1972-08-20T00:00:00"/>
    <s v="Connecticut"/>
    <s v="CT"/>
    <s v="Female"/>
    <s v="Married"/>
    <s v="IT Manager - Support"/>
    <s v="Active"/>
    <s v="Part-Time"/>
    <s v="Zone A"/>
    <s v="IT/IS"/>
    <s v="General - Con"/>
    <s v="Hispanic"/>
    <s v="Fully Meets"/>
    <n v="5"/>
  </r>
  <r>
    <x v="1291"/>
    <x v="2"/>
    <x v="953"/>
    <s v="38-47"/>
    <n v="46"/>
    <d v="1974-09-18T00:00:00"/>
    <s v="Texas"/>
    <s v="TX"/>
    <s v="Female"/>
    <s v="Married"/>
    <s v="Database Administrator"/>
    <s v="Active"/>
    <s v="Part-Time"/>
    <s v="Zone C"/>
    <s v="IT/IS"/>
    <s v="Field Operations"/>
    <s v="Hispanic"/>
    <s v="PIP"/>
    <n v="3"/>
  </r>
  <r>
    <x v="1292"/>
    <x v="0"/>
    <x v="954"/>
    <s v="38-47"/>
    <n v="46"/>
    <d v="1972-06-20T00:00:00"/>
    <s v="Massachusetts"/>
    <s v="MA"/>
    <s v="Male"/>
    <s v="Single"/>
    <s v="BI Developer"/>
    <s v="Active"/>
    <s v="Full-Time"/>
    <s v="Zone A"/>
    <s v="IT/IS"/>
    <s v="Field Operations"/>
    <s v="Other"/>
    <s v="Fully Meets"/>
    <n v="4"/>
  </r>
  <r>
    <x v="1293"/>
    <x v="3"/>
    <x v="907"/>
    <s v="38-47"/>
    <n v="46"/>
    <d v="1975-12-09T00:00:00"/>
    <s v="Massachusetts"/>
    <s v="MA"/>
    <s v="Male"/>
    <s v="Divorced"/>
    <s v="BI Developer"/>
    <s v="Active"/>
    <s v="Full-Time"/>
    <s v="Zone B"/>
    <s v="IT/IS"/>
    <s v="Field Operations"/>
    <s v="Other"/>
    <s v="Needs Improvement"/>
    <n v="1"/>
  </r>
  <r>
    <x v="1294"/>
    <x v="3"/>
    <x v="955"/>
    <s v="38-47"/>
    <n v="46"/>
    <d v="1975-03-17T00:00:00"/>
    <s v="Tennessee"/>
    <s v="TN"/>
    <s v="Male"/>
    <s v="Widowed"/>
    <s v="Area Sales Manager"/>
    <s v="Active"/>
    <s v="Part-Time"/>
    <s v="Zone C"/>
    <s v="Sales"/>
    <s v="Field Operations"/>
    <s v="White"/>
    <s v="Fully Meets"/>
    <n v="1"/>
  </r>
  <r>
    <x v="1295"/>
    <x v="0"/>
    <x v="956"/>
    <s v="38-47"/>
    <n v="46"/>
    <d v="1972-02-08T00:00:00"/>
    <s v="Tennessee"/>
    <s v="TN"/>
    <s v="Male"/>
    <s v="Widowed"/>
    <s v="Area Sales Manager"/>
    <s v="Active"/>
    <s v="Contract"/>
    <s v="Zone A"/>
    <s v="Sales"/>
    <s v="General - Con"/>
    <s v="Other"/>
    <s v="Fully Meets"/>
    <n v="1"/>
  </r>
  <r>
    <x v="1296"/>
    <x v="3"/>
    <x v="957"/>
    <s v="38-47"/>
    <n v="46"/>
    <d v="1975-12-19T00:00:00"/>
    <s v="Massachusetts"/>
    <s v="MA"/>
    <s v="Male"/>
    <s v="Widowed"/>
    <s v="Area Sales Manager"/>
    <s v="Active"/>
    <s v="Part-Time"/>
    <s v="Zone A"/>
    <s v="IT/IS"/>
    <s v="Fielders"/>
    <s v="Hispanic"/>
    <s v="Fully Meets"/>
    <n v="5"/>
  </r>
  <r>
    <x v="1297"/>
    <x v="2"/>
    <x v="958"/>
    <s v="38-47"/>
    <n v="46"/>
    <d v="1974-10-15T00:00:00"/>
    <s v="Colorado"/>
    <s v="CO"/>
    <s v="Male"/>
    <s v="Married"/>
    <s v="Area Sales Manager"/>
    <s v="Active"/>
    <s v="Full-Time"/>
    <s v="Zone B"/>
    <s v="Sales"/>
    <s v="Aerial"/>
    <s v="Black"/>
    <s v="Fully Meets"/>
    <n v="3"/>
  </r>
  <r>
    <x v="1298"/>
    <x v="3"/>
    <x v="603"/>
    <s v="38-47"/>
    <n v="46"/>
    <d v="1975-07-20T00:00:00"/>
    <s v="Arizona"/>
    <s v="AZ"/>
    <s v="Male"/>
    <s v="Married"/>
    <s v="Area Sales Manager"/>
    <s v="Active"/>
    <s v="Full-Time"/>
    <s v="Zone A"/>
    <s v="Sales"/>
    <s v="Aerial"/>
    <s v="Asian"/>
    <s v="Fully Meets"/>
    <n v="3"/>
  </r>
  <r>
    <x v="1299"/>
    <x v="1"/>
    <x v="959"/>
    <s v="38-47"/>
    <n v="46"/>
    <d v="1973-01-20T00:00:00"/>
    <s v="Massachusetts"/>
    <s v="MA"/>
    <s v="Male"/>
    <s v="Divorced"/>
    <s v="Accountant I"/>
    <s v="Active"/>
    <s v="Contract"/>
    <s v="Zone C"/>
    <s v="Admin Offices"/>
    <s v="Finance &amp; Accounting"/>
    <s v="White"/>
    <s v="Exceeds"/>
    <n v="2"/>
  </r>
  <r>
    <x v="1300"/>
    <x v="0"/>
    <x v="94"/>
    <s v="38-47"/>
    <n v="46"/>
    <d v="1972-07-04T00:00:00"/>
    <s v="Massachusetts"/>
    <s v="MA"/>
    <s v="Male"/>
    <s v="Divorced"/>
    <s v="Accountant I"/>
    <s v="Active"/>
    <s v="Full-Time"/>
    <s v="Zone C"/>
    <s v="Admin Offices"/>
    <s v="Engineers"/>
    <s v="Black"/>
    <s v="Fully Meets"/>
    <n v="4"/>
  </r>
  <r>
    <x v="1301"/>
    <x v="1"/>
    <x v="960"/>
    <s v="38-47"/>
    <n v="47"/>
    <d v="1972-04-25T00:00:00"/>
    <s v="Massachusetts"/>
    <s v="MA"/>
    <s v="Male"/>
    <s v="Divorced"/>
    <s v="Software Engineer"/>
    <s v="Terminated"/>
    <s v="Contract"/>
    <s v="Zone A"/>
    <s v="Software Engineering"/>
    <s v="Field Operations"/>
    <s v="White"/>
    <s v="Fully Meets"/>
    <n v="3"/>
  </r>
  <r>
    <x v="1302"/>
    <x v="5"/>
    <x v="961"/>
    <s v="38-47"/>
    <n v="47"/>
    <d v="1976-09-06T00:00:00"/>
    <s v="Massachusetts"/>
    <s v="MA"/>
    <s v="Female"/>
    <s v="Married"/>
    <s v="Production Technician II"/>
    <s v="Terminated"/>
    <s v="Part-Time"/>
    <s v="Zone A"/>
    <s v="Production       "/>
    <s v="Field Operations"/>
    <s v="Black"/>
    <s v="Fully Meets"/>
    <n v="4"/>
  </r>
  <r>
    <x v="1303"/>
    <x v="4"/>
    <x v="962"/>
    <s v="38-47"/>
    <n v="47"/>
    <d v="1975-06-10T00:00:00"/>
    <s v="Massachusetts"/>
    <s v="MA"/>
    <s v="Male"/>
    <s v="Widowed"/>
    <s v="Production Technician II"/>
    <s v="Active"/>
    <s v="Part-Time"/>
    <s v="Zone A"/>
    <s v="Production       "/>
    <s v="Wireline Construction"/>
    <s v="White"/>
    <s v="Fully Meets"/>
    <n v="1"/>
  </r>
  <r>
    <x v="1304"/>
    <x v="2"/>
    <x v="963"/>
    <s v="38-47"/>
    <n v="47"/>
    <d v="1973-06-03T00:00:00"/>
    <s v="Massachusetts"/>
    <s v="MA"/>
    <s v="Male"/>
    <s v="Divorced"/>
    <s v="Production Technician II"/>
    <s v="Active"/>
    <s v="Contract"/>
    <s v="Zone A"/>
    <s v="Production       "/>
    <s v="General - Sga"/>
    <s v="White"/>
    <s v="Fully Meets"/>
    <n v="3"/>
  </r>
  <r>
    <x v="1305"/>
    <x v="5"/>
    <x v="367"/>
    <s v="38-47"/>
    <n v="47"/>
    <d v="1976-01-21T00:00:00"/>
    <s v="Massachusetts"/>
    <s v="MA"/>
    <s v="Female"/>
    <s v="Divorced"/>
    <s v="Production Technician II"/>
    <s v="Active"/>
    <s v="Part-Time"/>
    <s v="Zone A"/>
    <s v="Production       "/>
    <s v="General - Sga"/>
    <s v="Hispanic"/>
    <s v="Exceeds"/>
    <n v="1"/>
  </r>
  <r>
    <x v="1306"/>
    <x v="1"/>
    <x v="964"/>
    <s v="38-47"/>
    <n v="47"/>
    <d v="1972-05-05T00:00:00"/>
    <s v="Massachusetts"/>
    <s v="MA"/>
    <s v="Female"/>
    <s v="Divorced"/>
    <s v="Production Technician II"/>
    <s v="Active"/>
    <s v="Full-Time"/>
    <s v="Zone C"/>
    <s v="Production       "/>
    <s v="Wireline Construction"/>
    <s v="White"/>
    <s v="Fully Meets"/>
    <n v="5"/>
  </r>
  <r>
    <x v="1307"/>
    <x v="4"/>
    <x v="965"/>
    <s v="38-47"/>
    <n v="47"/>
    <d v="1975-11-13T00:00:00"/>
    <s v="Massachusetts"/>
    <s v="MA"/>
    <s v="Male"/>
    <s v="Divorced"/>
    <s v="Production Technician II"/>
    <s v="Terminated"/>
    <s v="Full-Time"/>
    <s v="Zone C"/>
    <s v="Production       "/>
    <s v="Field Operations"/>
    <s v="White"/>
    <s v="Exceeds"/>
    <n v="5"/>
  </r>
  <r>
    <x v="1308"/>
    <x v="3"/>
    <x v="966"/>
    <s v="38-47"/>
    <n v="47"/>
    <d v="1974-09-01T00:00:00"/>
    <s v="Massachusetts"/>
    <s v="MA"/>
    <s v="Male"/>
    <s v="Married"/>
    <s v="Production Technician I"/>
    <s v="Active"/>
    <s v="Contract"/>
    <s v="Zone C"/>
    <s v="Production       "/>
    <s v="Field Operations"/>
    <s v="Other"/>
    <s v="Fully Meets"/>
    <n v="1"/>
  </r>
  <r>
    <x v="1309"/>
    <x v="2"/>
    <x v="435"/>
    <s v="38-47"/>
    <n v="47"/>
    <d v="1973-08-31T00:00:00"/>
    <s v="Massachusetts"/>
    <s v="MA"/>
    <s v="Male"/>
    <s v="Married"/>
    <s v="Production Technician I"/>
    <s v="Active"/>
    <s v="Contract"/>
    <s v="Zone B"/>
    <s v="Production       "/>
    <s v="Project Management - Con"/>
    <s v="White"/>
    <s v="Fully Meets"/>
    <n v="5"/>
  </r>
  <r>
    <x v="1310"/>
    <x v="1"/>
    <x v="379"/>
    <s v="38-47"/>
    <n v="47"/>
    <d v="1972-03-08T00:00:00"/>
    <s v="Massachusetts"/>
    <s v="MA"/>
    <s v="Male"/>
    <s v="Widowed"/>
    <s v="Production Technician I"/>
    <s v="Active"/>
    <s v="Full-Time"/>
    <s v="Zone C"/>
    <s v="Production       "/>
    <s v="Shop (Fleet)"/>
    <s v="Black"/>
    <s v="Fully Meets"/>
    <n v="2"/>
  </r>
  <r>
    <x v="1311"/>
    <x v="3"/>
    <x v="967"/>
    <s v="38-47"/>
    <n v="47"/>
    <d v="1974-05-20T00:00:00"/>
    <s v="Massachusetts"/>
    <s v="MA"/>
    <s v="Female"/>
    <s v="Married"/>
    <s v="Production Technician I"/>
    <s v="Active"/>
    <s v="Part-Time"/>
    <s v="Zone A"/>
    <s v="Production       "/>
    <s v="General - Con"/>
    <s v="Asian"/>
    <s v="Exceeds"/>
    <n v="4"/>
  </r>
  <r>
    <x v="1312"/>
    <x v="3"/>
    <x v="968"/>
    <s v="38-47"/>
    <n v="47"/>
    <d v="1974-09-08T00:00:00"/>
    <s v="Massachusetts"/>
    <s v="MA"/>
    <s v="Male"/>
    <s v="Married"/>
    <s v="Production Technician I"/>
    <s v="Terminated"/>
    <s v="Contract"/>
    <s v="Zone C"/>
    <s v="Production       "/>
    <s v="Shop (Fleet)"/>
    <s v="Hispanic"/>
    <s v="Fully Meets"/>
    <n v="2"/>
  </r>
  <r>
    <x v="1313"/>
    <x v="3"/>
    <x v="969"/>
    <s v="38-47"/>
    <n v="47"/>
    <d v="1974-03-12T00:00:00"/>
    <s v="Massachusetts"/>
    <s v="MA"/>
    <s v="Female"/>
    <s v="Widowed"/>
    <s v="Production Technician I"/>
    <s v="Active"/>
    <s v="Contract"/>
    <s v="Zone A"/>
    <s v="Production       "/>
    <s v="Field Operations"/>
    <s v="Black"/>
    <s v="Fully Meets"/>
    <n v="2"/>
  </r>
  <r>
    <x v="1314"/>
    <x v="4"/>
    <x v="970"/>
    <s v="38-47"/>
    <n v="47"/>
    <d v="1975-07-25T00:00:00"/>
    <s v="Massachusetts"/>
    <s v="MA"/>
    <s v="Female"/>
    <s v="Married"/>
    <s v="Production Technician I"/>
    <s v="Active"/>
    <s v="Part-Time"/>
    <s v="Zone B"/>
    <s v="Production       "/>
    <s v="Executive"/>
    <s v="Asian"/>
    <s v="Fully Meets"/>
    <n v="5"/>
  </r>
  <r>
    <x v="1315"/>
    <x v="0"/>
    <x v="698"/>
    <s v="38-47"/>
    <n v="47"/>
    <d v="1971-07-13T00:00:00"/>
    <s v="Massachusetts"/>
    <s v="MA"/>
    <s v="Male"/>
    <s v="Widowed"/>
    <s v="Production Technician I"/>
    <s v="Active"/>
    <s v="Full-Time"/>
    <s v="Zone C"/>
    <s v="Production       "/>
    <s v="Field Operations"/>
    <s v="Other"/>
    <s v="Fully Meets"/>
    <n v="2"/>
  </r>
  <r>
    <x v="1316"/>
    <x v="1"/>
    <x v="971"/>
    <s v="38-47"/>
    <n v="47"/>
    <d v="1972-12-22T00:00:00"/>
    <s v="Massachusetts"/>
    <s v="MA"/>
    <s v="Female"/>
    <s v="Widowed"/>
    <s v="Production Technician I"/>
    <s v="Active"/>
    <s v="Part-Time"/>
    <s v="Zone B"/>
    <s v="Production       "/>
    <s v="General - Con"/>
    <s v="Asian"/>
    <s v="Fully Meets"/>
    <n v="1"/>
  </r>
  <r>
    <x v="1317"/>
    <x v="2"/>
    <x v="361"/>
    <s v="38-47"/>
    <n v="47"/>
    <d v="1973-09-04T00:00:00"/>
    <s v="Massachusetts"/>
    <s v="MA"/>
    <s v="Male"/>
    <s v="Divorced"/>
    <s v="Production Technician I"/>
    <s v="Terminated"/>
    <s v="Contract"/>
    <s v="Zone A"/>
    <s v="Production       "/>
    <s v="Field Operations"/>
    <s v="Hispanic"/>
    <s v="Fully Meets"/>
    <n v="1"/>
  </r>
  <r>
    <x v="1318"/>
    <x v="3"/>
    <x v="904"/>
    <s v="38-47"/>
    <n v="47"/>
    <d v="1974-01-14T00:00:00"/>
    <s v="Massachusetts"/>
    <s v="MA"/>
    <s v="Male"/>
    <s v="Married"/>
    <s v="Production Technician I"/>
    <s v="Active"/>
    <s v="Full-Time"/>
    <s v="Zone C"/>
    <s v="Production       "/>
    <s v="Engineers"/>
    <s v="Other"/>
    <s v="Fully Meets"/>
    <n v="2"/>
  </r>
  <r>
    <x v="1319"/>
    <x v="2"/>
    <x v="74"/>
    <s v="38-47"/>
    <n v="47"/>
    <d v="1973-04-15T00:00:00"/>
    <s v="Massachusetts"/>
    <s v="MA"/>
    <s v="Male"/>
    <s v="Married"/>
    <s v="Production Technician I"/>
    <s v="Active"/>
    <s v="Full-Time"/>
    <s v="Zone A"/>
    <s v="Production       "/>
    <s v="Wireline Construction"/>
    <s v="Other"/>
    <s v="Fully Meets"/>
    <n v="4"/>
  </r>
  <r>
    <x v="1320"/>
    <x v="4"/>
    <x v="771"/>
    <s v="38-47"/>
    <n v="47"/>
    <d v="1975-09-08T00:00:00"/>
    <s v="Massachusetts"/>
    <s v="MA"/>
    <s v="Male"/>
    <s v="Married"/>
    <s v="Production Technician I"/>
    <s v="Active"/>
    <s v="Part-Time"/>
    <s v="Zone A"/>
    <s v="Production       "/>
    <s v="Field Operations"/>
    <s v="Other"/>
    <s v="Exceeds"/>
    <n v="3"/>
  </r>
  <r>
    <x v="1321"/>
    <x v="5"/>
    <x v="972"/>
    <s v="38-47"/>
    <n v="47"/>
    <d v="1976-02-20T00:00:00"/>
    <s v="Massachusetts"/>
    <s v="MA"/>
    <s v="Female"/>
    <s v="Divorced"/>
    <s v="Production Technician I"/>
    <s v="Active"/>
    <s v="Full-Time"/>
    <s v="Zone B"/>
    <s v="Production       "/>
    <s v="Finance &amp; Accounting"/>
    <s v="Asian"/>
    <s v="Fully Meets"/>
    <n v="5"/>
  </r>
  <r>
    <x v="1322"/>
    <x v="0"/>
    <x v="351"/>
    <s v="38-47"/>
    <n v="47"/>
    <d v="1971-03-05T00:00:00"/>
    <s v="Massachusetts"/>
    <s v="MA"/>
    <s v="Male"/>
    <s v="Single"/>
    <s v="Production Technician I"/>
    <s v="Active"/>
    <s v="Part-Time"/>
    <s v="Zone A"/>
    <s v="Production       "/>
    <s v="General - Sga"/>
    <s v="Hispanic"/>
    <s v="Fully Meets"/>
    <n v="3"/>
  </r>
  <r>
    <x v="1323"/>
    <x v="5"/>
    <x v="973"/>
    <s v="38-47"/>
    <n v="47"/>
    <d v="1976-06-10T00:00:00"/>
    <s v="Massachusetts"/>
    <s v="MA"/>
    <s v="Female"/>
    <s v="Divorced"/>
    <s v="Production Technician I"/>
    <s v="Active"/>
    <s v="Full-Time"/>
    <s v="Zone B"/>
    <s v="Production       "/>
    <s v="General - Eng"/>
    <s v="White"/>
    <s v="Fully Meets"/>
    <n v="4"/>
  </r>
  <r>
    <x v="1324"/>
    <x v="4"/>
    <x v="75"/>
    <s v="38-47"/>
    <n v="47"/>
    <d v="1975-04-27T00:00:00"/>
    <s v="Massachusetts"/>
    <s v="MA"/>
    <s v="Female"/>
    <s v="Married"/>
    <s v="Production Technician I"/>
    <s v="Active"/>
    <s v="Contract"/>
    <s v="Zone A"/>
    <s v="Production       "/>
    <s v="General - Con"/>
    <s v="Other"/>
    <s v="Fully Meets"/>
    <n v="2"/>
  </r>
  <r>
    <x v="1325"/>
    <x v="1"/>
    <x v="383"/>
    <s v="38-47"/>
    <n v="47"/>
    <d v="1972-02-21T00:00:00"/>
    <s v="Massachusetts"/>
    <s v="MA"/>
    <s v="Female"/>
    <s v="Divorced"/>
    <s v="Production Technician I"/>
    <s v="Active"/>
    <s v="Contract"/>
    <s v="Zone C"/>
    <s v="Production       "/>
    <s v="General - Con"/>
    <s v="White"/>
    <s v="Needs Improvement"/>
    <n v="5"/>
  </r>
  <r>
    <x v="1326"/>
    <x v="1"/>
    <x v="974"/>
    <s v="38-47"/>
    <n v="47"/>
    <d v="1972-03-26T00:00:00"/>
    <s v="Massachusetts"/>
    <s v="MA"/>
    <s v="Female"/>
    <s v="Single"/>
    <s v="Production Technician I"/>
    <s v="Active"/>
    <s v="Part-Time"/>
    <s v="Zone C"/>
    <s v="Production       "/>
    <s v="Wireless"/>
    <s v="Other"/>
    <s v="Fully Meets"/>
    <n v="4"/>
  </r>
  <r>
    <x v="1327"/>
    <x v="2"/>
    <x v="87"/>
    <s v="38-47"/>
    <n v="47"/>
    <d v="1973-12-09T00:00:00"/>
    <s v="Massachusetts"/>
    <s v="MA"/>
    <s v="Female"/>
    <s v="Divorced"/>
    <s v="Production Technician I"/>
    <s v="Active"/>
    <s v="Full-Time"/>
    <s v="Zone C"/>
    <s v="Production       "/>
    <s v="Splicing"/>
    <s v="Black"/>
    <s v="Fully Meets"/>
    <n v="4"/>
  </r>
  <r>
    <x v="1328"/>
    <x v="2"/>
    <x v="674"/>
    <s v="38-47"/>
    <n v="47"/>
    <d v="1973-12-10T00:00:00"/>
    <s v="Massachusetts"/>
    <s v="MA"/>
    <s v="Female"/>
    <s v="Widowed"/>
    <s v="Production Technician I"/>
    <s v="Terminated"/>
    <s v="Full-Time"/>
    <s v="Zone C"/>
    <s v="Production       "/>
    <s v="Field Operations"/>
    <s v="Other"/>
    <s v="Fully Meets"/>
    <n v="1"/>
  </r>
  <r>
    <x v="1329"/>
    <x v="4"/>
    <x v="975"/>
    <s v="38-47"/>
    <n v="47"/>
    <d v="1975-07-15T00:00:00"/>
    <s v="Massachusetts"/>
    <s v="MA"/>
    <s v="Female"/>
    <s v="Single"/>
    <s v="Production Technician I"/>
    <s v="Active"/>
    <s v="Full-Time"/>
    <s v="Zone A"/>
    <s v="Production       "/>
    <s v="Engineers"/>
    <s v="White"/>
    <s v="Fully Meets"/>
    <n v="1"/>
  </r>
  <r>
    <x v="1330"/>
    <x v="2"/>
    <x v="408"/>
    <s v="38-47"/>
    <n v="47"/>
    <d v="1973-04-08T00:00:00"/>
    <s v="Massachusetts"/>
    <s v="MA"/>
    <s v="Male"/>
    <s v="Widowed"/>
    <s v="Production Manager"/>
    <s v="Active"/>
    <s v="Full-Time"/>
    <s v="Zone A"/>
    <s v="Production       "/>
    <s v="Field Operations"/>
    <s v="Asian"/>
    <s v="Fully Meets"/>
    <n v="3"/>
  </r>
  <r>
    <x v="1331"/>
    <x v="0"/>
    <x v="819"/>
    <s v="38-47"/>
    <n v="47"/>
    <d v="1971-08-06T00:00:00"/>
    <s v="Massachusetts"/>
    <s v="MA"/>
    <s v="Female"/>
    <s v="Married"/>
    <s v="Production Manager"/>
    <s v="Active"/>
    <s v="Part-Time"/>
    <s v="Zone C"/>
    <s v="Production       "/>
    <s v="Project Management - Con"/>
    <s v="Other"/>
    <s v="Fully Meets"/>
    <n v="3"/>
  </r>
  <r>
    <x v="1332"/>
    <x v="4"/>
    <x v="976"/>
    <s v="38-47"/>
    <n v="47"/>
    <d v="1975-11-06T00:00:00"/>
    <s v="Massachusetts"/>
    <s v="MA"/>
    <s v="Female"/>
    <s v="Single"/>
    <s v="Production Manager"/>
    <s v="Active"/>
    <s v="Contract"/>
    <s v="Zone A"/>
    <s v="Production       "/>
    <s v="Engineers"/>
    <s v="Black"/>
    <s v="Fully Meets"/>
    <n v="1"/>
  </r>
  <r>
    <x v="1333"/>
    <x v="1"/>
    <x v="108"/>
    <s v="38-47"/>
    <n v="47"/>
    <d v="1972-03-19T00:00:00"/>
    <s v="Massachusetts"/>
    <s v="MA"/>
    <s v="Female"/>
    <s v="Single"/>
    <s v="Principal Data Architect"/>
    <s v="Active"/>
    <s v="Contract"/>
    <s v="Zone A"/>
    <s v="IT/IS"/>
    <s v="Aerial"/>
    <s v="Other"/>
    <s v="PIP"/>
    <n v="2"/>
  </r>
  <r>
    <x v="1334"/>
    <x v="0"/>
    <x v="977"/>
    <s v="38-47"/>
    <n v="47"/>
    <d v="1971-03-25T00:00:00"/>
    <s v="Massachusetts"/>
    <s v="MA"/>
    <s v="Male"/>
    <s v="Widowed"/>
    <s v="Network Engineer"/>
    <s v="Active"/>
    <s v="Part-Time"/>
    <s v="Zone B"/>
    <s v="Production       "/>
    <s v="Engineers"/>
    <s v="Black"/>
    <s v="Fully Meets"/>
    <n v="4"/>
  </r>
  <r>
    <x v="1335"/>
    <x v="2"/>
    <x v="767"/>
    <s v="38-47"/>
    <n v="47"/>
    <d v="1973-04-24T00:00:00"/>
    <s v="Massachusetts"/>
    <s v="MA"/>
    <s v="Male"/>
    <s v="Divorced"/>
    <s v="Network Engineer"/>
    <s v="Active"/>
    <s v="Part-Time"/>
    <s v="Zone A"/>
    <s v="Executive Office"/>
    <s v="Wireline Construction"/>
    <s v="Black"/>
    <s v="Fully Meets"/>
    <n v="4"/>
  </r>
  <r>
    <x v="1336"/>
    <x v="4"/>
    <x v="978"/>
    <s v="38-47"/>
    <n v="47"/>
    <d v="1975-04-22T00:00:00"/>
    <s v="Connecticut"/>
    <s v="CT"/>
    <s v="Female"/>
    <s v="Single"/>
    <s v="IT Manager - Support"/>
    <s v="Active"/>
    <s v="Full-Time"/>
    <s v="Zone B"/>
    <s v="IT/IS"/>
    <s v="Underground"/>
    <s v="Other"/>
    <s v="Fully Meets"/>
    <n v="5"/>
  </r>
  <r>
    <x v="1337"/>
    <x v="2"/>
    <x v="476"/>
    <s v="38-47"/>
    <n v="47"/>
    <d v="1973-11-12T00:00:00"/>
    <s v="Massachusetts"/>
    <s v="MA"/>
    <s v="Male"/>
    <s v="Widowed"/>
    <s v="IT Manager - Infra"/>
    <s v="Active"/>
    <s v="Contract"/>
    <s v="Zone B"/>
    <s v="IT/IS"/>
    <s v="Field Operations"/>
    <s v="White"/>
    <s v="Fully Meets"/>
    <n v="3"/>
  </r>
  <r>
    <x v="1338"/>
    <x v="2"/>
    <x v="584"/>
    <s v="38-47"/>
    <n v="47"/>
    <d v="1973-11-22T00:00:00"/>
    <s v="Massachusetts"/>
    <s v="MA"/>
    <s v="Male"/>
    <s v="Divorced"/>
    <s v="IT Manager - DB"/>
    <s v="Active"/>
    <s v="Contract"/>
    <s v="Zone B"/>
    <s v="IT/IS"/>
    <s v="Field Operations"/>
    <s v="White"/>
    <s v="Fully Meets"/>
    <n v="4"/>
  </r>
  <r>
    <x v="1339"/>
    <x v="5"/>
    <x v="979"/>
    <s v="38-47"/>
    <n v="47"/>
    <d v="1976-02-16T00:00:00"/>
    <s v="Massachusetts"/>
    <s v="MA"/>
    <s v="Male"/>
    <s v="Single"/>
    <s v="IT Director"/>
    <s v="Active"/>
    <s v="Full-Time"/>
    <s v="Zone A"/>
    <s v="IT/IS"/>
    <s v="Engineers"/>
    <s v="Black"/>
    <s v="Fully Meets"/>
    <n v="5"/>
  </r>
  <r>
    <x v="1340"/>
    <x v="3"/>
    <x v="980"/>
    <s v="38-47"/>
    <n v="47"/>
    <d v="1974-10-27T00:00:00"/>
    <s v="New York"/>
    <s v="NY"/>
    <s v="Male"/>
    <s v="Divorced"/>
    <s v="Area Sales Manager"/>
    <s v="Active"/>
    <s v="Full-Time"/>
    <s v="Zone A"/>
    <s v="Sales"/>
    <s v="Wireline Construction"/>
    <s v="Asian"/>
    <s v="Fully Meets"/>
    <n v="3"/>
  </r>
  <r>
    <x v="1341"/>
    <x v="2"/>
    <x v="561"/>
    <s v="38-47"/>
    <n v="47"/>
    <d v="1973-03-21T00:00:00"/>
    <s v="New York"/>
    <s v="NY"/>
    <s v="Female"/>
    <s v="Widowed"/>
    <s v="Area Sales Manager"/>
    <s v="Active"/>
    <s v="Part-Time"/>
    <s v="Zone A"/>
    <s v="Sales"/>
    <s v="Project Management - Con"/>
    <s v="White"/>
    <s v="Fully Meets"/>
    <n v="4"/>
  </r>
  <r>
    <x v="1342"/>
    <x v="3"/>
    <x v="981"/>
    <s v="38-47"/>
    <n v="47"/>
    <d v="1974-07-22T00:00:00"/>
    <s v="Massachusetts"/>
    <s v="MA"/>
    <s v="Male"/>
    <s v="Divorced"/>
    <s v="Area Sales Manager"/>
    <s v="Active"/>
    <s v="Contract"/>
    <s v="Zone C"/>
    <s v="IT/IS"/>
    <s v="Finance &amp; Accounting"/>
    <s v="Black"/>
    <s v="Fully Meets"/>
    <n v="3"/>
  </r>
  <r>
    <x v="1343"/>
    <x v="0"/>
    <x v="982"/>
    <s v="38-47"/>
    <n v="47"/>
    <d v="1971-01-16T00:00:00"/>
    <s v="Kentucky"/>
    <s v="KY"/>
    <s v="Female"/>
    <s v="Widowed"/>
    <s v="Area Sales Manager"/>
    <s v="Active"/>
    <s v="Part-Time"/>
    <s v="Zone C"/>
    <s v="Sales"/>
    <s v="Field Operations"/>
    <s v="Asian"/>
    <s v="Fully Meets"/>
    <n v="3"/>
  </r>
  <r>
    <x v="1344"/>
    <x v="1"/>
    <x v="269"/>
    <s v="38-47"/>
    <n v="47"/>
    <d v="1972-11-29T00:00:00"/>
    <s v="Alabama"/>
    <s v="AL"/>
    <s v="Male"/>
    <s v="Widowed"/>
    <s v="Area Sales Manager"/>
    <s v="Active"/>
    <s v="Part-Time"/>
    <s v="Zone C"/>
    <s v="Sales"/>
    <s v="General - Sga"/>
    <s v="Black"/>
    <s v="Fully Meets"/>
    <n v="1"/>
  </r>
  <r>
    <x v="1345"/>
    <x v="1"/>
    <x v="110"/>
    <s v="38-47"/>
    <n v="47"/>
    <d v="1972-08-01T00:00:00"/>
    <s v="Alabama"/>
    <s v="AL"/>
    <s v="Male"/>
    <s v="Single"/>
    <s v="Area Sales Manager"/>
    <s v="Active"/>
    <s v="Part-Time"/>
    <s v="Zone C"/>
    <s v="Sales"/>
    <s v="Engineers"/>
    <s v="Asian"/>
    <s v="Fully Meets"/>
    <n v="3"/>
  </r>
  <r>
    <x v="1346"/>
    <x v="4"/>
    <x v="983"/>
    <s v="38-47"/>
    <n v="47"/>
    <d v="1975-10-20T00:00:00"/>
    <s v="Washington"/>
    <s v="WA"/>
    <s v="Female"/>
    <s v="Divorced"/>
    <s v="Administrative Assistant"/>
    <s v="Active"/>
    <s v="Contract"/>
    <s v="Zone C"/>
    <s v="Sales"/>
    <s v="Field Operations"/>
    <s v="Hispanic"/>
    <s v="Fully Meets"/>
    <n v="4"/>
  </r>
  <r>
    <x v="1347"/>
    <x v="1"/>
    <x v="984"/>
    <s v="38-47"/>
    <n v="47"/>
    <d v="1972-12-18T00:00:00"/>
    <s v="Washington"/>
    <s v="WA"/>
    <s v="Female"/>
    <s v="Married"/>
    <s v="Administrative Assistant"/>
    <s v="Active"/>
    <s v="Full-Time"/>
    <s v="Zone A"/>
    <s v="Sales"/>
    <s v="Engineers"/>
    <s v="Black"/>
    <s v="Fully Meets"/>
    <n v="1"/>
  </r>
  <r>
    <x v="1348"/>
    <x v="3"/>
    <x v="697"/>
    <s v="38-47"/>
    <n v="47"/>
    <d v="1974-03-24T00:00:00"/>
    <s v="Massachusetts"/>
    <s v="MA"/>
    <s v="Female"/>
    <s v="Married"/>
    <s v="Administrative Assistant"/>
    <s v="Active"/>
    <s v="Contract"/>
    <s v="Zone C"/>
    <s v="Sales"/>
    <s v="Aerial"/>
    <s v="Black"/>
    <s v="Exceeds"/>
    <n v="4"/>
  </r>
  <r>
    <x v="1349"/>
    <x v="4"/>
    <x v="985"/>
    <s v="38-47"/>
    <n v="47"/>
    <d v="1975-03-06T00:00:00"/>
    <s v="Massachusetts"/>
    <s v="MA"/>
    <s v="Female"/>
    <s v="Married"/>
    <s v="Accountant I"/>
    <s v="Active"/>
    <s v="Full-Time"/>
    <s v="Zone C"/>
    <s v="Admin Offices"/>
    <s v="Fielders"/>
    <s v="White"/>
    <s v="PIP"/>
    <n v="4"/>
  </r>
  <r>
    <x v="1350"/>
    <x v="4"/>
    <x v="986"/>
    <s v="48-57"/>
    <n v="48"/>
    <d v="1974-08-05T00:00:00"/>
    <s v="Massachusetts"/>
    <s v="MA"/>
    <s v="Female"/>
    <s v="Married"/>
    <s v="Software Engineer"/>
    <s v="Active"/>
    <s v="Part-Time"/>
    <s v="Zone A"/>
    <s v="Software Engineering"/>
    <s v="Field Operations"/>
    <s v="Other"/>
    <s v="Fully Meets"/>
    <n v="5"/>
  </r>
  <r>
    <x v="1351"/>
    <x v="1"/>
    <x v="84"/>
    <s v="48-57"/>
    <n v="48"/>
    <d v="1971-05-24T00:00:00"/>
    <s v="Massachusetts"/>
    <s v="MA"/>
    <s v="Male"/>
    <s v="Divorced"/>
    <s v="Senior BI Developer"/>
    <s v="Active"/>
    <s v="Part-Time"/>
    <s v="Zone A"/>
    <s v="Admin Offices"/>
    <s v="Field Operations"/>
    <s v="Black"/>
    <s v="Fully Meets"/>
    <n v="2"/>
  </r>
  <r>
    <x v="1352"/>
    <x v="2"/>
    <x v="987"/>
    <s v="48-57"/>
    <n v="48"/>
    <d v="1972-06-30T00:00:00"/>
    <s v="Massachusetts"/>
    <s v="MA"/>
    <s v="Male"/>
    <s v="Married"/>
    <s v="Production Technician II"/>
    <s v="Terminated"/>
    <s v="Full-Time"/>
    <s v="Zone C"/>
    <s v="Production       "/>
    <s v="Field Operations"/>
    <s v="Asian"/>
    <s v="Fully Meets"/>
    <n v="5"/>
  </r>
  <r>
    <x v="1353"/>
    <x v="2"/>
    <x v="988"/>
    <s v="48-57"/>
    <n v="48"/>
    <d v="1972-02-29T00:00:00"/>
    <s v="Massachusetts"/>
    <s v="MA"/>
    <s v="Female"/>
    <s v="Single"/>
    <s v="Production Technician II"/>
    <s v="Active"/>
    <s v="Contract"/>
    <s v="Zone C"/>
    <s v="Production       "/>
    <s v="Field Operations"/>
    <s v="Other"/>
    <s v="Fully Meets"/>
    <n v="4"/>
  </r>
  <r>
    <x v="1354"/>
    <x v="1"/>
    <x v="989"/>
    <s v="48-57"/>
    <n v="48"/>
    <d v="1971-04-17T00:00:00"/>
    <s v="Massachusetts"/>
    <s v="MA"/>
    <s v="Female"/>
    <s v="Single"/>
    <s v="Production Technician II"/>
    <s v="Active"/>
    <s v="Full-Time"/>
    <s v="Zone B"/>
    <s v="Production       "/>
    <s v="Aerial"/>
    <s v="Black"/>
    <s v="Fully Meets"/>
    <n v="5"/>
  </r>
  <r>
    <x v="1355"/>
    <x v="2"/>
    <x v="30"/>
    <s v="48-57"/>
    <n v="48"/>
    <d v="1972-07-21T00:00:00"/>
    <s v="Massachusetts"/>
    <s v="MA"/>
    <s v="Female"/>
    <s v="Divorced"/>
    <s v="Production Technician II"/>
    <s v="Active"/>
    <s v="Full-Time"/>
    <s v="Zone A"/>
    <s v="Production       "/>
    <s v="Field Operations"/>
    <s v="Hispanic"/>
    <s v="Fully Meets"/>
    <n v="2"/>
  </r>
  <r>
    <x v="1356"/>
    <x v="1"/>
    <x v="182"/>
    <s v="48-57"/>
    <n v="48"/>
    <d v="1971-03-04T00:00:00"/>
    <s v="Massachusetts"/>
    <s v="MA"/>
    <s v="Female"/>
    <s v="Widowed"/>
    <s v="Production Technician II"/>
    <s v="Active"/>
    <s v="Full-Time"/>
    <s v="Zone C"/>
    <s v="Production       "/>
    <s v="General - Con"/>
    <s v="Other"/>
    <s v="Fully Meets"/>
    <n v="3"/>
  </r>
  <r>
    <x v="1357"/>
    <x v="1"/>
    <x v="362"/>
    <s v="48-57"/>
    <n v="48"/>
    <d v="1971-01-14T00:00:00"/>
    <s v="Massachusetts"/>
    <s v="MA"/>
    <s v="Male"/>
    <s v="Divorced"/>
    <s v="Production Technician II"/>
    <s v="Active"/>
    <s v="Part-Time"/>
    <s v="Zone B"/>
    <s v="Production       "/>
    <s v="Field Operations"/>
    <s v="Hispanic"/>
    <s v="Needs Improvement"/>
    <n v="4"/>
  </r>
  <r>
    <x v="1358"/>
    <x v="2"/>
    <x v="990"/>
    <s v="48-57"/>
    <n v="48"/>
    <d v="1972-05-16T00:00:00"/>
    <s v="Massachusetts"/>
    <s v="MA"/>
    <s v="Female"/>
    <s v="Divorced"/>
    <s v="Production Technician I"/>
    <s v="Terminated"/>
    <s v="Part-Time"/>
    <s v="Zone A"/>
    <s v="Production       "/>
    <s v="Engineers"/>
    <s v="Hispanic"/>
    <s v="Fully Meets"/>
    <n v="5"/>
  </r>
  <r>
    <x v="1359"/>
    <x v="4"/>
    <x v="283"/>
    <s v="48-57"/>
    <n v="48"/>
    <d v="1974-10-14T00:00:00"/>
    <s v="Massachusetts"/>
    <s v="MA"/>
    <s v="Male"/>
    <s v="Widowed"/>
    <s v="Production Technician I"/>
    <s v="Terminated"/>
    <s v="Full-Time"/>
    <s v="Zone A"/>
    <s v="Production       "/>
    <s v="Splicing"/>
    <s v="Hispanic"/>
    <s v="Fully Meets"/>
    <n v="5"/>
  </r>
  <r>
    <x v="1360"/>
    <x v="0"/>
    <x v="345"/>
    <s v="48-57"/>
    <n v="48"/>
    <d v="1970-05-20T00:00:00"/>
    <s v="Massachusetts"/>
    <s v="MA"/>
    <s v="Male"/>
    <s v="Divorced"/>
    <s v="Production Technician I"/>
    <s v="Active"/>
    <s v="Part-Time"/>
    <s v="Zone C"/>
    <s v="Production       "/>
    <s v="Field Operations"/>
    <s v="Other"/>
    <s v="Exceeds"/>
    <n v="5"/>
  </r>
  <r>
    <x v="1361"/>
    <x v="0"/>
    <x v="991"/>
    <s v="48-57"/>
    <n v="48"/>
    <d v="1970-03-16T00:00:00"/>
    <s v="Massachusetts"/>
    <s v="MA"/>
    <s v="Male"/>
    <s v="Divorced"/>
    <s v="Production Technician I"/>
    <s v="Active"/>
    <s v="Contract"/>
    <s v="Zone B"/>
    <s v="Production       "/>
    <s v="Field Operations"/>
    <s v="Asian"/>
    <s v="Fully Meets"/>
    <n v="1"/>
  </r>
  <r>
    <x v="1362"/>
    <x v="2"/>
    <x v="526"/>
    <s v="48-57"/>
    <n v="48"/>
    <d v="1972-01-18T00:00:00"/>
    <s v="Massachusetts"/>
    <s v="MA"/>
    <s v="Male"/>
    <s v="Married"/>
    <s v="Production Technician I"/>
    <s v="Active"/>
    <s v="Full-Time"/>
    <s v="Zone A"/>
    <s v="Production       "/>
    <s v="General - Con"/>
    <s v="Hispanic"/>
    <s v="Fully Meets"/>
    <n v="4"/>
  </r>
  <r>
    <x v="1363"/>
    <x v="2"/>
    <x v="568"/>
    <s v="48-57"/>
    <n v="48"/>
    <d v="1972-12-05T00:00:00"/>
    <s v="Massachusetts"/>
    <s v="MA"/>
    <s v="Female"/>
    <s v="Single"/>
    <s v="Production Technician I"/>
    <s v="Active"/>
    <s v="Contract"/>
    <s v="Zone A"/>
    <s v="Production       "/>
    <s v="Yard (Material Handling)"/>
    <s v="Black"/>
    <s v="Needs Improvement"/>
    <n v="1"/>
  </r>
  <r>
    <x v="1364"/>
    <x v="2"/>
    <x v="992"/>
    <s v="48-57"/>
    <n v="48"/>
    <d v="1972-12-02T00:00:00"/>
    <s v="Massachusetts"/>
    <s v="MA"/>
    <s v="Male"/>
    <s v="Widowed"/>
    <s v="Production Technician I"/>
    <s v="Active"/>
    <s v="Full-Time"/>
    <s v="Zone C"/>
    <s v="Production       "/>
    <s v="Splicing"/>
    <s v="Hispanic"/>
    <s v="Exceeds"/>
    <n v="3"/>
  </r>
  <r>
    <x v="1365"/>
    <x v="3"/>
    <x v="745"/>
    <s v="48-57"/>
    <n v="48"/>
    <d v="1973-10-23T00:00:00"/>
    <s v="Massachusetts"/>
    <s v="MA"/>
    <s v="Male"/>
    <s v="Married"/>
    <s v="Production Technician I"/>
    <s v="Active"/>
    <s v="Contract"/>
    <s v="Zone C"/>
    <s v="Production       "/>
    <s v="Executive"/>
    <s v="Other"/>
    <s v="Fully Meets"/>
    <n v="5"/>
  </r>
  <r>
    <x v="1366"/>
    <x v="2"/>
    <x v="993"/>
    <s v="48-57"/>
    <n v="48"/>
    <d v="1972-05-08T00:00:00"/>
    <s v="Massachusetts"/>
    <s v="MA"/>
    <s v="Female"/>
    <s v="Married"/>
    <s v="Production Technician I"/>
    <s v="Terminated"/>
    <s v="Contract"/>
    <s v="Zone B"/>
    <s v="Production       "/>
    <s v="General - Con"/>
    <s v="Other"/>
    <s v="Fully Meets"/>
    <n v="5"/>
  </r>
  <r>
    <x v="1367"/>
    <x v="2"/>
    <x v="74"/>
    <s v="48-57"/>
    <n v="48"/>
    <d v="1972-01-11T00:00:00"/>
    <s v="Massachusetts"/>
    <s v="MA"/>
    <s v="Male"/>
    <s v="Divorced"/>
    <s v="Production Technician I"/>
    <s v="Active"/>
    <s v="Full-Time"/>
    <s v="Zone C"/>
    <s v="Production       "/>
    <s v="General - Con"/>
    <s v="White"/>
    <s v="Fully Meets"/>
    <n v="4"/>
  </r>
  <r>
    <x v="1368"/>
    <x v="5"/>
    <x v="994"/>
    <s v="48-57"/>
    <n v="48"/>
    <d v="1975-05-13T00:00:00"/>
    <s v="Massachusetts"/>
    <s v="MA"/>
    <s v="Female"/>
    <s v="Single"/>
    <s v="Production Technician I"/>
    <s v="Active"/>
    <s v="Full-Time"/>
    <s v="Zone A"/>
    <s v="Production       "/>
    <s v="Engineers"/>
    <s v="Other"/>
    <s v="Fully Meets"/>
    <n v="1"/>
  </r>
  <r>
    <x v="1369"/>
    <x v="1"/>
    <x v="543"/>
    <s v="48-57"/>
    <n v="48"/>
    <d v="1971-08-23T00:00:00"/>
    <s v="Massachusetts"/>
    <s v="MA"/>
    <s v="Female"/>
    <s v="Married"/>
    <s v="Production Technician I"/>
    <s v="Active"/>
    <s v="Full-Time"/>
    <s v="Zone C"/>
    <s v="Production       "/>
    <s v="Engineers"/>
    <s v="Other"/>
    <s v="Needs Improvement"/>
    <n v="3"/>
  </r>
  <r>
    <x v="1370"/>
    <x v="4"/>
    <x v="329"/>
    <s v="48-57"/>
    <n v="48"/>
    <d v="1974-09-18T00:00:00"/>
    <s v="Massachusetts"/>
    <s v="MA"/>
    <s v="Female"/>
    <s v="Widowed"/>
    <s v="Production Technician I"/>
    <s v="Active"/>
    <s v="Contract"/>
    <s v="Zone C"/>
    <s v="Production       "/>
    <s v="Wireline Construction"/>
    <s v="Hispanic"/>
    <s v="Fully Meets"/>
    <n v="4"/>
  </r>
  <r>
    <x v="1371"/>
    <x v="5"/>
    <x v="825"/>
    <s v="48-57"/>
    <n v="48"/>
    <d v="1975-10-26T00:00:00"/>
    <s v="Massachusetts"/>
    <s v="MA"/>
    <s v="Female"/>
    <s v="Married"/>
    <s v="Production Manager"/>
    <s v="Active"/>
    <s v="Full-Time"/>
    <s v="Zone B"/>
    <s v="Production       "/>
    <s v="Aerial"/>
    <s v="Asian"/>
    <s v="Fully Meets"/>
    <n v="2"/>
  </r>
  <r>
    <x v="1372"/>
    <x v="3"/>
    <x v="270"/>
    <s v="48-57"/>
    <n v="48"/>
    <d v="1973-09-29T00:00:00"/>
    <s v="Massachusetts"/>
    <s v="MA"/>
    <s v="Male"/>
    <s v="Divorced"/>
    <s v="Production Manager"/>
    <s v="Active"/>
    <s v="Full-Time"/>
    <s v="Zone B"/>
    <s v="Production       "/>
    <s v="Field Operations"/>
    <s v="Asian"/>
    <s v="Fully Meets"/>
    <n v="2"/>
  </r>
  <r>
    <x v="1373"/>
    <x v="3"/>
    <x v="995"/>
    <s v="48-57"/>
    <n v="48"/>
    <d v="1973-04-18T00:00:00"/>
    <s v="Massachusetts"/>
    <s v="MA"/>
    <s v="Female"/>
    <s v="Divorced"/>
    <s v="Production Manager"/>
    <s v="Active"/>
    <s v="Full-Time"/>
    <s v="Zone B"/>
    <s v="Production       "/>
    <s v="Field Operations"/>
    <s v="Hispanic"/>
    <s v="Fully Meets"/>
    <n v="4"/>
  </r>
  <r>
    <x v="1374"/>
    <x v="3"/>
    <x v="102"/>
    <s v="48-57"/>
    <n v="48"/>
    <d v="1973-12-19T00:00:00"/>
    <s v="Massachusetts"/>
    <s v="MA"/>
    <s v="Male"/>
    <s v="Married"/>
    <s v="President &amp; CEO"/>
    <s v="Active"/>
    <s v="Contract"/>
    <s v="Zone B"/>
    <s v="Production       "/>
    <s v="General - Sga"/>
    <s v="Hispanic"/>
    <s v="Fully Meets"/>
    <n v="4"/>
  </r>
  <r>
    <x v="1375"/>
    <x v="3"/>
    <x v="577"/>
    <s v="48-57"/>
    <n v="48"/>
    <d v="1973-05-15T00:00:00"/>
    <s v="Massachusetts"/>
    <s v="MA"/>
    <s v="Male"/>
    <s v="Single"/>
    <s v="Network Engineer"/>
    <s v="Active"/>
    <s v="Part-Time"/>
    <s v="Zone B"/>
    <s v="IT/IS"/>
    <s v="General - Con"/>
    <s v="Black"/>
    <s v="Fully Meets"/>
    <n v="3"/>
  </r>
  <r>
    <x v="1376"/>
    <x v="2"/>
    <x v="996"/>
    <s v="48-57"/>
    <n v="48"/>
    <d v="1972-09-04T00:00:00"/>
    <s v="Massachusetts"/>
    <s v="MA"/>
    <s v="Male"/>
    <s v="Widowed"/>
    <s v="IT Manager - DB"/>
    <s v="Active"/>
    <s v="Contract"/>
    <s v="Zone A"/>
    <s v="IT/IS"/>
    <s v="General - Con"/>
    <s v="Other"/>
    <s v="Fully Meets"/>
    <n v="1"/>
  </r>
  <r>
    <x v="1377"/>
    <x v="2"/>
    <x v="997"/>
    <s v="48-57"/>
    <n v="48"/>
    <d v="1972-11-27T00:00:00"/>
    <s v="Texas"/>
    <s v="TX"/>
    <s v="Female"/>
    <s v="Married"/>
    <s v="Database Administrator"/>
    <s v="Active"/>
    <s v="Part-Time"/>
    <s v="Zone A"/>
    <s v="IT/IS"/>
    <s v="Catv"/>
    <s v="Hispanic"/>
    <s v="Fully Meets"/>
    <n v="3"/>
  </r>
  <r>
    <x v="1378"/>
    <x v="1"/>
    <x v="350"/>
    <s v="48-57"/>
    <n v="48"/>
    <d v="1971-08-04T00:00:00"/>
    <s v="Massachusetts"/>
    <s v="MA"/>
    <s v="Male"/>
    <s v="Single"/>
    <s v="Data Analyst "/>
    <s v="Terminated"/>
    <s v="Part-Time"/>
    <s v="Zone A"/>
    <s v="IT/IS"/>
    <s v="General - Eng"/>
    <s v="Black"/>
    <s v="Fully Meets"/>
    <n v="2"/>
  </r>
  <r>
    <x v="1379"/>
    <x v="1"/>
    <x v="856"/>
    <s v="48-57"/>
    <n v="48"/>
    <d v="1971-08-21T00:00:00"/>
    <s v="Massachusetts"/>
    <s v="MA"/>
    <s v="Male"/>
    <s v="Widowed"/>
    <s v="Data Analyst "/>
    <s v="Active"/>
    <s v="Contract"/>
    <s v="Zone C"/>
    <s v="Production       "/>
    <s v="Fielders"/>
    <s v="White"/>
    <s v="Fully Meets"/>
    <n v="1"/>
  </r>
  <r>
    <x v="1380"/>
    <x v="1"/>
    <x v="27"/>
    <s v="48-57"/>
    <n v="48"/>
    <d v="1971-03-25T00:00:00"/>
    <s v="Massachusetts"/>
    <s v="MA"/>
    <s v="Female"/>
    <s v="Divorced"/>
    <s v="Data Analyst"/>
    <s v="Active"/>
    <s v="Part-Time"/>
    <s v="Zone A"/>
    <s v="Production       "/>
    <s v="Field Operations"/>
    <s v="Black"/>
    <s v="Fully Meets"/>
    <n v="3"/>
  </r>
  <r>
    <x v="1381"/>
    <x v="3"/>
    <x v="275"/>
    <s v="48-57"/>
    <n v="48"/>
    <d v="1973-06-02T00:00:00"/>
    <s v="Texas"/>
    <s v="TX"/>
    <s v="Male"/>
    <s v="Widowed"/>
    <s v="Area Sales Manager"/>
    <s v="Active"/>
    <s v="Contract"/>
    <s v="Zone B"/>
    <s v="Sales"/>
    <s v="Field Operations"/>
    <s v="White"/>
    <s v="Fully Meets"/>
    <n v="4"/>
  </r>
  <r>
    <x v="1382"/>
    <x v="1"/>
    <x v="998"/>
    <s v="48-57"/>
    <n v="48"/>
    <d v="1971-08-13T00:00:00"/>
    <s v="Tennessee"/>
    <s v="TN"/>
    <s v="Male"/>
    <s v="Widowed"/>
    <s v="Area Sales Manager"/>
    <s v="Active"/>
    <s v="Part-Time"/>
    <s v="Zone B"/>
    <s v="Sales"/>
    <s v="General - Sga"/>
    <s v="Asian"/>
    <s v="Fully Meets"/>
    <n v="3"/>
  </r>
  <r>
    <x v="1383"/>
    <x v="0"/>
    <x v="596"/>
    <s v="48-57"/>
    <n v="48"/>
    <d v="1970-11-20T00:00:00"/>
    <s v="Massachusetts"/>
    <s v="MA"/>
    <s v="Male"/>
    <s v="Married"/>
    <s v="Area Sales Manager"/>
    <s v="Active"/>
    <s v="Full-Time"/>
    <s v="Zone B"/>
    <s v="Sales"/>
    <s v="General - Eng"/>
    <s v="Asian"/>
    <s v="Fully Meets"/>
    <n v="3"/>
  </r>
  <r>
    <x v="1384"/>
    <x v="3"/>
    <x v="546"/>
    <s v="48-57"/>
    <n v="48"/>
    <d v="1973-10-02T00:00:00"/>
    <s v="Massachusetts"/>
    <s v="MA"/>
    <s v="Male"/>
    <s v="Married"/>
    <s v="Area Sales Manager"/>
    <s v="Active"/>
    <s v="Full-Time"/>
    <s v="Zone B"/>
    <s v="Sales"/>
    <s v="General - Con"/>
    <s v="Asian"/>
    <s v="Fully Meets"/>
    <n v="3"/>
  </r>
  <r>
    <x v="1385"/>
    <x v="3"/>
    <x v="999"/>
    <s v="48-57"/>
    <n v="48"/>
    <d v="1973-06-09T00:00:00"/>
    <s v="Idaho"/>
    <s v="ID"/>
    <s v="Male"/>
    <s v="Divorced"/>
    <s v="Area Sales Manager"/>
    <s v="Active"/>
    <s v="Contract"/>
    <s v="Zone C"/>
    <s v="Sales"/>
    <s v="Field Operations"/>
    <s v="Black"/>
    <s v="Fully Meets"/>
    <n v="2"/>
  </r>
  <r>
    <x v="1386"/>
    <x v="5"/>
    <x v="1000"/>
    <s v="48-57"/>
    <n v="48"/>
    <d v="1975-02-04T00:00:00"/>
    <s v="Idaho"/>
    <s v="ID"/>
    <s v="Male"/>
    <s v="Single"/>
    <s v="Area Sales Manager"/>
    <s v="Active"/>
    <s v="Contract"/>
    <s v="Zone B"/>
    <s v="Sales"/>
    <s v="Underground"/>
    <s v="White"/>
    <s v="Fully Meets"/>
    <n v="5"/>
  </r>
  <r>
    <x v="1387"/>
    <x v="3"/>
    <x v="798"/>
    <s v="48-57"/>
    <n v="48"/>
    <d v="1973-03-24T00:00:00"/>
    <s v="California"/>
    <s v="CA"/>
    <s v="Male"/>
    <s v="Single"/>
    <s v="Area Sales Manager"/>
    <s v="Active"/>
    <s v="Full-Time"/>
    <s v="Zone A"/>
    <s v="Sales"/>
    <s v="Project Management - Con"/>
    <s v="White"/>
    <s v="Fully Meets"/>
    <n v="5"/>
  </r>
  <r>
    <x v="1388"/>
    <x v="5"/>
    <x v="1001"/>
    <s v="48-57"/>
    <n v="49"/>
    <d v="1974-03-09T00:00:00"/>
    <s v="Massachusetts"/>
    <s v="MA"/>
    <s v="Male"/>
    <s v="Single"/>
    <s v="Sr. Accountant"/>
    <s v="Active"/>
    <s v="Contract"/>
    <s v="Zone B"/>
    <s v="IT/IS"/>
    <s v="Project Management - Con"/>
    <s v="Black"/>
    <s v="Fully Meets"/>
    <n v="3"/>
  </r>
  <r>
    <x v="1389"/>
    <x v="4"/>
    <x v="430"/>
    <s v="48-57"/>
    <n v="49"/>
    <d v="1973-01-09T00:00:00"/>
    <s v="Massachusetts"/>
    <s v="MA"/>
    <s v="Female"/>
    <s v="Married"/>
    <s v="Software Engineer"/>
    <s v="Active"/>
    <s v="Full-Time"/>
    <s v="Zone B"/>
    <s v="Software Engineering"/>
    <s v="Engineers"/>
    <s v="Other"/>
    <s v="Fully Meets"/>
    <n v="4"/>
  </r>
  <r>
    <x v="1390"/>
    <x v="4"/>
    <x v="902"/>
    <s v="48-57"/>
    <n v="49"/>
    <d v="1973-07-30T00:00:00"/>
    <s v="Massachusetts"/>
    <s v="MA"/>
    <s v="Female"/>
    <s v="Single"/>
    <s v="Software Engineer"/>
    <s v="Active"/>
    <s v="Contract"/>
    <s v="Zone A"/>
    <s v="Software Engineering"/>
    <s v="Field Operations"/>
    <s v="Black"/>
    <s v="Fully Meets"/>
    <n v="1"/>
  </r>
  <r>
    <x v="1391"/>
    <x v="5"/>
    <x v="870"/>
    <s v="48-57"/>
    <n v="49"/>
    <d v="1974-05-23T00:00:00"/>
    <s v="Massachusetts"/>
    <s v="MA"/>
    <s v="Female"/>
    <s v="Widowed"/>
    <s v="Software Engineer"/>
    <s v="Active"/>
    <s v="Part-Time"/>
    <s v="Zone C"/>
    <s v="Software Engineering"/>
    <s v="Engineers"/>
    <s v="Asian"/>
    <s v="Fully Meets"/>
    <n v="3"/>
  </r>
  <r>
    <x v="1392"/>
    <x v="3"/>
    <x v="603"/>
    <s v="48-57"/>
    <n v="49"/>
    <d v="1972-10-29T00:00:00"/>
    <s v="Massachusetts"/>
    <s v="MA"/>
    <s v="Male"/>
    <s v="Widowed"/>
    <s v="Software Engineer"/>
    <s v="Active"/>
    <s v="Part-Time"/>
    <s v="Zone B"/>
    <s v="Software Engineering"/>
    <s v="General - Con"/>
    <s v="White"/>
    <s v="Fully Meets"/>
    <n v="3"/>
  </r>
  <r>
    <x v="1393"/>
    <x v="5"/>
    <x v="1002"/>
    <s v="48-57"/>
    <n v="49"/>
    <d v="1974-10-10T00:00:00"/>
    <s v="Massachusetts"/>
    <s v="MA"/>
    <s v="Female"/>
    <s v="Divorced"/>
    <s v="Sales Manager"/>
    <s v="Active"/>
    <s v="Contract"/>
    <s v="Zone B"/>
    <s v="IT/IS"/>
    <s v="Engineers"/>
    <s v="White"/>
    <s v="Fully Meets"/>
    <n v="3"/>
  </r>
  <r>
    <x v="1394"/>
    <x v="4"/>
    <x v="85"/>
    <s v="48-57"/>
    <n v="49"/>
    <d v="1973-02-19T00:00:00"/>
    <s v="Massachusetts"/>
    <s v="MA"/>
    <s v="Female"/>
    <s v="Widowed"/>
    <s v="Production Technician II"/>
    <s v="Terminated"/>
    <s v="Full-Time"/>
    <s v="Zone B"/>
    <s v="Production       "/>
    <s v="People Services"/>
    <s v="Other"/>
    <s v="Fully Meets"/>
    <n v="3"/>
  </r>
  <r>
    <x v="1395"/>
    <x v="3"/>
    <x v="1003"/>
    <s v="48-57"/>
    <n v="49"/>
    <d v="1972-02-13T00:00:00"/>
    <s v="Massachusetts"/>
    <s v="MA"/>
    <s v="Female"/>
    <s v="Widowed"/>
    <s v="Production Technician II"/>
    <s v="Terminated"/>
    <s v="Contract"/>
    <s v="Zone B"/>
    <s v="Production       "/>
    <s v="Underground"/>
    <s v="Asian"/>
    <s v="Fully Meets"/>
    <n v="5"/>
  </r>
  <r>
    <x v="1396"/>
    <x v="3"/>
    <x v="396"/>
    <s v="48-57"/>
    <n v="49"/>
    <d v="1972-04-12T00:00:00"/>
    <s v="Massachusetts"/>
    <s v="MA"/>
    <s v="Female"/>
    <s v="Divorced"/>
    <s v="Production Technician II"/>
    <s v="Active"/>
    <s v="Full-Time"/>
    <s v="Zone B"/>
    <s v="Production       "/>
    <s v="General - Con"/>
    <s v="Hispanic"/>
    <s v="Fully Meets"/>
    <n v="4"/>
  </r>
  <r>
    <x v="1397"/>
    <x v="4"/>
    <x v="296"/>
    <s v="48-57"/>
    <n v="49"/>
    <d v="1973-12-05T00:00:00"/>
    <s v="Massachusetts"/>
    <s v="MA"/>
    <s v="Male"/>
    <s v="Divorced"/>
    <s v="Production Technician II"/>
    <s v="Active"/>
    <s v="Full-Time"/>
    <s v="Zone C"/>
    <s v="Production       "/>
    <s v="Yard (Material Handling)"/>
    <s v="Asian"/>
    <s v="Fully Meets"/>
    <n v="5"/>
  </r>
  <r>
    <x v="1398"/>
    <x v="3"/>
    <x v="1004"/>
    <s v="48-57"/>
    <n v="49"/>
    <d v="1972-09-19T00:00:00"/>
    <s v="Massachusetts"/>
    <s v="MA"/>
    <s v="Female"/>
    <s v="Widowed"/>
    <s v="Production Technician II"/>
    <s v="Active"/>
    <s v="Full-Time"/>
    <s v="Zone A"/>
    <s v="Production       "/>
    <s v="Field Operations"/>
    <s v="Black"/>
    <s v="Exceeds"/>
    <n v="3"/>
  </r>
  <r>
    <x v="1399"/>
    <x v="3"/>
    <x v="1005"/>
    <s v="48-57"/>
    <n v="49"/>
    <d v="1972-04-14T00:00:00"/>
    <s v="Massachusetts"/>
    <s v="MA"/>
    <s v="Male"/>
    <s v="Single"/>
    <s v="Production Technician II"/>
    <s v="Active"/>
    <s v="Contract"/>
    <s v="Zone C"/>
    <s v="Production       "/>
    <s v="Project Management - Con"/>
    <s v="Other"/>
    <s v="Exceeds"/>
    <n v="4"/>
  </r>
  <r>
    <x v="1400"/>
    <x v="3"/>
    <x v="1006"/>
    <s v="48-57"/>
    <n v="49"/>
    <d v="1972-12-24T00:00:00"/>
    <s v="Massachusetts"/>
    <s v="MA"/>
    <s v="Male"/>
    <s v="Single"/>
    <s v="Production Technician I"/>
    <s v="Active"/>
    <s v="Contract"/>
    <s v="Zone A"/>
    <s v="Production       "/>
    <s v="Aerial"/>
    <s v="Other"/>
    <s v="Fully Meets"/>
    <n v="1"/>
  </r>
  <r>
    <x v="1401"/>
    <x v="5"/>
    <x v="1007"/>
    <s v="48-57"/>
    <n v="49"/>
    <d v="1974-12-08T00:00:00"/>
    <s v="Massachusetts"/>
    <s v="MA"/>
    <s v="Male"/>
    <s v="Divorced"/>
    <s v="Production Technician I"/>
    <s v="Terminated"/>
    <s v="Full-Time"/>
    <s v="Zone B"/>
    <s v="Production       "/>
    <s v="Field Operations"/>
    <s v="Asian"/>
    <s v="Fully Meets"/>
    <n v="4"/>
  </r>
  <r>
    <x v="1402"/>
    <x v="4"/>
    <x v="429"/>
    <s v="48-57"/>
    <n v="49"/>
    <d v="1973-01-07T00:00:00"/>
    <s v="Massachusetts"/>
    <s v="MA"/>
    <s v="Female"/>
    <s v="Divorced"/>
    <s v="Production Technician I"/>
    <s v="Active"/>
    <s v="Full-Time"/>
    <s v="Zone B"/>
    <s v="Production       "/>
    <s v="Project Management - Con"/>
    <s v="Hispanic"/>
    <s v="Fully Meets"/>
    <n v="1"/>
  </r>
  <r>
    <x v="1403"/>
    <x v="4"/>
    <x v="1008"/>
    <s v="48-57"/>
    <n v="49"/>
    <d v="1973-01-29T00:00:00"/>
    <s v="Massachusetts"/>
    <s v="MA"/>
    <s v="Female"/>
    <s v="Single"/>
    <s v="Production Technician I"/>
    <s v="Active"/>
    <s v="Full-Time"/>
    <s v="Zone A"/>
    <s v="Production       "/>
    <s v="Engineers"/>
    <s v="Black"/>
    <s v="Fully Meets"/>
    <n v="5"/>
  </r>
  <r>
    <x v="1404"/>
    <x v="1"/>
    <x v="392"/>
    <s v="48-57"/>
    <n v="49"/>
    <d v="1970-08-15T00:00:00"/>
    <s v="Massachusetts"/>
    <s v="MA"/>
    <s v="Female"/>
    <s v="Divorced"/>
    <s v="Production Technician I"/>
    <s v="Active"/>
    <s v="Full-Time"/>
    <s v="Zone C"/>
    <s v="Production       "/>
    <s v="Project Management - Con"/>
    <s v="White"/>
    <s v="PIP"/>
    <n v="1"/>
  </r>
  <r>
    <x v="1405"/>
    <x v="1"/>
    <x v="518"/>
    <s v="48-57"/>
    <n v="49"/>
    <d v="1970-04-29T00:00:00"/>
    <s v="Massachusetts"/>
    <s v="MA"/>
    <s v="Male"/>
    <s v="Divorced"/>
    <s v="Production Technician I"/>
    <s v="Terminated"/>
    <s v="Contract"/>
    <s v="Zone B"/>
    <s v="Production       "/>
    <s v="Engineers"/>
    <s v="Asian"/>
    <s v="Fully Meets"/>
    <n v="5"/>
  </r>
  <r>
    <x v="1406"/>
    <x v="3"/>
    <x v="939"/>
    <s v="48-57"/>
    <n v="49"/>
    <d v="1972-02-28T00:00:00"/>
    <s v="Massachusetts"/>
    <s v="MA"/>
    <s v="Female"/>
    <s v="Divorced"/>
    <s v="Production Technician I"/>
    <s v="Active"/>
    <s v="Part-Time"/>
    <s v="Zone A"/>
    <s v="Production       "/>
    <s v="Fielders"/>
    <s v="Other"/>
    <s v="Fully Meets"/>
    <n v="4"/>
  </r>
  <r>
    <x v="1407"/>
    <x v="3"/>
    <x v="191"/>
    <s v="48-57"/>
    <n v="49"/>
    <d v="1972-08-05T00:00:00"/>
    <s v="Massachusetts"/>
    <s v="MA"/>
    <s v="Female"/>
    <s v="Widowed"/>
    <s v="Production Technician I"/>
    <s v="Active"/>
    <s v="Part-Time"/>
    <s v="Zone A"/>
    <s v="Production       "/>
    <s v="Project Management - Con"/>
    <s v="White"/>
    <s v="Fully Meets"/>
    <n v="1"/>
  </r>
  <r>
    <x v="1408"/>
    <x v="4"/>
    <x v="312"/>
    <s v="48-57"/>
    <n v="49"/>
    <d v="1973-09-27T00:00:00"/>
    <s v="Massachusetts"/>
    <s v="MA"/>
    <s v="Male"/>
    <s v="Single"/>
    <s v="Production Technician I"/>
    <s v="Active"/>
    <s v="Contract"/>
    <s v="Zone B"/>
    <s v="Production       "/>
    <s v="Isp"/>
    <s v="Other"/>
    <s v="Fully Meets"/>
    <n v="2"/>
  </r>
  <r>
    <x v="1409"/>
    <x v="4"/>
    <x v="301"/>
    <s v="48-57"/>
    <n v="49"/>
    <d v="1973-10-18T00:00:00"/>
    <s v="Massachusetts"/>
    <s v="MA"/>
    <s v="Female"/>
    <s v="Married"/>
    <s v="Production Technician I"/>
    <s v="Active"/>
    <s v="Full-Time"/>
    <s v="Zone A"/>
    <s v="Production       "/>
    <s v="Field Operations"/>
    <s v="Asian"/>
    <s v="Fully Meets"/>
    <n v="4"/>
  </r>
  <r>
    <x v="1410"/>
    <x v="1"/>
    <x v="1009"/>
    <s v="48-57"/>
    <n v="49"/>
    <d v="1970-09-17T00:00:00"/>
    <s v="Massachusetts"/>
    <s v="MA"/>
    <s v="Male"/>
    <s v="Married"/>
    <s v="Production Technician I"/>
    <s v="Active"/>
    <s v="Contract"/>
    <s v="Zone A"/>
    <s v="Production       "/>
    <s v="General - Sga"/>
    <s v="Hispanic"/>
    <s v="Fully Meets"/>
    <n v="5"/>
  </r>
  <r>
    <x v="1411"/>
    <x v="4"/>
    <x v="843"/>
    <s v="48-57"/>
    <n v="49"/>
    <d v="1973-08-27T00:00:00"/>
    <s v="Massachusetts"/>
    <s v="MA"/>
    <s v="Male"/>
    <s v="Single"/>
    <s v="Production Technician I"/>
    <s v="Active"/>
    <s v="Contract"/>
    <s v="Zone B"/>
    <s v="Production       "/>
    <s v="Wireline Construction"/>
    <s v="Other"/>
    <s v="Fully Meets"/>
    <n v="4"/>
  </r>
  <r>
    <x v="1412"/>
    <x v="4"/>
    <x v="127"/>
    <s v="48-57"/>
    <n v="49"/>
    <d v="1973-02-24T00:00:00"/>
    <s v="Massachusetts"/>
    <s v="MA"/>
    <s v="Female"/>
    <s v="Married"/>
    <s v="Production Technician I"/>
    <s v="Active"/>
    <s v="Contract"/>
    <s v="Zone C"/>
    <s v="Production       "/>
    <s v="Field Operations"/>
    <s v="Other"/>
    <s v="Needs Improvement"/>
    <n v="5"/>
  </r>
  <r>
    <x v="1413"/>
    <x v="0"/>
    <x v="839"/>
    <s v="48-57"/>
    <n v="49"/>
    <d v="1969-03-29T00:00:00"/>
    <s v="Massachusetts"/>
    <s v="MA"/>
    <s v="Female"/>
    <s v="Widowed"/>
    <s v="Production Technician I"/>
    <s v="Active"/>
    <s v="Full-Time"/>
    <s v="Zone B"/>
    <s v="Production       "/>
    <s v="General - Sga"/>
    <s v="Hispanic"/>
    <s v="PIP"/>
    <n v="4"/>
  </r>
  <r>
    <x v="1414"/>
    <x v="0"/>
    <x v="753"/>
    <s v="48-57"/>
    <n v="49"/>
    <d v="1969-02-03T00:00:00"/>
    <s v="Massachusetts"/>
    <s v="MA"/>
    <s v="Male"/>
    <s v="Divorced"/>
    <s v="Production Technician I"/>
    <s v="Active"/>
    <s v="Contract"/>
    <s v="Zone A"/>
    <s v="Production       "/>
    <s v="Aerial"/>
    <s v="Black"/>
    <s v="Fully Meets"/>
    <n v="3"/>
  </r>
  <r>
    <x v="1415"/>
    <x v="5"/>
    <x v="1010"/>
    <s v="48-57"/>
    <n v="49"/>
    <d v="1974-04-29T00:00:00"/>
    <s v="Massachusetts"/>
    <s v="MA"/>
    <s v="Male"/>
    <s v="Widowed"/>
    <s v="Production Technician I"/>
    <s v="Active"/>
    <s v="Contract"/>
    <s v="Zone B"/>
    <s v="Production       "/>
    <s v="Engineers"/>
    <s v="Hispanic"/>
    <s v="Fully Meets"/>
    <n v="3"/>
  </r>
  <r>
    <x v="1416"/>
    <x v="4"/>
    <x v="341"/>
    <s v="48-57"/>
    <n v="49"/>
    <d v="1973-01-09T00:00:00"/>
    <s v="Massachusetts"/>
    <s v="MA"/>
    <s v="Female"/>
    <s v="Widowed"/>
    <s v="Production Technician I"/>
    <s v="Active"/>
    <s v="Part-Time"/>
    <s v="Zone A"/>
    <s v="Production       "/>
    <s v="Underground"/>
    <s v="White"/>
    <s v="Fully Meets"/>
    <n v="2"/>
  </r>
  <r>
    <x v="1417"/>
    <x v="4"/>
    <x v="1011"/>
    <s v="48-57"/>
    <n v="49"/>
    <d v="1973-01-05T00:00:00"/>
    <s v="Massachusetts"/>
    <s v="MA"/>
    <s v="Female"/>
    <s v="Widowed"/>
    <s v="Production Technician I"/>
    <s v="Active"/>
    <s v="Full-Time"/>
    <s v="Zone C"/>
    <s v="Production       "/>
    <s v="General - Con"/>
    <s v="Hispanic"/>
    <s v="Fully Meets"/>
    <n v="3"/>
  </r>
  <r>
    <x v="1418"/>
    <x v="3"/>
    <x v="673"/>
    <s v="48-57"/>
    <n v="49"/>
    <d v="1972-12-13T00:00:00"/>
    <s v="Massachusetts"/>
    <s v="MA"/>
    <s v="Female"/>
    <s v="Widowed"/>
    <s v="Production Technician I"/>
    <s v="Active"/>
    <s v="Part-Time"/>
    <s v="Zone C"/>
    <s v="Production       "/>
    <s v="General - Sga"/>
    <s v="Black"/>
    <s v="Fully Meets"/>
    <n v="4"/>
  </r>
  <r>
    <x v="1419"/>
    <x v="5"/>
    <x v="1012"/>
    <s v="48-57"/>
    <n v="49"/>
    <d v="1974-07-27T00:00:00"/>
    <s v="Massachusetts"/>
    <s v="MA"/>
    <s v="Female"/>
    <s v="Married"/>
    <s v="Production Technician I"/>
    <s v="Active"/>
    <s v="Full-Time"/>
    <s v="Zone C"/>
    <s v="Production       "/>
    <s v="Field Operations"/>
    <s v="Hispanic"/>
    <s v="Fully Meets"/>
    <n v="1"/>
  </r>
  <r>
    <x v="1420"/>
    <x v="2"/>
    <x v="478"/>
    <s v="48-57"/>
    <n v="49"/>
    <d v="1971-05-30T00:00:00"/>
    <s v="Massachusetts"/>
    <s v="MA"/>
    <s v="Male"/>
    <s v="Married"/>
    <s v="Production Technician I"/>
    <s v="Active"/>
    <s v="Contract"/>
    <s v="Zone B"/>
    <s v="Production       "/>
    <s v="People Services"/>
    <s v="Other"/>
    <s v="Fully Meets"/>
    <n v="4"/>
  </r>
  <r>
    <x v="1421"/>
    <x v="1"/>
    <x v="752"/>
    <s v="48-57"/>
    <n v="49"/>
    <d v="1970-03-23T00:00:00"/>
    <s v="Massachusetts"/>
    <s v="MA"/>
    <s v="Female"/>
    <s v="Widowed"/>
    <s v="Production Technician I"/>
    <s v="Active"/>
    <s v="Contract"/>
    <s v="Zone A"/>
    <s v="Production       "/>
    <s v="Engineers"/>
    <s v="White"/>
    <s v="Needs Improvement"/>
    <n v="3"/>
  </r>
  <r>
    <x v="1422"/>
    <x v="3"/>
    <x v="1013"/>
    <s v="48-57"/>
    <n v="49"/>
    <d v="1972-12-12T00:00:00"/>
    <s v="Massachusetts"/>
    <s v="MA"/>
    <s v="Female"/>
    <s v="Single"/>
    <s v="Production Technician I"/>
    <s v="Active"/>
    <s v="Part-Time"/>
    <s v="Zone C"/>
    <s v="Production       "/>
    <s v="Splicing"/>
    <s v="White"/>
    <s v="Needs Improvement"/>
    <n v="1"/>
  </r>
  <r>
    <x v="1423"/>
    <x v="2"/>
    <x v="526"/>
    <s v="48-57"/>
    <n v="49"/>
    <d v="1971-09-11T00:00:00"/>
    <s v="Massachusetts"/>
    <s v="MA"/>
    <s v="Female"/>
    <s v="Divorced"/>
    <s v="Production Technician I"/>
    <s v="Active"/>
    <s v="Part-Time"/>
    <s v="Zone C"/>
    <s v="Production       "/>
    <s v="General - Con"/>
    <s v="White"/>
    <s v="Fully Meets"/>
    <n v="1"/>
  </r>
  <r>
    <x v="1424"/>
    <x v="4"/>
    <x v="1014"/>
    <s v="48-57"/>
    <n v="49"/>
    <d v="1973-01-11T00:00:00"/>
    <s v="Massachusetts"/>
    <s v="MA"/>
    <s v="Female"/>
    <s v="Married"/>
    <s v="Production Technician I"/>
    <s v="Active"/>
    <s v="Part-Time"/>
    <s v="Zone C"/>
    <s v="Production       "/>
    <s v="Shop (Fleet)"/>
    <s v="Asian"/>
    <s v="Fully Meets"/>
    <n v="3"/>
  </r>
  <r>
    <x v="1425"/>
    <x v="2"/>
    <x v="993"/>
    <s v="48-57"/>
    <n v="49"/>
    <d v="1971-01-10T00:00:00"/>
    <s v="Massachusetts"/>
    <s v="MA"/>
    <s v="Female"/>
    <s v="Married"/>
    <s v="Production Manager"/>
    <s v="Terminated"/>
    <s v="Full-Time"/>
    <s v="Zone B"/>
    <s v="Production       "/>
    <s v="Field Operations"/>
    <s v="Hispanic"/>
    <s v="Fully Meets"/>
    <n v="1"/>
  </r>
  <r>
    <x v="1426"/>
    <x v="2"/>
    <x v="252"/>
    <s v="48-57"/>
    <n v="49"/>
    <d v="1971-05-15T00:00:00"/>
    <s v="Massachusetts"/>
    <s v="MA"/>
    <s v="Female"/>
    <s v="Divorced"/>
    <s v="Production Manager"/>
    <s v="Active"/>
    <s v="Part-Time"/>
    <s v="Zone A"/>
    <s v="Production       "/>
    <s v="Project Management - Con"/>
    <s v="Asian"/>
    <s v="Fully Meets"/>
    <n v="4"/>
  </r>
  <r>
    <x v="1427"/>
    <x v="2"/>
    <x v="1015"/>
    <s v="48-57"/>
    <n v="49"/>
    <d v="1971-11-27T00:00:00"/>
    <s v="Massachusetts"/>
    <s v="MA"/>
    <s v="Male"/>
    <s v="Married"/>
    <s v="Network Engineer"/>
    <s v="Active"/>
    <s v="Full-Time"/>
    <s v="Zone A"/>
    <s v="Production       "/>
    <s v="Field Operations"/>
    <s v="Black"/>
    <s v="Fully Meets"/>
    <n v="1"/>
  </r>
  <r>
    <x v="1428"/>
    <x v="1"/>
    <x v="728"/>
    <s v="48-57"/>
    <n v="49"/>
    <d v="1970-10-03T00:00:00"/>
    <s v="Massachusetts"/>
    <s v="MA"/>
    <s v="Female"/>
    <s v="Divorced"/>
    <s v="Network Engineer"/>
    <s v="Active"/>
    <s v="Part-Time"/>
    <s v="Zone A"/>
    <s v="Production       "/>
    <s v="Field Operations"/>
    <s v="White"/>
    <s v="Fully Meets"/>
    <n v="5"/>
  </r>
  <r>
    <x v="1429"/>
    <x v="2"/>
    <x v="1016"/>
    <s v="48-57"/>
    <n v="49"/>
    <d v="1971-08-24T00:00:00"/>
    <s v="Connecticut"/>
    <s v="CT"/>
    <s v="Female"/>
    <s v="Married"/>
    <s v="IT Support"/>
    <s v="Active"/>
    <s v="Contract"/>
    <s v="Zone C"/>
    <s v="IT/IS"/>
    <s v="Field Operations"/>
    <s v="White"/>
    <s v="Exceeds"/>
    <n v="5"/>
  </r>
  <r>
    <x v="1430"/>
    <x v="3"/>
    <x v="546"/>
    <s v="48-57"/>
    <n v="49"/>
    <d v="1972-01-17T00:00:00"/>
    <s v="Connecticut"/>
    <s v="CT"/>
    <s v="Male"/>
    <s v="Widowed"/>
    <s v="IT Manager - Infra"/>
    <s v="Active"/>
    <s v="Part-Time"/>
    <s v="Zone B"/>
    <s v="IT/IS"/>
    <s v="Project Management - Con"/>
    <s v="Hispanic"/>
    <s v="Fully Meets"/>
    <n v="4"/>
  </r>
  <r>
    <x v="1431"/>
    <x v="4"/>
    <x v="1017"/>
    <s v="48-57"/>
    <n v="49"/>
    <d v="1973-10-09T00:00:00"/>
    <s v="Massachusetts"/>
    <s v="MA"/>
    <s v="Male"/>
    <s v="Divorced"/>
    <s v="IT Manager - DB"/>
    <s v="Active"/>
    <s v="Contract"/>
    <s v="Zone B"/>
    <s v="IT/IS"/>
    <s v="Aerial"/>
    <s v="Other"/>
    <s v="Fully Meets"/>
    <n v="2"/>
  </r>
  <r>
    <x v="1432"/>
    <x v="3"/>
    <x v="1018"/>
    <s v="48-57"/>
    <n v="49"/>
    <d v="1972-05-26T00:00:00"/>
    <s v="Utah"/>
    <s v="UT"/>
    <s v="Male"/>
    <s v="Married"/>
    <s v="Area Sales Manager"/>
    <s v="Active"/>
    <s v="Full-Time"/>
    <s v="Zone C"/>
    <s v="Sales"/>
    <s v="General - Con"/>
    <s v="Black"/>
    <s v="Fully Meets"/>
    <n v="5"/>
  </r>
  <r>
    <x v="1433"/>
    <x v="1"/>
    <x v="1019"/>
    <s v="48-57"/>
    <n v="49"/>
    <d v="1970-12-23T00:00:00"/>
    <s v="Massachusetts"/>
    <s v="MA"/>
    <s v="Female"/>
    <s v="Single"/>
    <s v="Accountant I"/>
    <s v="Active"/>
    <s v="Part-Time"/>
    <s v="Zone B"/>
    <s v="Admin Offices"/>
    <s v="Field Operations"/>
    <s v="Black"/>
    <s v="Exceeds"/>
    <n v="2"/>
  </r>
  <r>
    <x v="1434"/>
    <x v="4"/>
    <x v="329"/>
    <s v="48-57"/>
    <n v="50"/>
    <d v="1972-10-27T00:00:00"/>
    <s v="Massachusetts"/>
    <s v="MA"/>
    <s v="Male"/>
    <s v="Widowed"/>
    <s v="Sr. Network Engineer"/>
    <s v="Active"/>
    <s v="Full-Time"/>
    <s v="Zone B"/>
    <s v="IT/IS"/>
    <s v="Executive"/>
    <s v="Hispanic"/>
    <s v="Fully Meets"/>
    <n v="4"/>
  </r>
  <r>
    <x v="1435"/>
    <x v="1"/>
    <x v="686"/>
    <s v="48-57"/>
    <n v="50"/>
    <d v="1969-11-03T00:00:00"/>
    <s v="Massachusetts"/>
    <s v="MA"/>
    <s v="Male"/>
    <s v="Married"/>
    <s v="Software Engineer"/>
    <s v="Terminated"/>
    <s v="Part-Time"/>
    <s v="Zone A"/>
    <s v="Software Engineering"/>
    <s v="Engineers"/>
    <s v="Hispanic"/>
    <s v="Fully Meets"/>
    <n v="2"/>
  </r>
  <r>
    <x v="1436"/>
    <x v="5"/>
    <x v="1020"/>
    <s v="48-57"/>
    <n v="50"/>
    <d v="1973-11-23T00:00:00"/>
    <s v="Massachusetts"/>
    <s v="MA"/>
    <s v="Female"/>
    <s v="Married"/>
    <s v="Software Engineer"/>
    <s v="Active"/>
    <s v="Contract"/>
    <s v="Zone A"/>
    <s v="Software Engineering"/>
    <s v="Field Operations"/>
    <s v="White"/>
    <s v="Fully Meets"/>
    <n v="5"/>
  </r>
  <r>
    <x v="1437"/>
    <x v="1"/>
    <x v="915"/>
    <s v="48-57"/>
    <n v="50"/>
    <d v="1969-08-30T00:00:00"/>
    <s v="Massachusetts"/>
    <s v="MA"/>
    <s v="Male"/>
    <s v="Married"/>
    <s v="Sales Manager"/>
    <s v="Active"/>
    <s v="Contract"/>
    <s v="Zone B"/>
    <s v="IT/IS"/>
    <s v="Engineers"/>
    <s v="Other"/>
    <s v="Fully Meets"/>
    <n v="5"/>
  </r>
  <r>
    <x v="1438"/>
    <x v="3"/>
    <x v="1021"/>
    <s v="48-57"/>
    <n v="50"/>
    <d v="1971-08-11T00:00:00"/>
    <s v="Massachusetts"/>
    <s v="MA"/>
    <s v="Female"/>
    <s v="Single"/>
    <s v="Production Technician II"/>
    <s v="Active"/>
    <s v="Part-Time"/>
    <s v="Zone A"/>
    <s v="Production       "/>
    <s v="Field Operations"/>
    <s v="Asian"/>
    <s v="Fully Meets"/>
    <n v="2"/>
  </r>
  <r>
    <x v="1439"/>
    <x v="2"/>
    <x v="1022"/>
    <s v="48-57"/>
    <n v="50"/>
    <d v="1970-09-22T00:00:00"/>
    <s v="Massachusetts"/>
    <s v="MA"/>
    <s v="Female"/>
    <s v="Single"/>
    <s v="Production Technician II"/>
    <s v="Active"/>
    <s v="Contract"/>
    <s v="Zone C"/>
    <s v="Production       "/>
    <s v="Splicing"/>
    <s v="White"/>
    <s v="Fully Meets"/>
    <n v="3"/>
  </r>
  <r>
    <x v="1440"/>
    <x v="3"/>
    <x v="1023"/>
    <s v="48-57"/>
    <n v="50"/>
    <d v="1971-11-19T00:00:00"/>
    <s v="Massachusetts"/>
    <s v="MA"/>
    <s v="Female"/>
    <s v="Married"/>
    <s v="Production Technician II"/>
    <s v="Active"/>
    <s v="Contract"/>
    <s v="Zone C"/>
    <s v="Production       "/>
    <s v="Engineers"/>
    <s v="Asian"/>
    <s v="Needs Improvement"/>
    <n v="2"/>
  </r>
  <r>
    <x v="1441"/>
    <x v="4"/>
    <x v="1024"/>
    <s v="48-57"/>
    <n v="50"/>
    <d v="1972-07-26T00:00:00"/>
    <s v="Massachusetts"/>
    <s v="MA"/>
    <s v="Male"/>
    <s v="Married"/>
    <s v="Production Technician II"/>
    <s v="Terminated"/>
    <s v="Full-Time"/>
    <s v="Zone B"/>
    <s v="Production       "/>
    <s v="General - Con"/>
    <s v="White"/>
    <s v="Fully Meets"/>
    <n v="4"/>
  </r>
  <r>
    <x v="1442"/>
    <x v="3"/>
    <x v="226"/>
    <s v="48-57"/>
    <n v="50"/>
    <d v="1971-01-11T00:00:00"/>
    <s v="Massachusetts"/>
    <s v="MA"/>
    <s v="Male"/>
    <s v="Single"/>
    <s v="Production Technician II"/>
    <s v="Active"/>
    <s v="Part-Time"/>
    <s v="Zone A"/>
    <s v="Production       "/>
    <s v="General - Con"/>
    <s v="Hispanic"/>
    <s v="Fully Meets"/>
    <n v="3"/>
  </r>
  <r>
    <x v="1443"/>
    <x v="1"/>
    <x v="1025"/>
    <s v="48-57"/>
    <n v="50"/>
    <d v="1969-08-20T00:00:00"/>
    <s v="Massachusetts"/>
    <s v="MA"/>
    <s v="Male"/>
    <s v="Married"/>
    <s v="Production Technician I"/>
    <s v="Active"/>
    <s v="Full-Time"/>
    <s v="Zone C"/>
    <s v="Production       "/>
    <s v="General - Con"/>
    <s v="Other"/>
    <s v="Fully Meets"/>
    <n v="1"/>
  </r>
  <r>
    <x v="1444"/>
    <x v="1"/>
    <x v="1026"/>
    <s v="48-57"/>
    <n v="50"/>
    <d v="1969-11-25T00:00:00"/>
    <s v="Massachusetts"/>
    <s v="MA"/>
    <s v="Male"/>
    <s v="Divorced"/>
    <s v="Production Technician I"/>
    <s v="Terminated"/>
    <s v="Part-Time"/>
    <s v="Zone C"/>
    <s v="Production       "/>
    <s v="Field Operations"/>
    <s v="Asian"/>
    <s v="Fully Meets"/>
    <n v="2"/>
  </r>
  <r>
    <x v="1445"/>
    <x v="4"/>
    <x v="1027"/>
    <s v="48-57"/>
    <n v="50"/>
    <d v="1972-08-30T00:00:00"/>
    <s v="Massachusetts"/>
    <s v="MA"/>
    <s v="Male"/>
    <s v="Married"/>
    <s v="Production Technician I"/>
    <s v="Terminated"/>
    <s v="Full-Time"/>
    <s v="Zone A"/>
    <s v="Production       "/>
    <s v="Wireline Construction"/>
    <s v="Asian"/>
    <s v="Fully Meets"/>
    <n v="1"/>
  </r>
  <r>
    <x v="1446"/>
    <x v="1"/>
    <x v="1028"/>
    <s v="48-57"/>
    <n v="50"/>
    <d v="1969-09-18T00:00:00"/>
    <s v="Massachusetts"/>
    <s v="MA"/>
    <s v="Male"/>
    <s v="Divorced"/>
    <s v="Production Technician I"/>
    <s v="Active"/>
    <s v="Full-Time"/>
    <s v="Zone C"/>
    <s v="Production       "/>
    <s v="Splicing"/>
    <s v="Black"/>
    <s v="Exceeds"/>
    <n v="5"/>
  </r>
  <r>
    <x v="1447"/>
    <x v="5"/>
    <x v="1029"/>
    <s v="48-57"/>
    <n v="50"/>
    <d v="1973-04-18T00:00:00"/>
    <s v="Massachusetts"/>
    <s v="MA"/>
    <s v="Male"/>
    <s v="Married"/>
    <s v="Production Technician I"/>
    <s v="Active"/>
    <s v="Full-Time"/>
    <s v="Zone B"/>
    <s v="Production       "/>
    <s v="Wireline Construction"/>
    <s v="Other"/>
    <s v="Exceeds"/>
    <n v="5"/>
  </r>
  <r>
    <x v="1448"/>
    <x v="0"/>
    <x v="238"/>
    <s v="48-57"/>
    <n v="50"/>
    <d v="1968-03-14T00:00:00"/>
    <s v="Massachusetts"/>
    <s v="MA"/>
    <s v="Male"/>
    <s v="Married"/>
    <s v="Production Technician I"/>
    <s v="Active"/>
    <s v="Part-Time"/>
    <s v="Zone B"/>
    <s v="Production       "/>
    <s v="Field Operations"/>
    <s v="Black"/>
    <s v="Needs Improvement"/>
    <n v="5"/>
  </r>
  <r>
    <x v="1449"/>
    <x v="1"/>
    <x v="18"/>
    <s v="48-57"/>
    <n v="50"/>
    <d v="1969-10-07T00:00:00"/>
    <s v="Massachusetts"/>
    <s v="MA"/>
    <s v="Female"/>
    <s v="Widowed"/>
    <s v="Production Technician I"/>
    <s v="Active"/>
    <s v="Contract"/>
    <s v="Zone C"/>
    <s v="Production       "/>
    <s v="Finance &amp; Accounting"/>
    <s v="White"/>
    <s v="Fully Meets"/>
    <n v="2"/>
  </r>
  <r>
    <x v="1450"/>
    <x v="3"/>
    <x v="186"/>
    <s v="48-57"/>
    <n v="50"/>
    <d v="1971-11-30T00:00:00"/>
    <s v="Massachusetts"/>
    <s v="MA"/>
    <s v="Male"/>
    <s v="Single"/>
    <s v="Production Technician I"/>
    <s v="Terminated"/>
    <s v="Part-Time"/>
    <s v="Zone C"/>
    <s v="Production       "/>
    <s v="Field Operations"/>
    <s v="Black"/>
    <s v="Fully Meets"/>
    <n v="4"/>
  </r>
  <r>
    <x v="1451"/>
    <x v="4"/>
    <x v="1030"/>
    <s v="48-57"/>
    <n v="50"/>
    <d v="1972-05-21T00:00:00"/>
    <s v="Massachusetts"/>
    <s v="MA"/>
    <s v="Female"/>
    <s v="Single"/>
    <s v="Production Technician I"/>
    <s v="Active"/>
    <s v="Part-Time"/>
    <s v="Zone A"/>
    <s v="Production       "/>
    <s v="Field Operations"/>
    <s v="Hispanic"/>
    <s v="PIP"/>
    <n v="1"/>
  </r>
  <r>
    <x v="1452"/>
    <x v="3"/>
    <x v="184"/>
    <s v="48-57"/>
    <n v="50"/>
    <d v="1971-12-26T00:00:00"/>
    <s v="Massachusetts"/>
    <s v="MA"/>
    <s v="Female"/>
    <s v="Widowed"/>
    <s v="Production Technician I"/>
    <s v="Active"/>
    <s v="Full-Time"/>
    <s v="Zone A"/>
    <s v="Production       "/>
    <s v="Wireline Construction"/>
    <s v="Black"/>
    <s v="Fully Meets"/>
    <n v="1"/>
  </r>
  <r>
    <x v="1453"/>
    <x v="4"/>
    <x v="1031"/>
    <s v="48-57"/>
    <n v="50"/>
    <d v="1972-07-29T00:00:00"/>
    <s v="Massachusetts"/>
    <s v="MA"/>
    <s v="Male"/>
    <s v="Divorced"/>
    <s v="Production Technician I"/>
    <s v="Active"/>
    <s v="Full-Time"/>
    <s v="Zone C"/>
    <s v="Production       "/>
    <s v="General - Con"/>
    <s v="Hispanic"/>
    <s v="Exceeds"/>
    <n v="1"/>
  </r>
  <r>
    <x v="1454"/>
    <x v="1"/>
    <x v="998"/>
    <s v="48-57"/>
    <n v="50"/>
    <d v="1969-09-06T00:00:00"/>
    <s v="Massachusetts"/>
    <s v="MA"/>
    <s v="Male"/>
    <s v="Married"/>
    <s v="Production Technician I"/>
    <s v="Active"/>
    <s v="Part-Time"/>
    <s v="Zone C"/>
    <s v="Production       "/>
    <s v="General - Con"/>
    <s v="Black"/>
    <s v="Fully Meets"/>
    <n v="4"/>
  </r>
  <r>
    <x v="1455"/>
    <x v="3"/>
    <x v="1032"/>
    <s v="48-57"/>
    <n v="50"/>
    <d v="1971-02-06T00:00:00"/>
    <s v="Massachusetts"/>
    <s v="MA"/>
    <s v="Female"/>
    <s v="Divorced"/>
    <s v="Production Technician I"/>
    <s v="Active"/>
    <s v="Contract"/>
    <s v="Zone B"/>
    <s v="Production       "/>
    <s v="Sales &amp; Marketing"/>
    <s v="Hispanic"/>
    <s v="Fully Meets"/>
    <n v="2"/>
  </r>
  <r>
    <x v="1456"/>
    <x v="4"/>
    <x v="1033"/>
    <s v="48-57"/>
    <n v="50"/>
    <d v="1972-03-25T00:00:00"/>
    <s v="Massachusetts"/>
    <s v="MA"/>
    <s v="Female"/>
    <s v="Single"/>
    <s v="Production Technician I"/>
    <s v="Active"/>
    <s v="Part-Time"/>
    <s v="Zone B"/>
    <s v="Production       "/>
    <s v="Engineers"/>
    <s v="Asian"/>
    <s v="Fully Meets"/>
    <n v="4"/>
  </r>
  <r>
    <x v="1457"/>
    <x v="4"/>
    <x v="1034"/>
    <s v="48-57"/>
    <n v="50"/>
    <d v="1972-03-10T00:00:00"/>
    <s v="Massachusetts"/>
    <s v="MA"/>
    <s v="Female"/>
    <s v="Married"/>
    <s v="Production Technician I"/>
    <s v="Active"/>
    <s v="Part-Time"/>
    <s v="Zone B"/>
    <s v="Production       "/>
    <s v="Wireline Construction"/>
    <s v="Asian"/>
    <s v="Fully Meets"/>
    <n v="2"/>
  </r>
  <r>
    <x v="1458"/>
    <x v="4"/>
    <x v="1035"/>
    <s v="48-57"/>
    <n v="50"/>
    <d v="1972-12-21T00:00:00"/>
    <s v="Massachusetts"/>
    <s v="MA"/>
    <s v="Female"/>
    <s v="Married"/>
    <s v="Production Technician I"/>
    <s v="Active"/>
    <s v="Full-Time"/>
    <s v="Zone B"/>
    <s v="Production       "/>
    <s v="Field Operations"/>
    <s v="Hispanic"/>
    <s v="Fully Meets"/>
    <n v="2"/>
  </r>
  <r>
    <x v="1459"/>
    <x v="3"/>
    <x v="1036"/>
    <s v="48-57"/>
    <n v="50"/>
    <d v="1971-03-02T00:00:00"/>
    <s v="Massachusetts"/>
    <s v="MA"/>
    <s v="Female"/>
    <s v="Divorced"/>
    <s v="Production Technician I"/>
    <s v="Active"/>
    <s v="Part-Time"/>
    <s v="Zone B"/>
    <s v="Production       "/>
    <s v="Wireline Construction"/>
    <s v="Asian"/>
    <s v="Fully Meets"/>
    <n v="5"/>
  </r>
  <r>
    <x v="1460"/>
    <x v="5"/>
    <x v="1037"/>
    <s v="48-57"/>
    <n v="50"/>
    <d v="1973-07-01T00:00:00"/>
    <s v="Massachusetts"/>
    <s v="MA"/>
    <s v="Female"/>
    <s v="Widowed"/>
    <s v="Production Technician I"/>
    <s v="Terminated"/>
    <s v="Full-Time"/>
    <s v="Zone B"/>
    <s v="Production       "/>
    <s v="Project Management - Con"/>
    <s v="Other"/>
    <s v="Fully Meets"/>
    <n v="3"/>
  </r>
  <r>
    <x v="1461"/>
    <x v="3"/>
    <x v="1038"/>
    <s v="48-57"/>
    <n v="50"/>
    <d v="1971-12-16T00:00:00"/>
    <s v="Massachusetts"/>
    <s v="MA"/>
    <s v="Female"/>
    <s v="Married"/>
    <s v="Production Technician I"/>
    <s v="Active"/>
    <s v="Contract"/>
    <s v="Zone A"/>
    <s v="Production       "/>
    <s v="Aerial"/>
    <s v="Asian"/>
    <s v="Exceeds"/>
    <n v="2"/>
  </r>
  <r>
    <x v="1462"/>
    <x v="3"/>
    <x v="175"/>
    <s v="48-57"/>
    <n v="50"/>
    <d v="1971-05-27T00:00:00"/>
    <s v="Massachusetts"/>
    <s v="MA"/>
    <s v="Female"/>
    <s v="Single"/>
    <s v="Production Technician I"/>
    <s v="Active"/>
    <s v="Full-Time"/>
    <s v="Zone C"/>
    <s v="Production       "/>
    <s v="General - Eng"/>
    <s v="Black"/>
    <s v="Fully Meets"/>
    <n v="2"/>
  </r>
  <r>
    <x v="1463"/>
    <x v="3"/>
    <x v="1039"/>
    <s v="48-57"/>
    <n v="50"/>
    <d v="1971-04-04T00:00:00"/>
    <s v="Massachusetts"/>
    <s v="MA"/>
    <s v="Male"/>
    <s v="Divorced"/>
    <s v="Production Technician I"/>
    <s v="Terminated"/>
    <s v="Full-Time"/>
    <s v="Zone A"/>
    <s v="Production       "/>
    <s v="Project Management - Con"/>
    <s v="Hispanic"/>
    <s v="Fully Meets"/>
    <n v="3"/>
  </r>
  <r>
    <x v="1464"/>
    <x v="1"/>
    <x v="1040"/>
    <s v="48-57"/>
    <n v="50"/>
    <d v="1969-04-18T00:00:00"/>
    <s v="Massachusetts"/>
    <s v="MA"/>
    <s v="Male"/>
    <s v="Married"/>
    <s v="Production Technician I"/>
    <s v="Active"/>
    <s v="Full-Time"/>
    <s v="Zone A"/>
    <s v="Production       "/>
    <s v="General - Con"/>
    <s v="White"/>
    <s v="Fully Meets"/>
    <n v="5"/>
  </r>
  <r>
    <x v="1465"/>
    <x v="4"/>
    <x v="296"/>
    <s v="48-57"/>
    <n v="50"/>
    <d v="1972-10-23T00:00:00"/>
    <s v="Massachusetts"/>
    <s v="MA"/>
    <s v="Male"/>
    <s v="Married"/>
    <s v="Production Manager"/>
    <s v="Active"/>
    <s v="Full-Time"/>
    <s v="Zone C"/>
    <s v="Production       "/>
    <s v="Project Management - Con"/>
    <s v="Asian"/>
    <s v="Fully Meets"/>
    <n v="3"/>
  </r>
  <r>
    <x v="1466"/>
    <x v="1"/>
    <x v="1041"/>
    <s v="48-57"/>
    <n v="50"/>
    <d v="1969-12-31T00:00:00"/>
    <s v="Massachusetts"/>
    <s v="MA"/>
    <s v="Female"/>
    <s v="Widowed"/>
    <s v="Production Manager"/>
    <s v="Active"/>
    <s v="Contract"/>
    <s v="Zone B"/>
    <s v="Production       "/>
    <s v="General - Con"/>
    <s v="Asian"/>
    <s v="Fully Meets"/>
    <n v="4"/>
  </r>
  <r>
    <x v="1467"/>
    <x v="4"/>
    <x v="235"/>
    <s v="48-57"/>
    <n v="50"/>
    <d v="1972-08-06T00:00:00"/>
    <s v="Massachusetts"/>
    <s v="MA"/>
    <s v="Female"/>
    <s v="Married"/>
    <s v="Production Manager"/>
    <s v="Terminated"/>
    <s v="Full-Time"/>
    <s v="Zone B"/>
    <s v="Production       "/>
    <s v="General - Sga"/>
    <s v="Black"/>
    <s v="Fully Meets"/>
    <n v="1"/>
  </r>
  <r>
    <x v="1468"/>
    <x v="2"/>
    <x v="987"/>
    <s v="48-57"/>
    <n v="50"/>
    <d v="1970-03-03T00:00:00"/>
    <s v="Massachusetts"/>
    <s v="MA"/>
    <s v="Male"/>
    <s v="Widowed"/>
    <s v="Network Engineer"/>
    <s v="Active"/>
    <s v="Contract"/>
    <s v="Zone A"/>
    <s v="IT/IS"/>
    <s v="Engineers"/>
    <s v="Asian"/>
    <s v="Fully Meets"/>
    <n v="4"/>
  </r>
  <r>
    <x v="1469"/>
    <x v="1"/>
    <x v="1042"/>
    <s v="48-57"/>
    <n v="50"/>
    <d v="1969-08-10T00:00:00"/>
    <s v="Massachusetts"/>
    <s v="MA"/>
    <s v="Male"/>
    <s v="Single"/>
    <s v="Network Engineer"/>
    <s v="Active"/>
    <s v="Contract"/>
    <s v="Zone A"/>
    <s v="Executive Office"/>
    <s v="Field Operations"/>
    <s v="Hispanic"/>
    <s v="PIP"/>
    <n v="5"/>
  </r>
  <r>
    <x v="1470"/>
    <x v="4"/>
    <x v="166"/>
    <s v="48-57"/>
    <n v="50"/>
    <d v="1972-02-10T00:00:00"/>
    <s v="Massachusetts"/>
    <s v="MA"/>
    <s v="Female"/>
    <s v="Single"/>
    <s v="IT Manager - Support"/>
    <s v="Active"/>
    <s v="Part-Time"/>
    <s v="Zone B"/>
    <s v="IT/IS"/>
    <s v="General - Con"/>
    <s v="Hispanic"/>
    <s v="Exceeds"/>
    <n v="5"/>
  </r>
  <r>
    <x v="1471"/>
    <x v="2"/>
    <x v="853"/>
    <s v="48-57"/>
    <n v="50"/>
    <d v="1970-01-26T00:00:00"/>
    <s v="Massachusetts"/>
    <s v="MA"/>
    <s v="Male"/>
    <s v="Married"/>
    <s v="IT Director"/>
    <s v="Active"/>
    <s v="Contract"/>
    <s v="Zone B"/>
    <s v="IT/IS"/>
    <s v="Fielders"/>
    <s v="Black"/>
    <s v="Fully Meets"/>
    <n v="1"/>
  </r>
  <r>
    <x v="1472"/>
    <x v="5"/>
    <x v="1043"/>
    <s v="48-57"/>
    <n v="50"/>
    <d v="1973-04-16T00:00:00"/>
    <s v="Massachusetts"/>
    <s v="MA"/>
    <s v="Female"/>
    <s v="Divorced"/>
    <s v="Director of Operations"/>
    <s v="Active"/>
    <s v="Contract"/>
    <s v="Zone C"/>
    <s v="Production       "/>
    <s v="Executive"/>
    <s v="Black"/>
    <s v="Fully Meets"/>
    <n v="1"/>
  </r>
  <r>
    <x v="1473"/>
    <x v="3"/>
    <x v="1044"/>
    <s v="48-57"/>
    <n v="50"/>
    <d v="1971-01-22T00:00:00"/>
    <s v="Texas"/>
    <s v="TX"/>
    <s v="Female"/>
    <s v="Married"/>
    <s v="Database Administrator"/>
    <s v="Terminated"/>
    <s v="Full-Time"/>
    <s v="Zone B"/>
    <s v="IT/IS"/>
    <s v="Yard (Material Handling)"/>
    <s v="Other"/>
    <s v="Fully Meets"/>
    <n v="5"/>
  </r>
  <r>
    <x v="1474"/>
    <x v="0"/>
    <x v="1045"/>
    <s v="48-57"/>
    <n v="50"/>
    <d v="1968-06-26T00:00:00"/>
    <s v="Massachusetts"/>
    <s v="MA"/>
    <s v="Female"/>
    <s v="Divorced"/>
    <s v="BI Director"/>
    <s v="Terminated"/>
    <s v="Full-Time"/>
    <s v="Zone A"/>
    <s v="IT/IS"/>
    <s v="Aerial"/>
    <s v="Black"/>
    <s v="Fully Meets"/>
    <n v="4"/>
  </r>
  <r>
    <x v="1475"/>
    <x v="3"/>
    <x v="955"/>
    <s v="48-57"/>
    <n v="50"/>
    <d v="1971-02-23T00:00:00"/>
    <s v="New York"/>
    <s v="NY"/>
    <s v="Male"/>
    <s v="Single"/>
    <s v="Area Sales Manager"/>
    <s v="Active"/>
    <s v="Contract"/>
    <s v="Zone B"/>
    <s v="Sales"/>
    <s v="Wireline Construction"/>
    <s v="Asian"/>
    <s v="Fully Meets"/>
    <n v="4"/>
  </r>
  <r>
    <x v="1476"/>
    <x v="1"/>
    <x v="731"/>
    <s v="48-57"/>
    <n v="50"/>
    <d v="1969-12-03T00:00:00"/>
    <s v="Kentucky"/>
    <s v="KY"/>
    <s v="Female"/>
    <s v="Widowed"/>
    <s v="Area Sales Manager"/>
    <s v="Active"/>
    <s v="Part-Time"/>
    <s v="Zone A"/>
    <s v="IT/IS"/>
    <s v="Aerial"/>
    <s v="Asian"/>
    <s v="Needs Improvement"/>
    <n v="2"/>
  </r>
  <r>
    <x v="1477"/>
    <x v="1"/>
    <x v="494"/>
    <s v="48-57"/>
    <n v="50"/>
    <d v="1969-07-21T00:00:00"/>
    <s v="Idaho"/>
    <s v="ID"/>
    <s v="Male"/>
    <s v="Single"/>
    <s v="Area Sales Manager"/>
    <s v="Active"/>
    <s v="Contract"/>
    <s v="Zone B"/>
    <s v="Sales"/>
    <s v="Field Operations"/>
    <s v="White"/>
    <s v="Fully Meets"/>
    <n v="1"/>
  </r>
  <r>
    <x v="1478"/>
    <x v="1"/>
    <x v="856"/>
    <s v="48-57"/>
    <n v="50"/>
    <d v="1969-08-29T00:00:00"/>
    <s v="Florida"/>
    <s v="FL"/>
    <s v="Female"/>
    <s v="Married"/>
    <s v="Area Sales Manager"/>
    <s v="Active"/>
    <s v="Contract"/>
    <s v="Zone A"/>
    <s v="Sales"/>
    <s v="General - Con"/>
    <s v="Other"/>
    <s v="Fully Meets"/>
    <n v="5"/>
  </r>
  <r>
    <x v="1479"/>
    <x v="1"/>
    <x v="108"/>
    <s v="48-57"/>
    <n v="51"/>
    <d v="1968-03-16T00:00:00"/>
    <s v="Massachusetts"/>
    <s v="MA"/>
    <s v="Female"/>
    <s v="Widowed"/>
    <s v="Sr. Accountant"/>
    <s v="Active"/>
    <s v="Full-Time"/>
    <s v="Zone B"/>
    <s v="Admin Offices"/>
    <s v="Field Operations"/>
    <s v="White"/>
    <s v="Exceeds"/>
    <n v="1"/>
  </r>
  <r>
    <x v="1480"/>
    <x v="1"/>
    <x v="668"/>
    <s v="48-57"/>
    <n v="51"/>
    <d v="1968-06-23T00:00:00"/>
    <s v="Massachusetts"/>
    <s v="MA"/>
    <s v="Male"/>
    <s v="Married"/>
    <s v="Software Engineer"/>
    <s v="Terminated"/>
    <s v="Contract"/>
    <s v="Zone A"/>
    <s v="Software Engineering"/>
    <s v="Field Operations"/>
    <s v="Black"/>
    <s v="Fully Meets"/>
    <n v="2"/>
  </r>
  <r>
    <x v="1481"/>
    <x v="2"/>
    <x v="227"/>
    <s v="48-57"/>
    <n v="51"/>
    <d v="1969-04-07T00:00:00"/>
    <s v="Massachusetts"/>
    <s v="MA"/>
    <s v="Female"/>
    <s v="Widowed"/>
    <s v="Sales Manager"/>
    <s v="Active"/>
    <s v="Full-Time"/>
    <s v="Zone B"/>
    <s v="Sales"/>
    <s v="General - Eng"/>
    <s v="Black"/>
    <s v="Fully Meets"/>
    <n v="1"/>
  </r>
  <r>
    <x v="1482"/>
    <x v="3"/>
    <x v="405"/>
    <s v="48-57"/>
    <n v="51"/>
    <d v="1970-12-29T00:00:00"/>
    <s v="Massachusetts"/>
    <s v="MA"/>
    <s v="Female"/>
    <s v="Married"/>
    <s v="Sales Manager"/>
    <s v="Active"/>
    <s v="Part-Time"/>
    <s v="Zone B"/>
    <s v="IT/IS"/>
    <s v="Aerial"/>
    <s v="Black"/>
    <s v="Fully Meets"/>
    <n v="3"/>
  </r>
  <r>
    <x v="1483"/>
    <x v="5"/>
    <x v="1046"/>
    <s v="48-57"/>
    <n v="51"/>
    <d v="1972-08-29T00:00:00"/>
    <s v="Massachusetts"/>
    <s v="MA"/>
    <s v="Female"/>
    <s v="Widowed"/>
    <s v="Production Technician II"/>
    <s v="Terminated"/>
    <s v="Full-Time"/>
    <s v="Zone C"/>
    <s v="Production       "/>
    <s v="General - Sga"/>
    <s v="White"/>
    <s v="Fully Meets"/>
    <n v="2"/>
  </r>
  <r>
    <x v="1484"/>
    <x v="2"/>
    <x v="1047"/>
    <s v="48-57"/>
    <n v="51"/>
    <d v="1969-07-06T00:00:00"/>
    <s v="Massachusetts"/>
    <s v="MA"/>
    <s v="Male"/>
    <s v="Divorced"/>
    <s v="Production Technician II"/>
    <s v="Active"/>
    <s v="Part-Time"/>
    <s v="Zone A"/>
    <s v="Production       "/>
    <s v="General - Con"/>
    <s v="Other"/>
    <s v="Fully Meets"/>
    <n v="4"/>
  </r>
  <r>
    <x v="1485"/>
    <x v="1"/>
    <x v="501"/>
    <s v="48-57"/>
    <n v="51"/>
    <d v="1968-09-28T00:00:00"/>
    <s v="Massachusetts"/>
    <s v="MA"/>
    <s v="Female"/>
    <s v="Single"/>
    <s v="Production Technician II"/>
    <s v="Terminated"/>
    <s v="Contract"/>
    <s v="Zone B"/>
    <s v="Production       "/>
    <s v="General - Con"/>
    <s v="White"/>
    <s v="Fully Meets"/>
    <n v="2"/>
  </r>
  <r>
    <x v="1486"/>
    <x v="2"/>
    <x v="1048"/>
    <s v="48-57"/>
    <n v="51"/>
    <d v="1969-07-20T00:00:00"/>
    <s v="Massachusetts"/>
    <s v="MA"/>
    <s v="Male"/>
    <s v="Single"/>
    <s v="Production Technician II"/>
    <s v="Active"/>
    <s v="Part-Time"/>
    <s v="Zone B"/>
    <s v="Production       "/>
    <s v="Fielders"/>
    <s v="Other"/>
    <s v="Fully Meets"/>
    <n v="1"/>
  </r>
  <r>
    <x v="1487"/>
    <x v="3"/>
    <x v="656"/>
    <s v="48-57"/>
    <n v="51"/>
    <d v="1970-04-05T00:00:00"/>
    <s v="Massachusetts"/>
    <s v="MA"/>
    <s v="Female"/>
    <s v="Married"/>
    <s v="Production Technician II"/>
    <s v="Active"/>
    <s v="Full-Time"/>
    <s v="Zone B"/>
    <s v="Production       "/>
    <s v="Project Management - Con"/>
    <s v="Asian"/>
    <s v="Exceeds"/>
    <n v="5"/>
  </r>
  <r>
    <x v="1488"/>
    <x v="2"/>
    <x v="476"/>
    <s v="48-57"/>
    <n v="51"/>
    <d v="1969-08-22T00:00:00"/>
    <s v="Massachusetts"/>
    <s v="MA"/>
    <s v="Female"/>
    <s v="Widowed"/>
    <s v="Production Technician II"/>
    <s v="Active"/>
    <s v="Contract"/>
    <s v="Zone A"/>
    <s v="Production       "/>
    <s v="Engineers"/>
    <s v="Black"/>
    <s v="Exceeds"/>
    <n v="5"/>
  </r>
  <r>
    <x v="1489"/>
    <x v="0"/>
    <x v="1049"/>
    <s v="48-57"/>
    <n v="51"/>
    <d v="1967-01-17T00:00:00"/>
    <s v="Massachusetts"/>
    <s v="MA"/>
    <s v="Female"/>
    <s v="Divorced"/>
    <s v="Production Technician II"/>
    <s v="Active"/>
    <s v="Contract"/>
    <s v="Zone C"/>
    <s v="Production       "/>
    <s v="Wireline Construction"/>
    <s v="Asian"/>
    <s v="Needs Improvement"/>
    <n v="4"/>
  </r>
  <r>
    <x v="1490"/>
    <x v="1"/>
    <x v="1050"/>
    <s v="48-57"/>
    <n v="51"/>
    <d v="1968-07-22T00:00:00"/>
    <s v="Massachusetts"/>
    <s v="MA"/>
    <s v="Female"/>
    <s v="Divorced"/>
    <s v="Production Technician II"/>
    <s v="Terminated"/>
    <s v="Part-Time"/>
    <s v="Zone C"/>
    <s v="Production       "/>
    <s v="Finance &amp; Accounting"/>
    <s v="Other"/>
    <s v="Fully Meets"/>
    <n v="1"/>
  </r>
  <r>
    <x v="1491"/>
    <x v="5"/>
    <x v="262"/>
    <s v="48-57"/>
    <n v="51"/>
    <d v="1972-04-10T00:00:00"/>
    <s v="Massachusetts"/>
    <s v="MA"/>
    <s v="Male"/>
    <s v="Single"/>
    <s v="Production Technician II"/>
    <s v="Active"/>
    <s v="Part-Time"/>
    <s v="Zone A"/>
    <s v="Production       "/>
    <s v="Finance &amp; Accounting"/>
    <s v="Asian"/>
    <s v="Needs Improvement"/>
    <n v="1"/>
  </r>
  <r>
    <x v="1492"/>
    <x v="1"/>
    <x v="915"/>
    <s v="48-57"/>
    <n v="51"/>
    <d v="1968-08-08T00:00:00"/>
    <s v="Massachusetts"/>
    <s v="MA"/>
    <s v="Female"/>
    <s v="Married"/>
    <s v="Production Technician II"/>
    <s v="Terminated"/>
    <s v="Part-Time"/>
    <s v="Zone A"/>
    <s v="Production       "/>
    <s v="Isp"/>
    <s v="Other"/>
    <s v="Fully Meets"/>
    <n v="4"/>
  </r>
  <r>
    <x v="1493"/>
    <x v="3"/>
    <x v="407"/>
    <s v="48-57"/>
    <n v="51"/>
    <d v="1970-10-24T00:00:00"/>
    <s v="Massachusetts"/>
    <s v="MA"/>
    <s v="Female"/>
    <s v="Married"/>
    <s v="Production Technician II"/>
    <s v="Active"/>
    <s v="Full-Time"/>
    <s v="Zone A"/>
    <s v="Production       "/>
    <s v="General - Con"/>
    <s v="Other"/>
    <s v="Fully Meets"/>
    <n v="3"/>
  </r>
  <r>
    <x v="1494"/>
    <x v="2"/>
    <x v="252"/>
    <s v="48-57"/>
    <n v="51"/>
    <d v="1969-08-21T00:00:00"/>
    <s v="Massachusetts"/>
    <s v="MA"/>
    <s v="Male"/>
    <s v="Widowed"/>
    <s v="Production Technician I"/>
    <s v="Active"/>
    <s v="Part-Time"/>
    <s v="Zone B"/>
    <s v="Production       "/>
    <s v="Shop (Fleet)"/>
    <s v="Black"/>
    <s v="Fully Meets"/>
    <n v="1"/>
  </r>
  <r>
    <x v="1495"/>
    <x v="3"/>
    <x v="907"/>
    <s v="48-57"/>
    <n v="51"/>
    <d v="1970-06-04T00:00:00"/>
    <s v="Massachusetts"/>
    <s v="MA"/>
    <s v="Female"/>
    <s v="Divorced"/>
    <s v="Production Technician I"/>
    <s v="Active"/>
    <s v="Full-Time"/>
    <s v="Zone C"/>
    <s v="Production       "/>
    <s v="Shop (Fleet)"/>
    <s v="Black"/>
    <s v="Fully Meets"/>
    <n v="5"/>
  </r>
  <r>
    <x v="1496"/>
    <x v="0"/>
    <x v="164"/>
    <s v="48-57"/>
    <n v="51"/>
    <d v="1967-03-18T00:00:00"/>
    <s v="Massachusetts"/>
    <s v="MA"/>
    <s v="Female"/>
    <s v="Single"/>
    <s v="Production Technician I"/>
    <s v="Active"/>
    <s v="Contract"/>
    <s v="Zone B"/>
    <s v="Production       "/>
    <s v="General - Con"/>
    <s v="Hispanic"/>
    <s v="Fully Meets"/>
    <n v="3"/>
  </r>
  <r>
    <x v="1497"/>
    <x v="3"/>
    <x v="50"/>
    <s v="48-57"/>
    <n v="51"/>
    <d v="1970-07-10T00:00:00"/>
    <s v="Massachusetts"/>
    <s v="MA"/>
    <s v="Male"/>
    <s v="Married"/>
    <s v="Production Technician I"/>
    <s v="Active"/>
    <s v="Full-Time"/>
    <s v="Zone B"/>
    <s v="Production       "/>
    <s v="Field Operations"/>
    <s v="Black"/>
    <s v="Exceeds"/>
    <n v="1"/>
  </r>
  <r>
    <x v="1498"/>
    <x v="1"/>
    <x v="706"/>
    <s v="48-57"/>
    <n v="51"/>
    <d v="1968-02-10T00:00:00"/>
    <s v="Massachusetts"/>
    <s v="MA"/>
    <s v="Male"/>
    <s v="Single"/>
    <s v="Production Technician I"/>
    <s v="Active"/>
    <s v="Full-Time"/>
    <s v="Zone C"/>
    <s v="Production       "/>
    <s v="General - Eng"/>
    <s v="Other"/>
    <s v="Exceeds"/>
    <n v="4"/>
  </r>
  <r>
    <x v="1499"/>
    <x v="5"/>
    <x v="1051"/>
    <s v="48-57"/>
    <n v="51"/>
    <d v="1972-12-11T00:00:00"/>
    <s v="Massachusetts"/>
    <s v="MA"/>
    <s v="Male"/>
    <s v="Married"/>
    <s v="Production Technician I"/>
    <s v="Active"/>
    <s v="Full-Time"/>
    <s v="Zone C"/>
    <s v="Production       "/>
    <s v="Aerial"/>
    <s v="White"/>
    <s v="Needs Improvement"/>
    <n v="5"/>
  </r>
  <r>
    <x v="1500"/>
    <x v="2"/>
    <x v="716"/>
    <s v="48-57"/>
    <n v="51"/>
    <d v="1969-07-11T00:00:00"/>
    <s v="Massachusetts"/>
    <s v="MA"/>
    <s v="Male"/>
    <s v="Single"/>
    <s v="Production Technician I"/>
    <s v="Terminated"/>
    <s v="Full-Time"/>
    <s v="Zone B"/>
    <s v="Production       "/>
    <s v="Field Operations"/>
    <s v="Hispanic"/>
    <s v="Exceeds"/>
    <n v="4"/>
  </r>
  <r>
    <x v="1501"/>
    <x v="2"/>
    <x v="1052"/>
    <s v="48-57"/>
    <n v="51"/>
    <d v="1969-05-17T00:00:00"/>
    <s v="Massachusetts"/>
    <s v="MA"/>
    <s v="Male"/>
    <s v="Divorced"/>
    <s v="Production Technician I"/>
    <s v="Active"/>
    <s v="Contract"/>
    <s v="Zone A"/>
    <s v="Production       "/>
    <s v="Engineers"/>
    <s v="Asian"/>
    <s v="Fully Meets"/>
    <n v="4"/>
  </r>
  <r>
    <x v="1502"/>
    <x v="2"/>
    <x v="173"/>
    <s v="48-57"/>
    <n v="51"/>
    <d v="1969-10-22T00:00:00"/>
    <s v="Massachusetts"/>
    <s v="MA"/>
    <s v="Male"/>
    <s v="Divorced"/>
    <s v="Production Technician I"/>
    <s v="Terminated"/>
    <s v="Contract"/>
    <s v="Zone A"/>
    <s v="Production       "/>
    <s v="Field Operations"/>
    <s v="Asian"/>
    <s v="Fully Meets"/>
    <n v="2"/>
  </r>
  <r>
    <x v="1503"/>
    <x v="2"/>
    <x v="1053"/>
    <s v="48-57"/>
    <n v="51"/>
    <d v="1969-01-01T00:00:00"/>
    <s v="Massachusetts"/>
    <s v="MA"/>
    <s v="Female"/>
    <s v="Married"/>
    <s v="Production Technician I"/>
    <s v="Active"/>
    <s v="Contract"/>
    <s v="Zone A"/>
    <s v="Production       "/>
    <s v="Project Management - Con"/>
    <s v="Asian"/>
    <s v="Exceeds"/>
    <n v="4"/>
  </r>
  <r>
    <x v="1504"/>
    <x v="0"/>
    <x v="289"/>
    <s v="48-57"/>
    <n v="51"/>
    <d v="1967-05-27T00:00:00"/>
    <s v="Massachusetts"/>
    <s v="MA"/>
    <s v="Female"/>
    <s v="Single"/>
    <s v="Production Technician I"/>
    <s v="Active"/>
    <s v="Full-Time"/>
    <s v="Zone C"/>
    <s v="Production       "/>
    <s v="General - Sga"/>
    <s v="White"/>
    <s v="Fully Meets"/>
    <n v="1"/>
  </r>
  <r>
    <x v="1505"/>
    <x v="0"/>
    <x v="1054"/>
    <s v="48-57"/>
    <n v="51"/>
    <d v="1967-07-03T00:00:00"/>
    <s v="Massachusetts"/>
    <s v="MA"/>
    <s v="Female"/>
    <s v="Single"/>
    <s v="Production Technician I"/>
    <s v="Active"/>
    <s v="Full-Time"/>
    <s v="Zone B"/>
    <s v="Production       "/>
    <s v="Project Management - Con"/>
    <s v="Black"/>
    <s v="Fully Meets"/>
    <n v="4"/>
  </r>
  <r>
    <x v="1506"/>
    <x v="5"/>
    <x v="1055"/>
    <s v="48-57"/>
    <n v="51"/>
    <d v="1972-05-26T00:00:00"/>
    <s v="Massachusetts"/>
    <s v="MA"/>
    <s v="Female"/>
    <s v="Married"/>
    <s v="Production Technician I"/>
    <s v="Active"/>
    <s v="Full-Time"/>
    <s v="Zone A"/>
    <s v="Production       "/>
    <s v="Field Operations"/>
    <s v="Hispanic"/>
    <s v="Exceeds"/>
    <n v="2"/>
  </r>
  <r>
    <x v="1507"/>
    <x v="4"/>
    <x v="1056"/>
    <s v="48-57"/>
    <n v="51"/>
    <d v="1971-08-28T00:00:00"/>
    <s v="Massachusetts"/>
    <s v="MA"/>
    <s v="Female"/>
    <s v="Widowed"/>
    <s v="Production Technician I"/>
    <s v="Active"/>
    <s v="Full-Time"/>
    <s v="Zone B"/>
    <s v="Production       "/>
    <s v="General - Con"/>
    <s v="Asian"/>
    <s v="Fully Meets"/>
    <n v="4"/>
  </r>
  <r>
    <x v="1508"/>
    <x v="4"/>
    <x v="1057"/>
    <s v="48-57"/>
    <n v="51"/>
    <d v="1971-12-24T00:00:00"/>
    <s v="Massachusetts"/>
    <s v="MA"/>
    <s v="Female"/>
    <s v="Single"/>
    <s v="Production Technician I"/>
    <s v="Active"/>
    <s v="Part-Time"/>
    <s v="Zone A"/>
    <s v="Production       "/>
    <s v="Field Operations"/>
    <s v="Other"/>
    <s v="Fully Meets"/>
    <n v="5"/>
  </r>
  <r>
    <x v="1509"/>
    <x v="3"/>
    <x v="671"/>
    <s v="48-57"/>
    <n v="51"/>
    <d v="1970-08-27T00:00:00"/>
    <s v="Massachusetts"/>
    <s v="MA"/>
    <s v="Male"/>
    <s v="Single"/>
    <s v="Production Manager"/>
    <s v="Active"/>
    <s v="Full-Time"/>
    <s v="Zone A"/>
    <s v="Production       "/>
    <s v="Wireline Construction"/>
    <s v="Asian"/>
    <s v="Fully Meets"/>
    <n v="5"/>
  </r>
  <r>
    <x v="1510"/>
    <x v="4"/>
    <x v="1014"/>
    <s v="48-57"/>
    <n v="51"/>
    <d v="1971-05-28T00:00:00"/>
    <s v="Massachusetts"/>
    <s v="MA"/>
    <s v="Male"/>
    <s v="Single"/>
    <s v="Production Manager"/>
    <s v="Active"/>
    <s v="Full-Time"/>
    <s v="Zone C"/>
    <s v="Production       "/>
    <s v="Project Management - Con"/>
    <s v="Other"/>
    <s v="Fully Meets"/>
    <n v="3"/>
  </r>
  <r>
    <x v="1511"/>
    <x v="3"/>
    <x v="1058"/>
    <s v="48-57"/>
    <n v="51"/>
    <d v="1970-06-17T00:00:00"/>
    <s v="Connecticut"/>
    <s v="CT"/>
    <s v="Male"/>
    <s v="Single"/>
    <s v="Principal Data Architect"/>
    <s v="Active"/>
    <s v="Full-Time"/>
    <s v="Zone C"/>
    <s v="IT/IS"/>
    <s v="Wireline Construction"/>
    <s v="Asian"/>
    <s v="Fully Meets"/>
    <n v="4"/>
  </r>
  <r>
    <x v="1512"/>
    <x v="0"/>
    <x v="154"/>
    <s v="48-57"/>
    <n v="51"/>
    <d v="1967-02-18T00:00:00"/>
    <s v="Massachusetts"/>
    <s v="MA"/>
    <s v="Male"/>
    <s v="Divorced"/>
    <s v="Network Engineer"/>
    <s v="Active"/>
    <s v="Contract"/>
    <s v="Zone B"/>
    <s v="Executive Office"/>
    <s v="Engineers"/>
    <s v="Other"/>
    <s v="Fully Meets"/>
    <n v="4"/>
  </r>
  <r>
    <x v="1513"/>
    <x v="4"/>
    <x v="1059"/>
    <s v="48-57"/>
    <n v="51"/>
    <d v="1971-06-05T00:00:00"/>
    <s v="Massachusetts"/>
    <s v="MA"/>
    <s v="Female"/>
    <s v="Widowed"/>
    <s v="IT Support"/>
    <s v="Active"/>
    <s v="Full-Time"/>
    <s v="Zone B"/>
    <s v="IT/IS"/>
    <s v="General - Con"/>
    <s v="White"/>
    <s v="Fully Meets"/>
    <n v="5"/>
  </r>
  <r>
    <x v="1514"/>
    <x v="3"/>
    <x v="1060"/>
    <s v="48-57"/>
    <n v="51"/>
    <d v="1970-09-08T00:00:00"/>
    <s v="Massachusetts"/>
    <s v="MA"/>
    <s v="Male"/>
    <s v="Single"/>
    <s v="IT Director"/>
    <s v="Active"/>
    <s v="Full-Time"/>
    <s v="Zone A"/>
    <s v="IT/IS"/>
    <s v="General - Con"/>
    <s v="Hispanic"/>
    <s v="Fully Meets"/>
    <n v="1"/>
  </r>
  <r>
    <x v="1515"/>
    <x v="3"/>
    <x v="1061"/>
    <s v="48-57"/>
    <n v="51"/>
    <d v="1970-07-15T00:00:00"/>
    <s v="Massachusetts"/>
    <s v="MA"/>
    <s v="Male"/>
    <s v="Widowed"/>
    <s v="Director of Sales"/>
    <s v="Active"/>
    <s v="Full-Time"/>
    <s v="Zone A"/>
    <s v="Sales"/>
    <s v="General - Con"/>
    <s v="Hispanic"/>
    <s v="Fully Meets"/>
    <n v="5"/>
  </r>
  <r>
    <x v="1516"/>
    <x v="4"/>
    <x v="190"/>
    <s v="48-57"/>
    <n v="51"/>
    <d v="1971-09-02T00:00:00"/>
    <s v="Massachusetts"/>
    <s v="MA"/>
    <s v="Female"/>
    <s v="Divorced"/>
    <s v="Data Analyst"/>
    <s v="Active"/>
    <s v="Part-Time"/>
    <s v="Zone C"/>
    <s v="IT/IS"/>
    <s v="Wireline Construction"/>
    <s v="White"/>
    <s v="Fully Meets"/>
    <n v="1"/>
  </r>
  <r>
    <x v="1517"/>
    <x v="4"/>
    <x v="1062"/>
    <s v="48-57"/>
    <n v="51"/>
    <d v="1971-07-02T00:00:00"/>
    <s v="Massachusetts"/>
    <s v="MA"/>
    <s v="Male"/>
    <s v="Widowed"/>
    <s v="CIO"/>
    <s v="Terminated"/>
    <s v="Contract"/>
    <s v="Zone B"/>
    <s v="IT/IS"/>
    <s v="General - Con"/>
    <s v="Other"/>
    <s v="Fully Meets"/>
    <n v="5"/>
  </r>
  <r>
    <x v="1518"/>
    <x v="5"/>
    <x v="1063"/>
    <s v="48-57"/>
    <n v="51"/>
    <d v="1972-07-11T00:00:00"/>
    <s v="Washington"/>
    <s v="WA"/>
    <s v="Male"/>
    <s v="Widowed"/>
    <s v="Area Sales Manager"/>
    <s v="Active"/>
    <s v="Part-Time"/>
    <s v="Zone C"/>
    <s v="Sales"/>
    <s v="Field Operations"/>
    <s v="Asian"/>
    <s v="Fully Meets"/>
    <n v="1"/>
  </r>
  <r>
    <x v="1519"/>
    <x v="4"/>
    <x v="85"/>
    <s v="48-57"/>
    <n v="51"/>
    <d v="1971-11-18T00:00:00"/>
    <s v="Utah"/>
    <s v="UT"/>
    <s v="Male"/>
    <s v="Widowed"/>
    <s v="Area Sales Manager"/>
    <s v="Active"/>
    <s v="Full-Time"/>
    <s v="Zone C"/>
    <s v="Sales"/>
    <s v="Billable Consultants"/>
    <s v="Hispanic"/>
    <s v="Fully Meets"/>
    <n v="1"/>
  </r>
  <r>
    <x v="1520"/>
    <x v="3"/>
    <x v="378"/>
    <s v="48-57"/>
    <n v="51"/>
    <d v="1970-08-11T00:00:00"/>
    <s v="Tennessee"/>
    <s v="TN"/>
    <s v="Male"/>
    <s v="Married"/>
    <s v="Area Sales Manager"/>
    <s v="Active"/>
    <s v="Part-Time"/>
    <s v="Zone A"/>
    <s v="Sales"/>
    <s v="Engineers"/>
    <s v="Black"/>
    <s v="Fully Meets"/>
    <n v="3"/>
  </r>
  <r>
    <x v="1521"/>
    <x v="2"/>
    <x v="1064"/>
    <s v="48-57"/>
    <n v="51"/>
    <d v="1969-12-27T00:00:00"/>
    <s v="Montana"/>
    <s v="MT"/>
    <s v="Female"/>
    <s v="Widowed"/>
    <s v="Area Sales Manager"/>
    <s v="Active"/>
    <s v="Contract"/>
    <s v="Zone B"/>
    <s v="Sales"/>
    <s v="General - Sga"/>
    <s v="Asian"/>
    <s v="Fully Meets"/>
    <n v="4"/>
  </r>
  <r>
    <x v="1522"/>
    <x v="3"/>
    <x v="1065"/>
    <s v="48-57"/>
    <n v="51"/>
    <d v="1970-11-12T00:00:00"/>
    <s v="Alabama"/>
    <s v="AL"/>
    <s v="Male"/>
    <s v="Divorced"/>
    <s v="Area Sales Manager"/>
    <s v="Active"/>
    <s v="Full-Time"/>
    <s v="Zone A"/>
    <s v="Sales"/>
    <s v="Field Operations"/>
    <s v="Other"/>
    <s v="Fully Meets"/>
    <n v="3"/>
  </r>
  <r>
    <x v="1523"/>
    <x v="3"/>
    <x v="147"/>
    <s v="48-57"/>
    <n v="52"/>
    <d v="1969-08-23T00:00:00"/>
    <s v="Connecticut"/>
    <s v="CT"/>
    <s v="Male"/>
    <s v="Divorced"/>
    <s v="Sr. Network Engineer"/>
    <s v="Active"/>
    <s v="Contract"/>
    <s v="Zone A"/>
    <s v="IT/IS"/>
    <s v="Underground"/>
    <s v="Asian"/>
    <s v="Fully Meets"/>
    <n v="5"/>
  </r>
  <r>
    <x v="1524"/>
    <x v="5"/>
    <x v="1066"/>
    <s v="48-57"/>
    <n v="52"/>
    <d v="1971-05-04T00:00:00"/>
    <s v="Massachusetts"/>
    <s v="MA"/>
    <s v="Male"/>
    <s v="Married"/>
    <s v="Software Engineer"/>
    <s v="Active"/>
    <s v="Contract"/>
    <s v="Zone B"/>
    <s v="Software Engineering"/>
    <s v="Field Operations"/>
    <s v="Hispanic"/>
    <s v="Fully Meets"/>
    <n v="1"/>
  </r>
  <r>
    <x v="1525"/>
    <x v="4"/>
    <x v="205"/>
    <s v="48-57"/>
    <n v="52"/>
    <d v="1970-07-28T00:00:00"/>
    <s v="Massachusetts"/>
    <s v="MA"/>
    <s v="Male"/>
    <s v="Divorced"/>
    <s v="Software Engineer"/>
    <s v="Active"/>
    <s v="Full-Time"/>
    <s v="Zone B"/>
    <s v="Software Engineering"/>
    <s v="Field Operations"/>
    <s v="Black"/>
    <s v="Fully Meets"/>
    <n v="4"/>
  </r>
  <r>
    <x v="1526"/>
    <x v="1"/>
    <x v="1067"/>
    <s v="48-57"/>
    <n v="52"/>
    <d v="1967-02-23T00:00:00"/>
    <s v="Massachusetts"/>
    <s v="MA"/>
    <s v="Female"/>
    <s v="Married"/>
    <s v="Production Technician II"/>
    <s v="Terminated"/>
    <s v="Contract"/>
    <s v="Zone C"/>
    <s v="Production       "/>
    <s v="Field Operations"/>
    <s v="Black"/>
    <s v="Fully Meets"/>
    <n v="1"/>
  </r>
  <r>
    <x v="1527"/>
    <x v="4"/>
    <x v="1068"/>
    <s v="48-57"/>
    <n v="52"/>
    <d v="1970-11-22T00:00:00"/>
    <s v="Massachusetts"/>
    <s v="MA"/>
    <s v="Female"/>
    <s v="Married"/>
    <s v="Production Technician II"/>
    <s v="Terminated"/>
    <s v="Full-Time"/>
    <s v="Zone A"/>
    <s v="Production       "/>
    <s v="Wireless"/>
    <s v="Hispanic"/>
    <s v="Exceeds"/>
    <n v="2"/>
  </r>
  <r>
    <x v="1528"/>
    <x v="5"/>
    <x v="694"/>
    <s v="48-57"/>
    <n v="52"/>
    <d v="1971-05-23T00:00:00"/>
    <s v="Massachusetts"/>
    <s v="MA"/>
    <s v="Male"/>
    <s v="Single"/>
    <s v="Production Technician II"/>
    <s v="Active"/>
    <s v="Part-Time"/>
    <s v="Zone B"/>
    <s v="Production       "/>
    <s v="Aerial"/>
    <s v="White"/>
    <s v="Fully Meets"/>
    <n v="4"/>
  </r>
  <r>
    <x v="1529"/>
    <x v="5"/>
    <x v="595"/>
    <s v="48-57"/>
    <n v="52"/>
    <d v="1971-11-21T00:00:00"/>
    <s v="Massachusetts"/>
    <s v="MA"/>
    <s v="Female"/>
    <s v="Married"/>
    <s v="Production Technician II"/>
    <s v="Active"/>
    <s v="Contract"/>
    <s v="Zone B"/>
    <s v="Production       "/>
    <s v="Field Operations"/>
    <s v="White"/>
    <s v="PIP"/>
    <n v="3"/>
  </r>
  <r>
    <x v="1530"/>
    <x v="2"/>
    <x v="454"/>
    <s v="48-57"/>
    <n v="52"/>
    <d v="1968-03-30T00:00:00"/>
    <s v="Massachusetts"/>
    <s v="MA"/>
    <s v="Female"/>
    <s v="Widowed"/>
    <s v="Production Technician II"/>
    <s v="Active"/>
    <s v="Part-Time"/>
    <s v="Zone B"/>
    <s v="Production       "/>
    <s v="Aerial"/>
    <s v="White"/>
    <s v="Exceeds"/>
    <n v="4"/>
  </r>
  <r>
    <x v="1531"/>
    <x v="1"/>
    <x v="1069"/>
    <s v="48-57"/>
    <n v="52"/>
    <d v="1967-11-25T00:00:00"/>
    <s v="Massachusetts"/>
    <s v="MA"/>
    <s v="Female"/>
    <s v="Widowed"/>
    <s v="Production Technician II"/>
    <s v="Active"/>
    <s v="Part-Time"/>
    <s v="Zone B"/>
    <s v="Production       "/>
    <s v="Field Operations"/>
    <s v="Hispanic"/>
    <s v="Fully Meets"/>
    <n v="2"/>
  </r>
  <r>
    <x v="1532"/>
    <x v="4"/>
    <x v="1070"/>
    <s v="48-57"/>
    <n v="52"/>
    <d v="1970-02-26T00:00:00"/>
    <s v="Massachusetts"/>
    <s v="MA"/>
    <s v="Male"/>
    <s v="Divorced"/>
    <s v="Production Technician II"/>
    <s v="Active"/>
    <s v="Full-Time"/>
    <s v="Zone C"/>
    <s v="Production       "/>
    <s v="Executive"/>
    <s v="White"/>
    <s v="Exceeds"/>
    <n v="5"/>
  </r>
  <r>
    <x v="1533"/>
    <x v="2"/>
    <x v="597"/>
    <s v="48-57"/>
    <n v="52"/>
    <d v="1968-08-09T00:00:00"/>
    <s v="Massachusetts"/>
    <s v="MA"/>
    <s v="Male"/>
    <s v="Widowed"/>
    <s v="Production Technician I"/>
    <s v="Active"/>
    <s v="Part-Time"/>
    <s v="Zone B"/>
    <s v="Production       "/>
    <s v="Yard (Material Handling)"/>
    <s v="Asian"/>
    <s v="Fully Meets"/>
    <n v="2"/>
  </r>
  <r>
    <x v="1534"/>
    <x v="1"/>
    <x v="178"/>
    <s v="48-57"/>
    <n v="52"/>
    <d v="1967-12-16T00:00:00"/>
    <s v="Massachusetts"/>
    <s v="MA"/>
    <s v="Female"/>
    <s v="Divorced"/>
    <s v="Production Technician I"/>
    <s v="Active"/>
    <s v="Full-Time"/>
    <s v="Zone A"/>
    <s v="Production       "/>
    <s v="Field Operations"/>
    <s v="White"/>
    <s v="Fully Meets"/>
    <n v="5"/>
  </r>
  <r>
    <x v="1535"/>
    <x v="5"/>
    <x v="126"/>
    <s v="48-57"/>
    <n v="52"/>
    <d v="1971-01-11T00:00:00"/>
    <s v="Massachusetts"/>
    <s v="MA"/>
    <s v="Female"/>
    <s v="Single"/>
    <s v="Production Technician I"/>
    <s v="Active"/>
    <s v="Full-Time"/>
    <s v="Zone B"/>
    <s v="Production       "/>
    <s v="General - Eng"/>
    <s v="Asian"/>
    <s v="Fully Meets"/>
    <n v="5"/>
  </r>
  <r>
    <x v="1536"/>
    <x v="1"/>
    <x v="1069"/>
    <s v="48-57"/>
    <n v="52"/>
    <d v="1967-07-09T00:00:00"/>
    <s v="Massachusetts"/>
    <s v="MA"/>
    <s v="Male"/>
    <s v="Widowed"/>
    <s v="Production Technician I"/>
    <s v="Active"/>
    <s v="Full-Time"/>
    <s v="Zone C"/>
    <s v="Production       "/>
    <s v="Wireline Construction"/>
    <s v="Black"/>
    <s v="Fully Meets"/>
    <n v="1"/>
  </r>
  <r>
    <x v="1537"/>
    <x v="4"/>
    <x v="1071"/>
    <s v="48-57"/>
    <n v="52"/>
    <d v="1970-12-29T00:00:00"/>
    <s v="Massachusetts"/>
    <s v="MA"/>
    <s v="Female"/>
    <s v="Married"/>
    <s v="Production Technician I"/>
    <s v="Active"/>
    <s v="Full-Time"/>
    <s v="Zone B"/>
    <s v="Production       "/>
    <s v="General - Eng"/>
    <s v="Black"/>
    <s v="Exceeds"/>
    <n v="1"/>
  </r>
  <r>
    <x v="1538"/>
    <x v="5"/>
    <x v="1072"/>
    <s v="48-57"/>
    <n v="52"/>
    <d v="1971-10-06T00:00:00"/>
    <s v="Massachusetts"/>
    <s v="MA"/>
    <s v="Female"/>
    <s v="Widowed"/>
    <s v="Production Technician I"/>
    <s v="Active"/>
    <s v="Full-Time"/>
    <s v="Zone B"/>
    <s v="Production       "/>
    <s v="Splicing"/>
    <s v="Asian"/>
    <s v="Exceeds"/>
    <n v="1"/>
  </r>
  <r>
    <x v="1539"/>
    <x v="3"/>
    <x v="82"/>
    <s v="48-57"/>
    <n v="52"/>
    <d v="1969-06-20T00:00:00"/>
    <s v="Massachusetts"/>
    <s v="MA"/>
    <s v="Female"/>
    <s v="Married"/>
    <s v="Production Technician I"/>
    <s v="Active"/>
    <s v="Part-Time"/>
    <s v="Zone C"/>
    <s v="Production       "/>
    <s v="Technology / It"/>
    <s v="Black"/>
    <s v="PIP"/>
    <n v="4"/>
  </r>
  <r>
    <x v="1540"/>
    <x v="0"/>
    <x v="4"/>
    <s v="48-57"/>
    <n v="52"/>
    <d v="1966-06-04T00:00:00"/>
    <s v="Massachusetts"/>
    <s v="MA"/>
    <s v="Female"/>
    <s v="Married"/>
    <s v="Production Technician I"/>
    <s v="Active"/>
    <s v="Contract"/>
    <s v="Zone C"/>
    <s v="Production       "/>
    <s v="Technology / It"/>
    <s v="White"/>
    <s v="Fully Meets"/>
    <n v="3"/>
  </r>
  <r>
    <x v="1541"/>
    <x v="3"/>
    <x v="1023"/>
    <s v="48-57"/>
    <n v="52"/>
    <d v="1969-05-24T00:00:00"/>
    <s v="Massachusetts"/>
    <s v="MA"/>
    <s v="Female"/>
    <s v="Single"/>
    <s v="Production Technician I"/>
    <s v="Active"/>
    <s v="Part-Time"/>
    <s v="Zone C"/>
    <s v="Production       "/>
    <s v="Field Operations"/>
    <s v="Asian"/>
    <s v="Exceeds"/>
    <n v="3"/>
  </r>
  <r>
    <x v="1542"/>
    <x v="3"/>
    <x v="936"/>
    <s v="48-57"/>
    <n v="52"/>
    <d v="1969-08-07T00:00:00"/>
    <s v="Massachusetts"/>
    <s v="MA"/>
    <s v="Female"/>
    <s v="Single"/>
    <s v="Production Technician I"/>
    <s v="Active"/>
    <s v="Full-Time"/>
    <s v="Zone B"/>
    <s v="Production       "/>
    <s v="General - Eng"/>
    <s v="Hispanic"/>
    <s v="Exceeds"/>
    <n v="1"/>
  </r>
  <r>
    <x v="1543"/>
    <x v="4"/>
    <x v="1073"/>
    <s v="48-57"/>
    <n v="52"/>
    <d v="1970-10-14T00:00:00"/>
    <s v="Massachusetts"/>
    <s v="MA"/>
    <s v="Female"/>
    <s v="Widowed"/>
    <s v="Production Technician I"/>
    <s v="Terminated"/>
    <s v="Part-Time"/>
    <s v="Zone B"/>
    <s v="Production       "/>
    <s v="Isp"/>
    <s v="Asian"/>
    <s v="Needs Improvement"/>
    <n v="2"/>
  </r>
  <r>
    <x v="1544"/>
    <x v="5"/>
    <x v="514"/>
    <s v="48-57"/>
    <n v="52"/>
    <d v="1971-03-30T00:00:00"/>
    <s v="Massachusetts"/>
    <s v="MA"/>
    <s v="Female"/>
    <s v="Divorced"/>
    <s v="Production Technician I"/>
    <s v="Active"/>
    <s v="Part-Time"/>
    <s v="Zone A"/>
    <s v="Production       "/>
    <s v="General - Con"/>
    <s v="Other"/>
    <s v="Fully Meets"/>
    <n v="3"/>
  </r>
  <r>
    <x v="1545"/>
    <x v="5"/>
    <x v="1074"/>
    <s v="48-57"/>
    <n v="52"/>
    <d v="1971-04-17T00:00:00"/>
    <s v="Massachusetts"/>
    <s v="MA"/>
    <s v="Female"/>
    <s v="Single"/>
    <s v="Production Technician I"/>
    <s v="Active"/>
    <s v="Part-Time"/>
    <s v="Zone B"/>
    <s v="Production       "/>
    <s v="Project Management - Con"/>
    <s v="Asian"/>
    <s v="Fully Meets"/>
    <n v="3"/>
  </r>
  <r>
    <x v="1546"/>
    <x v="1"/>
    <x v="1075"/>
    <s v="48-57"/>
    <n v="52"/>
    <d v="1967-08-17T00:00:00"/>
    <s v="Massachusetts"/>
    <s v="MA"/>
    <s v="Male"/>
    <s v="Single"/>
    <s v="Production Technician I"/>
    <s v="Active"/>
    <s v="Contract"/>
    <s v="Zone B"/>
    <s v="Production       "/>
    <s v="Splicing"/>
    <s v="White"/>
    <s v="Exceeds"/>
    <n v="5"/>
  </r>
  <r>
    <x v="1547"/>
    <x v="2"/>
    <x v="1076"/>
    <s v="48-57"/>
    <n v="52"/>
    <d v="1968-12-19T00:00:00"/>
    <s v="Massachusetts"/>
    <s v="MA"/>
    <s v="Female"/>
    <s v="Widowed"/>
    <s v="Production Technician I"/>
    <s v="Terminated"/>
    <s v="Part-Time"/>
    <s v="Zone A"/>
    <s v="Production       "/>
    <s v="Finance &amp; Accounting"/>
    <s v="White"/>
    <s v="Fully Meets"/>
    <n v="2"/>
  </r>
  <r>
    <x v="1548"/>
    <x v="1"/>
    <x v="26"/>
    <s v="48-57"/>
    <n v="52"/>
    <d v="1967-10-17T00:00:00"/>
    <s v="Massachusetts"/>
    <s v="MA"/>
    <s v="Female"/>
    <s v="Married"/>
    <s v="Production Technician I"/>
    <s v="Active"/>
    <s v="Part-Time"/>
    <s v="Zone C"/>
    <s v="Production       "/>
    <s v="Field Operations"/>
    <s v="Hispanic"/>
    <s v="Fully Meets"/>
    <n v="5"/>
  </r>
  <r>
    <x v="1549"/>
    <x v="2"/>
    <x v="210"/>
    <s v="48-57"/>
    <n v="52"/>
    <d v="1968-09-12T00:00:00"/>
    <s v="Massachusetts"/>
    <s v="MA"/>
    <s v="Female"/>
    <s v="Single"/>
    <s v="Production Technician I"/>
    <s v="Terminated"/>
    <s v="Part-Time"/>
    <s v="Zone B"/>
    <s v="Production       "/>
    <s v="Engineers"/>
    <s v="Other"/>
    <s v="Fully Meets"/>
    <n v="3"/>
  </r>
  <r>
    <x v="1550"/>
    <x v="2"/>
    <x v="458"/>
    <s v="48-57"/>
    <n v="52"/>
    <d v="1968-07-06T00:00:00"/>
    <s v="Massachusetts"/>
    <s v="MA"/>
    <s v="Female"/>
    <s v="Married"/>
    <s v="Production Technician I"/>
    <s v="Active"/>
    <s v="Contract"/>
    <s v="Zone A"/>
    <s v="Production       "/>
    <s v="Aerial"/>
    <s v="Other"/>
    <s v="Fully Meets"/>
    <n v="2"/>
  </r>
  <r>
    <x v="1551"/>
    <x v="2"/>
    <x v="526"/>
    <s v="48-57"/>
    <n v="52"/>
    <d v="1968-01-30T00:00:00"/>
    <s v="Massachusetts"/>
    <s v="MA"/>
    <s v="Female"/>
    <s v="Widowed"/>
    <s v="Production Technician I"/>
    <s v="Terminated"/>
    <s v="Full-Time"/>
    <s v="Zone C"/>
    <s v="Production       "/>
    <s v="Isp"/>
    <s v="White"/>
    <s v="Fully Meets"/>
    <n v="5"/>
  </r>
  <r>
    <x v="1552"/>
    <x v="2"/>
    <x v="785"/>
    <s v="48-57"/>
    <n v="52"/>
    <d v="1968-09-20T00:00:00"/>
    <s v="Massachusetts"/>
    <s v="MA"/>
    <s v="Female"/>
    <s v="Divorced"/>
    <s v="Production Technician I"/>
    <s v="Active"/>
    <s v="Part-Time"/>
    <s v="Zone B"/>
    <s v="Production       "/>
    <s v="People Services"/>
    <s v="Black"/>
    <s v="Fully Meets"/>
    <n v="3"/>
  </r>
  <r>
    <x v="1553"/>
    <x v="4"/>
    <x v="1077"/>
    <s v="48-57"/>
    <n v="52"/>
    <d v="1970-01-27T00:00:00"/>
    <s v="Massachusetts"/>
    <s v="MA"/>
    <s v="Female"/>
    <s v="Divorced"/>
    <s v="Production Technician I"/>
    <s v="Active"/>
    <s v="Part-Time"/>
    <s v="Zone C"/>
    <s v="Production       "/>
    <s v="Field Operations"/>
    <s v="Hispanic"/>
    <s v="Fully Meets"/>
    <n v="4"/>
  </r>
  <r>
    <x v="1554"/>
    <x v="1"/>
    <x v="1078"/>
    <s v="48-57"/>
    <n v="52"/>
    <d v="1967-07-28T00:00:00"/>
    <s v="Massachusetts"/>
    <s v="MA"/>
    <s v="Male"/>
    <s v="Single"/>
    <s v="Production Manager"/>
    <s v="Active"/>
    <s v="Part-Time"/>
    <s v="Zone A"/>
    <s v="Production       "/>
    <s v="Fielders"/>
    <s v="Asian"/>
    <s v="Fully Meets"/>
    <n v="5"/>
  </r>
  <r>
    <x v="1555"/>
    <x v="0"/>
    <x v="3"/>
    <s v="48-57"/>
    <n v="52"/>
    <d v="1966-01-08T00:00:00"/>
    <s v="Massachusetts"/>
    <s v="MA"/>
    <s v="Female"/>
    <s v="Single"/>
    <s v="IT Support"/>
    <s v="Active"/>
    <s v="Contract"/>
    <s v="Zone B"/>
    <s v="IT/IS"/>
    <s v="Engineers"/>
    <s v="Asian"/>
    <s v="Fully Meets"/>
    <n v="5"/>
  </r>
  <r>
    <x v="1556"/>
    <x v="5"/>
    <x v="262"/>
    <s v="48-57"/>
    <n v="52"/>
    <d v="1971-06-18T00:00:00"/>
    <s v="Connecticut"/>
    <s v="CT"/>
    <s v="Female"/>
    <s v="Divorced"/>
    <s v="IT Support"/>
    <s v="Active"/>
    <s v="Full-Time"/>
    <s v="Zone A"/>
    <s v="IT/IS"/>
    <s v="General - Con"/>
    <s v="Hispanic"/>
    <s v="Fully Meets"/>
    <n v="3"/>
  </r>
  <r>
    <x v="1557"/>
    <x v="5"/>
    <x v="1079"/>
    <s v="48-57"/>
    <n v="52"/>
    <d v="1971-12-03T00:00:00"/>
    <s v="Massachusetts"/>
    <s v="MA"/>
    <s v="Male"/>
    <s v="Divorced"/>
    <s v="IT Manager - DB"/>
    <s v="Active"/>
    <s v="Part-Time"/>
    <s v="Zone A"/>
    <s v="IT/IS"/>
    <s v="Engineers"/>
    <s v="Black"/>
    <s v="Exceeds"/>
    <n v="2"/>
  </r>
  <r>
    <x v="1558"/>
    <x v="1"/>
    <x v="132"/>
    <s v="48-57"/>
    <n v="52"/>
    <d v="1967-11-08T00:00:00"/>
    <s v="Massachusetts"/>
    <s v="MA"/>
    <s v="Female"/>
    <s v="Widowed"/>
    <s v="IT Manager - DB"/>
    <s v="Active"/>
    <s v="Part-Time"/>
    <s v="Zone B"/>
    <s v="IT/IS"/>
    <s v="Field Operations"/>
    <s v="Asian"/>
    <s v="Exceeds"/>
    <n v="1"/>
  </r>
  <r>
    <x v="1559"/>
    <x v="4"/>
    <x v="1080"/>
    <s v="48-57"/>
    <n v="52"/>
    <d v="1970-08-06T00:00:00"/>
    <s v="Massachusetts"/>
    <s v="MA"/>
    <s v="Female"/>
    <s v="Widowed"/>
    <s v="BI Developer"/>
    <s v="Active"/>
    <s v="Full-Time"/>
    <s v="Zone C"/>
    <s v="IT/IS"/>
    <s v="Field Operations"/>
    <s v="Black"/>
    <s v="Fully Meets"/>
    <n v="4"/>
  </r>
  <r>
    <x v="1560"/>
    <x v="3"/>
    <x v="1081"/>
    <s v="48-57"/>
    <n v="52"/>
    <d v="1969-02-01T00:00:00"/>
    <s v="New York"/>
    <s v="NY"/>
    <s v="Male"/>
    <s v="Single"/>
    <s v="Area Sales Manager"/>
    <s v="Active"/>
    <s v="Contract"/>
    <s v="Zone B"/>
    <s v="Sales"/>
    <s v="Field Operations"/>
    <s v="Hispanic"/>
    <s v="Fully Meets"/>
    <n v="4"/>
  </r>
  <r>
    <x v="1561"/>
    <x v="4"/>
    <x v="1082"/>
    <s v="48-57"/>
    <n v="52"/>
    <d v="1970-01-29T00:00:00"/>
    <s v="Kentucky"/>
    <s v="KY"/>
    <s v="Male"/>
    <s v="Married"/>
    <s v="Area Sales Manager"/>
    <s v="Active"/>
    <s v="Full-Time"/>
    <s v="Zone C"/>
    <s v="IT/IS"/>
    <s v="General - Con"/>
    <s v="Hispanic"/>
    <s v="Needs Improvement"/>
    <n v="4"/>
  </r>
  <r>
    <x v="1562"/>
    <x v="5"/>
    <x v="653"/>
    <s v="48-57"/>
    <n v="52"/>
    <d v="1971-07-21T00:00:00"/>
    <s v="Idaho"/>
    <s v="ID"/>
    <s v="Male"/>
    <s v="Divorced"/>
    <s v="Area Sales Manager"/>
    <s v="Active"/>
    <s v="Part-Time"/>
    <s v="Zone B"/>
    <s v="Sales"/>
    <s v="Splicing"/>
    <s v="Hispanic"/>
    <s v="Fully Meets"/>
    <n v="4"/>
  </r>
  <r>
    <x v="1563"/>
    <x v="3"/>
    <x v="219"/>
    <s v="48-57"/>
    <n v="52"/>
    <d v="1969-05-24T00:00:00"/>
    <s v="California"/>
    <s v="CA"/>
    <s v="Female"/>
    <s v="Married"/>
    <s v="Area Sales Manager"/>
    <s v="Active"/>
    <s v="Contract"/>
    <s v="Zone B"/>
    <s v="Sales"/>
    <s v="General - Eng"/>
    <s v="Hispanic"/>
    <s v="Fully Meets"/>
    <n v="2"/>
  </r>
  <r>
    <x v="1564"/>
    <x v="4"/>
    <x v="1083"/>
    <s v="48-57"/>
    <n v="53"/>
    <d v="1969-06-30T00:00:00"/>
    <s v="Massachusetts"/>
    <s v="MA"/>
    <s v="Female"/>
    <s v="Widowed"/>
    <s v="Production Technician II"/>
    <s v="Active"/>
    <s v="Part-Time"/>
    <s v="Zone A"/>
    <s v="Production       "/>
    <s v="Yard (Material Handling)"/>
    <s v="Hispanic"/>
    <s v="Fully Meets"/>
    <n v="1"/>
  </r>
  <r>
    <x v="1565"/>
    <x v="4"/>
    <x v="1084"/>
    <s v="48-57"/>
    <n v="53"/>
    <d v="1969-01-17T00:00:00"/>
    <s v="Massachusetts"/>
    <s v="MA"/>
    <s v="Female"/>
    <s v="Widowed"/>
    <s v="Production Technician II"/>
    <s v="Active"/>
    <s v="Full-Time"/>
    <s v="Zone A"/>
    <s v="Production       "/>
    <s v="Billable Consultants"/>
    <s v="Hispanic"/>
    <s v="Needs Improvement"/>
    <n v="2"/>
  </r>
  <r>
    <x v="1566"/>
    <x v="0"/>
    <x v="351"/>
    <s v="48-57"/>
    <n v="53"/>
    <d v="1965-10-03T00:00:00"/>
    <s v="Massachusetts"/>
    <s v="MA"/>
    <s v="Female"/>
    <s v="Married"/>
    <s v="Production Technician II"/>
    <s v="Active"/>
    <s v="Full-Time"/>
    <s v="Zone C"/>
    <s v="Production       "/>
    <s v="Engineers"/>
    <s v="White"/>
    <s v="Exceeds"/>
    <n v="2"/>
  </r>
  <r>
    <x v="1567"/>
    <x v="4"/>
    <x v="417"/>
    <s v="48-57"/>
    <n v="53"/>
    <d v="1969-08-27T00:00:00"/>
    <s v="Massachusetts"/>
    <s v="MA"/>
    <s v="Female"/>
    <s v="Divorced"/>
    <s v="Production Technician II"/>
    <s v="Terminated"/>
    <s v="Part-Time"/>
    <s v="Zone C"/>
    <s v="Production       "/>
    <s v="General - Con"/>
    <s v="White"/>
    <s v="Fully Meets"/>
    <n v="2"/>
  </r>
  <r>
    <x v="1568"/>
    <x v="2"/>
    <x v="526"/>
    <s v="48-57"/>
    <n v="53"/>
    <d v="1967-07-06T00:00:00"/>
    <s v="Massachusetts"/>
    <s v="MA"/>
    <s v="Male"/>
    <s v="Widowed"/>
    <s v="Production Technician II"/>
    <s v="Active"/>
    <s v="Full-Time"/>
    <s v="Zone C"/>
    <s v="Production       "/>
    <s v="Field Operations"/>
    <s v="Hispanic"/>
    <s v="Fully Meets"/>
    <n v="1"/>
  </r>
  <r>
    <x v="1569"/>
    <x v="1"/>
    <x v="1085"/>
    <s v="48-57"/>
    <n v="53"/>
    <d v="1966-11-19T00:00:00"/>
    <s v="Massachusetts"/>
    <s v="MA"/>
    <s v="Female"/>
    <s v="Married"/>
    <s v="Production Technician II"/>
    <s v="Active"/>
    <s v="Contract"/>
    <s v="Zone B"/>
    <s v="Production       "/>
    <s v="General - Sga"/>
    <s v="White"/>
    <s v="Exceeds"/>
    <n v="5"/>
  </r>
  <r>
    <x v="1570"/>
    <x v="4"/>
    <x v="632"/>
    <s v="48-57"/>
    <n v="53"/>
    <d v="1969-02-20T00:00:00"/>
    <s v="Massachusetts"/>
    <s v="MA"/>
    <s v="Female"/>
    <s v="Divorced"/>
    <s v="Production Technician II"/>
    <s v="Active"/>
    <s v="Contract"/>
    <s v="Zone A"/>
    <s v="Production       "/>
    <s v="Field Operations"/>
    <s v="White"/>
    <s v="Fully Meets"/>
    <n v="4"/>
  </r>
  <r>
    <x v="1571"/>
    <x v="2"/>
    <x v="644"/>
    <s v="48-57"/>
    <n v="53"/>
    <d v="1967-09-21T00:00:00"/>
    <s v="Massachusetts"/>
    <s v="MA"/>
    <s v="Female"/>
    <s v="Married"/>
    <s v="Production Technician II"/>
    <s v="Active"/>
    <s v="Contract"/>
    <s v="Zone C"/>
    <s v="Production       "/>
    <s v="Isp"/>
    <s v="White"/>
    <s v="Fully Meets"/>
    <n v="3"/>
  </r>
  <r>
    <x v="1572"/>
    <x v="1"/>
    <x v="1086"/>
    <s v="48-57"/>
    <n v="53"/>
    <d v="1966-04-26T00:00:00"/>
    <s v="Massachusetts"/>
    <s v="MA"/>
    <s v="Female"/>
    <s v="Divorced"/>
    <s v="Production Technician II"/>
    <s v="Active"/>
    <s v="Part-Time"/>
    <s v="Zone A"/>
    <s v="Production       "/>
    <s v="Field Operations"/>
    <s v="Hispanic"/>
    <s v="Fully Meets"/>
    <n v="1"/>
  </r>
  <r>
    <x v="1573"/>
    <x v="2"/>
    <x v="1087"/>
    <s v="48-57"/>
    <n v="53"/>
    <d v="1967-05-27T00:00:00"/>
    <s v="Massachusetts"/>
    <s v="MA"/>
    <s v="Female"/>
    <s v="Single"/>
    <s v="Production Technician I"/>
    <s v="Active"/>
    <s v="Full-Time"/>
    <s v="Zone A"/>
    <s v="Production       "/>
    <s v="General - Sga"/>
    <s v="White"/>
    <s v="Exceeds"/>
    <n v="1"/>
  </r>
  <r>
    <x v="1574"/>
    <x v="2"/>
    <x v="831"/>
    <s v="48-57"/>
    <n v="53"/>
    <d v="1967-01-16T00:00:00"/>
    <s v="Massachusetts"/>
    <s v="MA"/>
    <s v="Male"/>
    <s v="Widowed"/>
    <s v="Production Technician I"/>
    <s v="Terminated"/>
    <s v="Contract"/>
    <s v="Zone A"/>
    <s v="Production       "/>
    <s v="Finance &amp; Accounting"/>
    <s v="Black"/>
    <s v="Fully Meets"/>
    <n v="2"/>
  </r>
  <r>
    <x v="1575"/>
    <x v="3"/>
    <x v="1088"/>
    <s v="48-57"/>
    <n v="53"/>
    <d v="1968-05-10T00:00:00"/>
    <s v="Massachusetts"/>
    <s v="MA"/>
    <s v="Male"/>
    <s v="Divorced"/>
    <s v="Production Technician I"/>
    <s v="Active"/>
    <s v="Part-Time"/>
    <s v="Zone B"/>
    <s v="Production       "/>
    <s v="General - Con"/>
    <s v="Other"/>
    <s v="Fully Meets"/>
    <n v="5"/>
  </r>
  <r>
    <x v="1576"/>
    <x v="5"/>
    <x v="642"/>
    <s v="48-57"/>
    <n v="53"/>
    <d v="1970-02-06T00:00:00"/>
    <s v="Massachusetts"/>
    <s v="MA"/>
    <s v="Female"/>
    <s v="Single"/>
    <s v="Production Technician I"/>
    <s v="Active"/>
    <s v="Part-Time"/>
    <s v="Zone A"/>
    <s v="Production       "/>
    <s v="People Services"/>
    <s v="White"/>
    <s v="Fully Meets"/>
    <n v="4"/>
  </r>
  <r>
    <x v="1577"/>
    <x v="1"/>
    <x v="1089"/>
    <s v="48-57"/>
    <n v="53"/>
    <d v="1966-03-24T00:00:00"/>
    <s v="Massachusetts"/>
    <s v="MA"/>
    <s v="Female"/>
    <s v="Single"/>
    <s v="Production Technician I"/>
    <s v="Active"/>
    <s v="Contract"/>
    <s v="Zone B"/>
    <s v="Production       "/>
    <s v="Project Management - Con"/>
    <s v="Other"/>
    <s v="Fully Meets"/>
    <n v="2"/>
  </r>
  <r>
    <x v="1578"/>
    <x v="2"/>
    <x v="29"/>
    <s v="48-57"/>
    <n v="53"/>
    <d v="1967-12-03T00:00:00"/>
    <s v="Massachusetts"/>
    <s v="MA"/>
    <s v="Male"/>
    <s v="Married"/>
    <s v="Production Technician I"/>
    <s v="Active"/>
    <s v="Contract"/>
    <s v="Zone B"/>
    <s v="Production       "/>
    <s v="Wireline Construction"/>
    <s v="Hispanic"/>
    <s v="Fully Meets"/>
    <n v="5"/>
  </r>
  <r>
    <x v="1579"/>
    <x v="2"/>
    <x v="104"/>
    <s v="48-57"/>
    <n v="53"/>
    <d v="1967-03-05T00:00:00"/>
    <s v="Massachusetts"/>
    <s v="MA"/>
    <s v="Male"/>
    <s v="Divorced"/>
    <s v="Production Technician I"/>
    <s v="Active"/>
    <s v="Full-Time"/>
    <s v="Zone B"/>
    <s v="Production       "/>
    <s v="Field Operations"/>
    <s v="Black"/>
    <s v="Fully Meets"/>
    <n v="3"/>
  </r>
  <r>
    <x v="1580"/>
    <x v="5"/>
    <x v="645"/>
    <s v="48-57"/>
    <n v="53"/>
    <d v="1970-02-26T00:00:00"/>
    <s v="Massachusetts"/>
    <s v="MA"/>
    <s v="Female"/>
    <s v="Married"/>
    <s v="Production Technician I"/>
    <s v="Active"/>
    <s v="Contract"/>
    <s v="Zone A"/>
    <s v="Production       "/>
    <s v="Field Operations"/>
    <s v="Hispanic"/>
    <s v="Fully Meets"/>
    <n v="4"/>
  </r>
  <r>
    <x v="1581"/>
    <x v="3"/>
    <x v="900"/>
    <s v="48-57"/>
    <n v="53"/>
    <d v="1968-12-29T00:00:00"/>
    <s v="Massachusetts"/>
    <s v="MA"/>
    <s v="Female"/>
    <s v="Widowed"/>
    <s v="Production Technician I"/>
    <s v="Active"/>
    <s v="Part-Time"/>
    <s v="Zone A"/>
    <s v="Production       "/>
    <s v="Aerial"/>
    <s v="White"/>
    <s v="Fully Meets"/>
    <n v="1"/>
  </r>
  <r>
    <x v="1582"/>
    <x v="4"/>
    <x v="1068"/>
    <s v="48-57"/>
    <n v="53"/>
    <d v="1969-03-27T00:00:00"/>
    <s v="Massachusetts"/>
    <s v="MA"/>
    <s v="Female"/>
    <s v="Married"/>
    <s v="Production Technician I"/>
    <s v="Terminated"/>
    <s v="Part-Time"/>
    <s v="Zone B"/>
    <s v="Production       "/>
    <s v="Executive"/>
    <s v="Other"/>
    <s v="Fully Meets"/>
    <n v="5"/>
  </r>
  <r>
    <x v="1583"/>
    <x v="0"/>
    <x v="952"/>
    <s v="48-57"/>
    <n v="53"/>
    <d v="1965-10-30T00:00:00"/>
    <s v="Massachusetts"/>
    <s v="MA"/>
    <s v="Female"/>
    <s v="Single"/>
    <s v="Production Technician I"/>
    <s v="Terminated"/>
    <s v="Part-Time"/>
    <s v="Zone B"/>
    <s v="Production       "/>
    <s v="Engineers"/>
    <s v="Black"/>
    <s v="Fully Meets"/>
    <n v="3"/>
  </r>
  <r>
    <x v="1584"/>
    <x v="3"/>
    <x v="239"/>
    <s v="48-57"/>
    <n v="53"/>
    <d v="1968-03-29T00:00:00"/>
    <s v="Massachusetts"/>
    <s v="MA"/>
    <s v="Female"/>
    <s v="Single"/>
    <s v="Production Technician I"/>
    <s v="Active"/>
    <s v="Full-Time"/>
    <s v="Zone A"/>
    <s v="Production       "/>
    <s v="People Services"/>
    <s v="Other"/>
    <s v="Exceeds"/>
    <n v="3"/>
  </r>
  <r>
    <x v="1585"/>
    <x v="2"/>
    <x v="1090"/>
    <s v="48-57"/>
    <n v="53"/>
    <d v="1967-03-04T00:00:00"/>
    <s v="Massachusetts"/>
    <s v="MA"/>
    <s v="Male"/>
    <s v="Single"/>
    <s v="Production Technician I"/>
    <s v="Active"/>
    <s v="Contract"/>
    <s v="Zone A"/>
    <s v="Production       "/>
    <s v="Executive"/>
    <s v="Asian"/>
    <s v="Needs Improvement"/>
    <n v="3"/>
  </r>
  <r>
    <x v="1586"/>
    <x v="0"/>
    <x v="795"/>
    <s v="48-57"/>
    <n v="53"/>
    <d v="1965-08-30T00:00:00"/>
    <s v="Massachusetts"/>
    <s v="MA"/>
    <s v="Female"/>
    <s v="Divorced"/>
    <s v="Production Technician I"/>
    <s v="Active"/>
    <s v="Contract"/>
    <s v="Zone A"/>
    <s v="Production       "/>
    <s v="Field Operations"/>
    <s v="Hispanic"/>
    <s v="Exceeds"/>
    <n v="1"/>
  </r>
  <r>
    <x v="1587"/>
    <x v="2"/>
    <x v="193"/>
    <s v="48-57"/>
    <n v="53"/>
    <d v="1967-05-14T00:00:00"/>
    <s v="Massachusetts"/>
    <s v="MA"/>
    <s v="Female"/>
    <s v="Single"/>
    <s v="Production Manager"/>
    <s v="Active"/>
    <s v="Part-Time"/>
    <s v="Zone C"/>
    <s v="Production       "/>
    <s v="Field Operations"/>
    <s v="Other"/>
    <s v="Fully Meets"/>
    <n v="4"/>
  </r>
  <r>
    <x v="1588"/>
    <x v="5"/>
    <x v="1091"/>
    <s v="48-57"/>
    <n v="53"/>
    <d v="1970-09-28T00:00:00"/>
    <s v="Massachusetts"/>
    <s v="MA"/>
    <s v="Female"/>
    <s v="Single"/>
    <s v="Production Manager"/>
    <s v="Active"/>
    <s v="Part-Time"/>
    <s v="Zone B"/>
    <s v="Production       "/>
    <s v="Wireline Construction"/>
    <s v="Hispanic"/>
    <s v="Fully Meets"/>
    <n v="4"/>
  </r>
  <r>
    <x v="1589"/>
    <x v="2"/>
    <x v="574"/>
    <s v="48-57"/>
    <n v="53"/>
    <d v="1967-01-03T00:00:00"/>
    <s v="Texas"/>
    <s v="TX"/>
    <s v="Male"/>
    <s v="Married"/>
    <s v="Area Sales Manager"/>
    <s v="Active"/>
    <s v="Part-Time"/>
    <s v="Zone C"/>
    <s v="Sales"/>
    <s v="Field Operations"/>
    <s v="Asian"/>
    <s v="Fully Meets"/>
    <n v="4"/>
  </r>
  <r>
    <x v="1590"/>
    <x v="3"/>
    <x v="957"/>
    <s v="48-57"/>
    <n v="53"/>
    <d v="1968-01-15T00:00:00"/>
    <s v="Colorado"/>
    <s v="CO"/>
    <s v="Male"/>
    <s v="Divorced"/>
    <s v="Area Sales Manager"/>
    <s v="Active"/>
    <s v="Contract"/>
    <s v="Zone C"/>
    <s v="Sales"/>
    <s v="General - Con"/>
    <s v="Other"/>
    <s v="Exceeds"/>
    <n v="1"/>
  </r>
  <r>
    <x v="1591"/>
    <x v="3"/>
    <x v="82"/>
    <s v="48-57"/>
    <n v="53"/>
    <d v="1968-08-11T00:00:00"/>
    <s v="Arizona"/>
    <s v="AZ"/>
    <s v="Male"/>
    <s v="Married"/>
    <s v="Area Sales Manager"/>
    <s v="Active"/>
    <s v="Full-Time"/>
    <s v="Zone C"/>
    <s v="Sales"/>
    <s v="Wireline Construction"/>
    <s v="Black"/>
    <s v="Fully Meets"/>
    <n v="4"/>
  </r>
  <r>
    <x v="1592"/>
    <x v="0"/>
    <x v="1092"/>
    <s v="48-57"/>
    <n v="53"/>
    <d v="1965-01-16T00:00:00"/>
    <s v="Washington"/>
    <s v="WA"/>
    <s v="Female"/>
    <s v="Widowed"/>
    <s v="Administrative Assistant"/>
    <s v="Active"/>
    <s v="Full-Time"/>
    <s v="Zone C"/>
    <s v="Sales"/>
    <s v="Aerial"/>
    <s v="Asian"/>
    <s v="Fully Meets"/>
    <n v="2"/>
  </r>
  <r>
    <x v="1593"/>
    <x v="3"/>
    <x v="186"/>
    <s v="48-57"/>
    <n v="53"/>
    <d v="1968-05-18T00:00:00"/>
    <s v="Massachusetts"/>
    <s v="MA"/>
    <s v="Female"/>
    <s v="Divorced"/>
    <s v="Administrative Assistant"/>
    <s v="Active"/>
    <s v="Part-Time"/>
    <s v="Zone A"/>
    <s v="Admin Offices"/>
    <s v="General - Con"/>
    <s v="White"/>
    <s v="Exceeds"/>
    <n v="5"/>
  </r>
  <r>
    <x v="1594"/>
    <x v="5"/>
    <x v="1093"/>
    <s v="48-57"/>
    <n v="54"/>
    <d v="1969-10-25T00:00:00"/>
    <s v="Massachusetts"/>
    <s v="MA"/>
    <s v="Male"/>
    <s v="Single"/>
    <s v="Sr. Network Engineer"/>
    <s v="Active"/>
    <s v="Part-Time"/>
    <s v="Zone B"/>
    <s v="IT/IS"/>
    <s v="Field Operations"/>
    <s v="Hispanic"/>
    <s v="Fully Meets"/>
    <n v="5"/>
  </r>
  <r>
    <x v="1595"/>
    <x v="4"/>
    <x v="228"/>
    <s v="48-57"/>
    <n v="54"/>
    <d v="1968-04-23T00:00:00"/>
    <s v="Massachusetts"/>
    <s v="MA"/>
    <s v="Male"/>
    <s v="Married"/>
    <s v="Software Engineer"/>
    <s v="Active"/>
    <s v="Part-Time"/>
    <s v="Zone B"/>
    <s v="Software Engineering"/>
    <s v="Engineers"/>
    <s v="Asian"/>
    <s v="Fully Meets"/>
    <n v="2"/>
  </r>
  <r>
    <x v="1596"/>
    <x v="4"/>
    <x v="1094"/>
    <s v="48-57"/>
    <n v="54"/>
    <d v="1968-01-30T00:00:00"/>
    <s v="Massachusetts"/>
    <s v="MA"/>
    <s v="Female"/>
    <s v="Divorced"/>
    <s v="Senior BI Developer"/>
    <s v="Active"/>
    <s v="Full-Time"/>
    <s v="Zone B"/>
    <s v="IT/IS"/>
    <s v="Wireless"/>
    <s v="Hispanic"/>
    <s v="Fully Meets"/>
    <n v="2"/>
  </r>
  <r>
    <x v="1597"/>
    <x v="4"/>
    <x v="1095"/>
    <s v="48-57"/>
    <n v="54"/>
    <d v="1968-06-06T00:00:00"/>
    <s v="Massachusetts"/>
    <s v="MA"/>
    <s v="Female"/>
    <s v="Married"/>
    <s v="Production Technician II"/>
    <s v="Active"/>
    <s v="Contract"/>
    <s v="Zone A"/>
    <s v="Production       "/>
    <s v="Field Operations"/>
    <s v="White"/>
    <s v="Exceeds"/>
    <n v="2"/>
  </r>
  <r>
    <x v="1598"/>
    <x v="2"/>
    <x v="20"/>
    <s v="48-57"/>
    <n v="54"/>
    <d v="1966-07-24T00:00:00"/>
    <s v="Massachusetts"/>
    <s v="MA"/>
    <s v="Female"/>
    <s v="Single"/>
    <s v="Production Technician II"/>
    <s v="Terminated"/>
    <s v="Part-Time"/>
    <s v="Zone A"/>
    <s v="Production       "/>
    <s v="Engineers"/>
    <s v="Black"/>
    <s v="Fully Meets"/>
    <n v="4"/>
  </r>
  <r>
    <x v="1599"/>
    <x v="1"/>
    <x v="1096"/>
    <s v="48-57"/>
    <n v="54"/>
    <d v="1965-07-19T00:00:00"/>
    <s v="Massachusetts"/>
    <s v="MA"/>
    <s v="Male"/>
    <s v="Widowed"/>
    <s v="Production Technician II"/>
    <s v="Active"/>
    <s v="Full-Time"/>
    <s v="Zone C"/>
    <s v="Production       "/>
    <s v="General - Sga"/>
    <s v="Other"/>
    <s v="Fully Meets"/>
    <n v="3"/>
  </r>
  <r>
    <x v="1600"/>
    <x v="5"/>
    <x v="1097"/>
    <s v="48-57"/>
    <n v="54"/>
    <d v="1969-01-09T00:00:00"/>
    <s v="Massachusetts"/>
    <s v="MA"/>
    <s v="Female"/>
    <s v="Single"/>
    <s v="Production Technician II"/>
    <s v="Active"/>
    <s v="Full-Time"/>
    <s v="Zone B"/>
    <s v="Production       "/>
    <s v="Fielders"/>
    <s v="Other"/>
    <s v="Fully Meets"/>
    <n v="3"/>
  </r>
  <r>
    <x v="1601"/>
    <x v="4"/>
    <x v="473"/>
    <s v="48-57"/>
    <n v="54"/>
    <d v="1968-07-26T00:00:00"/>
    <s v="Massachusetts"/>
    <s v="MA"/>
    <s v="Female"/>
    <s v="Single"/>
    <s v="Production Technician II"/>
    <s v="Active"/>
    <s v="Part-Time"/>
    <s v="Zone C"/>
    <s v="Production       "/>
    <s v="Field Operations"/>
    <s v="Asian"/>
    <s v="Fully Meets"/>
    <n v="5"/>
  </r>
  <r>
    <x v="1602"/>
    <x v="0"/>
    <x v="550"/>
    <s v="48-57"/>
    <n v="54"/>
    <d v="1964-02-25T00:00:00"/>
    <s v="Massachusetts"/>
    <s v="MA"/>
    <s v="Female"/>
    <s v="Widowed"/>
    <s v="Production Technician II"/>
    <s v="Active"/>
    <s v="Part-Time"/>
    <s v="Zone C"/>
    <s v="Production       "/>
    <s v="Aerial"/>
    <s v="Black"/>
    <s v="PIP"/>
    <n v="1"/>
  </r>
  <r>
    <x v="1603"/>
    <x v="3"/>
    <x v="1098"/>
    <s v="48-57"/>
    <n v="54"/>
    <d v="1967-09-05T00:00:00"/>
    <s v="Massachusetts"/>
    <s v="MA"/>
    <s v="Female"/>
    <s v="Married"/>
    <s v="Production Technician II"/>
    <s v="Active"/>
    <s v="Contract"/>
    <s v="Zone B"/>
    <s v="Production       "/>
    <s v="Field Operations"/>
    <s v="Black"/>
    <s v="Fully Meets"/>
    <n v="3"/>
  </r>
  <r>
    <x v="1604"/>
    <x v="3"/>
    <x v="80"/>
    <s v="48-57"/>
    <n v="54"/>
    <d v="1967-02-07T00:00:00"/>
    <s v="Massachusetts"/>
    <s v="MA"/>
    <s v="Male"/>
    <s v="Divorced"/>
    <s v="Production Technician I"/>
    <s v="Active"/>
    <s v="Contract"/>
    <s v="Zone A"/>
    <s v="Production       "/>
    <s v="Splicing"/>
    <s v="Hispanic"/>
    <s v="Fully Meets"/>
    <n v="1"/>
  </r>
  <r>
    <x v="1605"/>
    <x v="1"/>
    <x v="1099"/>
    <s v="48-57"/>
    <n v="54"/>
    <d v="1965-05-07T00:00:00"/>
    <s v="Massachusetts"/>
    <s v="MA"/>
    <s v="Male"/>
    <s v="Widowed"/>
    <s v="Production Technician I"/>
    <s v="Active"/>
    <s v="Contract"/>
    <s v="Zone B"/>
    <s v="Production       "/>
    <s v="Field Operations"/>
    <s v="Other"/>
    <s v="Fully Meets"/>
    <n v="3"/>
  </r>
  <r>
    <x v="1606"/>
    <x v="1"/>
    <x v="1100"/>
    <s v="48-57"/>
    <n v="54"/>
    <d v="1965-03-13T00:00:00"/>
    <s v="Massachusetts"/>
    <s v="MA"/>
    <s v="Male"/>
    <s v="Divorced"/>
    <s v="Production Technician I"/>
    <s v="Terminated"/>
    <s v="Part-Time"/>
    <s v="Zone C"/>
    <s v="Production       "/>
    <s v="Billable Consultants"/>
    <s v="Other"/>
    <s v="Fully Meets"/>
    <n v="5"/>
  </r>
  <r>
    <x v="1607"/>
    <x v="3"/>
    <x v="1004"/>
    <s v="48-57"/>
    <n v="54"/>
    <d v="1967-11-10T00:00:00"/>
    <s v="Massachusetts"/>
    <s v="MA"/>
    <s v="Female"/>
    <s v="Widowed"/>
    <s v="Production Technician I"/>
    <s v="Active"/>
    <s v="Full-Time"/>
    <s v="Zone C"/>
    <s v="Production       "/>
    <s v="Field Operations"/>
    <s v="Asian"/>
    <s v="Exceeds"/>
    <n v="5"/>
  </r>
  <r>
    <x v="1608"/>
    <x v="3"/>
    <x v="304"/>
    <s v="48-57"/>
    <n v="54"/>
    <d v="1967-09-01T00:00:00"/>
    <s v="Massachusetts"/>
    <s v="MA"/>
    <s v="Female"/>
    <s v="Married"/>
    <s v="Production Technician I"/>
    <s v="Terminated"/>
    <s v="Contract"/>
    <s v="Zone C"/>
    <s v="Production       "/>
    <s v="General - Con"/>
    <s v="Black"/>
    <s v="Fully Meets"/>
    <n v="3"/>
  </r>
  <r>
    <x v="1609"/>
    <x v="3"/>
    <x v="438"/>
    <s v="48-57"/>
    <n v="54"/>
    <d v="1967-05-03T00:00:00"/>
    <s v="Massachusetts"/>
    <s v="MA"/>
    <s v="Female"/>
    <s v="Divorced"/>
    <s v="Production Technician I"/>
    <s v="Active"/>
    <s v="Part-Time"/>
    <s v="Zone A"/>
    <s v="Production       "/>
    <s v="Aerial"/>
    <s v="Black"/>
    <s v="Fully Meets"/>
    <n v="2"/>
  </r>
  <r>
    <x v="1610"/>
    <x v="2"/>
    <x v="257"/>
    <s v="48-57"/>
    <n v="54"/>
    <d v="1966-02-27T00:00:00"/>
    <s v="Massachusetts"/>
    <s v="MA"/>
    <s v="Male"/>
    <s v="Single"/>
    <s v="Production Technician I"/>
    <s v="Active"/>
    <s v="Contract"/>
    <s v="Zone B"/>
    <s v="Production       "/>
    <s v="General - Con"/>
    <s v="White"/>
    <s v="Exceeds"/>
    <n v="1"/>
  </r>
  <r>
    <x v="1611"/>
    <x v="3"/>
    <x v="859"/>
    <s v="48-57"/>
    <n v="54"/>
    <d v="1967-05-04T00:00:00"/>
    <s v="Massachusetts"/>
    <s v="MA"/>
    <s v="Female"/>
    <s v="Single"/>
    <s v="Production Technician I"/>
    <s v="Active"/>
    <s v="Full-Time"/>
    <s v="Zone B"/>
    <s v="Production       "/>
    <s v="Field Operations"/>
    <s v="White"/>
    <s v="Fully Meets"/>
    <n v="4"/>
  </r>
  <r>
    <x v="1612"/>
    <x v="2"/>
    <x v="331"/>
    <s v="48-57"/>
    <n v="54"/>
    <d v="1966-02-20T00:00:00"/>
    <s v="Massachusetts"/>
    <s v="MA"/>
    <s v="Male"/>
    <s v="Single"/>
    <s v="Production Technician I"/>
    <s v="Active"/>
    <s v="Contract"/>
    <s v="Zone B"/>
    <s v="Production       "/>
    <s v="Shop (Fleet)"/>
    <s v="Other"/>
    <s v="Fully Meets"/>
    <n v="3"/>
  </r>
  <r>
    <x v="1613"/>
    <x v="4"/>
    <x v="211"/>
    <s v="48-57"/>
    <n v="54"/>
    <d v="1968-05-24T00:00:00"/>
    <s v="Massachusetts"/>
    <s v="MA"/>
    <s v="Female"/>
    <s v="Widowed"/>
    <s v="Production Technician I"/>
    <s v="Active"/>
    <s v="Contract"/>
    <s v="Zone B"/>
    <s v="Production       "/>
    <s v="Splicing"/>
    <s v="White"/>
    <s v="Fully Meets"/>
    <n v="3"/>
  </r>
  <r>
    <x v="1614"/>
    <x v="3"/>
    <x v="935"/>
    <s v="48-57"/>
    <n v="54"/>
    <d v="1967-10-29T00:00:00"/>
    <s v="Massachusetts"/>
    <s v="MA"/>
    <s v="Female"/>
    <s v="Single"/>
    <s v="Production Technician I"/>
    <s v="Terminated"/>
    <s v="Full-Time"/>
    <s v="Zone B"/>
    <s v="Production       "/>
    <s v="General - Con"/>
    <s v="Hispanic"/>
    <s v="PIP"/>
    <n v="1"/>
  </r>
  <r>
    <x v="1615"/>
    <x v="5"/>
    <x v="1101"/>
    <s v="48-57"/>
    <n v="54"/>
    <d v="1969-09-11T00:00:00"/>
    <s v="Massachusetts"/>
    <s v="MA"/>
    <s v="Female"/>
    <s v="Married"/>
    <s v="Production Technician I"/>
    <s v="Active"/>
    <s v="Part-Time"/>
    <s v="Zone A"/>
    <s v="Production       "/>
    <s v="General - Eng"/>
    <s v="Black"/>
    <s v="Exceeds"/>
    <n v="4"/>
  </r>
  <r>
    <x v="1616"/>
    <x v="4"/>
    <x v="548"/>
    <s v="48-57"/>
    <n v="54"/>
    <d v="1968-04-30T00:00:00"/>
    <s v="Massachusetts"/>
    <s v="MA"/>
    <s v="Female"/>
    <s v="Single"/>
    <s v="Production Technician I"/>
    <s v="Active"/>
    <s v="Part-Time"/>
    <s v="Zone B"/>
    <s v="Production       "/>
    <s v="Aerial"/>
    <s v="Black"/>
    <s v="Exceeds"/>
    <n v="1"/>
  </r>
  <r>
    <x v="1617"/>
    <x v="3"/>
    <x v="957"/>
    <s v="48-57"/>
    <n v="54"/>
    <d v="1967-02-19T00:00:00"/>
    <s v="Massachusetts"/>
    <s v="MA"/>
    <s v="Female"/>
    <s v="Widowed"/>
    <s v="Production Technician I"/>
    <s v="Active"/>
    <s v="Contract"/>
    <s v="Zone C"/>
    <s v="Production       "/>
    <s v="Technology / It"/>
    <s v="Black"/>
    <s v="Fully Meets"/>
    <n v="4"/>
  </r>
  <r>
    <x v="1618"/>
    <x v="3"/>
    <x v="1039"/>
    <s v="48-57"/>
    <n v="54"/>
    <d v="1967-09-13T00:00:00"/>
    <s v="Massachusetts"/>
    <s v="MA"/>
    <s v="Female"/>
    <s v="Widowed"/>
    <s v="Production Manager"/>
    <s v="Terminated"/>
    <s v="Contract"/>
    <s v="Zone A"/>
    <s v="Production       "/>
    <s v="Fielders"/>
    <s v="White"/>
    <s v="Fully Meets"/>
    <n v="4"/>
  </r>
  <r>
    <x v="1619"/>
    <x v="3"/>
    <x v="152"/>
    <s v="48-57"/>
    <n v="54"/>
    <d v="1967-07-11T00:00:00"/>
    <s v="Massachusetts"/>
    <s v="MA"/>
    <s v="Male"/>
    <s v="Single"/>
    <s v="President &amp; CEO"/>
    <s v="Active"/>
    <s v="Part-Time"/>
    <s v="Zone B"/>
    <s v="Executive Office"/>
    <s v="Yard (Material Handling)"/>
    <s v="Other"/>
    <s v="Fully Meets"/>
    <n v="5"/>
  </r>
  <r>
    <x v="1620"/>
    <x v="3"/>
    <x v="1102"/>
    <s v="48-57"/>
    <n v="54"/>
    <d v="1967-11-18T00:00:00"/>
    <s v="Massachusetts"/>
    <s v="MA"/>
    <s v="Male"/>
    <s v="Married"/>
    <s v="IT Manager - DB"/>
    <s v="Active"/>
    <s v="Contract"/>
    <s v="Zone B"/>
    <s v="IT/IS"/>
    <s v="Field Operations"/>
    <s v="Other"/>
    <s v="Fully Meets"/>
    <n v="4"/>
  </r>
  <r>
    <x v="1621"/>
    <x v="5"/>
    <x v="1103"/>
    <s v="48-57"/>
    <n v="54"/>
    <d v="1969-03-17T00:00:00"/>
    <s v="Massachusetts"/>
    <s v="MA"/>
    <s v="Male"/>
    <s v="Married"/>
    <s v="Director of Sales"/>
    <s v="Active"/>
    <s v="Contract"/>
    <s v="Zone A"/>
    <s v="IT/IS"/>
    <s v="Finance &amp; Accounting"/>
    <s v="Black"/>
    <s v="Fully Meets"/>
    <n v="3"/>
  </r>
  <r>
    <x v="1622"/>
    <x v="3"/>
    <x v="951"/>
    <s v="48-57"/>
    <n v="54"/>
    <d v="1967-07-14T00:00:00"/>
    <s v="Massachusetts"/>
    <s v="MA"/>
    <s v="Female"/>
    <s v="Married"/>
    <s v="Data Analyst"/>
    <s v="Active"/>
    <s v="Contract"/>
    <s v="Zone B"/>
    <s v="IT/IS"/>
    <s v="Engineers"/>
    <s v="Other"/>
    <s v="Fully Meets"/>
    <n v="5"/>
  </r>
  <r>
    <x v="1623"/>
    <x v="2"/>
    <x v="210"/>
    <s v="48-57"/>
    <n v="54"/>
    <d v="1966-01-10T00:00:00"/>
    <s v="Massachusetts"/>
    <s v="MA"/>
    <s v="Female"/>
    <s v="Divorced"/>
    <s v="CIO"/>
    <s v="Active"/>
    <s v="Full-Time"/>
    <s v="Zone B"/>
    <s v="IT/IS"/>
    <s v="Aerial"/>
    <s v="White"/>
    <s v="Fully Meets"/>
    <n v="2"/>
  </r>
  <r>
    <x v="1624"/>
    <x v="3"/>
    <x v="793"/>
    <s v="48-57"/>
    <n v="54"/>
    <d v="1967-07-28T00:00:00"/>
    <s v="Vermont"/>
    <s v="VT"/>
    <s v="Female"/>
    <s v="Single"/>
    <s v="Area Sales Manager"/>
    <s v="Active"/>
    <s v="Contract"/>
    <s v="Zone B"/>
    <s v="Sales"/>
    <s v="Underground"/>
    <s v="Hispanic"/>
    <s v="Fully Meets"/>
    <n v="3"/>
  </r>
  <r>
    <x v="1625"/>
    <x v="3"/>
    <x v="848"/>
    <s v="48-57"/>
    <n v="54"/>
    <d v="1967-02-09T00:00:00"/>
    <s v="Arizona"/>
    <s v="AZ"/>
    <s v="Male"/>
    <s v="Married"/>
    <s v="Area Sales Manager"/>
    <s v="Active"/>
    <s v="Contract"/>
    <s v="Zone B"/>
    <s v="Sales"/>
    <s v="Engineers"/>
    <s v="Black"/>
    <s v="Fully Meets"/>
    <n v="3"/>
  </r>
  <r>
    <x v="1626"/>
    <x v="4"/>
    <x v="735"/>
    <s v="48-57"/>
    <n v="54"/>
    <d v="1968-12-16T00:00:00"/>
    <s v="Arizona"/>
    <s v="AZ"/>
    <s v="Male"/>
    <s v="Widowed"/>
    <s v="Area Sales Manager"/>
    <s v="Active"/>
    <s v="Part-Time"/>
    <s v="Zone A"/>
    <s v="Sales"/>
    <s v="Fielders"/>
    <s v="White"/>
    <s v="Fully Meets"/>
    <n v="1"/>
  </r>
  <r>
    <x v="1627"/>
    <x v="1"/>
    <x v="383"/>
    <s v="48-57"/>
    <n v="54"/>
    <d v="1965-10-08T00:00:00"/>
    <s v="Washington"/>
    <s v="WA"/>
    <s v="Female"/>
    <s v="Widowed"/>
    <s v="Administrative Assistant"/>
    <s v="Active"/>
    <s v="Full-Time"/>
    <s v="Zone B"/>
    <s v="Sales"/>
    <s v="Billable Consultants"/>
    <s v="Other"/>
    <s v="Fully Meets"/>
    <n v="2"/>
  </r>
  <r>
    <x v="1628"/>
    <x v="0"/>
    <x v="1104"/>
    <s v="48-57"/>
    <n v="54"/>
    <d v="1964-08-15T00:00:00"/>
    <s v="Washington"/>
    <s v="WA"/>
    <s v="Female"/>
    <s v="Single"/>
    <s v="Administrative Assistant"/>
    <s v="Active"/>
    <s v="Part-Time"/>
    <s v="Zone B"/>
    <s v="Sales"/>
    <s v="Project Management - Con"/>
    <s v="Black"/>
    <s v="Fully Meets"/>
    <n v="1"/>
  </r>
  <r>
    <x v="1629"/>
    <x v="5"/>
    <x v="1105"/>
    <s v="48-57"/>
    <n v="54"/>
    <d v="1969-12-21T00:00:00"/>
    <s v="Massachusetts"/>
    <s v="MA"/>
    <s v="Female"/>
    <s v="Widowed"/>
    <s v="Administrative Assistant"/>
    <s v="Active"/>
    <s v="Contract"/>
    <s v="Zone A"/>
    <s v="Sales"/>
    <s v="Executive"/>
    <s v="Asian"/>
    <s v="Fully Meets"/>
    <n v="2"/>
  </r>
  <r>
    <x v="1630"/>
    <x v="2"/>
    <x v="1106"/>
    <s v="48-57"/>
    <n v="54"/>
    <d v="1966-05-09T00:00:00"/>
    <s v="Massachusetts"/>
    <s v="MA"/>
    <s v="Female"/>
    <s v="Divorced"/>
    <s v="Administrative Assistant"/>
    <s v="Active"/>
    <s v="Full-Time"/>
    <s v="Zone C"/>
    <s v="Admin Offices"/>
    <s v="Field Operations"/>
    <s v="Hispanic"/>
    <s v="PIP"/>
    <n v="1"/>
  </r>
  <r>
    <x v="1631"/>
    <x v="4"/>
    <x v="329"/>
    <s v="48-57"/>
    <n v="54"/>
    <d v="1968-11-02T00:00:00"/>
    <s v="Massachusetts"/>
    <s v="MA"/>
    <s v="Female"/>
    <s v="Divorced"/>
    <s v="Accountant I"/>
    <s v="Active"/>
    <s v="Part-Time"/>
    <s v="Zone B"/>
    <s v="Admin Offices"/>
    <s v="Field Operations"/>
    <s v="Black"/>
    <s v="Fully Meets"/>
    <n v="4"/>
  </r>
  <r>
    <x v="1632"/>
    <x v="5"/>
    <x v="1107"/>
    <s v="48-57"/>
    <n v="55"/>
    <d v="1968-01-01T00:00:00"/>
    <s v="Massachusetts"/>
    <s v="MA"/>
    <s v="Female"/>
    <s v="Widowed"/>
    <s v="Production Technician II"/>
    <s v="Active"/>
    <s v="Part-Time"/>
    <s v="Zone A"/>
    <s v="Production       "/>
    <s v="Splicing"/>
    <s v="Hispanic"/>
    <s v="Fully Meets"/>
    <n v="4"/>
  </r>
  <r>
    <x v="1633"/>
    <x v="2"/>
    <x v="193"/>
    <s v="48-57"/>
    <n v="55"/>
    <d v="1965-01-25T00:00:00"/>
    <s v="Massachusetts"/>
    <s v="MA"/>
    <s v="Female"/>
    <s v="Widowed"/>
    <s v="Production Technician II"/>
    <s v="Active"/>
    <s v="Contract"/>
    <s v="Zone A"/>
    <s v="Production       "/>
    <s v="Engineers"/>
    <s v="Other"/>
    <s v="Exceeds"/>
    <n v="5"/>
  </r>
  <r>
    <x v="1634"/>
    <x v="3"/>
    <x v="65"/>
    <s v="48-57"/>
    <n v="55"/>
    <d v="1966-08-11T00:00:00"/>
    <s v="Massachusetts"/>
    <s v="MA"/>
    <s v="Female"/>
    <s v="Divorced"/>
    <s v="Production Technician II"/>
    <s v="Active"/>
    <s v="Contract"/>
    <s v="Zone C"/>
    <s v="Production       "/>
    <s v="Project Management - Con"/>
    <s v="Hispanic"/>
    <s v="Exceeds"/>
    <n v="5"/>
  </r>
  <r>
    <x v="1635"/>
    <x v="1"/>
    <x v="223"/>
    <s v="48-57"/>
    <n v="55"/>
    <d v="1964-01-12T00:00:00"/>
    <s v="Massachusetts"/>
    <s v="MA"/>
    <s v="Female"/>
    <s v="Married"/>
    <s v="Production Technician II"/>
    <s v="Active"/>
    <s v="Part-Time"/>
    <s v="Zone C"/>
    <s v="Production       "/>
    <s v="Field Operations"/>
    <s v="Black"/>
    <s v="Fully Meets"/>
    <n v="5"/>
  </r>
  <r>
    <x v="1636"/>
    <x v="1"/>
    <x v="1108"/>
    <s v="48-57"/>
    <n v="55"/>
    <d v="1964-02-11T00:00:00"/>
    <s v="Massachusetts"/>
    <s v="MA"/>
    <s v="Female"/>
    <s v="Widowed"/>
    <s v="Production Technician II"/>
    <s v="Terminated"/>
    <s v="Part-Time"/>
    <s v="Zone A"/>
    <s v="Sales"/>
    <s v="Wireline Construction"/>
    <s v="Other"/>
    <s v="Fully Meets"/>
    <n v="4"/>
  </r>
  <r>
    <x v="1637"/>
    <x v="5"/>
    <x v="1109"/>
    <s v="48-57"/>
    <n v="55"/>
    <d v="1968-12-25T00:00:00"/>
    <s v="Massachusetts"/>
    <s v="MA"/>
    <s v="Male"/>
    <s v="Single"/>
    <s v="Production Technician II"/>
    <s v="Active"/>
    <s v="Part-Time"/>
    <s v="Zone B"/>
    <s v="Production       "/>
    <s v="General - Con"/>
    <s v="White"/>
    <s v="Exceeds"/>
    <n v="5"/>
  </r>
  <r>
    <x v="1638"/>
    <x v="4"/>
    <x v="809"/>
    <s v="48-57"/>
    <n v="55"/>
    <d v="1967-09-19T00:00:00"/>
    <s v="Massachusetts"/>
    <s v="MA"/>
    <s v="Female"/>
    <s v="Divorced"/>
    <s v="Production Technician II"/>
    <s v="Active"/>
    <s v="Full-Time"/>
    <s v="Zone B"/>
    <s v="Production       "/>
    <s v="Splicing"/>
    <s v="Asian"/>
    <s v="Fully Meets"/>
    <n v="5"/>
  </r>
  <r>
    <x v="1639"/>
    <x v="1"/>
    <x v="1110"/>
    <s v="48-57"/>
    <n v="55"/>
    <d v="1964-08-27T00:00:00"/>
    <s v="Massachusetts"/>
    <s v="MA"/>
    <s v="Female"/>
    <s v="Married"/>
    <s v="Production Technician I"/>
    <s v="Active"/>
    <s v="Contract"/>
    <s v="Zone A"/>
    <s v="Production       "/>
    <s v="General - Con"/>
    <s v="Hispanic"/>
    <s v="Exceeds"/>
    <n v="5"/>
  </r>
  <r>
    <x v="1640"/>
    <x v="3"/>
    <x v="1111"/>
    <s v="48-57"/>
    <n v="55"/>
    <d v="1966-03-21T00:00:00"/>
    <s v="Massachusetts"/>
    <s v="MA"/>
    <s v="Male"/>
    <s v="Single"/>
    <s v="Production Technician I"/>
    <s v="Active"/>
    <s v="Contract"/>
    <s v="Zone C"/>
    <s v="Production       "/>
    <s v="Aerial"/>
    <s v="Black"/>
    <s v="Fully Meets"/>
    <n v="3"/>
  </r>
  <r>
    <x v="1641"/>
    <x v="1"/>
    <x v="46"/>
    <s v="48-57"/>
    <n v="55"/>
    <d v="1964-07-21T00:00:00"/>
    <s v="Massachusetts"/>
    <s v="MA"/>
    <s v="Male"/>
    <s v="Divorced"/>
    <s v="Production Technician I"/>
    <s v="Active"/>
    <s v="Full-Time"/>
    <s v="Zone C"/>
    <s v="Production       "/>
    <s v="Technology / It"/>
    <s v="White"/>
    <s v="Fully Meets"/>
    <n v="5"/>
  </r>
  <r>
    <x v="1642"/>
    <x v="2"/>
    <x v="1112"/>
    <s v="48-57"/>
    <n v="55"/>
    <d v="1965-04-19T00:00:00"/>
    <s v="Massachusetts"/>
    <s v="MA"/>
    <s v="Male"/>
    <s v="Married"/>
    <s v="Production Technician I"/>
    <s v="Active"/>
    <s v="Full-Time"/>
    <s v="Zone B"/>
    <s v="Production       "/>
    <s v="Field Operations"/>
    <s v="White"/>
    <s v="Fully Meets"/>
    <n v="5"/>
  </r>
  <r>
    <x v="1643"/>
    <x v="4"/>
    <x v="1113"/>
    <s v="48-57"/>
    <n v="55"/>
    <d v="1967-04-12T00:00:00"/>
    <s v="Massachusetts"/>
    <s v="MA"/>
    <s v="Male"/>
    <s v="Divorced"/>
    <s v="Production Technician I"/>
    <s v="Active"/>
    <s v="Full-Time"/>
    <s v="Zone B"/>
    <s v="Production       "/>
    <s v="Field Operations"/>
    <s v="Hispanic"/>
    <s v="Fully Meets"/>
    <n v="4"/>
  </r>
  <r>
    <x v="1644"/>
    <x v="4"/>
    <x v="343"/>
    <s v="48-57"/>
    <n v="55"/>
    <d v="1967-07-17T00:00:00"/>
    <s v="Massachusetts"/>
    <s v="MA"/>
    <s v="Male"/>
    <s v="Single"/>
    <s v="Production Technician I"/>
    <s v="Active"/>
    <s v="Contract"/>
    <s v="Zone B"/>
    <s v="Production       "/>
    <s v="Field Operations"/>
    <s v="Hispanic"/>
    <s v="PIP"/>
    <n v="4"/>
  </r>
  <r>
    <x v="1645"/>
    <x v="5"/>
    <x v="1114"/>
    <s v="48-57"/>
    <n v="55"/>
    <d v="1968-06-02T00:00:00"/>
    <s v="Massachusetts"/>
    <s v="MA"/>
    <s v="Male"/>
    <s v="Widowed"/>
    <s v="Production Technician I"/>
    <s v="Active"/>
    <s v="Contract"/>
    <s v="Zone C"/>
    <s v="Production       "/>
    <s v="General - Con"/>
    <s v="White"/>
    <s v="Needs Improvement"/>
    <n v="3"/>
  </r>
  <r>
    <x v="1646"/>
    <x v="2"/>
    <x v="1115"/>
    <s v="48-57"/>
    <n v="55"/>
    <d v="1965-07-16T00:00:00"/>
    <s v="Massachusetts"/>
    <s v="MA"/>
    <s v="Female"/>
    <s v="Widowed"/>
    <s v="Production Technician I"/>
    <s v="Terminated"/>
    <s v="Part-Time"/>
    <s v="Zone B"/>
    <s v="Production       "/>
    <s v="General - Con"/>
    <s v="Black"/>
    <s v="Fully Meets"/>
    <n v="1"/>
  </r>
  <r>
    <x v="1647"/>
    <x v="2"/>
    <x v="552"/>
    <s v="48-57"/>
    <n v="55"/>
    <d v="1965-09-03T00:00:00"/>
    <s v="Massachusetts"/>
    <s v="MA"/>
    <s v="Female"/>
    <s v="Married"/>
    <s v="Production Technician I"/>
    <s v="Active"/>
    <s v="Part-Time"/>
    <s v="Zone B"/>
    <s v="Production       "/>
    <s v="General - Con"/>
    <s v="Asian"/>
    <s v="Fully Meets"/>
    <n v="4"/>
  </r>
  <r>
    <x v="1648"/>
    <x v="3"/>
    <x v="340"/>
    <s v="48-57"/>
    <n v="55"/>
    <d v="1966-01-07T00:00:00"/>
    <s v="Massachusetts"/>
    <s v="MA"/>
    <s v="Female"/>
    <s v="Widowed"/>
    <s v="Production Technician I"/>
    <s v="Terminated"/>
    <s v="Full-Time"/>
    <s v="Zone A"/>
    <s v="Production       "/>
    <s v="Project Management - Con"/>
    <s v="Black"/>
    <s v="Fully Meets"/>
    <n v="1"/>
  </r>
  <r>
    <x v="1649"/>
    <x v="1"/>
    <x v="1116"/>
    <s v="48-57"/>
    <n v="55"/>
    <d v="1964-11-23T00:00:00"/>
    <s v="Massachusetts"/>
    <s v="MA"/>
    <s v="Female"/>
    <s v="Single"/>
    <s v="Production Technician I"/>
    <s v="Active"/>
    <s v="Part-Time"/>
    <s v="Zone A"/>
    <s v="Production       "/>
    <s v="General - Con"/>
    <s v="Other"/>
    <s v="Exceeds"/>
    <n v="1"/>
  </r>
  <r>
    <x v="1650"/>
    <x v="1"/>
    <x v="1117"/>
    <s v="48-57"/>
    <n v="55"/>
    <d v="1964-08-01T00:00:00"/>
    <s v="Massachusetts"/>
    <s v="MA"/>
    <s v="Male"/>
    <s v="Widowed"/>
    <s v="Production Technician I"/>
    <s v="Active"/>
    <s v="Part-Time"/>
    <s v="Zone A"/>
    <s v="Production       "/>
    <s v="Engineers"/>
    <s v="Asian"/>
    <s v="Needs Improvement"/>
    <n v="4"/>
  </r>
  <r>
    <x v="1651"/>
    <x v="0"/>
    <x v="1118"/>
    <s v="48-57"/>
    <n v="55"/>
    <d v="1963-09-12T00:00:00"/>
    <s v="Massachusetts"/>
    <s v="MA"/>
    <s v="Female"/>
    <s v="Married"/>
    <s v="Production Technician I"/>
    <s v="Active"/>
    <s v="Contract"/>
    <s v="Zone B"/>
    <s v="Production       "/>
    <s v="Wireline Construction"/>
    <s v="Asian"/>
    <s v="Exceeds"/>
    <n v="5"/>
  </r>
  <r>
    <x v="1652"/>
    <x v="4"/>
    <x v="619"/>
    <s v="48-57"/>
    <n v="55"/>
    <d v="1967-04-09T00:00:00"/>
    <s v="Massachusetts"/>
    <s v="MA"/>
    <s v="Female"/>
    <s v="Single"/>
    <s v="Production Technician I"/>
    <s v="Terminated"/>
    <s v="Part-Time"/>
    <s v="Zone A"/>
    <s v="Production       "/>
    <s v="Yard (Material Handling)"/>
    <s v="Asian"/>
    <s v="Fully Meets"/>
    <n v="5"/>
  </r>
  <r>
    <x v="1653"/>
    <x v="2"/>
    <x v="1119"/>
    <s v="48-57"/>
    <n v="55"/>
    <d v="1965-10-09T00:00:00"/>
    <s v="Massachusetts"/>
    <s v="MA"/>
    <s v="Male"/>
    <s v="Single"/>
    <s v="IT Manager - Support"/>
    <s v="Active"/>
    <s v="Contract"/>
    <s v="Zone B"/>
    <s v="IT/IS"/>
    <s v="General - Sga"/>
    <s v="Hispanic"/>
    <s v="Fully Meets"/>
    <n v="1"/>
  </r>
  <r>
    <x v="1654"/>
    <x v="3"/>
    <x v="629"/>
    <s v="48-57"/>
    <n v="55"/>
    <d v="1966-06-13T00:00:00"/>
    <s v="Massachusetts"/>
    <s v="MA"/>
    <s v="Male"/>
    <s v="Divorced"/>
    <s v="IT Manager - DB"/>
    <s v="Active"/>
    <s v="Full-Time"/>
    <s v="Zone A"/>
    <s v="IT/IS"/>
    <s v="Field Operations"/>
    <s v="White"/>
    <s v="Fully Meets"/>
    <n v="1"/>
  </r>
  <r>
    <x v="1655"/>
    <x v="3"/>
    <x v="355"/>
    <s v="48-57"/>
    <n v="55"/>
    <d v="1966-06-18T00:00:00"/>
    <s v="Massachusetts"/>
    <s v="MA"/>
    <s v="Female"/>
    <s v="Divorced"/>
    <s v="Database Administrator"/>
    <s v="Active"/>
    <s v="Contract"/>
    <s v="Zone A"/>
    <s v="IT/IS"/>
    <s v="Aerial"/>
    <s v="Asian"/>
    <s v="Exceeds"/>
    <n v="5"/>
  </r>
  <r>
    <x v="1656"/>
    <x v="1"/>
    <x v="699"/>
    <s v="48-57"/>
    <n v="55"/>
    <d v="1964-03-10T00:00:00"/>
    <s v="Texas"/>
    <s v="TX"/>
    <s v="Male"/>
    <s v="Single"/>
    <s v="CIO"/>
    <s v="Active"/>
    <s v="Full-Time"/>
    <s v="Zone A"/>
    <s v="IT/IS"/>
    <s v="Wireline Construction"/>
    <s v="White"/>
    <s v="Fully Meets"/>
    <n v="1"/>
  </r>
  <r>
    <x v="1657"/>
    <x v="1"/>
    <x v="18"/>
    <s v="48-57"/>
    <n v="55"/>
    <d v="1964-06-17T00:00:00"/>
    <s v="Massachusetts"/>
    <s v="MA"/>
    <s v="Female"/>
    <s v="Married"/>
    <s v="BI Developer"/>
    <s v="Active"/>
    <s v="Full-Time"/>
    <s v="Zone B"/>
    <s v="IT/IS"/>
    <s v="Engineers"/>
    <s v="Black"/>
    <s v="Fully Meets"/>
    <n v="3"/>
  </r>
  <r>
    <x v="1658"/>
    <x v="0"/>
    <x v="952"/>
    <s v="48-57"/>
    <n v="55"/>
    <d v="1963-11-04T00:00:00"/>
    <s v="Massachusetts"/>
    <s v="MA"/>
    <s v="Female"/>
    <s v="Married"/>
    <s v="BI Developer"/>
    <s v="Active"/>
    <s v="Contract"/>
    <s v="Zone C"/>
    <s v="IT/IS"/>
    <s v="Engineers"/>
    <s v="Hispanic"/>
    <s v="Fully Meets"/>
    <n v="4"/>
  </r>
  <r>
    <x v="1659"/>
    <x v="3"/>
    <x v="808"/>
    <s v="48-57"/>
    <n v="55"/>
    <d v="1966-11-27T00:00:00"/>
    <s v="Oregon"/>
    <s v="OR"/>
    <s v="Female"/>
    <s v="Widowed"/>
    <s v="Area Sales Manager"/>
    <s v="Active"/>
    <s v="Part-Time"/>
    <s v="Zone B"/>
    <s v="IT/IS"/>
    <s v="Wireless"/>
    <s v="Black"/>
    <s v="Fully Meets"/>
    <n v="2"/>
  </r>
  <r>
    <x v="1660"/>
    <x v="3"/>
    <x v="405"/>
    <s v="48-57"/>
    <n v="55"/>
    <d v="1966-11-12T00:00:00"/>
    <s v="North Dakota"/>
    <s v="ND"/>
    <s v="Male"/>
    <s v="Married"/>
    <s v="Area Sales Manager"/>
    <s v="Active"/>
    <s v="Contract"/>
    <s v="Zone B"/>
    <s v="Sales"/>
    <s v="General - Sga"/>
    <s v="White"/>
    <s v="Fully Meets"/>
    <n v="5"/>
  </r>
  <r>
    <x v="1661"/>
    <x v="4"/>
    <x v="244"/>
    <s v="48-57"/>
    <n v="55"/>
    <d v="1967-10-04T00:00:00"/>
    <s v="Massachusetts"/>
    <s v="MA"/>
    <s v="Male"/>
    <s v="Divorced"/>
    <s v="Area Sales Manager"/>
    <s v="Active"/>
    <s v="Contract"/>
    <s v="Zone A"/>
    <s v="Sales"/>
    <s v="Project Management - Con"/>
    <s v="Asian"/>
    <s v="Fully Meets"/>
    <n v="2"/>
  </r>
  <r>
    <x v="1662"/>
    <x v="4"/>
    <x v="159"/>
    <s v="48-57"/>
    <n v="55"/>
    <d v="1967-04-25T00:00:00"/>
    <s v="Massachusetts"/>
    <s v="MA"/>
    <s v="Male"/>
    <s v="Widowed"/>
    <s v="Area Sales Manager"/>
    <s v="Active"/>
    <s v="Part-Time"/>
    <s v="Zone C"/>
    <s v="IT/IS"/>
    <s v="Engineers"/>
    <s v="White"/>
    <s v="Fully Meets"/>
    <n v="4"/>
  </r>
  <r>
    <x v="1663"/>
    <x v="3"/>
    <x v="1120"/>
    <s v="48-57"/>
    <n v="55"/>
    <d v="1966-05-01T00:00:00"/>
    <s v="Idaho"/>
    <s v="ID"/>
    <s v="Male"/>
    <s v="Single"/>
    <s v="Area Sales Manager"/>
    <s v="Active"/>
    <s v="Full-Time"/>
    <s v="Zone C"/>
    <s v="Sales"/>
    <s v="Field Operations"/>
    <s v="White"/>
    <s v="Fully Meets"/>
    <n v="3"/>
  </r>
  <r>
    <x v="1664"/>
    <x v="0"/>
    <x v="1054"/>
    <s v="48-57"/>
    <n v="55"/>
    <d v="1963-07-01T00:00:00"/>
    <s v="Idaho"/>
    <s v="ID"/>
    <s v="Male"/>
    <s v="Married"/>
    <s v="Area Sales Manager"/>
    <s v="Active"/>
    <s v="Part-Time"/>
    <s v="Zone B"/>
    <s v="Sales"/>
    <s v="Field Operations"/>
    <s v="White"/>
    <s v="Fully Meets"/>
    <n v="2"/>
  </r>
  <r>
    <x v="1665"/>
    <x v="2"/>
    <x v="682"/>
    <s v="48-57"/>
    <n v="55"/>
    <d v="1965-12-16T00:00:00"/>
    <s v="Colorado"/>
    <s v="CO"/>
    <s v="Male"/>
    <s v="Divorced"/>
    <s v="Area Sales Manager"/>
    <s v="Active"/>
    <s v="Full-Time"/>
    <s v="Zone A"/>
    <s v="Sales"/>
    <s v="Catv"/>
    <s v="Other"/>
    <s v="Fully Meets"/>
    <n v="1"/>
  </r>
  <r>
    <x v="1666"/>
    <x v="1"/>
    <x v="338"/>
    <s v="48-57"/>
    <n v="55"/>
    <d v="1964-07-23T00:00:00"/>
    <s v="Massachusetts"/>
    <s v="MA"/>
    <s v="Male"/>
    <s v="Married"/>
    <s v="Accountant I"/>
    <s v="Active"/>
    <s v="Part-Time"/>
    <s v="Zone C"/>
    <s v="Admin Offices"/>
    <s v="Finance &amp; Accounting"/>
    <s v="Asian"/>
    <s v="Fully Meets"/>
    <n v="2"/>
  </r>
  <r>
    <x v="1667"/>
    <x v="4"/>
    <x v="852"/>
    <s v="48-57"/>
    <n v="56"/>
    <d v="1966-09-30T00:00:00"/>
    <s v="Massachusetts"/>
    <s v="MA"/>
    <s v="Male"/>
    <s v="Married"/>
    <s v="Software Engineering Manager"/>
    <s v="Active"/>
    <s v="Full-Time"/>
    <s v="Zone B"/>
    <s v="Software Engineering"/>
    <s v="General - Con"/>
    <s v="Other"/>
    <s v="Fully Meets"/>
    <n v="2"/>
  </r>
  <r>
    <x v="1668"/>
    <x v="3"/>
    <x v="1021"/>
    <s v="48-57"/>
    <n v="56"/>
    <d v="1965-11-25T00:00:00"/>
    <s v="Massachusetts"/>
    <s v="MA"/>
    <s v="Female"/>
    <s v="Widowed"/>
    <s v="Software Engineering Manager"/>
    <s v="Active"/>
    <s v="Full-Time"/>
    <s v="Zone B"/>
    <s v="Software Engineering"/>
    <s v="Field Operations"/>
    <s v="Asian"/>
    <s v="Fully Meets"/>
    <n v="4"/>
  </r>
  <r>
    <x v="1669"/>
    <x v="5"/>
    <x v="442"/>
    <s v="48-57"/>
    <n v="56"/>
    <d v="1967-03-06T00:00:00"/>
    <s v="Massachusetts"/>
    <s v="MA"/>
    <s v="Male"/>
    <s v="Widowed"/>
    <s v="Software Engineer"/>
    <s v="Active"/>
    <s v="Part-Time"/>
    <s v="Zone B"/>
    <s v="Software Engineering"/>
    <s v="Field Operations"/>
    <s v="Hispanic"/>
    <s v="Fully Meets"/>
    <n v="4"/>
  </r>
  <r>
    <x v="1670"/>
    <x v="4"/>
    <x v="144"/>
    <s v="48-57"/>
    <n v="56"/>
    <d v="1966-07-22T00:00:00"/>
    <s v="Massachusetts"/>
    <s v="MA"/>
    <s v="Female"/>
    <s v="Married"/>
    <s v="Production Technician II"/>
    <s v="Active"/>
    <s v="Part-Time"/>
    <s v="Zone B"/>
    <s v="Production       "/>
    <s v="Wireline Construction"/>
    <s v="White"/>
    <s v="Fully Meets"/>
    <n v="1"/>
  </r>
  <r>
    <x v="1671"/>
    <x v="1"/>
    <x v="840"/>
    <s v="48-57"/>
    <n v="56"/>
    <d v="1963-01-25T00:00:00"/>
    <s v="Massachusetts"/>
    <s v="MA"/>
    <s v="Female"/>
    <s v="Married"/>
    <s v="Production Technician II"/>
    <s v="Active"/>
    <s v="Full-Time"/>
    <s v="Zone B"/>
    <s v="Production       "/>
    <s v="Field Operations"/>
    <s v="Hispanic"/>
    <s v="Fully Meets"/>
    <n v="3"/>
  </r>
  <r>
    <x v="1672"/>
    <x v="3"/>
    <x v="1121"/>
    <s v="48-57"/>
    <n v="56"/>
    <d v="1965-02-21T00:00:00"/>
    <s v="Massachusetts"/>
    <s v="MA"/>
    <s v="Female"/>
    <s v="Married"/>
    <s v="Production Technician II"/>
    <s v="Active"/>
    <s v="Part-Time"/>
    <s v="Zone A"/>
    <s v="Production       "/>
    <s v="Field Operations"/>
    <s v="Black"/>
    <s v="Exceeds"/>
    <n v="4"/>
  </r>
  <r>
    <x v="1673"/>
    <x v="4"/>
    <x v="127"/>
    <s v="48-57"/>
    <n v="56"/>
    <d v="1966-08-23T00:00:00"/>
    <s v="Massachusetts"/>
    <s v="MA"/>
    <s v="Female"/>
    <s v="Single"/>
    <s v="Production Technician II"/>
    <s v="Active"/>
    <s v="Contract"/>
    <s v="Zone A"/>
    <s v="Production       "/>
    <s v="Aerial"/>
    <s v="White"/>
    <s v="Fully Meets"/>
    <n v="5"/>
  </r>
  <r>
    <x v="1674"/>
    <x v="4"/>
    <x v="1071"/>
    <s v="48-57"/>
    <n v="56"/>
    <d v="1966-02-05T00:00:00"/>
    <s v="Massachusetts"/>
    <s v="MA"/>
    <s v="Female"/>
    <s v="Divorced"/>
    <s v="Production Technician I"/>
    <s v="Active"/>
    <s v="Full-Time"/>
    <s v="Zone A"/>
    <s v="Production       "/>
    <s v="Engineers"/>
    <s v="Asian"/>
    <s v="Fully Meets"/>
    <n v="5"/>
  </r>
  <r>
    <x v="1675"/>
    <x v="2"/>
    <x v="397"/>
    <s v="48-57"/>
    <n v="56"/>
    <d v="1964-12-22T00:00:00"/>
    <s v="Massachusetts"/>
    <s v="MA"/>
    <s v="Female"/>
    <s v="Widowed"/>
    <s v="Production Technician I"/>
    <s v="Active"/>
    <s v="Part-Time"/>
    <s v="Zone B"/>
    <s v="Production       "/>
    <s v="Aerial"/>
    <s v="Asian"/>
    <s v="Fully Meets"/>
    <n v="3"/>
  </r>
  <r>
    <x v="1676"/>
    <x v="1"/>
    <x v="363"/>
    <s v="48-57"/>
    <n v="56"/>
    <d v="1963-07-11T00:00:00"/>
    <s v="Massachusetts"/>
    <s v="MA"/>
    <s v="Male"/>
    <s v="Married"/>
    <s v="Production Technician I"/>
    <s v="Active"/>
    <s v="Contract"/>
    <s v="Zone C"/>
    <s v="Production       "/>
    <s v="Wireless"/>
    <s v="White"/>
    <s v="Fully Meets"/>
    <n v="4"/>
  </r>
  <r>
    <x v="1677"/>
    <x v="4"/>
    <x v="1122"/>
    <s v="48-57"/>
    <n v="56"/>
    <d v="1966-11-25T00:00:00"/>
    <s v="Massachusetts"/>
    <s v="MA"/>
    <s v="Female"/>
    <s v="Divorced"/>
    <s v="Production Technician I"/>
    <s v="Active"/>
    <s v="Part-Time"/>
    <s v="Zone C"/>
    <s v="Production       "/>
    <s v="Project Management - Con"/>
    <s v="Black"/>
    <s v="Fully Meets"/>
    <n v="4"/>
  </r>
  <r>
    <x v="1678"/>
    <x v="1"/>
    <x v="1123"/>
    <s v="48-57"/>
    <n v="56"/>
    <d v="1963-11-06T00:00:00"/>
    <s v="Massachusetts"/>
    <s v="MA"/>
    <s v="Female"/>
    <s v="Single"/>
    <s v="Production Technician I"/>
    <s v="Active"/>
    <s v="Full-Time"/>
    <s v="Zone A"/>
    <s v="Production       "/>
    <s v="Field Operations"/>
    <s v="Other"/>
    <s v="Fully Meets"/>
    <n v="5"/>
  </r>
  <r>
    <x v="1679"/>
    <x v="1"/>
    <x v="689"/>
    <s v="48-57"/>
    <n v="56"/>
    <d v="1963-11-07T00:00:00"/>
    <s v="Massachusetts"/>
    <s v="MA"/>
    <s v="Female"/>
    <s v="Single"/>
    <s v="Production Technician I"/>
    <s v="Active"/>
    <s v="Contract"/>
    <s v="Zone C"/>
    <s v="Production       "/>
    <s v="Splicing"/>
    <s v="Other"/>
    <s v="Fully Meets"/>
    <n v="5"/>
  </r>
  <r>
    <x v="1680"/>
    <x v="5"/>
    <x v="499"/>
    <s v="48-57"/>
    <n v="56"/>
    <d v="1967-05-24T00:00:00"/>
    <s v="Massachusetts"/>
    <s v="MA"/>
    <s v="Male"/>
    <s v="Widowed"/>
    <s v="Production Technician I"/>
    <s v="Active"/>
    <s v="Contract"/>
    <s v="Zone C"/>
    <s v="Production       "/>
    <s v="Aerial"/>
    <s v="Asian"/>
    <s v="Fully Meets"/>
    <n v="4"/>
  </r>
  <r>
    <x v="1681"/>
    <x v="1"/>
    <x v="1124"/>
    <s v="48-57"/>
    <n v="56"/>
    <d v="1963-02-14T00:00:00"/>
    <s v="Massachusetts"/>
    <s v="MA"/>
    <s v="Female"/>
    <s v="Single"/>
    <s v="Production Technician I"/>
    <s v="Active"/>
    <s v="Full-Time"/>
    <s v="Zone B"/>
    <s v="Production       "/>
    <s v="General - Sga"/>
    <s v="Other"/>
    <s v="Needs Improvement"/>
    <n v="1"/>
  </r>
  <r>
    <x v="1682"/>
    <x v="0"/>
    <x v="131"/>
    <s v="48-57"/>
    <n v="56"/>
    <d v="1962-11-15T00:00:00"/>
    <s v="Massachusetts"/>
    <s v="MA"/>
    <s v="Male"/>
    <s v="Married"/>
    <s v="Production Technician I"/>
    <s v="Active"/>
    <s v="Full-Time"/>
    <s v="Zone A"/>
    <s v="Production       "/>
    <s v="Executive"/>
    <s v="Black"/>
    <s v="Fully Meets"/>
    <n v="5"/>
  </r>
  <r>
    <x v="1683"/>
    <x v="1"/>
    <x v="434"/>
    <s v="48-57"/>
    <n v="56"/>
    <d v="1963-08-01T00:00:00"/>
    <s v="Massachusetts"/>
    <s v="MA"/>
    <s v="Male"/>
    <s v="Married"/>
    <s v="Production Technician I"/>
    <s v="Terminated"/>
    <s v="Part-Time"/>
    <s v="Zone A"/>
    <s v="Production       "/>
    <s v="Field Operations"/>
    <s v="White"/>
    <s v="Needs Improvement"/>
    <n v="2"/>
  </r>
  <r>
    <x v="1684"/>
    <x v="2"/>
    <x v="216"/>
    <s v="48-57"/>
    <n v="56"/>
    <d v="1964-05-10T00:00:00"/>
    <s v="Massachusetts"/>
    <s v="MA"/>
    <s v="Female"/>
    <s v="Single"/>
    <s v="Production Technician I"/>
    <s v="Active"/>
    <s v="Part-Time"/>
    <s v="Zone C"/>
    <s v="Production       "/>
    <s v="Finance &amp; Accounting"/>
    <s v="White"/>
    <s v="Fully Meets"/>
    <n v="3"/>
  </r>
  <r>
    <x v="1685"/>
    <x v="4"/>
    <x v="841"/>
    <s v="48-57"/>
    <n v="56"/>
    <d v="1966-11-24T00:00:00"/>
    <s v="Massachusetts"/>
    <s v="MA"/>
    <s v="Female"/>
    <s v="Divorced"/>
    <s v="Production Technician I"/>
    <s v="Active"/>
    <s v="Contract"/>
    <s v="Zone C"/>
    <s v="Production       "/>
    <s v="Yard (Material Handling)"/>
    <s v="Other"/>
    <s v="Fully Meets"/>
    <n v="2"/>
  </r>
  <r>
    <x v="1686"/>
    <x v="2"/>
    <x v="317"/>
    <s v="48-57"/>
    <n v="56"/>
    <d v="1964-02-03T00:00:00"/>
    <s v="Massachusetts"/>
    <s v="MA"/>
    <s v="Female"/>
    <s v="Divorced"/>
    <s v="Production Technician I"/>
    <s v="Active"/>
    <s v="Contract"/>
    <s v="Zone B"/>
    <s v="Production       "/>
    <s v="Field Operations"/>
    <s v="Hispanic"/>
    <s v="Fully Meets"/>
    <n v="4"/>
  </r>
  <r>
    <x v="1687"/>
    <x v="0"/>
    <x v="799"/>
    <s v="48-57"/>
    <n v="56"/>
    <d v="1962-01-25T00:00:00"/>
    <s v="Massachusetts"/>
    <s v="MA"/>
    <s v="Female"/>
    <s v="Widowed"/>
    <s v="Production Technician I"/>
    <s v="Active"/>
    <s v="Full-Time"/>
    <s v="Zone C"/>
    <s v="Production       "/>
    <s v="Project Management - Con"/>
    <s v="Hispanic"/>
    <s v="Needs Improvement"/>
    <n v="2"/>
  </r>
  <r>
    <x v="1688"/>
    <x v="4"/>
    <x v="1125"/>
    <s v="48-57"/>
    <n v="56"/>
    <d v="1966-06-03T00:00:00"/>
    <s v="Massachusetts"/>
    <s v="MA"/>
    <s v="Male"/>
    <s v="Married"/>
    <s v="Production Technician I"/>
    <s v="Active"/>
    <s v="Contract"/>
    <s v="Zone C"/>
    <s v="Production       "/>
    <s v="Aerial"/>
    <s v="Asian"/>
    <s v="Exceeds"/>
    <n v="4"/>
  </r>
  <r>
    <x v="1689"/>
    <x v="5"/>
    <x v="558"/>
    <s v="48-57"/>
    <n v="56"/>
    <d v="1967-04-16T00:00:00"/>
    <s v="Massachusetts"/>
    <s v="MA"/>
    <s v="Male"/>
    <s v="Divorced"/>
    <s v="Production Technician I"/>
    <s v="Active"/>
    <s v="Full-Time"/>
    <s v="Zone A"/>
    <s v="Production       "/>
    <s v="Field Operations"/>
    <s v="Other"/>
    <s v="Fully Meets"/>
    <n v="5"/>
  </r>
  <r>
    <x v="1690"/>
    <x v="2"/>
    <x v="1052"/>
    <s v="48-57"/>
    <n v="56"/>
    <d v="1964-05-10T00:00:00"/>
    <s v="Massachusetts"/>
    <s v="MA"/>
    <s v="Male"/>
    <s v="Divorced"/>
    <s v="Production Technician I"/>
    <s v="Active"/>
    <s v="Full-Time"/>
    <s v="Zone C"/>
    <s v="Production       "/>
    <s v="Field Operations"/>
    <s v="White"/>
    <s v="Fully Meets"/>
    <n v="4"/>
  </r>
  <r>
    <x v="1691"/>
    <x v="1"/>
    <x v="1126"/>
    <s v="48-57"/>
    <n v="56"/>
    <d v="1963-04-16T00:00:00"/>
    <s v="Massachusetts"/>
    <s v="MA"/>
    <s v="Female"/>
    <s v="Single"/>
    <s v="Production Manager"/>
    <s v="Active"/>
    <s v="Part-Time"/>
    <s v="Zone B"/>
    <s v="Production       "/>
    <s v="Wireline Construction"/>
    <s v="Asian"/>
    <s v="Fully Meets"/>
    <n v="3"/>
  </r>
  <r>
    <x v="1692"/>
    <x v="5"/>
    <x v="1127"/>
    <s v="48-57"/>
    <n v="56"/>
    <d v="1967-08-21T00:00:00"/>
    <s v="Massachusetts"/>
    <s v="MA"/>
    <s v="Female"/>
    <s v="Married"/>
    <s v="IT Support"/>
    <s v="Active"/>
    <s v="Contract"/>
    <s v="Zone A"/>
    <s v="IT/IS"/>
    <s v="Engineers"/>
    <s v="White"/>
    <s v="Fully Meets"/>
    <n v="4"/>
  </r>
  <r>
    <x v="1693"/>
    <x v="4"/>
    <x v="1033"/>
    <s v="48-57"/>
    <n v="56"/>
    <d v="1966-10-25T00:00:00"/>
    <s v="Massachusetts"/>
    <s v="MA"/>
    <s v="Female"/>
    <s v="Widowed"/>
    <s v="IT Support"/>
    <s v="Active"/>
    <s v="Part-Time"/>
    <s v="Zone C"/>
    <s v="IT/IS"/>
    <s v="Wireline Construction"/>
    <s v="Hispanic"/>
    <s v="Exceeds"/>
    <n v="2"/>
  </r>
  <r>
    <x v="1694"/>
    <x v="3"/>
    <x v="869"/>
    <s v="48-57"/>
    <n v="56"/>
    <d v="1965-02-12T00:00:00"/>
    <s v="Massachusetts"/>
    <s v="MA"/>
    <s v="Female"/>
    <s v="Single"/>
    <s v="IT Support"/>
    <s v="Active"/>
    <s v="Part-Time"/>
    <s v="Zone C"/>
    <s v="IT/IS"/>
    <s v="Wireline Construction"/>
    <s v="Black"/>
    <s v="Exceeds"/>
    <n v="5"/>
  </r>
  <r>
    <x v="1695"/>
    <x v="3"/>
    <x v="939"/>
    <s v="48-57"/>
    <n v="56"/>
    <d v="1965-02-22T00:00:00"/>
    <s v="Massachusetts"/>
    <s v="MA"/>
    <s v="Female"/>
    <s v="Married"/>
    <s v="Data Analyst"/>
    <s v="Active"/>
    <s v="Full-Time"/>
    <s v="Zone B"/>
    <s v="IT/IS"/>
    <s v="General - Eng"/>
    <s v="White"/>
    <s v="Fully Meets"/>
    <n v="4"/>
  </r>
  <r>
    <x v="1696"/>
    <x v="1"/>
    <x v="1128"/>
    <s v="48-57"/>
    <n v="56"/>
    <d v="1963-02-10T00:00:00"/>
    <s v="Massachusetts"/>
    <s v="MA"/>
    <s v="Male"/>
    <s v="Single"/>
    <s v="BI Developer"/>
    <s v="Active"/>
    <s v="Full-Time"/>
    <s v="Zone A"/>
    <s v="IT/IS"/>
    <s v="Aerial"/>
    <s v="Asian"/>
    <s v="Fully Meets"/>
    <n v="5"/>
  </r>
  <r>
    <x v="1697"/>
    <x v="4"/>
    <x v="106"/>
    <s v="48-57"/>
    <n v="56"/>
    <d v="1966-12-24T00:00:00"/>
    <s v="Tennessee"/>
    <s v="TN"/>
    <s v="Male"/>
    <s v="Divorced"/>
    <s v="Area Sales Manager"/>
    <s v="Active"/>
    <s v="Full-Time"/>
    <s v="Zone A"/>
    <s v="Sales"/>
    <s v="Wireline Construction"/>
    <s v="Black"/>
    <s v="Fully Meets"/>
    <n v="3"/>
  </r>
  <r>
    <x v="1698"/>
    <x v="2"/>
    <x v="1129"/>
    <s v="48-57"/>
    <n v="56"/>
    <d v="1964-02-08T00:00:00"/>
    <s v="New York"/>
    <s v="NY"/>
    <s v="Male"/>
    <s v="Married"/>
    <s v="Area Sales Manager"/>
    <s v="Active"/>
    <s v="Full-Time"/>
    <s v="Zone A"/>
    <s v="Sales"/>
    <s v="Splicing"/>
    <s v="White"/>
    <s v="Fully Meets"/>
    <n v="5"/>
  </r>
  <r>
    <x v="1699"/>
    <x v="1"/>
    <x v="1089"/>
    <s v="48-57"/>
    <n v="56"/>
    <d v="1963-07-10T00:00:00"/>
    <s v="Massachusetts"/>
    <s v="MA"/>
    <s v="Male"/>
    <s v="Widowed"/>
    <s v="Area Sales Manager"/>
    <s v="Active"/>
    <s v="Contract"/>
    <s v="Zone A"/>
    <s v="IT/IS"/>
    <s v="Project Management - Con"/>
    <s v="Black"/>
    <s v="Fully Meets"/>
    <n v="2"/>
  </r>
  <r>
    <x v="1700"/>
    <x v="2"/>
    <x v="435"/>
    <s v="48-57"/>
    <n v="56"/>
    <d v="1964-09-05T00:00:00"/>
    <s v="Idaho"/>
    <s v="ID"/>
    <s v="Male"/>
    <s v="Divorced"/>
    <s v="Area Sales Manager"/>
    <s v="Active"/>
    <s v="Part-Time"/>
    <s v="Zone A"/>
    <s v="Sales"/>
    <s v="General - Con"/>
    <s v="Asian"/>
    <s v="Fully Meets"/>
    <n v="3"/>
  </r>
  <r>
    <x v="1701"/>
    <x v="4"/>
    <x v="160"/>
    <s v="48-57"/>
    <n v="57"/>
    <d v="1965-02-25T00:00:00"/>
    <s v="Massachusetts"/>
    <s v="MA"/>
    <s v="Male"/>
    <s v="Widowed"/>
    <s v="Sr. Network Engineer"/>
    <s v="Active"/>
    <s v="Full-Time"/>
    <s v="Zone C"/>
    <s v="IT/IS"/>
    <s v="General - Con"/>
    <s v="Other"/>
    <s v="PIP"/>
    <n v="1"/>
  </r>
  <r>
    <x v="1702"/>
    <x v="3"/>
    <x v="359"/>
    <s v="48-57"/>
    <n v="57"/>
    <d v="1964-09-25T00:00:00"/>
    <s v="Massachusetts"/>
    <s v="MA"/>
    <s v="Male"/>
    <s v="Divorced"/>
    <s v="Sr. Network Engineer"/>
    <s v="Active"/>
    <s v="Contract"/>
    <s v="Zone B"/>
    <s v="IT/IS"/>
    <s v="Field Operations"/>
    <s v="Asian"/>
    <s v="PIP"/>
    <n v="2"/>
  </r>
  <r>
    <x v="1703"/>
    <x v="4"/>
    <x v="946"/>
    <s v="48-57"/>
    <n v="57"/>
    <d v="1965-08-24T00:00:00"/>
    <s v="Massachusetts"/>
    <s v="MA"/>
    <s v="Male"/>
    <s v="Divorced"/>
    <s v="Software Engineer"/>
    <s v="Terminated"/>
    <s v="Contract"/>
    <s v="Zone B"/>
    <s v="Software Engineering"/>
    <s v="General - Con"/>
    <s v="Asian"/>
    <s v="Fully Meets"/>
    <n v="3"/>
  </r>
  <r>
    <x v="1704"/>
    <x v="1"/>
    <x v="1130"/>
    <s v="48-57"/>
    <n v="57"/>
    <d v="1962-03-05T00:00:00"/>
    <s v="Massachusetts"/>
    <s v="MA"/>
    <s v="Male"/>
    <s v="Single"/>
    <s v="Shared Services Manager"/>
    <s v="Active"/>
    <s v="Full-Time"/>
    <s v="Zone A"/>
    <s v="Admin Offices"/>
    <s v="Field Operations"/>
    <s v="White"/>
    <s v="Fully Meets"/>
    <n v="5"/>
  </r>
  <r>
    <x v="1705"/>
    <x v="0"/>
    <x v="762"/>
    <s v="48-57"/>
    <n v="57"/>
    <d v="1961-12-17T00:00:00"/>
    <s v="Massachusetts"/>
    <s v="MA"/>
    <s v="Male"/>
    <s v="Single"/>
    <s v="Shared Services Manager"/>
    <s v="Terminated"/>
    <s v="Part-Time"/>
    <s v="Zone B"/>
    <s v="Admin Offices"/>
    <s v="Field Operations"/>
    <s v="White"/>
    <s v="Fully Meets"/>
    <n v="2"/>
  </r>
  <r>
    <x v="1706"/>
    <x v="0"/>
    <x v="55"/>
    <s v="48-57"/>
    <n v="57"/>
    <d v="1961-12-04T00:00:00"/>
    <s v="Massachusetts"/>
    <s v="MA"/>
    <s v="Female"/>
    <s v="Married"/>
    <s v="Shared Services Manager"/>
    <s v="Active"/>
    <s v="Contract"/>
    <s v="Zone A"/>
    <s v="Software Engineering"/>
    <s v="People Services"/>
    <s v="White"/>
    <s v="Fully Meets"/>
    <n v="1"/>
  </r>
  <r>
    <x v="1707"/>
    <x v="2"/>
    <x v="1131"/>
    <s v="48-57"/>
    <n v="57"/>
    <d v="1963-06-10T00:00:00"/>
    <s v="Massachusetts"/>
    <s v="MA"/>
    <s v="Female"/>
    <s v="Single"/>
    <s v="Senior BI Developer"/>
    <s v="Active"/>
    <s v="Full-Time"/>
    <s v="Zone C"/>
    <s v="Admin Offices"/>
    <s v="Catv"/>
    <s v="Black"/>
    <s v="Fully Meets"/>
    <n v="4"/>
  </r>
  <r>
    <x v="1708"/>
    <x v="3"/>
    <x v="941"/>
    <s v="48-57"/>
    <n v="57"/>
    <d v="1964-10-10T00:00:00"/>
    <s v="Massachusetts"/>
    <s v="MA"/>
    <s v="Female"/>
    <s v="Married"/>
    <s v="Sales Manager"/>
    <s v="Active"/>
    <s v="Contract"/>
    <s v="Zone A"/>
    <s v="Sales"/>
    <s v="Project Management - Con"/>
    <s v="White"/>
    <s v="Fully Meets"/>
    <n v="3"/>
  </r>
  <r>
    <x v="1709"/>
    <x v="2"/>
    <x v="347"/>
    <s v="48-57"/>
    <n v="57"/>
    <d v="1963-08-20T00:00:00"/>
    <s v="Pennsylvania"/>
    <s v="PA"/>
    <s v="Female"/>
    <s v="Married"/>
    <s v="Production Technician II"/>
    <s v="Active"/>
    <s v="Part-Time"/>
    <s v="Zone A"/>
    <s v="Sales"/>
    <s v="Field Operations"/>
    <s v="Asian"/>
    <s v="Fully Meets"/>
    <n v="4"/>
  </r>
  <r>
    <x v="1710"/>
    <x v="1"/>
    <x v="194"/>
    <s v="48-57"/>
    <n v="57"/>
    <d v="1962-12-15T00:00:00"/>
    <s v="Massachusetts"/>
    <s v="MA"/>
    <s v="Female"/>
    <s v="Single"/>
    <s v="Production Technician II"/>
    <s v="Active"/>
    <s v="Contract"/>
    <s v="Zone B"/>
    <s v="Production       "/>
    <s v="Field Operations"/>
    <s v="White"/>
    <s v="Fully Meets"/>
    <n v="2"/>
  </r>
  <r>
    <x v="1711"/>
    <x v="4"/>
    <x v="1059"/>
    <s v="48-57"/>
    <n v="57"/>
    <d v="1965-01-07T00:00:00"/>
    <s v="Massachusetts"/>
    <s v="MA"/>
    <s v="Male"/>
    <s v="Divorced"/>
    <s v="Production Technician II"/>
    <s v="Terminated"/>
    <s v="Contract"/>
    <s v="Zone B"/>
    <s v="Production       "/>
    <s v="Field Operations"/>
    <s v="Asian"/>
    <s v="Fully Meets"/>
    <n v="2"/>
  </r>
  <r>
    <x v="1712"/>
    <x v="4"/>
    <x v="1132"/>
    <s v="48-57"/>
    <n v="57"/>
    <d v="1965-11-25T00:00:00"/>
    <s v="Massachusetts"/>
    <s v="MA"/>
    <s v="Male"/>
    <s v="Married"/>
    <s v="Production Technician II"/>
    <s v="Active"/>
    <s v="Part-Time"/>
    <s v="Zone A"/>
    <s v="Production       "/>
    <s v="Field Operations"/>
    <s v="Hispanic"/>
    <s v="Fully Meets"/>
    <n v="2"/>
  </r>
  <r>
    <x v="1713"/>
    <x v="1"/>
    <x v="388"/>
    <s v="48-57"/>
    <n v="57"/>
    <d v="1962-07-16T00:00:00"/>
    <s v="Massachusetts"/>
    <s v="MA"/>
    <s v="Female"/>
    <s v="Married"/>
    <s v="Production Technician II"/>
    <s v="Terminated"/>
    <s v="Contract"/>
    <s v="Zone B"/>
    <s v="Production       "/>
    <s v="General - Con"/>
    <s v="Black"/>
    <s v="Fully Meets"/>
    <n v="2"/>
  </r>
  <r>
    <x v="1714"/>
    <x v="3"/>
    <x v="1133"/>
    <s v="48-57"/>
    <n v="57"/>
    <d v="1964-01-01T00:00:00"/>
    <s v="Massachusetts"/>
    <s v="MA"/>
    <s v="Female"/>
    <s v="Divorced"/>
    <s v="Production Technician II"/>
    <s v="Active"/>
    <s v="Contract"/>
    <s v="Zone A"/>
    <s v="Production       "/>
    <s v="Project Management - Con"/>
    <s v="Hispanic"/>
    <s v="Fully Meets"/>
    <n v="3"/>
  </r>
  <r>
    <x v="1715"/>
    <x v="2"/>
    <x v="1134"/>
    <s v="48-57"/>
    <n v="57"/>
    <d v="1963-10-04T00:00:00"/>
    <s v="Massachusetts"/>
    <s v="MA"/>
    <s v="Female"/>
    <s v="Single"/>
    <s v="Production Technician II"/>
    <s v="Terminated"/>
    <s v="Contract"/>
    <s v="Zone A"/>
    <s v="Production       "/>
    <s v="Splicing"/>
    <s v="Hispanic"/>
    <s v="Fully Meets"/>
    <n v="3"/>
  </r>
  <r>
    <x v="1716"/>
    <x v="1"/>
    <x v="1135"/>
    <s v="48-57"/>
    <n v="57"/>
    <d v="1962-06-22T00:00:00"/>
    <s v="Massachusetts"/>
    <s v="MA"/>
    <s v="Female"/>
    <s v="Divorced"/>
    <s v="Production Technician II"/>
    <s v="Active"/>
    <s v="Full-Time"/>
    <s v="Zone A"/>
    <s v="Production       "/>
    <s v="Catv"/>
    <s v="Asian"/>
    <s v="Fully Meets"/>
    <n v="3"/>
  </r>
  <r>
    <x v="1717"/>
    <x v="2"/>
    <x v="280"/>
    <s v="48-57"/>
    <n v="57"/>
    <d v="1963-04-13T00:00:00"/>
    <s v="Massachusetts"/>
    <s v="MA"/>
    <s v="Female"/>
    <s v="Widowed"/>
    <s v="Production Technician II"/>
    <s v="Active"/>
    <s v="Full-Time"/>
    <s v="Zone B"/>
    <s v="Production       "/>
    <s v="Finance &amp; Accounting"/>
    <s v="Black"/>
    <s v="Fully Meets"/>
    <n v="2"/>
  </r>
  <r>
    <x v="1718"/>
    <x v="4"/>
    <x v="1136"/>
    <s v="48-57"/>
    <n v="57"/>
    <d v="1965-12-02T00:00:00"/>
    <s v="Massachusetts"/>
    <s v="MA"/>
    <s v="Male"/>
    <s v="Divorced"/>
    <s v="Production Technician II"/>
    <s v="Terminated"/>
    <s v="Full-Time"/>
    <s v="Zone B"/>
    <s v="Production       "/>
    <s v="Project Management - Con"/>
    <s v="Other"/>
    <s v="Fully Meets"/>
    <n v="1"/>
  </r>
  <r>
    <x v="1719"/>
    <x v="1"/>
    <x v="1137"/>
    <s v="48-57"/>
    <n v="57"/>
    <d v="1962-11-07T00:00:00"/>
    <s v="Massachusetts"/>
    <s v="MA"/>
    <s v="Male"/>
    <s v="Divorced"/>
    <s v="Production Technician II"/>
    <s v="Terminated"/>
    <s v="Contract"/>
    <s v="Zone C"/>
    <s v="Production       "/>
    <s v="Field Operations"/>
    <s v="Other"/>
    <s v="PIP"/>
    <n v="4"/>
  </r>
  <r>
    <x v="1720"/>
    <x v="4"/>
    <x v="1125"/>
    <s v="48-57"/>
    <n v="57"/>
    <d v="1965-09-14T00:00:00"/>
    <s v="Massachusetts"/>
    <s v="MA"/>
    <s v="Male"/>
    <s v="Divorced"/>
    <s v="Production Technician II"/>
    <s v="Active"/>
    <s v="Part-Time"/>
    <s v="Zone B"/>
    <s v="Production       "/>
    <s v="General - Sga"/>
    <s v="Other"/>
    <s v="Needs Improvement"/>
    <n v="2"/>
  </r>
  <r>
    <x v="1721"/>
    <x v="1"/>
    <x v="1138"/>
    <s v="48-57"/>
    <n v="57"/>
    <d v="1962-11-11T00:00:00"/>
    <s v="Massachusetts"/>
    <s v="MA"/>
    <s v="Male"/>
    <s v="Widowed"/>
    <s v="Production Technician II"/>
    <s v="Active"/>
    <s v="Part-Time"/>
    <s v="Zone A"/>
    <s v="Production       "/>
    <s v="Isp"/>
    <s v="Hispanic"/>
    <s v="Exceeds"/>
    <n v="4"/>
  </r>
  <r>
    <x v="1722"/>
    <x v="4"/>
    <x v="409"/>
    <s v="48-57"/>
    <n v="57"/>
    <d v="1965-01-13T00:00:00"/>
    <s v="Massachusetts"/>
    <s v="MA"/>
    <s v="Male"/>
    <s v="Married"/>
    <s v="Production Technician II"/>
    <s v="Active"/>
    <s v="Full-Time"/>
    <s v="Zone A"/>
    <s v="Production       "/>
    <s v="Field Operations"/>
    <s v="Other"/>
    <s v="Fully Meets"/>
    <n v="1"/>
  </r>
  <r>
    <x v="1723"/>
    <x v="3"/>
    <x v="1139"/>
    <s v="48-57"/>
    <n v="57"/>
    <d v="1964-05-16T00:00:00"/>
    <s v="Massachusetts"/>
    <s v="MA"/>
    <s v="Male"/>
    <s v="Single"/>
    <s v="Production Technician I"/>
    <s v="Active"/>
    <s v="Contract"/>
    <s v="Zone C"/>
    <s v="Production       "/>
    <s v="Project Management - Con"/>
    <s v="Asian"/>
    <s v="Fully Meets"/>
    <n v="5"/>
  </r>
  <r>
    <x v="1724"/>
    <x v="4"/>
    <x v="905"/>
    <s v="48-57"/>
    <n v="57"/>
    <d v="1965-12-08T00:00:00"/>
    <s v="Massachusetts"/>
    <s v="MA"/>
    <s v="Male"/>
    <s v="Widowed"/>
    <s v="Production Technician I"/>
    <s v="Active"/>
    <s v="Contract"/>
    <s v="Zone B"/>
    <s v="Production       "/>
    <s v="Fielders"/>
    <s v="Black"/>
    <s v="Fully Meets"/>
    <n v="5"/>
  </r>
  <r>
    <x v="1725"/>
    <x v="5"/>
    <x v="1140"/>
    <s v="48-57"/>
    <n v="57"/>
    <d v="1966-09-02T00:00:00"/>
    <s v="Massachusetts"/>
    <s v="MA"/>
    <s v="Male"/>
    <s v="Widowed"/>
    <s v="Production Technician I"/>
    <s v="Active"/>
    <s v="Full-Time"/>
    <s v="Zone C"/>
    <s v="Production       "/>
    <s v="General - Sga"/>
    <s v="Asian"/>
    <s v="Fully Meets"/>
    <n v="3"/>
  </r>
  <r>
    <x v="1726"/>
    <x v="4"/>
    <x v="75"/>
    <s v="48-57"/>
    <n v="57"/>
    <d v="1965-11-15T00:00:00"/>
    <s v="Massachusetts"/>
    <s v="MA"/>
    <s v="Female"/>
    <s v="Widowed"/>
    <s v="Production Technician I"/>
    <s v="Active"/>
    <s v="Part-Time"/>
    <s v="Zone C"/>
    <s v="Production       "/>
    <s v="Field Operations"/>
    <s v="White"/>
    <s v="Exceeds"/>
    <n v="3"/>
  </r>
  <r>
    <x v="1727"/>
    <x v="4"/>
    <x v="883"/>
    <s v="48-57"/>
    <n v="57"/>
    <d v="1965-09-02T00:00:00"/>
    <s v="Massachusetts"/>
    <s v="MA"/>
    <s v="Male"/>
    <s v="Divorced"/>
    <s v="Production Technician I"/>
    <s v="Active"/>
    <s v="Full-Time"/>
    <s v="Zone A"/>
    <s v="Production       "/>
    <s v="Fielders"/>
    <s v="Black"/>
    <s v="Exceeds"/>
    <n v="4"/>
  </r>
  <r>
    <x v="1728"/>
    <x v="2"/>
    <x v="540"/>
    <s v="48-57"/>
    <n v="57"/>
    <d v="1963-05-16T00:00:00"/>
    <s v="Massachusetts"/>
    <s v="MA"/>
    <s v="Female"/>
    <s v="Single"/>
    <s v="Production Technician I"/>
    <s v="Active"/>
    <s v="Contract"/>
    <s v="Zone A"/>
    <s v="Production       "/>
    <s v="Field Operations"/>
    <s v="Black"/>
    <s v="Fully Meets"/>
    <n v="3"/>
  </r>
  <r>
    <x v="1729"/>
    <x v="2"/>
    <x v="1141"/>
    <s v="48-57"/>
    <n v="57"/>
    <d v="1963-03-04T00:00:00"/>
    <s v="Massachusetts"/>
    <s v="MA"/>
    <s v="Female"/>
    <s v="Single"/>
    <s v="Production Technician I"/>
    <s v="Active"/>
    <s v="Full-Time"/>
    <s v="Zone C"/>
    <s v="Production       "/>
    <s v="Field Operations"/>
    <s v="Asian"/>
    <s v="Fully Meets"/>
    <n v="3"/>
  </r>
  <r>
    <x v="1730"/>
    <x v="3"/>
    <x v="1120"/>
    <s v="48-57"/>
    <n v="57"/>
    <d v="1964-11-13T00:00:00"/>
    <s v="Massachusetts"/>
    <s v="MA"/>
    <s v="Male"/>
    <s v="Married"/>
    <s v="Production Technician I"/>
    <s v="Active"/>
    <s v="Contract"/>
    <s v="Zone A"/>
    <s v="Production       "/>
    <s v="Aerial"/>
    <s v="Other"/>
    <s v="Exceeds"/>
    <n v="1"/>
  </r>
  <r>
    <x v="1731"/>
    <x v="5"/>
    <x v="161"/>
    <s v="48-57"/>
    <n v="57"/>
    <d v="1966-02-19T00:00:00"/>
    <s v="Massachusetts"/>
    <s v="MA"/>
    <s v="Female"/>
    <s v="Single"/>
    <s v="Production Technician I"/>
    <s v="Active"/>
    <s v="Part-Time"/>
    <s v="Zone B"/>
    <s v="Production       "/>
    <s v="Field Operations"/>
    <s v="White"/>
    <s v="Fully Meets"/>
    <n v="4"/>
  </r>
  <r>
    <x v="1732"/>
    <x v="1"/>
    <x v="1142"/>
    <s v="48-57"/>
    <n v="57"/>
    <d v="1962-11-14T00:00:00"/>
    <s v="Massachusetts"/>
    <s v="MA"/>
    <s v="Male"/>
    <s v="Widowed"/>
    <s v="Production Technician I"/>
    <s v="Active"/>
    <s v="Contract"/>
    <s v="Zone C"/>
    <s v="Production       "/>
    <s v="Wireline Construction"/>
    <s v="White"/>
    <s v="Exceeds"/>
    <n v="5"/>
  </r>
  <r>
    <x v="1733"/>
    <x v="5"/>
    <x v="1143"/>
    <s v="48-57"/>
    <n v="57"/>
    <d v="1966-01-23T00:00:00"/>
    <s v="Massachusetts"/>
    <s v="MA"/>
    <s v="Female"/>
    <s v="Single"/>
    <s v="Production Technician I"/>
    <s v="Active"/>
    <s v="Part-Time"/>
    <s v="Zone B"/>
    <s v="Production       "/>
    <s v="Field Operations"/>
    <s v="Asian"/>
    <s v="Exceeds"/>
    <n v="1"/>
  </r>
  <r>
    <x v="1734"/>
    <x v="3"/>
    <x v="1144"/>
    <s v="48-57"/>
    <n v="57"/>
    <d v="1964-12-14T00:00:00"/>
    <s v="Massachusetts"/>
    <s v="MA"/>
    <s v="Male"/>
    <s v="Married"/>
    <s v="Production Technician I"/>
    <s v="Active"/>
    <s v="Contract"/>
    <s v="Zone C"/>
    <s v="Production       "/>
    <s v="Field Operations"/>
    <s v="Hispanic"/>
    <s v="Fully Meets"/>
    <n v="1"/>
  </r>
  <r>
    <x v="1735"/>
    <x v="5"/>
    <x v="932"/>
    <s v="48-57"/>
    <n v="57"/>
    <d v="1966-11-05T00:00:00"/>
    <s v="Massachusetts"/>
    <s v="MA"/>
    <s v="Female"/>
    <s v="Widowed"/>
    <s v="Production Technician I"/>
    <s v="Active"/>
    <s v="Full-Time"/>
    <s v="Zone B"/>
    <s v="Production       "/>
    <s v="People Services"/>
    <s v="Other"/>
    <s v="Fully Meets"/>
    <n v="4"/>
  </r>
  <r>
    <x v="1736"/>
    <x v="1"/>
    <x v="1145"/>
    <s v="48-57"/>
    <n v="57"/>
    <d v="1962-04-25T00:00:00"/>
    <s v="Massachusetts"/>
    <s v="MA"/>
    <s v="Female"/>
    <s v="Single"/>
    <s v="Production Technician I"/>
    <s v="Active"/>
    <s v="Full-Time"/>
    <s v="Zone B"/>
    <s v="Production       "/>
    <s v="Splicing"/>
    <s v="Hispanic"/>
    <s v="Fully Meets"/>
    <n v="3"/>
  </r>
  <r>
    <x v="1737"/>
    <x v="2"/>
    <x v="349"/>
    <s v="48-57"/>
    <n v="57"/>
    <d v="1963-04-03T00:00:00"/>
    <s v="Massachusetts"/>
    <s v="MA"/>
    <s v="Female"/>
    <s v="Married"/>
    <s v="Production Technician I"/>
    <s v="Active"/>
    <s v="Contract"/>
    <s v="Zone B"/>
    <s v="Production       "/>
    <s v="General - Con"/>
    <s v="Other"/>
    <s v="Fully Meets"/>
    <n v="4"/>
  </r>
  <r>
    <x v="1738"/>
    <x v="0"/>
    <x v="412"/>
    <s v="48-57"/>
    <n v="57"/>
    <d v="1961-08-15T00:00:00"/>
    <s v="Massachusetts"/>
    <s v="MA"/>
    <s v="Female"/>
    <s v="Widowed"/>
    <s v="Production Technician I"/>
    <s v="Active"/>
    <s v="Full-Time"/>
    <s v="Zone A"/>
    <s v="Production       "/>
    <s v="Field Operations"/>
    <s v="Black"/>
    <s v="Fully Meets"/>
    <n v="3"/>
  </r>
  <r>
    <x v="1739"/>
    <x v="4"/>
    <x v="896"/>
    <s v="48-57"/>
    <n v="57"/>
    <d v="1965-04-28T00:00:00"/>
    <s v="Massachusetts"/>
    <s v="MA"/>
    <s v="Female"/>
    <s v="Divorced"/>
    <s v="Production Technician I"/>
    <s v="Active"/>
    <s v="Contract"/>
    <s v="Zone A"/>
    <s v="Production       "/>
    <s v="Yard (Material Handling)"/>
    <s v="Black"/>
    <s v="Fully Meets"/>
    <n v="2"/>
  </r>
  <r>
    <x v="1740"/>
    <x v="3"/>
    <x v="747"/>
    <s v="48-57"/>
    <n v="57"/>
    <d v="1964-09-27T00:00:00"/>
    <s v="Massachusetts"/>
    <s v="MA"/>
    <s v="Male"/>
    <s v="Married"/>
    <s v="Production Technician I"/>
    <s v="Terminated"/>
    <s v="Part-Time"/>
    <s v="Zone B"/>
    <s v="Production       "/>
    <s v="Wireline Construction"/>
    <s v="Hispanic"/>
    <s v="Fully Meets"/>
    <n v="2"/>
  </r>
  <r>
    <x v="1741"/>
    <x v="3"/>
    <x v="1146"/>
    <s v="48-57"/>
    <n v="57"/>
    <d v="1964-08-30T00:00:00"/>
    <s v="Massachusetts"/>
    <s v="MA"/>
    <s v="Male"/>
    <s v="Widowed"/>
    <s v="Production Technician I"/>
    <s v="Active"/>
    <s v="Full-Time"/>
    <s v="Zone A"/>
    <s v="Production       "/>
    <s v="Engineers"/>
    <s v="Other"/>
    <s v="Fully Meets"/>
    <n v="4"/>
  </r>
  <r>
    <x v="1742"/>
    <x v="0"/>
    <x v="1147"/>
    <s v="48-57"/>
    <n v="57"/>
    <d v="1961-04-14T00:00:00"/>
    <s v="Massachusetts"/>
    <s v="MA"/>
    <s v="Male"/>
    <s v="Single"/>
    <s v="Production Manager"/>
    <s v="Active"/>
    <s v="Part-Time"/>
    <s v="Zone A"/>
    <s v="Production       "/>
    <s v="Field Operations"/>
    <s v="Hispanic"/>
    <s v="Fully Meets"/>
    <n v="2"/>
  </r>
  <r>
    <x v="1743"/>
    <x v="0"/>
    <x v="721"/>
    <s v="48-57"/>
    <n v="57"/>
    <d v="1961-06-12T00:00:00"/>
    <s v="Massachusetts"/>
    <s v="MA"/>
    <s v="Male"/>
    <s v="Married"/>
    <s v="Production Manager"/>
    <s v="Active"/>
    <s v="Contract"/>
    <s v="Zone A"/>
    <s v="Production       "/>
    <s v="General - Sga"/>
    <s v="Black"/>
    <s v="Fully Meets"/>
    <n v="4"/>
  </r>
  <r>
    <x v="1744"/>
    <x v="2"/>
    <x v="1148"/>
    <s v="48-57"/>
    <n v="57"/>
    <d v="1963-04-07T00:00:00"/>
    <s v="Massachusetts"/>
    <s v="MA"/>
    <s v="Male"/>
    <s v="Widowed"/>
    <s v="Production Manager"/>
    <s v="Active"/>
    <s v="Contract"/>
    <s v="Zone C"/>
    <s v="Production       "/>
    <s v="Aerial"/>
    <s v="White"/>
    <s v="Fully Meets"/>
    <n v="1"/>
  </r>
  <r>
    <x v="1745"/>
    <x v="4"/>
    <x v="1149"/>
    <s v="48-57"/>
    <n v="57"/>
    <d v="1965-11-06T00:00:00"/>
    <s v="Massachusetts"/>
    <s v="MA"/>
    <s v="Female"/>
    <s v="Married"/>
    <s v="Production Manager"/>
    <s v="Active"/>
    <s v="Full-Time"/>
    <s v="Zone B"/>
    <s v="Production       "/>
    <s v="Field Operations"/>
    <s v="Other"/>
    <s v="Fully Meets"/>
    <n v="3"/>
  </r>
  <r>
    <x v="1746"/>
    <x v="2"/>
    <x v="933"/>
    <s v="48-57"/>
    <n v="57"/>
    <d v="1963-10-03T00:00:00"/>
    <s v="Massachusetts"/>
    <s v="MA"/>
    <s v="Male"/>
    <s v="Single"/>
    <s v="Network Engineer"/>
    <s v="Active"/>
    <s v="Part-Time"/>
    <s v="Zone C"/>
    <s v="Production       "/>
    <s v="Sales &amp; Marketing"/>
    <s v="Asian"/>
    <s v="Needs Improvement"/>
    <n v="4"/>
  </r>
  <r>
    <x v="1747"/>
    <x v="1"/>
    <x v="960"/>
    <s v="48-57"/>
    <n v="57"/>
    <d v="1962-10-26T00:00:00"/>
    <s v="Massachusetts"/>
    <s v="MA"/>
    <s v="Male"/>
    <s v="Single"/>
    <s v="Network Engineer"/>
    <s v="Active"/>
    <s v="Full-Time"/>
    <s v="Zone A"/>
    <s v="Executive Office"/>
    <s v="Aerial"/>
    <s v="Asian"/>
    <s v="Fully Meets"/>
    <n v="3"/>
  </r>
  <r>
    <x v="1748"/>
    <x v="4"/>
    <x v="1150"/>
    <s v="48-57"/>
    <n v="57"/>
    <d v="1965-04-21T00:00:00"/>
    <s v="Massachusetts"/>
    <s v="MA"/>
    <s v="Female"/>
    <s v="Single"/>
    <s v="IT Support"/>
    <s v="Active"/>
    <s v="Contract"/>
    <s v="Zone B"/>
    <s v="IT/IS"/>
    <s v="General - Eng"/>
    <s v="Black"/>
    <s v="Fully Meets"/>
    <n v="5"/>
  </r>
  <r>
    <x v="1749"/>
    <x v="5"/>
    <x v="545"/>
    <s v="48-57"/>
    <n v="57"/>
    <d v="1966-11-23T00:00:00"/>
    <s v="Massachusetts"/>
    <s v="MA"/>
    <s v="Male"/>
    <s v="Single"/>
    <s v="IT Support"/>
    <s v="Active"/>
    <s v="Contract"/>
    <s v="Zone B"/>
    <s v="IT/IS"/>
    <s v="Project Management - Con"/>
    <s v="Asian"/>
    <s v="Fully Meets"/>
    <n v="5"/>
  </r>
  <r>
    <x v="1750"/>
    <x v="5"/>
    <x v="1151"/>
    <s v="48-57"/>
    <n v="57"/>
    <d v="1966-01-14T00:00:00"/>
    <s v="Massachusetts"/>
    <s v="MA"/>
    <s v="Female"/>
    <s v="Divorced"/>
    <s v="BI Developer"/>
    <s v="Active"/>
    <s v="Full-Time"/>
    <s v="Zone C"/>
    <s v="IT/IS"/>
    <s v="Field Operations"/>
    <s v="Other"/>
    <s v="Exceeds"/>
    <n v="4"/>
  </r>
  <r>
    <x v="1751"/>
    <x v="4"/>
    <x v="1152"/>
    <s v="48-57"/>
    <n v="57"/>
    <d v="1965-07-31T00:00:00"/>
    <s v="Tennessee"/>
    <s v="TN"/>
    <s v="Male"/>
    <s v="Married"/>
    <s v="Area Sales Manager"/>
    <s v="Active"/>
    <s v="Full-Time"/>
    <s v="Zone C"/>
    <s v="Sales"/>
    <s v="General - Con"/>
    <s v="Asian"/>
    <s v="Fully Meets"/>
    <n v="3"/>
  </r>
  <r>
    <x v="1752"/>
    <x v="4"/>
    <x v="1153"/>
    <s v="48-57"/>
    <n v="57"/>
    <d v="1965-11-22T00:00:00"/>
    <s v="Oregon"/>
    <s v="OR"/>
    <s v="Female"/>
    <s v="Widowed"/>
    <s v="Area Sales Manager"/>
    <s v="Active"/>
    <s v="Part-Time"/>
    <s v="Zone B"/>
    <s v="IT/IS"/>
    <s v="General - Con"/>
    <s v="Other"/>
    <s v="Fully Meets"/>
    <n v="4"/>
  </r>
  <r>
    <x v="1753"/>
    <x v="2"/>
    <x v="224"/>
    <s v="48-57"/>
    <n v="57"/>
    <d v="1963-03-01T00:00:00"/>
    <s v="North Dakota"/>
    <s v="ND"/>
    <s v="Female"/>
    <s v="Divorced"/>
    <s v="Area Sales Manager"/>
    <s v="Active"/>
    <s v="Full-Time"/>
    <s v="Zone C"/>
    <s v="Sales"/>
    <s v="Project Management - Con"/>
    <s v="Black"/>
    <s v="Fully Meets"/>
    <n v="1"/>
  </r>
  <r>
    <x v="1754"/>
    <x v="1"/>
    <x v="469"/>
    <s v="48-57"/>
    <n v="57"/>
    <d v="1962-09-18T00:00:00"/>
    <s v="Massachusetts"/>
    <s v="MA"/>
    <s v="Male"/>
    <s v="Married"/>
    <s v="Area Sales Manager"/>
    <s v="Active"/>
    <s v="Contract"/>
    <s v="Zone B"/>
    <s v="Sales"/>
    <s v="Aerial"/>
    <s v="Asian"/>
    <s v="Fully Meets"/>
    <n v="1"/>
  </r>
  <r>
    <x v="1755"/>
    <x v="3"/>
    <x v="1154"/>
    <s v="48-57"/>
    <n v="57"/>
    <d v="1964-01-25T00:00:00"/>
    <s v="Kentucky"/>
    <s v="KY"/>
    <s v="Female"/>
    <s v="Single"/>
    <s v="Area Sales Manager"/>
    <s v="Active"/>
    <s v="Part-Time"/>
    <s v="Zone A"/>
    <s v="Sales"/>
    <s v="General - Con"/>
    <s v="White"/>
    <s v="Fully Meets"/>
    <n v="5"/>
  </r>
  <r>
    <x v="1756"/>
    <x v="3"/>
    <x v="357"/>
    <s v="48-57"/>
    <n v="57"/>
    <d v="1964-06-19T00:00:00"/>
    <s v="Colorado"/>
    <s v="CO"/>
    <s v="Male"/>
    <s v="Widowed"/>
    <s v="Area Sales Manager"/>
    <s v="Active"/>
    <s v="Part-Time"/>
    <s v="Zone B"/>
    <s v="Sales"/>
    <s v="Project Management - Con"/>
    <s v="Asian"/>
    <s v="Fully Meets"/>
    <n v="4"/>
  </r>
  <r>
    <x v="1757"/>
    <x v="3"/>
    <x v="630"/>
    <s v="48-57"/>
    <n v="57"/>
    <d v="1964-09-19T00:00:00"/>
    <s v="California"/>
    <s v="CA"/>
    <s v="Male"/>
    <s v="Widowed"/>
    <s v="Area Sales Manager"/>
    <s v="Active"/>
    <s v="Contract"/>
    <s v="Zone A"/>
    <s v="Sales"/>
    <s v="General - Sga"/>
    <s v="Other"/>
    <s v="Fully Meets"/>
    <n v="3"/>
  </r>
  <r>
    <x v="1758"/>
    <x v="2"/>
    <x v="1090"/>
    <s v="48-57"/>
    <n v="57"/>
    <d v="1963-02-13T00:00:00"/>
    <s v="Alabama"/>
    <s v="AL"/>
    <s v="Male"/>
    <s v="Married"/>
    <s v="Area Sales Manager"/>
    <s v="Active"/>
    <s v="Contract"/>
    <s v="Zone A"/>
    <s v="Sales"/>
    <s v="General - Con"/>
    <s v="Other"/>
    <s v="Fully Meets"/>
    <n v="2"/>
  </r>
  <r>
    <x v="1759"/>
    <x v="3"/>
    <x v="327"/>
    <s v="48-57"/>
    <n v="57"/>
    <d v="1964-08-08T00:00:00"/>
    <s v="Massachusetts"/>
    <s v="MA"/>
    <s v="Female"/>
    <s v="Divorced"/>
    <s v="Administrative Assistant"/>
    <s v="Active"/>
    <s v="Full-Time"/>
    <s v="Zone B"/>
    <s v="Sales"/>
    <s v="General - Sga"/>
    <s v="Black"/>
    <s v="Fully Meets"/>
    <n v="1"/>
  </r>
  <r>
    <x v="1760"/>
    <x v="3"/>
    <x v="1155"/>
    <s v="58-67"/>
    <n v="58"/>
    <d v="1963-05-14T00:00:00"/>
    <s v="Massachusetts"/>
    <s v="MA"/>
    <s v="Female"/>
    <s v="Married"/>
    <s v="Software Engineer"/>
    <s v="Active"/>
    <s v="Part-Time"/>
    <s v="Zone A"/>
    <s v="Software Engineering"/>
    <s v="Splicing"/>
    <s v="White"/>
    <s v="Fully Meets"/>
    <n v="5"/>
  </r>
  <r>
    <x v="1761"/>
    <x v="5"/>
    <x v="532"/>
    <s v="58-67"/>
    <n v="58"/>
    <d v="1965-08-28T00:00:00"/>
    <s v="Massachusetts"/>
    <s v="MA"/>
    <s v="Female"/>
    <s v="Divorced"/>
    <s v="Shared Services Manager"/>
    <s v="Active"/>
    <s v="Part-Time"/>
    <s v="Zone C"/>
    <s v="Software Engineering"/>
    <s v="Field Operations"/>
    <s v="Black"/>
    <s v="Fully Meets"/>
    <n v="3"/>
  </r>
  <r>
    <x v="1762"/>
    <x v="5"/>
    <x v="558"/>
    <s v="58-67"/>
    <n v="58"/>
    <d v="1965-03-08T00:00:00"/>
    <s v="Massachusetts"/>
    <s v="MA"/>
    <s v="Male"/>
    <s v="Single"/>
    <s v="Senior BI Developer"/>
    <s v="Active"/>
    <s v="Part-Time"/>
    <s v="Zone C"/>
    <s v="IT/IS"/>
    <s v="Field Operations"/>
    <s v="Other"/>
    <s v="Fully Meets"/>
    <n v="3"/>
  </r>
  <r>
    <x v="1763"/>
    <x v="2"/>
    <x v="746"/>
    <s v="58-67"/>
    <n v="58"/>
    <d v="1962-12-21T00:00:00"/>
    <s v="Massachusetts"/>
    <s v="MA"/>
    <s v="Male"/>
    <s v="Single"/>
    <s v="Senior BI Developer"/>
    <s v="Active"/>
    <s v="Part-Time"/>
    <s v="Zone A"/>
    <s v="Admin Offices"/>
    <s v="General - Con"/>
    <s v="Other"/>
    <s v="Fully Meets"/>
    <n v="3"/>
  </r>
  <r>
    <x v="1764"/>
    <x v="1"/>
    <x v="685"/>
    <s v="58-67"/>
    <n v="58"/>
    <d v="1961-03-11T00:00:00"/>
    <s v="Massachusetts"/>
    <s v="MA"/>
    <s v="Female"/>
    <s v="Married"/>
    <s v="Production Technician II"/>
    <s v="Terminated"/>
    <s v="Full-Time"/>
    <s v="Zone A"/>
    <s v="Production       "/>
    <s v="Field Operations"/>
    <s v="Hispanic"/>
    <s v="PIP"/>
    <n v="3"/>
  </r>
  <r>
    <x v="1765"/>
    <x v="3"/>
    <x v="357"/>
    <s v="58-67"/>
    <n v="58"/>
    <d v="1963-10-05T00:00:00"/>
    <s v="Massachusetts"/>
    <s v="MA"/>
    <s v="Male"/>
    <s v="Single"/>
    <s v="Production Technician II"/>
    <s v="Active"/>
    <s v="Part-Time"/>
    <s v="Zone A"/>
    <s v="Production       "/>
    <s v="Aerial"/>
    <s v="Black"/>
    <s v="Fully Meets"/>
    <n v="2"/>
  </r>
  <r>
    <x v="1766"/>
    <x v="2"/>
    <x v="1106"/>
    <s v="58-67"/>
    <n v="58"/>
    <d v="1962-10-16T00:00:00"/>
    <s v="Massachusetts"/>
    <s v="MA"/>
    <s v="Male"/>
    <s v="Single"/>
    <s v="Production Technician II"/>
    <s v="Terminated"/>
    <s v="Full-Time"/>
    <s v="Zone B"/>
    <s v="Production       "/>
    <s v="Field Operations"/>
    <s v="Other"/>
    <s v="Exceeds"/>
    <n v="1"/>
  </r>
  <r>
    <x v="1767"/>
    <x v="3"/>
    <x v="420"/>
    <s v="58-67"/>
    <n v="58"/>
    <d v="1963-10-18T00:00:00"/>
    <s v="Massachusetts"/>
    <s v="MA"/>
    <s v="Female"/>
    <s v="Widowed"/>
    <s v="Production Technician II"/>
    <s v="Active"/>
    <s v="Contract"/>
    <s v="Zone C"/>
    <s v="Production       "/>
    <s v="Engineers"/>
    <s v="Other"/>
    <s v="Fully Meets"/>
    <n v="3"/>
  </r>
  <r>
    <x v="1768"/>
    <x v="2"/>
    <x v="337"/>
    <s v="58-67"/>
    <n v="58"/>
    <d v="1962-03-04T00:00:00"/>
    <s v="Massachusetts"/>
    <s v="MA"/>
    <s v="Male"/>
    <s v="Widowed"/>
    <s v="Production Technician II"/>
    <s v="Active"/>
    <s v="Full-Time"/>
    <s v="Zone C"/>
    <s v="Production       "/>
    <s v="Yard (Material Handling)"/>
    <s v="White"/>
    <s v="Needs Improvement"/>
    <n v="4"/>
  </r>
  <r>
    <x v="1769"/>
    <x v="2"/>
    <x v="33"/>
    <s v="58-67"/>
    <n v="58"/>
    <d v="1962-08-29T00:00:00"/>
    <s v="Massachusetts"/>
    <s v="MA"/>
    <s v="Female"/>
    <s v="Married"/>
    <s v="Production Technician II"/>
    <s v="Active"/>
    <s v="Contract"/>
    <s v="Zone A"/>
    <s v="Production       "/>
    <s v="Shop (Fleet)"/>
    <s v="Asian"/>
    <s v="PIP"/>
    <n v="2"/>
  </r>
  <r>
    <x v="1770"/>
    <x v="4"/>
    <x v="1156"/>
    <s v="58-67"/>
    <n v="58"/>
    <d v="1964-11-10T00:00:00"/>
    <s v="Massachusetts"/>
    <s v="MA"/>
    <s v="Male"/>
    <s v="Married"/>
    <s v="Production Technician II"/>
    <s v="Active"/>
    <s v="Full-Time"/>
    <s v="Zone B"/>
    <s v="Production       "/>
    <s v="Field Operations"/>
    <s v="White"/>
    <s v="Fully Meets"/>
    <n v="1"/>
  </r>
  <r>
    <x v="1771"/>
    <x v="4"/>
    <x v="63"/>
    <s v="58-67"/>
    <n v="58"/>
    <d v="1964-11-24T00:00:00"/>
    <s v="Massachusetts"/>
    <s v="MA"/>
    <s v="Male"/>
    <s v="Single"/>
    <s v="Production Technician I"/>
    <s v="Active"/>
    <s v="Full-Time"/>
    <s v="Zone A"/>
    <s v="Production       "/>
    <s v="Executive"/>
    <s v="Hispanic"/>
    <s v="Exceeds"/>
    <n v="1"/>
  </r>
  <r>
    <x v="1772"/>
    <x v="2"/>
    <x v="540"/>
    <s v="58-67"/>
    <n v="58"/>
    <d v="1962-04-11T00:00:00"/>
    <s v="Massachusetts"/>
    <s v="MA"/>
    <s v="Male"/>
    <s v="Divorced"/>
    <s v="Production Technician I"/>
    <s v="Active"/>
    <s v="Contract"/>
    <s v="Zone A"/>
    <s v="Production       "/>
    <s v="Fielders"/>
    <s v="Asian"/>
    <s v="Fully Meets"/>
    <n v="4"/>
  </r>
  <r>
    <x v="1773"/>
    <x v="5"/>
    <x v="1157"/>
    <s v="58-67"/>
    <n v="58"/>
    <d v="1965-08-30T00:00:00"/>
    <s v="Massachusetts"/>
    <s v="MA"/>
    <s v="Male"/>
    <s v="Widowed"/>
    <s v="Production Technician I"/>
    <s v="Active"/>
    <s v="Contract"/>
    <s v="Zone A"/>
    <s v="Production       "/>
    <s v="Aerial"/>
    <s v="Hispanic"/>
    <s v="Fully Meets"/>
    <n v="1"/>
  </r>
  <r>
    <x v="1774"/>
    <x v="3"/>
    <x v="80"/>
    <s v="58-67"/>
    <n v="58"/>
    <d v="1963-08-01T00:00:00"/>
    <s v="Massachusetts"/>
    <s v="MA"/>
    <s v="Male"/>
    <s v="Married"/>
    <s v="Production Technician I"/>
    <s v="Active"/>
    <s v="Contract"/>
    <s v="Zone C"/>
    <s v="Production       "/>
    <s v="Engineers"/>
    <s v="Hispanic"/>
    <s v="Fully Meets"/>
    <n v="4"/>
  </r>
  <r>
    <x v="1775"/>
    <x v="1"/>
    <x v="1158"/>
    <s v="58-67"/>
    <n v="58"/>
    <d v="1961-03-16T00:00:00"/>
    <s v="Massachusetts"/>
    <s v="MA"/>
    <s v="Male"/>
    <s v="Divorced"/>
    <s v="Production Technician I"/>
    <s v="Active"/>
    <s v="Part-Time"/>
    <s v="Zone A"/>
    <s v="Production       "/>
    <s v="Wireline Construction"/>
    <s v="Hispanic"/>
    <s v="Fully Meets"/>
    <n v="4"/>
  </r>
  <r>
    <x v="1776"/>
    <x v="3"/>
    <x v="128"/>
    <s v="58-67"/>
    <n v="58"/>
    <d v="1963-11-14T00:00:00"/>
    <s v="Massachusetts"/>
    <s v="MA"/>
    <s v="Male"/>
    <s v="Widowed"/>
    <s v="Production Technician I"/>
    <s v="Active"/>
    <s v="Contract"/>
    <s v="Zone B"/>
    <s v="Production       "/>
    <s v="Field Operations"/>
    <s v="Asian"/>
    <s v="Fully Meets"/>
    <n v="3"/>
  </r>
  <r>
    <x v="1777"/>
    <x v="1"/>
    <x v="1025"/>
    <s v="58-67"/>
    <n v="58"/>
    <d v="1961-10-14T00:00:00"/>
    <s v="Massachusetts"/>
    <s v="MA"/>
    <s v="Male"/>
    <s v="Married"/>
    <s v="Production Technician I"/>
    <s v="Active"/>
    <s v="Contract"/>
    <s v="Zone B"/>
    <s v="Production       "/>
    <s v="General - Con"/>
    <s v="Hispanic"/>
    <s v="Fully Meets"/>
    <n v="2"/>
  </r>
  <r>
    <x v="1778"/>
    <x v="4"/>
    <x v="929"/>
    <s v="58-67"/>
    <n v="58"/>
    <d v="1964-06-20T00:00:00"/>
    <s v="Massachusetts"/>
    <s v="MA"/>
    <s v="Male"/>
    <s v="Widowed"/>
    <s v="Production Technician I"/>
    <s v="Active"/>
    <s v="Full-Time"/>
    <s v="Zone B"/>
    <s v="Production       "/>
    <s v="Splicing"/>
    <s v="White"/>
    <s v="Fully Meets"/>
    <n v="5"/>
  </r>
  <r>
    <x v="1779"/>
    <x v="4"/>
    <x v="1159"/>
    <s v="58-67"/>
    <n v="58"/>
    <d v="1964-06-15T00:00:00"/>
    <s v="Massachusetts"/>
    <s v="MA"/>
    <s v="Female"/>
    <s v="Widowed"/>
    <s v="Production Technician I"/>
    <s v="Active"/>
    <s v="Full-Time"/>
    <s v="Zone C"/>
    <s v="Production       "/>
    <s v="General - Sga"/>
    <s v="Hispanic"/>
    <s v="Fully Meets"/>
    <n v="2"/>
  </r>
  <r>
    <x v="1780"/>
    <x v="0"/>
    <x v="899"/>
    <s v="58-67"/>
    <n v="58"/>
    <d v="1960-11-23T00:00:00"/>
    <s v="Massachusetts"/>
    <s v="MA"/>
    <s v="Female"/>
    <s v="Married"/>
    <s v="Production Technician I"/>
    <s v="Active"/>
    <s v="Part-Time"/>
    <s v="Zone B"/>
    <s v="Production       "/>
    <s v="General - Con"/>
    <s v="Hispanic"/>
    <s v="Fully Meets"/>
    <n v="1"/>
  </r>
  <r>
    <x v="1781"/>
    <x v="4"/>
    <x v="844"/>
    <s v="58-67"/>
    <n v="58"/>
    <d v="1964-06-18T00:00:00"/>
    <s v="Massachusetts"/>
    <s v="MA"/>
    <s v="Female"/>
    <s v="Widowed"/>
    <s v="Production Technician I"/>
    <s v="Active"/>
    <s v="Full-Time"/>
    <s v="Zone A"/>
    <s v="Production       "/>
    <s v="Fielders"/>
    <s v="Other"/>
    <s v="Needs Improvement"/>
    <n v="3"/>
  </r>
  <r>
    <x v="1782"/>
    <x v="4"/>
    <x v="929"/>
    <s v="58-67"/>
    <n v="58"/>
    <d v="1964-12-13T00:00:00"/>
    <s v="Massachusetts"/>
    <s v="MA"/>
    <s v="Female"/>
    <s v="Married"/>
    <s v="Production Technician I"/>
    <s v="Terminated"/>
    <s v="Full-Time"/>
    <s v="Zone B"/>
    <s v="Production       "/>
    <s v="Fielders"/>
    <s v="Hispanic"/>
    <s v="PIP"/>
    <n v="4"/>
  </r>
  <r>
    <x v="1783"/>
    <x v="0"/>
    <x v="806"/>
    <s v="58-67"/>
    <n v="58"/>
    <d v="1960-11-26T00:00:00"/>
    <s v="Massachusetts"/>
    <s v="MA"/>
    <s v="Female"/>
    <s v="Married"/>
    <s v="Production Technician I"/>
    <s v="Active"/>
    <s v="Full-Time"/>
    <s v="Zone A"/>
    <s v="Production       "/>
    <s v="Finance &amp; Accounting"/>
    <s v="Black"/>
    <s v="Needs Improvement"/>
    <n v="4"/>
  </r>
  <r>
    <x v="1784"/>
    <x v="3"/>
    <x v="394"/>
    <s v="58-67"/>
    <n v="58"/>
    <d v="1963-08-13T00:00:00"/>
    <s v="Massachusetts"/>
    <s v="MA"/>
    <s v="Female"/>
    <s v="Widowed"/>
    <s v="Production Technician I"/>
    <s v="Active"/>
    <s v="Contract"/>
    <s v="Zone A"/>
    <s v="Production       "/>
    <s v="General - Sga"/>
    <s v="White"/>
    <s v="Fully Meets"/>
    <n v="4"/>
  </r>
  <r>
    <x v="1785"/>
    <x v="2"/>
    <x v="1160"/>
    <s v="58-67"/>
    <n v="58"/>
    <d v="1962-04-06T00:00:00"/>
    <s v="Massachusetts"/>
    <s v="MA"/>
    <s v="Male"/>
    <s v="Widowed"/>
    <s v="Production Technician I"/>
    <s v="Active"/>
    <s v="Full-Time"/>
    <s v="Zone A"/>
    <s v="Production       "/>
    <s v="General - Sga"/>
    <s v="Hispanic"/>
    <s v="Fully Meets"/>
    <n v="3"/>
  </r>
  <r>
    <x v="1786"/>
    <x v="1"/>
    <x v="1161"/>
    <s v="58-67"/>
    <n v="58"/>
    <d v="1961-07-16T00:00:00"/>
    <s v="Massachusetts"/>
    <s v="MA"/>
    <s v="Male"/>
    <s v="Married"/>
    <s v="Production Technician I"/>
    <s v="Active"/>
    <s v="Part-Time"/>
    <s v="Zone A"/>
    <s v="Production       "/>
    <s v="Field Operations"/>
    <s v="Black"/>
    <s v="Fully Meets"/>
    <n v="1"/>
  </r>
  <r>
    <x v="1787"/>
    <x v="1"/>
    <x v="1162"/>
    <s v="58-67"/>
    <n v="58"/>
    <d v="1961-02-03T00:00:00"/>
    <s v="Massachusetts"/>
    <s v="MA"/>
    <s v="Male"/>
    <s v="Widowed"/>
    <s v="Production Technician I"/>
    <s v="Active"/>
    <s v="Full-Time"/>
    <s v="Zone B"/>
    <s v="Production       "/>
    <s v="Engineers"/>
    <s v="White"/>
    <s v="Fully Meets"/>
    <n v="5"/>
  </r>
  <r>
    <x v="1788"/>
    <x v="3"/>
    <x v="384"/>
    <s v="58-67"/>
    <n v="58"/>
    <d v="1963-11-04T00:00:00"/>
    <s v="Massachusetts"/>
    <s v="MA"/>
    <s v="Female"/>
    <s v="Widowed"/>
    <s v="Production Technician I"/>
    <s v="Terminated"/>
    <s v="Contract"/>
    <s v="Zone B"/>
    <s v="Production       "/>
    <s v="Aerial"/>
    <s v="Hispanic"/>
    <s v="Fully Meets"/>
    <n v="5"/>
  </r>
  <r>
    <x v="1789"/>
    <x v="4"/>
    <x v="714"/>
    <s v="58-67"/>
    <n v="58"/>
    <d v="1964-09-22T00:00:00"/>
    <s v="Massachusetts"/>
    <s v="MA"/>
    <s v="Female"/>
    <s v="Divorced"/>
    <s v="Production Manager"/>
    <s v="Active"/>
    <s v="Contract"/>
    <s v="Zone A"/>
    <s v="Production       "/>
    <s v="Wireless"/>
    <s v="Black"/>
    <s v="Fully Meets"/>
    <n v="1"/>
  </r>
  <r>
    <x v="1790"/>
    <x v="4"/>
    <x v="628"/>
    <s v="58-67"/>
    <n v="58"/>
    <d v="1964-09-09T00:00:00"/>
    <s v="Massachusetts"/>
    <s v="MA"/>
    <s v="Female"/>
    <s v="Single"/>
    <s v="Production Manager"/>
    <s v="Terminated"/>
    <s v="Part-Time"/>
    <s v="Zone A"/>
    <s v="Production       "/>
    <s v="Fielders"/>
    <s v="White"/>
    <s v="Fully Meets"/>
    <n v="1"/>
  </r>
  <r>
    <x v="1791"/>
    <x v="4"/>
    <x v="415"/>
    <s v="58-67"/>
    <n v="58"/>
    <d v="1964-05-25T00:00:00"/>
    <s v="Massachusetts"/>
    <s v="MA"/>
    <s v="Male"/>
    <s v="Widowed"/>
    <s v="Network Engineer"/>
    <s v="Active"/>
    <s v="Part-Time"/>
    <s v="Zone C"/>
    <s v="IT/IS"/>
    <s v="Project Management - Con"/>
    <s v="Other"/>
    <s v="Fully Meets"/>
    <n v="3"/>
  </r>
  <r>
    <x v="1792"/>
    <x v="1"/>
    <x v="1163"/>
    <s v="58-67"/>
    <n v="58"/>
    <d v="1961-07-11T00:00:00"/>
    <s v="Massachusetts"/>
    <s v="MA"/>
    <s v="Male"/>
    <s v="Married"/>
    <s v="Network Engineer"/>
    <s v="Active"/>
    <s v="Contract"/>
    <s v="Zone C"/>
    <s v="Executive Office"/>
    <s v="Field Operations"/>
    <s v="Hispanic"/>
    <s v="Fully Meets"/>
    <n v="5"/>
  </r>
  <r>
    <x v="1793"/>
    <x v="4"/>
    <x v="1164"/>
    <s v="58-67"/>
    <n v="58"/>
    <d v="1964-07-11T00:00:00"/>
    <s v="Massachusetts"/>
    <s v="MA"/>
    <s v="Female"/>
    <s v="Married"/>
    <s v="IT Support"/>
    <s v="Active"/>
    <s v="Full-Time"/>
    <s v="Zone A"/>
    <s v="IT/IS"/>
    <s v="Engineers"/>
    <s v="White"/>
    <s v="Fully Meets"/>
    <n v="2"/>
  </r>
  <r>
    <x v="1794"/>
    <x v="5"/>
    <x v="169"/>
    <s v="58-67"/>
    <n v="58"/>
    <d v="1965-09-03T00:00:00"/>
    <s v="Massachusetts"/>
    <s v="MA"/>
    <s v="Female"/>
    <s v="Married"/>
    <s v="IT Support"/>
    <s v="Active"/>
    <s v="Part-Time"/>
    <s v="Zone A"/>
    <s v="IT/IS"/>
    <s v="Shop (Fleet)"/>
    <s v="Asian"/>
    <s v="Exceeds"/>
    <n v="4"/>
  </r>
  <r>
    <x v="1795"/>
    <x v="3"/>
    <x v="1036"/>
    <s v="58-67"/>
    <n v="58"/>
    <d v="1963-08-06T00:00:00"/>
    <s v="Connecticut"/>
    <s v="CT"/>
    <s v="Male"/>
    <s v="Single"/>
    <s v="IT Support"/>
    <s v="Active"/>
    <s v="Contract"/>
    <s v="Zone C"/>
    <s v="IT/IS"/>
    <s v="General - Con"/>
    <s v="White"/>
    <s v="Fully Meets"/>
    <n v="3"/>
  </r>
  <r>
    <x v="1796"/>
    <x v="4"/>
    <x v="669"/>
    <s v="58-67"/>
    <n v="58"/>
    <d v="1964-04-12T00:00:00"/>
    <s v="Massachusetts"/>
    <s v="MA"/>
    <s v="Female"/>
    <s v="Married"/>
    <s v="Database Administrator"/>
    <s v="Active"/>
    <s v="Full-Time"/>
    <s v="Zone A"/>
    <s v="IT/IS"/>
    <s v="Field Operations"/>
    <s v="Hispanic"/>
    <s v="Exceeds"/>
    <n v="3"/>
  </r>
  <r>
    <x v="1797"/>
    <x v="3"/>
    <x v="54"/>
    <s v="58-67"/>
    <n v="58"/>
    <d v="1963-01-22T00:00:00"/>
    <s v="Massachusetts"/>
    <s v="MA"/>
    <s v="Female"/>
    <s v="Divorced"/>
    <s v="Data Analyst "/>
    <s v="Active"/>
    <s v="Part-Time"/>
    <s v="Zone B"/>
    <s v="IT/IS"/>
    <s v="Yard (Material Handling)"/>
    <s v="White"/>
    <s v="Fully Meets"/>
    <n v="5"/>
  </r>
  <r>
    <x v="1798"/>
    <x v="1"/>
    <x v="1069"/>
    <s v="58-67"/>
    <n v="58"/>
    <d v="1961-10-18T00:00:00"/>
    <s v="Massachusetts"/>
    <s v="MA"/>
    <s v="Female"/>
    <s v="Married"/>
    <s v="Data Analyst"/>
    <s v="Active"/>
    <s v="Part-Time"/>
    <s v="Zone C"/>
    <s v="IT/IS"/>
    <s v="Field Operations"/>
    <s v="Asian"/>
    <s v="Fully Meets"/>
    <n v="1"/>
  </r>
  <r>
    <x v="1799"/>
    <x v="3"/>
    <x v="1165"/>
    <s v="58-67"/>
    <n v="58"/>
    <d v="1963-07-04T00:00:00"/>
    <s v="Massachusetts"/>
    <s v="MA"/>
    <s v="Female"/>
    <s v="Divorced"/>
    <s v="BI Developer"/>
    <s v="Active"/>
    <s v="Contract"/>
    <s v="Zone A"/>
    <s v="IT/IS"/>
    <s v="Field Operations"/>
    <s v="White"/>
    <s v="Fully Meets"/>
    <n v="3"/>
  </r>
  <r>
    <x v="1800"/>
    <x v="4"/>
    <x v="296"/>
    <s v="58-67"/>
    <n v="58"/>
    <d v="1964-03-28T00:00:00"/>
    <s v="Massachusetts"/>
    <s v="MA"/>
    <s v="Female"/>
    <s v="Single"/>
    <s v="BI Developer"/>
    <s v="Active"/>
    <s v="Contract"/>
    <s v="Zone C"/>
    <s v="IT/IS"/>
    <s v="Engineers"/>
    <s v="Other"/>
    <s v="Fully Meets"/>
    <n v="1"/>
  </r>
  <r>
    <x v="1801"/>
    <x v="3"/>
    <x v="551"/>
    <s v="58-67"/>
    <n v="58"/>
    <d v="1963-12-26T00:00:00"/>
    <s v="Massachusetts"/>
    <s v="MA"/>
    <s v="Male"/>
    <s v="Widowed"/>
    <s v="BI Developer"/>
    <s v="Active"/>
    <s v="Full-Time"/>
    <s v="Zone A"/>
    <s v="IT/IS"/>
    <s v="Wireline Construction"/>
    <s v="White"/>
    <s v="Fully Meets"/>
    <n v="2"/>
  </r>
  <r>
    <x v="1802"/>
    <x v="1"/>
    <x v="388"/>
    <s v="58-67"/>
    <n v="58"/>
    <d v="1961-06-16T00:00:00"/>
    <s v="California"/>
    <s v="CA"/>
    <s v="Male"/>
    <s v="Single"/>
    <s v="Area Sales Manager"/>
    <s v="Active"/>
    <s v="Full-Time"/>
    <s v="Zone B"/>
    <s v="Sales"/>
    <s v="Wireline Construction"/>
    <s v="White"/>
    <s v="Exceeds"/>
    <n v="2"/>
  </r>
  <r>
    <x v="1803"/>
    <x v="4"/>
    <x v="1166"/>
    <s v="58-67"/>
    <n v="58"/>
    <d v="1964-11-08T00:00:00"/>
    <s v="Arizona"/>
    <s v="AZ"/>
    <s v="Male"/>
    <s v="Divorced"/>
    <s v="Area Sales Manager"/>
    <s v="Active"/>
    <s v="Contract"/>
    <s v="Zone A"/>
    <s v="Sales"/>
    <s v="General - Con"/>
    <s v="Black"/>
    <s v="Fully Meets"/>
    <n v="5"/>
  </r>
  <r>
    <x v="1804"/>
    <x v="1"/>
    <x v="381"/>
    <s v="58-67"/>
    <n v="59"/>
    <d v="1960-02-20T00:00:00"/>
    <s v="Massachusetts"/>
    <s v="MA"/>
    <s v="Male"/>
    <s v="Single"/>
    <s v="Sr. Network Engineer"/>
    <s v="Active"/>
    <s v="Part-Time"/>
    <s v="Zone B"/>
    <s v="Admin Offices"/>
    <s v="Engineers"/>
    <s v="White"/>
    <s v="Fully Meets"/>
    <n v="3"/>
  </r>
  <r>
    <x v="1805"/>
    <x v="1"/>
    <x v="388"/>
    <s v="58-67"/>
    <n v="59"/>
    <d v="1960-11-06T00:00:00"/>
    <s v="Massachusetts"/>
    <s v="MA"/>
    <s v="Female"/>
    <s v="Widowed"/>
    <s v="Sales Manager"/>
    <s v="Active"/>
    <s v="Contract"/>
    <s v="Zone A"/>
    <s v="IT/IS"/>
    <s v="Splicing"/>
    <s v="Other"/>
    <s v="Fully Meets"/>
    <n v="2"/>
  </r>
  <r>
    <x v="1806"/>
    <x v="2"/>
    <x v="1167"/>
    <s v="58-67"/>
    <n v="59"/>
    <d v="1961-09-14T00:00:00"/>
    <s v="Massachusetts"/>
    <s v="MA"/>
    <s v="Male"/>
    <s v="Divorced"/>
    <s v="Sales Manager"/>
    <s v="Active"/>
    <s v="Part-Time"/>
    <s v="Zone A"/>
    <s v="IT/IS"/>
    <s v="Field Operations"/>
    <s v="Asian"/>
    <s v="Fully Meets"/>
    <n v="1"/>
  </r>
  <r>
    <x v="1807"/>
    <x v="4"/>
    <x v="632"/>
    <s v="58-67"/>
    <n v="59"/>
    <d v="1963-12-08T00:00:00"/>
    <s v="Pennsylvania"/>
    <s v="PA"/>
    <s v="Female"/>
    <s v="Married"/>
    <s v="Production Technician II"/>
    <s v="Terminated"/>
    <s v="Part-Time"/>
    <s v="Zone B"/>
    <s v="Sales"/>
    <s v="Splicing"/>
    <s v="Black"/>
    <s v="Fully Meets"/>
    <n v="1"/>
  </r>
  <r>
    <x v="1808"/>
    <x v="3"/>
    <x v="1168"/>
    <s v="58-67"/>
    <n v="59"/>
    <d v="1962-06-10T00:00:00"/>
    <s v="Massachusetts"/>
    <s v="MA"/>
    <s v="Female"/>
    <s v="Divorced"/>
    <s v="Production Technician II"/>
    <s v="Terminated"/>
    <s v="Full-Time"/>
    <s v="Zone A"/>
    <s v="Production       "/>
    <s v="Field Operations"/>
    <s v="Black"/>
    <s v="Fully Meets"/>
    <n v="4"/>
  </r>
  <r>
    <x v="1809"/>
    <x v="2"/>
    <x v="990"/>
    <s v="58-67"/>
    <n v="59"/>
    <d v="1961-06-11T00:00:00"/>
    <s v="Massachusetts"/>
    <s v="MA"/>
    <s v="Female"/>
    <s v="Married"/>
    <s v="Production Technician II"/>
    <s v="Terminated"/>
    <s v="Part-Time"/>
    <s v="Zone C"/>
    <s v="Production       "/>
    <s v="Project Management - Con"/>
    <s v="White"/>
    <s v="Fully Meets"/>
    <n v="3"/>
  </r>
  <r>
    <x v="1810"/>
    <x v="3"/>
    <x v="1169"/>
    <s v="58-67"/>
    <n v="59"/>
    <d v="1962-03-28T00:00:00"/>
    <s v="Massachusetts"/>
    <s v="MA"/>
    <s v="Female"/>
    <s v="Widowed"/>
    <s v="Production Technician II"/>
    <s v="Active"/>
    <s v="Contract"/>
    <s v="Zone A"/>
    <s v="Production       "/>
    <s v="Project Management - Con"/>
    <s v="Hispanic"/>
    <s v="Fully Meets"/>
    <n v="5"/>
  </r>
  <r>
    <x v="1811"/>
    <x v="3"/>
    <x v="951"/>
    <s v="58-67"/>
    <n v="59"/>
    <d v="1962-04-15T00:00:00"/>
    <s v="Massachusetts"/>
    <s v="MA"/>
    <s v="Male"/>
    <s v="Widowed"/>
    <s v="Production Technician II"/>
    <s v="Active"/>
    <s v="Full-Time"/>
    <s v="Zone C"/>
    <s v="Production       "/>
    <s v="Splicing"/>
    <s v="Hispanic"/>
    <s v="Fully Meets"/>
    <n v="5"/>
  </r>
  <r>
    <x v="1812"/>
    <x v="1"/>
    <x v="1170"/>
    <s v="58-67"/>
    <n v="59"/>
    <d v="1960-07-02T00:00:00"/>
    <s v="Massachusetts"/>
    <s v="MA"/>
    <s v="Male"/>
    <s v="Married"/>
    <s v="Production Technician II"/>
    <s v="Active"/>
    <s v="Part-Time"/>
    <s v="Zone C"/>
    <s v="Production       "/>
    <s v="General - Con"/>
    <s v="Hispanic"/>
    <s v="Fully Meets"/>
    <n v="3"/>
  </r>
  <r>
    <x v="1813"/>
    <x v="3"/>
    <x v="777"/>
    <s v="58-67"/>
    <n v="59"/>
    <d v="1962-12-25T00:00:00"/>
    <s v="Massachusetts"/>
    <s v="MA"/>
    <s v="Male"/>
    <s v="Widowed"/>
    <s v="Production Technician II"/>
    <s v="Active"/>
    <s v="Part-Time"/>
    <s v="Zone A"/>
    <s v="Production       "/>
    <s v="Wireline Construction"/>
    <s v="Hispanic"/>
    <s v="Fully Meets"/>
    <n v="4"/>
  </r>
  <r>
    <x v="1814"/>
    <x v="3"/>
    <x v="1171"/>
    <s v="58-67"/>
    <n v="59"/>
    <d v="1962-09-07T00:00:00"/>
    <s v="Massachusetts"/>
    <s v="MA"/>
    <s v="Female"/>
    <s v="Divorced"/>
    <s v="Production Technician II"/>
    <s v="Active"/>
    <s v="Contract"/>
    <s v="Zone C"/>
    <s v="Production       "/>
    <s v="Field Operations"/>
    <s v="White"/>
    <s v="Fully Meets"/>
    <n v="3"/>
  </r>
  <r>
    <x v="1815"/>
    <x v="1"/>
    <x v="820"/>
    <s v="58-67"/>
    <n v="59"/>
    <d v="1960-01-23T00:00:00"/>
    <s v="Massachusetts"/>
    <s v="MA"/>
    <s v="Female"/>
    <s v="Married"/>
    <s v="Production Technician II"/>
    <s v="Active"/>
    <s v="Contract"/>
    <s v="Zone C"/>
    <s v="Production       "/>
    <s v="Engineers"/>
    <s v="Black"/>
    <s v="Fully Meets"/>
    <n v="2"/>
  </r>
  <r>
    <x v="1816"/>
    <x v="2"/>
    <x v="20"/>
    <s v="58-67"/>
    <n v="59"/>
    <d v="1961-03-02T00:00:00"/>
    <s v="Massachusetts"/>
    <s v="MA"/>
    <s v="Male"/>
    <s v="Widowed"/>
    <s v="Production Technician II"/>
    <s v="Terminated"/>
    <s v="Part-Time"/>
    <s v="Zone A"/>
    <s v="Production       "/>
    <s v="Project Management - Con"/>
    <s v="Hispanic"/>
    <s v="Fully Meets"/>
    <n v="4"/>
  </r>
  <r>
    <x v="1817"/>
    <x v="1"/>
    <x v="1172"/>
    <s v="58-67"/>
    <n v="59"/>
    <d v="1960-04-09T00:00:00"/>
    <s v="Massachusetts"/>
    <s v="MA"/>
    <s v="Male"/>
    <s v="Divorced"/>
    <s v="Production Technician II"/>
    <s v="Terminated"/>
    <s v="Full-Time"/>
    <s v="Zone B"/>
    <s v="Production       "/>
    <s v="Field Operations"/>
    <s v="White"/>
    <s v="Exceeds"/>
    <n v="4"/>
  </r>
  <r>
    <x v="1818"/>
    <x v="0"/>
    <x v="154"/>
    <s v="58-67"/>
    <n v="59"/>
    <d v="1959-10-27T00:00:00"/>
    <s v="Massachusetts"/>
    <s v="MA"/>
    <s v="Male"/>
    <s v="Divorced"/>
    <s v="Production Technician II"/>
    <s v="Terminated"/>
    <s v="Part-Time"/>
    <s v="Zone C"/>
    <s v="Production       "/>
    <s v="Engineers"/>
    <s v="White"/>
    <s v="Fully Meets"/>
    <n v="3"/>
  </r>
  <r>
    <x v="1819"/>
    <x v="2"/>
    <x v="233"/>
    <s v="58-67"/>
    <n v="59"/>
    <d v="1961-12-21T00:00:00"/>
    <s v="Massachusetts"/>
    <s v="MA"/>
    <s v="Male"/>
    <s v="Widowed"/>
    <s v="Production Technician I"/>
    <s v="Active"/>
    <s v="Full-Time"/>
    <s v="Zone C"/>
    <s v="Production       "/>
    <s v="General - Con"/>
    <s v="Other"/>
    <s v="Fully Meets"/>
    <n v="1"/>
  </r>
  <r>
    <x v="1820"/>
    <x v="2"/>
    <x v="1064"/>
    <s v="58-67"/>
    <n v="59"/>
    <d v="1961-03-22T00:00:00"/>
    <s v="Massachusetts"/>
    <s v="MA"/>
    <s v="Male"/>
    <s v="Single"/>
    <s v="Production Technician I"/>
    <s v="Active"/>
    <s v="Full-Time"/>
    <s v="Zone A"/>
    <s v="Production       "/>
    <s v="Catv"/>
    <s v="Asian"/>
    <s v="Fully Meets"/>
    <n v="5"/>
  </r>
  <r>
    <x v="1821"/>
    <x v="0"/>
    <x v="489"/>
    <s v="58-67"/>
    <n v="59"/>
    <d v="1959-06-04T00:00:00"/>
    <s v="Massachusetts"/>
    <s v="MA"/>
    <s v="Female"/>
    <s v="Single"/>
    <s v="Production Technician I"/>
    <s v="Active"/>
    <s v="Part-Time"/>
    <s v="Zone A"/>
    <s v="Production       "/>
    <s v="Yard (Material Handling)"/>
    <s v="Black"/>
    <s v="Fully Meets"/>
    <n v="5"/>
  </r>
  <r>
    <x v="1822"/>
    <x v="2"/>
    <x v="834"/>
    <s v="58-67"/>
    <n v="59"/>
    <d v="1961-02-06T00:00:00"/>
    <s v="Massachusetts"/>
    <s v="MA"/>
    <s v="Male"/>
    <s v="Married"/>
    <s v="Production Technician I"/>
    <s v="Terminated"/>
    <s v="Part-Time"/>
    <s v="Zone A"/>
    <s v="Production       "/>
    <s v="Engineers"/>
    <s v="White"/>
    <s v="Fully Meets"/>
    <n v="5"/>
  </r>
  <r>
    <x v="1823"/>
    <x v="5"/>
    <x v="303"/>
    <s v="58-67"/>
    <n v="59"/>
    <d v="1964-07-21T00:00:00"/>
    <s v="Massachusetts"/>
    <s v="MA"/>
    <s v="Female"/>
    <s v="Married"/>
    <s v="Production Technician I"/>
    <s v="Active"/>
    <s v="Full-Time"/>
    <s v="Zone C"/>
    <s v="Production       "/>
    <s v="Project Management - Con"/>
    <s v="Asian"/>
    <s v="PIP"/>
    <n v="3"/>
  </r>
  <r>
    <x v="1824"/>
    <x v="4"/>
    <x v="1033"/>
    <s v="58-67"/>
    <n v="59"/>
    <d v="1963-03-06T00:00:00"/>
    <s v="Massachusetts"/>
    <s v="MA"/>
    <s v="Male"/>
    <s v="Widowed"/>
    <s v="Production Technician I"/>
    <s v="Active"/>
    <s v="Contract"/>
    <s v="Zone C"/>
    <s v="Production       "/>
    <s v="Catv"/>
    <s v="Black"/>
    <s v="Exceeds"/>
    <n v="3"/>
  </r>
  <r>
    <x v="1825"/>
    <x v="2"/>
    <x v="1173"/>
    <s v="58-67"/>
    <n v="59"/>
    <d v="1961-04-23T00:00:00"/>
    <s v="Massachusetts"/>
    <s v="MA"/>
    <s v="Male"/>
    <s v="Divorced"/>
    <s v="Production Technician I"/>
    <s v="Active"/>
    <s v="Full-Time"/>
    <s v="Zone A"/>
    <s v="Production       "/>
    <s v="Aerial"/>
    <s v="White"/>
    <s v="Fully Meets"/>
    <n v="2"/>
  </r>
  <r>
    <x v="1826"/>
    <x v="4"/>
    <x v="329"/>
    <s v="58-67"/>
    <n v="59"/>
    <d v="1963-06-10T00:00:00"/>
    <s v="Massachusetts"/>
    <s v="MA"/>
    <s v="Female"/>
    <s v="Widowed"/>
    <s v="Production Technician I"/>
    <s v="Active"/>
    <s v="Full-Time"/>
    <s v="Zone C"/>
    <s v="Production       "/>
    <s v="Field Operations"/>
    <s v="Hispanic"/>
    <s v="Fully Meets"/>
    <n v="5"/>
  </r>
  <r>
    <x v="1827"/>
    <x v="5"/>
    <x v="825"/>
    <s v="58-67"/>
    <n v="59"/>
    <d v="1964-01-19T00:00:00"/>
    <s v="Massachusetts"/>
    <s v="MA"/>
    <s v="Male"/>
    <s v="Single"/>
    <s v="Production Technician I"/>
    <s v="Active"/>
    <s v="Part-Time"/>
    <s v="Zone B"/>
    <s v="Production       "/>
    <s v="Fielders"/>
    <s v="Hispanic"/>
    <s v="Exceeds"/>
    <n v="3"/>
  </r>
  <r>
    <x v="1828"/>
    <x v="5"/>
    <x v="1174"/>
    <s v="58-67"/>
    <n v="59"/>
    <d v="1964-02-24T00:00:00"/>
    <s v="Massachusetts"/>
    <s v="MA"/>
    <s v="Male"/>
    <s v="Single"/>
    <s v="Production Technician I"/>
    <s v="Active"/>
    <s v="Full-Time"/>
    <s v="Zone C"/>
    <s v="Production       "/>
    <s v="Splicing"/>
    <s v="Hispanic"/>
    <s v="Fully Meets"/>
    <n v="1"/>
  </r>
  <r>
    <x v="1829"/>
    <x v="4"/>
    <x v="1059"/>
    <s v="58-67"/>
    <n v="59"/>
    <d v="1963-07-01T00:00:00"/>
    <s v="Massachusetts"/>
    <s v="MA"/>
    <s v="Female"/>
    <s v="Single"/>
    <s v="Production Technician I"/>
    <s v="Active"/>
    <s v="Contract"/>
    <s v="Zone B"/>
    <s v="Production       "/>
    <s v="Field Operations"/>
    <s v="White"/>
    <s v="Exceeds"/>
    <n v="4"/>
  </r>
  <r>
    <x v="1830"/>
    <x v="1"/>
    <x v="922"/>
    <s v="58-67"/>
    <n v="59"/>
    <d v="1960-05-27T00:00:00"/>
    <s v="Massachusetts"/>
    <s v="MA"/>
    <s v="Female"/>
    <s v="Divorced"/>
    <s v="Production Technician I"/>
    <s v="Active"/>
    <s v="Contract"/>
    <s v="Zone B"/>
    <s v="Production       "/>
    <s v="Yard (Material Handling)"/>
    <s v="White"/>
    <s v="Fully Meets"/>
    <n v="1"/>
  </r>
  <r>
    <x v="1831"/>
    <x v="4"/>
    <x v="1030"/>
    <s v="58-67"/>
    <n v="59"/>
    <d v="1963-07-07T00:00:00"/>
    <s v="Massachusetts"/>
    <s v="MA"/>
    <s v="Female"/>
    <s v="Widowed"/>
    <s v="Production Technician I"/>
    <s v="Active"/>
    <s v="Full-Time"/>
    <s v="Zone A"/>
    <s v="Production       "/>
    <s v="General - Con"/>
    <s v="Black"/>
    <s v="Fully Meets"/>
    <n v="3"/>
  </r>
  <r>
    <x v="1832"/>
    <x v="1"/>
    <x v="363"/>
    <s v="58-67"/>
    <n v="59"/>
    <d v="1960-11-03T00:00:00"/>
    <s v="Massachusetts"/>
    <s v="MA"/>
    <s v="Female"/>
    <s v="Single"/>
    <s v="Production Technician I"/>
    <s v="Active"/>
    <s v="Contract"/>
    <s v="Zone B"/>
    <s v="Production       "/>
    <s v="General - Eng"/>
    <s v="Black"/>
    <s v="Fully Meets"/>
    <n v="2"/>
  </r>
  <r>
    <x v="1833"/>
    <x v="2"/>
    <x v="337"/>
    <s v="58-67"/>
    <n v="59"/>
    <d v="1961-05-13T00:00:00"/>
    <s v="Massachusetts"/>
    <s v="MA"/>
    <s v="Female"/>
    <s v="Married"/>
    <s v="Production Technician I"/>
    <s v="Active"/>
    <s v="Contract"/>
    <s v="Zone A"/>
    <s v="Production       "/>
    <s v="Project Management - Con"/>
    <s v="Asian"/>
    <s v="Fully Meets"/>
    <n v="4"/>
  </r>
  <r>
    <x v="1834"/>
    <x v="1"/>
    <x v="1128"/>
    <s v="58-67"/>
    <n v="59"/>
    <d v="1960-04-04T00:00:00"/>
    <s v="Massachusetts"/>
    <s v="MA"/>
    <s v="Female"/>
    <s v="Widowed"/>
    <s v="Production Technician I"/>
    <s v="Terminated"/>
    <s v="Full-Time"/>
    <s v="Zone B"/>
    <s v="Production       "/>
    <s v="Yard (Material Handling)"/>
    <s v="Asian"/>
    <s v="Fully Meets"/>
    <n v="1"/>
  </r>
  <r>
    <x v="1835"/>
    <x v="5"/>
    <x v="1175"/>
    <s v="58-67"/>
    <n v="59"/>
    <d v="1964-12-25T00:00:00"/>
    <s v="Massachusetts"/>
    <s v="MA"/>
    <s v="Female"/>
    <s v="Single"/>
    <s v="Production Technician I"/>
    <s v="Active"/>
    <s v="Part-Time"/>
    <s v="Zone B"/>
    <s v="Production       "/>
    <s v="General - Con"/>
    <s v="White"/>
    <s v="Fully Meets"/>
    <n v="3"/>
  </r>
  <r>
    <x v="1836"/>
    <x v="1"/>
    <x v="14"/>
    <s v="58-67"/>
    <n v="59"/>
    <d v="1960-02-25T00:00:00"/>
    <s v="Massachusetts"/>
    <s v="MA"/>
    <s v="Female"/>
    <s v="Divorced"/>
    <s v="Production Technician I"/>
    <s v="Active"/>
    <s v="Contract"/>
    <s v="Zone C"/>
    <s v="Production       "/>
    <s v="Field Operations"/>
    <s v="White"/>
    <s v="Needs Improvement"/>
    <n v="2"/>
  </r>
  <r>
    <x v="1837"/>
    <x v="1"/>
    <x v="1176"/>
    <s v="58-67"/>
    <n v="59"/>
    <d v="1960-07-17T00:00:00"/>
    <s v="Massachusetts"/>
    <s v="MA"/>
    <s v="Male"/>
    <s v="Single"/>
    <s v="Production Technician I"/>
    <s v="Terminated"/>
    <s v="Full-Time"/>
    <s v="Zone B"/>
    <s v="Production       "/>
    <s v="Wireline Construction"/>
    <s v="Asian"/>
    <s v="Fully Meets"/>
    <n v="5"/>
  </r>
  <r>
    <x v="1838"/>
    <x v="2"/>
    <x v="638"/>
    <s v="58-67"/>
    <n v="59"/>
    <d v="1961-11-09T00:00:00"/>
    <s v="Massachusetts"/>
    <s v="MA"/>
    <s v="Female"/>
    <s v="Single"/>
    <s v="Production Manager"/>
    <s v="Active"/>
    <s v="Contract"/>
    <s v="Zone A"/>
    <s v="Production       "/>
    <s v="Field Operations"/>
    <s v="White"/>
    <s v="Fully Meets"/>
    <n v="3"/>
  </r>
  <r>
    <x v="1839"/>
    <x v="3"/>
    <x v="384"/>
    <s v="58-67"/>
    <n v="59"/>
    <d v="1962-07-23T00:00:00"/>
    <s v="Massachusetts"/>
    <s v="MA"/>
    <s v="Male"/>
    <s v="Divorced"/>
    <s v="Production Manager"/>
    <s v="Active"/>
    <s v="Contract"/>
    <s v="Zone B"/>
    <s v="Production       "/>
    <s v="General - Con"/>
    <s v="Other"/>
    <s v="Fully Meets"/>
    <n v="5"/>
  </r>
  <r>
    <x v="1840"/>
    <x v="1"/>
    <x v="365"/>
    <s v="58-67"/>
    <n v="59"/>
    <d v="1960-08-24T00:00:00"/>
    <s v="Massachusetts"/>
    <s v="MA"/>
    <s v="Male"/>
    <s v="Widowed"/>
    <s v="Production Manager"/>
    <s v="Active"/>
    <s v="Full-Time"/>
    <s v="Zone A"/>
    <s v="Production       "/>
    <s v="Field Operations"/>
    <s v="Black"/>
    <s v="Fully Meets"/>
    <n v="2"/>
  </r>
  <r>
    <x v="1841"/>
    <x v="4"/>
    <x v="748"/>
    <s v="58-67"/>
    <n v="59"/>
    <d v="1963-04-27T00:00:00"/>
    <s v="Massachusetts"/>
    <s v="MA"/>
    <s v="Female"/>
    <s v="Divorced"/>
    <s v="Production Manager"/>
    <s v="Active"/>
    <s v="Contract"/>
    <s v="Zone C"/>
    <s v="Production       "/>
    <s v="Field Operations"/>
    <s v="Asian"/>
    <s v="Fully Meets"/>
    <n v="3"/>
  </r>
  <r>
    <x v="1842"/>
    <x v="4"/>
    <x v="975"/>
    <s v="58-67"/>
    <n v="59"/>
    <d v="1963-05-27T00:00:00"/>
    <s v="Massachusetts"/>
    <s v="MA"/>
    <s v="Female"/>
    <s v="Widowed"/>
    <s v="Production Manager"/>
    <s v="Active"/>
    <s v="Part-Time"/>
    <s v="Zone B"/>
    <s v="Production       "/>
    <s v="Wireless"/>
    <s v="White"/>
    <s v="Fully Meets"/>
    <n v="4"/>
  </r>
  <r>
    <x v="1843"/>
    <x v="4"/>
    <x v="695"/>
    <s v="58-67"/>
    <n v="59"/>
    <d v="1963-09-29T00:00:00"/>
    <s v="Massachusetts"/>
    <s v="MA"/>
    <s v="Female"/>
    <s v="Widowed"/>
    <s v="Production Manager"/>
    <s v="Active"/>
    <s v="Contract"/>
    <s v="Zone B"/>
    <s v="Production       "/>
    <s v="Field Operations"/>
    <s v="Hispanic"/>
    <s v="Fully Meets"/>
    <n v="4"/>
  </r>
  <r>
    <x v="1844"/>
    <x v="5"/>
    <x v="720"/>
    <s v="58-67"/>
    <n v="59"/>
    <d v="1964-06-02T00:00:00"/>
    <s v="Massachusetts"/>
    <s v="MA"/>
    <s v="Male"/>
    <s v="Single"/>
    <s v="Network Engineer"/>
    <s v="Active"/>
    <s v="Contract"/>
    <s v="Zone B"/>
    <s v="Executive Office"/>
    <s v="Wireline Construction"/>
    <s v="Black"/>
    <s v="Fully Meets"/>
    <n v="1"/>
  </r>
  <r>
    <x v="1845"/>
    <x v="4"/>
    <x v="79"/>
    <s v="58-67"/>
    <n v="59"/>
    <d v="1963-05-24T00:00:00"/>
    <s v="Massachusetts"/>
    <s v="MA"/>
    <s v="Male"/>
    <s v="Widowed"/>
    <s v="IT Support"/>
    <s v="Active"/>
    <s v="Contract"/>
    <s v="Zone B"/>
    <s v="IT/IS"/>
    <s v="Fielders"/>
    <s v="Black"/>
    <s v="PIP"/>
    <n v="1"/>
  </r>
  <r>
    <x v="1846"/>
    <x v="1"/>
    <x v="1177"/>
    <s v="58-67"/>
    <n v="59"/>
    <d v="1960-09-07T00:00:00"/>
    <s v="Massachusetts"/>
    <s v="MA"/>
    <s v="Female"/>
    <s v="Married"/>
    <s v="IT Support"/>
    <s v="Active"/>
    <s v="Contract"/>
    <s v="Zone A"/>
    <s v="IT/IS"/>
    <s v="General - Eng"/>
    <s v="White"/>
    <s v="Exceeds"/>
    <n v="4"/>
  </r>
  <r>
    <x v="1847"/>
    <x v="1"/>
    <x v="804"/>
    <s v="58-67"/>
    <n v="59"/>
    <d v="1960-07-05T00:00:00"/>
    <s v="Massachusetts"/>
    <s v="MA"/>
    <s v="Male"/>
    <s v="Divorced"/>
    <s v="IT Director"/>
    <s v="Active"/>
    <s v="Part-Time"/>
    <s v="Zone B"/>
    <s v="IT/IS"/>
    <s v="Project Management - Con"/>
    <s v="Other"/>
    <s v="Fully Meets"/>
    <n v="2"/>
  </r>
  <r>
    <x v="1848"/>
    <x v="2"/>
    <x v="561"/>
    <s v="58-67"/>
    <n v="59"/>
    <d v="1961-03-18T00:00:00"/>
    <s v="Massachusetts"/>
    <s v="MA"/>
    <s v="Male"/>
    <s v="Single"/>
    <s v="Director of Sales"/>
    <s v="Active"/>
    <s v="Part-Time"/>
    <s v="Zone B"/>
    <s v="IT/IS"/>
    <s v="Underground"/>
    <s v="Other"/>
    <s v="Fully Meets"/>
    <n v="3"/>
  </r>
  <r>
    <x v="1849"/>
    <x v="4"/>
    <x v="1178"/>
    <s v="58-67"/>
    <n v="59"/>
    <d v="1963-07-23T00:00:00"/>
    <s v="Texas"/>
    <s v="TX"/>
    <s v="Female"/>
    <s v="Single"/>
    <s v="Database Administrator"/>
    <s v="Active"/>
    <s v="Contract"/>
    <s v="Zone B"/>
    <s v="IT/IS"/>
    <s v="Wireline Construction"/>
    <s v="Hispanic"/>
    <s v="Fully Meets"/>
    <n v="5"/>
  </r>
  <r>
    <x v="1850"/>
    <x v="1"/>
    <x v="413"/>
    <s v="58-67"/>
    <n v="59"/>
    <d v="1960-03-31T00:00:00"/>
    <s v="Texas"/>
    <s v="TX"/>
    <s v="Male"/>
    <s v="Divorced"/>
    <s v="Data Architect"/>
    <s v="Terminated"/>
    <s v="Contract"/>
    <s v="Zone C"/>
    <s v="IT/IS"/>
    <s v="Field Operations"/>
    <s v="Black"/>
    <s v="Fully Meets"/>
    <n v="2"/>
  </r>
  <r>
    <x v="1851"/>
    <x v="5"/>
    <x v="1179"/>
    <s v="58-67"/>
    <n v="59"/>
    <d v="1964-02-11T00:00:00"/>
    <s v="Massachusetts"/>
    <s v="MA"/>
    <s v="Female"/>
    <s v="Widowed"/>
    <s v="Data Analyst "/>
    <s v="Active"/>
    <s v="Part-Time"/>
    <s v="Zone B"/>
    <s v="IT/IS"/>
    <s v="Splicing"/>
    <s v="Asian"/>
    <s v="Fully Meets"/>
    <n v="3"/>
  </r>
  <r>
    <x v="1852"/>
    <x v="0"/>
    <x v="945"/>
    <s v="58-67"/>
    <n v="59"/>
    <d v="1959-10-21T00:00:00"/>
    <s v="Massachusetts"/>
    <s v="MA"/>
    <s v="Female"/>
    <s v="Widowed"/>
    <s v="Data Analyst"/>
    <s v="Active"/>
    <s v="Contract"/>
    <s v="Zone C"/>
    <s v="IT/IS"/>
    <s v="Finance &amp; Accounting"/>
    <s v="White"/>
    <s v="Fully Meets"/>
    <n v="4"/>
  </r>
  <r>
    <x v="1853"/>
    <x v="3"/>
    <x v="1139"/>
    <s v="58-67"/>
    <n v="59"/>
    <d v="1962-01-10T00:00:00"/>
    <s v="Massachusetts"/>
    <s v="MA"/>
    <s v="Female"/>
    <s v="Divorced"/>
    <s v="Data Analyst"/>
    <s v="Active"/>
    <s v="Full-Time"/>
    <s v="Zone B"/>
    <s v="IT/IS"/>
    <s v="Field Operations"/>
    <s v="Black"/>
    <s v="Fully Meets"/>
    <n v="5"/>
  </r>
  <r>
    <x v="1854"/>
    <x v="3"/>
    <x v="1098"/>
    <s v="58-67"/>
    <n v="59"/>
    <d v="1962-08-09T00:00:00"/>
    <s v="Massachusetts"/>
    <s v="MA"/>
    <s v="Female"/>
    <s v="Divorced"/>
    <s v="Data Analyst"/>
    <s v="Active"/>
    <s v="Part-Time"/>
    <s v="Zone A"/>
    <s v="IT/IS"/>
    <s v="Field Operations"/>
    <s v="Asian"/>
    <s v="Fully Meets"/>
    <n v="2"/>
  </r>
  <r>
    <x v="1855"/>
    <x v="2"/>
    <x v="1180"/>
    <s v="58-67"/>
    <n v="59"/>
    <d v="1961-03-19T00:00:00"/>
    <s v="Massachusetts"/>
    <s v="MA"/>
    <s v="Female"/>
    <s v="Widowed"/>
    <s v="BI Director"/>
    <s v="Active"/>
    <s v="Contract"/>
    <s v="Zone C"/>
    <s v="IT/IS"/>
    <s v="General - Con"/>
    <s v="Asian"/>
    <s v="Fully Meets"/>
    <n v="1"/>
  </r>
  <r>
    <x v="1856"/>
    <x v="3"/>
    <x v="1181"/>
    <s v="58-67"/>
    <n v="59"/>
    <d v="1962-09-16T00:00:00"/>
    <s v="Massachusetts"/>
    <s v="MA"/>
    <s v="Male"/>
    <s v="Married"/>
    <s v="BI Developer"/>
    <s v="Active"/>
    <s v="Full-Time"/>
    <s v="Zone C"/>
    <s v="IT/IS"/>
    <s v="General - Eng"/>
    <s v="Hispanic"/>
    <s v="Fully Meets"/>
    <n v="4"/>
  </r>
  <r>
    <x v="1857"/>
    <x v="4"/>
    <x v="652"/>
    <s v="58-67"/>
    <n v="59"/>
    <d v="1963-07-28T00:00:00"/>
    <s v="Washington"/>
    <s v="WA"/>
    <s v="Female"/>
    <s v="Married"/>
    <s v="Area Sales Manager"/>
    <s v="Active"/>
    <s v="Full-Time"/>
    <s v="Zone A"/>
    <s v="Sales"/>
    <s v="Wireline Construction"/>
    <s v="Other"/>
    <s v="Fully Meets"/>
    <n v="2"/>
  </r>
  <r>
    <x v="1858"/>
    <x v="1"/>
    <x v="590"/>
    <s v="58-67"/>
    <n v="59"/>
    <d v="1960-06-06T00:00:00"/>
    <s v="Massachusetts"/>
    <s v="MA"/>
    <s v="Male"/>
    <s v="Single"/>
    <s v="Area Sales Manager"/>
    <s v="Active"/>
    <s v="Part-Time"/>
    <s v="Zone C"/>
    <s v="Sales"/>
    <s v="Field Operations"/>
    <s v="Other"/>
    <s v="Fully Meets"/>
    <n v="5"/>
  </r>
  <r>
    <x v="1859"/>
    <x v="3"/>
    <x v="1182"/>
    <s v="58-67"/>
    <n v="59"/>
    <d v="1962-01-07T00:00:00"/>
    <s v="Massachusetts"/>
    <s v="MA"/>
    <s v="Male"/>
    <s v="Divorced"/>
    <s v="Area Sales Manager"/>
    <s v="Active"/>
    <s v="Full-Time"/>
    <s v="Zone B"/>
    <s v="Sales"/>
    <s v="General - Con"/>
    <s v="Asian"/>
    <s v="Needs Improvement"/>
    <n v="4"/>
  </r>
  <r>
    <x v="1860"/>
    <x v="0"/>
    <x v="1183"/>
    <s v="58-67"/>
    <n v="59"/>
    <d v="1959-08-16T00:00:00"/>
    <s v="Kentucky"/>
    <s v="KY"/>
    <s v="Female"/>
    <s v="Single"/>
    <s v="Area Sales Manager"/>
    <s v="Active"/>
    <s v="Full-Time"/>
    <s v="Zone A"/>
    <s v="Sales"/>
    <s v="Engineers"/>
    <s v="Asian"/>
    <s v="Fully Meets"/>
    <n v="3"/>
  </r>
  <r>
    <x v="1861"/>
    <x v="5"/>
    <x v="303"/>
    <s v="58-67"/>
    <n v="59"/>
    <d v="1964-01-26T00:00:00"/>
    <s v="Indiana"/>
    <s v="IN"/>
    <s v="Female"/>
    <s v="Single"/>
    <s v="Area Sales Manager"/>
    <s v="Active"/>
    <s v="Contract"/>
    <s v="Zone B"/>
    <s v="Sales"/>
    <s v="Field Operations"/>
    <s v="Other"/>
    <s v="Fully Meets"/>
    <n v="2"/>
  </r>
  <r>
    <x v="1862"/>
    <x v="3"/>
    <x v="1184"/>
    <s v="58-67"/>
    <n v="59"/>
    <d v="1962-11-06T00:00:00"/>
    <s v="Arizona"/>
    <s v="AZ"/>
    <s v="Male"/>
    <s v="Single"/>
    <s v="Area Sales Manager"/>
    <s v="Active"/>
    <s v="Contract"/>
    <s v="Zone B"/>
    <s v="Sales"/>
    <s v="Wireline Construction"/>
    <s v="Black"/>
    <s v="Fully Meets"/>
    <n v="5"/>
  </r>
  <r>
    <x v="1863"/>
    <x v="3"/>
    <x v="1185"/>
    <s v="58-67"/>
    <n v="59"/>
    <d v="1962-05-25T00:00:00"/>
    <s v="Washington"/>
    <s v="WA"/>
    <s v="Female"/>
    <s v="Single"/>
    <s v="Administrative Assistant"/>
    <s v="Active"/>
    <s v="Contract"/>
    <s v="Zone B"/>
    <s v="Sales"/>
    <s v="Finance &amp; Accounting"/>
    <s v="Black"/>
    <s v="Fully Meets"/>
    <n v="1"/>
  </r>
  <r>
    <x v="1864"/>
    <x v="5"/>
    <x v="1186"/>
    <s v="58-67"/>
    <n v="60"/>
    <d v="1963-01-09T00:00:00"/>
    <s v="Massachusetts"/>
    <s v="MA"/>
    <s v="Female"/>
    <s v="Divorced"/>
    <s v="Software Engineer"/>
    <s v="Active"/>
    <s v="Part-Time"/>
    <s v="Zone A"/>
    <s v="Software Engineering"/>
    <s v="Aerial"/>
    <s v="Asian"/>
    <s v="Fully Meets"/>
    <n v="5"/>
  </r>
  <r>
    <x v="1865"/>
    <x v="4"/>
    <x v="344"/>
    <s v="58-67"/>
    <n v="60"/>
    <d v="1962-11-17T00:00:00"/>
    <s v="Massachusetts"/>
    <s v="MA"/>
    <s v="Male"/>
    <s v="Single"/>
    <s v="Software Engineer"/>
    <s v="Terminated"/>
    <s v="Full-Time"/>
    <s v="Zone A"/>
    <s v="Software Engineering"/>
    <s v="Underground"/>
    <s v="White"/>
    <s v="Fully Meets"/>
    <n v="5"/>
  </r>
  <r>
    <x v="1866"/>
    <x v="4"/>
    <x v="505"/>
    <s v="58-67"/>
    <n v="60"/>
    <d v="1962-06-11T00:00:00"/>
    <s v="Massachusetts"/>
    <s v="MA"/>
    <s v="Male"/>
    <s v="Divorced"/>
    <s v="Software Engineer"/>
    <s v="Active"/>
    <s v="Part-Time"/>
    <s v="Zone A"/>
    <s v="Software Engineering"/>
    <s v="Field Operations"/>
    <s v="Black"/>
    <s v="Fully Meets"/>
    <n v="4"/>
  </r>
  <r>
    <x v="1867"/>
    <x v="0"/>
    <x v="431"/>
    <s v="58-67"/>
    <n v="60"/>
    <d v="1958-04-08T00:00:00"/>
    <s v="Massachusetts"/>
    <s v="MA"/>
    <s v="Male"/>
    <s v="Widowed"/>
    <s v="Senior BI Developer"/>
    <s v="Active"/>
    <s v="Contract"/>
    <s v="Zone C"/>
    <s v="IT/IS"/>
    <s v="Engineers"/>
    <s v="Asian"/>
    <s v="Fully Meets"/>
    <n v="2"/>
  </r>
  <r>
    <x v="1868"/>
    <x v="2"/>
    <x v="257"/>
    <s v="58-67"/>
    <n v="60"/>
    <d v="1960-10-09T00:00:00"/>
    <s v="Massachusetts"/>
    <s v="MA"/>
    <s v="Female"/>
    <s v="Married"/>
    <s v="Sales Manager"/>
    <s v="Terminated"/>
    <s v="Full-Time"/>
    <s v="Zone A"/>
    <s v="Sales"/>
    <s v="Aerial"/>
    <s v="Asian"/>
    <s v="Fully Meets"/>
    <n v="1"/>
  </r>
  <r>
    <x v="1869"/>
    <x v="1"/>
    <x v="964"/>
    <s v="58-67"/>
    <n v="60"/>
    <d v="1959-07-17T00:00:00"/>
    <s v="Massachusetts"/>
    <s v="MA"/>
    <s v="Female"/>
    <s v="Single"/>
    <s v="Production Technician II"/>
    <s v="Active"/>
    <s v="Contract"/>
    <s v="Zone C"/>
    <s v="Production       "/>
    <s v="General - Con"/>
    <s v="Other"/>
    <s v="Fully Meets"/>
    <n v="4"/>
  </r>
  <r>
    <x v="1870"/>
    <x v="4"/>
    <x v="1187"/>
    <s v="58-67"/>
    <n v="60"/>
    <d v="1962-08-04T00:00:00"/>
    <s v="Massachusetts"/>
    <s v="MA"/>
    <s v="Female"/>
    <s v="Divorced"/>
    <s v="Production Technician II"/>
    <s v="Active"/>
    <s v="Part-Time"/>
    <s v="Zone C"/>
    <s v="Production       "/>
    <s v="General - Con"/>
    <s v="Hispanic"/>
    <s v="Fully Meets"/>
    <n v="4"/>
  </r>
  <r>
    <x v="1871"/>
    <x v="3"/>
    <x v="1188"/>
    <s v="58-67"/>
    <n v="60"/>
    <d v="1961-05-17T00:00:00"/>
    <s v="Massachusetts"/>
    <s v="MA"/>
    <s v="Male"/>
    <s v="Married"/>
    <s v="Production Technician II"/>
    <s v="Active"/>
    <s v="Part-Time"/>
    <s v="Zone A"/>
    <s v="Production       "/>
    <s v="General - Con"/>
    <s v="Asian"/>
    <s v="Fully Meets"/>
    <n v="3"/>
  </r>
  <r>
    <x v="1872"/>
    <x v="3"/>
    <x v="1189"/>
    <s v="58-67"/>
    <n v="60"/>
    <d v="1961-04-13T00:00:00"/>
    <s v="Massachusetts"/>
    <s v="MA"/>
    <s v="Female"/>
    <s v="Widowed"/>
    <s v="Production Technician II"/>
    <s v="Terminated"/>
    <s v="Contract"/>
    <s v="Zone B"/>
    <s v="Production       "/>
    <s v="Fielders"/>
    <s v="Hispanic"/>
    <s v="Fully Meets"/>
    <n v="5"/>
  </r>
  <r>
    <x v="1873"/>
    <x v="2"/>
    <x v="1015"/>
    <s v="58-67"/>
    <n v="60"/>
    <d v="1960-09-15T00:00:00"/>
    <s v="Massachusetts"/>
    <s v="MA"/>
    <s v="Female"/>
    <s v="Single"/>
    <s v="Production Technician II"/>
    <s v="Active"/>
    <s v="Contract"/>
    <s v="Zone B"/>
    <s v="Production       "/>
    <s v="Field Operations"/>
    <s v="Asian"/>
    <s v="Fully Meets"/>
    <n v="3"/>
  </r>
  <r>
    <x v="1874"/>
    <x v="5"/>
    <x v="342"/>
    <s v="58-67"/>
    <n v="60"/>
    <d v="1963-11-10T00:00:00"/>
    <s v="Massachusetts"/>
    <s v="MA"/>
    <s v="Male"/>
    <s v="Divorced"/>
    <s v="Production Technician II"/>
    <s v="Active"/>
    <s v="Contract"/>
    <s v="Zone C"/>
    <s v="Production       "/>
    <s v="Field Operations"/>
    <s v="Hispanic"/>
    <s v="Fully Meets"/>
    <n v="2"/>
  </r>
  <r>
    <x v="1875"/>
    <x v="1"/>
    <x v="56"/>
    <s v="58-67"/>
    <n v="60"/>
    <d v="1959-09-29T00:00:00"/>
    <s v="Massachusetts"/>
    <s v="MA"/>
    <s v="Male"/>
    <s v="Single"/>
    <s v="Production Technician I"/>
    <s v="Active"/>
    <s v="Part-Time"/>
    <s v="Zone B"/>
    <s v="Production       "/>
    <s v="Project Management - Eng"/>
    <s v="White"/>
    <s v="Fully Meets"/>
    <n v="3"/>
  </r>
  <r>
    <x v="1876"/>
    <x v="2"/>
    <x v="1190"/>
    <s v="58-67"/>
    <n v="60"/>
    <d v="1960-03-24T00:00:00"/>
    <s v="Massachusetts"/>
    <s v="MA"/>
    <s v="Male"/>
    <s v="Widowed"/>
    <s v="Production Technician I"/>
    <s v="Active"/>
    <s v="Full-Time"/>
    <s v="Zone B"/>
    <s v="Production       "/>
    <s v="Fielders"/>
    <s v="Black"/>
    <s v="Fully Meets"/>
    <n v="4"/>
  </r>
  <r>
    <x v="1877"/>
    <x v="3"/>
    <x v="447"/>
    <s v="58-67"/>
    <n v="60"/>
    <d v="1961-04-21T00:00:00"/>
    <s v="Massachusetts"/>
    <s v="MA"/>
    <s v="Female"/>
    <s v="Single"/>
    <s v="Production Technician I"/>
    <s v="Active"/>
    <s v="Part-Time"/>
    <s v="Zone A"/>
    <s v="Production       "/>
    <s v="Field Operations"/>
    <s v="Asian"/>
    <s v="Fully Meets"/>
    <n v="4"/>
  </r>
  <r>
    <x v="1878"/>
    <x v="3"/>
    <x v="1191"/>
    <s v="58-67"/>
    <n v="60"/>
    <d v="1961-09-10T00:00:00"/>
    <s v="Massachusetts"/>
    <s v="MA"/>
    <s v="Female"/>
    <s v="Single"/>
    <s v="Production Technician I"/>
    <s v="Terminated"/>
    <s v="Contract"/>
    <s v="Zone C"/>
    <s v="Production       "/>
    <s v="General - Sga"/>
    <s v="White"/>
    <s v="Fully Meets"/>
    <n v="4"/>
  </r>
  <r>
    <x v="1879"/>
    <x v="4"/>
    <x v="127"/>
    <s v="58-67"/>
    <n v="60"/>
    <d v="1962-04-08T00:00:00"/>
    <s v="Massachusetts"/>
    <s v="MA"/>
    <s v="Female"/>
    <s v="Single"/>
    <s v="Production Technician I"/>
    <s v="Active"/>
    <s v="Contract"/>
    <s v="Zone C"/>
    <s v="Production       "/>
    <s v="Wireline Construction"/>
    <s v="Black"/>
    <s v="PIP"/>
    <n v="2"/>
  </r>
  <r>
    <x v="1880"/>
    <x v="0"/>
    <x v="7"/>
    <s v="58-67"/>
    <n v="60"/>
    <d v="1958-05-07T00:00:00"/>
    <s v="Massachusetts"/>
    <s v="MA"/>
    <s v="Female"/>
    <s v="Divorced"/>
    <s v="Production Technician I"/>
    <s v="Active"/>
    <s v="Part-Time"/>
    <s v="Zone B"/>
    <s v="Production       "/>
    <s v="Field Operations"/>
    <s v="Other"/>
    <s v="Fully Meets"/>
    <n v="5"/>
  </r>
  <r>
    <x v="1881"/>
    <x v="4"/>
    <x v="542"/>
    <s v="58-67"/>
    <n v="60"/>
    <d v="1962-05-30T00:00:00"/>
    <s v="Massachusetts"/>
    <s v="MA"/>
    <s v="Male"/>
    <s v="Widowed"/>
    <s v="Production Technician I"/>
    <s v="Active"/>
    <s v="Full-Time"/>
    <s v="Zone C"/>
    <s v="Production       "/>
    <s v="Project Management - Con"/>
    <s v="Black"/>
    <s v="Needs Improvement"/>
    <n v="5"/>
  </r>
  <r>
    <x v="1882"/>
    <x v="3"/>
    <x v="1192"/>
    <s v="58-67"/>
    <n v="60"/>
    <d v="1961-03-11T00:00:00"/>
    <s v="Massachusetts"/>
    <s v="MA"/>
    <s v="Female"/>
    <s v="Widowed"/>
    <s v="Production Technician I"/>
    <s v="Active"/>
    <s v="Part-Time"/>
    <s v="Zone B"/>
    <s v="Production       "/>
    <s v="Field Operations"/>
    <s v="Black"/>
    <s v="Fully Meets"/>
    <n v="4"/>
  </r>
  <r>
    <x v="1883"/>
    <x v="1"/>
    <x v="59"/>
    <s v="58-67"/>
    <n v="60"/>
    <d v="1959-03-15T00:00:00"/>
    <s v="Massachusetts"/>
    <s v="MA"/>
    <s v="Female"/>
    <s v="Divorced"/>
    <s v="Production Technician I"/>
    <s v="Active"/>
    <s v="Part-Time"/>
    <s v="Zone B"/>
    <s v="Production       "/>
    <s v="Aerial"/>
    <s v="White"/>
    <s v="Fully Meets"/>
    <n v="3"/>
  </r>
  <r>
    <x v="1884"/>
    <x v="1"/>
    <x v="1193"/>
    <s v="58-67"/>
    <n v="60"/>
    <d v="1959-08-08T00:00:00"/>
    <s v="Massachusetts"/>
    <s v="MA"/>
    <s v="Male"/>
    <s v="Widowed"/>
    <s v="Production Technician I"/>
    <s v="Active"/>
    <s v="Contract"/>
    <s v="Zone B"/>
    <s v="Production       "/>
    <s v="Catv"/>
    <s v="Hispanic"/>
    <s v="Fully Meets"/>
    <n v="5"/>
  </r>
  <r>
    <x v="1885"/>
    <x v="2"/>
    <x v="1112"/>
    <s v="58-67"/>
    <n v="60"/>
    <d v="1960-01-27T00:00:00"/>
    <s v="Massachusetts"/>
    <s v="MA"/>
    <s v="Female"/>
    <s v="Single"/>
    <s v="Production Technician I"/>
    <s v="Active"/>
    <s v="Part-Time"/>
    <s v="Zone C"/>
    <s v="Production       "/>
    <s v="General - Sga"/>
    <s v="Hispanic"/>
    <s v="Needs Improvement"/>
    <n v="4"/>
  </r>
  <r>
    <x v="1886"/>
    <x v="1"/>
    <x v="1194"/>
    <s v="58-67"/>
    <n v="60"/>
    <d v="1959-12-19T00:00:00"/>
    <s v="Massachusetts"/>
    <s v="MA"/>
    <s v="Female"/>
    <s v="Widowed"/>
    <s v="Production Technician I"/>
    <s v="Active"/>
    <s v="Part-Time"/>
    <s v="Zone A"/>
    <s v="Production       "/>
    <s v="Field Operations"/>
    <s v="Black"/>
    <s v="Fully Meets"/>
    <n v="4"/>
  </r>
  <r>
    <x v="1887"/>
    <x v="3"/>
    <x v="1195"/>
    <s v="58-67"/>
    <n v="60"/>
    <d v="1961-01-08T00:00:00"/>
    <s v="Massachusetts"/>
    <s v="MA"/>
    <s v="Male"/>
    <s v="Single"/>
    <s v="Production Technician I"/>
    <s v="Active"/>
    <s v="Contract"/>
    <s v="Zone C"/>
    <s v="Production       "/>
    <s v="Field Operations"/>
    <s v="Black"/>
    <s v="Fully Meets"/>
    <n v="2"/>
  </r>
  <r>
    <x v="1888"/>
    <x v="5"/>
    <x v="1000"/>
    <s v="58-67"/>
    <n v="60"/>
    <d v="1963-11-09T00:00:00"/>
    <s v="Massachusetts"/>
    <s v="MA"/>
    <s v="Female"/>
    <s v="Widowed"/>
    <s v="Production Technician I"/>
    <s v="Active"/>
    <s v="Contract"/>
    <s v="Zone B"/>
    <s v="Production       "/>
    <s v="General - Con"/>
    <s v="White"/>
    <s v="Fully Meets"/>
    <n v="5"/>
  </r>
  <r>
    <x v="1889"/>
    <x v="3"/>
    <x v="467"/>
    <s v="58-67"/>
    <n v="60"/>
    <d v="1961-10-15T00:00:00"/>
    <s v="Massachusetts"/>
    <s v="MA"/>
    <s v="Female"/>
    <s v="Widowed"/>
    <s v="Production Technician I"/>
    <s v="Active"/>
    <s v="Full-Time"/>
    <s v="Zone A"/>
    <s v="Production       "/>
    <s v="General - Con"/>
    <s v="White"/>
    <s v="Fully Meets"/>
    <n v="5"/>
  </r>
  <r>
    <x v="1890"/>
    <x v="2"/>
    <x v="662"/>
    <s v="58-67"/>
    <n v="60"/>
    <d v="1960-04-11T00:00:00"/>
    <s v="Massachusetts"/>
    <s v="MA"/>
    <s v="Female"/>
    <s v="Divorced"/>
    <s v="Production Technician I"/>
    <s v="Active"/>
    <s v="Part-Time"/>
    <s v="Zone C"/>
    <s v="Production       "/>
    <s v="Field Operations"/>
    <s v="Black"/>
    <s v="Fully Meets"/>
    <n v="5"/>
  </r>
  <r>
    <x v="1891"/>
    <x v="2"/>
    <x v="251"/>
    <s v="58-67"/>
    <n v="60"/>
    <d v="1960-03-22T00:00:00"/>
    <s v="Massachusetts"/>
    <s v="MA"/>
    <s v="Female"/>
    <s v="Widowed"/>
    <s v="Production Technician I"/>
    <s v="Active"/>
    <s v="Full-Time"/>
    <s v="Zone B"/>
    <s v="Production       "/>
    <s v="General - Con"/>
    <s v="Hispanic"/>
    <s v="Fully Meets"/>
    <n v="2"/>
  </r>
  <r>
    <x v="1892"/>
    <x v="5"/>
    <x v="591"/>
    <s v="58-67"/>
    <n v="60"/>
    <d v="1963-01-12T00:00:00"/>
    <s v="Massachusetts"/>
    <s v="MA"/>
    <s v="Male"/>
    <s v="Married"/>
    <s v="Production Technician I"/>
    <s v="Active"/>
    <s v="Full-Time"/>
    <s v="Zone C"/>
    <s v="Production       "/>
    <s v="Engineers"/>
    <s v="Hispanic"/>
    <s v="Needs Improvement"/>
    <n v="5"/>
  </r>
  <r>
    <x v="1893"/>
    <x v="0"/>
    <x v="1196"/>
    <s v="58-67"/>
    <n v="60"/>
    <d v="1958-10-19T00:00:00"/>
    <s v="Massachusetts"/>
    <s v="MA"/>
    <s v="Female"/>
    <s v="Widowed"/>
    <s v="Production Technician I"/>
    <s v="Active"/>
    <s v="Contract"/>
    <s v="Zone B"/>
    <s v="Production       "/>
    <s v="Field Operations"/>
    <s v="Hispanic"/>
    <s v="Exceeds"/>
    <n v="5"/>
  </r>
  <r>
    <x v="1894"/>
    <x v="2"/>
    <x v="193"/>
    <s v="58-67"/>
    <n v="60"/>
    <d v="1960-03-02T00:00:00"/>
    <s v="Massachusetts"/>
    <s v="MA"/>
    <s v="Male"/>
    <s v="Married"/>
    <s v="Production Technician I"/>
    <s v="Active"/>
    <s v="Contract"/>
    <s v="Zone B"/>
    <s v="Production       "/>
    <s v="Yard (Material Handling)"/>
    <s v="Other"/>
    <s v="Fully Meets"/>
    <n v="1"/>
  </r>
  <r>
    <x v="1895"/>
    <x v="5"/>
    <x v="1107"/>
    <s v="58-67"/>
    <n v="60"/>
    <d v="1963-02-17T00:00:00"/>
    <s v="Massachusetts"/>
    <s v="MA"/>
    <s v="Male"/>
    <s v="Widowed"/>
    <s v="Production Technician I"/>
    <s v="Active"/>
    <s v="Contract"/>
    <s v="Zone C"/>
    <s v="Production       "/>
    <s v="Engineers"/>
    <s v="Other"/>
    <s v="Fully Meets"/>
    <n v="3"/>
  </r>
  <r>
    <x v="1896"/>
    <x v="3"/>
    <x v="1197"/>
    <s v="58-67"/>
    <n v="60"/>
    <d v="1961-05-16T00:00:00"/>
    <s v="Massachusetts"/>
    <s v="MA"/>
    <s v="Female"/>
    <s v="Married"/>
    <s v="Production Technician I"/>
    <s v="Terminated"/>
    <s v="Contract"/>
    <s v="Zone C"/>
    <s v="Production       "/>
    <s v="Field Operations"/>
    <s v="Other"/>
    <s v="Fully Meets"/>
    <n v="2"/>
  </r>
  <r>
    <x v="1897"/>
    <x v="4"/>
    <x v="1198"/>
    <s v="58-67"/>
    <n v="60"/>
    <d v="1962-12-24T00:00:00"/>
    <s v="Massachusetts"/>
    <s v="MA"/>
    <s v="Female"/>
    <s v="Divorced"/>
    <s v="Production Technician I"/>
    <s v="Active"/>
    <s v="Full-Time"/>
    <s v="Zone B"/>
    <s v="Production       "/>
    <s v="Yard (Material Handling)"/>
    <s v="Hispanic"/>
    <s v="Exceeds"/>
    <n v="4"/>
  </r>
  <r>
    <x v="1898"/>
    <x v="1"/>
    <x v="217"/>
    <s v="58-67"/>
    <n v="60"/>
    <d v="1959-09-27T00:00:00"/>
    <s v="Massachusetts"/>
    <s v="MA"/>
    <s v="Female"/>
    <s v="Married"/>
    <s v="Production Technician I"/>
    <s v="Active"/>
    <s v="Part-Time"/>
    <s v="Zone C"/>
    <s v="Production       "/>
    <s v="Field Operations"/>
    <s v="Hispanic"/>
    <s v="Fully Meets"/>
    <n v="5"/>
  </r>
  <r>
    <x v="1899"/>
    <x v="0"/>
    <x v="774"/>
    <s v="58-67"/>
    <n v="60"/>
    <d v="1958-07-04T00:00:00"/>
    <s v="Massachusetts"/>
    <s v="MA"/>
    <s v="Male"/>
    <s v="Widowed"/>
    <s v="Production Technician I"/>
    <s v="Terminated"/>
    <s v="Full-Time"/>
    <s v="Zone A"/>
    <s v="Production       "/>
    <s v="Field Operations"/>
    <s v="Asian"/>
    <s v="Fully Meets"/>
    <n v="4"/>
  </r>
  <r>
    <x v="1900"/>
    <x v="5"/>
    <x v="979"/>
    <s v="58-67"/>
    <n v="60"/>
    <d v="1963-10-02T00:00:00"/>
    <s v="Massachusetts"/>
    <s v="MA"/>
    <s v="Female"/>
    <s v="Divorced"/>
    <s v="Production Technician I"/>
    <s v="Active"/>
    <s v="Full-Time"/>
    <s v="Zone A"/>
    <s v="Production       "/>
    <s v="Engineers"/>
    <s v="Other"/>
    <s v="Fully Meets"/>
    <n v="1"/>
  </r>
  <r>
    <x v="1901"/>
    <x v="2"/>
    <x v="725"/>
    <s v="58-67"/>
    <n v="60"/>
    <d v="1960-12-31T00:00:00"/>
    <s v="Massachusetts"/>
    <s v="MA"/>
    <s v="Female"/>
    <s v="Widowed"/>
    <s v="Production Technician I"/>
    <s v="Active"/>
    <s v="Full-Time"/>
    <s v="Zone C"/>
    <s v="Production       "/>
    <s v="General - Con"/>
    <s v="Hispanic"/>
    <s v="Fully Meets"/>
    <n v="3"/>
  </r>
  <r>
    <x v="1902"/>
    <x v="5"/>
    <x v="402"/>
    <s v="58-67"/>
    <n v="60"/>
    <d v="1963-04-18T00:00:00"/>
    <s v="Massachusetts"/>
    <s v="MA"/>
    <s v="Female"/>
    <s v="Married"/>
    <s v="Production Manager"/>
    <s v="Terminated"/>
    <s v="Contract"/>
    <s v="Zone C"/>
    <s v="Production       "/>
    <s v="Yard (Material Handling)"/>
    <s v="Asian"/>
    <s v="Fully Meets"/>
    <n v="1"/>
  </r>
  <r>
    <x v="1903"/>
    <x v="1"/>
    <x v="1199"/>
    <s v="58-67"/>
    <n v="60"/>
    <d v="1959-06-11T00:00:00"/>
    <s v="Massachusetts"/>
    <s v="MA"/>
    <s v="Female"/>
    <s v="Widowed"/>
    <s v="Production Manager"/>
    <s v="Active"/>
    <s v="Contract"/>
    <s v="Zone C"/>
    <s v="Production       "/>
    <s v="General - Con"/>
    <s v="White"/>
    <s v="Fully Meets"/>
    <n v="3"/>
  </r>
  <r>
    <x v="1904"/>
    <x v="0"/>
    <x v="708"/>
    <s v="58-67"/>
    <n v="60"/>
    <d v="1958-09-23T00:00:00"/>
    <s v="Massachusetts"/>
    <s v="MA"/>
    <s v="Female"/>
    <s v="Single"/>
    <s v="Production Manager"/>
    <s v="Terminated"/>
    <s v="Part-Time"/>
    <s v="Zone C"/>
    <s v="Production       "/>
    <s v="Aerial"/>
    <s v="Black"/>
    <s v="Fully Meets"/>
    <n v="4"/>
  </r>
  <r>
    <x v="1905"/>
    <x v="2"/>
    <x v="331"/>
    <s v="58-67"/>
    <n v="60"/>
    <d v="1960-06-17T00:00:00"/>
    <s v="Massachusetts"/>
    <s v="MA"/>
    <s v="Female"/>
    <s v="Widowed"/>
    <s v="Network Engineer"/>
    <s v="Active"/>
    <s v="Contract"/>
    <s v="Zone A"/>
    <s v="IT/IS"/>
    <s v="Field Operations"/>
    <s v="Asian"/>
    <s v="Fully Meets"/>
    <n v="3"/>
  </r>
  <r>
    <x v="1906"/>
    <x v="3"/>
    <x v="1200"/>
    <s v="58-67"/>
    <n v="60"/>
    <d v="1961-06-02T00:00:00"/>
    <s v="Massachusetts"/>
    <s v="MA"/>
    <s v="Male"/>
    <s v="Single"/>
    <s v="Network Engineer"/>
    <s v="Active"/>
    <s v="Part-Time"/>
    <s v="Zone C"/>
    <s v="Executive Office"/>
    <s v="General - Con"/>
    <s v="White"/>
    <s v="PIP"/>
    <n v="2"/>
  </r>
  <r>
    <x v="1907"/>
    <x v="3"/>
    <x v="334"/>
    <s v="58-67"/>
    <n v="60"/>
    <d v="1961-11-04T00:00:00"/>
    <s v="Massachusetts"/>
    <s v="MA"/>
    <s v="Female"/>
    <s v="Divorced"/>
    <s v="IT Support"/>
    <s v="Active"/>
    <s v="Full-Time"/>
    <s v="Zone A"/>
    <s v="IT/IS"/>
    <s v="Field Operations"/>
    <s v="Other"/>
    <s v="Fully Meets"/>
    <n v="1"/>
  </r>
  <r>
    <x v="1908"/>
    <x v="4"/>
    <x v="564"/>
    <s v="58-67"/>
    <n v="60"/>
    <d v="1962-12-17T00:00:00"/>
    <s v="Massachusetts"/>
    <s v="MA"/>
    <s v="Female"/>
    <s v="Divorced"/>
    <s v="IT Support"/>
    <s v="Active"/>
    <s v="Contract"/>
    <s v="Zone B"/>
    <s v="IT/IS"/>
    <s v="Engineers"/>
    <s v="Asian"/>
    <s v="Exceeds"/>
    <n v="5"/>
  </r>
  <r>
    <x v="1909"/>
    <x v="4"/>
    <x v="129"/>
    <s v="58-67"/>
    <n v="60"/>
    <d v="1962-09-02T00:00:00"/>
    <s v="Connecticut"/>
    <s v="CT"/>
    <s v="Female"/>
    <s v="Married"/>
    <s v="IT Support"/>
    <s v="Active"/>
    <s v="Contract"/>
    <s v="Zone C"/>
    <s v="IT/IS"/>
    <s v="Aerial"/>
    <s v="Asian"/>
    <s v="Fully Meets"/>
    <n v="2"/>
  </r>
  <r>
    <x v="1910"/>
    <x v="3"/>
    <x v="45"/>
    <s v="58-67"/>
    <n v="60"/>
    <d v="1961-09-07T00:00:00"/>
    <s v="Massachusetts"/>
    <s v="MA"/>
    <s v="Female"/>
    <s v="Divorced"/>
    <s v="Database Administrator"/>
    <s v="Terminated"/>
    <s v="Contract"/>
    <s v="Zone A"/>
    <s v="IT/IS"/>
    <s v="Wireline Construction"/>
    <s v="Asian"/>
    <s v="Fully Meets"/>
    <n v="1"/>
  </r>
  <r>
    <x v="1911"/>
    <x v="2"/>
    <x v="206"/>
    <s v="58-67"/>
    <n v="60"/>
    <d v="1960-02-07T00:00:00"/>
    <s v="Massachusetts"/>
    <s v="MA"/>
    <s v="Female"/>
    <s v="Divorced"/>
    <s v="Data Analyst"/>
    <s v="Active"/>
    <s v="Full-Time"/>
    <s v="Zone A"/>
    <s v="IT/IS"/>
    <s v="Field Operations"/>
    <s v="Black"/>
    <s v="Fully Meets"/>
    <n v="2"/>
  </r>
  <r>
    <x v="1912"/>
    <x v="0"/>
    <x v="596"/>
    <s v="58-67"/>
    <n v="60"/>
    <d v="1958-11-02T00:00:00"/>
    <s v="Massachusetts"/>
    <s v="MA"/>
    <s v="Male"/>
    <s v="Single"/>
    <s v="Data Analyst"/>
    <s v="Active"/>
    <s v="Contract"/>
    <s v="Zone B"/>
    <s v="IT/IS"/>
    <s v="General - Con"/>
    <s v="Black"/>
    <s v="Fully Meets"/>
    <n v="4"/>
  </r>
  <r>
    <x v="1913"/>
    <x v="3"/>
    <x v="304"/>
    <s v="58-67"/>
    <n v="60"/>
    <d v="1961-10-04T00:00:00"/>
    <s v="Massachusetts"/>
    <s v="MA"/>
    <s v="Male"/>
    <s v="Married"/>
    <s v="CIO"/>
    <s v="Terminated"/>
    <s v="Part-Time"/>
    <s v="Zone A"/>
    <s v="IT/IS"/>
    <s v="Aerial"/>
    <s v="Asian"/>
    <s v="Fully Meets"/>
    <n v="5"/>
  </r>
  <r>
    <x v="1914"/>
    <x v="5"/>
    <x v="1114"/>
    <s v="58-67"/>
    <n v="60"/>
    <d v="1963-03-07T00:00:00"/>
    <s v="Massachusetts"/>
    <s v="MA"/>
    <s v="Male"/>
    <s v="Widowed"/>
    <s v="CIO"/>
    <s v="Terminated"/>
    <s v="Contract"/>
    <s v="Zone A"/>
    <s v="IT/IS"/>
    <s v="Engineers"/>
    <s v="Hispanic"/>
    <s v="Fully Meets"/>
    <n v="4"/>
  </r>
  <r>
    <x v="1915"/>
    <x v="0"/>
    <x v="1201"/>
    <s v="58-67"/>
    <n v="60"/>
    <d v="1958-05-16T00:00:00"/>
    <s v="Massachusetts"/>
    <s v="MA"/>
    <s v="Female"/>
    <s v="Single"/>
    <s v="BI Director"/>
    <s v="Active"/>
    <s v="Part-Time"/>
    <s v="Zone B"/>
    <s v="IT/IS"/>
    <s v="Project Management - Con"/>
    <s v="Hispanic"/>
    <s v="Fully Meets"/>
    <n v="4"/>
  </r>
  <r>
    <x v="1916"/>
    <x v="3"/>
    <x v="1202"/>
    <s v="58-67"/>
    <n v="60"/>
    <d v="1961-08-30T00:00:00"/>
    <s v="Massachusetts"/>
    <s v="MA"/>
    <s v="Female"/>
    <s v="Divorced"/>
    <s v="BI Developer"/>
    <s v="Terminated"/>
    <s v="Contract"/>
    <s v="Zone A"/>
    <s v="IT/IS"/>
    <s v="Engineers"/>
    <s v="Hispanic"/>
    <s v="Fully Meets"/>
    <n v="4"/>
  </r>
  <r>
    <x v="1917"/>
    <x v="4"/>
    <x v="1166"/>
    <s v="58-67"/>
    <n v="60"/>
    <d v="1962-05-17T00:00:00"/>
    <s v="Texas"/>
    <s v="TX"/>
    <s v="Female"/>
    <s v="Widowed"/>
    <s v="Area Sales Manager"/>
    <s v="Active"/>
    <s v="Contract"/>
    <s v="Zone A"/>
    <s v="Sales"/>
    <s v="Project Management - Con"/>
    <s v="Hispanic"/>
    <s v="Fully Meets"/>
    <n v="4"/>
  </r>
  <r>
    <x v="1918"/>
    <x v="1"/>
    <x v="8"/>
    <s v="58-67"/>
    <n v="60"/>
    <d v="1959-10-27T00:00:00"/>
    <s v="Tennessee"/>
    <s v="TN"/>
    <s v="Male"/>
    <s v="Divorced"/>
    <s v="Area Sales Manager"/>
    <s v="Active"/>
    <s v="Part-Time"/>
    <s v="Zone C"/>
    <s v="Sales"/>
    <s v="Shop (Fleet)"/>
    <s v="Asian"/>
    <s v="Fully Meets"/>
    <n v="1"/>
  </r>
  <r>
    <x v="1919"/>
    <x v="4"/>
    <x v="823"/>
    <s v="58-67"/>
    <n v="60"/>
    <d v="1962-03-22T00:00:00"/>
    <s v="Oregon"/>
    <s v="OR"/>
    <s v="Male"/>
    <s v="Married"/>
    <s v="Area Sales Manager"/>
    <s v="Active"/>
    <s v="Full-Time"/>
    <s v="Zone C"/>
    <s v="IT/IS"/>
    <s v="General - Sga"/>
    <s v="Black"/>
    <s v="Fully Meets"/>
    <n v="4"/>
  </r>
  <r>
    <x v="1920"/>
    <x v="5"/>
    <x v="436"/>
    <s v="58-67"/>
    <n v="60"/>
    <d v="1963-08-12T00:00:00"/>
    <s v="Massachusetts"/>
    <s v="MA"/>
    <s v="Male"/>
    <s v="Widowed"/>
    <s v="Area Sales Manager"/>
    <s v="Active"/>
    <s v="Part-Time"/>
    <s v="Zone B"/>
    <s v="IT/IS"/>
    <s v="Catv"/>
    <s v="Other"/>
    <s v="Fully Meets"/>
    <n v="5"/>
  </r>
  <r>
    <x v="1921"/>
    <x v="3"/>
    <x v="1155"/>
    <s v="58-67"/>
    <n v="60"/>
    <d v="1961-06-25T00:00:00"/>
    <s v="Idaho"/>
    <s v="ID"/>
    <s v="Male"/>
    <s v="Divorced"/>
    <s v="Area Sales Manager"/>
    <s v="Active"/>
    <s v="Full-Time"/>
    <s v="Zone C"/>
    <s v="Sales"/>
    <s v="Project Management - Con"/>
    <s v="Hispanic"/>
    <s v="Fully Meets"/>
    <n v="2"/>
  </r>
  <r>
    <x v="1922"/>
    <x v="1"/>
    <x v="48"/>
    <s v="58-67"/>
    <n v="60"/>
    <d v="1959-09-06T00:00:00"/>
    <s v="Massachusetts"/>
    <s v="MA"/>
    <s v="Female"/>
    <s v="Married"/>
    <s v="Administrative Assistant"/>
    <s v="Active"/>
    <s v="Contract"/>
    <s v="Zone A"/>
    <s v="Sales"/>
    <s v="Field Operations"/>
    <s v="Black"/>
    <s v="Fully Meets"/>
    <n v="5"/>
  </r>
  <r>
    <x v="1923"/>
    <x v="2"/>
    <x v="143"/>
    <s v="58-67"/>
    <n v="61"/>
    <d v="1959-10-10T00:00:00"/>
    <s v="Connecticut"/>
    <s v="CT"/>
    <s v="Female"/>
    <s v="Single"/>
    <s v="Sr. Network Engineer"/>
    <s v="Active"/>
    <s v="Full-Time"/>
    <s v="Zone A"/>
    <s v="IT/IS"/>
    <s v="General - Sga"/>
    <s v="Black"/>
    <s v="Fully Meets"/>
    <n v="3"/>
  </r>
  <r>
    <x v="1924"/>
    <x v="1"/>
    <x v="1203"/>
    <s v="58-67"/>
    <n v="61"/>
    <d v="1958-08-09T00:00:00"/>
    <s v="Massachusetts"/>
    <s v="MA"/>
    <s v="Male"/>
    <s v="Divorced"/>
    <s v="Sr. DBA"/>
    <s v="Active"/>
    <s v="Contract"/>
    <s v="Zone B"/>
    <s v="IT/IS"/>
    <s v="General - Con"/>
    <s v="Other"/>
    <s v="Fully Meets"/>
    <n v="4"/>
  </r>
  <r>
    <x v="1925"/>
    <x v="5"/>
    <x v="1204"/>
    <s v="58-67"/>
    <n v="61"/>
    <d v="1962-12-11T00:00:00"/>
    <s v="Massachusetts"/>
    <s v="MA"/>
    <s v="Female"/>
    <s v="Single"/>
    <s v="Production Technician II"/>
    <s v="Active"/>
    <s v="Full-Time"/>
    <s v="Zone A"/>
    <s v="Production       "/>
    <s v="Yard (Material Handling)"/>
    <s v="Hispanic"/>
    <s v="Fully Meets"/>
    <n v="2"/>
  </r>
  <r>
    <x v="1926"/>
    <x v="1"/>
    <x v="67"/>
    <s v="58-67"/>
    <n v="61"/>
    <d v="1958-12-18T00:00:00"/>
    <s v="Massachusetts"/>
    <s v="MA"/>
    <s v="Female"/>
    <s v="Single"/>
    <s v="Production Technician II"/>
    <s v="Active"/>
    <s v="Part-Time"/>
    <s v="Zone B"/>
    <s v="Production       "/>
    <s v="Field Operations"/>
    <s v="White"/>
    <s v="Fully Meets"/>
    <n v="1"/>
  </r>
  <r>
    <x v="1927"/>
    <x v="1"/>
    <x v="421"/>
    <s v="58-67"/>
    <n v="61"/>
    <d v="1958-04-25T00:00:00"/>
    <s v="Massachusetts"/>
    <s v="MA"/>
    <s v="Female"/>
    <s v="Divorced"/>
    <s v="Production Technician II"/>
    <s v="Active"/>
    <s v="Part-Time"/>
    <s v="Zone A"/>
    <s v="Production       "/>
    <s v="Engineers"/>
    <s v="Asian"/>
    <s v="Fully Meets"/>
    <n v="2"/>
  </r>
  <r>
    <x v="1928"/>
    <x v="3"/>
    <x v="1038"/>
    <s v="58-67"/>
    <n v="61"/>
    <d v="1960-06-05T00:00:00"/>
    <s v="Massachusetts"/>
    <s v="MA"/>
    <s v="Female"/>
    <s v="Single"/>
    <s v="Production Technician II"/>
    <s v="Active"/>
    <s v="Part-Time"/>
    <s v="Zone A"/>
    <s v="Production       "/>
    <s v="Engineers"/>
    <s v="Hispanic"/>
    <s v="Exceeds"/>
    <n v="5"/>
  </r>
  <r>
    <x v="1929"/>
    <x v="0"/>
    <x v="1205"/>
    <s v="58-67"/>
    <n v="61"/>
    <d v="1957-07-06T00:00:00"/>
    <s v="Massachusetts"/>
    <s v="MA"/>
    <s v="Female"/>
    <s v="Divorced"/>
    <s v="Production Technician II"/>
    <s v="Active"/>
    <s v="Contract"/>
    <s v="Zone C"/>
    <s v="Production       "/>
    <s v="Isp"/>
    <s v="Asian"/>
    <s v="Fully Meets"/>
    <n v="2"/>
  </r>
  <r>
    <x v="1930"/>
    <x v="1"/>
    <x v="1206"/>
    <s v="58-67"/>
    <n v="61"/>
    <d v="1958-01-30T00:00:00"/>
    <s v="Massachusetts"/>
    <s v="MA"/>
    <s v="Female"/>
    <s v="Widowed"/>
    <s v="Production Technician II"/>
    <s v="Terminated"/>
    <s v="Contract"/>
    <s v="Zone B"/>
    <s v="Production       "/>
    <s v="General - Con"/>
    <s v="Black"/>
    <s v="PIP"/>
    <n v="5"/>
  </r>
  <r>
    <x v="1931"/>
    <x v="0"/>
    <x v="637"/>
    <s v="58-67"/>
    <n v="61"/>
    <d v="1957-06-28T00:00:00"/>
    <s v="Massachusetts"/>
    <s v="MA"/>
    <s v="Female"/>
    <s v="Married"/>
    <s v="Production Technician II"/>
    <s v="Terminated"/>
    <s v="Part-Time"/>
    <s v="Zone A"/>
    <s v="Production       "/>
    <s v="Engineers"/>
    <s v="Hispanic"/>
    <s v="Fully Meets"/>
    <n v="5"/>
  </r>
  <r>
    <x v="1932"/>
    <x v="2"/>
    <x v="773"/>
    <s v="58-67"/>
    <n v="61"/>
    <d v="1959-04-21T00:00:00"/>
    <s v="Massachusetts"/>
    <s v="MA"/>
    <s v="Female"/>
    <s v="Single"/>
    <s v="Production Technician II"/>
    <s v="Terminated"/>
    <s v="Contract"/>
    <s v="Zone A"/>
    <s v="Production       "/>
    <s v="Aerial"/>
    <s v="Asian"/>
    <s v="Exceeds"/>
    <n v="5"/>
  </r>
  <r>
    <x v="1933"/>
    <x v="3"/>
    <x v="1207"/>
    <s v="58-67"/>
    <n v="61"/>
    <d v="1960-12-08T00:00:00"/>
    <s v="Massachusetts"/>
    <s v="MA"/>
    <s v="Male"/>
    <s v="Widowed"/>
    <s v="Production Technician II"/>
    <s v="Active"/>
    <s v="Full-Time"/>
    <s v="Zone B"/>
    <s v="Production       "/>
    <s v="Technology / It"/>
    <s v="Asian"/>
    <s v="Fully Meets"/>
    <n v="4"/>
  </r>
  <r>
    <x v="1934"/>
    <x v="3"/>
    <x v="1208"/>
    <s v="58-67"/>
    <n v="61"/>
    <d v="1960-11-14T00:00:00"/>
    <s v="Massachusetts"/>
    <s v="MA"/>
    <s v="Male"/>
    <s v="Divorced"/>
    <s v="Production Technician II"/>
    <s v="Terminated"/>
    <s v="Full-Time"/>
    <s v="Zone C"/>
    <s v="Production       "/>
    <s v="General - Con"/>
    <s v="Black"/>
    <s v="Exceeds"/>
    <n v="1"/>
  </r>
  <r>
    <x v="1935"/>
    <x v="3"/>
    <x v="281"/>
    <s v="58-67"/>
    <n v="61"/>
    <d v="1960-02-12T00:00:00"/>
    <s v="Massachusetts"/>
    <s v="MA"/>
    <s v="Male"/>
    <s v="Widowed"/>
    <s v="Production Technician I"/>
    <s v="Active"/>
    <s v="Full-Time"/>
    <s v="Zone A"/>
    <s v="Production       "/>
    <s v="General - Con"/>
    <s v="Other"/>
    <s v="Fully Meets"/>
    <n v="3"/>
  </r>
  <r>
    <x v="1936"/>
    <x v="3"/>
    <x v="1197"/>
    <s v="58-67"/>
    <n v="61"/>
    <d v="1960-10-16T00:00:00"/>
    <s v="Massachusetts"/>
    <s v="MA"/>
    <s v="Female"/>
    <s v="Single"/>
    <s v="Production Technician I"/>
    <s v="Active"/>
    <s v="Full-Time"/>
    <s v="Zone C"/>
    <s v="Production       "/>
    <s v="Aerial"/>
    <s v="Hispanic"/>
    <s v="Exceeds"/>
    <n v="5"/>
  </r>
  <r>
    <x v="1937"/>
    <x v="3"/>
    <x v="1209"/>
    <s v="58-67"/>
    <n v="61"/>
    <d v="1960-12-29T00:00:00"/>
    <s v="Massachusetts"/>
    <s v="MA"/>
    <s v="Male"/>
    <s v="Married"/>
    <s v="Production Technician I"/>
    <s v="Active"/>
    <s v="Contract"/>
    <s v="Zone A"/>
    <s v="Production       "/>
    <s v="Field Operations"/>
    <s v="Asian"/>
    <s v="Exceeds"/>
    <n v="4"/>
  </r>
  <r>
    <x v="1938"/>
    <x v="5"/>
    <x v="1210"/>
    <s v="58-67"/>
    <n v="61"/>
    <d v="1962-04-26T00:00:00"/>
    <s v="Massachusetts"/>
    <s v="MA"/>
    <s v="Female"/>
    <s v="Married"/>
    <s v="Production Technician I"/>
    <s v="Active"/>
    <s v="Part-Time"/>
    <s v="Zone B"/>
    <s v="Production       "/>
    <s v="General - Sga"/>
    <s v="Other"/>
    <s v="Fully Meets"/>
    <n v="5"/>
  </r>
  <r>
    <x v="1939"/>
    <x v="4"/>
    <x v="1211"/>
    <s v="58-67"/>
    <n v="61"/>
    <d v="1961-05-10T00:00:00"/>
    <s v="Massachusetts"/>
    <s v="MA"/>
    <s v="Male"/>
    <s v="Married"/>
    <s v="Production Technician I"/>
    <s v="Active"/>
    <s v="Part-Time"/>
    <s v="Zone A"/>
    <s v="Production       "/>
    <s v="General - Con"/>
    <s v="White"/>
    <s v="Fully Meets"/>
    <n v="2"/>
  </r>
  <r>
    <x v="1940"/>
    <x v="4"/>
    <x v="1212"/>
    <s v="58-67"/>
    <n v="61"/>
    <d v="1961-03-06T00:00:00"/>
    <s v="Massachusetts"/>
    <s v="MA"/>
    <s v="Female"/>
    <s v="Widowed"/>
    <s v="Production Technician I"/>
    <s v="Active"/>
    <s v="Part-Time"/>
    <s v="Zone B"/>
    <s v="Production       "/>
    <s v="Wireline Construction"/>
    <s v="Other"/>
    <s v="Fully Meets"/>
    <n v="4"/>
  </r>
  <r>
    <x v="1941"/>
    <x v="0"/>
    <x v="616"/>
    <s v="58-67"/>
    <n v="61"/>
    <d v="1957-04-15T00:00:00"/>
    <s v="Massachusetts"/>
    <s v="MA"/>
    <s v="Female"/>
    <s v="Widowed"/>
    <s v="Production Technician I"/>
    <s v="Terminated"/>
    <s v="Full-Time"/>
    <s v="Zone C"/>
    <s v="Production       "/>
    <s v="Field Operations"/>
    <s v="Other"/>
    <s v="Fully Meets"/>
    <n v="3"/>
  </r>
  <r>
    <x v="1942"/>
    <x v="1"/>
    <x v="231"/>
    <s v="58-67"/>
    <n v="61"/>
    <d v="1958-04-09T00:00:00"/>
    <s v="Massachusetts"/>
    <s v="MA"/>
    <s v="Male"/>
    <s v="Single"/>
    <s v="Production Technician I"/>
    <s v="Active"/>
    <s v="Full-Time"/>
    <s v="Zone B"/>
    <s v="Production       "/>
    <s v="Splicing"/>
    <s v="Asian"/>
    <s v="Fully Meets"/>
    <n v="5"/>
  </r>
  <r>
    <x v="1943"/>
    <x v="5"/>
    <x v="485"/>
    <s v="58-67"/>
    <n v="61"/>
    <d v="1962-08-21T00:00:00"/>
    <s v="Massachusetts"/>
    <s v="MA"/>
    <s v="Female"/>
    <s v="Single"/>
    <s v="Production Technician I"/>
    <s v="Active"/>
    <s v="Contract"/>
    <s v="Zone A"/>
    <s v="Production       "/>
    <s v="Field Operations"/>
    <s v="Asian"/>
    <s v="Fully Meets"/>
    <n v="5"/>
  </r>
  <r>
    <x v="1944"/>
    <x v="4"/>
    <x v="1213"/>
    <s v="58-67"/>
    <n v="61"/>
    <d v="1961-06-13T00:00:00"/>
    <s v="Massachusetts"/>
    <s v="MA"/>
    <s v="Female"/>
    <s v="Single"/>
    <s v="Production Technician I"/>
    <s v="Active"/>
    <s v="Full-Time"/>
    <s v="Zone C"/>
    <s v="Production       "/>
    <s v="Catv"/>
    <s v="Hispanic"/>
    <s v="Fully Meets"/>
    <n v="5"/>
  </r>
  <r>
    <x v="1945"/>
    <x v="1"/>
    <x v="463"/>
    <s v="58-67"/>
    <n v="61"/>
    <d v="1958-03-06T00:00:00"/>
    <s v="Massachusetts"/>
    <s v="MA"/>
    <s v="Male"/>
    <s v="Single"/>
    <s v="Production Technician I"/>
    <s v="Terminated"/>
    <s v="Contract"/>
    <s v="Zone B"/>
    <s v="Production       "/>
    <s v="Billable Consultants"/>
    <s v="White"/>
    <s v="Fully Meets"/>
    <n v="2"/>
  </r>
  <r>
    <x v="1946"/>
    <x v="3"/>
    <x v="936"/>
    <s v="58-67"/>
    <n v="61"/>
    <d v="1960-04-14T00:00:00"/>
    <s v="Massachusetts"/>
    <s v="MA"/>
    <s v="Male"/>
    <s v="Widowed"/>
    <s v="Production Technician I"/>
    <s v="Active"/>
    <s v="Contract"/>
    <s v="Zone B"/>
    <s v="Production       "/>
    <s v="General - Con"/>
    <s v="Black"/>
    <s v="Fully Meets"/>
    <n v="1"/>
  </r>
  <r>
    <x v="1947"/>
    <x v="5"/>
    <x v="858"/>
    <s v="58-67"/>
    <n v="61"/>
    <d v="1962-08-23T00:00:00"/>
    <s v="Massachusetts"/>
    <s v="MA"/>
    <s v="Female"/>
    <s v="Divorced"/>
    <s v="Production Technician I"/>
    <s v="Active"/>
    <s v="Contract"/>
    <s v="Zone A"/>
    <s v="Production       "/>
    <s v="Field Operations"/>
    <s v="Other"/>
    <s v="Fully Meets"/>
    <n v="2"/>
  </r>
  <r>
    <x v="1948"/>
    <x v="3"/>
    <x v="175"/>
    <s v="58-67"/>
    <n v="61"/>
    <d v="1960-01-13T00:00:00"/>
    <s v="Massachusetts"/>
    <s v="MA"/>
    <s v="Male"/>
    <s v="Single"/>
    <s v="Production Technician I"/>
    <s v="Active"/>
    <s v="Part-Time"/>
    <s v="Zone B"/>
    <s v="Production       "/>
    <s v="Field Operations"/>
    <s v="Hispanic"/>
    <s v="Fully Meets"/>
    <n v="3"/>
  </r>
  <r>
    <x v="1949"/>
    <x v="2"/>
    <x v="104"/>
    <s v="58-67"/>
    <n v="61"/>
    <d v="1959-06-14T00:00:00"/>
    <s v="Massachusetts"/>
    <s v="MA"/>
    <s v="Male"/>
    <s v="Married"/>
    <s v="Production Technician I"/>
    <s v="Active"/>
    <s v="Full-Time"/>
    <s v="Zone A"/>
    <s v="Production       "/>
    <s v="General - Con"/>
    <s v="Other"/>
    <s v="Fully Meets"/>
    <n v="2"/>
  </r>
  <r>
    <x v="1950"/>
    <x v="0"/>
    <x v="441"/>
    <s v="58-67"/>
    <n v="61"/>
    <d v="1957-08-08T00:00:00"/>
    <s v="Massachusetts"/>
    <s v="MA"/>
    <s v="Female"/>
    <s v="Divorced"/>
    <s v="Production Technician I"/>
    <s v="Active"/>
    <s v="Full-Time"/>
    <s v="Zone B"/>
    <s v="Production       "/>
    <s v="Aerial"/>
    <s v="Asian"/>
    <s v="Exceeds"/>
    <n v="2"/>
  </r>
  <r>
    <x v="1951"/>
    <x v="2"/>
    <x v="857"/>
    <s v="58-67"/>
    <n v="61"/>
    <d v="1959-02-11T00:00:00"/>
    <s v="Massachusetts"/>
    <s v="MA"/>
    <s v="Male"/>
    <s v="Single"/>
    <s v="Production Technician I"/>
    <s v="Active"/>
    <s v="Full-Time"/>
    <s v="Zone A"/>
    <s v="Production       "/>
    <s v="Field Operations"/>
    <s v="Hispanic"/>
    <s v="Exceeds"/>
    <n v="4"/>
  </r>
  <r>
    <x v="1952"/>
    <x v="3"/>
    <x v="219"/>
    <s v="58-67"/>
    <n v="61"/>
    <d v="1960-12-06T00:00:00"/>
    <s v="Massachusetts"/>
    <s v="MA"/>
    <s v="Male"/>
    <s v="Divorced"/>
    <s v="Production Technician I"/>
    <s v="Active"/>
    <s v="Contract"/>
    <s v="Zone A"/>
    <s v="Production       "/>
    <s v="Catv"/>
    <s v="Hispanic"/>
    <s v="Fully Meets"/>
    <n v="1"/>
  </r>
  <r>
    <x v="1953"/>
    <x v="5"/>
    <x v="1063"/>
    <s v="58-67"/>
    <n v="61"/>
    <d v="1962-07-07T00:00:00"/>
    <s v="Massachusetts"/>
    <s v="MA"/>
    <s v="Female"/>
    <s v="Married"/>
    <s v="Production Technician I"/>
    <s v="Active"/>
    <s v="Full-Time"/>
    <s v="Zone B"/>
    <s v="Production       "/>
    <s v="Field Operations"/>
    <s v="White"/>
    <s v="Exceeds"/>
    <n v="4"/>
  </r>
  <r>
    <x v="1954"/>
    <x v="1"/>
    <x v="1199"/>
    <s v="58-67"/>
    <n v="61"/>
    <d v="1958-09-16T00:00:00"/>
    <s v="Massachusetts"/>
    <s v="MA"/>
    <s v="Female"/>
    <s v="Widowed"/>
    <s v="Production Technician I"/>
    <s v="Active"/>
    <s v="Part-Time"/>
    <s v="Zone A"/>
    <s v="Production       "/>
    <s v="Aerial"/>
    <s v="White"/>
    <s v="Exceeds"/>
    <n v="1"/>
  </r>
  <r>
    <x v="1955"/>
    <x v="3"/>
    <x v="918"/>
    <s v="58-67"/>
    <n v="61"/>
    <d v="1960-11-25T00:00:00"/>
    <s v="Massachusetts"/>
    <s v="MA"/>
    <s v="Male"/>
    <s v="Widowed"/>
    <s v="Production Technician I"/>
    <s v="Active"/>
    <s v="Contract"/>
    <s v="Zone A"/>
    <s v="Production       "/>
    <s v="Finance &amp; Accounting"/>
    <s v="Black"/>
    <s v="Fully Meets"/>
    <n v="4"/>
  </r>
  <r>
    <x v="1956"/>
    <x v="1"/>
    <x v="909"/>
    <s v="58-67"/>
    <n v="61"/>
    <d v="1958-05-22T00:00:00"/>
    <s v="Massachusetts"/>
    <s v="MA"/>
    <s v="Male"/>
    <s v="Single"/>
    <s v="Production Technician I"/>
    <s v="Active"/>
    <s v="Part-Time"/>
    <s v="Zone B"/>
    <s v="Production       "/>
    <s v="Splicing"/>
    <s v="White"/>
    <s v="Fully Meets"/>
    <n v="3"/>
  </r>
  <r>
    <x v="1957"/>
    <x v="4"/>
    <x v="409"/>
    <s v="58-67"/>
    <n v="61"/>
    <d v="1961-03-25T00:00:00"/>
    <s v="Massachusetts"/>
    <s v="MA"/>
    <s v="Male"/>
    <s v="Widowed"/>
    <s v="Production Technician I"/>
    <s v="Active"/>
    <s v="Part-Time"/>
    <s v="Zone A"/>
    <s v="Production       "/>
    <s v="Splicing"/>
    <s v="Black"/>
    <s v="Fully Meets"/>
    <n v="4"/>
  </r>
  <r>
    <x v="1958"/>
    <x v="0"/>
    <x v="431"/>
    <s v="58-67"/>
    <n v="61"/>
    <d v="1957-05-08T00:00:00"/>
    <s v="Massachusetts"/>
    <s v="MA"/>
    <s v="Female"/>
    <s v="Married"/>
    <s v="Production Technician I"/>
    <s v="Active"/>
    <s v="Contract"/>
    <s v="Zone A"/>
    <s v="Production       "/>
    <s v="Field Operations"/>
    <s v="Hispanic"/>
    <s v="Fully Meets"/>
    <n v="4"/>
  </r>
  <r>
    <x v="1959"/>
    <x v="4"/>
    <x v="1214"/>
    <s v="58-67"/>
    <n v="61"/>
    <d v="1961-10-15T00:00:00"/>
    <s v="Massachusetts"/>
    <s v="MA"/>
    <s v="Female"/>
    <s v="Single"/>
    <s v="Production Technician I"/>
    <s v="Active"/>
    <s v="Full-Time"/>
    <s v="Zone A"/>
    <s v="Production       "/>
    <s v="Shop (Fleet)"/>
    <s v="Hispanic"/>
    <s v="Exceeds"/>
    <n v="5"/>
  </r>
  <r>
    <x v="1960"/>
    <x v="0"/>
    <x v="1215"/>
    <s v="58-67"/>
    <n v="61"/>
    <d v="1957-06-18T00:00:00"/>
    <s v="Massachusetts"/>
    <s v="MA"/>
    <s v="Female"/>
    <s v="Married"/>
    <s v="Production Technician I"/>
    <s v="Active"/>
    <s v="Full-Time"/>
    <s v="Zone B"/>
    <s v="Production       "/>
    <s v="Project Management - Con"/>
    <s v="Asian"/>
    <s v="Fully Meets"/>
    <n v="2"/>
  </r>
  <r>
    <x v="1961"/>
    <x v="3"/>
    <x v="1216"/>
    <s v="58-67"/>
    <n v="61"/>
    <d v="1960-06-14T00:00:00"/>
    <s v="Massachusetts"/>
    <s v="MA"/>
    <s v="Male"/>
    <s v="Single"/>
    <s v="Production Manager"/>
    <s v="Active"/>
    <s v="Contract"/>
    <s v="Zone B"/>
    <s v="Production       "/>
    <s v="Executive"/>
    <s v="White"/>
    <s v="Fully Meets"/>
    <n v="2"/>
  </r>
  <r>
    <x v="1962"/>
    <x v="2"/>
    <x v="1217"/>
    <s v="58-67"/>
    <n v="61"/>
    <d v="1959-07-29T00:00:00"/>
    <s v="Massachusetts"/>
    <s v="MA"/>
    <s v="Female"/>
    <s v="Widowed"/>
    <s v="Production Manager"/>
    <s v="Active"/>
    <s v="Contract"/>
    <s v="Zone C"/>
    <s v="Production       "/>
    <s v="Wireline Construction"/>
    <s v="Hispanic"/>
    <s v="Fully Meets"/>
    <n v="2"/>
  </r>
  <r>
    <x v="1963"/>
    <x v="4"/>
    <x v="657"/>
    <s v="58-67"/>
    <n v="61"/>
    <d v="1961-03-20T00:00:00"/>
    <s v="Massachusetts"/>
    <s v="MA"/>
    <s v="Female"/>
    <s v="Single"/>
    <s v="Production Manager"/>
    <s v="Active"/>
    <s v="Contract"/>
    <s v="Zone B"/>
    <s v="Production       "/>
    <s v="General - Con"/>
    <s v="White"/>
    <s v="Fully Meets"/>
    <n v="4"/>
  </r>
  <r>
    <x v="1964"/>
    <x v="3"/>
    <x v="366"/>
    <s v="58-67"/>
    <n v="61"/>
    <d v="1960-06-26T00:00:00"/>
    <s v="Massachusetts"/>
    <s v="MA"/>
    <s v="Male"/>
    <s v="Widowed"/>
    <s v="Network Engineer"/>
    <s v="Active"/>
    <s v="Part-Time"/>
    <s v="Zone A"/>
    <s v="IT/IS"/>
    <s v="Engineers"/>
    <s v="Black"/>
    <s v="Fully Meets"/>
    <n v="1"/>
  </r>
  <r>
    <x v="1965"/>
    <x v="2"/>
    <x v="1218"/>
    <s v="58-67"/>
    <n v="61"/>
    <d v="1959-11-09T00:00:00"/>
    <s v="Massachusetts"/>
    <s v="MA"/>
    <s v="Male"/>
    <s v="Divorced"/>
    <s v="Network Engineer"/>
    <s v="Active"/>
    <s v="Contract"/>
    <s v="Zone A"/>
    <s v="Executive Office"/>
    <s v="Field Operations"/>
    <s v="Other"/>
    <s v="Fully Meets"/>
    <n v="1"/>
  </r>
  <r>
    <x v="1966"/>
    <x v="4"/>
    <x v="325"/>
    <s v="58-67"/>
    <n v="61"/>
    <d v="1961-03-24T00:00:00"/>
    <s v="Massachusetts"/>
    <s v="MA"/>
    <s v="Female"/>
    <s v="Divorced"/>
    <s v="IT Support"/>
    <s v="Active"/>
    <s v="Part-Time"/>
    <s v="Zone A"/>
    <s v="IT/IS"/>
    <s v="General - Eng"/>
    <s v="Hispanic"/>
    <s v="Fully Meets"/>
    <n v="2"/>
  </r>
  <r>
    <x v="1967"/>
    <x v="4"/>
    <x v="1219"/>
    <s v="58-67"/>
    <n v="61"/>
    <d v="1961-09-03T00:00:00"/>
    <s v="Massachusetts"/>
    <s v="MA"/>
    <s v="Female"/>
    <s v="Married"/>
    <s v="IT Support"/>
    <s v="Active"/>
    <s v="Contract"/>
    <s v="Zone B"/>
    <s v="IT/IS"/>
    <s v="General - Eng"/>
    <s v="Asian"/>
    <s v="Exceeds"/>
    <n v="3"/>
  </r>
  <r>
    <x v="1968"/>
    <x v="5"/>
    <x v="1220"/>
    <s v="58-67"/>
    <n v="61"/>
    <d v="1962-12-11T00:00:00"/>
    <s v="Massachusetts"/>
    <s v="MA"/>
    <s v="Male"/>
    <s v="Divorced"/>
    <s v="IT Manager - DB"/>
    <s v="Active"/>
    <s v="Full-Time"/>
    <s v="Zone C"/>
    <s v="IT/IS"/>
    <s v="Catv"/>
    <s v="Asian"/>
    <s v="Fully Meets"/>
    <n v="3"/>
  </r>
  <r>
    <x v="1969"/>
    <x v="4"/>
    <x v="1070"/>
    <s v="58-67"/>
    <n v="61"/>
    <d v="1961-12-28T00:00:00"/>
    <s v="Massachusetts"/>
    <s v="MA"/>
    <s v="Male"/>
    <s v="Married"/>
    <s v="Data Analyst"/>
    <s v="Active"/>
    <s v="Part-Time"/>
    <s v="Zone A"/>
    <s v="IT/IS"/>
    <s v="General - Eng"/>
    <s v="Black"/>
    <s v="Fully Meets"/>
    <n v="3"/>
  </r>
  <r>
    <x v="1970"/>
    <x v="2"/>
    <x v="458"/>
    <s v="58-67"/>
    <n v="61"/>
    <d v="1959-03-03T00:00:00"/>
    <s v="Massachusetts"/>
    <s v="MA"/>
    <s v="Female"/>
    <s v="Widowed"/>
    <s v="Data Analyst"/>
    <s v="Active"/>
    <s v="Full-Time"/>
    <s v="Zone C"/>
    <s v="Production       "/>
    <s v="General - Con"/>
    <s v="White"/>
    <s v="Fully Meets"/>
    <n v="5"/>
  </r>
  <r>
    <x v="1971"/>
    <x v="4"/>
    <x v="1221"/>
    <s v="58-67"/>
    <n v="61"/>
    <d v="1961-01-30T00:00:00"/>
    <s v="Massachusetts"/>
    <s v="MA"/>
    <s v="Female"/>
    <s v="Widowed"/>
    <s v="BI Developer"/>
    <s v="Terminated"/>
    <s v="Full-Time"/>
    <s v="Zone C"/>
    <s v="IT/IS"/>
    <s v="Aerial"/>
    <s v="Asian"/>
    <s v="Fully Meets"/>
    <n v="2"/>
  </r>
  <r>
    <x v="1972"/>
    <x v="0"/>
    <x v="250"/>
    <s v="58-67"/>
    <n v="61"/>
    <d v="1957-01-07T00:00:00"/>
    <s v="Massachusetts"/>
    <s v="MA"/>
    <s v="Male"/>
    <s v="Married"/>
    <s v="Area Sales Manager"/>
    <s v="Active"/>
    <s v="Part-Time"/>
    <s v="Zone B"/>
    <s v="IT/IS"/>
    <s v="Field Operations"/>
    <s v="Hispanic"/>
    <s v="Fully Meets"/>
    <n v="4"/>
  </r>
  <r>
    <x v="1973"/>
    <x v="0"/>
    <x v="1222"/>
    <s v="58-67"/>
    <n v="61"/>
    <d v="1957-10-10T00:00:00"/>
    <s v="Kentucky"/>
    <s v="KY"/>
    <s v="Female"/>
    <s v="Married"/>
    <s v="Area Sales Manager"/>
    <s v="Active"/>
    <s v="Full-Time"/>
    <s v="Zone C"/>
    <s v="Sales"/>
    <s v="Wireline Construction"/>
    <s v="Hispanic"/>
    <s v="Fully Meets"/>
    <n v="4"/>
  </r>
  <r>
    <x v="1974"/>
    <x v="1"/>
    <x v="537"/>
    <s v="58-67"/>
    <n v="61"/>
    <d v="1958-10-14T00:00:00"/>
    <s v="Indiana"/>
    <s v="IN"/>
    <s v="Male"/>
    <s v="Widowed"/>
    <s v="Area Sales Manager"/>
    <s v="Active"/>
    <s v="Part-Time"/>
    <s v="Zone C"/>
    <s v="Sales"/>
    <s v="People Services"/>
    <s v="Asian"/>
    <s v="Fully Meets"/>
    <n v="1"/>
  </r>
  <r>
    <x v="1975"/>
    <x v="3"/>
    <x v="390"/>
    <s v="58-67"/>
    <n v="61"/>
    <d v="1960-10-24T00:00:00"/>
    <s v="Idaho"/>
    <s v="ID"/>
    <s v="Male"/>
    <s v="Married"/>
    <s v="Area Sales Manager"/>
    <s v="Active"/>
    <s v="Full-Time"/>
    <s v="Zone A"/>
    <s v="Sales"/>
    <s v="Underground"/>
    <s v="Other"/>
    <s v="Fully Meets"/>
    <n v="2"/>
  </r>
  <r>
    <x v="1976"/>
    <x v="0"/>
    <x v="256"/>
    <s v="58-67"/>
    <n v="61"/>
    <d v="1957-02-10T00:00:00"/>
    <s v="Arizona"/>
    <s v="AZ"/>
    <s v="Male"/>
    <s v="Single"/>
    <s v="Area Sales Manager"/>
    <s v="Active"/>
    <s v="Part-Time"/>
    <s v="Zone B"/>
    <s v="Sales"/>
    <s v="Aerial"/>
    <s v="Hispanic"/>
    <s v="Fully Meets"/>
    <n v="4"/>
  </r>
  <r>
    <x v="1977"/>
    <x v="1"/>
    <x v="1176"/>
    <s v="58-67"/>
    <n v="61"/>
    <d v="1958-12-08T00:00:00"/>
    <s v="Massachusetts"/>
    <s v="MA"/>
    <s v="Female"/>
    <s v="Single"/>
    <s v="Administrative Assistant"/>
    <s v="Active"/>
    <s v="Full-Time"/>
    <s v="Zone B"/>
    <s v="Sales"/>
    <s v="Field Operations"/>
    <s v="Other"/>
    <s v="Exceeds"/>
    <n v="3"/>
  </r>
  <r>
    <x v="1978"/>
    <x v="1"/>
    <x v="1223"/>
    <s v="58-67"/>
    <n v="61"/>
    <d v="1958-05-31T00:00:00"/>
    <s v="Massachusetts"/>
    <s v="MA"/>
    <s v="Female"/>
    <s v="Married"/>
    <s v="Accountant I"/>
    <s v="Active"/>
    <s v="Contract"/>
    <s v="Zone B"/>
    <s v="Admin Offices"/>
    <s v="Shop (Fleet)"/>
    <s v="White"/>
    <s v="Fully Meets"/>
    <n v="2"/>
  </r>
  <r>
    <x v="1979"/>
    <x v="1"/>
    <x v="820"/>
    <s v="58-67"/>
    <n v="62"/>
    <d v="1957-12-04T00:00:00"/>
    <s v="Massachusetts"/>
    <s v="MA"/>
    <s v="Male"/>
    <s v="Married"/>
    <s v="Software Engineer"/>
    <s v="Active"/>
    <s v="Full-Time"/>
    <s v="Zone C"/>
    <s v="Software Engineering"/>
    <s v="General - Con"/>
    <s v="White"/>
    <s v="Fully Meets"/>
    <n v="2"/>
  </r>
  <r>
    <x v="1980"/>
    <x v="3"/>
    <x v="1224"/>
    <s v="58-67"/>
    <n v="62"/>
    <d v="1959-02-19T00:00:00"/>
    <s v="Massachusetts"/>
    <s v="MA"/>
    <s v="Female"/>
    <s v="Widowed"/>
    <s v="Software Engineer"/>
    <s v="Active"/>
    <s v="Full-Time"/>
    <s v="Zone C"/>
    <s v="Software Engineering"/>
    <s v="Engineers"/>
    <s v="White"/>
    <s v="Fully Meets"/>
    <n v="2"/>
  </r>
  <r>
    <x v="1981"/>
    <x v="1"/>
    <x v="157"/>
    <s v="58-67"/>
    <n v="62"/>
    <d v="1957-09-21T00:00:00"/>
    <s v="Massachusetts"/>
    <s v="MA"/>
    <s v="Female"/>
    <s v="Married"/>
    <s v="Software Engineer"/>
    <s v="Active"/>
    <s v="Part-Time"/>
    <s v="Zone A"/>
    <s v="Software Engineering"/>
    <s v="Engineers"/>
    <s v="Black"/>
    <s v="Fully Meets"/>
    <n v="5"/>
  </r>
  <r>
    <x v="1982"/>
    <x v="2"/>
    <x v="1225"/>
    <s v="58-67"/>
    <n v="62"/>
    <d v="1958-01-04T00:00:00"/>
    <s v="Massachusetts"/>
    <s v="MA"/>
    <s v="Female"/>
    <s v="Widowed"/>
    <s v="Production Technician II"/>
    <s v="Active"/>
    <s v="Part-Time"/>
    <s v="Zone A"/>
    <s v="Production       "/>
    <s v="General - Con"/>
    <s v="Asian"/>
    <s v="Fully Meets"/>
    <n v="1"/>
  </r>
  <r>
    <x v="1983"/>
    <x v="3"/>
    <x v="128"/>
    <s v="58-67"/>
    <n v="62"/>
    <d v="1959-06-14T00:00:00"/>
    <s v="Massachusetts"/>
    <s v="MA"/>
    <s v="Female"/>
    <s v="Widowed"/>
    <s v="Production Technician II"/>
    <s v="Active"/>
    <s v="Contract"/>
    <s v="Zone C"/>
    <s v="Production       "/>
    <s v="Finance &amp; Accounting"/>
    <s v="Asian"/>
    <s v="Fully Meets"/>
    <n v="1"/>
  </r>
  <r>
    <x v="1984"/>
    <x v="2"/>
    <x v="1226"/>
    <s v="58-67"/>
    <n v="62"/>
    <d v="1958-02-20T00:00:00"/>
    <s v="Massachusetts"/>
    <s v="MA"/>
    <s v="Male"/>
    <s v="Single"/>
    <s v="Production Technician II"/>
    <s v="Terminated"/>
    <s v="Full-Time"/>
    <s v="Zone C"/>
    <s v="Production       "/>
    <s v="Field Operations"/>
    <s v="White"/>
    <s v="Needs Improvement"/>
    <n v="1"/>
  </r>
  <r>
    <x v="1985"/>
    <x v="4"/>
    <x v="424"/>
    <s v="58-67"/>
    <n v="62"/>
    <d v="1960-02-04T00:00:00"/>
    <s v="Massachusetts"/>
    <s v="MA"/>
    <s v="Male"/>
    <s v="Single"/>
    <s v="Production Technician I"/>
    <s v="Active"/>
    <s v="Full-Time"/>
    <s v="Zone A"/>
    <s v="Production       "/>
    <s v="Field Operations"/>
    <s v="Hispanic"/>
    <s v="Fully Meets"/>
    <n v="5"/>
  </r>
  <r>
    <x v="1986"/>
    <x v="5"/>
    <x v="403"/>
    <s v="58-67"/>
    <n v="62"/>
    <d v="1961-02-18T00:00:00"/>
    <s v="Massachusetts"/>
    <s v="MA"/>
    <s v="Female"/>
    <s v="Married"/>
    <s v="Production Technician I"/>
    <s v="Active"/>
    <s v="Full-Time"/>
    <s v="Zone C"/>
    <s v="Production       "/>
    <s v="Wireline Construction"/>
    <s v="Hispanic"/>
    <s v="Fully Meets"/>
    <n v="3"/>
  </r>
  <r>
    <x v="1987"/>
    <x v="1"/>
    <x v="1227"/>
    <s v="58-67"/>
    <n v="62"/>
    <d v="1957-05-30T00:00:00"/>
    <s v="Massachusetts"/>
    <s v="MA"/>
    <s v="Male"/>
    <s v="Married"/>
    <s v="Production Technician I"/>
    <s v="Active"/>
    <s v="Full-Time"/>
    <s v="Zone A"/>
    <s v="Production       "/>
    <s v="Field Operations"/>
    <s v="Hispanic"/>
    <s v="Exceeds"/>
    <n v="4"/>
  </r>
  <r>
    <x v="1988"/>
    <x v="1"/>
    <x v="1228"/>
    <s v="58-67"/>
    <n v="62"/>
    <d v="1957-05-30T00:00:00"/>
    <s v="Massachusetts"/>
    <s v="MA"/>
    <s v="Male"/>
    <s v="Widowed"/>
    <s v="Production Technician I"/>
    <s v="Active"/>
    <s v="Part-Time"/>
    <s v="Zone C"/>
    <s v="Production       "/>
    <s v="Field Operations"/>
    <s v="White"/>
    <s v="Fully Meets"/>
    <n v="4"/>
  </r>
  <r>
    <x v="1989"/>
    <x v="5"/>
    <x v="439"/>
    <s v="58-67"/>
    <n v="62"/>
    <d v="1961-05-06T00:00:00"/>
    <s v="Massachusetts"/>
    <s v="MA"/>
    <s v="Male"/>
    <s v="Widowed"/>
    <s v="Production Technician I"/>
    <s v="Active"/>
    <s v="Contract"/>
    <s v="Zone C"/>
    <s v="Production       "/>
    <s v="Yard (Material Handling)"/>
    <s v="Other"/>
    <s v="Fully Meets"/>
    <n v="4"/>
  </r>
  <r>
    <x v="1990"/>
    <x v="3"/>
    <x v="267"/>
    <s v="58-67"/>
    <n v="62"/>
    <d v="1959-04-25T00:00:00"/>
    <s v="Massachusetts"/>
    <s v="MA"/>
    <s v="Male"/>
    <s v="Widowed"/>
    <s v="Production Technician I"/>
    <s v="Active"/>
    <s v="Part-Time"/>
    <s v="Zone B"/>
    <s v="Production       "/>
    <s v="General - Con"/>
    <s v="Black"/>
    <s v="Fully Meets"/>
    <n v="3"/>
  </r>
  <r>
    <x v="1991"/>
    <x v="5"/>
    <x v="758"/>
    <s v="58-67"/>
    <n v="62"/>
    <d v="1961-03-09T00:00:00"/>
    <s v="Massachusetts"/>
    <s v="MA"/>
    <s v="Female"/>
    <s v="Single"/>
    <s v="Production Technician I"/>
    <s v="Active"/>
    <s v="Full-Time"/>
    <s v="Zone B"/>
    <s v="Production       "/>
    <s v="General - Con"/>
    <s v="Asian"/>
    <s v="Fully Meets"/>
    <n v="4"/>
  </r>
  <r>
    <x v="1992"/>
    <x v="5"/>
    <x v="1101"/>
    <s v="58-67"/>
    <n v="62"/>
    <d v="1961-06-24T00:00:00"/>
    <s v="Massachusetts"/>
    <s v="MA"/>
    <s v="Female"/>
    <s v="Widowed"/>
    <s v="Production Technician I"/>
    <s v="Active"/>
    <s v="Contract"/>
    <s v="Zone B"/>
    <s v="Production       "/>
    <s v="Fielders"/>
    <s v="White"/>
    <s v="Exceeds"/>
    <n v="1"/>
  </r>
  <r>
    <x v="1993"/>
    <x v="4"/>
    <x v="593"/>
    <s v="58-67"/>
    <n v="62"/>
    <d v="1960-07-13T00:00:00"/>
    <s v="Massachusetts"/>
    <s v="MA"/>
    <s v="Male"/>
    <s v="Married"/>
    <s v="Production Technician I"/>
    <s v="Active"/>
    <s v="Contract"/>
    <s v="Zone B"/>
    <s v="Production       "/>
    <s v="Project Management - Con"/>
    <s v="Asian"/>
    <s v="Fully Meets"/>
    <n v="3"/>
  </r>
  <r>
    <x v="1994"/>
    <x v="1"/>
    <x v="1041"/>
    <s v="58-67"/>
    <n v="62"/>
    <d v="1957-09-09T00:00:00"/>
    <s v="Massachusetts"/>
    <s v="MA"/>
    <s v="Female"/>
    <s v="Divorced"/>
    <s v="Production Technician I"/>
    <s v="Active"/>
    <s v="Part-Time"/>
    <s v="Zone A"/>
    <s v="Production       "/>
    <s v="General - Con"/>
    <s v="Hispanic"/>
    <s v="Fully Meets"/>
    <n v="3"/>
  </r>
  <r>
    <x v="1995"/>
    <x v="1"/>
    <x v="685"/>
    <s v="58-67"/>
    <n v="62"/>
    <d v="1957-03-19T00:00:00"/>
    <s v="Massachusetts"/>
    <s v="MA"/>
    <s v="Male"/>
    <s v="Widowed"/>
    <s v="Production Technician I"/>
    <s v="Active"/>
    <s v="Full-Time"/>
    <s v="Zone B"/>
    <s v="Production       "/>
    <s v="Field Operations"/>
    <s v="Other"/>
    <s v="Fully Meets"/>
    <n v="3"/>
  </r>
  <r>
    <x v="1996"/>
    <x v="5"/>
    <x v="1229"/>
    <s v="58-67"/>
    <n v="62"/>
    <d v="1961-10-31T00:00:00"/>
    <s v="Massachusetts"/>
    <s v="MA"/>
    <s v="Male"/>
    <s v="Married"/>
    <s v="Production Technician I"/>
    <s v="Active"/>
    <s v="Part-Time"/>
    <s v="Zone C"/>
    <s v="Production       "/>
    <s v="General - Con"/>
    <s v="Black"/>
    <s v="Fully Meets"/>
    <n v="1"/>
  </r>
  <r>
    <x v="1997"/>
    <x v="4"/>
    <x v="557"/>
    <s v="58-67"/>
    <n v="62"/>
    <d v="1960-11-03T00:00:00"/>
    <s v="Massachusetts"/>
    <s v="MA"/>
    <s v="Female"/>
    <s v="Married"/>
    <s v="Production Technician I"/>
    <s v="Active"/>
    <s v="Contract"/>
    <s v="Zone B"/>
    <s v="Production       "/>
    <s v="Catv"/>
    <s v="Other"/>
    <s v="Fully Meets"/>
    <n v="1"/>
  </r>
  <r>
    <x v="1998"/>
    <x v="2"/>
    <x v="1230"/>
    <s v="58-67"/>
    <n v="62"/>
    <d v="1958-02-11T00:00:00"/>
    <s v="Massachusetts"/>
    <s v="MA"/>
    <s v="Male"/>
    <s v="Divorced"/>
    <s v="Production Technician I"/>
    <s v="Active"/>
    <s v="Full-Time"/>
    <s v="Zone A"/>
    <s v="Production       "/>
    <s v="General - Con"/>
    <s v="Asian"/>
    <s v="Fully Meets"/>
    <n v="1"/>
  </r>
  <r>
    <x v="1999"/>
    <x v="4"/>
    <x v="374"/>
    <s v="58-67"/>
    <n v="62"/>
    <d v="1960-05-28T00:00:00"/>
    <s v="Massachusetts"/>
    <s v="MA"/>
    <s v="Female"/>
    <s v="Divorced"/>
    <s v="Production Technician I"/>
    <s v="Active"/>
    <s v="Part-Time"/>
    <s v="Zone B"/>
    <s v="Production       "/>
    <s v="Project Management - Con"/>
    <s v="Hispanic"/>
    <s v="PIP"/>
    <n v="4"/>
  </r>
  <r>
    <x v="2000"/>
    <x v="5"/>
    <x v="692"/>
    <s v="58-67"/>
    <n v="62"/>
    <d v="1961-05-04T00:00:00"/>
    <s v="Massachusetts"/>
    <s v="MA"/>
    <s v="Female"/>
    <s v="Married"/>
    <s v="Production Technician I"/>
    <s v="Active"/>
    <s v="Full-Time"/>
    <s v="Zone A"/>
    <s v="Production       "/>
    <s v="Project Management - Con"/>
    <s v="Other"/>
    <s v="Fully Meets"/>
    <n v="3"/>
  </r>
  <r>
    <x v="2001"/>
    <x v="1"/>
    <x v="622"/>
    <s v="58-67"/>
    <n v="62"/>
    <d v="1957-07-15T00:00:00"/>
    <s v="Massachusetts"/>
    <s v="MA"/>
    <s v="Female"/>
    <s v="Married"/>
    <s v="Production Technician I"/>
    <s v="Active"/>
    <s v="Contract"/>
    <s v="Zone B"/>
    <s v="Production       "/>
    <s v="Field Operations"/>
    <s v="Asian"/>
    <s v="Fully Meets"/>
    <n v="5"/>
  </r>
  <r>
    <x v="2002"/>
    <x v="4"/>
    <x v="771"/>
    <s v="58-67"/>
    <n v="62"/>
    <d v="1960-09-23T00:00:00"/>
    <s v="Massachusetts"/>
    <s v="MA"/>
    <s v="Male"/>
    <s v="Widowed"/>
    <s v="Production Technician I"/>
    <s v="Active"/>
    <s v="Full-Time"/>
    <s v="Zone C"/>
    <s v="Production       "/>
    <s v="Field Operations"/>
    <s v="Asian"/>
    <s v="Fully Meets"/>
    <n v="4"/>
  </r>
  <r>
    <x v="2003"/>
    <x v="4"/>
    <x v="1231"/>
    <s v="58-67"/>
    <n v="62"/>
    <d v="1960-11-26T00:00:00"/>
    <s v="Massachusetts"/>
    <s v="MA"/>
    <s v="Female"/>
    <s v="Widowed"/>
    <s v="Production Technician I"/>
    <s v="Active"/>
    <s v="Contract"/>
    <s v="Zone C"/>
    <s v="Production       "/>
    <s v="Field Operations"/>
    <s v="Black"/>
    <s v="Fully Meets"/>
    <n v="4"/>
  </r>
  <r>
    <x v="2004"/>
    <x v="4"/>
    <x v="883"/>
    <s v="58-67"/>
    <n v="62"/>
    <d v="1960-10-04T00:00:00"/>
    <s v="Massachusetts"/>
    <s v="MA"/>
    <s v="Female"/>
    <s v="Single"/>
    <s v="Production Technician I"/>
    <s v="Active"/>
    <s v="Part-Time"/>
    <s v="Zone C"/>
    <s v="Production       "/>
    <s v="Field Operations"/>
    <s v="Other"/>
    <s v="Fully Meets"/>
    <n v="1"/>
  </r>
  <r>
    <x v="2005"/>
    <x v="4"/>
    <x v="336"/>
    <s v="58-67"/>
    <n v="62"/>
    <d v="1960-01-24T00:00:00"/>
    <s v="Massachusetts"/>
    <s v="MA"/>
    <s v="Female"/>
    <s v="Single"/>
    <s v="Production Technician I"/>
    <s v="Active"/>
    <s v="Full-Time"/>
    <s v="Zone C"/>
    <s v="Production       "/>
    <s v="General - Sga"/>
    <s v="Other"/>
    <s v="Fully Meets"/>
    <n v="1"/>
  </r>
  <r>
    <x v="2006"/>
    <x v="2"/>
    <x v="1232"/>
    <s v="58-67"/>
    <n v="62"/>
    <d v="1958-06-22T00:00:00"/>
    <s v="Massachusetts"/>
    <s v="MA"/>
    <s v="Female"/>
    <s v="Single"/>
    <s v="Production Technician I"/>
    <s v="Active"/>
    <s v="Part-Time"/>
    <s v="Zone A"/>
    <s v="Production       "/>
    <s v="Technology / It"/>
    <s v="Other"/>
    <s v="Exceeds"/>
    <n v="1"/>
  </r>
  <r>
    <x v="2007"/>
    <x v="1"/>
    <x v="32"/>
    <s v="58-67"/>
    <n v="62"/>
    <d v="1957-10-01T00:00:00"/>
    <s v="Massachusetts"/>
    <s v="MA"/>
    <s v="Female"/>
    <s v="Married"/>
    <s v="Production Technician I"/>
    <s v="Active"/>
    <s v="Part-Time"/>
    <s v="Zone C"/>
    <s v="Production       "/>
    <s v="General - Sga"/>
    <s v="Asian"/>
    <s v="Exceeds"/>
    <n v="5"/>
  </r>
  <r>
    <x v="2008"/>
    <x v="5"/>
    <x v="253"/>
    <s v="58-67"/>
    <n v="62"/>
    <d v="1961-12-26T00:00:00"/>
    <s v="Massachusetts"/>
    <s v="MA"/>
    <s v="Female"/>
    <s v="Single"/>
    <s v="Production Technician I"/>
    <s v="Active"/>
    <s v="Part-Time"/>
    <s v="Zone A"/>
    <s v="Production       "/>
    <s v="General - Con"/>
    <s v="Other"/>
    <s v="Fully Meets"/>
    <n v="1"/>
  </r>
  <r>
    <x v="2009"/>
    <x v="0"/>
    <x v="1233"/>
    <s v="58-67"/>
    <n v="62"/>
    <d v="1956-02-15T00:00:00"/>
    <s v="Massachusetts"/>
    <s v="MA"/>
    <s v="Female"/>
    <s v="Divorced"/>
    <s v="Production Technician I"/>
    <s v="Active"/>
    <s v="Part-Time"/>
    <s v="Zone C"/>
    <s v="Production       "/>
    <s v="Engineers"/>
    <s v="White"/>
    <s v="Fully Meets"/>
    <n v="4"/>
  </r>
  <r>
    <x v="2010"/>
    <x v="2"/>
    <x v="1234"/>
    <s v="58-67"/>
    <n v="62"/>
    <d v="1958-06-12T00:00:00"/>
    <s v="Massachusetts"/>
    <s v="MA"/>
    <s v="Female"/>
    <s v="Divorced"/>
    <s v="Production Technician I"/>
    <s v="Active"/>
    <s v="Full-Time"/>
    <s v="Zone B"/>
    <s v="Production       "/>
    <s v="Safety"/>
    <s v="Hispanic"/>
    <s v="Fully Meets"/>
    <n v="5"/>
  </r>
  <r>
    <x v="2011"/>
    <x v="3"/>
    <x v="1235"/>
    <s v="58-67"/>
    <n v="62"/>
    <d v="1959-05-07T00:00:00"/>
    <s v="Massachusetts"/>
    <s v="MA"/>
    <s v="Male"/>
    <s v="Single"/>
    <s v="Production Technician I"/>
    <s v="Terminated"/>
    <s v="Contract"/>
    <s v="Zone C"/>
    <s v="Production       "/>
    <s v="Field Operations"/>
    <s v="Other"/>
    <s v="Fully Meets"/>
    <n v="1"/>
  </r>
  <r>
    <x v="2012"/>
    <x v="4"/>
    <x v="1212"/>
    <s v="58-67"/>
    <n v="62"/>
    <d v="1960-12-27T00:00:00"/>
    <s v="Massachusetts"/>
    <s v="MA"/>
    <s v="Female"/>
    <s v="Married"/>
    <s v="Production Technician I"/>
    <s v="Active"/>
    <s v="Contract"/>
    <s v="Zone A"/>
    <s v="Production       "/>
    <s v="Engineers"/>
    <s v="White"/>
    <s v="Fully Meets"/>
    <n v="2"/>
  </r>
  <r>
    <x v="2013"/>
    <x v="1"/>
    <x v="529"/>
    <s v="58-67"/>
    <n v="62"/>
    <d v="1957-11-15T00:00:00"/>
    <s v="Massachusetts"/>
    <s v="MA"/>
    <s v="Male"/>
    <s v="Married"/>
    <s v="Production Manager"/>
    <s v="Active"/>
    <s v="Part-Time"/>
    <s v="Zone A"/>
    <s v="Production       "/>
    <s v="General - Con"/>
    <s v="Hispanic"/>
    <s v="Fully Meets"/>
    <n v="4"/>
  </r>
  <r>
    <x v="2014"/>
    <x v="2"/>
    <x v="677"/>
    <s v="58-67"/>
    <n v="62"/>
    <d v="1958-03-22T00:00:00"/>
    <s v="Massachusetts"/>
    <s v="MA"/>
    <s v="Female"/>
    <s v="Married"/>
    <s v="Production Manager"/>
    <s v="Active"/>
    <s v="Full-Time"/>
    <s v="Zone C"/>
    <s v="Production       "/>
    <s v="Finance &amp; Accounting"/>
    <s v="Hispanic"/>
    <s v="Fully Meets"/>
    <n v="3"/>
  </r>
  <r>
    <x v="2015"/>
    <x v="4"/>
    <x v="398"/>
    <s v="58-67"/>
    <n v="62"/>
    <d v="1960-07-18T00:00:00"/>
    <s v="Massachusetts"/>
    <s v="MA"/>
    <s v="Female"/>
    <s v="Single"/>
    <s v="Production Manager"/>
    <s v="Terminated"/>
    <s v="Contract"/>
    <s v="Zone C"/>
    <s v="Production       "/>
    <s v="General - Eng"/>
    <s v="Other"/>
    <s v="Fully Meets"/>
    <n v="4"/>
  </r>
  <r>
    <x v="2016"/>
    <x v="3"/>
    <x v="920"/>
    <s v="58-67"/>
    <n v="62"/>
    <d v="1959-07-05T00:00:00"/>
    <s v="Massachusetts"/>
    <s v="MA"/>
    <s v="Female"/>
    <s v="Divorced"/>
    <s v="Production Manager"/>
    <s v="Active"/>
    <s v="Part-Time"/>
    <s v="Zone C"/>
    <s v="Production       "/>
    <s v="Project Management - Con"/>
    <s v="Asian"/>
    <s v="Fully Meets"/>
    <n v="1"/>
  </r>
  <r>
    <x v="2017"/>
    <x v="1"/>
    <x v="413"/>
    <s v="58-67"/>
    <n v="62"/>
    <d v="1957-12-27T00:00:00"/>
    <s v="Massachusetts"/>
    <s v="MA"/>
    <s v="Female"/>
    <s v="Divorced"/>
    <s v="Production Manager"/>
    <s v="Terminated"/>
    <s v="Contract"/>
    <s v="Zone C"/>
    <s v="Production       "/>
    <s v="Field Operations"/>
    <s v="Black"/>
    <s v="Fully Meets"/>
    <n v="5"/>
  </r>
  <r>
    <x v="2018"/>
    <x v="2"/>
    <x v="1236"/>
    <s v="58-67"/>
    <n v="62"/>
    <d v="1958-07-22T00:00:00"/>
    <s v="Massachusetts"/>
    <s v="MA"/>
    <s v="Male"/>
    <s v="Single"/>
    <s v="Network Engineer"/>
    <s v="Active"/>
    <s v="Contract"/>
    <s v="Zone C"/>
    <s v="Executive Office"/>
    <s v="Engineers"/>
    <s v="Other"/>
    <s v="Exceeds"/>
    <n v="5"/>
  </r>
  <r>
    <x v="2019"/>
    <x v="2"/>
    <x v="780"/>
    <s v="58-67"/>
    <n v="62"/>
    <d v="1958-06-08T00:00:00"/>
    <s v="Massachusetts"/>
    <s v="MA"/>
    <s v="Female"/>
    <s v="Widowed"/>
    <s v="Network Engineer"/>
    <s v="Active"/>
    <s v="Full-Time"/>
    <s v="Zone A"/>
    <s v="IT/IS"/>
    <s v="Billable Consultants"/>
    <s v="Black"/>
    <s v="Fully Meets"/>
    <n v="5"/>
  </r>
  <r>
    <x v="2020"/>
    <x v="4"/>
    <x v="583"/>
    <s v="58-67"/>
    <n v="62"/>
    <d v="1960-07-04T00:00:00"/>
    <s v="Massachusetts"/>
    <s v="MA"/>
    <s v="Male"/>
    <s v="Single"/>
    <s v="Network Engineer"/>
    <s v="Active"/>
    <s v="Full-Time"/>
    <s v="Zone C"/>
    <s v="IT/IS"/>
    <s v="Engineers"/>
    <s v="Other"/>
    <s v="Fully Meets"/>
    <n v="2"/>
  </r>
  <r>
    <x v="2021"/>
    <x v="1"/>
    <x v="1237"/>
    <s v="58-67"/>
    <n v="62"/>
    <d v="1957-07-20T00:00:00"/>
    <s v="Massachusetts"/>
    <s v="MA"/>
    <s v="Female"/>
    <s v="Married"/>
    <s v="Database Administrator"/>
    <s v="Active"/>
    <s v="Contract"/>
    <s v="Zone A"/>
    <s v="IT/IS"/>
    <s v="Shop (Fleet)"/>
    <s v="White"/>
    <s v="Fully Meets"/>
    <n v="3"/>
  </r>
  <r>
    <x v="2022"/>
    <x v="4"/>
    <x v="502"/>
    <s v="58-67"/>
    <n v="62"/>
    <d v="1960-09-23T00:00:00"/>
    <s v="Massachusetts"/>
    <s v="MA"/>
    <s v="Female"/>
    <s v="Widowed"/>
    <s v="CIO"/>
    <s v="Active"/>
    <s v="Part-Time"/>
    <s v="Zone C"/>
    <s v="IT/IS"/>
    <s v="Wireline Construction"/>
    <s v="Other"/>
    <s v="Fully Meets"/>
    <n v="4"/>
  </r>
  <r>
    <x v="2023"/>
    <x v="3"/>
    <x v="710"/>
    <s v="58-67"/>
    <n v="62"/>
    <d v="1959-11-26T00:00:00"/>
    <s v="Massachusetts"/>
    <s v="MA"/>
    <s v="Male"/>
    <s v="Widowed"/>
    <s v="BI Developer"/>
    <s v="Active"/>
    <s v="Part-Time"/>
    <s v="Zone B"/>
    <s v="IT/IS"/>
    <s v="General - Con"/>
    <s v="Asian"/>
    <s v="Fully Meets"/>
    <n v="2"/>
  </r>
  <r>
    <x v="2024"/>
    <x v="2"/>
    <x v="794"/>
    <s v="58-67"/>
    <n v="62"/>
    <d v="1958-01-03T00:00:00"/>
    <s v="Texas"/>
    <s v="TX"/>
    <s v="Male"/>
    <s v="Married"/>
    <s v="Area Sales Manager"/>
    <s v="Active"/>
    <s v="Full-Time"/>
    <s v="Zone B"/>
    <s v="Sales"/>
    <s v="Wireline Construction"/>
    <s v="Asian"/>
    <s v="Fully Meets"/>
    <n v="1"/>
  </r>
  <r>
    <x v="2025"/>
    <x v="1"/>
    <x v="1238"/>
    <s v="58-67"/>
    <n v="62"/>
    <d v="1957-09-23T00:00:00"/>
    <s v="Tennessee"/>
    <s v="TN"/>
    <s v="Male"/>
    <s v="Married"/>
    <s v="Area Sales Manager"/>
    <s v="Active"/>
    <s v="Full-Time"/>
    <s v="Zone C"/>
    <s v="Sales"/>
    <s v="Field Operations"/>
    <s v="Hispanic"/>
    <s v="Fully Meets"/>
    <n v="3"/>
  </r>
  <r>
    <x v="2026"/>
    <x v="1"/>
    <x v="26"/>
    <s v="58-67"/>
    <n v="62"/>
    <d v="1957-07-26T00:00:00"/>
    <s v="Massachusetts"/>
    <s v="MA"/>
    <s v="Female"/>
    <s v="Divorced"/>
    <s v="Accountant I"/>
    <s v="Active"/>
    <s v="Full-Time"/>
    <s v="Zone B"/>
    <s v="Admin Offices"/>
    <s v="General - Con"/>
    <s v="Asian"/>
    <s v="Fully Meets"/>
    <n v="1"/>
  </r>
  <r>
    <x v="2027"/>
    <x v="1"/>
    <x v="32"/>
    <s v="58-67"/>
    <n v="63"/>
    <d v="1956-03-12T00:00:00"/>
    <s v="Massachusetts"/>
    <s v="MA"/>
    <s v="Male"/>
    <s v="Married"/>
    <s v="Sr. Network Engineer"/>
    <s v="Active"/>
    <s v="Part-Time"/>
    <s v="Zone C"/>
    <s v="IT/IS"/>
    <s v="Project Management - Con"/>
    <s v="Other"/>
    <s v="Exceeds"/>
    <n v="2"/>
  </r>
  <r>
    <x v="2028"/>
    <x v="1"/>
    <x v="1239"/>
    <s v="58-67"/>
    <n v="63"/>
    <d v="1956-03-31T00:00:00"/>
    <s v="Connecticut"/>
    <s v="CT"/>
    <s v="Female"/>
    <s v="Married"/>
    <s v="Sr. Network Engineer"/>
    <s v="Active"/>
    <s v="Part-Time"/>
    <s v="Zone A"/>
    <s v="IT/IS"/>
    <s v="Aerial"/>
    <s v="Black"/>
    <s v="Fully Meets"/>
    <n v="4"/>
  </r>
  <r>
    <x v="2029"/>
    <x v="1"/>
    <x v="16"/>
    <s v="58-67"/>
    <n v="63"/>
    <d v="1956-07-19T00:00:00"/>
    <s v="Massachusetts"/>
    <s v="MA"/>
    <s v="Male"/>
    <s v="Widowed"/>
    <s v="Software Engineer"/>
    <s v="Active"/>
    <s v="Part-Time"/>
    <s v="Zone A"/>
    <s v="Software Engineering"/>
    <s v="General - Con"/>
    <s v="Asian"/>
    <s v="Fully Meets"/>
    <n v="1"/>
  </r>
  <r>
    <x v="2030"/>
    <x v="2"/>
    <x v="1240"/>
    <s v="58-67"/>
    <n v="63"/>
    <d v="1957-01-27T00:00:00"/>
    <s v="Massachusetts"/>
    <s v="MA"/>
    <s v="Male"/>
    <s v="Single"/>
    <s v="Software Engineer"/>
    <s v="Active"/>
    <s v="Part-Time"/>
    <s v="Zone C"/>
    <s v="Software Engineering"/>
    <s v="Project Management - Con"/>
    <s v="Black"/>
    <s v="Fully Meets"/>
    <n v="5"/>
  </r>
  <r>
    <x v="2031"/>
    <x v="5"/>
    <x v="1241"/>
    <s v="58-67"/>
    <n v="63"/>
    <d v="1960-11-13T00:00:00"/>
    <s v="Massachusetts"/>
    <s v="MA"/>
    <s v="Female"/>
    <s v="Divorced"/>
    <s v="Senior BI Developer"/>
    <s v="Active"/>
    <s v="Full-Time"/>
    <s v="Zone A"/>
    <s v="Admin Offices"/>
    <s v="Field Operations"/>
    <s v="Other"/>
    <s v="Fully Meets"/>
    <n v="1"/>
  </r>
  <r>
    <x v="2032"/>
    <x v="1"/>
    <x v="419"/>
    <s v="58-67"/>
    <n v="63"/>
    <d v="1956-07-22T00:00:00"/>
    <s v="Pennsylvania"/>
    <s v="PA"/>
    <s v="Female"/>
    <s v="Widowed"/>
    <s v="Production Technician II"/>
    <s v="Active"/>
    <s v="Full-Time"/>
    <s v="Zone A"/>
    <s v="Sales"/>
    <s v="Aerial"/>
    <s v="Other"/>
    <s v="Fully Meets"/>
    <n v="5"/>
  </r>
  <r>
    <x v="2033"/>
    <x v="3"/>
    <x v="438"/>
    <s v="58-67"/>
    <n v="63"/>
    <d v="1958-03-12T00:00:00"/>
    <s v="Massachusetts"/>
    <s v="MA"/>
    <s v="Male"/>
    <s v="Married"/>
    <s v="Production Technician II"/>
    <s v="Active"/>
    <s v="Contract"/>
    <s v="Zone B"/>
    <s v="Production       "/>
    <s v="General - Con"/>
    <s v="White"/>
    <s v="Fully Meets"/>
    <n v="4"/>
  </r>
  <r>
    <x v="2034"/>
    <x v="1"/>
    <x v="1242"/>
    <s v="58-67"/>
    <n v="63"/>
    <d v="1956-12-14T00:00:00"/>
    <s v="Massachusetts"/>
    <s v="MA"/>
    <s v="Female"/>
    <s v="Divorced"/>
    <s v="Production Technician II"/>
    <s v="Terminated"/>
    <s v="Part-Time"/>
    <s v="Zone A"/>
    <s v="Production       "/>
    <s v="Catv"/>
    <s v="Black"/>
    <s v="Fully Meets"/>
    <n v="2"/>
  </r>
  <r>
    <x v="2035"/>
    <x v="3"/>
    <x v="1200"/>
    <s v="58-67"/>
    <n v="63"/>
    <d v="1958-08-18T00:00:00"/>
    <s v="Massachusetts"/>
    <s v="MA"/>
    <s v="Male"/>
    <s v="Divorced"/>
    <s v="Production Technician II"/>
    <s v="Active"/>
    <s v="Part-Time"/>
    <s v="Zone C"/>
    <s v="Production       "/>
    <s v="Wireline Construction"/>
    <s v="Asian"/>
    <s v="Fully Meets"/>
    <n v="4"/>
  </r>
  <r>
    <x v="2036"/>
    <x v="3"/>
    <x v="401"/>
    <s v="58-67"/>
    <n v="63"/>
    <d v="1958-10-01T00:00:00"/>
    <s v="Massachusetts"/>
    <s v="MA"/>
    <s v="Female"/>
    <s v="Widowed"/>
    <s v="Production Technician II"/>
    <s v="Active"/>
    <s v="Contract"/>
    <s v="Zone C"/>
    <s v="Production       "/>
    <s v="Field Operations"/>
    <s v="White"/>
    <s v="Fully Meets"/>
    <n v="3"/>
  </r>
  <r>
    <x v="2037"/>
    <x v="2"/>
    <x v="1243"/>
    <s v="58-67"/>
    <n v="63"/>
    <d v="1957-03-18T00:00:00"/>
    <s v="Massachusetts"/>
    <s v="MA"/>
    <s v="Female"/>
    <s v="Single"/>
    <s v="Production Technician II"/>
    <s v="Active"/>
    <s v="Part-Time"/>
    <s v="Zone A"/>
    <s v="Sales"/>
    <s v="Splicing"/>
    <s v="Other"/>
    <s v="Fully Meets"/>
    <n v="4"/>
  </r>
  <r>
    <x v="2038"/>
    <x v="0"/>
    <x v="187"/>
    <s v="58-67"/>
    <n v="63"/>
    <d v="1955-04-03T00:00:00"/>
    <s v="Massachusetts"/>
    <s v="MA"/>
    <s v="Female"/>
    <s v="Divorced"/>
    <s v="Production Technician II"/>
    <s v="Active"/>
    <s v="Full-Time"/>
    <s v="Zone B"/>
    <s v="Production       "/>
    <s v="Field Operations"/>
    <s v="White"/>
    <s v="Exceeds"/>
    <n v="3"/>
  </r>
  <r>
    <x v="2039"/>
    <x v="1"/>
    <x v="1244"/>
    <s v="58-67"/>
    <n v="63"/>
    <d v="1956-05-17T00:00:00"/>
    <s v="Massachusetts"/>
    <s v="MA"/>
    <s v="Female"/>
    <s v="Married"/>
    <s v="Production Technician II"/>
    <s v="Terminated"/>
    <s v="Full-Time"/>
    <s v="Zone B"/>
    <s v="Production       "/>
    <s v="Field Operations"/>
    <s v="Other"/>
    <s v="Fully Meets"/>
    <n v="1"/>
  </r>
  <r>
    <x v="2040"/>
    <x v="3"/>
    <x v="603"/>
    <s v="58-67"/>
    <n v="63"/>
    <d v="1958-11-20T00:00:00"/>
    <s v="Massachusetts"/>
    <s v="MA"/>
    <s v="Female"/>
    <s v="Married"/>
    <s v="Production Technician I"/>
    <s v="Active"/>
    <s v="Full-Time"/>
    <s v="Zone C"/>
    <s v="Production       "/>
    <s v="Field Operations"/>
    <s v="White"/>
    <s v="Needs Improvement"/>
    <n v="1"/>
  </r>
  <r>
    <x v="2041"/>
    <x v="4"/>
    <x v="889"/>
    <s v="58-67"/>
    <n v="63"/>
    <d v="1959-06-11T00:00:00"/>
    <s v="Massachusetts"/>
    <s v="MA"/>
    <s v="Female"/>
    <s v="Divorced"/>
    <s v="Production Technician I"/>
    <s v="Active"/>
    <s v="Part-Time"/>
    <s v="Zone A"/>
    <s v="Production       "/>
    <s v="Wireless"/>
    <s v="Other"/>
    <s v="Fully Meets"/>
    <n v="4"/>
  </r>
  <r>
    <x v="2042"/>
    <x v="1"/>
    <x v="575"/>
    <s v="58-67"/>
    <n v="63"/>
    <d v="1956-12-11T00:00:00"/>
    <s v="Massachusetts"/>
    <s v="MA"/>
    <s v="Female"/>
    <s v="Single"/>
    <s v="Production Technician I"/>
    <s v="Active"/>
    <s v="Part-Time"/>
    <s v="Zone A"/>
    <s v="Production       "/>
    <s v="General - Con"/>
    <s v="Other"/>
    <s v="Fully Meets"/>
    <n v="2"/>
  </r>
  <r>
    <x v="2043"/>
    <x v="4"/>
    <x v="609"/>
    <s v="58-67"/>
    <n v="63"/>
    <d v="1959-02-27T00:00:00"/>
    <s v="Massachusetts"/>
    <s v="MA"/>
    <s v="Male"/>
    <s v="Divorced"/>
    <s v="Production Technician I"/>
    <s v="Active"/>
    <s v="Contract"/>
    <s v="Zone A"/>
    <s v="Production       "/>
    <s v="General - Eng"/>
    <s v="Hispanic"/>
    <s v="Fully Meets"/>
    <n v="4"/>
  </r>
  <r>
    <x v="2044"/>
    <x v="1"/>
    <x v="84"/>
    <s v="58-67"/>
    <n v="63"/>
    <d v="1956-04-12T00:00:00"/>
    <s v="Massachusetts"/>
    <s v="MA"/>
    <s v="Male"/>
    <s v="Divorced"/>
    <s v="Production Technician I"/>
    <s v="Terminated"/>
    <s v="Contract"/>
    <s v="Zone A"/>
    <s v="Production       "/>
    <s v="Field Operations"/>
    <s v="White"/>
    <s v="Fully Meets"/>
    <n v="1"/>
  </r>
  <r>
    <x v="2045"/>
    <x v="2"/>
    <x v="1245"/>
    <s v="58-67"/>
    <n v="63"/>
    <d v="1957-06-28T00:00:00"/>
    <s v="Massachusetts"/>
    <s v="MA"/>
    <s v="Female"/>
    <s v="Widowed"/>
    <s v="Production Technician I"/>
    <s v="Active"/>
    <s v="Full-Time"/>
    <s v="Zone B"/>
    <s v="Production       "/>
    <s v="Technology / It"/>
    <s v="White"/>
    <s v="Fully Meets"/>
    <n v="4"/>
  </r>
  <r>
    <x v="2046"/>
    <x v="3"/>
    <x v="384"/>
    <s v="58-67"/>
    <n v="63"/>
    <d v="1958-06-02T00:00:00"/>
    <s v="Massachusetts"/>
    <s v="MA"/>
    <s v="Female"/>
    <s v="Divorced"/>
    <s v="Production Technician I"/>
    <s v="Active"/>
    <s v="Part-Time"/>
    <s v="Zone B"/>
    <s v="Production       "/>
    <s v="Field Operations"/>
    <s v="Other"/>
    <s v="Fully Meets"/>
    <n v="1"/>
  </r>
  <r>
    <x v="2047"/>
    <x v="4"/>
    <x v="1246"/>
    <s v="58-67"/>
    <n v="63"/>
    <d v="1959-04-10T00:00:00"/>
    <s v="Massachusetts"/>
    <s v="MA"/>
    <s v="Male"/>
    <s v="Married"/>
    <s v="Production Technician I"/>
    <s v="Active"/>
    <s v="Full-Time"/>
    <s v="Zone A"/>
    <s v="Production       "/>
    <s v="Field Operations"/>
    <s v="Other"/>
    <s v="Fully Meets"/>
    <n v="5"/>
  </r>
  <r>
    <x v="2048"/>
    <x v="2"/>
    <x v="1247"/>
    <s v="58-67"/>
    <n v="63"/>
    <d v="1957-07-25T00:00:00"/>
    <s v="Massachusetts"/>
    <s v="MA"/>
    <s v="Female"/>
    <s v="Divorced"/>
    <s v="Production Technician I"/>
    <s v="Active"/>
    <s v="Contract"/>
    <s v="Zone A"/>
    <s v="Production       "/>
    <s v="Field Operations"/>
    <s v="White"/>
    <s v="Fully Meets"/>
    <n v="4"/>
  </r>
  <r>
    <x v="2049"/>
    <x v="3"/>
    <x v="384"/>
    <s v="58-67"/>
    <n v="63"/>
    <d v="1958-12-18T00:00:00"/>
    <s v="Massachusetts"/>
    <s v="MA"/>
    <s v="Female"/>
    <s v="Married"/>
    <s v="Production Technician I"/>
    <s v="Active"/>
    <s v="Part-Time"/>
    <s v="Zone A"/>
    <s v="Production       "/>
    <s v="Billable Consultants"/>
    <s v="Black"/>
    <s v="Fully Meets"/>
    <n v="5"/>
  </r>
  <r>
    <x v="2050"/>
    <x v="2"/>
    <x v="279"/>
    <s v="58-67"/>
    <n v="63"/>
    <d v="1957-02-14T00:00:00"/>
    <s v="Massachusetts"/>
    <s v="MA"/>
    <s v="Female"/>
    <s v="Divorced"/>
    <s v="Production Technician I"/>
    <s v="Active"/>
    <s v="Contract"/>
    <s v="Zone B"/>
    <s v="Production       "/>
    <s v="General - Con"/>
    <s v="Other"/>
    <s v="Fully Meets"/>
    <n v="4"/>
  </r>
  <r>
    <x v="2051"/>
    <x v="1"/>
    <x v="878"/>
    <s v="58-67"/>
    <n v="63"/>
    <d v="1956-06-01T00:00:00"/>
    <s v="Massachusetts"/>
    <s v="MA"/>
    <s v="Female"/>
    <s v="Married"/>
    <s v="Production Technician I"/>
    <s v="Active"/>
    <s v="Contract"/>
    <s v="Zone A"/>
    <s v="Production       "/>
    <s v="Engineers"/>
    <s v="White"/>
    <s v="Needs Improvement"/>
    <n v="2"/>
  </r>
  <r>
    <x v="2052"/>
    <x v="1"/>
    <x v="1025"/>
    <s v="58-67"/>
    <n v="63"/>
    <d v="1956-07-10T00:00:00"/>
    <s v="Massachusetts"/>
    <s v="MA"/>
    <s v="Male"/>
    <s v="Divorced"/>
    <s v="Production Technician I"/>
    <s v="Active"/>
    <s v="Contract"/>
    <s v="Zone B"/>
    <s v="Production       "/>
    <s v="Engineers"/>
    <s v="Hispanic"/>
    <s v="Fully Meets"/>
    <n v="5"/>
  </r>
  <r>
    <x v="2053"/>
    <x v="5"/>
    <x v="1046"/>
    <s v="58-67"/>
    <n v="63"/>
    <d v="1960-01-16T00:00:00"/>
    <s v="Massachusetts"/>
    <s v="MA"/>
    <s v="Male"/>
    <s v="Married"/>
    <s v="Production Technician I"/>
    <s v="Active"/>
    <s v="Part-Time"/>
    <s v="Zone C"/>
    <s v="Production       "/>
    <s v="General - Con"/>
    <s v="White"/>
    <s v="Exceeds"/>
    <n v="1"/>
  </r>
  <r>
    <x v="2054"/>
    <x v="1"/>
    <x v="1248"/>
    <s v="58-67"/>
    <n v="63"/>
    <d v="1956-10-20T00:00:00"/>
    <s v="Massachusetts"/>
    <s v="MA"/>
    <s v="Female"/>
    <s v="Single"/>
    <s v="Production Technician I"/>
    <s v="Terminated"/>
    <s v="Full-Time"/>
    <s v="Zone B"/>
    <s v="Production       "/>
    <s v="Field Operations"/>
    <s v="Black"/>
    <s v="Exceeds"/>
    <n v="3"/>
  </r>
  <r>
    <x v="2055"/>
    <x v="5"/>
    <x v="1249"/>
    <s v="58-67"/>
    <n v="63"/>
    <d v="1960-03-07T00:00:00"/>
    <s v="Massachusetts"/>
    <s v="MA"/>
    <s v="Female"/>
    <s v="Widowed"/>
    <s v="Production Technician I"/>
    <s v="Active"/>
    <s v="Contract"/>
    <s v="Zone C"/>
    <s v="Production       "/>
    <s v="Fielders"/>
    <s v="Other"/>
    <s v="Exceeds"/>
    <n v="5"/>
  </r>
  <r>
    <x v="2056"/>
    <x v="1"/>
    <x v="379"/>
    <s v="58-67"/>
    <n v="63"/>
    <d v="1956-10-08T00:00:00"/>
    <s v="Massachusetts"/>
    <s v="MA"/>
    <s v="Female"/>
    <s v="Married"/>
    <s v="Production Technician I"/>
    <s v="Active"/>
    <s v="Full-Time"/>
    <s v="Zone B"/>
    <s v="Production       "/>
    <s v="Engineers"/>
    <s v="Hispanic"/>
    <s v="Exceeds"/>
    <n v="1"/>
  </r>
  <r>
    <x v="2057"/>
    <x v="1"/>
    <x v="1227"/>
    <s v="58-67"/>
    <n v="63"/>
    <d v="1956-09-07T00:00:00"/>
    <s v="Massachusetts"/>
    <s v="MA"/>
    <s v="Female"/>
    <s v="Married"/>
    <s v="Production Technician I"/>
    <s v="Active"/>
    <s v="Part-Time"/>
    <s v="Zone A"/>
    <s v="Production       "/>
    <s v="General - Eng"/>
    <s v="Hispanic"/>
    <s v="Exceeds"/>
    <n v="1"/>
  </r>
  <r>
    <x v="2058"/>
    <x v="2"/>
    <x v="911"/>
    <s v="58-67"/>
    <n v="63"/>
    <d v="1957-02-01T00:00:00"/>
    <s v="Massachusetts"/>
    <s v="MA"/>
    <s v="Female"/>
    <s v="Single"/>
    <s v="Production Technician I"/>
    <s v="Active"/>
    <s v="Contract"/>
    <s v="Zone A"/>
    <s v="Production       "/>
    <s v="Finance &amp; Accounting"/>
    <s v="Hispanic"/>
    <s v="Fully Meets"/>
    <n v="3"/>
  </r>
  <r>
    <x v="2059"/>
    <x v="1"/>
    <x v="879"/>
    <s v="58-67"/>
    <n v="63"/>
    <d v="1956-07-08T00:00:00"/>
    <s v="Massachusetts"/>
    <s v="MA"/>
    <s v="Female"/>
    <s v="Divorced"/>
    <s v="Production Technician I"/>
    <s v="Active"/>
    <s v="Contract"/>
    <s v="Zone B"/>
    <s v="Production       "/>
    <s v="Wireline Construction"/>
    <s v="White"/>
    <s v="Fully Meets"/>
    <n v="1"/>
  </r>
  <r>
    <x v="2060"/>
    <x v="4"/>
    <x v="1250"/>
    <s v="58-67"/>
    <n v="63"/>
    <d v="1959-07-25T00:00:00"/>
    <s v="Massachusetts"/>
    <s v="MA"/>
    <s v="Male"/>
    <s v="Divorced"/>
    <s v="Production Manager"/>
    <s v="Active"/>
    <s v="Part-Time"/>
    <s v="Zone C"/>
    <s v="Production       "/>
    <s v="Fielders"/>
    <s v="Other"/>
    <s v="Fully Meets"/>
    <n v="5"/>
  </r>
  <r>
    <x v="2061"/>
    <x v="2"/>
    <x v="218"/>
    <s v="58-67"/>
    <n v="63"/>
    <d v="1957-03-14T00:00:00"/>
    <s v="Massachusetts"/>
    <s v="MA"/>
    <s v="Female"/>
    <s v="Single"/>
    <s v="Production Manager"/>
    <s v="Active"/>
    <s v="Contract"/>
    <s v="Zone A"/>
    <s v="Production       "/>
    <s v="General - Sga"/>
    <s v="Asian"/>
    <s v="Fully Meets"/>
    <n v="4"/>
  </r>
  <r>
    <x v="2062"/>
    <x v="2"/>
    <x v="1251"/>
    <s v="58-67"/>
    <n v="63"/>
    <d v="1957-11-26T00:00:00"/>
    <s v="Massachusetts"/>
    <s v="MA"/>
    <s v="Female"/>
    <s v="Single"/>
    <s v="Network Engineer"/>
    <s v="Active"/>
    <s v="Full-Time"/>
    <s v="Zone B"/>
    <s v="IT/IS"/>
    <s v="Aerial"/>
    <s v="Asian"/>
    <s v="Fully Meets"/>
    <n v="1"/>
  </r>
  <r>
    <x v="2063"/>
    <x v="4"/>
    <x v="1252"/>
    <s v="58-67"/>
    <n v="63"/>
    <d v="1959-10-15T00:00:00"/>
    <s v="Massachusetts"/>
    <s v="MA"/>
    <s v="Male"/>
    <s v="Widowed"/>
    <s v="IT Manager - Infra"/>
    <s v="Active"/>
    <s v="Full-Time"/>
    <s v="Zone B"/>
    <s v="IT/IS"/>
    <s v="Field Operations"/>
    <s v="Black"/>
    <s v="Fully Meets"/>
    <n v="3"/>
  </r>
  <r>
    <x v="2064"/>
    <x v="1"/>
    <x v="984"/>
    <s v="58-67"/>
    <n v="63"/>
    <d v="1956-10-26T00:00:00"/>
    <s v="Massachusetts"/>
    <s v="MA"/>
    <s v="Male"/>
    <s v="Widowed"/>
    <s v="IT Director"/>
    <s v="Active"/>
    <s v="Full-Time"/>
    <s v="Zone A"/>
    <s v="IT/IS"/>
    <s v="Wireless"/>
    <s v="Other"/>
    <s v="Fully Meets"/>
    <n v="1"/>
  </r>
  <r>
    <x v="2065"/>
    <x v="3"/>
    <x v="938"/>
    <s v="58-67"/>
    <n v="63"/>
    <d v="1958-10-31T00:00:00"/>
    <s v="Texas"/>
    <s v="TX"/>
    <s v="Female"/>
    <s v="Widowed"/>
    <s v="Database Administrator"/>
    <s v="Active"/>
    <s v="Part-Time"/>
    <s v="Zone A"/>
    <s v="IT/IS"/>
    <s v="General - Con"/>
    <s v="Other"/>
    <s v="Fully Meets"/>
    <n v="3"/>
  </r>
  <r>
    <x v="2066"/>
    <x v="0"/>
    <x v="55"/>
    <s v="58-67"/>
    <n v="63"/>
    <d v="1955-07-19T00:00:00"/>
    <s v="Massachusetts"/>
    <s v="MA"/>
    <s v="Female"/>
    <s v="Married"/>
    <s v="Data Analyst"/>
    <s v="Active"/>
    <s v="Full-Time"/>
    <s v="Zone A"/>
    <s v="IT/IS"/>
    <s v="Finance &amp; Accounting"/>
    <s v="Black"/>
    <s v="Fully Meets"/>
    <n v="3"/>
  </r>
  <r>
    <x v="2067"/>
    <x v="1"/>
    <x v="1253"/>
    <s v="58-67"/>
    <n v="63"/>
    <d v="1956-09-22T00:00:00"/>
    <s v="Tennessee"/>
    <s v="TN"/>
    <s v="Male"/>
    <s v="Widowed"/>
    <s v="Area Sales Manager"/>
    <s v="Active"/>
    <s v="Part-Time"/>
    <s v="Zone A"/>
    <s v="Sales"/>
    <s v="Wireline Construction"/>
    <s v="Black"/>
    <s v="Fully Meets"/>
    <n v="3"/>
  </r>
  <r>
    <x v="2068"/>
    <x v="2"/>
    <x v="1254"/>
    <s v="58-67"/>
    <n v="63"/>
    <d v="1957-03-07T00:00:00"/>
    <s v="Oregon"/>
    <s v="OR"/>
    <s v="Female"/>
    <s v="Divorced"/>
    <s v="Area Sales Manager"/>
    <s v="Active"/>
    <s v="Contract"/>
    <s v="Zone C"/>
    <s v="Sales"/>
    <s v="Engineers"/>
    <s v="White"/>
    <s v="Fully Meets"/>
    <n v="4"/>
  </r>
  <r>
    <x v="2069"/>
    <x v="0"/>
    <x v="1255"/>
    <s v="58-67"/>
    <n v="63"/>
    <d v="1955-03-17T00:00:00"/>
    <s v="Georgia"/>
    <s v="GA"/>
    <s v="Female"/>
    <s v="Divorced"/>
    <s v="Area Sales Manager"/>
    <s v="Active"/>
    <s v="Full-Time"/>
    <s v="Zone C"/>
    <s v="Sales"/>
    <s v="Field Operations"/>
    <s v="Black"/>
    <s v="Fully Meets"/>
    <n v="4"/>
  </r>
  <r>
    <x v="2070"/>
    <x v="5"/>
    <x v="241"/>
    <s v="58-67"/>
    <n v="63"/>
    <d v="1960-03-28T00:00:00"/>
    <s v="Arizona"/>
    <s v="AZ"/>
    <s v="Male"/>
    <s v="Married"/>
    <s v="Area Sales Manager"/>
    <s v="Active"/>
    <s v="Full-Time"/>
    <s v="Zone A"/>
    <s v="Sales"/>
    <s v="Engineers"/>
    <s v="Black"/>
    <s v="Fully Meets"/>
    <n v="1"/>
  </r>
  <r>
    <x v="2071"/>
    <x v="3"/>
    <x v="1256"/>
    <s v="58-67"/>
    <n v="63"/>
    <d v="1958-03-16T00:00:00"/>
    <s v="Massachusetts"/>
    <s v="MA"/>
    <s v="Male"/>
    <s v="Single"/>
    <s v="Accountant I"/>
    <s v="Active"/>
    <s v="Contract"/>
    <s v="Zone A"/>
    <s v="Admin Offices"/>
    <s v="Project Management - Con"/>
    <s v="Black"/>
    <s v="Fully Meets"/>
    <n v="5"/>
  </r>
  <r>
    <x v="2072"/>
    <x v="4"/>
    <x v="1257"/>
    <s v="58-67"/>
    <n v="64"/>
    <d v="1958-03-11T00:00:00"/>
    <s v="Connecticut"/>
    <s v="CT"/>
    <s v="Male"/>
    <s v="Widowed"/>
    <s v="Sr. Network Engineer"/>
    <s v="Active"/>
    <s v="Part-Time"/>
    <s v="Zone B"/>
    <s v="IT/IS"/>
    <s v="Fielders"/>
    <s v="Hispanic"/>
    <s v="Fully Meets"/>
    <n v="1"/>
  </r>
  <r>
    <x v="2073"/>
    <x v="2"/>
    <x v="121"/>
    <s v="58-67"/>
    <n v="64"/>
    <d v="1956-12-21T00:00:00"/>
    <s v="Massachusetts"/>
    <s v="MA"/>
    <s v="Female"/>
    <s v="Widowed"/>
    <s v="Sr. Accountant"/>
    <s v="Active"/>
    <s v="Part-Time"/>
    <s v="Zone A"/>
    <s v="Admin Offices"/>
    <s v="Splicing"/>
    <s v="Asian"/>
    <s v="Fully Meets"/>
    <n v="1"/>
  </r>
  <r>
    <x v="2074"/>
    <x v="5"/>
    <x v="1258"/>
    <s v="58-67"/>
    <n v="64"/>
    <d v="1959-09-01T00:00:00"/>
    <s v="Massachusetts"/>
    <s v="MA"/>
    <s v="Male"/>
    <s v="Single"/>
    <s v="Software Engineer"/>
    <s v="Active"/>
    <s v="Part-Time"/>
    <s v="Zone A"/>
    <s v="Software Engineering"/>
    <s v="Engineers"/>
    <s v="Black"/>
    <s v="Fully Meets"/>
    <n v="1"/>
  </r>
  <r>
    <x v="2075"/>
    <x v="4"/>
    <x v="159"/>
    <s v="58-67"/>
    <n v="64"/>
    <d v="1958-11-01T00:00:00"/>
    <s v="Massachusetts"/>
    <s v="MA"/>
    <s v="Male"/>
    <s v="Widowed"/>
    <s v="Software Engineer"/>
    <s v="Active"/>
    <s v="Contract"/>
    <s v="Zone B"/>
    <s v="Software Engineering"/>
    <s v="Field Operations"/>
    <s v="Black"/>
    <s v="Fully Meets"/>
    <n v="2"/>
  </r>
  <r>
    <x v="2076"/>
    <x v="1"/>
    <x v="1259"/>
    <s v="58-67"/>
    <n v="64"/>
    <d v="1955-07-06T00:00:00"/>
    <s v="Massachusetts"/>
    <s v="MA"/>
    <s v="Male"/>
    <s v="Single"/>
    <s v="Software Engineer"/>
    <s v="Active"/>
    <s v="Contract"/>
    <s v="Zone C"/>
    <s v="Software Engineering"/>
    <s v="Field Operations"/>
    <s v="Black"/>
    <s v="Fully Meets"/>
    <n v="4"/>
  </r>
  <r>
    <x v="2077"/>
    <x v="2"/>
    <x v="478"/>
    <s v="58-67"/>
    <n v="64"/>
    <d v="1956-09-16T00:00:00"/>
    <s v="Massachusetts"/>
    <s v="MA"/>
    <s v="Female"/>
    <s v="Divorced"/>
    <s v="Shared Services Manager"/>
    <s v="Active"/>
    <s v="Contract"/>
    <s v="Zone A"/>
    <s v="Software Engineering"/>
    <s v="Field Operations"/>
    <s v="Hispanic"/>
    <s v="Fully Meets"/>
    <n v="4"/>
  </r>
  <r>
    <x v="2078"/>
    <x v="2"/>
    <x v="1260"/>
    <s v="58-67"/>
    <n v="64"/>
    <d v="1956-03-08T00:00:00"/>
    <s v="Massachusetts"/>
    <s v="MA"/>
    <s v="Female"/>
    <s v="Single"/>
    <s v="Senior BI Developer"/>
    <s v="Active"/>
    <s v="Part-Time"/>
    <s v="Zone B"/>
    <s v="Admin Offices"/>
    <s v="Shop (Fleet)"/>
    <s v="White"/>
    <s v="Fully Meets"/>
    <n v="3"/>
  </r>
  <r>
    <x v="2079"/>
    <x v="5"/>
    <x v="288"/>
    <s v="58-67"/>
    <n v="64"/>
    <d v="1959-01-31T00:00:00"/>
    <s v="Massachusetts"/>
    <s v="MA"/>
    <s v="Female"/>
    <s v="Married"/>
    <s v="Production Technician II"/>
    <s v="Active"/>
    <s v="Part-Time"/>
    <s v="Zone C"/>
    <s v="Production       "/>
    <s v="General - Con"/>
    <s v="White"/>
    <s v="Fully Meets"/>
    <n v="1"/>
  </r>
  <r>
    <x v="2080"/>
    <x v="4"/>
    <x v="326"/>
    <s v="58-67"/>
    <n v="64"/>
    <d v="1958-08-27T00:00:00"/>
    <s v="Massachusetts"/>
    <s v="MA"/>
    <s v="Female"/>
    <s v="Widowed"/>
    <s v="Production Technician II"/>
    <s v="Active"/>
    <s v="Contract"/>
    <s v="Zone C"/>
    <s v="Production       "/>
    <s v="General - Con"/>
    <s v="Asian"/>
    <s v="Exceeds"/>
    <n v="5"/>
  </r>
  <r>
    <x v="2081"/>
    <x v="1"/>
    <x v="382"/>
    <s v="58-67"/>
    <n v="64"/>
    <d v="1955-09-02T00:00:00"/>
    <s v="Massachusetts"/>
    <s v="MA"/>
    <s v="Female"/>
    <s v="Divorced"/>
    <s v="Production Technician II"/>
    <s v="Terminated"/>
    <s v="Contract"/>
    <s v="Zone C"/>
    <s v="Production       "/>
    <s v="Wireless"/>
    <s v="White"/>
    <s v="Fully Meets"/>
    <n v="1"/>
  </r>
  <r>
    <x v="2082"/>
    <x v="5"/>
    <x v="779"/>
    <s v="58-67"/>
    <n v="64"/>
    <d v="1959-05-23T00:00:00"/>
    <s v="Massachusetts"/>
    <s v="MA"/>
    <s v="Male"/>
    <s v="Single"/>
    <s v="Production Technician II"/>
    <s v="Active"/>
    <s v="Full-Time"/>
    <s v="Zone A"/>
    <s v="Production       "/>
    <s v="Field Operations"/>
    <s v="Other"/>
    <s v="Fully Meets"/>
    <n v="1"/>
  </r>
  <r>
    <x v="2083"/>
    <x v="5"/>
    <x v="803"/>
    <s v="58-67"/>
    <n v="64"/>
    <d v="1959-01-19T00:00:00"/>
    <s v="Massachusetts"/>
    <s v="MA"/>
    <s v="Female"/>
    <s v="Single"/>
    <s v="Production Technician II"/>
    <s v="Terminated"/>
    <s v="Part-Time"/>
    <s v="Zone A"/>
    <s v="Production       "/>
    <s v="Yard (Material Handling)"/>
    <s v="Asian"/>
    <s v="Needs Improvement"/>
    <n v="2"/>
  </r>
  <r>
    <x v="2084"/>
    <x v="4"/>
    <x v="542"/>
    <s v="58-67"/>
    <n v="64"/>
    <d v="1958-10-21T00:00:00"/>
    <s v="Massachusetts"/>
    <s v="MA"/>
    <s v="Male"/>
    <s v="Married"/>
    <s v="Production Technician I"/>
    <s v="Active"/>
    <s v="Contract"/>
    <s v="Zone B"/>
    <s v="Production       "/>
    <s v="Yard (Material Handling)"/>
    <s v="Black"/>
    <s v="Fully Meets"/>
    <n v="4"/>
  </r>
  <r>
    <x v="2085"/>
    <x v="1"/>
    <x v="731"/>
    <s v="58-67"/>
    <n v="64"/>
    <d v="1955-08-21T00:00:00"/>
    <s v="Massachusetts"/>
    <s v="MA"/>
    <s v="Male"/>
    <s v="Widowed"/>
    <s v="Production Technician I"/>
    <s v="Active"/>
    <s v="Contract"/>
    <s v="Zone B"/>
    <s v="Production       "/>
    <s v="Aerial"/>
    <s v="Asian"/>
    <s v="Fully Meets"/>
    <n v="3"/>
  </r>
  <r>
    <x v="2086"/>
    <x v="1"/>
    <x v="1261"/>
    <s v="58-67"/>
    <n v="64"/>
    <d v="1955-09-24T00:00:00"/>
    <s v="Massachusetts"/>
    <s v="MA"/>
    <s v="Male"/>
    <s v="Widowed"/>
    <s v="Production Technician I"/>
    <s v="Active"/>
    <s v="Part-Time"/>
    <s v="Zone A"/>
    <s v="Production       "/>
    <s v="General - Eng"/>
    <s v="Other"/>
    <s v="Fully Meets"/>
    <n v="4"/>
  </r>
  <r>
    <x v="2087"/>
    <x v="5"/>
    <x v="402"/>
    <s v="58-67"/>
    <n v="64"/>
    <d v="1959-08-22T00:00:00"/>
    <s v="Massachusetts"/>
    <s v="MA"/>
    <s v="Male"/>
    <s v="Widowed"/>
    <s v="Production Technician I"/>
    <s v="Active"/>
    <s v="Contract"/>
    <s v="Zone C"/>
    <s v="Production       "/>
    <s v="Aerial"/>
    <s v="Other"/>
    <s v="Fully Meets"/>
    <n v="5"/>
  </r>
  <r>
    <x v="2088"/>
    <x v="5"/>
    <x v="1262"/>
    <s v="58-67"/>
    <n v="64"/>
    <d v="1959-11-12T00:00:00"/>
    <s v="Massachusetts"/>
    <s v="MA"/>
    <s v="Male"/>
    <s v="Single"/>
    <s v="Production Technician I"/>
    <s v="Active"/>
    <s v="Contract"/>
    <s v="Zone C"/>
    <s v="Production       "/>
    <s v="General - Sga"/>
    <s v="White"/>
    <s v="Fully Meets"/>
    <n v="1"/>
  </r>
  <r>
    <x v="2089"/>
    <x v="4"/>
    <x v="792"/>
    <s v="58-67"/>
    <n v="64"/>
    <d v="1958-10-23T00:00:00"/>
    <s v="Massachusetts"/>
    <s v="MA"/>
    <s v="Male"/>
    <s v="Married"/>
    <s v="Production Technician I"/>
    <s v="Terminated"/>
    <s v="Contract"/>
    <s v="Zone C"/>
    <s v="Production       "/>
    <s v="Project Management - Con"/>
    <s v="White"/>
    <s v="Fully Meets"/>
    <n v="5"/>
  </r>
  <r>
    <x v="2090"/>
    <x v="4"/>
    <x v="1219"/>
    <s v="58-67"/>
    <n v="64"/>
    <d v="1958-08-16T00:00:00"/>
    <s v="Massachusetts"/>
    <s v="MA"/>
    <s v="Male"/>
    <s v="Married"/>
    <s v="Production Technician I"/>
    <s v="Active"/>
    <s v="Contract"/>
    <s v="Zone A"/>
    <s v="Production       "/>
    <s v="General - Con"/>
    <s v="Hispanic"/>
    <s v="Fully Meets"/>
    <n v="1"/>
  </r>
  <r>
    <x v="2091"/>
    <x v="0"/>
    <x v="1263"/>
    <s v="58-67"/>
    <n v="64"/>
    <d v="1954-10-17T00:00:00"/>
    <s v="Massachusetts"/>
    <s v="MA"/>
    <s v="Male"/>
    <s v="Single"/>
    <s v="Production Technician I"/>
    <s v="Active"/>
    <s v="Full-Time"/>
    <s v="Zone A"/>
    <s v="Production       "/>
    <s v="General - Con"/>
    <s v="Other"/>
    <s v="Needs Improvement"/>
    <n v="5"/>
  </r>
  <r>
    <x v="2092"/>
    <x v="1"/>
    <x v="419"/>
    <s v="58-67"/>
    <n v="64"/>
    <d v="1955-08-10T00:00:00"/>
    <s v="Massachusetts"/>
    <s v="MA"/>
    <s v="Female"/>
    <s v="Widowed"/>
    <s v="Production Technician I"/>
    <s v="Active"/>
    <s v="Part-Time"/>
    <s v="Zone B"/>
    <s v="Production       "/>
    <s v="Field Operations"/>
    <s v="Black"/>
    <s v="Fully Meets"/>
    <n v="2"/>
  </r>
  <r>
    <x v="2093"/>
    <x v="3"/>
    <x v="1264"/>
    <s v="58-67"/>
    <n v="64"/>
    <d v="1957-08-11T00:00:00"/>
    <s v="Massachusetts"/>
    <s v="MA"/>
    <s v="Male"/>
    <s v="Married"/>
    <s v="Production Technician I"/>
    <s v="Active"/>
    <s v="Part-Time"/>
    <s v="Zone A"/>
    <s v="Production       "/>
    <s v="General - Sga"/>
    <s v="Black"/>
    <s v="Fully Meets"/>
    <n v="3"/>
  </r>
  <r>
    <x v="2094"/>
    <x v="3"/>
    <x v="793"/>
    <s v="58-67"/>
    <n v="64"/>
    <d v="1957-07-16T00:00:00"/>
    <s v="Massachusetts"/>
    <s v="MA"/>
    <s v="Male"/>
    <s v="Married"/>
    <s v="Production Technician I"/>
    <s v="Active"/>
    <s v="Contract"/>
    <s v="Zone A"/>
    <s v="Production       "/>
    <s v="Field Operations"/>
    <s v="Hispanic"/>
    <s v="Fully Meets"/>
    <n v="1"/>
  </r>
  <r>
    <x v="2095"/>
    <x v="2"/>
    <x v="1265"/>
    <s v="58-67"/>
    <n v="64"/>
    <d v="1956-01-07T00:00:00"/>
    <s v="Massachusetts"/>
    <s v="MA"/>
    <s v="Female"/>
    <s v="Widowed"/>
    <s v="Production Technician I"/>
    <s v="Active"/>
    <s v="Part-Time"/>
    <s v="Zone C"/>
    <s v="Production       "/>
    <s v="Engineers"/>
    <s v="White"/>
    <s v="Exceeds"/>
    <n v="1"/>
  </r>
  <r>
    <x v="2096"/>
    <x v="2"/>
    <x v="1266"/>
    <s v="58-67"/>
    <n v="64"/>
    <d v="1956-05-12T00:00:00"/>
    <s v="Massachusetts"/>
    <s v="MA"/>
    <s v="Female"/>
    <s v="Married"/>
    <s v="Production Technician I"/>
    <s v="Active"/>
    <s v="Part-Time"/>
    <s v="Zone B"/>
    <s v="Production       "/>
    <s v="Field Operations"/>
    <s v="Hispanic"/>
    <s v="Fully Meets"/>
    <n v="4"/>
  </r>
  <r>
    <x v="2097"/>
    <x v="2"/>
    <x v="1267"/>
    <s v="58-67"/>
    <n v="64"/>
    <d v="1956-11-26T00:00:00"/>
    <s v="Massachusetts"/>
    <s v="MA"/>
    <s v="Female"/>
    <s v="Widowed"/>
    <s v="Production Technician I"/>
    <s v="Active"/>
    <s v="Part-Time"/>
    <s v="Zone C"/>
    <s v="Production       "/>
    <s v="General - Con"/>
    <s v="Asian"/>
    <s v="Fully Meets"/>
    <n v="5"/>
  </r>
  <r>
    <x v="2098"/>
    <x v="1"/>
    <x v="1268"/>
    <s v="58-67"/>
    <n v="64"/>
    <d v="1955-06-29T00:00:00"/>
    <s v="Massachusetts"/>
    <s v="MA"/>
    <s v="Female"/>
    <s v="Widowed"/>
    <s v="Production Technician I"/>
    <s v="Active"/>
    <s v="Full-Time"/>
    <s v="Zone B"/>
    <s v="Production       "/>
    <s v="General - Con"/>
    <s v="Asian"/>
    <s v="Fully Meets"/>
    <n v="4"/>
  </r>
  <r>
    <x v="2099"/>
    <x v="5"/>
    <x v="1174"/>
    <s v="58-67"/>
    <n v="64"/>
    <d v="1959-08-09T00:00:00"/>
    <s v="Massachusetts"/>
    <s v="MA"/>
    <s v="Female"/>
    <s v="Divorced"/>
    <s v="Production Technician I"/>
    <s v="Active"/>
    <s v="Full-Time"/>
    <s v="Zone B"/>
    <s v="Production       "/>
    <s v="Engineers"/>
    <s v="White"/>
    <s v="Fully Meets"/>
    <n v="1"/>
  </r>
  <r>
    <x v="2100"/>
    <x v="3"/>
    <x v="1269"/>
    <s v="58-67"/>
    <n v="64"/>
    <d v="1957-07-20T00:00:00"/>
    <s v="Massachusetts"/>
    <s v="MA"/>
    <s v="Male"/>
    <s v="Widowed"/>
    <s v="Production Technician I"/>
    <s v="Active"/>
    <s v="Part-Time"/>
    <s v="Zone A"/>
    <s v="Production       "/>
    <s v="Field Operations"/>
    <s v="Hispanic"/>
    <s v="Fully Meets"/>
    <n v="3"/>
  </r>
  <r>
    <x v="2101"/>
    <x v="0"/>
    <x v="1233"/>
    <s v="58-67"/>
    <n v="64"/>
    <d v="1954-06-28T00:00:00"/>
    <s v="Massachusetts"/>
    <s v="MA"/>
    <s v="Male"/>
    <s v="Widowed"/>
    <s v="Production Technician I"/>
    <s v="Active"/>
    <s v="Contract"/>
    <s v="Zone A"/>
    <s v="Production       "/>
    <s v="General - Con"/>
    <s v="Asian"/>
    <s v="Fully Meets"/>
    <n v="4"/>
  </r>
  <r>
    <x v="2102"/>
    <x v="1"/>
    <x v="265"/>
    <s v="58-67"/>
    <n v="64"/>
    <d v="1955-08-25T00:00:00"/>
    <s v="Massachusetts"/>
    <s v="MA"/>
    <s v="Male"/>
    <s v="Married"/>
    <s v="Production Technician I"/>
    <s v="Active"/>
    <s v="Contract"/>
    <s v="Zone A"/>
    <s v="Production       "/>
    <s v="Field Operations"/>
    <s v="Other"/>
    <s v="Fully Meets"/>
    <n v="1"/>
  </r>
  <r>
    <x v="2103"/>
    <x v="1"/>
    <x v="108"/>
    <s v="58-67"/>
    <n v="64"/>
    <d v="1955-02-25T00:00:00"/>
    <s v="Massachusetts"/>
    <s v="MA"/>
    <s v="Female"/>
    <s v="Widowed"/>
    <s v="Production Technician I"/>
    <s v="Active"/>
    <s v="Part-Time"/>
    <s v="Zone A"/>
    <s v="Production       "/>
    <s v="Field Operations"/>
    <s v="Hispanic"/>
    <s v="Exceeds"/>
    <n v="4"/>
  </r>
  <r>
    <x v="2104"/>
    <x v="1"/>
    <x v="1270"/>
    <s v="58-67"/>
    <n v="64"/>
    <d v="1955-12-21T00:00:00"/>
    <s v="Massachusetts"/>
    <s v="MA"/>
    <s v="Male"/>
    <s v="Married"/>
    <s v="Production Technician I"/>
    <s v="Active"/>
    <s v="Contract"/>
    <s v="Zone C"/>
    <s v="Production       "/>
    <s v="General - Con"/>
    <s v="Asian"/>
    <s v="Exceeds"/>
    <n v="3"/>
  </r>
  <r>
    <x v="2105"/>
    <x v="5"/>
    <x v="1271"/>
    <s v="58-67"/>
    <n v="64"/>
    <d v="1959-03-18T00:00:00"/>
    <s v="Massachusetts"/>
    <s v="MA"/>
    <s v="Female"/>
    <s v="Married"/>
    <s v="Production Technician I"/>
    <s v="Active"/>
    <s v="Full-Time"/>
    <s v="Zone C"/>
    <s v="Production       "/>
    <s v="Wireline Construction"/>
    <s v="White"/>
    <s v="Fully Meets"/>
    <n v="4"/>
  </r>
  <r>
    <x v="2106"/>
    <x v="2"/>
    <x v="1272"/>
    <s v="58-67"/>
    <n v="64"/>
    <d v="1956-05-04T00:00:00"/>
    <s v="Massachusetts"/>
    <s v="MA"/>
    <s v="Female"/>
    <s v="Single"/>
    <s v="Production Technician I"/>
    <s v="Active"/>
    <s v="Full-Time"/>
    <s v="Zone C"/>
    <s v="Production       "/>
    <s v="Yard (Material Handling)"/>
    <s v="Hispanic"/>
    <s v="Fully Meets"/>
    <n v="1"/>
  </r>
  <r>
    <x v="2107"/>
    <x v="3"/>
    <x v="334"/>
    <s v="58-67"/>
    <n v="64"/>
    <d v="1957-04-02T00:00:00"/>
    <s v="Massachusetts"/>
    <s v="MA"/>
    <s v="Male"/>
    <s v="Widowed"/>
    <s v="Production Technician I"/>
    <s v="Terminated"/>
    <s v="Full-Time"/>
    <s v="Zone C"/>
    <s v="Production       "/>
    <s v="Splicing"/>
    <s v="Asian"/>
    <s v="Fully Meets"/>
    <n v="3"/>
  </r>
  <r>
    <x v="2108"/>
    <x v="5"/>
    <x v="1097"/>
    <s v="58-67"/>
    <n v="64"/>
    <d v="1959-01-13T00:00:00"/>
    <s v="Massachusetts"/>
    <s v="MA"/>
    <s v="Male"/>
    <s v="Married"/>
    <s v="Production Manager"/>
    <s v="Active"/>
    <s v="Contract"/>
    <s v="Zone A"/>
    <s v="Production       "/>
    <s v="Field Operations"/>
    <s v="Black"/>
    <s v="Fully Meets"/>
    <n v="5"/>
  </r>
  <r>
    <x v="2109"/>
    <x v="4"/>
    <x v="1273"/>
    <s v="58-67"/>
    <n v="64"/>
    <d v="1958-04-23T00:00:00"/>
    <s v="Massachusetts"/>
    <s v="MA"/>
    <s v="Male"/>
    <s v="Widowed"/>
    <s v="Production Manager"/>
    <s v="Terminated"/>
    <s v="Full-Time"/>
    <s v="Zone B"/>
    <s v="Production       "/>
    <s v="Field Operations"/>
    <s v="Asian"/>
    <s v="Fully Meets"/>
    <n v="3"/>
  </r>
  <r>
    <x v="2110"/>
    <x v="3"/>
    <x v="334"/>
    <s v="58-67"/>
    <n v="64"/>
    <d v="1957-04-21T00:00:00"/>
    <s v="Massachusetts"/>
    <s v="MA"/>
    <s v="Female"/>
    <s v="Divorced"/>
    <s v="President &amp; CEO"/>
    <s v="Active"/>
    <s v="Full-Time"/>
    <s v="Zone B"/>
    <s v="Production       "/>
    <s v="General - Con"/>
    <s v="White"/>
    <s v="Fully Meets"/>
    <n v="1"/>
  </r>
  <r>
    <x v="2111"/>
    <x v="1"/>
    <x v="501"/>
    <s v="58-67"/>
    <n v="64"/>
    <d v="1955-10-24T00:00:00"/>
    <s v="Massachusetts"/>
    <s v="MA"/>
    <s v="Female"/>
    <s v="Single"/>
    <s v="President &amp; CEO"/>
    <s v="Active"/>
    <s v="Part-Time"/>
    <s v="Zone A"/>
    <s v="Executive Office"/>
    <s v="Aerial"/>
    <s v="Asian"/>
    <s v="Fully Meets"/>
    <n v="4"/>
  </r>
  <r>
    <x v="2112"/>
    <x v="5"/>
    <x v="764"/>
    <s v="58-67"/>
    <n v="64"/>
    <d v="1959-03-02T00:00:00"/>
    <s v="Massachusetts"/>
    <s v="MA"/>
    <s v="Female"/>
    <s v="Married"/>
    <s v="IT Support"/>
    <s v="Active"/>
    <s v="Full-Time"/>
    <s v="Zone A"/>
    <s v="IT/IS"/>
    <s v="Aerial"/>
    <s v="Black"/>
    <s v="Fully Meets"/>
    <n v="3"/>
  </r>
  <r>
    <x v="2113"/>
    <x v="3"/>
    <x v="1274"/>
    <s v="58-67"/>
    <n v="64"/>
    <d v="1957-10-27T00:00:00"/>
    <s v="Massachusetts"/>
    <s v="MA"/>
    <s v="Female"/>
    <s v="Single"/>
    <s v="IT Support"/>
    <s v="Active"/>
    <s v="Full-Time"/>
    <s v="Zone A"/>
    <s v="IT/IS"/>
    <s v="General - Sga"/>
    <s v="Hispanic"/>
    <s v="Fully Meets"/>
    <n v="2"/>
  </r>
  <r>
    <x v="2114"/>
    <x v="2"/>
    <x v="1275"/>
    <s v="58-67"/>
    <n v="64"/>
    <d v="1956-05-16T00:00:00"/>
    <s v="Connecticut"/>
    <s v="CT"/>
    <s v="Male"/>
    <s v="Divorced"/>
    <s v="IT Support"/>
    <s v="Active"/>
    <s v="Full-Time"/>
    <s v="Zone A"/>
    <s v="IT/IS"/>
    <s v="Project Management - Eng"/>
    <s v="Other"/>
    <s v="Fully Meets"/>
    <n v="2"/>
  </r>
  <r>
    <x v="2115"/>
    <x v="4"/>
    <x v="1276"/>
    <s v="58-67"/>
    <n v="64"/>
    <d v="1958-06-01T00:00:00"/>
    <s v="Connecticut"/>
    <s v="CT"/>
    <s v="Female"/>
    <s v="Divorced"/>
    <s v="IT Support"/>
    <s v="Active"/>
    <s v="Full-Time"/>
    <s v="Zone B"/>
    <s v="IT/IS"/>
    <s v="Wireline Construction"/>
    <s v="Black"/>
    <s v="Fully Meets"/>
    <n v="1"/>
  </r>
  <r>
    <x v="2116"/>
    <x v="2"/>
    <x v="416"/>
    <s v="58-67"/>
    <n v="64"/>
    <d v="1956-11-22T00:00:00"/>
    <s v="Massachusetts"/>
    <s v="MA"/>
    <s v="Female"/>
    <s v="Divorced"/>
    <s v="Data Analyst"/>
    <s v="Active"/>
    <s v="Part-Time"/>
    <s v="Zone C"/>
    <s v="IT/IS"/>
    <s v="Field Operations"/>
    <s v="Asian"/>
    <s v="Fully Meets"/>
    <n v="2"/>
  </r>
  <r>
    <x v="2117"/>
    <x v="3"/>
    <x v="859"/>
    <s v="58-67"/>
    <n v="64"/>
    <d v="1957-12-13T00:00:00"/>
    <s v="Massachusetts"/>
    <s v="MA"/>
    <s v="Male"/>
    <s v="Married"/>
    <s v="Data Analyst"/>
    <s v="Active"/>
    <s v="Full-Time"/>
    <s v="Zone C"/>
    <s v="Production       "/>
    <s v="Executive"/>
    <s v="Other"/>
    <s v="Fully Meets"/>
    <n v="4"/>
  </r>
  <r>
    <x v="2118"/>
    <x v="3"/>
    <x v="621"/>
    <s v="58-67"/>
    <n v="64"/>
    <d v="1957-10-20T00:00:00"/>
    <s v="Massachusetts"/>
    <s v="MA"/>
    <s v="Female"/>
    <s v="Divorced"/>
    <s v="CIO"/>
    <s v="Active"/>
    <s v="Part-Time"/>
    <s v="Zone C"/>
    <s v="IT/IS"/>
    <s v="Yard (Material Handling)"/>
    <s v="Other"/>
    <s v="Fully Meets"/>
    <n v="2"/>
  </r>
  <r>
    <x v="2119"/>
    <x v="4"/>
    <x v="624"/>
    <s v="58-67"/>
    <n v="64"/>
    <d v="1958-01-10T00:00:00"/>
    <s v="Massachusetts"/>
    <s v="MA"/>
    <s v="Male"/>
    <s v="Married"/>
    <s v="BI Director"/>
    <s v="Terminated"/>
    <s v="Full-Time"/>
    <s v="Zone A"/>
    <s v="IT/IS"/>
    <s v="Field Operations"/>
    <s v="Black"/>
    <s v="Fully Meets"/>
    <n v="2"/>
  </r>
  <r>
    <x v="2120"/>
    <x v="0"/>
    <x v="556"/>
    <s v="58-67"/>
    <n v="64"/>
    <d v="1954-02-16T00:00:00"/>
    <s v="Massachusetts"/>
    <s v="MA"/>
    <s v="Female"/>
    <s v="Divorced"/>
    <s v="BI Developer"/>
    <s v="Active"/>
    <s v="Contract"/>
    <s v="Zone A"/>
    <s v="IT/IS"/>
    <s v="General - Sga"/>
    <s v="Other"/>
    <s v="Fully Meets"/>
    <n v="5"/>
  </r>
  <r>
    <x v="2121"/>
    <x v="2"/>
    <x v="552"/>
    <s v="58-67"/>
    <n v="64"/>
    <d v="1956-09-07T00:00:00"/>
    <s v="Washington"/>
    <s v="WA"/>
    <s v="Male"/>
    <s v="Single"/>
    <s v="Area Sales Manager"/>
    <s v="Active"/>
    <s v="Full-Time"/>
    <s v="Zone B"/>
    <s v="Sales"/>
    <s v="Splicing"/>
    <s v="Hispanic"/>
    <s v="Fully Meets"/>
    <n v="2"/>
  </r>
  <r>
    <x v="2122"/>
    <x v="0"/>
    <x v="846"/>
    <s v="58-67"/>
    <n v="64"/>
    <d v="1954-07-04T00:00:00"/>
    <s v="Texas"/>
    <s v="TX"/>
    <s v="Male"/>
    <s v="Married"/>
    <s v="Area Sales Manager"/>
    <s v="Active"/>
    <s v="Part-Time"/>
    <s v="Zone C"/>
    <s v="Sales"/>
    <s v="Engineers"/>
    <s v="Black"/>
    <s v="Needs Improvement"/>
    <n v="4"/>
  </r>
  <r>
    <x v="2123"/>
    <x v="2"/>
    <x v="1277"/>
    <s v="58-67"/>
    <n v="64"/>
    <d v="1956-07-23T00:00:00"/>
    <s v="Oregon"/>
    <s v="OR"/>
    <s v="Male"/>
    <s v="Divorced"/>
    <s v="Area Sales Manager"/>
    <s v="Active"/>
    <s v="Full-Time"/>
    <s v="Zone A"/>
    <s v="IT/IS"/>
    <s v="Shop (Fleet)"/>
    <s v="Other"/>
    <s v="Fully Meets"/>
    <n v="4"/>
  </r>
  <r>
    <x v="2124"/>
    <x v="1"/>
    <x v="547"/>
    <s v="58-67"/>
    <n v="64"/>
    <d v="1955-07-09T00:00:00"/>
    <s v="Massachusetts"/>
    <s v="MA"/>
    <s v="Male"/>
    <s v="Divorced"/>
    <s v="Area Sales Manager"/>
    <s v="Active"/>
    <s v="Full-Time"/>
    <s v="Zone C"/>
    <s v="Sales"/>
    <s v="General - Con"/>
    <s v="Black"/>
    <s v="Fully Meets"/>
    <n v="1"/>
  </r>
  <r>
    <x v="2125"/>
    <x v="5"/>
    <x v="1278"/>
    <s v="58-67"/>
    <n v="64"/>
    <d v="1959-11-02T00:00:00"/>
    <s v="Massachusetts"/>
    <s v="MA"/>
    <s v="Male"/>
    <s v="Widowed"/>
    <s v="Area Sales Manager"/>
    <s v="Active"/>
    <s v="Full-Time"/>
    <s v="Zone A"/>
    <s v="IT/IS"/>
    <s v="Field Operations"/>
    <s v="Hispanic"/>
    <s v="Fully Meets"/>
    <n v="1"/>
  </r>
  <r>
    <x v="2126"/>
    <x v="2"/>
    <x v="1022"/>
    <s v="58-67"/>
    <n v="64"/>
    <d v="1956-10-17T00:00:00"/>
    <s v="Kentucky"/>
    <s v="KY"/>
    <s v="Female"/>
    <s v="Married"/>
    <s v="Area Sales Manager"/>
    <s v="Active"/>
    <s v="Part-Time"/>
    <s v="Zone A"/>
    <s v="Sales"/>
    <s v="General - Con"/>
    <s v="Hispanic"/>
    <s v="Fully Meets"/>
    <n v="4"/>
  </r>
  <r>
    <x v="2127"/>
    <x v="3"/>
    <x v="907"/>
    <s v="58-67"/>
    <n v="64"/>
    <d v="1957-12-25T00:00:00"/>
    <s v="Indiana"/>
    <s v="IN"/>
    <s v="Male"/>
    <s v="Widowed"/>
    <s v="Area Sales Manager"/>
    <s v="Active"/>
    <s v="Full-Time"/>
    <s v="Zone C"/>
    <s v="Sales"/>
    <s v="General - Con"/>
    <s v="Asian"/>
    <s v="Fully Meets"/>
    <n v="3"/>
  </r>
  <r>
    <x v="2128"/>
    <x v="3"/>
    <x v="646"/>
    <s v="58-67"/>
    <n v="64"/>
    <d v="1957-01-10T00:00:00"/>
    <s v="Arizona"/>
    <s v="AZ"/>
    <s v="Male"/>
    <s v="Divorced"/>
    <s v="Area Sales Manager"/>
    <s v="Active"/>
    <s v="Contract"/>
    <s v="Zone B"/>
    <s v="Sales"/>
    <s v="Catv"/>
    <s v="Asian"/>
    <s v="Fully Meets"/>
    <n v="2"/>
  </r>
  <r>
    <x v="2129"/>
    <x v="2"/>
    <x v="227"/>
    <s v="58-67"/>
    <n v="64"/>
    <d v="1956-03-12T00:00:00"/>
    <s v="Massachusetts"/>
    <s v="MA"/>
    <s v="Female"/>
    <s v="Single"/>
    <s v="Administrative Assistant"/>
    <s v="Active"/>
    <s v="Part-Time"/>
    <s v="Zone B"/>
    <s v="Admin Offices"/>
    <s v="Field Operations"/>
    <s v="Other"/>
    <s v="PIP"/>
    <n v="3"/>
  </r>
  <r>
    <x v="2130"/>
    <x v="3"/>
    <x v="1184"/>
    <s v="58-67"/>
    <n v="64"/>
    <d v="1957-05-07T00:00:00"/>
    <s v="Massachusetts"/>
    <s v="MA"/>
    <s v="Female"/>
    <s v="Married"/>
    <s v="Accountant I"/>
    <s v="Active"/>
    <s v="Contract"/>
    <s v="Zone A"/>
    <s v="Admin Offices"/>
    <s v="Field Operations"/>
    <s v="Black"/>
    <s v="Exceeds"/>
    <n v="1"/>
  </r>
  <r>
    <x v="2131"/>
    <x v="4"/>
    <x v="1027"/>
    <s v="58-67"/>
    <n v="65"/>
    <d v="1957-11-23T00:00:00"/>
    <s v="Massachusetts"/>
    <s v="MA"/>
    <s v="Male"/>
    <s v="Widowed"/>
    <s v="Software Engineer"/>
    <s v="Active"/>
    <s v="Part-Time"/>
    <s v="Zone B"/>
    <s v="Software Engineering"/>
    <s v="Field Operations"/>
    <s v="White"/>
    <s v="Fully Meets"/>
    <n v="5"/>
  </r>
  <r>
    <x v="2132"/>
    <x v="1"/>
    <x v="1279"/>
    <s v="58-67"/>
    <n v="65"/>
    <d v="1954-09-26T00:00:00"/>
    <s v="Massachusetts"/>
    <s v="MA"/>
    <s v="Male"/>
    <s v="Married"/>
    <s v="Software Engineer"/>
    <s v="Terminated"/>
    <s v="Part-Time"/>
    <s v="Zone B"/>
    <s v="Software Engineering"/>
    <s v="Field Operations"/>
    <s v="White"/>
    <s v="Fully Meets"/>
    <n v="5"/>
  </r>
  <r>
    <x v="2133"/>
    <x v="1"/>
    <x v="1280"/>
    <s v="58-67"/>
    <n v="65"/>
    <d v="1954-11-06T00:00:00"/>
    <s v="Massachusetts"/>
    <s v="MA"/>
    <s v="Male"/>
    <s v="Single"/>
    <s v="Senior BI Developer"/>
    <s v="Active"/>
    <s v="Contract"/>
    <s v="Zone A"/>
    <s v="IT/IS"/>
    <s v="Project Management - Con"/>
    <s v="Other"/>
    <s v="Fully Meets"/>
    <n v="3"/>
  </r>
  <r>
    <x v="2134"/>
    <x v="5"/>
    <x v="1281"/>
    <s v="58-67"/>
    <n v="65"/>
    <d v="1958-03-24T00:00:00"/>
    <s v="Pennsylvania"/>
    <s v="PA"/>
    <s v="Female"/>
    <s v="Married"/>
    <s v="Production Technician II"/>
    <s v="Terminated"/>
    <s v="Contract"/>
    <s v="Zone C"/>
    <s v="Production       "/>
    <s v="Splicing"/>
    <s v="Asian"/>
    <s v="Fully Meets"/>
    <n v="2"/>
  </r>
  <r>
    <x v="2135"/>
    <x v="4"/>
    <x v="624"/>
    <s v="58-67"/>
    <n v="65"/>
    <d v="1957-03-25T00:00:00"/>
    <s v="Pennsylvania"/>
    <s v="PA"/>
    <s v="Female"/>
    <s v="Single"/>
    <s v="Production Technician II"/>
    <s v="Terminated"/>
    <s v="Full-Time"/>
    <s v="Zone A"/>
    <s v="Sales"/>
    <s v="Engineers"/>
    <s v="Asian"/>
    <s v="Fully Meets"/>
    <n v="5"/>
  </r>
  <r>
    <x v="2136"/>
    <x v="1"/>
    <x v="1282"/>
    <s v="58-67"/>
    <n v="65"/>
    <d v="1954-07-23T00:00:00"/>
    <s v="Massachusetts"/>
    <s v="MA"/>
    <s v="Male"/>
    <s v="Divorced"/>
    <s v="Production Technician II"/>
    <s v="Active"/>
    <s v="Contract"/>
    <s v="Zone B"/>
    <s v="Production       "/>
    <s v="General - Con"/>
    <s v="Hispanic"/>
    <s v="Fully Meets"/>
    <n v="4"/>
  </r>
  <r>
    <x v="2137"/>
    <x v="3"/>
    <x v="1155"/>
    <s v="58-67"/>
    <n v="65"/>
    <d v="1956-06-04T00:00:00"/>
    <s v="Massachusetts"/>
    <s v="MA"/>
    <s v="Male"/>
    <s v="Divorced"/>
    <s v="Production Technician II"/>
    <s v="Terminated"/>
    <s v="Contract"/>
    <s v="Zone C"/>
    <s v="Production       "/>
    <s v="Billable Consultants"/>
    <s v="Other"/>
    <s v="Exceeds"/>
    <n v="4"/>
  </r>
  <r>
    <x v="2138"/>
    <x v="4"/>
    <x v="873"/>
    <s v="58-67"/>
    <n v="65"/>
    <d v="1957-12-24T00:00:00"/>
    <s v="Massachusetts"/>
    <s v="MA"/>
    <s v="Female"/>
    <s v="Divorced"/>
    <s v="Production Technician II"/>
    <s v="Active"/>
    <s v="Contract"/>
    <s v="Zone B"/>
    <s v="Production       "/>
    <s v="Wireline Construction"/>
    <s v="Other"/>
    <s v="PIP"/>
    <n v="3"/>
  </r>
  <r>
    <x v="2139"/>
    <x v="3"/>
    <x v="339"/>
    <s v="58-67"/>
    <n v="65"/>
    <d v="1956-01-07T00:00:00"/>
    <s v="Massachusetts"/>
    <s v="MA"/>
    <s v="Male"/>
    <s v="Widowed"/>
    <s v="Production Technician II"/>
    <s v="Active"/>
    <s v="Contract"/>
    <s v="Zone C"/>
    <s v="Production       "/>
    <s v="Yard (Material Handling)"/>
    <s v="Hispanic"/>
    <s v="Fully Meets"/>
    <n v="1"/>
  </r>
  <r>
    <x v="2140"/>
    <x v="2"/>
    <x v="588"/>
    <s v="58-67"/>
    <n v="65"/>
    <d v="1955-12-08T00:00:00"/>
    <s v="Massachusetts"/>
    <s v="MA"/>
    <s v="Male"/>
    <s v="Divorced"/>
    <s v="Production Technician II"/>
    <s v="Active"/>
    <s v="Full-Time"/>
    <s v="Zone B"/>
    <s v="Production       "/>
    <s v="Engineers"/>
    <s v="Other"/>
    <s v="Exceeds"/>
    <n v="5"/>
  </r>
  <r>
    <x v="2141"/>
    <x v="2"/>
    <x v="832"/>
    <s v="58-67"/>
    <n v="65"/>
    <d v="1955-08-13T00:00:00"/>
    <s v="Massachusetts"/>
    <s v="MA"/>
    <s v="Female"/>
    <s v="Divorced"/>
    <s v="Production Technician II"/>
    <s v="Active"/>
    <s v="Full-Time"/>
    <s v="Zone A"/>
    <s v="Production       "/>
    <s v="Field Operations"/>
    <s v="White"/>
    <s v="Fully Meets"/>
    <n v="4"/>
  </r>
  <r>
    <x v="2142"/>
    <x v="2"/>
    <x v="1283"/>
    <s v="58-67"/>
    <n v="65"/>
    <d v="1955-02-16T00:00:00"/>
    <s v="Massachusetts"/>
    <s v="MA"/>
    <s v="Male"/>
    <s v="Single"/>
    <s v="Production Technician I"/>
    <s v="Active"/>
    <s v="Full-Time"/>
    <s v="Zone C"/>
    <s v="Production       "/>
    <s v="Engineers"/>
    <s v="Black"/>
    <s v="Fully Meets"/>
    <n v="1"/>
  </r>
  <r>
    <x v="2143"/>
    <x v="1"/>
    <x v="1128"/>
    <s v="58-67"/>
    <n v="65"/>
    <d v="1954-08-03T00:00:00"/>
    <s v="Massachusetts"/>
    <s v="MA"/>
    <s v="Male"/>
    <s v="Widowed"/>
    <s v="Production Technician I"/>
    <s v="Active"/>
    <s v="Contract"/>
    <s v="Zone C"/>
    <s v="Production       "/>
    <s v="Field Operations"/>
    <s v="Hispanic"/>
    <s v="Fully Meets"/>
    <n v="5"/>
  </r>
  <r>
    <x v="2144"/>
    <x v="3"/>
    <x v="1284"/>
    <s v="58-67"/>
    <n v="65"/>
    <d v="1956-01-06T00:00:00"/>
    <s v="Massachusetts"/>
    <s v="MA"/>
    <s v="Male"/>
    <s v="Divorced"/>
    <s v="Production Technician I"/>
    <s v="Active"/>
    <s v="Part-Time"/>
    <s v="Zone C"/>
    <s v="Production       "/>
    <s v="Finance &amp; Accounting"/>
    <s v="Other"/>
    <s v="Fully Meets"/>
    <n v="1"/>
  </r>
  <r>
    <x v="2145"/>
    <x v="1"/>
    <x v="1285"/>
    <s v="58-67"/>
    <n v="65"/>
    <d v="1954-05-28T00:00:00"/>
    <s v="Massachusetts"/>
    <s v="MA"/>
    <s v="Female"/>
    <s v="Divorced"/>
    <s v="Production Technician I"/>
    <s v="Terminated"/>
    <s v="Contract"/>
    <s v="Zone B"/>
    <s v="Production       "/>
    <s v="Aerial"/>
    <s v="Hispanic"/>
    <s v="Fully Meets"/>
    <n v="2"/>
  </r>
  <r>
    <x v="2146"/>
    <x v="2"/>
    <x v="1286"/>
    <s v="58-67"/>
    <n v="65"/>
    <d v="1955-05-17T00:00:00"/>
    <s v="Massachusetts"/>
    <s v="MA"/>
    <s v="Female"/>
    <s v="Single"/>
    <s v="Production Technician I"/>
    <s v="Terminated"/>
    <s v="Contract"/>
    <s v="Zone C"/>
    <s v="Production       "/>
    <s v="Finance &amp; Accounting"/>
    <s v="Other"/>
    <s v="Fully Meets"/>
    <n v="5"/>
  </r>
  <r>
    <x v="2147"/>
    <x v="4"/>
    <x v="624"/>
    <s v="58-67"/>
    <n v="65"/>
    <d v="1957-07-26T00:00:00"/>
    <s v="Massachusetts"/>
    <s v="MA"/>
    <s v="Male"/>
    <s v="Married"/>
    <s v="Production Technician I"/>
    <s v="Active"/>
    <s v="Part-Time"/>
    <s v="Zone A"/>
    <s v="Production       "/>
    <s v="Field Operations"/>
    <s v="Black"/>
    <s v="Exceeds"/>
    <n v="4"/>
  </r>
  <r>
    <x v="2148"/>
    <x v="1"/>
    <x v="182"/>
    <s v="58-67"/>
    <n v="65"/>
    <d v="1954-11-18T00:00:00"/>
    <s v="Massachusetts"/>
    <s v="MA"/>
    <s v="Female"/>
    <s v="Divorced"/>
    <s v="Production Technician I"/>
    <s v="Active"/>
    <s v="Part-Time"/>
    <s v="Zone C"/>
    <s v="Production       "/>
    <s v="Aerial"/>
    <s v="Black"/>
    <s v="Fully Meets"/>
    <n v="2"/>
  </r>
  <r>
    <x v="2149"/>
    <x v="1"/>
    <x v="1040"/>
    <s v="58-67"/>
    <n v="65"/>
    <d v="1954-11-15T00:00:00"/>
    <s v="Massachusetts"/>
    <s v="MA"/>
    <s v="Male"/>
    <s v="Divorced"/>
    <s v="Production Technician I"/>
    <s v="Active"/>
    <s v="Part-Time"/>
    <s v="Zone B"/>
    <s v="Production       "/>
    <s v="General - Con"/>
    <s v="Black"/>
    <s v="Fully Meets"/>
    <n v="1"/>
  </r>
  <r>
    <x v="2150"/>
    <x v="2"/>
    <x v="224"/>
    <s v="58-67"/>
    <n v="65"/>
    <d v="1955-02-08T00:00:00"/>
    <s v="Massachusetts"/>
    <s v="MA"/>
    <s v="Male"/>
    <s v="Married"/>
    <s v="Production Technician I"/>
    <s v="Active"/>
    <s v="Full-Time"/>
    <s v="Zone C"/>
    <s v="Production       "/>
    <s v="Splicing"/>
    <s v="Hispanic"/>
    <s v="Fully Meets"/>
    <n v="3"/>
  </r>
  <r>
    <x v="2151"/>
    <x v="4"/>
    <x v="1287"/>
    <s v="58-67"/>
    <n v="65"/>
    <d v="1957-03-14T00:00:00"/>
    <s v="Massachusetts"/>
    <s v="MA"/>
    <s v="Female"/>
    <s v="Married"/>
    <s v="Production Technician I"/>
    <s v="Active"/>
    <s v="Contract"/>
    <s v="Zone A"/>
    <s v="Production       "/>
    <s v="Billable Consultants"/>
    <s v="Asian"/>
    <s v="Fully Meets"/>
    <n v="4"/>
  </r>
  <r>
    <x v="2152"/>
    <x v="3"/>
    <x v="579"/>
    <s v="58-67"/>
    <n v="65"/>
    <d v="1956-09-19T00:00:00"/>
    <s v="Massachusetts"/>
    <s v="MA"/>
    <s v="Male"/>
    <s v="Married"/>
    <s v="Production Technician I"/>
    <s v="Active"/>
    <s v="Contract"/>
    <s v="Zone C"/>
    <s v="Production       "/>
    <s v="Engineers"/>
    <s v="Hispanic"/>
    <s v="Exceeds"/>
    <n v="4"/>
  </r>
  <r>
    <x v="2153"/>
    <x v="2"/>
    <x v="1288"/>
    <s v="58-67"/>
    <n v="65"/>
    <d v="1955-08-20T00:00:00"/>
    <s v="Massachusetts"/>
    <s v="MA"/>
    <s v="Male"/>
    <s v="Divorced"/>
    <s v="Production Technician I"/>
    <s v="Active"/>
    <s v="Part-Time"/>
    <s v="Zone B"/>
    <s v="Production       "/>
    <s v="Field Operations"/>
    <s v="White"/>
    <s v="Fully Meets"/>
    <n v="5"/>
  </r>
  <r>
    <x v="2154"/>
    <x v="2"/>
    <x v="481"/>
    <s v="58-67"/>
    <n v="65"/>
    <d v="1955-02-28T00:00:00"/>
    <s v="Massachusetts"/>
    <s v="MA"/>
    <s v="Male"/>
    <s v="Divorced"/>
    <s v="Production Technician I"/>
    <s v="Active"/>
    <s v="Part-Time"/>
    <s v="Zone C"/>
    <s v="Production       "/>
    <s v="Wireless"/>
    <s v="Asian"/>
    <s v="Fully Meets"/>
    <n v="1"/>
  </r>
  <r>
    <x v="2155"/>
    <x v="4"/>
    <x v="530"/>
    <s v="58-67"/>
    <n v="65"/>
    <d v="1957-05-17T00:00:00"/>
    <s v="Massachusetts"/>
    <s v="MA"/>
    <s v="Female"/>
    <s v="Single"/>
    <s v="Production Technician I"/>
    <s v="Active"/>
    <s v="Full-Time"/>
    <s v="Zone A"/>
    <s v="Production       "/>
    <s v="General - Con"/>
    <s v="Asian"/>
    <s v="Needs Improvement"/>
    <n v="3"/>
  </r>
  <r>
    <x v="2156"/>
    <x v="4"/>
    <x v="1136"/>
    <s v="58-67"/>
    <n v="65"/>
    <d v="1957-10-04T00:00:00"/>
    <s v="Massachusetts"/>
    <s v="MA"/>
    <s v="Female"/>
    <s v="Single"/>
    <s v="Production Technician I"/>
    <s v="Active"/>
    <s v="Full-Time"/>
    <s v="Zone B"/>
    <s v="Production       "/>
    <s v="Field Operations"/>
    <s v="White"/>
    <s v="Fully Meets"/>
    <n v="2"/>
  </r>
  <r>
    <x v="2157"/>
    <x v="0"/>
    <x v="351"/>
    <s v="58-67"/>
    <n v="65"/>
    <d v="1953-11-26T00:00:00"/>
    <s v="Massachusetts"/>
    <s v="MA"/>
    <s v="Male"/>
    <s v="Married"/>
    <s v="Production Technician I"/>
    <s v="Active"/>
    <s v="Contract"/>
    <s v="Zone A"/>
    <s v="Production       "/>
    <s v="General - Eng"/>
    <s v="Black"/>
    <s v="PIP"/>
    <n v="5"/>
  </r>
  <r>
    <x v="2158"/>
    <x v="3"/>
    <x v="1289"/>
    <s v="58-67"/>
    <n v="65"/>
    <d v="1956-05-29T00:00:00"/>
    <s v="Massachusetts"/>
    <s v="MA"/>
    <s v="Female"/>
    <s v="Single"/>
    <s v="Production Technician I"/>
    <s v="Active"/>
    <s v="Contract"/>
    <s v="Zone C"/>
    <s v="Production       "/>
    <s v="General - Con"/>
    <s v="Hispanic"/>
    <s v="Fully Meets"/>
    <n v="1"/>
  </r>
  <r>
    <x v="2159"/>
    <x v="0"/>
    <x v="3"/>
    <s v="58-67"/>
    <n v="65"/>
    <d v="1953-04-11T00:00:00"/>
    <s v="Massachusetts"/>
    <s v="MA"/>
    <s v="Male"/>
    <s v="Married"/>
    <s v="Production Technician I"/>
    <s v="Active"/>
    <s v="Contract"/>
    <s v="Zone A"/>
    <s v="Production       "/>
    <s v="Splicing"/>
    <s v="Hispanic"/>
    <s v="Fully Meets"/>
    <n v="4"/>
  </r>
  <r>
    <x v="2160"/>
    <x v="1"/>
    <x v="363"/>
    <s v="58-67"/>
    <n v="65"/>
    <d v="1954-02-28T00:00:00"/>
    <s v="Massachusetts"/>
    <s v="MA"/>
    <s v="Male"/>
    <s v="Single"/>
    <s v="Production Technician I"/>
    <s v="Active"/>
    <s v="Full-Time"/>
    <s v="Zone C"/>
    <s v="Production       "/>
    <s v="Field Operations"/>
    <s v="Black"/>
    <s v="Fully Meets"/>
    <n v="3"/>
  </r>
  <r>
    <x v="2161"/>
    <x v="5"/>
    <x v="1290"/>
    <s v="58-67"/>
    <n v="65"/>
    <d v="1958-06-13T00:00:00"/>
    <s v="Massachusetts"/>
    <s v="MA"/>
    <s v="Male"/>
    <s v="Married"/>
    <s v="Production Manager"/>
    <s v="Active"/>
    <s v="Full-Time"/>
    <s v="Zone B"/>
    <s v="Production       "/>
    <s v="Wireline Construction"/>
    <s v="White"/>
    <s v="Fully Meets"/>
    <n v="4"/>
  </r>
  <r>
    <x v="2162"/>
    <x v="0"/>
    <x v="799"/>
    <s v="58-67"/>
    <n v="65"/>
    <d v="1953-08-25T00:00:00"/>
    <s v="Massachusetts"/>
    <s v="MA"/>
    <s v="Female"/>
    <s v="Married"/>
    <s v="Production Manager"/>
    <s v="Terminated"/>
    <s v="Contract"/>
    <s v="Zone A"/>
    <s v="Production       "/>
    <s v="Engineers"/>
    <s v="Black"/>
    <s v="Fully Meets"/>
    <n v="1"/>
  </r>
  <r>
    <x v="2163"/>
    <x v="4"/>
    <x v="1291"/>
    <s v="58-67"/>
    <n v="65"/>
    <d v="1957-03-25T00:00:00"/>
    <s v="Massachusetts"/>
    <s v="MA"/>
    <s v="Female"/>
    <s v="Widowed"/>
    <s v="Production Manager"/>
    <s v="Active"/>
    <s v="Part-Time"/>
    <s v="Zone A"/>
    <s v="Production       "/>
    <s v="Field Operations"/>
    <s v="White"/>
    <s v="Fully Meets"/>
    <n v="1"/>
  </r>
  <r>
    <x v="2164"/>
    <x v="5"/>
    <x v="730"/>
    <s v="58-67"/>
    <n v="65"/>
    <d v="1958-04-27T00:00:00"/>
    <s v="Massachusetts"/>
    <s v="MA"/>
    <s v="Female"/>
    <s v="Married"/>
    <s v="Production Manager"/>
    <s v="Active"/>
    <s v="Full-Time"/>
    <s v="Zone B"/>
    <s v="Production       "/>
    <s v="Field Operations"/>
    <s v="Other"/>
    <s v="Fully Meets"/>
    <n v="2"/>
  </r>
  <r>
    <x v="2165"/>
    <x v="3"/>
    <x v="1292"/>
    <s v="58-67"/>
    <n v="65"/>
    <d v="1956-07-11T00:00:00"/>
    <s v="Massachusetts"/>
    <s v="MA"/>
    <s v="Male"/>
    <s v="Widowed"/>
    <s v="Network Engineer"/>
    <s v="Active"/>
    <s v="Full-Time"/>
    <s v="Zone A"/>
    <s v="IT/IS"/>
    <s v="General - Con"/>
    <s v="White"/>
    <s v="Fully Meets"/>
    <n v="2"/>
  </r>
  <r>
    <x v="2166"/>
    <x v="3"/>
    <x v="1293"/>
    <s v="58-67"/>
    <n v="65"/>
    <d v="1956-08-10T00:00:00"/>
    <s v="Massachusetts"/>
    <s v="MA"/>
    <s v="Male"/>
    <s v="Single"/>
    <s v="IT Support"/>
    <s v="Active"/>
    <s v="Full-Time"/>
    <s v="Zone A"/>
    <s v="IT/IS"/>
    <s v="Field Operations"/>
    <s v="Hispanic"/>
    <s v="Fully Meets"/>
    <n v="1"/>
  </r>
  <r>
    <x v="2167"/>
    <x v="3"/>
    <x v="420"/>
    <s v="58-67"/>
    <n v="65"/>
    <d v="1956-06-11T00:00:00"/>
    <s v="Massachusetts"/>
    <s v="MA"/>
    <s v="Male"/>
    <s v="Married"/>
    <s v="IT Manager - DB"/>
    <s v="Active"/>
    <s v="Contract"/>
    <s v="Zone B"/>
    <s v="IT/IS"/>
    <s v="General - Con"/>
    <s v="Hispanic"/>
    <s v="Fully Meets"/>
    <n v="5"/>
  </r>
  <r>
    <x v="2168"/>
    <x v="4"/>
    <x v="1080"/>
    <s v="58-67"/>
    <n v="65"/>
    <d v="1957-09-09T00:00:00"/>
    <s v="Massachusetts"/>
    <s v="MA"/>
    <s v="Male"/>
    <s v="Single"/>
    <s v="IT Director"/>
    <s v="Active"/>
    <s v="Part-Time"/>
    <s v="Zone A"/>
    <s v="IT/IS"/>
    <s v="Engineers"/>
    <s v="White"/>
    <s v="Fully Meets"/>
    <n v="2"/>
  </r>
  <r>
    <x v="2169"/>
    <x v="4"/>
    <x v="1062"/>
    <s v="58-67"/>
    <n v="65"/>
    <d v="1957-06-12T00:00:00"/>
    <s v="Massachusetts"/>
    <s v="MA"/>
    <s v="Female"/>
    <s v="Married"/>
    <s v="Database Administrator"/>
    <s v="Active"/>
    <s v="Part-Time"/>
    <s v="Zone B"/>
    <s v="IT/IS"/>
    <s v="Aerial"/>
    <s v="Other"/>
    <s v="Needs Improvement"/>
    <n v="1"/>
  </r>
  <r>
    <x v="2170"/>
    <x v="2"/>
    <x v="1294"/>
    <s v="58-67"/>
    <n v="65"/>
    <d v="1955-05-28T00:00:00"/>
    <s v="Massachusetts"/>
    <s v="MA"/>
    <s v="Female"/>
    <s v="Married"/>
    <s v="Data Analyst"/>
    <s v="Active"/>
    <s v="Part-Time"/>
    <s v="Zone B"/>
    <s v="IT/IS"/>
    <s v="Field Operations"/>
    <s v="Hispanic"/>
    <s v="Fully Meets"/>
    <n v="1"/>
  </r>
  <r>
    <x v="2171"/>
    <x v="4"/>
    <x v="942"/>
    <s v="58-67"/>
    <n v="65"/>
    <d v="1957-11-19T00:00:00"/>
    <s v="Massachusetts"/>
    <s v="MA"/>
    <s v="Male"/>
    <s v="Divorced"/>
    <s v="Data Analyst"/>
    <s v="Active"/>
    <s v="Full-Time"/>
    <s v="Zone B"/>
    <s v="IT/IS"/>
    <s v="Engineers"/>
    <s v="White"/>
    <s v="Fully Meets"/>
    <n v="4"/>
  </r>
  <r>
    <x v="2172"/>
    <x v="0"/>
    <x v="3"/>
    <s v="58-67"/>
    <n v="65"/>
    <d v="1953-03-30T00:00:00"/>
    <s v="Massachusetts"/>
    <s v="MA"/>
    <s v="Female"/>
    <s v="Single"/>
    <s v="Accountant I"/>
    <s v="Active"/>
    <s v="Full-Time"/>
    <s v="Zone A"/>
    <s v="Admin Offices"/>
    <s v="General - Con"/>
    <s v="White"/>
    <s v="Fully Meets"/>
    <n v="3"/>
  </r>
  <r>
    <x v="2173"/>
    <x v="3"/>
    <x v="1295"/>
    <s v="58-67"/>
    <n v="66"/>
    <d v="1955-03-16T00:00:00"/>
    <s v="Massachusetts"/>
    <s v="MA"/>
    <s v="Female"/>
    <s v="Single"/>
    <s v="Sr. Network Engineer"/>
    <s v="Active"/>
    <s v="Full-Time"/>
    <s v="Zone C"/>
    <s v="IT/IS"/>
    <s v="Aerial"/>
    <s v="Hispanic"/>
    <s v="Exceeds"/>
    <n v="4"/>
  </r>
  <r>
    <x v="2174"/>
    <x v="4"/>
    <x v="1056"/>
    <s v="58-67"/>
    <n v="66"/>
    <d v="1956-03-23T00:00:00"/>
    <s v="Pennsylvania"/>
    <s v="PA"/>
    <s v="Female"/>
    <s v="Widowed"/>
    <s v="Production Technician II"/>
    <s v="Terminated"/>
    <s v="Contract"/>
    <s v="Zone A"/>
    <s v="Sales"/>
    <s v="Shop (Fleet)"/>
    <s v="White"/>
    <s v="Fully Meets"/>
    <n v="5"/>
  </r>
  <r>
    <x v="2175"/>
    <x v="4"/>
    <x v="1122"/>
    <s v="58-67"/>
    <n v="66"/>
    <d v="1956-01-26T00:00:00"/>
    <s v="Massachusetts"/>
    <s v="MA"/>
    <s v="Female"/>
    <s v="Married"/>
    <s v="Production Technician II"/>
    <s v="Active"/>
    <s v="Full-Time"/>
    <s v="Zone B"/>
    <s v="Production       "/>
    <s v="General - Con"/>
    <s v="Black"/>
    <s v="Fully Meets"/>
    <n v="4"/>
  </r>
  <r>
    <x v="2176"/>
    <x v="0"/>
    <x v="1296"/>
    <s v="58-67"/>
    <n v="66"/>
    <d v="1952-01-24T00:00:00"/>
    <s v="Massachusetts"/>
    <s v="MA"/>
    <s v="Female"/>
    <s v="Married"/>
    <s v="Production Technician II"/>
    <s v="Active"/>
    <s v="Full-Time"/>
    <s v="Zone B"/>
    <s v="Production       "/>
    <s v="Field Operations"/>
    <s v="Other"/>
    <s v="Fully Meets"/>
    <n v="4"/>
  </r>
  <r>
    <x v="2177"/>
    <x v="1"/>
    <x v="626"/>
    <s v="58-67"/>
    <n v="66"/>
    <d v="1953-03-01T00:00:00"/>
    <s v="Massachusetts"/>
    <s v="MA"/>
    <s v="Male"/>
    <s v="Married"/>
    <s v="Production Technician II"/>
    <s v="Active"/>
    <s v="Part-Time"/>
    <s v="Zone B"/>
    <s v="Production       "/>
    <s v="Project Management - Con"/>
    <s v="Hispanic"/>
    <s v="Fully Meets"/>
    <n v="4"/>
  </r>
  <r>
    <x v="2178"/>
    <x v="1"/>
    <x v="1085"/>
    <s v="58-67"/>
    <n v="66"/>
    <d v="1953-03-29T00:00:00"/>
    <s v="Massachusetts"/>
    <s v="MA"/>
    <s v="Female"/>
    <s v="Single"/>
    <s v="Production Technician II"/>
    <s v="Active"/>
    <s v="Full-Time"/>
    <s v="Zone B"/>
    <s v="Production       "/>
    <s v="Field Operations"/>
    <s v="White"/>
    <s v="Needs Improvement"/>
    <n v="4"/>
  </r>
  <r>
    <x v="2179"/>
    <x v="1"/>
    <x v="1297"/>
    <s v="58-67"/>
    <n v="66"/>
    <d v="1953-05-09T00:00:00"/>
    <s v="Massachusetts"/>
    <s v="MA"/>
    <s v="Male"/>
    <s v="Divorced"/>
    <s v="Production Technician II"/>
    <s v="Active"/>
    <s v="Full-Time"/>
    <s v="Zone A"/>
    <s v="Production       "/>
    <s v="Engineers"/>
    <s v="Asian"/>
    <s v="Needs Improvement"/>
    <n v="2"/>
  </r>
  <r>
    <x v="2180"/>
    <x v="3"/>
    <x v="1298"/>
    <s v="58-67"/>
    <n v="66"/>
    <d v="1955-09-01T00:00:00"/>
    <s v="Massachusetts"/>
    <s v="MA"/>
    <s v="Female"/>
    <s v="Single"/>
    <s v="Production Technician II"/>
    <s v="Active"/>
    <s v="Contract"/>
    <s v="Zone B"/>
    <s v="Production       "/>
    <s v="Field Operations"/>
    <s v="Other"/>
    <s v="Fully Meets"/>
    <n v="3"/>
  </r>
  <r>
    <x v="2181"/>
    <x v="5"/>
    <x v="197"/>
    <s v="58-67"/>
    <n v="66"/>
    <d v="1957-06-20T00:00:00"/>
    <s v="Massachusetts"/>
    <s v="MA"/>
    <s v="Female"/>
    <s v="Married"/>
    <s v="Production Technician II"/>
    <s v="Active"/>
    <s v="Part-Time"/>
    <s v="Zone B"/>
    <s v="Production       "/>
    <s v="General - Con"/>
    <s v="Hispanic"/>
    <s v="Fully Meets"/>
    <n v="2"/>
  </r>
  <r>
    <x v="2182"/>
    <x v="1"/>
    <x v="14"/>
    <s v="58-67"/>
    <n v="66"/>
    <d v="1953-09-19T00:00:00"/>
    <s v="Massachusetts"/>
    <s v="MA"/>
    <s v="Female"/>
    <s v="Single"/>
    <s v="Production Technician II"/>
    <s v="Active"/>
    <s v="Part-Time"/>
    <s v="Zone A"/>
    <s v="Production       "/>
    <s v="General - Con"/>
    <s v="Black"/>
    <s v="Fully Meets"/>
    <n v="1"/>
  </r>
  <r>
    <x v="2183"/>
    <x v="2"/>
    <x v="868"/>
    <s v="58-67"/>
    <n v="66"/>
    <d v="1954-07-03T00:00:00"/>
    <s v="Massachusetts"/>
    <s v="MA"/>
    <s v="Male"/>
    <s v="Widowed"/>
    <s v="Production Technician I"/>
    <s v="Active"/>
    <s v="Part-Time"/>
    <s v="Zone B"/>
    <s v="Production       "/>
    <s v="Field Operations"/>
    <s v="Black"/>
    <s v="Fully Meets"/>
    <n v="4"/>
  </r>
  <r>
    <x v="2184"/>
    <x v="4"/>
    <x v="1027"/>
    <s v="58-67"/>
    <n v="66"/>
    <d v="1956-05-19T00:00:00"/>
    <s v="Massachusetts"/>
    <s v="MA"/>
    <s v="Male"/>
    <s v="Single"/>
    <s v="Production Technician I"/>
    <s v="Active"/>
    <s v="Full-Time"/>
    <s v="Zone A"/>
    <s v="Production       "/>
    <s v="Field Operations"/>
    <s v="Hispanic"/>
    <s v="Fully Meets"/>
    <n v="2"/>
  </r>
  <r>
    <x v="2185"/>
    <x v="5"/>
    <x v="765"/>
    <s v="58-67"/>
    <n v="66"/>
    <d v="1957-08-09T00:00:00"/>
    <s v="Massachusetts"/>
    <s v="MA"/>
    <s v="Male"/>
    <s v="Married"/>
    <s v="Production Technician I"/>
    <s v="Active"/>
    <s v="Contract"/>
    <s v="Zone C"/>
    <s v="Production       "/>
    <s v="General - Con"/>
    <s v="Hispanic"/>
    <s v="Fully Meets"/>
    <n v="1"/>
  </r>
  <r>
    <x v="2186"/>
    <x v="3"/>
    <x v="327"/>
    <s v="58-67"/>
    <n v="66"/>
    <d v="1955-04-13T00:00:00"/>
    <s v="Massachusetts"/>
    <s v="MA"/>
    <s v="Male"/>
    <s v="Single"/>
    <s v="Production Technician I"/>
    <s v="Terminated"/>
    <s v="Contract"/>
    <s v="Zone C"/>
    <s v="Production       "/>
    <s v="Aerial"/>
    <s v="Hispanic"/>
    <s v="Fully Meets"/>
    <n v="3"/>
  </r>
  <r>
    <x v="2187"/>
    <x v="0"/>
    <x v="1299"/>
    <s v="58-67"/>
    <n v="66"/>
    <d v="1952-06-28T00:00:00"/>
    <s v="Massachusetts"/>
    <s v="MA"/>
    <s v="Male"/>
    <s v="Widowed"/>
    <s v="Production Technician I"/>
    <s v="Active"/>
    <s v="Full-Time"/>
    <s v="Zone A"/>
    <s v="Production       "/>
    <s v="Field Operations"/>
    <s v="Hispanic"/>
    <s v="Fully Meets"/>
    <n v="5"/>
  </r>
  <r>
    <x v="2188"/>
    <x v="4"/>
    <x v="1300"/>
    <s v="58-67"/>
    <n v="66"/>
    <d v="1956-02-11T00:00:00"/>
    <s v="Massachusetts"/>
    <s v="MA"/>
    <s v="Female"/>
    <s v="Single"/>
    <s v="Production Technician I"/>
    <s v="Active"/>
    <s v="Contract"/>
    <s v="Zone C"/>
    <s v="Production       "/>
    <s v="Wireline Construction"/>
    <s v="Hispanic"/>
    <s v="Fully Meets"/>
    <n v="2"/>
  </r>
  <r>
    <x v="2189"/>
    <x v="5"/>
    <x v="1020"/>
    <s v="58-67"/>
    <n v="66"/>
    <d v="1957-02-14T00:00:00"/>
    <s v="Massachusetts"/>
    <s v="MA"/>
    <s v="Male"/>
    <s v="Married"/>
    <s v="Production Technician I"/>
    <s v="Active"/>
    <s v="Part-Time"/>
    <s v="Zone B"/>
    <s v="Production       "/>
    <s v="Field Operations"/>
    <s v="Black"/>
    <s v="Fully Meets"/>
    <n v="2"/>
  </r>
  <r>
    <x v="2190"/>
    <x v="5"/>
    <x v="903"/>
    <s v="58-67"/>
    <n v="66"/>
    <d v="1957-01-04T00:00:00"/>
    <s v="Massachusetts"/>
    <s v="MA"/>
    <s v="Female"/>
    <s v="Divorced"/>
    <s v="Production Technician I"/>
    <s v="Active"/>
    <s v="Contract"/>
    <s v="Zone B"/>
    <s v="Production       "/>
    <s v="Field Operations"/>
    <s v="Hispanic"/>
    <s v="Fully Meets"/>
    <n v="4"/>
  </r>
  <r>
    <x v="2191"/>
    <x v="0"/>
    <x v="164"/>
    <s v="58-67"/>
    <n v="66"/>
    <d v="1952-12-17T00:00:00"/>
    <s v="Massachusetts"/>
    <s v="MA"/>
    <s v="Male"/>
    <s v="Divorced"/>
    <s v="Production Technician I"/>
    <s v="Active"/>
    <s v="Part-Time"/>
    <s v="Zone A"/>
    <s v="Production       "/>
    <s v="Finance &amp; Accounting"/>
    <s v="Asian"/>
    <s v="Exceeds"/>
    <n v="2"/>
  </r>
  <r>
    <x v="2192"/>
    <x v="5"/>
    <x v="1109"/>
    <s v="58-67"/>
    <n v="66"/>
    <d v="1957-04-09T00:00:00"/>
    <s v="Massachusetts"/>
    <s v="MA"/>
    <s v="Female"/>
    <s v="Divorced"/>
    <s v="Production Technician I"/>
    <s v="Active"/>
    <s v="Part-Time"/>
    <s v="Zone A"/>
    <s v="Production       "/>
    <s v="Field Operations"/>
    <s v="Asian"/>
    <s v="Fully Meets"/>
    <n v="3"/>
  </r>
  <r>
    <x v="2193"/>
    <x v="3"/>
    <x v="838"/>
    <s v="58-67"/>
    <n v="66"/>
    <d v="1955-04-25T00:00:00"/>
    <s v="Massachusetts"/>
    <s v="MA"/>
    <s v="Female"/>
    <s v="Married"/>
    <s v="Production Technician I"/>
    <s v="Active"/>
    <s v="Contract"/>
    <s v="Zone A"/>
    <s v="Production       "/>
    <s v="Engineers"/>
    <s v="Asian"/>
    <s v="Exceeds"/>
    <n v="2"/>
  </r>
  <r>
    <x v="2194"/>
    <x v="1"/>
    <x v="820"/>
    <s v="58-67"/>
    <n v="66"/>
    <d v="1953-11-26T00:00:00"/>
    <s v="Massachusetts"/>
    <s v="MA"/>
    <s v="Female"/>
    <s v="Single"/>
    <s v="Production Technician I"/>
    <s v="Active"/>
    <s v="Contract"/>
    <s v="Zone A"/>
    <s v="Production       "/>
    <s v="Field Operations"/>
    <s v="Black"/>
    <s v="Needs Improvement"/>
    <n v="2"/>
  </r>
  <r>
    <x v="2195"/>
    <x v="4"/>
    <x v="791"/>
    <s v="58-67"/>
    <n v="66"/>
    <d v="1956-06-12T00:00:00"/>
    <s v="Massachusetts"/>
    <s v="MA"/>
    <s v="Female"/>
    <s v="Married"/>
    <s v="Production Technician I"/>
    <s v="Active"/>
    <s v="Part-Time"/>
    <s v="Zone B"/>
    <s v="Production       "/>
    <s v="General - Con"/>
    <s v="White"/>
    <s v="Fully Meets"/>
    <n v="2"/>
  </r>
  <r>
    <x v="2196"/>
    <x v="4"/>
    <x v="755"/>
    <s v="58-67"/>
    <n v="66"/>
    <d v="1956-03-09T00:00:00"/>
    <s v="Massachusetts"/>
    <s v="MA"/>
    <s v="Female"/>
    <s v="Divorced"/>
    <s v="Production Technician I"/>
    <s v="Active"/>
    <s v="Part-Time"/>
    <s v="Zone B"/>
    <s v="Production       "/>
    <s v="Aerial"/>
    <s v="Asian"/>
    <s v="Fully Meets"/>
    <n v="5"/>
  </r>
  <r>
    <x v="2197"/>
    <x v="3"/>
    <x v="1301"/>
    <s v="58-67"/>
    <n v="66"/>
    <d v="1955-03-11T00:00:00"/>
    <s v="Massachusetts"/>
    <s v="MA"/>
    <s v="Male"/>
    <s v="Divorced"/>
    <s v="Production Technician I"/>
    <s v="Active"/>
    <s v="Full-Time"/>
    <s v="Zone C"/>
    <s v="Production       "/>
    <s v="Project Management - Con"/>
    <s v="Asian"/>
    <s v="Fully Meets"/>
    <n v="2"/>
  </r>
  <r>
    <x v="2198"/>
    <x v="5"/>
    <x v="402"/>
    <s v="58-67"/>
    <n v="66"/>
    <d v="1957-10-20T00:00:00"/>
    <s v="Massachusetts"/>
    <s v="MA"/>
    <s v="Female"/>
    <s v="Divorced"/>
    <s v="Production Technician I"/>
    <s v="Active"/>
    <s v="Contract"/>
    <s v="Zone A"/>
    <s v="Production       "/>
    <s v="General - Con"/>
    <s v="Asian"/>
    <s v="Fully Meets"/>
    <n v="3"/>
  </r>
  <r>
    <x v="2199"/>
    <x v="4"/>
    <x v="1219"/>
    <s v="58-67"/>
    <n v="66"/>
    <d v="1956-05-04T00:00:00"/>
    <s v="Massachusetts"/>
    <s v="MA"/>
    <s v="Female"/>
    <s v="Single"/>
    <s v="Production Technician I"/>
    <s v="Active"/>
    <s v="Part-Time"/>
    <s v="Zone A"/>
    <s v="Production       "/>
    <s v="Splicing"/>
    <s v="Black"/>
    <s v="Fully Meets"/>
    <n v="4"/>
  </r>
  <r>
    <x v="2200"/>
    <x v="3"/>
    <x v="850"/>
    <s v="58-67"/>
    <n v="66"/>
    <d v="1955-05-29T00:00:00"/>
    <s v="Massachusetts"/>
    <s v="MA"/>
    <s v="Male"/>
    <s v="Divorced"/>
    <s v="Production Technician I"/>
    <s v="Active"/>
    <s v="Full-Time"/>
    <s v="Zone A"/>
    <s v="Production       "/>
    <s v="Wireline Construction"/>
    <s v="Other"/>
    <s v="Exceeds"/>
    <n v="3"/>
  </r>
  <r>
    <x v="2201"/>
    <x v="5"/>
    <x v="1127"/>
    <s v="58-67"/>
    <n v="66"/>
    <d v="1957-12-04T00:00:00"/>
    <s v="Massachusetts"/>
    <s v="MA"/>
    <s v="Female"/>
    <s v="Single"/>
    <s v="Production Technician I"/>
    <s v="Active"/>
    <s v="Contract"/>
    <s v="Zone C"/>
    <s v="Production       "/>
    <s v="Field Operations"/>
    <s v="Hispanic"/>
    <s v="Fully Meets"/>
    <n v="4"/>
  </r>
  <r>
    <x v="2202"/>
    <x v="4"/>
    <x v="542"/>
    <s v="58-67"/>
    <n v="66"/>
    <d v="1956-07-14T00:00:00"/>
    <s v="Massachusetts"/>
    <s v="MA"/>
    <s v="Male"/>
    <s v="Single"/>
    <s v="Production Technician I"/>
    <s v="Terminated"/>
    <s v="Full-Time"/>
    <s v="Zone A"/>
    <s v="Production       "/>
    <s v="General - Con"/>
    <s v="White"/>
    <s v="Fully Meets"/>
    <n v="3"/>
  </r>
  <r>
    <x v="2203"/>
    <x v="5"/>
    <x v="1151"/>
    <s v="58-67"/>
    <n v="66"/>
    <d v="1957-01-14T00:00:00"/>
    <s v="Massachusetts"/>
    <s v="MA"/>
    <s v="Male"/>
    <s v="Married"/>
    <s v="Production Technician I"/>
    <s v="Active"/>
    <s v="Contract"/>
    <s v="Zone C"/>
    <s v="Production       "/>
    <s v="Finance &amp; Accounting"/>
    <s v="Asian"/>
    <s v="Fully Meets"/>
    <n v="2"/>
  </r>
  <r>
    <x v="2204"/>
    <x v="1"/>
    <x v="381"/>
    <s v="58-67"/>
    <n v="66"/>
    <d v="1953-03-08T00:00:00"/>
    <s v="Massachusetts"/>
    <s v="MA"/>
    <s v="Male"/>
    <s v="Widowed"/>
    <s v="Production Technician I"/>
    <s v="Terminated"/>
    <s v="Full-Time"/>
    <s v="Zone C"/>
    <s v="Production       "/>
    <s v="Field Operations"/>
    <s v="Asian"/>
    <s v="Fully Meets"/>
    <n v="4"/>
  </r>
  <r>
    <x v="2205"/>
    <x v="2"/>
    <x v="746"/>
    <s v="58-67"/>
    <n v="66"/>
    <d v="1954-08-30T00:00:00"/>
    <s v="Massachusetts"/>
    <s v="MA"/>
    <s v="Female"/>
    <s v="Widowed"/>
    <s v="Production Technician I"/>
    <s v="Active"/>
    <s v="Contract"/>
    <s v="Zone B"/>
    <s v="Production       "/>
    <s v="Yard (Material Handling)"/>
    <s v="Other"/>
    <s v="Fully Meets"/>
    <n v="4"/>
  </r>
  <r>
    <x v="2206"/>
    <x v="4"/>
    <x v="79"/>
    <s v="58-67"/>
    <n v="66"/>
    <d v="1956-08-27T00:00:00"/>
    <s v="Massachusetts"/>
    <s v="MA"/>
    <s v="Male"/>
    <s v="Single"/>
    <s v="IT Support"/>
    <s v="Active"/>
    <s v="Part-Time"/>
    <s v="Zone A"/>
    <s v="IT/IS"/>
    <s v="Finance &amp; Accounting"/>
    <s v="Other"/>
    <s v="PIP"/>
    <n v="3"/>
  </r>
  <r>
    <x v="2207"/>
    <x v="3"/>
    <x v="102"/>
    <s v="58-67"/>
    <n v="66"/>
    <d v="1955-09-05T00:00:00"/>
    <s v="Massachusetts"/>
    <s v="MA"/>
    <s v="Male"/>
    <s v="Single"/>
    <s v="Director of Operations"/>
    <s v="Active"/>
    <s v="Full-Time"/>
    <s v="Zone C"/>
    <s v="IT/IS"/>
    <s v="Field Operations"/>
    <s v="White"/>
    <s v="Fully Meets"/>
    <n v="2"/>
  </r>
  <r>
    <x v="2208"/>
    <x v="5"/>
    <x v="442"/>
    <s v="58-67"/>
    <n v="66"/>
    <d v="1957-09-07T00:00:00"/>
    <s v="Massachusetts"/>
    <s v="MA"/>
    <s v="Female"/>
    <s v="Single"/>
    <s v="Data Analyst"/>
    <s v="Active"/>
    <s v="Part-Time"/>
    <s v="Zone C"/>
    <s v="IT/IS"/>
    <s v="Wireline Construction"/>
    <s v="Black"/>
    <s v="Fully Meets"/>
    <n v="1"/>
  </r>
  <r>
    <x v="2209"/>
    <x v="1"/>
    <x v="11"/>
    <s v="58-67"/>
    <n v="66"/>
    <d v="1953-04-17T00:00:00"/>
    <s v="Massachusetts"/>
    <s v="MA"/>
    <s v="Male"/>
    <s v="Widowed"/>
    <s v="Data Analyst"/>
    <s v="Active"/>
    <s v="Full-Time"/>
    <s v="Zone C"/>
    <s v="Production       "/>
    <s v="Finance &amp; Accounting"/>
    <s v="Other"/>
    <s v="Fully Meets"/>
    <n v="5"/>
  </r>
  <r>
    <x v="2210"/>
    <x v="3"/>
    <x v="1302"/>
    <s v="58-67"/>
    <n v="66"/>
    <d v="1955-07-14T00:00:00"/>
    <s v="Massachusetts"/>
    <s v="MA"/>
    <s v="Male"/>
    <s v="Single"/>
    <s v="Data Analyst"/>
    <s v="Active"/>
    <s v="Part-Time"/>
    <s v="Zone C"/>
    <s v="IT/IS"/>
    <s v="Catv"/>
    <s v="Black"/>
    <s v="Fully Meets"/>
    <n v="1"/>
  </r>
  <r>
    <x v="2211"/>
    <x v="1"/>
    <x v="699"/>
    <s v="58-67"/>
    <n v="66"/>
    <d v="1953-10-04T00:00:00"/>
    <s v="Massachusetts"/>
    <s v="MA"/>
    <s v="Male"/>
    <s v="Married"/>
    <s v="BI Developer"/>
    <s v="Active"/>
    <s v="Part-Time"/>
    <s v="Zone B"/>
    <s v="IT/IS"/>
    <s v="Wireline Construction"/>
    <s v="Black"/>
    <s v="Fully Meets"/>
    <n v="2"/>
  </r>
  <r>
    <x v="2212"/>
    <x v="2"/>
    <x v="1303"/>
    <s v="58-67"/>
    <n v="66"/>
    <d v="1954-07-21T00:00:00"/>
    <s v="Vermont"/>
    <s v="VT"/>
    <s v="Female"/>
    <s v="Married"/>
    <s v="Area Sales Manager"/>
    <s v="Active"/>
    <s v="Contract"/>
    <s v="Zone C"/>
    <s v="Sales"/>
    <s v="Field Operations"/>
    <s v="Asian"/>
    <s v="Fully Meets"/>
    <n v="4"/>
  </r>
  <r>
    <x v="2213"/>
    <x v="2"/>
    <x v="615"/>
    <s v="58-67"/>
    <n v="66"/>
    <d v="1954-04-07T00:00:00"/>
    <s v="New Hampshire"/>
    <s v="NH"/>
    <s v="Male"/>
    <s v="Single"/>
    <s v="Area Sales Manager"/>
    <s v="Active"/>
    <s v="Full-Time"/>
    <s v="Zone A"/>
    <s v="Sales"/>
    <s v="Finance &amp; Accounting"/>
    <s v="White"/>
    <s v="Fully Meets"/>
    <n v="2"/>
  </r>
  <r>
    <x v="2214"/>
    <x v="3"/>
    <x v="1224"/>
    <s v="58-67"/>
    <n v="66"/>
    <d v="1955-05-09T00:00:00"/>
    <s v="Massachusetts"/>
    <s v="MA"/>
    <s v="Male"/>
    <s v="Single"/>
    <s v="Area Sales Manager"/>
    <s v="Active"/>
    <s v="Contract"/>
    <s v="Zone C"/>
    <s v="Sales"/>
    <s v="Project Management - Con"/>
    <s v="Other"/>
    <s v="Fully Meets"/>
    <n v="3"/>
  </r>
  <r>
    <x v="2215"/>
    <x v="2"/>
    <x v="20"/>
    <s v="58-67"/>
    <n v="66"/>
    <d v="1954-05-09T00:00:00"/>
    <s v="Arizona"/>
    <s v="AZ"/>
    <s v="Male"/>
    <s v="Single"/>
    <s v="Area Sales Manager"/>
    <s v="Active"/>
    <s v="Part-Time"/>
    <s v="Zone C"/>
    <s v="Sales"/>
    <s v="Wireline Construction"/>
    <s v="Other"/>
    <s v="Fully Meets"/>
    <n v="1"/>
  </r>
  <r>
    <x v="2216"/>
    <x v="0"/>
    <x v="742"/>
    <s v="58-67"/>
    <n v="66"/>
    <d v="1952-01-19T00:00:00"/>
    <s v="Massachusetts"/>
    <s v="MA"/>
    <s v="Female"/>
    <s v="Single"/>
    <s v="Administrative Assistant"/>
    <s v="Active"/>
    <s v="Part-Time"/>
    <s v="Zone C"/>
    <s v="Sales"/>
    <s v="Field Operations"/>
    <s v="Black"/>
    <s v="Fully Meets"/>
    <n v="2"/>
  </r>
  <r>
    <x v="2217"/>
    <x v="2"/>
    <x v="1304"/>
    <s v="58-67"/>
    <n v="67"/>
    <d v="1953-08-17T00:00:00"/>
    <s v="Massachusetts"/>
    <s v="MA"/>
    <s v="Male"/>
    <s v="Single"/>
    <s v="Sr. Network Engineer"/>
    <s v="Active"/>
    <s v="Part-Time"/>
    <s v="Zone B"/>
    <s v="IT/IS"/>
    <s v="Yard (Material Handling)"/>
    <s v="Hispanic"/>
    <s v="Fully Meets"/>
    <n v="3"/>
  </r>
  <r>
    <x v="2218"/>
    <x v="4"/>
    <x v="841"/>
    <s v="58-67"/>
    <n v="67"/>
    <d v="1955-12-16T00:00:00"/>
    <s v="Massachusetts"/>
    <s v="MA"/>
    <s v="Female"/>
    <s v="Married"/>
    <s v="Shared Services Manager"/>
    <s v="Active"/>
    <s v="Full-Time"/>
    <s v="Zone C"/>
    <s v="Software Engineering"/>
    <s v="Splicing"/>
    <s v="White"/>
    <s v="Fully Meets"/>
    <n v="1"/>
  </r>
  <r>
    <x v="2219"/>
    <x v="0"/>
    <x v="1147"/>
    <s v="58-67"/>
    <n v="67"/>
    <d v="1951-03-09T00:00:00"/>
    <s v="Massachusetts"/>
    <s v="MA"/>
    <s v="Female"/>
    <s v="Divorced"/>
    <s v="Production Technician II"/>
    <s v="Terminated"/>
    <s v="Full-Time"/>
    <s v="Zone B"/>
    <s v="Production       "/>
    <s v="Field Operations"/>
    <s v="Asian"/>
    <s v="Fully Meets"/>
    <n v="3"/>
  </r>
  <r>
    <x v="2220"/>
    <x v="4"/>
    <x v="63"/>
    <s v="58-67"/>
    <n v="67"/>
    <d v="1955-01-28T00:00:00"/>
    <s v="Massachusetts"/>
    <s v="MA"/>
    <s v="Female"/>
    <s v="Single"/>
    <s v="Production Technician II"/>
    <s v="Active"/>
    <s v="Full-Time"/>
    <s v="Zone C"/>
    <s v="Production       "/>
    <s v="General - Con"/>
    <s v="White"/>
    <s v="Fully Meets"/>
    <n v="5"/>
  </r>
  <r>
    <x v="2221"/>
    <x v="1"/>
    <x v="1145"/>
    <s v="58-67"/>
    <n v="67"/>
    <d v="1952-04-26T00:00:00"/>
    <s v="Massachusetts"/>
    <s v="MA"/>
    <s v="Female"/>
    <s v="Widowed"/>
    <s v="Production Technician II"/>
    <s v="Active"/>
    <s v="Contract"/>
    <s v="Zone C"/>
    <s v="Production       "/>
    <s v="General - Eng"/>
    <s v="Black"/>
    <s v="Fully Meets"/>
    <n v="3"/>
  </r>
  <r>
    <x v="2222"/>
    <x v="5"/>
    <x v="291"/>
    <s v="58-67"/>
    <n v="67"/>
    <d v="1956-07-18T00:00:00"/>
    <s v="Massachusetts"/>
    <s v="MA"/>
    <s v="Female"/>
    <s v="Single"/>
    <s v="Production Technician II"/>
    <s v="Active"/>
    <s v="Part-Time"/>
    <s v="Zone B"/>
    <s v="Production       "/>
    <s v="Field Operations"/>
    <s v="Hispanic"/>
    <s v="Fully Meets"/>
    <n v="2"/>
  </r>
  <r>
    <x v="2223"/>
    <x v="4"/>
    <x v="1211"/>
    <s v="58-67"/>
    <n v="67"/>
    <d v="1955-12-11T00:00:00"/>
    <s v="Massachusetts"/>
    <s v="MA"/>
    <s v="Female"/>
    <s v="Widowed"/>
    <s v="Production Technician II"/>
    <s v="Active"/>
    <s v="Part-Time"/>
    <s v="Zone A"/>
    <s v="Production       "/>
    <s v="Field Operations"/>
    <s v="Asian"/>
    <s v="Fully Meets"/>
    <n v="3"/>
  </r>
  <r>
    <x v="2224"/>
    <x v="4"/>
    <x v="1305"/>
    <s v="58-67"/>
    <n v="67"/>
    <d v="1955-12-19T00:00:00"/>
    <s v="Massachusetts"/>
    <s v="MA"/>
    <s v="Female"/>
    <s v="Single"/>
    <s v="Production Technician II"/>
    <s v="Active"/>
    <s v="Contract"/>
    <s v="Zone C"/>
    <s v="Production       "/>
    <s v="General - Con"/>
    <s v="Asian"/>
    <s v="Fully Meets"/>
    <n v="3"/>
  </r>
  <r>
    <x v="2225"/>
    <x v="2"/>
    <x v="1306"/>
    <s v="58-67"/>
    <n v="67"/>
    <d v="1953-10-10T00:00:00"/>
    <s v="Massachusetts"/>
    <s v="MA"/>
    <s v="Female"/>
    <s v="Widowed"/>
    <s v="Production Technician II"/>
    <s v="Active"/>
    <s v="Contract"/>
    <s v="Zone B"/>
    <s v="Production       "/>
    <s v="Aerial"/>
    <s v="Asian"/>
    <s v="Fully Meets"/>
    <n v="2"/>
  </r>
  <r>
    <x v="2226"/>
    <x v="1"/>
    <x v="1307"/>
    <s v="58-67"/>
    <n v="67"/>
    <d v="1952-01-15T00:00:00"/>
    <s v="Massachusetts"/>
    <s v="MA"/>
    <s v="Male"/>
    <s v="Married"/>
    <s v="Production Technician I"/>
    <s v="Active"/>
    <s v="Full-Time"/>
    <s v="Zone B"/>
    <s v="Production       "/>
    <s v="General - Con"/>
    <s v="Asian"/>
    <s v="Fully Meets"/>
    <n v="3"/>
  </r>
  <r>
    <x v="2227"/>
    <x v="1"/>
    <x v="382"/>
    <s v="58-67"/>
    <n v="67"/>
    <d v="1952-12-05T00:00:00"/>
    <s v="Massachusetts"/>
    <s v="MA"/>
    <s v="Female"/>
    <s v="Divorced"/>
    <s v="Production Technician I"/>
    <s v="Active"/>
    <s v="Contract"/>
    <s v="Zone C"/>
    <s v="Production       "/>
    <s v="General - Con"/>
    <s v="Black"/>
    <s v="Fully Meets"/>
    <n v="5"/>
  </r>
  <r>
    <x v="2228"/>
    <x v="3"/>
    <x v="1209"/>
    <s v="58-67"/>
    <n v="67"/>
    <d v="1954-01-15T00:00:00"/>
    <s v="Massachusetts"/>
    <s v="MA"/>
    <s v="Male"/>
    <s v="Single"/>
    <s v="Production Technician I"/>
    <s v="Terminated"/>
    <s v="Contract"/>
    <s v="Zone B"/>
    <s v="Production       "/>
    <s v="Wireline Construction"/>
    <s v="Other"/>
    <s v="PIP"/>
    <n v="3"/>
  </r>
  <r>
    <x v="2229"/>
    <x v="4"/>
    <x v="809"/>
    <s v="58-67"/>
    <n v="67"/>
    <d v="1955-08-02T00:00:00"/>
    <s v="Massachusetts"/>
    <s v="MA"/>
    <s v="Female"/>
    <s v="Widowed"/>
    <s v="Production Technician I"/>
    <s v="Active"/>
    <s v="Full-Time"/>
    <s v="Zone C"/>
    <s v="Production       "/>
    <s v="Aerial"/>
    <s v="Asian"/>
    <s v="Fully Meets"/>
    <n v="2"/>
  </r>
  <r>
    <x v="2230"/>
    <x v="3"/>
    <x v="274"/>
    <s v="58-67"/>
    <n v="67"/>
    <d v="1954-01-28T00:00:00"/>
    <s v="Massachusetts"/>
    <s v="MA"/>
    <s v="Female"/>
    <s v="Single"/>
    <s v="Production Technician I"/>
    <s v="Active"/>
    <s v="Contract"/>
    <s v="Zone C"/>
    <s v="Production       "/>
    <s v="Wireline Construction"/>
    <s v="Hispanic"/>
    <s v="Fully Meets"/>
    <n v="2"/>
  </r>
  <r>
    <x v="2231"/>
    <x v="5"/>
    <x v="1308"/>
    <s v="58-67"/>
    <n v="67"/>
    <d v="1956-09-26T00:00:00"/>
    <s v="Massachusetts"/>
    <s v="MA"/>
    <s v="Male"/>
    <s v="Married"/>
    <s v="Production Technician I"/>
    <s v="Active"/>
    <s v="Part-Time"/>
    <s v="Zone C"/>
    <s v="Production       "/>
    <s v="Wireline Construction"/>
    <s v="Other"/>
    <s v="Fully Meets"/>
    <n v="1"/>
  </r>
  <r>
    <x v="2232"/>
    <x v="1"/>
    <x v="1163"/>
    <s v="58-67"/>
    <n v="67"/>
    <d v="1952-04-08T00:00:00"/>
    <s v="Massachusetts"/>
    <s v="MA"/>
    <s v="Female"/>
    <s v="Widowed"/>
    <s v="Production Technician I"/>
    <s v="Active"/>
    <s v="Part-Time"/>
    <s v="Zone C"/>
    <s v="Production       "/>
    <s v="General - Eng"/>
    <s v="Other"/>
    <s v="Needs Improvement"/>
    <n v="4"/>
  </r>
  <r>
    <x v="2233"/>
    <x v="2"/>
    <x v="247"/>
    <s v="58-67"/>
    <n v="67"/>
    <d v="1953-01-27T00:00:00"/>
    <s v="Massachusetts"/>
    <s v="MA"/>
    <s v="Male"/>
    <s v="Single"/>
    <s v="Production Technician I"/>
    <s v="Terminated"/>
    <s v="Part-Time"/>
    <s v="Zone C"/>
    <s v="Production       "/>
    <s v="General - Sga"/>
    <s v="White"/>
    <s v="Needs Improvement"/>
    <n v="4"/>
  </r>
  <r>
    <x v="2234"/>
    <x v="5"/>
    <x v="1309"/>
    <s v="58-67"/>
    <n v="67"/>
    <d v="1956-04-22T00:00:00"/>
    <s v="Massachusetts"/>
    <s v="MA"/>
    <s v="Male"/>
    <s v="Divorced"/>
    <s v="Production Technician I"/>
    <s v="Active"/>
    <s v="Contract"/>
    <s v="Zone B"/>
    <s v="Production       "/>
    <s v="Field Operations"/>
    <s v="Asian"/>
    <s v="Fully Meets"/>
    <n v="4"/>
  </r>
  <r>
    <x v="2235"/>
    <x v="4"/>
    <x v="583"/>
    <s v="58-67"/>
    <n v="67"/>
    <d v="1955-11-20T00:00:00"/>
    <s v="Massachusetts"/>
    <s v="MA"/>
    <s v="Male"/>
    <s v="Single"/>
    <s v="Production Technician I"/>
    <s v="Active"/>
    <s v="Contract"/>
    <s v="Zone B"/>
    <s v="Production       "/>
    <s v="General - Con"/>
    <s v="Other"/>
    <s v="Fully Meets"/>
    <n v="5"/>
  </r>
  <r>
    <x v="2236"/>
    <x v="1"/>
    <x v="171"/>
    <s v="58-67"/>
    <n v="67"/>
    <d v="1952-04-08T00:00:00"/>
    <s v="Massachusetts"/>
    <s v="MA"/>
    <s v="Female"/>
    <s v="Widowed"/>
    <s v="Production Technician I"/>
    <s v="Active"/>
    <s v="Contract"/>
    <s v="Zone A"/>
    <s v="Production       "/>
    <s v="General - Con"/>
    <s v="Black"/>
    <s v="Fully Meets"/>
    <n v="5"/>
  </r>
  <r>
    <x v="2237"/>
    <x v="1"/>
    <x v="43"/>
    <s v="58-67"/>
    <n v="67"/>
    <d v="1952-02-02T00:00:00"/>
    <s v="Massachusetts"/>
    <s v="MA"/>
    <s v="Female"/>
    <s v="Widowed"/>
    <s v="Production Technician I"/>
    <s v="Active"/>
    <s v="Contract"/>
    <s v="Zone C"/>
    <s v="Production       "/>
    <s v="Finance &amp; Accounting"/>
    <s v="Asian"/>
    <s v="Exceeds"/>
    <n v="1"/>
  </r>
  <r>
    <x v="2238"/>
    <x v="2"/>
    <x v="100"/>
    <s v="58-67"/>
    <n v="67"/>
    <d v="1953-09-12T00:00:00"/>
    <s v="Massachusetts"/>
    <s v="MA"/>
    <s v="Male"/>
    <s v="Widowed"/>
    <s v="Production Technician I"/>
    <s v="Active"/>
    <s v="Part-Time"/>
    <s v="Zone B"/>
    <s v="Production       "/>
    <s v="Field Operations"/>
    <s v="Asian"/>
    <s v="Exceeds"/>
    <n v="4"/>
  </r>
  <r>
    <x v="2239"/>
    <x v="1"/>
    <x v="1310"/>
    <s v="58-67"/>
    <n v="67"/>
    <d v="1952-09-28T00:00:00"/>
    <s v="Massachusetts"/>
    <s v="MA"/>
    <s v="Female"/>
    <s v="Married"/>
    <s v="Production Technician I"/>
    <s v="Active"/>
    <s v="Contract"/>
    <s v="Zone B"/>
    <s v="Production       "/>
    <s v="Field Operations"/>
    <s v="Asian"/>
    <s v="Fully Meets"/>
    <n v="2"/>
  </r>
  <r>
    <x v="2240"/>
    <x v="0"/>
    <x v="1299"/>
    <s v="58-67"/>
    <n v="67"/>
    <d v="1951-11-06T00:00:00"/>
    <s v="Massachusetts"/>
    <s v="MA"/>
    <s v="Female"/>
    <s v="Married"/>
    <s v="Production Technician I"/>
    <s v="Terminated"/>
    <s v="Contract"/>
    <s v="Zone A"/>
    <s v="Production       "/>
    <s v="Finance &amp; Accounting"/>
    <s v="Other"/>
    <s v="Fully Meets"/>
    <n v="3"/>
  </r>
  <r>
    <x v="2241"/>
    <x v="1"/>
    <x v="77"/>
    <s v="58-67"/>
    <n v="67"/>
    <d v="1952-05-31T00:00:00"/>
    <s v="Massachusetts"/>
    <s v="MA"/>
    <s v="Female"/>
    <s v="Widowed"/>
    <s v="Production Technician I"/>
    <s v="Terminated"/>
    <s v="Full-Time"/>
    <s v="Zone A"/>
    <s v="Production       "/>
    <s v="Splicing"/>
    <s v="White"/>
    <s v="Fully Meets"/>
    <n v="1"/>
  </r>
  <r>
    <x v="2242"/>
    <x v="4"/>
    <x v="1084"/>
    <s v="58-67"/>
    <n v="67"/>
    <d v="1955-05-24T00:00:00"/>
    <s v="Massachusetts"/>
    <s v="MA"/>
    <s v="Male"/>
    <s v="Widowed"/>
    <s v="Production Manager"/>
    <s v="Active"/>
    <s v="Full-Time"/>
    <s v="Zone B"/>
    <s v="Production       "/>
    <s v="Field Operations"/>
    <s v="White"/>
    <s v="Fully Meets"/>
    <n v="3"/>
  </r>
  <r>
    <x v="2243"/>
    <x v="2"/>
    <x v="1016"/>
    <s v="58-67"/>
    <n v="67"/>
    <d v="1953-11-19T00:00:00"/>
    <s v="Massachusetts"/>
    <s v="MA"/>
    <s v="Female"/>
    <s v="Single"/>
    <s v="Production Manager"/>
    <s v="Active"/>
    <s v="Contract"/>
    <s v="Zone A"/>
    <s v="Production       "/>
    <s v="Yard (Material Handling)"/>
    <s v="Asian"/>
    <s v="Fully Meets"/>
    <n v="1"/>
  </r>
  <r>
    <x v="2244"/>
    <x v="5"/>
    <x v="1311"/>
    <s v="58-67"/>
    <n v="67"/>
    <d v="1956-12-19T00:00:00"/>
    <s v="Massachusetts"/>
    <s v="MA"/>
    <s v="Female"/>
    <s v="Married"/>
    <s v="Production Manager"/>
    <s v="Active"/>
    <s v="Full-Time"/>
    <s v="Zone A"/>
    <s v="Production       "/>
    <s v="General - Con"/>
    <s v="Other"/>
    <s v="Fully Meets"/>
    <n v="1"/>
  </r>
  <r>
    <x v="2245"/>
    <x v="0"/>
    <x v="15"/>
    <s v="58-67"/>
    <n v="67"/>
    <d v="1951-09-04T00:00:00"/>
    <s v="Massachusetts"/>
    <s v="MA"/>
    <s v="Female"/>
    <s v="Married"/>
    <s v="Principal Data Architect"/>
    <s v="Terminated"/>
    <s v="Contract"/>
    <s v="Zone B"/>
    <s v="IT/IS"/>
    <s v="Catv"/>
    <s v="Asian"/>
    <s v="PIP"/>
    <n v="4"/>
  </r>
  <r>
    <x v="2246"/>
    <x v="3"/>
    <x v="128"/>
    <s v="58-67"/>
    <n v="67"/>
    <d v="1954-05-30T00:00:00"/>
    <s v="Massachusetts"/>
    <s v="MA"/>
    <s v="Female"/>
    <s v="Single"/>
    <s v="Principal Data Architect"/>
    <s v="Active"/>
    <s v="Contract"/>
    <s v="Zone C"/>
    <s v="IT/IS"/>
    <s v="General - Con"/>
    <s v="Hispanic"/>
    <s v="PIP"/>
    <n v="2"/>
  </r>
  <r>
    <x v="2247"/>
    <x v="2"/>
    <x v="1312"/>
    <s v="58-67"/>
    <n v="67"/>
    <d v="1953-05-15T00:00:00"/>
    <s v="Massachusetts"/>
    <s v="MA"/>
    <s v="Male"/>
    <s v="Single"/>
    <s v="Network Engineer"/>
    <s v="Active"/>
    <s v="Contract"/>
    <s v="Zone C"/>
    <s v="Production       "/>
    <s v="Fielders"/>
    <s v="Other"/>
    <s v="Fully Meets"/>
    <n v="2"/>
  </r>
  <r>
    <x v="2248"/>
    <x v="5"/>
    <x v="595"/>
    <s v="58-67"/>
    <n v="67"/>
    <d v="1956-06-03T00:00:00"/>
    <s v="Massachusetts"/>
    <s v="MA"/>
    <s v="Male"/>
    <s v="Widowed"/>
    <s v="Network Engineer"/>
    <s v="Active"/>
    <s v="Part-Time"/>
    <s v="Zone C"/>
    <s v="Production       "/>
    <s v="General - Con"/>
    <s v="Black"/>
    <s v="Fully Meets"/>
    <n v="5"/>
  </r>
  <r>
    <x v="2249"/>
    <x v="4"/>
    <x v="1313"/>
    <s v="58-67"/>
    <n v="67"/>
    <d v="1955-02-25T00:00:00"/>
    <s v="Massachusetts"/>
    <s v="MA"/>
    <s v="Male"/>
    <s v="Widowed"/>
    <s v="IT Support"/>
    <s v="Active"/>
    <s v="Part-Time"/>
    <s v="Zone A"/>
    <s v="IT/IS"/>
    <s v="Engineers"/>
    <s v="Hispanic"/>
    <s v="Fully Meets"/>
    <n v="3"/>
  </r>
  <r>
    <x v="2250"/>
    <x v="1"/>
    <x v="702"/>
    <s v="58-67"/>
    <n v="67"/>
    <d v="1952-09-19T00:00:00"/>
    <s v="Massachusetts"/>
    <s v="MA"/>
    <s v="Female"/>
    <s v="Single"/>
    <s v="IT Support"/>
    <s v="Active"/>
    <s v="Contract"/>
    <s v="Zone C"/>
    <s v="IT/IS"/>
    <s v="Project Management - Con"/>
    <s v="Asian"/>
    <s v="Fully Meets"/>
    <n v="4"/>
  </r>
  <r>
    <x v="2251"/>
    <x v="0"/>
    <x v="742"/>
    <s v="58-67"/>
    <n v="67"/>
    <d v="1951-10-08T00:00:00"/>
    <s v="Massachusetts"/>
    <s v="MA"/>
    <s v="Male"/>
    <s v="Widowed"/>
    <s v="IT Manager - DB"/>
    <s v="Active"/>
    <s v="Contract"/>
    <s v="Zone B"/>
    <s v="IT/IS"/>
    <s v="Project Management - Con"/>
    <s v="Hispanic"/>
    <s v="Fully Meets"/>
    <n v="2"/>
  </r>
  <r>
    <x v="2252"/>
    <x v="2"/>
    <x v="476"/>
    <s v="58-67"/>
    <n v="67"/>
    <d v="1953-11-17T00:00:00"/>
    <s v="Massachusetts"/>
    <s v="MA"/>
    <s v="Male"/>
    <s v="Widowed"/>
    <s v="IT Director"/>
    <s v="Active"/>
    <s v="Contract"/>
    <s v="Zone B"/>
    <s v="IT/IS"/>
    <s v="Fielders"/>
    <s v="Other"/>
    <s v="Fully Meets"/>
    <n v="2"/>
  </r>
  <r>
    <x v="2253"/>
    <x v="3"/>
    <x v="1314"/>
    <s v="58-67"/>
    <n v="67"/>
    <d v="1954-07-23T00:00:00"/>
    <s v="Massachusetts"/>
    <s v="MA"/>
    <s v="Male"/>
    <s v="Single"/>
    <s v="Director of Sales"/>
    <s v="Active"/>
    <s v="Contract"/>
    <s v="Zone A"/>
    <s v="IT/IS"/>
    <s v="Field Operations"/>
    <s v="Hispanic"/>
    <s v="Fully Meets"/>
    <n v="3"/>
  </r>
  <r>
    <x v="2254"/>
    <x v="3"/>
    <x v="541"/>
    <s v="58-67"/>
    <n v="67"/>
    <d v="1954-07-21T00:00:00"/>
    <s v="Massachusetts"/>
    <s v="MA"/>
    <s v="Male"/>
    <s v="Widowed"/>
    <s v="Director of Operations"/>
    <s v="Active"/>
    <s v="Contract"/>
    <s v="Zone A"/>
    <s v="IT/IS"/>
    <s v="General - Con"/>
    <s v="Other"/>
    <s v="Fully Meets"/>
    <n v="2"/>
  </r>
  <r>
    <x v="2255"/>
    <x v="4"/>
    <x v="837"/>
    <s v="58-67"/>
    <n v="67"/>
    <d v="1955-06-07T00:00:00"/>
    <s v="Texas"/>
    <s v="TX"/>
    <s v="Female"/>
    <s v="Divorced"/>
    <s v="Database Administrator"/>
    <s v="Active"/>
    <s v="Part-Time"/>
    <s v="Zone B"/>
    <s v="IT/IS"/>
    <s v="General - Con"/>
    <s v="Black"/>
    <s v="Fully Meets"/>
    <n v="4"/>
  </r>
  <r>
    <x v="2256"/>
    <x v="1"/>
    <x v="998"/>
    <s v="58-67"/>
    <n v="67"/>
    <d v="1952-02-14T00:00:00"/>
    <s v="Massachusetts"/>
    <s v="MA"/>
    <s v="Male"/>
    <s v="Divorced"/>
    <s v="Data Analyst"/>
    <s v="Active"/>
    <s v="Contract"/>
    <s v="Zone C"/>
    <s v="Production       "/>
    <s v="Wireline Construction"/>
    <s v="Black"/>
    <s v="Fully Meets"/>
    <n v="5"/>
  </r>
  <r>
    <x v="2257"/>
    <x v="3"/>
    <x v="1315"/>
    <s v="58-67"/>
    <n v="67"/>
    <d v="1954-03-06T00:00:00"/>
    <s v="Massachusetts"/>
    <s v="MA"/>
    <s v="Male"/>
    <s v="Widowed"/>
    <s v="BI Developer"/>
    <s v="Active"/>
    <s v="Contract"/>
    <s v="Zone C"/>
    <s v="IT/IS"/>
    <s v="Finance &amp; Accounting"/>
    <s v="Black"/>
    <s v="Fully Meets"/>
    <n v="4"/>
  </r>
  <r>
    <x v="2258"/>
    <x v="5"/>
    <x v="862"/>
    <s v="58-67"/>
    <n v="67"/>
    <d v="1956-03-27T00:00:00"/>
    <s v="Tennessee"/>
    <s v="TN"/>
    <s v="Male"/>
    <s v="Divorced"/>
    <s v="Area Sales Manager"/>
    <s v="Active"/>
    <s v="Part-Time"/>
    <s v="Zone C"/>
    <s v="Sales"/>
    <s v="Fielders"/>
    <s v="Other"/>
    <s v="Fully Meets"/>
    <n v="5"/>
  </r>
  <r>
    <x v="2259"/>
    <x v="5"/>
    <x v="895"/>
    <s v="58-67"/>
    <n v="67"/>
    <d v="1956-09-27T00:00:00"/>
    <s v="Maine"/>
    <s v="ME"/>
    <s v="Male"/>
    <s v="Single"/>
    <s v="Area Sales Manager"/>
    <s v="Active"/>
    <s v="Part-Time"/>
    <s v="Zone C"/>
    <s v="Sales"/>
    <s v="Engineers"/>
    <s v="White"/>
    <s v="Fully Meets"/>
    <n v="4"/>
  </r>
  <r>
    <x v="2260"/>
    <x v="1"/>
    <x v="1316"/>
    <s v="58-67"/>
    <n v="67"/>
    <d v="1952-11-24T00:00:00"/>
    <s v="Massachusetts"/>
    <s v="MA"/>
    <s v="Male"/>
    <s v="Single"/>
    <s v="Area Sales Manager"/>
    <s v="Active"/>
    <s v="Full-Time"/>
    <s v="Zone A"/>
    <s v="IT/IS"/>
    <s v="Field Operations"/>
    <s v="Black"/>
    <s v="Exceeds"/>
    <n v="5"/>
  </r>
  <r>
    <x v="2261"/>
    <x v="2"/>
    <x v="1317"/>
    <s v="58-67"/>
    <n v="67"/>
    <d v="1953-07-13T00:00:00"/>
    <s v="Arizona"/>
    <s v="AZ"/>
    <s v="Male"/>
    <s v="Divorced"/>
    <s v="Area Sales Manager"/>
    <s v="Active"/>
    <s v="Contract"/>
    <s v="Zone C"/>
    <s v="Sales"/>
    <s v="Field Operations"/>
    <s v="Asian"/>
    <s v="Fully Meets"/>
    <n v="5"/>
  </r>
  <r>
    <x v="2262"/>
    <x v="2"/>
    <x v="1318"/>
    <s v="58-67"/>
    <n v="67"/>
    <d v="1953-05-04T00:00:00"/>
    <s v="Massachusetts"/>
    <s v="MA"/>
    <s v="Male"/>
    <s v="Single"/>
    <s v="Accountant I"/>
    <s v="Active"/>
    <s v="Part-Time"/>
    <s v="Zone A"/>
    <s v="Admin Offices"/>
    <s v="Field Operations"/>
    <s v="Hispanic"/>
    <s v="Exceeds"/>
    <n v="1"/>
  </r>
  <r>
    <x v="2263"/>
    <x v="2"/>
    <x v="323"/>
    <s v="68-77"/>
    <n v="68"/>
    <d v="1952-09-23T00:00:00"/>
    <s v="Massachusetts"/>
    <s v="MA"/>
    <s v="Male"/>
    <s v="Widowed"/>
    <s v="Sr. Network Engineer"/>
    <s v="Active"/>
    <s v="Full-Time"/>
    <s v="Zone B"/>
    <s v="IT/IS"/>
    <s v="Underground"/>
    <s v="Other"/>
    <s v="Fully Meets"/>
    <n v="3"/>
  </r>
  <r>
    <x v="2264"/>
    <x v="2"/>
    <x v="195"/>
    <s v="68-77"/>
    <n v="68"/>
    <d v="1952-04-25T00:00:00"/>
    <s v="Massachusetts"/>
    <s v="MA"/>
    <s v="Female"/>
    <s v="Widowed"/>
    <s v="Software Engineering Manager"/>
    <s v="Active"/>
    <s v="Contract"/>
    <s v="Zone A"/>
    <s v="Software Engineering"/>
    <s v="General - Con"/>
    <s v="White"/>
    <s v="Fully Meets"/>
    <n v="1"/>
  </r>
  <r>
    <x v="2265"/>
    <x v="4"/>
    <x v="1319"/>
    <s v="68-77"/>
    <n v="68"/>
    <d v="1954-08-24T00:00:00"/>
    <s v="Massachusetts"/>
    <s v="MA"/>
    <s v="Male"/>
    <s v="Divorced"/>
    <s v="Software Engineer"/>
    <s v="Active"/>
    <s v="Contract"/>
    <s v="Zone C"/>
    <s v="Software Engineering"/>
    <s v="Engineers"/>
    <s v="White"/>
    <s v="Fully Meets"/>
    <n v="4"/>
  </r>
  <r>
    <x v="2266"/>
    <x v="4"/>
    <x v="598"/>
    <s v="68-77"/>
    <n v="68"/>
    <d v="1954-07-01T00:00:00"/>
    <s v="Massachusetts"/>
    <s v="MA"/>
    <s v="Male"/>
    <s v="Widowed"/>
    <s v="Software Engineer"/>
    <s v="Active"/>
    <s v="Full-Time"/>
    <s v="Zone C"/>
    <s v="Software Engineering"/>
    <s v="Aerial"/>
    <s v="Asian"/>
    <s v="Fully Meets"/>
    <n v="4"/>
  </r>
  <r>
    <x v="2267"/>
    <x v="2"/>
    <x v="70"/>
    <s v="68-77"/>
    <n v="68"/>
    <d v="1952-08-28T00:00:00"/>
    <s v="Massachusetts"/>
    <s v="MA"/>
    <s v="Female"/>
    <s v="Divorced"/>
    <s v="Production Technician II"/>
    <s v="Active"/>
    <s v="Full-Time"/>
    <s v="Zone C"/>
    <s v="Production       "/>
    <s v="Engineers"/>
    <s v="Hispanic"/>
    <s v="Fully Meets"/>
    <n v="3"/>
  </r>
  <r>
    <x v="2268"/>
    <x v="0"/>
    <x v="229"/>
    <s v="68-77"/>
    <n v="68"/>
    <d v="1950-10-06T00:00:00"/>
    <s v="Massachusetts"/>
    <s v="MA"/>
    <s v="Female"/>
    <s v="Married"/>
    <s v="Production Technician II"/>
    <s v="Terminated"/>
    <s v="Part-Time"/>
    <s v="Zone A"/>
    <s v="Production       "/>
    <s v="Project Management - Eng"/>
    <s v="Other"/>
    <s v="Needs Improvement"/>
    <n v="5"/>
  </r>
  <r>
    <x v="2269"/>
    <x v="3"/>
    <x v="1144"/>
    <s v="68-77"/>
    <n v="68"/>
    <d v="1953-02-26T00:00:00"/>
    <s v="Massachusetts"/>
    <s v="MA"/>
    <s v="Female"/>
    <s v="Single"/>
    <s v="Production Technician II"/>
    <s v="Active"/>
    <s v="Part-Time"/>
    <s v="Zone C"/>
    <s v="Production       "/>
    <s v="Field Operations"/>
    <s v="Asian"/>
    <s v="Fully Meets"/>
    <n v="3"/>
  </r>
  <r>
    <x v="2270"/>
    <x v="5"/>
    <x v="1320"/>
    <s v="68-77"/>
    <n v="68"/>
    <d v="1955-08-26T00:00:00"/>
    <s v="Massachusetts"/>
    <s v="MA"/>
    <s v="Female"/>
    <s v="Married"/>
    <s v="Production Technician II"/>
    <s v="Active"/>
    <s v="Part-Time"/>
    <s v="Zone B"/>
    <s v="Production       "/>
    <s v="General - Sga"/>
    <s v="Other"/>
    <s v="Fully Meets"/>
    <n v="5"/>
  </r>
  <r>
    <x v="2271"/>
    <x v="1"/>
    <x v="1096"/>
    <s v="68-77"/>
    <n v="68"/>
    <d v="1951-04-18T00:00:00"/>
    <s v="Massachusetts"/>
    <s v="MA"/>
    <s v="Female"/>
    <s v="Single"/>
    <s v="Production Technician II"/>
    <s v="Active"/>
    <s v="Full-Time"/>
    <s v="Zone A"/>
    <s v="Production       "/>
    <s v="Splicing"/>
    <s v="Other"/>
    <s v="Exceeds"/>
    <n v="5"/>
  </r>
  <r>
    <x v="2272"/>
    <x v="3"/>
    <x v="1036"/>
    <s v="68-77"/>
    <n v="68"/>
    <d v="1953-08-01T00:00:00"/>
    <s v="Massachusetts"/>
    <s v="MA"/>
    <s v="Male"/>
    <s v="Single"/>
    <s v="Production Technician II"/>
    <s v="Terminated"/>
    <s v="Full-Time"/>
    <s v="Zone C"/>
    <s v="Production       "/>
    <s v="General - Con"/>
    <s v="Other"/>
    <s v="Fully Meets"/>
    <n v="1"/>
  </r>
  <r>
    <x v="2273"/>
    <x v="1"/>
    <x v="715"/>
    <s v="68-77"/>
    <n v="68"/>
    <d v="1951-10-31T00:00:00"/>
    <s v="Massachusetts"/>
    <s v="MA"/>
    <s v="Female"/>
    <s v="Widowed"/>
    <s v="Production Technician II"/>
    <s v="Active"/>
    <s v="Full-Time"/>
    <s v="Zone B"/>
    <s v="Production       "/>
    <s v="Field Operations"/>
    <s v="Black"/>
    <s v="Exceeds"/>
    <n v="1"/>
  </r>
  <r>
    <x v="2274"/>
    <x v="2"/>
    <x v="724"/>
    <s v="68-77"/>
    <n v="68"/>
    <d v="1952-11-21T00:00:00"/>
    <s v="Massachusetts"/>
    <s v="MA"/>
    <s v="Male"/>
    <s v="Married"/>
    <s v="Production Technician I"/>
    <s v="Active"/>
    <s v="Full-Time"/>
    <s v="Zone A"/>
    <s v="Production       "/>
    <s v="Fielders"/>
    <s v="Asian"/>
    <s v="Fully Meets"/>
    <n v="5"/>
  </r>
  <r>
    <x v="2275"/>
    <x v="4"/>
    <x v="1321"/>
    <s v="68-77"/>
    <n v="68"/>
    <d v="1954-10-12T00:00:00"/>
    <s v="Massachusetts"/>
    <s v="MA"/>
    <s v="Male"/>
    <s v="Divorced"/>
    <s v="Production Technician I"/>
    <s v="Active"/>
    <s v="Full-Time"/>
    <s v="Zone A"/>
    <s v="Production       "/>
    <s v="Engineers"/>
    <s v="White"/>
    <s v="Fully Meets"/>
    <n v="1"/>
  </r>
  <r>
    <x v="2276"/>
    <x v="2"/>
    <x v="953"/>
    <s v="68-77"/>
    <n v="68"/>
    <d v="1952-03-02T00:00:00"/>
    <s v="Massachusetts"/>
    <s v="MA"/>
    <s v="Male"/>
    <s v="Divorced"/>
    <s v="Production Technician I"/>
    <s v="Active"/>
    <s v="Contract"/>
    <s v="Zone A"/>
    <s v="Production       "/>
    <s v="Engineers"/>
    <s v="Other"/>
    <s v="Fully Meets"/>
    <n v="3"/>
  </r>
  <r>
    <x v="2277"/>
    <x v="1"/>
    <x v="1078"/>
    <s v="68-77"/>
    <n v="68"/>
    <d v="1951-08-02T00:00:00"/>
    <s v="Massachusetts"/>
    <s v="MA"/>
    <s v="Male"/>
    <s v="Single"/>
    <s v="Production Technician I"/>
    <s v="Active"/>
    <s v="Contract"/>
    <s v="Zone B"/>
    <s v="Production       "/>
    <s v="Field Operations"/>
    <s v="White"/>
    <s v="Fully Meets"/>
    <n v="3"/>
  </r>
  <r>
    <x v="2278"/>
    <x v="4"/>
    <x v="1276"/>
    <s v="68-77"/>
    <n v="68"/>
    <d v="1954-02-18T00:00:00"/>
    <s v="Massachusetts"/>
    <s v="MA"/>
    <s v="Female"/>
    <s v="Divorced"/>
    <s v="Production Technician I"/>
    <s v="Active"/>
    <s v="Contract"/>
    <s v="Zone C"/>
    <s v="Production       "/>
    <s v="Field Operations"/>
    <s v="Asian"/>
    <s v="Exceeds"/>
    <n v="4"/>
  </r>
  <r>
    <x v="2279"/>
    <x v="4"/>
    <x v="1068"/>
    <s v="68-77"/>
    <n v="68"/>
    <d v="1954-11-29T00:00:00"/>
    <s v="Massachusetts"/>
    <s v="MA"/>
    <s v="Male"/>
    <s v="Single"/>
    <s v="Production Technician I"/>
    <s v="Active"/>
    <s v="Contract"/>
    <s v="Zone C"/>
    <s v="Production       "/>
    <s v="Field Operations"/>
    <s v="White"/>
    <s v="Exceeds"/>
    <n v="5"/>
  </r>
  <r>
    <x v="2280"/>
    <x v="1"/>
    <x v="1322"/>
    <s v="68-77"/>
    <n v="68"/>
    <d v="1951-04-03T00:00:00"/>
    <s v="Massachusetts"/>
    <s v="MA"/>
    <s v="Female"/>
    <s v="Single"/>
    <s v="Production Technician I"/>
    <s v="Active"/>
    <s v="Part-Time"/>
    <s v="Zone B"/>
    <s v="Production       "/>
    <s v="Aerial"/>
    <s v="Other"/>
    <s v="Exceeds"/>
    <n v="2"/>
  </r>
  <r>
    <x v="2281"/>
    <x v="1"/>
    <x v="1128"/>
    <s v="68-77"/>
    <n v="68"/>
    <d v="1951-06-14T00:00:00"/>
    <s v="Massachusetts"/>
    <s v="MA"/>
    <s v="Female"/>
    <s v="Married"/>
    <s v="Production Technician I"/>
    <s v="Active"/>
    <s v="Part-Time"/>
    <s v="Zone C"/>
    <s v="Production       "/>
    <s v="General - Con"/>
    <s v="Other"/>
    <s v="Fully Meets"/>
    <n v="3"/>
  </r>
  <r>
    <x v="2282"/>
    <x v="2"/>
    <x v="183"/>
    <s v="68-77"/>
    <n v="68"/>
    <d v="1952-07-23T00:00:00"/>
    <s v="Massachusetts"/>
    <s v="MA"/>
    <s v="Male"/>
    <s v="Married"/>
    <s v="Production Technician I"/>
    <s v="Active"/>
    <s v="Contract"/>
    <s v="Zone A"/>
    <s v="Production       "/>
    <s v="Yard (Material Handling)"/>
    <s v="Black"/>
    <s v="Needs Improvement"/>
    <n v="4"/>
  </r>
  <r>
    <x v="2283"/>
    <x v="0"/>
    <x v="149"/>
    <s v="68-77"/>
    <n v="68"/>
    <d v="1950-08-31T00:00:00"/>
    <s v="Massachusetts"/>
    <s v="MA"/>
    <s v="Male"/>
    <s v="Widowed"/>
    <s v="Production Technician I"/>
    <s v="Active"/>
    <s v="Contract"/>
    <s v="Zone A"/>
    <s v="Production       "/>
    <s v="Aerial"/>
    <s v="Other"/>
    <s v="Fully Meets"/>
    <n v="1"/>
  </r>
  <r>
    <x v="2284"/>
    <x v="3"/>
    <x v="1292"/>
    <s v="68-77"/>
    <n v="68"/>
    <d v="1953-06-06T00:00:00"/>
    <s v="Massachusetts"/>
    <s v="MA"/>
    <s v="Female"/>
    <s v="Divorced"/>
    <s v="Production Technician I"/>
    <s v="Active"/>
    <s v="Full-Time"/>
    <s v="Zone C"/>
    <s v="Production       "/>
    <s v="Field Operations"/>
    <s v="Black"/>
    <s v="Needs Improvement"/>
    <n v="3"/>
  </r>
  <r>
    <x v="2285"/>
    <x v="4"/>
    <x v="176"/>
    <s v="68-77"/>
    <n v="68"/>
    <d v="1954-03-15T00:00:00"/>
    <s v="Massachusetts"/>
    <s v="MA"/>
    <s v="Female"/>
    <s v="Single"/>
    <s v="Production Technician I"/>
    <s v="Active"/>
    <s v="Contract"/>
    <s v="Zone A"/>
    <s v="Production       "/>
    <s v="Field Operations"/>
    <s v="Asian"/>
    <s v="Exceeds"/>
    <n v="1"/>
  </r>
  <r>
    <x v="2286"/>
    <x v="5"/>
    <x v="1323"/>
    <s v="68-77"/>
    <n v="68"/>
    <d v="1955-10-02T00:00:00"/>
    <s v="Massachusetts"/>
    <s v="MA"/>
    <s v="Female"/>
    <s v="Widowed"/>
    <s v="Production Technician I"/>
    <s v="Active"/>
    <s v="Full-Time"/>
    <s v="Zone A"/>
    <s v="Production       "/>
    <s v="Field Operations"/>
    <s v="Black"/>
    <s v="Needs Improvement"/>
    <n v="3"/>
  </r>
  <r>
    <x v="2287"/>
    <x v="0"/>
    <x v="264"/>
    <s v="68-77"/>
    <n v="68"/>
    <d v="1950-07-18T00:00:00"/>
    <s v="Massachusetts"/>
    <s v="MA"/>
    <s v="Female"/>
    <s v="Single"/>
    <s v="Production Technician I"/>
    <s v="Active"/>
    <s v="Contract"/>
    <s v="Zone C"/>
    <s v="Production       "/>
    <s v="Project Management - Con"/>
    <s v="Hispanic"/>
    <s v="Fully Meets"/>
    <n v="1"/>
  </r>
  <r>
    <x v="2288"/>
    <x v="2"/>
    <x v="1324"/>
    <s v="68-77"/>
    <n v="68"/>
    <d v="1952-02-11T00:00:00"/>
    <s v="Massachusetts"/>
    <s v="MA"/>
    <s v="Male"/>
    <s v="Divorced"/>
    <s v="Production Technician I"/>
    <s v="Active"/>
    <s v="Full-Time"/>
    <s v="Zone A"/>
    <s v="Production       "/>
    <s v="Engineers"/>
    <s v="Other"/>
    <s v="Fully Meets"/>
    <n v="5"/>
  </r>
  <r>
    <x v="2289"/>
    <x v="2"/>
    <x v="1325"/>
    <s v="68-77"/>
    <n v="68"/>
    <d v="1952-08-13T00:00:00"/>
    <s v="Massachusetts"/>
    <s v="MA"/>
    <s v="Female"/>
    <s v="Widowed"/>
    <s v="Production Technician I"/>
    <s v="Active"/>
    <s v="Part-Time"/>
    <s v="Zone B"/>
    <s v="Production       "/>
    <s v="Splicing"/>
    <s v="Hispanic"/>
    <s v="Fully Meets"/>
    <n v="1"/>
  </r>
  <r>
    <x v="2290"/>
    <x v="3"/>
    <x v="370"/>
    <s v="68-77"/>
    <n v="68"/>
    <d v="1953-09-21T00:00:00"/>
    <s v="Massachusetts"/>
    <s v="MA"/>
    <s v="Female"/>
    <s v="Divorced"/>
    <s v="Production Technician I"/>
    <s v="Active"/>
    <s v="Part-Time"/>
    <s v="Zone B"/>
    <s v="Production       "/>
    <s v="Field Operations"/>
    <s v="Other"/>
    <s v="Exceeds"/>
    <n v="1"/>
  </r>
  <r>
    <x v="2291"/>
    <x v="4"/>
    <x v="156"/>
    <s v="68-77"/>
    <n v="68"/>
    <d v="1954-02-11T00:00:00"/>
    <s v="Massachusetts"/>
    <s v="MA"/>
    <s v="Male"/>
    <s v="Married"/>
    <s v="Production Technician I"/>
    <s v="Active"/>
    <s v="Part-Time"/>
    <s v="Zone A"/>
    <s v="Production       "/>
    <s v="Isp"/>
    <s v="Asian"/>
    <s v="Fully Meets"/>
    <n v="3"/>
  </r>
  <r>
    <x v="2292"/>
    <x v="2"/>
    <x v="148"/>
    <s v="68-77"/>
    <n v="68"/>
    <d v="1952-12-31T00:00:00"/>
    <s v="Massachusetts"/>
    <s v="MA"/>
    <s v="Female"/>
    <s v="Single"/>
    <s v="Production Technician I"/>
    <s v="Active"/>
    <s v="Part-Time"/>
    <s v="Zone B"/>
    <s v="Production       "/>
    <s v="Field Operations"/>
    <s v="Black"/>
    <s v="Fully Meets"/>
    <n v="2"/>
  </r>
  <r>
    <x v="2293"/>
    <x v="4"/>
    <x v="1326"/>
    <s v="68-77"/>
    <n v="68"/>
    <d v="1954-01-27T00:00:00"/>
    <s v="Massachusetts"/>
    <s v="MA"/>
    <s v="Male"/>
    <s v="Divorced"/>
    <s v="Production Technician I"/>
    <s v="Terminated"/>
    <s v="Contract"/>
    <s v="Zone A"/>
    <s v="Production       "/>
    <s v="General - Con"/>
    <s v="Other"/>
    <s v="Fully Meets"/>
    <n v="4"/>
  </r>
  <r>
    <x v="2294"/>
    <x v="2"/>
    <x v="1260"/>
    <s v="68-77"/>
    <n v="68"/>
    <d v="1952-01-31T00:00:00"/>
    <s v="Massachusetts"/>
    <s v="MA"/>
    <s v="Male"/>
    <s v="Widowed"/>
    <s v="Network Engineer"/>
    <s v="Active"/>
    <s v="Contract"/>
    <s v="Zone B"/>
    <s v="Production       "/>
    <s v="Field Operations"/>
    <s v="Other"/>
    <s v="Fully Meets"/>
    <n v="2"/>
  </r>
  <r>
    <x v="2295"/>
    <x v="4"/>
    <x v="75"/>
    <s v="68-77"/>
    <n v="68"/>
    <d v="1954-08-31T00:00:00"/>
    <s v="Massachusetts"/>
    <s v="MA"/>
    <s v="Female"/>
    <s v="Single"/>
    <s v="IT Support"/>
    <s v="Active"/>
    <s v="Full-Time"/>
    <s v="Zone B"/>
    <s v="IT/IS"/>
    <s v="Shop (Fleet)"/>
    <s v="Other"/>
    <s v="Fully Meets"/>
    <n v="5"/>
  </r>
  <r>
    <x v="2296"/>
    <x v="0"/>
    <x v="1327"/>
    <s v="68-77"/>
    <n v="68"/>
    <d v="1950-04-17T00:00:00"/>
    <s v="Massachusetts"/>
    <s v="MA"/>
    <s v="Male"/>
    <s v="Married"/>
    <s v="IT Manager - Support"/>
    <s v="Active"/>
    <s v="Contract"/>
    <s v="Zone C"/>
    <s v="IT/IS"/>
    <s v="Isp"/>
    <s v="Black"/>
    <s v="Fully Meets"/>
    <n v="2"/>
  </r>
  <r>
    <x v="2297"/>
    <x v="0"/>
    <x v="1183"/>
    <s v="68-77"/>
    <n v="68"/>
    <d v="1950-03-07T00:00:00"/>
    <s v="Connecticut"/>
    <s v="CT"/>
    <s v="Female"/>
    <s v="Divorced"/>
    <s v="Enterprise Architect"/>
    <s v="Active"/>
    <s v="Part-Time"/>
    <s v="Zone C"/>
    <s v="IT/IS"/>
    <s v="Field Operations"/>
    <s v="Hispanic"/>
    <s v="Needs Improvement"/>
    <n v="2"/>
  </r>
  <r>
    <x v="2298"/>
    <x v="1"/>
    <x v="959"/>
    <s v="68-77"/>
    <n v="68"/>
    <d v="1951-07-19T00:00:00"/>
    <s v="Massachusetts"/>
    <s v="MA"/>
    <s v="Female"/>
    <s v="Divorced"/>
    <s v="Data Analyst"/>
    <s v="Active"/>
    <s v="Full-Time"/>
    <s v="Zone C"/>
    <s v="IT/IS"/>
    <s v="Yard (Material Handling)"/>
    <s v="Asian"/>
    <s v="Fully Meets"/>
    <n v="4"/>
  </r>
  <r>
    <x v="2299"/>
    <x v="1"/>
    <x v="322"/>
    <s v="68-77"/>
    <n v="68"/>
    <d v="1951-12-11T00:00:00"/>
    <s v="Massachusetts"/>
    <s v="MA"/>
    <s v="Male"/>
    <s v="Widowed"/>
    <s v="Data Analyst"/>
    <s v="Active"/>
    <s v="Full-Time"/>
    <s v="Zone C"/>
    <s v="IT/IS"/>
    <s v="Field Operations"/>
    <s v="Asian"/>
    <s v="Fully Meets"/>
    <n v="4"/>
  </r>
  <r>
    <x v="2300"/>
    <x v="1"/>
    <x v="1328"/>
    <s v="68-77"/>
    <n v="68"/>
    <d v="1951-11-06T00:00:00"/>
    <s v="Kentucky"/>
    <s v="KY"/>
    <s v="Female"/>
    <s v="Divorced"/>
    <s v="Area Sales Manager"/>
    <s v="Active"/>
    <s v="Contract"/>
    <s v="Zone A"/>
    <s v="Sales"/>
    <s v="Finance &amp; Accounting"/>
    <s v="White"/>
    <s v="Fully Meets"/>
    <n v="4"/>
  </r>
  <r>
    <x v="2301"/>
    <x v="5"/>
    <x v="1072"/>
    <s v="68-77"/>
    <n v="69"/>
    <d v="1954-11-03T00:00:00"/>
    <s v="Massachusetts"/>
    <s v="MA"/>
    <s v="Male"/>
    <s v="Single"/>
    <s v="Software Engineer"/>
    <s v="Active"/>
    <s v="Full-Time"/>
    <s v="Zone B"/>
    <s v="Software Engineering"/>
    <s v="Project Management - Con"/>
    <s v="White"/>
    <s v="Fully Meets"/>
    <n v="2"/>
  </r>
  <r>
    <x v="2302"/>
    <x v="4"/>
    <x v="1329"/>
    <s v="68-77"/>
    <n v="69"/>
    <d v="1953-05-17T00:00:00"/>
    <s v="Massachusetts"/>
    <s v="MA"/>
    <s v="Female"/>
    <s v="Single"/>
    <s v="Software Engineer"/>
    <s v="Active"/>
    <s v="Full-Time"/>
    <s v="Zone B"/>
    <s v="Software Engineering"/>
    <s v="Underground"/>
    <s v="Other"/>
    <s v="Fully Meets"/>
    <n v="5"/>
  </r>
  <r>
    <x v="2303"/>
    <x v="4"/>
    <x v="1330"/>
    <s v="68-77"/>
    <n v="69"/>
    <d v="1953-07-13T00:00:00"/>
    <s v="Massachusetts"/>
    <s v="MA"/>
    <s v="Male"/>
    <s v="Single"/>
    <s v="Shared Services Manager"/>
    <s v="Active"/>
    <s v="Part-Time"/>
    <s v="Zone A"/>
    <s v="Software Engineering"/>
    <s v="Catv"/>
    <s v="Other"/>
    <s v="Fully Meets"/>
    <n v="4"/>
  </r>
  <r>
    <x v="2304"/>
    <x v="1"/>
    <x v="1135"/>
    <s v="68-77"/>
    <n v="69"/>
    <d v="1950-04-04T00:00:00"/>
    <s v="Pennsylvania"/>
    <s v="PA"/>
    <s v="Female"/>
    <s v="Divorced"/>
    <s v="Sales Manager"/>
    <s v="Active"/>
    <s v="Contract"/>
    <s v="Zone A"/>
    <s v="Sales"/>
    <s v="Field Operations"/>
    <s v="Hispanic"/>
    <s v="Fully Meets"/>
    <n v="3"/>
  </r>
  <r>
    <x v="2305"/>
    <x v="4"/>
    <x v="943"/>
    <s v="68-77"/>
    <n v="69"/>
    <d v="1953-02-15T00:00:00"/>
    <s v="Massachusetts"/>
    <s v="MA"/>
    <s v="Male"/>
    <s v="Single"/>
    <s v="Production Technician II"/>
    <s v="Terminated"/>
    <s v="Full-Time"/>
    <s v="Zone A"/>
    <s v="Production       "/>
    <s v="Engineers"/>
    <s v="Other"/>
    <s v="PIP"/>
    <n v="1"/>
  </r>
  <r>
    <x v="2306"/>
    <x v="4"/>
    <x v="1331"/>
    <s v="68-77"/>
    <n v="69"/>
    <d v="1953-08-10T00:00:00"/>
    <s v="Massachusetts"/>
    <s v="MA"/>
    <s v="Female"/>
    <s v="Single"/>
    <s v="Production Technician II"/>
    <s v="Active"/>
    <s v="Full-Time"/>
    <s v="Zone C"/>
    <s v="Production       "/>
    <s v="Wireline Construction"/>
    <s v="White"/>
    <s v="Fully Meets"/>
    <n v="2"/>
  </r>
  <r>
    <x v="2307"/>
    <x v="4"/>
    <x v="221"/>
    <s v="68-77"/>
    <n v="69"/>
    <d v="1953-02-03T00:00:00"/>
    <s v="Massachusetts"/>
    <s v="MA"/>
    <s v="Female"/>
    <s v="Widowed"/>
    <s v="Production Technician II"/>
    <s v="Active"/>
    <s v="Full-Time"/>
    <s v="Zone C"/>
    <s v="Production       "/>
    <s v="Wireless"/>
    <s v="White"/>
    <s v="Fully Meets"/>
    <n v="4"/>
  </r>
  <r>
    <x v="2308"/>
    <x v="1"/>
    <x v="827"/>
    <s v="68-77"/>
    <n v="69"/>
    <d v="1950-02-25T00:00:00"/>
    <s v="Massachusetts"/>
    <s v="MA"/>
    <s v="Female"/>
    <s v="Divorced"/>
    <s v="Production Technician II"/>
    <s v="Active"/>
    <s v="Contract"/>
    <s v="Zone A"/>
    <s v="Production       "/>
    <s v="General - Con"/>
    <s v="White"/>
    <s v="Fully Meets"/>
    <n v="3"/>
  </r>
  <r>
    <x v="2309"/>
    <x v="2"/>
    <x v="216"/>
    <s v="68-77"/>
    <n v="69"/>
    <d v="1951-05-10T00:00:00"/>
    <s v="Massachusetts"/>
    <s v="MA"/>
    <s v="Female"/>
    <s v="Single"/>
    <s v="Production Technician II"/>
    <s v="Active"/>
    <s v="Contract"/>
    <s v="Zone A"/>
    <s v="Production       "/>
    <s v="General - Con"/>
    <s v="Other"/>
    <s v="Fully Meets"/>
    <n v="3"/>
  </r>
  <r>
    <x v="2310"/>
    <x v="1"/>
    <x v="919"/>
    <s v="68-77"/>
    <n v="69"/>
    <d v="1950-10-08T00:00:00"/>
    <s v="Massachusetts"/>
    <s v="MA"/>
    <s v="Female"/>
    <s v="Married"/>
    <s v="Production Technician II"/>
    <s v="Terminated"/>
    <s v="Contract"/>
    <s v="Zone A"/>
    <s v="Production       "/>
    <s v="Field Operations"/>
    <s v="Other"/>
    <s v="Fully Meets"/>
    <n v="4"/>
  </r>
  <r>
    <x v="2311"/>
    <x v="1"/>
    <x v="1193"/>
    <s v="68-77"/>
    <n v="69"/>
    <d v="1950-10-25T00:00:00"/>
    <s v="Massachusetts"/>
    <s v="MA"/>
    <s v="Male"/>
    <s v="Widowed"/>
    <s v="Production Technician II"/>
    <s v="Active"/>
    <s v="Part-Time"/>
    <s v="Zone A"/>
    <s v="Production       "/>
    <s v="Splicing"/>
    <s v="White"/>
    <s v="Fully Meets"/>
    <n v="3"/>
  </r>
  <r>
    <x v="2312"/>
    <x v="0"/>
    <x v="616"/>
    <s v="68-77"/>
    <n v="69"/>
    <d v="1949-03-12T00:00:00"/>
    <s v="Massachusetts"/>
    <s v="MA"/>
    <s v="Female"/>
    <s v="Divorced"/>
    <s v="Production Technician II"/>
    <s v="Terminated"/>
    <s v="Contract"/>
    <s v="Zone B"/>
    <s v="Production       "/>
    <s v="Splicing"/>
    <s v="Hispanic"/>
    <s v="Fully Meets"/>
    <n v="5"/>
  </r>
  <r>
    <x v="2313"/>
    <x v="1"/>
    <x v="1161"/>
    <s v="68-77"/>
    <n v="69"/>
    <d v="1950-12-09T00:00:00"/>
    <s v="Massachusetts"/>
    <s v="MA"/>
    <s v="Male"/>
    <s v="Married"/>
    <s v="Production Technician I"/>
    <s v="Active"/>
    <s v="Contract"/>
    <s v="Zone C"/>
    <s v="Production       "/>
    <s v="General - Sga"/>
    <s v="Other"/>
    <s v="Fully Meets"/>
    <n v="3"/>
  </r>
  <r>
    <x v="2314"/>
    <x v="2"/>
    <x v="568"/>
    <s v="68-77"/>
    <n v="69"/>
    <d v="1951-02-15T00:00:00"/>
    <s v="Massachusetts"/>
    <s v="MA"/>
    <s v="Female"/>
    <s v="Widowed"/>
    <s v="Production Technician I"/>
    <s v="Active"/>
    <s v="Part-Time"/>
    <s v="Zone A"/>
    <s v="Production       "/>
    <s v="Engineers"/>
    <s v="White"/>
    <s v="Exceeds"/>
    <n v="5"/>
  </r>
  <r>
    <x v="2315"/>
    <x v="3"/>
    <x v="610"/>
    <s v="68-77"/>
    <n v="69"/>
    <d v="1952-01-20T00:00:00"/>
    <s v="Massachusetts"/>
    <s v="MA"/>
    <s v="Female"/>
    <s v="Married"/>
    <s v="Production Technician I"/>
    <s v="Active"/>
    <s v="Contract"/>
    <s v="Zone C"/>
    <s v="Production       "/>
    <s v="Project Management - Con"/>
    <s v="Hispanic"/>
    <s v="Fully Meets"/>
    <n v="3"/>
  </r>
  <r>
    <x v="2316"/>
    <x v="1"/>
    <x v="1332"/>
    <s v="68-77"/>
    <n v="69"/>
    <d v="1950-03-05T00:00:00"/>
    <s v="Massachusetts"/>
    <s v="MA"/>
    <s v="Female"/>
    <s v="Divorced"/>
    <s v="Production Technician I"/>
    <s v="Active"/>
    <s v="Contract"/>
    <s v="Zone C"/>
    <s v="Production       "/>
    <s v="General - Con"/>
    <s v="Hispanic"/>
    <s v="Fully Meets"/>
    <n v="2"/>
  </r>
  <r>
    <x v="2317"/>
    <x v="2"/>
    <x v="738"/>
    <s v="68-77"/>
    <n v="69"/>
    <d v="1951-03-14T00:00:00"/>
    <s v="Massachusetts"/>
    <s v="MA"/>
    <s v="Male"/>
    <s v="Married"/>
    <s v="Production Technician I"/>
    <s v="Terminated"/>
    <s v="Contract"/>
    <s v="Zone B"/>
    <s v="Production       "/>
    <s v="General - Con"/>
    <s v="Black"/>
    <s v="Fully Meets"/>
    <n v="5"/>
  </r>
  <r>
    <x v="2318"/>
    <x v="4"/>
    <x v="1331"/>
    <s v="68-77"/>
    <n v="69"/>
    <d v="1953-12-29T00:00:00"/>
    <s v="Massachusetts"/>
    <s v="MA"/>
    <s v="Female"/>
    <s v="Widowed"/>
    <s v="Production Technician I"/>
    <s v="Active"/>
    <s v="Contract"/>
    <s v="Zone C"/>
    <s v="Production       "/>
    <s v="Field Operations"/>
    <s v="Black"/>
    <s v="Exceeds"/>
    <n v="3"/>
  </r>
  <r>
    <x v="2319"/>
    <x v="2"/>
    <x v="1141"/>
    <s v="68-77"/>
    <n v="69"/>
    <d v="1951-01-03T00:00:00"/>
    <s v="Massachusetts"/>
    <s v="MA"/>
    <s v="Male"/>
    <s v="Widowed"/>
    <s v="Production Technician I"/>
    <s v="Active"/>
    <s v="Part-Time"/>
    <s v="Zone A"/>
    <s v="Production       "/>
    <s v="Yard (Material Handling)"/>
    <s v="Asian"/>
    <s v="Fully Meets"/>
    <n v="2"/>
  </r>
  <r>
    <x v="2320"/>
    <x v="1"/>
    <x v="1333"/>
    <s v="68-77"/>
    <n v="69"/>
    <d v="1950-09-14T00:00:00"/>
    <s v="Massachusetts"/>
    <s v="MA"/>
    <s v="Female"/>
    <s v="Divorced"/>
    <s v="Production Technician I"/>
    <s v="Active"/>
    <s v="Contract"/>
    <s v="Zone C"/>
    <s v="Production       "/>
    <s v="Engineers"/>
    <s v="Other"/>
    <s v="Fully Meets"/>
    <n v="4"/>
  </r>
  <r>
    <x v="2321"/>
    <x v="4"/>
    <x v="511"/>
    <s v="68-77"/>
    <n v="69"/>
    <d v="1953-05-10T00:00:00"/>
    <s v="Massachusetts"/>
    <s v="MA"/>
    <s v="Male"/>
    <s v="Married"/>
    <s v="Production Technician I"/>
    <s v="Active"/>
    <s v="Part-Time"/>
    <s v="Zone B"/>
    <s v="Production       "/>
    <s v="Engineers"/>
    <s v="Other"/>
    <s v="Fully Meets"/>
    <n v="5"/>
  </r>
  <r>
    <x v="2322"/>
    <x v="1"/>
    <x v="1176"/>
    <s v="68-77"/>
    <n v="69"/>
    <d v="1950-10-15T00:00:00"/>
    <s v="Massachusetts"/>
    <s v="MA"/>
    <s v="Male"/>
    <s v="Divorced"/>
    <s v="Production Technician I"/>
    <s v="Active"/>
    <s v="Full-Time"/>
    <s v="Zone B"/>
    <s v="Production       "/>
    <s v="Splicing"/>
    <s v="Hispanic"/>
    <s v="Needs Improvement"/>
    <n v="1"/>
  </r>
  <r>
    <x v="2323"/>
    <x v="3"/>
    <x v="1334"/>
    <s v="68-77"/>
    <n v="69"/>
    <d v="1952-10-01T00:00:00"/>
    <s v="Massachusetts"/>
    <s v="MA"/>
    <s v="Male"/>
    <s v="Widowed"/>
    <s v="Production Technician I"/>
    <s v="Active"/>
    <s v="Part-Time"/>
    <s v="Zone B"/>
    <s v="Production       "/>
    <s v="General - Con"/>
    <s v="White"/>
    <s v="Exceeds"/>
    <n v="4"/>
  </r>
  <r>
    <x v="2324"/>
    <x v="4"/>
    <x v="687"/>
    <s v="68-77"/>
    <n v="69"/>
    <d v="1953-12-12T00:00:00"/>
    <s v="Massachusetts"/>
    <s v="MA"/>
    <s v="Male"/>
    <s v="Divorced"/>
    <s v="Production Technician I"/>
    <s v="Active"/>
    <s v="Part-Time"/>
    <s v="Zone A"/>
    <s v="Production       "/>
    <s v="Fielders"/>
    <s v="White"/>
    <s v="Fully Meets"/>
    <n v="5"/>
  </r>
  <r>
    <x v="2325"/>
    <x v="4"/>
    <x v="786"/>
    <s v="68-77"/>
    <n v="69"/>
    <d v="1953-04-27T00:00:00"/>
    <s v="Massachusetts"/>
    <s v="MA"/>
    <s v="Male"/>
    <s v="Divorced"/>
    <s v="Production Technician I"/>
    <s v="Active"/>
    <s v="Contract"/>
    <s v="Zone A"/>
    <s v="Production       "/>
    <s v="Catv"/>
    <s v="Hispanic"/>
    <s v="Fully Meets"/>
    <n v="5"/>
  </r>
  <r>
    <x v="2326"/>
    <x v="0"/>
    <x v="733"/>
    <s v="68-77"/>
    <n v="69"/>
    <d v="1949-07-27T00:00:00"/>
    <s v="Massachusetts"/>
    <s v="MA"/>
    <s v="Male"/>
    <s v="Single"/>
    <s v="Production Technician I"/>
    <s v="Active"/>
    <s v="Part-Time"/>
    <s v="Zone C"/>
    <s v="Production       "/>
    <s v="General - Con"/>
    <s v="Hispanic"/>
    <s v="Fully Meets"/>
    <n v="1"/>
  </r>
  <r>
    <x v="2327"/>
    <x v="3"/>
    <x v="1335"/>
    <s v="68-77"/>
    <n v="69"/>
    <d v="1952-04-29T00:00:00"/>
    <s v="Massachusetts"/>
    <s v="MA"/>
    <s v="Male"/>
    <s v="Widowed"/>
    <s v="Production Technician I"/>
    <s v="Active"/>
    <s v="Full-Time"/>
    <s v="Zone C"/>
    <s v="Production       "/>
    <s v="Aerial"/>
    <s v="White"/>
    <s v="Fully Meets"/>
    <n v="1"/>
  </r>
  <r>
    <x v="2328"/>
    <x v="0"/>
    <x v="1104"/>
    <s v="68-77"/>
    <n v="69"/>
    <d v="1949-04-08T00:00:00"/>
    <s v="Massachusetts"/>
    <s v="MA"/>
    <s v="Female"/>
    <s v="Widowed"/>
    <s v="Production Technician I"/>
    <s v="Terminated"/>
    <s v="Full-Time"/>
    <s v="Zone B"/>
    <s v="Production       "/>
    <s v="Technology / It"/>
    <s v="Black"/>
    <s v="Fully Meets"/>
    <n v="3"/>
  </r>
  <r>
    <x v="2329"/>
    <x v="5"/>
    <x v="496"/>
    <s v="68-77"/>
    <n v="69"/>
    <d v="1954-10-31T00:00:00"/>
    <s v="Massachusetts"/>
    <s v="MA"/>
    <s v="Female"/>
    <s v="Single"/>
    <s v="Production Technician I"/>
    <s v="Active"/>
    <s v="Contract"/>
    <s v="Zone C"/>
    <s v="Production       "/>
    <s v="Underground"/>
    <s v="Black"/>
    <s v="Needs Improvement"/>
    <n v="5"/>
  </r>
  <r>
    <x v="2330"/>
    <x v="0"/>
    <x v="7"/>
    <s v="68-77"/>
    <n v="69"/>
    <d v="1949-09-12T00:00:00"/>
    <s v="Massachusetts"/>
    <s v="MA"/>
    <s v="Female"/>
    <s v="Divorced"/>
    <s v="Production Technician I"/>
    <s v="Active"/>
    <s v="Contract"/>
    <s v="Zone C"/>
    <s v="Production       "/>
    <s v="Finance &amp; Accounting"/>
    <s v="White"/>
    <s v="Exceeds"/>
    <n v="4"/>
  </r>
  <r>
    <x v="2331"/>
    <x v="2"/>
    <x v="173"/>
    <s v="68-77"/>
    <n v="69"/>
    <d v="1951-09-02T00:00:00"/>
    <s v="Massachusetts"/>
    <s v="MA"/>
    <s v="Male"/>
    <s v="Single"/>
    <s v="Production Technician I"/>
    <s v="Active"/>
    <s v="Full-Time"/>
    <s v="Zone A"/>
    <s v="Production       "/>
    <s v="Catv"/>
    <s v="Asian"/>
    <s v="PIP"/>
    <n v="2"/>
  </r>
  <r>
    <x v="2332"/>
    <x v="2"/>
    <x v="23"/>
    <s v="68-77"/>
    <n v="69"/>
    <d v="1951-03-12T00:00:00"/>
    <s v="Massachusetts"/>
    <s v="MA"/>
    <s v="Female"/>
    <s v="Widowed"/>
    <s v="Production Technician I"/>
    <s v="Terminated"/>
    <s v="Part-Time"/>
    <s v="Zone C"/>
    <s v="Production       "/>
    <s v="Field Operations"/>
    <s v="Black"/>
    <s v="Needs Improvement"/>
    <n v="2"/>
  </r>
  <r>
    <x v="2333"/>
    <x v="2"/>
    <x v="1336"/>
    <s v="68-77"/>
    <n v="69"/>
    <d v="1951-11-11T00:00:00"/>
    <s v="Massachusetts"/>
    <s v="MA"/>
    <s v="Male"/>
    <s v="Widowed"/>
    <s v="Production Technician I"/>
    <s v="Active"/>
    <s v="Contract"/>
    <s v="Zone A"/>
    <s v="Production       "/>
    <s v="Wireline Construction"/>
    <s v="Black"/>
    <s v="Exceeds"/>
    <n v="2"/>
  </r>
  <r>
    <x v="2334"/>
    <x v="1"/>
    <x v="813"/>
    <s v="68-77"/>
    <n v="69"/>
    <d v="1950-04-02T00:00:00"/>
    <s v="Massachusetts"/>
    <s v="MA"/>
    <s v="Male"/>
    <s v="Divorced"/>
    <s v="Production Technician I"/>
    <s v="Active"/>
    <s v="Full-Time"/>
    <s v="Zone C"/>
    <s v="Production       "/>
    <s v="Project Management - Eng"/>
    <s v="Black"/>
    <s v="Fully Meets"/>
    <n v="3"/>
  </r>
  <r>
    <x v="2335"/>
    <x v="1"/>
    <x v="559"/>
    <s v="68-77"/>
    <n v="69"/>
    <d v="1950-02-15T00:00:00"/>
    <s v="Massachusetts"/>
    <s v="MA"/>
    <s v="Female"/>
    <s v="Married"/>
    <s v="Production Technician I"/>
    <s v="Active"/>
    <s v="Full-Time"/>
    <s v="Zone A"/>
    <s v="Production       "/>
    <s v="Field Operations"/>
    <s v="Black"/>
    <s v="Fully Meets"/>
    <n v="5"/>
  </r>
  <r>
    <x v="2336"/>
    <x v="4"/>
    <x v="1024"/>
    <s v="68-77"/>
    <n v="69"/>
    <d v="1953-11-27T00:00:00"/>
    <s v="Massachusetts"/>
    <s v="MA"/>
    <s v="Female"/>
    <s v="Widowed"/>
    <s v="Production Technician I"/>
    <s v="Active"/>
    <s v="Part-Time"/>
    <s v="Zone A"/>
    <s v="Production       "/>
    <s v="Field Operations"/>
    <s v="Asian"/>
    <s v="Fully Meets"/>
    <n v="5"/>
  </r>
  <r>
    <x v="2337"/>
    <x v="1"/>
    <x v="1177"/>
    <s v="68-77"/>
    <n v="69"/>
    <d v="1950-03-28T00:00:00"/>
    <s v="Massachusetts"/>
    <s v="MA"/>
    <s v="Female"/>
    <s v="Widowed"/>
    <s v="Production Technician I"/>
    <s v="Terminated"/>
    <s v="Part-Time"/>
    <s v="Zone B"/>
    <s v="Production       "/>
    <s v="Field Operations"/>
    <s v="Asian"/>
    <s v="Fully Meets"/>
    <n v="4"/>
  </r>
  <r>
    <x v="2338"/>
    <x v="2"/>
    <x v="594"/>
    <s v="68-77"/>
    <n v="69"/>
    <d v="1951-11-16T00:00:00"/>
    <s v="Massachusetts"/>
    <s v="MA"/>
    <s v="Female"/>
    <s v="Widowed"/>
    <s v="Production Technician I"/>
    <s v="Active"/>
    <s v="Full-Time"/>
    <s v="Zone A"/>
    <s v="Production       "/>
    <s v="General - Sga"/>
    <s v="Asian"/>
    <s v="Fully Meets"/>
    <n v="1"/>
  </r>
  <r>
    <x v="2339"/>
    <x v="0"/>
    <x v="13"/>
    <s v="68-77"/>
    <n v="69"/>
    <d v="1949-12-31T00:00:00"/>
    <s v="Massachusetts"/>
    <s v="MA"/>
    <s v="Female"/>
    <s v="Single"/>
    <s v="Production Technician I"/>
    <s v="Terminated"/>
    <s v="Full-Time"/>
    <s v="Zone C"/>
    <s v="Production       "/>
    <s v="Executive"/>
    <s v="Asian"/>
    <s v="Fully Meets"/>
    <n v="2"/>
  </r>
  <r>
    <x v="2340"/>
    <x v="3"/>
    <x v="407"/>
    <s v="68-77"/>
    <n v="69"/>
    <d v="1952-05-20T00:00:00"/>
    <s v="Massachusetts"/>
    <s v="MA"/>
    <s v="Male"/>
    <s v="Married"/>
    <s v="Production Technician I"/>
    <s v="Terminated"/>
    <s v="Full-Time"/>
    <s v="Zone C"/>
    <s v="Production       "/>
    <s v="Engineers"/>
    <s v="Asian"/>
    <s v="Fully Meets"/>
    <n v="3"/>
  </r>
  <r>
    <x v="2341"/>
    <x v="4"/>
    <x v="660"/>
    <s v="68-77"/>
    <n v="69"/>
    <d v="1953-07-24T00:00:00"/>
    <s v="Massachusetts"/>
    <s v="MA"/>
    <s v="Female"/>
    <s v="Single"/>
    <s v="Production Technician I"/>
    <s v="Active"/>
    <s v="Part-Time"/>
    <s v="Zone A"/>
    <s v="Production       "/>
    <s v="Field Operations"/>
    <s v="Hispanic"/>
    <s v="Fully Meets"/>
    <n v="1"/>
  </r>
  <r>
    <x v="2342"/>
    <x v="3"/>
    <x v="175"/>
    <s v="68-77"/>
    <n v="69"/>
    <d v="1952-09-10T00:00:00"/>
    <s v="Massachusetts"/>
    <s v="MA"/>
    <s v="Female"/>
    <s v="Married"/>
    <s v="Production Manager"/>
    <s v="Active"/>
    <s v="Full-Time"/>
    <s v="Zone B"/>
    <s v="Production       "/>
    <s v="Field Operations"/>
    <s v="White"/>
    <s v="Fully Meets"/>
    <n v="2"/>
  </r>
  <r>
    <x v="2343"/>
    <x v="1"/>
    <x v="1337"/>
    <s v="68-77"/>
    <n v="69"/>
    <d v="1950-10-25T00:00:00"/>
    <s v="Massachusetts"/>
    <s v="MA"/>
    <s v="Female"/>
    <s v="Married"/>
    <s v="Production Manager"/>
    <s v="Active"/>
    <s v="Part-Time"/>
    <s v="Zone A"/>
    <s v="Production       "/>
    <s v="General - Sga"/>
    <s v="Other"/>
    <s v="Fully Meets"/>
    <n v="5"/>
  </r>
  <r>
    <x v="2344"/>
    <x v="4"/>
    <x v="1338"/>
    <s v="68-77"/>
    <n v="69"/>
    <d v="1953-05-12T00:00:00"/>
    <s v="Massachusetts"/>
    <s v="MA"/>
    <s v="Male"/>
    <s v="Single"/>
    <s v="Network Engineer"/>
    <s v="Active"/>
    <s v="Full-Time"/>
    <s v="Zone A"/>
    <s v="Executive Office"/>
    <s v="Field Operations"/>
    <s v="Asian"/>
    <s v="PIP"/>
    <n v="5"/>
  </r>
  <r>
    <x v="2345"/>
    <x v="1"/>
    <x v="1339"/>
    <s v="68-77"/>
    <n v="69"/>
    <d v="1950-10-03T00:00:00"/>
    <s v="Connecticut"/>
    <s v="CT"/>
    <s v="Female"/>
    <s v="Divorced"/>
    <s v="IT Support"/>
    <s v="Active"/>
    <s v="Contract"/>
    <s v="Zone A"/>
    <s v="IT/IS"/>
    <s v="Engineers"/>
    <s v="Other"/>
    <s v="Fully Meets"/>
    <n v="4"/>
  </r>
  <r>
    <x v="2346"/>
    <x v="5"/>
    <x v="1229"/>
    <s v="68-77"/>
    <n v="69"/>
    <d v="1954-07-20T00:00:00"/>
    <s v="Connecticut"/>
    <s v="CT"/>
    <s v="Female"/>
    <s v="Married"/>
    <s v="IT Support"/>
    <s v="Active"/>
    <s v="Full-Time"/>
    <s v="Zone A"/>
    <s v="IT/IS"/>
    <s v="Finance &amp; Accounting"/>
    <s v="Other"/>
    <s v="Fully Meets"/>
    <n v="3"/>
  </r>
  <r>
    <x v="2347"/>
    <x v="3"/>
    <x v="1139"/>
    <s v="68-77"/>
    <n v="69"/>
    <d v="1952-02-07T00:00:00"/>
    <s v="Massachusetts"/>
    <s v="MA"/>
    <s v="Male"/>
    <s v="Married"/>
    <s v="Director of Operations"/>
    <s v="Active"/>
    <s v="Full-Time"/>
    <s v="Zone B"/>
    <s v="Sales"/>
    <s v="General - Con"/>
    <s v="Other"/>
    <s v="Fully Meets"/>
    <n v="5"/>
  </r>
  <r>
    <x v="2348"/>
    <x v="1"/>
    <x v="1067"/>
    <s v="68-77"/>
    <n v="69"/>
    <d v="1950-11-07T00:00:00"/>
    <s v="Massachusetts"/>
    <s v="MA"/>
    <s v="Female"/>
    <s v="Widowed"/>
    <s v="BI Director"/>
    <s v="Active"/>
    <s v="Part-Time"/>
    <s v="Zone C"/>
    <s v="IT/IS"/>
    <s v="General - Con"/>
    <s v="Other"/>
    <s v="Fully Meets"/>
    <n v="5"/>
  </r>
  <r>
    <x v="2349"/>
    <x v="3"/>
    <x v="1340"/>
    <s v="68-77"/>
    <n v="69"/>
    <d v="1952-10-14T00:00:00"/>
    <s v="Washington"/>
    <s v="WA"/>
    <s v="Female"/>
    <s v="Divorced"/>
    <s v="Area Sales Manager"/>
    <s v="Active"/>
    <s v="Contract"/>
    <s v="Zone A"/>
    <s v="Sales"/>
    <s v="General - Con"/>
    <s v="Other"/>
    <s v="Fully Meets"/>
    <n v="4"/>
  </r>
  <r>
    <x v="2350"/>
    <x v="4"/>
    <x v="329"/>
    <s v="68-77"/>
    <n v="69"/>
    <d v="1953-05-02T00:00:00"/>
    <s v="Texas"/>
    <s v="TX"/>
    <s v="Female"/>
    <s v="Divorced"/>
    <s v="Area Sales Manager"/>
    <s v="Active"/>
    <s v="Part-Time"/>
    <s v="Zone A"/>
    <s v="Sales"/>
    <s v="Field Operations"/>
    <s v="Black"/>
    <s v="Fully Meets"/>
    <n v="4"/>
  </r>
  <r>
    <x v="2351"/>
    <x v="2"/>
    <x v="1341"/>
    <s v="68-77"/>
    <n v="69"/>
    <d v="1951-06-21T00:00:00"/>
    <s v="Indiana"/>
    <s v="IN"/>
    <s v="Male"/>
    <s v="Single"/>
    <s v="Area Sales Manager"/>
    <s v="Active"/>
    <s v="Part-Time"/>
    <s v="Zone A"/>
    <s v="Sales"/>
    <s v="Field Operations"/>
    <s v="Hispanic"/>
    <s v="Fully Meets"/>
    <n v="3"/>
  </r>
  <r>
    <x v="2352"/>
    <x v="4"/>
    <x v="429"/>
    <s v="68-77"/>
    <n v="69"/>
    <d v="1953-03-09T00:00:00"/>
    <s v="Idaho"/>
    <s v="ID"/>
    <s v="Male"/>
    <s v="Married"/>
    <s v="Area Sales Manager"/>
    <s v="Active"/>
    <s v="Contract"/>
    <s v="Zone A"/>
    <s v="Sales"/>
    <s v="Project Management - Con"/>
    <s v="Other"/>
    <s v="Fully Meets"/>
    <n v="1"/>
  </r>
  <r>
    <x v="2353"/>
    <x v="1"/>
    <x v="1342"/>
    <s v="68-77"/>
    <n v="69"/>
    <d v="1950-11-03T00:00:00"/>
    <s v="Idaho"/>
    <s v="ID"/>
    <s v="Male"/>
    <s v="Single"/>
    <s v="Area Sales Manager"/>
    <s v="Active"/>
    <s v="Contract"/>
    <s v="Zone A"/>
    <s v="Sales"/>
    <s v="Project Management - Con"/>
    <s v="Hispanic"/>
    <s v="Fully Meets"/>
    <n v="5"/>
  </r>
  <r>
    <x v="2354"/>
    <x v="2"/>
    <x v="512"/>
    <s v="68-77"/>
    <n v="69"/>
    <d v="1951-08-02T00:00:00"/>
    <s v="Arizona"/>
    <s v="AZ"/>
    <s v="Male"/>
    <s v="Single"/>
    <s v="Area Sales Manager"/>
    <s v="Active"/>
    <s v="Full-Time"/>
    <s v="Zone C"/>
    <s v="Sales"/>
    <s v="Project Management - Con"/>
    <s v="White"/>
    <s v="Fully Meets"/>
    <n v="5"/>
  </r>
  <r>
    <x v="2355"/>
    <x v="5"/>
    <x v="1114"/>
    <s v="68-77"/>
    <n v="69"/>
    <d v="1954-03-08T00:00:00"/>
    <s v="Massachusetts"/>
    <s v="MA"/>
    <s v="Female"/>
    <s v="Widowed"/>
    <s v="Administrative Assistant"/>
    <s v="Active"/>
    <s v="Contract"/>
    <s v="Zone C"/>
    <s v="Sales"/>
    <s v="General - Sga"/>
    <s v="Other"/>
    <s v="Fully Meets"/>
    <n v="4"/>
  </r>
  <r>
    <x v="2356"/>
    <x v="4"/>
    <x v="1343"/>
    <s v="68-77"/>
    <n v="69"/>
    <d v="1953-03-19T00:00:00"/>
    <s v="Massachusetts"/>
    <s v="MA"/>
    <s v="Female"/>
    <s v="Divorced"/>
    <s v="Administrative Assistant"/>
    <s v="Active"/>
    <s v="Full-Time"/>
    <s v="Zone B"/>
    <s v="Admin Offices"/>
    <s v="Aerial"/>
    <s v="Black"/>
    <s v="Fully Meets"/>
    <n v="1"/>
  </r>
  <r>
    <x v="2357"/>
    <x v="4"/>
    <x v="1159"/>
    <s v="68-77"/>
    <n v="70"/>
    <d v="1952-06-18T00:00:00"/>
    <s v="Massachusetts"/>
    <s v="MA"/>
    <s v="Female"/>
    <s v="Widowed"/>
    <s v="Sr. DBA"/>
    <s v="Active"/>
    <s v="Full-Time"/>
    <s v="Zone C"/>
    <s v="IT/IS"/>
    <s v="General - Con"/>
    <s v="Asian"/>
    <s v="Fully Meets"/>
    <n v="1"/>
  </r>
  <r>
    <x v="2358"/>
    <x v="4"/>
    <x v="627"/>
    <s v="68-77"/>
    <n v="70"/>
    <d v="1952-10-12T00:00:00"/>
    <s v="Massachusetts"/>
    <s v="MA"/>
    <s v="Male"/>
    <s v="Divorced"/>
    <s v="Software Engineer"/>
    <s v="Active"/>
    <s v="Full-Time"/>
    <s v="Zone A"/>
    <s v="Software Engineering"/>
    <s v="Finance &amp; Accounting"/>
    <s v="Black"/>
    <s v="Fully Meets"/>
    <n v="5"/>
  </r>
  <r>
    <x v="2359"/>
    <x v="5"/>
    <x v="1344"/>
    <s v="68-77"/>
    <n v="70"/>
    <d v="1953-04-29T00:00:00"/>
    <s v="Massachusetts"/>
    <s v="MA"/>
    <s v="Female"/>
    <s v="Married"/>
    <s v="Software Engineer"/>
    <s v="Active"/>
    <s v="Full-Time"/>
    <s v="Zone A"/>
    <s v="Software Engineering"/>
    <s v="Wireline Construction"/>
    <s v="Black"/>
    <s v="Fully Meets"/>
    <n v="1"/>
  </r>
  <r>
    <x v="2360"/>
    <x v="4"/>
    <x v="811"/>
    <s v="68-77"/>
    <n v="70"/>
    <d v="1952-03-10T00:00:00"/>
    <s v="Massachusetts"/>
    <s v="MA"/>
    <s v="Male"/>
    <s v="Divorced"/>
    <s v="Software Engineer"/>
    <s v="Active"/>
    <s v="Contract"/>
    <s v="Zone B"/>
    <s v="Software Engineering"/>
    <s v="General - Con"/>
    <s v="Other"/>
    <s v="Fully Meets"/>
    <n v="5"/>
  </r>
  <r>
    <x v="2361"/>
    <x v="2"/>
    <x v="744"/>
    <s v="68-77"/>
    <n v="70"/>
    <d v="1950-03-31T00:00:00"/>
    <s v="Massachusetts"/>
    <s v="MA"/>
    <s v="Female"/>
    <s v="Divorced"/>
    <s v="Production Technician II"/>
    <s v="Active"/>
    <s v="Part-Time"/>
    <s v="Zone A"/>
    <s v="Production       "/>
    <s v="General - Con"/>
    <s v="White"/>
    <s v="Fully Meets"/>
    <n v="4"/>
  </r>
  <r>
    <x v="2362"/>
    <x v="1"/>
    <x v="1337"/>
    <s v="68-77"/>
    <n v="70"/>
    <d v="1949-10-13T00:00:00"/>
    <s v="Massachusetts"/>
    <s v="MA"/>
    <s v="Female"/>
    <s v="Married"/>
    <s v="Production Technician II"/>
    <s v="Active"/>
    <s v="Part-Time"/>
    <s v="Zone A"/>
    <s v="Production       "/>
    <s v="General - Con"/>
    <s v="Black"/>
    <s v="Fully Meets"/>
    <n v="5"/>
  </r>
  <r>
    <x v="2363"/>
    <x v="3"/>
    <x v="513"/>
    <s v="68-77"/>
    <n v="70"/>
    <d v="1951-09-07T00:00:00"/>
    <s v="Massachusetts"/>
    <s v="MA"/>
    <s v="Female"/>
    <s v="Single"/>
    <s v="Production Technician II"/>
    <s v="Active"/>
    <s v="Part-Time"/>
    <s v="Zone C"/>
    <s v="Production       "/>
    <s v="Field Operations"/>
    <s v="Hispanic"/>
    <s v="Fully Meets"/>
    <n v="3"/>
  </r>
  <r>
    <x v="2364"/>
    <x v="2"/>
    <x v="561"/>
    <s v="68-77"/>
    <n v="70"/>
    <d v="1950-07-27T00:00:00"/>
    <s v="Massachusetts"/>
    <s v="MA"/>
    <s v="Female"/>
    <s v="Divorced"/>
    <s v="Production Technician II"/>
    <s v="Active"/>
    <s v="Part-Time"/>
    <s v="Zone C"/>
    <s v="Production       "/>
    <s v="General - Eng"/>
    <s v="Black"/>
    <s v="Exceeds"/>
    <n v="1"/>
  </r>
  <r>
    <x v="2365"/>
    <x v="2"/>
    <x v="1345"/>
    <s v="68-77"/>
    <n v="70"/>
    <d v="1950-05-19T00:00:00"/>
    <s v="Massachusetts"/>
    <s v="MA"/>
    <s v="Female"/>
    <s v="Divorced"/>
    <s v="Production Technician II"/>
    <s v="Active"/>
    <s v="Part-Time"/>
    <s v="Zone B"/>
    <s v="Production       "/>
    <s v="Catv"/>
    <s v="Other"/>
    <s v="PIP"/>
    <n v="4"/>
  </r>
  <r>
    <x v="2366"/>
    <x v="1"/>
    <x v="861"/>
    <s v="68-77"/>
    <n v="70"/>
    <d v="1949-01-01T00:00:00"/>
    <s v="Massachusetts"/>
    <s v="MA"/>
    <s v="Female"/>
    <s v="Married"/>
    <s v="Production Technician II"/>
    <s v="Active"/>
    <s v="Contract"/>
    <s v="Zone B"/>
    <s v="Production       "/>
    <s v="General - Con"/>
    <s v="Other"/>
    <s v="Fully Meets"/>
    <n v="1"/>
  </r>
  <r>
    <x v="2367"/>
    <x v="2"/>
    <x v="1346"/>
    <s v="68-77"/>
    <n v="70"/>
    <d v="1950-01-12T00:00:00"/>
    <s v="Massachusetts"/>
    <s v="MA"/>
    <s v="Male"/>
    <s v="Divorced"/>
    <s v="Production Technician II"/>
    <s v="Active"/>
    <s v="Contract"/>
    <s v="Zone B"/>
    <s v="Production       "/>
    <s v="Project Management - Con"/>
    <s v="Hispanic"/>
    <s v="Fully Meets"/>
    <n v="2"/>
  </r>
  <r>
    <x v="2368"/>
    <x v="2"/>
    <x v="337"/>
    <s v="68-77"/>
    <n v="70"/>
    <d v="1950-06-07T00:00:00"/>
    <s v="Massachusetts"/>
    <s v="MA"/>
    <s v="Female"/>
    <s v="Married"/>
    <s v="Production Technician II"/>
    <s v="Active"/>
    <s v="Contract"/>
    <s v="Zone B"/>
    <s v="Production       "/>
    <s v="General - Con"/>
    <s v="White"/>
    <s v="Fully Meets"/>
    <n v="1"/>
  </r>
  <r>
    <x v="2369"/>
    <x v="2"/>
    <x v="1106"/>
    <s v="68-77"/>
    <n v="70"/>
    <d v="1950-09-13T00:00:00"/>
    <s v="Massachusetts"/>
    <s v="MA"/>
    <s v="Male"/>
    <s v="Married"/>
    <s v="Production Technician I"/>
    <s v="Active"/>
    <s v="Contract"/>
    <s v="Zone A"/>
    <s v="Production       "/>
    <s v="General - Con"/>
    <s v="Black"/>
    <s v="Fully Meets"/>
    <n v="1"/>
  </r>
  <r>
    <x v="2370"/>
    <x v="2"/>
    <x v="780"/>
    <s v="68-77"/>
    <n v="70"/>
    <d v="1950-11-14T00:00:00"/>
    <s v="Massachusetts"/>
    <s v="MA"/>
    <s v="Male"/>
    <s v="Single"/>
    <s v="Production Technician I"/>
    <s v="Active"/>
    <s v="Part-Time"/>
    <s v="Zone A"/>
    <s v="Production       "/>
    <s v="Yard (Material Handling)"/>
    <s v="White"/>
    <s v="Needs Improvement"/>
    <n v="3"/>
  </r>
  <r>
    <x v="2371"/>
    <x v="4"/>
    <x v="78"/>
    <s v="68-77"/>
    <n v="70"/>
    <d v="1952-05-22T00:00:00"/>
    <s v="Massachusetts"/>
    <s v="MA"/>
    <s v="Male"/>
    <s v="Married"/>
    <s v="Production Technician I"/>
    <s v="Active"/>
    <s v="Contract"/>
    <s v="Zone C"/>
    <s v="Production       "/>
    <s v="Executive"/>
    <s v="Asian"/>
    <s v="Fully Meets"/>
    <n v="2"/>
  </r>
  <r>
    <x v="2372"/>
    <x v="3"/>
    <x v="1347"/>
    <s v="68-77"/>
    <n v="70"/>
    <d v="1951-12-11T00:00:00"/>
    <s v="Massachusetts"/>
    <s v="MA"/>
    <s v="Male"/>
    <s v="Divorced"/>
    <s v="Production Technician I"/>
    <s v="Active"/>
    <s v="Part-Time"/>
    <s v="Zone C"/>
    <s v="Production       "/>
    <s v="Technology / It"/>
    <s v="Hispanic"/>
    <s v="Fully Meets"/>
    <n v="1"/>
  </r>
  <r>
    <x v="2373"/>
    <x v="0"/>
    <x v="550"/>
    <s v="68-77"/>
    <n v="70"/>
    <d v="1948-01-18T00:00:00"/>
    <s v="Massachusetts"/>
    <s v="MA"/>
    <s v="Male"/>
    <s v="Single"/>
    <s v="Production Technician I"/>
    <s v="Active"/>
    <s v="Contract"/>
    <s v="Zone C"/>
    <s v="Production       "/>
    <s v="Underground"/>
    <s v="Black"/>
    <s v="Fully Meets"/>
    <n v="2"/>
  </r>
  <r>
    <x v="2374"/>
    <x v="4"/>
    <x v="888"/>
    <s v="68-77"/>
    <n v="70"/>
    <d v="1952-10-12T00:00:00"/>
    <s v="Massachusetts"/>
    <s v="MA"/>
    <s v="Female"/>
    <s v="Single"/>
    <s v="Production Technician I"/>
    <s v="Active"/>
    <s v="Full-Time"/>
    <s v="Zone A"/>
    <s v="Production       "/>
    <s v="Splicing"/>
    <s v="Asian"/>
    <s v="Fully Meets"/>
    <n v="4"/>
  </r>
  <r>
    <x v="2375"/>
    <x v="1"/>
    <x v="1297"/>
    <s v="68-77"/>
    <n v="70"/>
    <d v="1949-05-21T00:00:00"/>
    <s v="Massachusetts"/>
    <s v="MA"/>
    <s v="Female"/>
    <s v="Single"/>
    <s v="Production Technician I"/>
    <s v="Active"/>
    <s v="Full-Time"/>
    <s v="Zone B"/>
    <s v="Production       "/>
    <s v="Engineers"/>
    <s v="Black"/>
    <s v="Fully Meets"/>
    <n v="3"/>
  </r>
  <r>
    <x v="2376"/>
    <x v="2"/>
    <x v="1348"/>
    <s v="68-77"/>
    <n v="70"/>
    <d v="1950-03-01T00:00:00"/>
    <s v="Massachusetts"/>
    <s v="MA"/>
    <s v="Male"/>
    <s v="Single"/>
    <s v="Production Technician I"/>
    <s v="Active"/>
    <s v="Full-Time"/>
    <s v="Zone C"/>
    <s v="Production       "/>
    <s v="Aerial"/>
    <s v="White"/>
    <s v="Exceeds"/>
    <n v="5"/>
  </r>
  <r>
    <x v="2377"/>
    <x v="3"/>
    <x v="1133"/>
    <s v="68-77"/>
    <n v="70"/>
    <d v="1951-05-03T00:00:00"/>
    <s v="Massachusetts"/>
    <s v="MA"/>
    <s v="Male"/>
    <s v="Married"/>
    <s v="Production Technician I"/>
    <s v="Active"/>
    <s v="Full-Time"/>
    <s v="Zone C"/>
    <s v="Production       "/>
    <s v="Splicing"/>
    <s v="Hispanic"/>
    <s v="Fully Meets"/>
    <n v="2"/>
  </r>
  <r>
    <x v="2378"/>
    <x v="2"/>
    <x v="33"/>
    <s v="68-77"/>
    <n v="70"/>
    <d v="1950-06-08T00:00:00"/>
    <s v="Massachusetts"/>
    <s v="MA"/>
    <s v="Female"/>
    <s v="Single"/>
    <s v="Production Technician I"/>
    <s v="Active"/>
    <s v="Contract"/>
    <s v="Zone B"/>
    <s v="Production       "/>
    <s v="General - Con"/>
    <s v="White"/>
    <s v="Fully Meets"/>
    <n v="5"/>
  </r>
  <r>
    <x v="2379"/>
    <x v="1"/>
    <x v="1279"/>
    <s v="68-77"/>
    <n v="70"/>
    <d v="1949-03-01T00:00:00"/>
    <s v="Massachusetts"/>
    <s v="MA"/>
    <s v="Female"/>
    <s v="Widowed"/>
    <s v="Production Technician I"/>
    <s v="Active"/>
    <s v="Full-Time"/>
    <s v="Zone C"/>
    <s v="Production       "/>
    <s v="General - Sga"/>
    <s v="Black"/>
    <s v="Needs Improvement"/>
    <n v="3"/>
  </r>
  <r>
    <x v="2380"/>
    <x v="4"/>
    <x v="1349"/>
    <s v="68-77"/>
    <n v="70"/>
    <d v="1952-08-16T00:00:00"/>
    <s v="Massachusetts"/>
    <s v="MA"/>
    <s v="Female"/>
    <s v="Married"/>
    <s v="Production Technician I"/>
    <s v="Active"/>
    <s v="Full-Time"/>
    <s v="Zone A"/>
    <s v="Production       "/>
    <s v="Sales &amp; Marketing"/>
    <s v="White"/>
    <s v="Needs Improvement"/>
    <n v="5"/>
  </r>
  <r>
    <x v="2381"/>
    <x v="5"/>
    <x v="1350"/>
    <s v="68-77"/>
    <n v="70"/>
    <d v="1953-05-10T00:00:00"/>
    <s v="Massachusetts"/>
    <s v="MA"/>
    <s v="Male"/>
    <s v="Single"/>
    <s v="Production Technician I"/>
    <s v="Active"/>
    <s v="Part-Time"/>
    <s v="Zone A"/>
    <s v="Production       "/>
    <s v="Engineers"/>
    <s v="Black"/>
    <s v="Fully Meets"/>
    <n v="4"/>
  </r>
  <r>
    <x v="2382"/>
    <x v="2"/>
    <x v="1351"/>
    <s v="68-77"/>
    <n v="70"/>
    <d v="1950-03-10T00:00:00"/>
    <s v="Massachusetts"/>
    <s v="MA"/>
    <s v="Male"/>
    <s v="Divorced"/>
    <s v="Production Technician I"/>
    <s v="Terminated"/>
    <s v="Full-Time"/>
    <s v="Zone A"/>
    <s v="Production       "/>
    <s v="Wireline Construction"/>
    <s v="Other"/>
    <s v="Fully Meets"/>
    <n v="4"/>
  </r>
  <r>
    <x v="2383"/>
    <x v="3"/>
    <x v="1352"/>
    <s v="68-77"/>
    <n v="70"/>
    <d v="1951-05-26T00:00:00"/>
    <s v="Massachusetts"/>
    <s v="MA"/>
    <s v="Female"/>
    <s v="Single"/>
    <s v="Production Technician I"/>
    <s v="Active"/>
    <s v="Contract"/>
    <s v="Zone C"/>
    <s v="Production       "/>
    <s v="Project Management - Con"/>
    <s v="Asian"/>
    <s v="Exceeds"/>
    <n v="4"/>
  </r>
  <r>
    <x v="2384"/>
    <x v="2"/>
    <x v="911"/>
    <s v="68-77"/>
    <n v="70"/>
    <d v="1950-02-02T00:00:00"/>
    <s v="Massachusetts"/>
    <s v="MA"/>
    <s v="Female"/>
    <s v="Married"/>
    <s v="Production Technician I"/>
    <s v="Active"/>
    <s v="Contract"/>
    <s v="Zone A"/>
    <s v="Production       "/>
    <s v="General - Sga"/>
    <s v="Asian"/>
    <s v="Exceeds"/>
    <n v="2"/>
  </r>
  <r>
    <x v="2385"/>
    <x v="4"/>
    <x v="740"/>
    <s v="68-77"/>
    <n v="70"/>
    <d v="1952-09-22T00:00:00"/>
    <s v="Massachusetts"/>
    <s v="MA"/>
    <s v="Female"/>
    <s v="Single"/>
    <s v="Production Technician I"/>
    <s v="Terminated"/>
    <s v="Contract"/>
    <s v="Zone B"/>
    <s v="Production       "/>
    <s v="Field Operations"/>
    <s v="White"/>
    <s v="Fully Meets"/>
    <n v="5"/>
  </r>
  <r>
    <x v="2386"/>
    <x v="4"/>
    <x v="754"/>
    <s v="68-77"/>
    <n v="70"/>
    <d v="1952-04-17T00:00:00"/>
    <s v="Massachusetts"/>
    <s v="MA"/>
    <s v="Female"/>
    <s v="Single"/>
    <s v="Production Technician I"/>
    <s v="Active"/>
    <s v="Part-Time"/>
    <s v="Zone C"/>
    <s v="Production       "/>
    <s v="Field Operations"/>
    <s v="Other"/>
    <s v="Fully Meets"/>
    <n v="4"/>
  </r>
  <r>
    <x v="2387"/>
    <x v="0"/>
    <x v="721"/>
    <s v="68-77"/>
    <n v="70"/>
    <d v="1948-05-26T00:00:00"/>
    <s v="Massachusetts"/>
    <s v="MA"/>
    <s v="Male"/>
    <s v="Divorced"/>
    <s v="Production Technician I"/>
    <s v="Active"/>
    <s v="Full-Time"/>
    <s v="Zone A"/>
    <s v="Production       "/>
    <s v="Aerial"/>
    <s v="White"/>
    <s v="Fully Meets"/>
    <n v="4"/>
  </r>
  <r>
    <x v="2388"/>
    <x v="1"/>
    <x v="1078"/>
    <s v="68-77"/>
    <n v="70"/>
    <d v="1949-05-18T00:00:00"/>
    <s v="Massachusetts"/>
    <s v="MA"/>
    <s v="Female"/>
    <s v="Widowed"/>
    <s v="Production Technician I"/>
    <s v="Active"/>
    <s v="Full-Time"/>
    <s v="Zone B"/>
    <s v="Production       "/>
    <s v="General - Con"/>
    <s v="Other"/>
    <s v="Fully Meets"/>
    <n v="5"/>
  </r>
  <r>
    <x v="2389"/>
    <x v="2"/>
    <x v="1353"/>
    <s v="68-77"/>
    <n v="70"/>
    <d v="1950-08-27T00:00:00"/>
    <s v="Massachusetts"/>
    <s v="MA"/>
    <s v="Male"/>
    <s v="Widowed"/>
    <s v="Production Technician I"/>
    <s v="Active"/>
    <s v="Part-Time"/>
    <s v="Zone C"/>
    <s v="Production       "/>
    <s v="Shop (Fleet)"/>
    <s v="Hispanic"/>
    <s v="Fully Meets"/>
    <n v="2"/>
  </r>
  <r>
    <x v="2390"/>
    <x v="3"/>
    <x v="1354"/>
    <s v="68-77"/>
    <n v="70"/>
    <d v="1951-04-08T00:00:00"/>
    <s v="Massachusetts"/>
    <s v="MA"/>
    <s v="Female"/>
    <s v="Married"/>
    <s v="Production Technician I"/>
    <s v="Active"/>
    <s v="Part-Time"/>
    <s v="Zone C"/>
    <s v="Production       "/>
    <s v="Fielders"/>
    <s v="Black"/>
    <s v="Fully Meets"/>
    <n v="4"/>
  </r>
  <r>
    <x v="2391"/>
    <x v="3"/>
    <x v="170"/>
    <s v="68-77"/>
    <n v="70"/>
    <d v="1951-12-04T00:00:00"/>
    <s v="Massachusetts"/>
    <s v="MA"/>
    <s v="Female"/>
    <s v="Married"/>
    <s v="Production Technician I"/>
    <s v="Active"/>
    <s v="Part-Time"/>
    <s v="Zone B"/>
    <s v="Production       "/>
    <s v="Project Management - Con"/>
    <s v="White"/>
    <s v="Exceeds"/>
    <n v="4"/>
  </r>
  <r>
    <x v="2392"/>
    <x v="4"/>
    <x v="826"/>
    <s v="68-77"/>
    <n v="70"/>
    <d v="1952-11-14T00:00:00"/>
    <s v="Massachusetts"/>
    <s v="MA"/>
    <s v="Female"/>
    <s v="Divorced"/>
    <s v="Production Technician I"/>
    <s v="Active"/>
    <s v="Full-Time"/>
    <s v="Zone B"/>
    <s v="Production       "/>
    <s v="Shop (Fleet)"/>
    <s v="Hispanic"/>
    <s v="Fully Meets"/>
    <n v="5"/>
  </r>
  <r>
    <x v="2393"/>
    <x v="0"/>
    <x v="982"/>
    <s v="68-77"/>
    <n v="70"/>
    <d v="1948-03-05T00:00:00"/>
    <s v="Massachusetts"/>
    <s v="MA"/>
    <s v="Female"/>
    <s v="Married"/>
    <s v="Production Technician I"/>
    <s v="Active"/>
    <s v="Part-Time"/>
    <s v="Zone A"/>
    <s v="Production       "/>
    <s v="Splicing"/>
    <s v="Asian"/>
    <s v="Fully Meets"/>
    <n v="5"/>
  </r>
  <r>
    <x v="2394"/>
    <x v="2"/>
    <x v="724"/>
    <s v="68-77"/>
    <n v="70"/>
    <d v="1950-04-14T00:00:00"/>
    <s v="Massachusetts"/>
    <s v="MA"/>
    <s v="Female"/>
    <s v="Widowed"/>
    <s v="Production Technician I"/>
    <s v="Active"/>
    <s v="Full-Time"/>
    <s v="Zone B"/>
    <s v="Production       "/>
    <s v="Field Operations"/>
    <s v="White"/>
    <s v="Fully Meets"/>
    <n v="3"/>
  </r>
  <r>
    <x v="2395"/>
    <x v="2"/>
    <x v="234"/>
    <s v="68-77"/>
    <n v="70"/>
    <d v="1950-09-18T00:00:00"/>
    <s v="Massachusetts"/>
    <s v="MA"/>
    <s v="Female"/>
    <s v="Married"/>
    <s v="Production Technician I"/>
    <s v="Terminated"/>
    <s v="Full-Time"/>
    <s v="Zone B"/>
    <s v="Production       "/>
    <s v="Aerial"/>
    <s v="Black"/>
    <s v="Fully Meets"/>
    <n v="2"/>
  </r>
  <r>
    <x v="2396"/>
    <x v="0"/>
    <x v="1299"/>
    <s v="68-77"/>
    <n v="70"/>
    <d v="1948-04-25T00:00:00"/>
    <s v="Massachusetts"/>
    <s v="MA"/>
    <s v="Male"/>
    <s v="Single"/>
    <s v="Production Manager"/>
    <s v="Active"/>
    <s v="Full-Time"/>
    <s v="Zone B"/>
    <s v="Production       "/>
    <s v="General - Con"/>
    <s v="White"/>
    <s v="Fully Meets"/>
    <n v="1"/>
  </r>
  <r>
    <x v="2397"/>
    <x v="4"/>
    <x v="583"/>
    <s v="68-77"/>
    <n v="70"/>
    <d v="1952-07-16T00:00:00"/>
    <s v="Massachusetts"/>
    <s v="MA"/>
    <s v="Female"/>
    <s v="Single"/>
    <s v="Production Manager"/>
    <s v="Active"/>
    <s v="Part-Time"/>
    <s v="Zone B"/>
    <s v="Production       "/>
    <s v="General - Con"/>
    <s v="Asian"/>
    <s v="Fully Meets"/>
    <n v="1"/>
  </r>
  <r>
    <x v="2398"/>
    <x v="1"/>
    <x v="1355"/>
    <s v="68-77"/>
    <n v="70"/>
    <d v="1949-05-19T00:00:00"/>
    <s v="Massachusetts"/>
    <s v="MA"/>
    <s v="Female"/>
    <s v="Divorced"/>
    <s v="Production Manager"/>
    <s v="Active"/>
    <s v="Contract"/>
    <s v="Zone C"/>
    <s v="Production       "/>
    <s v="General - Con"/>
    <s v="White"/>
    <s v="Fully Meets"/>
    <n v="3"/>
  </r>
  <r>
    <x v="2399"/>
    <x v="2"/>
    <x v="892"/>
    <s v="68-77"/>
    <n v="70"/>
    <d v="1950-04-06T00:00:00"/>
    <s v="Massachusetts"/>
    <s v="MA"/>
    <s v="Male"/>
    <s v="Divorced"/>
    <s v="President &amp; CEO"/>
    <s v="Terminated"/>
    <s v="Full-Time"/>
    <s v="Zone B"/>
    <s v="Production       "/>
    <s v="Field Operations"/>
    <s v="White"/>
    <s v="Fully Meets"/>
    <n v="1"/>
  </r>
  <r>
    <x v="2400"/>
    <x v="2"/>
    <x v="874"/>
    <s v="68-77"/>
    <n v="70"/>
    <d v="1950-03-31T00:00:00"/>
    <s v="Massachusetts"/>
    <s v="MA"/>
    <s v="Female"/>
    <s v="Single"/>
    <s v="President &amp; CEO"/>
    <s v="Active"/>
    <s v="Full-Time"/>
    <s v="Zone B"/>
    <s v="Production       "/>
    <s v="Wireline Construction"/>
    <s v="White"/>
    <s v="Fully Meets"/>
    <n v="2"/>
  </r>
  <r>
    <x v="2401"/>
    <x v="2"/>
    <x v="992"/>
    <s v="68-77"/>
    <n v="70"/>
    <d v="1950-06-15T00:00:00"/>
    <s v="Massachusetts"/>
    <s v="MA"/>
    <s v="Male"/>
    <s v="Single"/>
    <s v="Network Engineer"/>
    <s v="Active"/>
    <s v="Part-Time"/>
    <s v="Zone A"/>
    <s v="IT/IS"/>
    <s v="Wireless"/>
    <s v="Asian"/>
    <s v="Fully Meets"/>
    <n v="1"/>
  </r>
  <r>
    <x v="2402"/>
    <x v="5"/>
    <x v="439"/>
    <s v="68-77"/>
    <n v="70"/>
    <d v="1953-04-15T00:00:00"/>
    <s v="Massachusetts"/>
    <s v="MA"/>
    <s v="Female"/>
    <s v="Married"/>
    <s v="IT Support"/>
    <s v="Active"/>
    <s v="Full-Time"/>
    <s v="Zone B"/>
    <s v="IT/IS"/>
    <s v="General - Con"/>
    <s v="Asian"/>
    <s v="Fully Meets"/>
    <n v="1"/>
  </r>
  <r>
    <x v="2403"/>
    <x v="3"/>
    <x v="980"/>
    <s v="68-77"/>
    <n v="70"/>
    <d v="1951-10-22T00:00:00"/>
    <s v="Massachusetts"/>
    <s v="MA"/>
    <s v="Female"/>
    <s v="Married"/>
    <s v="IT Support"/>
    <s v="Active"/>
    <s v="Contract"/>
    <s v="Zone C"/>
    <s v="IT/IS"/>
    <s v="Field Operations"/>
    <s v="Black"/>
    <s v="Exceeds"/>
    <n v="1"/>
  </r>
  <r>
    <x v="2404"/>
    <x v="0"/>
    <x v="688"/>
    <s v="68-77"/>
    <n v="70"/>
    <d v="1948-10-28T00:00:00"/>
    <s v="Connecticut"/>
    <s v="CT"/>
    <s v="Female"/>
    <s v="Widowed"/>
    <s v="IT Support"/>
    <s v="Active"/>
    <s v="Full-Time"/>
    <s v="Zone A"/>
    <s v="IT/IS"/>
    <s v="Engineers"/>
    <s v="Hispanic"/>
    <s v="Fully Meets"/>
    <n v="1"/>
  </r>
  <r>
    <x v="2405"/>
    <x v="0"/>
    <x v="930"/>
    <s v="68-77"/>
    <n v="70"/>
    <d v="1948-10-20T00:00:00"/>
    <s v="Connecticut"/>
    <s v="CT"/>
    <s v="Female"/>
    <s v="Married"/>
    <s v="IT Support"/>
    <s v="Active"/>
    <s v="Full-Time"/>
    <s v="Zone B"/>
    <s v="IT/IS"/>
    <s v="Fielders"/>
    <s v="Other"/>
    <s v="Needs Improvement"/>
    <n v="3"/>
  </r>
  <r>
    <x v="2406"/>
    <x v="2"/>
    <x v="1131"/>
    <s v="68-77"/>
    <n v="70"/>
    <d v="1950-11-08T00:00:00"/>
    <s v="Massachusetts"/>
    <s v="MA"/>
    <s v="Female"/>
    <s v="Married"/>
    <s v="Database Administrator"/>
    <s v="Active"/>
    <s v="Part-Time"/>
    <s v="Zone B"/>
    <s v="IT/IS"/>
    <s v="Field Operations"/>
    <s v="Other"/>
    <s v="Exceeds"/>
    <n v="1"/>
  </r>
  <r>
    <x v="2407"/>
    <x v="0"/>
    <x v="368"/>
    <s v="68-77"/>
    <n v="70"/>
    <d v="1948-03-10T00:00:00"/>
    <s v="Washington"/>
    <s v="WA"/>
    <s v="Female"/>
    <s v="Divorced"/>
    <s v="Area Sales Manager"/>
    <s v="Active"/>
    <s v="Part-Time"/>
    <s v="Zone B"/>
    <s v="Sales"/>
    <s v="Engineers"/>
    <s v="Hispanic"/>
    <s v="Fully Meets"/>
    <n v="5"/>
  </r>
  <r>
    <x v="2408"/>
    <x v="1"/>
    <x v="5"/>
    <s v="68-77"/>
    <n v="70"/>
    <d v="1949-04-16T00:00:00"/>
    <s v="Kentucky"/>
    <s v="KY"/>
    <s v="Female"/>
    <s v="Divorced"/>
    <s v="Area Sales Manager"/>
    <s v="Active"/>
    <s v="Contract"/>
    <s v="Zone C"/>
    <s v="Sales"/>
    <s v="General - Con"/>
    <s v="Asian"/>
    <s v="Fully Meets"/>
    <n v="3"/>
  </r>
  <r>
    <x v="2409"/>
    <x v="3"/>
    <x v="186"/>
    <s v="68-77"/>
    <n v="70"/>
    <d v="1951-06-21T00:00:00"/>
    <s v="Idaho"/>
    <s v="ID"/>
    <s v="Male"/>
    <s v="Widowed"/>
    <s v="Area Sales Manager"/>
    <s v="Active"/>
    <s v="Contract"/>
    <s v="Zone C"/>
    <s v="Sales"/>
    <s v="Splicing"/>
    <s v="Other"/>
    <s v="Fully Meets"/>
    <n v="3"/>
  </r>
  <r>
    <x v="2410"/>
    <x v="0"/>
    <x v="3"/>
    <s v="68-77"/>
    <n v="70"/>
    <d v="1948-04-06T00:00:00"/>
    <s v="Georgia"/>
    <s v="GA"/>
    <s v="Female"/>
    <s v="Married"/>
    <s v="Area Sales Manager"/>
    <s v="Active"/>
    <s v="Full-Time"/>
    <s v="Zone C"/>
    <s v="Sales"/>
    <s v="General - Con"/>
    <s v="Asian"/>
    <s v="Fully Meets"/>
    <n v="2"/>
  </r>
  <r>
    <x v="2411"/>
    <x v="3"/>
    <x v="1356"/>
    <s v="68-77"/>
    <n v="70"/>
    <d v="1951-03-28T00:00:00"/>
    <s v="California"/>
    <s v="CA"/>
    <s v="Male"/>
    <s v="Widowed"/>
    <s v="Area Sales Manager"/>
    <s v="Active"/>
    <s v="Part-Time"/>
    <s v="Zone C"/>
    <s v="Sales"/>
    <s v="Aerial"/>
    <s v="Hispanic"/>
    <s v="Fully Meets"/>
    <n v="3"/>
  </r>
  <r>
    <x v="2412"/>
    <x v="2"/>
    <x v="665"/>
    <s v="68-77"/>
    <n v="70"/>
    <d v="1950-12-26T00:00:00"/>
    <s v="Arizona"/>
    <s v="AZ"/>
    <s v="Male"/>
    <s v="Single"/>
    <s v="Area Sales Manager"/>
    <s v="Active"/>
    <s v="Contract"/>
    <s v="Zone A"/>
    <s v="Sales"/>
    <s v="Fielders"/>
    <s v="Asian"/>
    <s v="Fully Meets"/>
    <n v="5"/>
  </r>
  <r>
    <x v="2413"/>
    <x v="1"/>
    <x v="1357"/>
    <s v="68-77"/>
    <n v="70"/>
    <d v="1949-12-30T00:00:00"/>
    <s v="Massachusetts"/>
    <s v="MA"/>
    <s v="Female"/>
    <s v="Married"/>
    <s v="Administrative Assistant"/>
    <s v="Active"/>
    <s v="Part-Time"/>
    <s v="Zone C"/>
    <s v="Sales"/>
    <s v="General - Con"/>
    <s v="Other"/>
    <s v="Fully Meets"/>
    <n v="3"/>
  </r>
  <r>
    <x v="2414"/>
    <x v="3"/>
    <x v="1060"/>
    <s v="68-77"/>
    <n v="70"/>
    <d v="1951-08-27T00:00:00"/>
    <s v="Massachusetts"/>
    <s v="MA"/>
    <s v="Male"/>
    <s v="Divorced"/>
    <s v="Accountant I"/>
    <s v="Active"/>
    <s v="Contract"/>
    <s v="Zone B"/>
    <s v="Admin Offices"/>
    <s v="General - Con"/>
    <s v="Hispanic"/>
    <s v="PIP"/>
    <n v="1"/>
  </r>
  <r>
    <x v="2415"/>
    <x v="3"/>
    <x v="1358"/>
    <s v="68-77"/>
    <n v="71"/>
    <d v="1950-07-29T00:00:00"/>
    <s v="Connecticut"/>
    <s v="CT"/>
    <s v="Male"/>
    <s v="Widowed"/>
    <s v="Sr. Network Engineer"/>
    <s v="Active"/>
    <s v="Full-Time"/>
    <s v="Zone A"/>
    <s v="IT/IS"/>
    <s v="Splicing"/>
    <s v="White"/>
    <s v="Fully Meets"/>
    <n v="5"/>
  </r>
  <r>
    <x v="2416"/>
    <x v="3"/>
    <x v="918"/>
    <s v="68-77"/>
    <n v="71"/>
    <d v="1950-11-23T00:00:00"/>
    <s v="Massachusetts"/>
    <s v="MA"/>
    <s v="Female"/>
    <s v="Widowed"/>
    <s v="Sr. Accountant"/>
    <s v="Active"/>
    <s v="Full-Time"/>
    <s v="Zone A"/>
    <s v="Admin Offices"/>
    <s v="Aerial"/>
    <s v="Black"/>
    <s v="Fully Meets"/>
    <n v="2"/>
  </r>
  <r>
    <x v="2417"/>
    <x v="1"/>
    <x v="960"/>
    <s v="68-77"/>
    <n v="71"/>
    <d v="1948-06-17T00:00:00"/>
    <s v="Massachusetts"/>
    <s v="MA"/>
    <s v="Male"/>
    <s v="Married"/>
    <s v="Software Engineer"/>
    <s v="Active"/>
    <s v="Full-Time"/>
    <s v="Zone C"/>
    <s v="Software Engineering"/>
    <s v="Field Operations"/>
    <s v="Hispanic"/>
    <s v="Fully Meets"/>
    <n v="3"/>
  </r>
  <r>
    <x v="2418"/>
    <x v="2"/>
    <x v="996"/>
    <s v="68-77"/>
    <n v="71"/>
    <d v="1949-05-11T00:00:00"/>
    <s v="Massachusetts"/>
    <s v="MA"/>
    <s v="Female"/>
    <s v="Divorced"/>
    <s v="Production Technician II"/>
    <s v="Active"/>
    <s v="Part-Time"/>
    <s v="Zone B"/>
    <s v="Production       "/>
    <s v="Engineers"/>
    <s v="Black"/>
    <s v="Fully Meets"/>
    <n v="1"/>
  </r>
  <r>
    <x v="2419"/>
    <x v="1"/>
    <x v="1359"/>
    <s v="68-77"/>
    <n v="71"/>
    <d v="1948-03-09T00:00:00"/>
    <s v="Massachusetts"/>
    <s v="MA"/>
    <s v="Female"/>
    <s v="Divorced"/>
    <s v="Production Technician II"/>
    <s v="Active"/>
    <s v="Part-Time"/>
    <s v="Zone B"/>
    <s v="Production       "/>
    <s v="Field Operations"/>
    <s v="Hispanic"/>
    <s v="Needs Improvement"/>
    <n v="5"/>
  </r>
  <r>
    <x v="2420"/>
    <x v="0"/>
    <x v="550"/>
    <s v="68-77"/>
    <n v="71"/>
    <d v="1947-04-15T00:00:00"/>
    <s v="Massachusetts"/>
    <s v="MA"/>
    <s v="Female"/>
    <s v="Married"/>
    <s v="Production Technician II"/>
    <s v="Active"/>
    <s v="Part-Time"/>
    <s v="Zone C"/>
    <s v="Production       "/>
    <s v="Fielders"/>
    <s v="Hispanic"/>
    <s v="Exceeds"/>
    <n v="2"/>
  </r>
  <r>
    <x v="2421"/>
    <x v="1"/>
    <x v="25"/>
    <s v="68-77"/>
    <n v="71"/>
    <d v="1948-02-06T00:00:00"/>
    <s v="Massachusetts"/>
    <s v="MA"/>
    <s v="Female"/>
    <s v="Divorced"/>
    <s v="Production Technician II"/>
    <s v="Active"/>
    <s v="Contract"/>
    <s v="Zone C"/>
    <s v="Production       "/>
    <s v="Field Operations"/>
    <s v="Asian"/>
    <s v="Exceeds"/>
    <n v="3"/>
  </r>
  <r>
    <x v="2422"/>
    <x v="1"/>
    <x v="469"/>
    <s v="68-77"/>
    <n v="71"/>
    <d v="1948-01-18T00:00:00"/>
    <s v="Massachusetts"/>
    <s v="MA"/>
    <s v="Female"/>
    <s v="Single"/>
    <s v="Production Technician I"/>
    <s v="Active"/>
    <s v="Contract"/>
    <s v="Zone C"/>
    <s v="Production       "/>
    <s v="Field Operations"/>
    <s v="Hispanic"/>
    <s v="Fully Meets"/>
    <n v="1"/>
  </r>
  <r>
    <x v="2423"/>
    <x v="1"/>
    <x v="575"/>
    <s v="68-77"/>
    <n v="71"/>
    <d v="1948-06-20T00:00:00"/>
    <s v="Massachusetts"/>
    <s v="MA"/>
    <s v="Male"/>
    <s v="Single"/>
    <s v="Production Technician I"/>
    <s v="Active"/>
    <s v="Part-Time"/>
    <s v="Zone B"/>
    <s v="Production       "/>
    <s v="Shop (Fleet)"/>
    <s v="Other"/>
    <s v="PIP"/>
    <n v="1"/>
  </r>
  <r>
    <x v="2424"/>
    <x v="2"/>
    <x v="1106"/>
    <s v="68-77"/>
    <n v="71"/>
    <d v="1949-11-11T00:00:00"/>
    <s v="Massachusetts"/>
    <s v="MA"/>
    <s v="Male"/>
    <s v="Married"/>
    <s v="Production Technician I"/>
    <s v="Active"/>
    <s v="Contract"/>
    <s v="Zone A"/>
    <s v="Production       "/>
    <s v="General - Con"/>
    <s v="Asian"/>
    <s v="Fully Meets"/>
    <n v="4"/>
  </r>
  <r>
    <x v="2425"/>
    <x v="3"/>
    <x v="1340"/>
    <s v="68-77"/>
    <n v="71"/>
    <d v="1950-06-09T00:00:00"/>
    <s v="Massachusetts"/>
    <s v="MA"/>
    <s v="Male"/>
    <s v="Married"/>
    <s v="Production Technician I"/>
    <s v="Terminated"/>
    <s v="Part-Time"/>
    <s v="Zone C"/>
    <s v="Production       "/>
    <s v="General - Eng"/>
    <s v="Asian"/>
    <s v="Fully Meets"/>
    <n v="4"/>
  </r>
  <r>
    <x v="2426"/>
    <x v="1"/>
    <x v="108"/>
    <s v="68-77"/>
    <n v="71"/>
    <d v="1948-04-10T00:00:00"/>
    <s v="Massachusetts"/>
    <s v="MA"/>
    <s v="Female"/>
    <s v="Married"/>
    <s v="Production Technician I"/>
    <s v="Terminated"/>
    <s v="Full-Time"/>
    <s v="Zone A"/>
    <s v="Production       "/>
    <s v="Field Operations"/>
    <s v="Black"/>
    <s v="Fully Meets"/>
    <n v="5"/>
  </r>
  <r>
    <x v="2427"/>
    <x v="0"/>
    <x v="229"/>
    <s v="68-77"/>
    <n v="71"/>
    <d v="1947-06-25T00:00:00"/>
    <s v="Massachusetts"/>
    <s v="MA"/>
    <s v="Female"/>
    <s v="Widowed"/>
    <s v="Production Technician I"/>
    <s v="Active"/>
    <s v="Full-Time"/>
    <s v="Zone A"/>
    <s v="Production       "/>
    <s v="Aerial"/>
    <s v="Black"/>
    <s v="Fully Meets"/>
    <n v="4"/>
  </r>
  <r>
    <x v="2428"/>
    <x v="2"/>
    <x v="512"/>
    <s v="68-77"/>
    <n v="71"/>
    <d v="1949-10-26T00:00:00"/>
    <s v="Massachusetts"/>
    <s v="MA"/>
    <s v="Male"/>
    <s v="Married"/>
    <s v="Production Technician I"/>
    <s v="Active"/>
    <s v="Contract"/>
    <s v="Zone C"/>
    <s v="Production       "/>
    <s v="Field Operations"/>
    <s v="White"/>
    <s v="Fully Meets"/>
    <n v="5"/>
  </r>
  <r>
    <x v="2429"/>
    <x v="1"/>
    <x v="1360"/>
    <s v="68-77"/>
    <n v="71"/>
    <d v="1948-07-10T00:00:00"/>
    <s v="Massachusetts"/>
    <s v="MA"/>
    <s v="Male"/>
    <s v="Married"/>
    <s v="Production Technician I"/>
    <s v="Active"/>
    <s v="Contract"/>
    <s v="Zone B"/>
    <s v="Production       "/>
    <s v="General - Con"/>
    <s v="Black"/>
    <s v="Fully Meets"/>
    <n v="2"/>
  </r>
  <r>
    <x v="2430"/>
    <x v="4"/>
    <x v="607"/>
    <s v="68-77"/>
    <n v="71"/>
    <d v="1951-04-26T00:00:00"/>
    <s v="Massachusetts"/>
    <s v="MA"/>
    <s v="Male"/>
    <s v="Married"/>
    <s v="Production Technician I"/>
    <s v="Active"/>
    <s v="Contract"/>
    <s v="Zone B"/>
    <s v="Production       "/>
    <s v="General - Con"/>
    <s v="White"/>
    <s v="Fully Meets"/>
    <n v="5"/>
  </r>
  <r>
    <x v="2431"/>
    <x v="3"/>
    <x v="1361"/>
    <s v="68-77"/>
    <n v="71"/>
    <d v="1950-12-05T00:00:00"/>
    <s v="Massachusetts"/>
    <s v="MA"/>
    <s v="Female"/>
    <s v="Married"/>
    <s v="Production Technician I"/>
    <s v="Active"/>
    <s v="Contract"/>
    <s v="Zone B"/>
    <s v="Production       "/>
    <s v="Fielders"/>
    <s v="Hispanic"/>
    <s v="Exceeds"/>
    <n v="4"/>
  </r>
  <r>
    <x v="2432"/>
    <x v="2"/>
    <x v="993"/>
    <s v="68-77"/>
    <n v="71"/>
    <d v="1949-08-19T00:00:00"/>
    <s v="Massachusetts"/>
    <s v="MA"/>
    <s v="Female"/>
    <s v="Widowed"/>
    <s v="Production Technician I"/>
    <s v="Active"/>
    <s v="Contract"/>
    <s v="Zone A"/>
    <s v="Production       "/>
    <s v="Field Operations"/>
    <s v="Hispanic"/>
    <s v="Exceeds"/>
    <n v="4"/>
  </r>
  <r>
    <x v="2433"/>
    <x v="0"/>
    <x v="1362"/>
    <s v="68-77"/>
    <n v="71"/>
    <d v="1947-03-09T00:00:00"/>
    <s v="Massachusetts"/>
    <s v="MA"/>
    <s v="Female"/>
    <s v="Widowed"/>
    <s v="Production Technician I"/>
    <s v="Active"/>
    <s v="Part-Time"/>
    <s v="Zone B"/>
    <s v="Production       "/>
    <s v="Splicing"/>
    <s v="Asian"/>
    <s v="Fully Meets"/>
    <n v="1"/>
  </r>
  <r>
    <x v="2434"/>
    <x v="4"/>
    <x v="983"/>
    <s v="68-77"/>
    <n v="71"/>
    <d v="1951-06-25T00:00:00"/>
    <s v="Massachusetts"/>
    <s v="MA"/>
    <s v="Male"/>
    <s v="Single"/>
    <s v="Production Technician I"/>
    <s v="Active"/>
    <s v="Part-Time"/>
    <s v="Zone A"/>
    <s v="Production       "/>
    <s v="General - Con"/>
    <s v="Asian"/>
    <s v="Fully Meets"/>
    <n v="2"/>
  </r>
  <r>
    <x v="2435"/>
    <x v="4"/>
    <x v="910"/>
    <s v="68-77"/>
    <n v="71"/>
    <d v="1951-03-19T00:00:00"/>
    <s v="Massachusetts"/>
    <s v="MA"/>
    <s v="Male"/>
    <s v="Divorced"/>
    <s v="Production Technician I"/>
    <s v="Active"/>
    <s v="Part-Time"/>
    <s v="Zone B"/>
    <s v="Production       "/>
    <s v="Field Operations"/>
    <s v="Asian"/>
    <s v="Needs Improvement"/>
    <n v="4"/>
  </r>
  <r>
    <x v="2436"/>
    <x v="1"/>
    <x v="1363"/>
    <s v="68-77"/>
    <n v="71"/>
    <d v="1948-11-30T00:00:00"/>
    <s v="Massachusetts"/>
    <s v="MA"/>
    <s v="Female"/>
    <s v="Married"/>
    <s v="Production Technician I"/>
    <s v="Active"/>
    <s v="Contract"/>
    <s v="Zone C"/>
    <s v="Production       "/>
    <s v="General - Con"/>
    <s v="Other"/>
    <s v="Exceeds"/>
    <n v="5"/>
  </r>
  <r>
    <x v="2437"/>
    <x v="3"/>
    <x v="54"/>
    <s v="68-77"/>
    <n v="71"/>
    <d v="1950-12-29T00:00:00"/>
    <s v="Massachusetts"/>
    <s v="MA"/>
    <s v="Female"/>
    <s v="Divorced"/>
    <s v="Production Technician I"/>
    <s v="Active"/>
    <s v="Contract"/>
    <s v="Zone B"/>
    <s v="Production       "/>
    <s v="Project Management - Con"/>
    <s v="White"/>
    <s v="Exceeds"/>
    <n v="2"/>
  </r>
  <r>
    <x v="2438"/>
    <x v="2"/>
    <x v="1364"/>
    <s v="68-77"/>
    <n v="71"/>
    <d v="1949-12-26T00:00:00"/>
    <s v="Massachusetts"/>
    <s v="MA"/>
    <s v="Female"/>
    <s v="Widowed"/>
    <s v="Production Technician I"/>
    <s v="Terminated"/>
    <s v="Contract"/>
    <s v="Zone A"/>
    <s v="Production       "/>
    <s v="People Services"/>
    <s v="Asian"/>
    <s v="Fully Meets"/>
    <n v="2"/>
  </r>
  <r>
    <x v="2439"/>
    <x v="4"/>
    <x v="978"/>
    <s v="68-77"/>
    <n v="71"/>
    <d v="1951-10-01T00:00:00"/>
    <s v="Massachusetts"/>
    <s v="MA"/>
    <s v="Female"/>
    <s v="Divorced"/>
    <s v="Production Technician I"/>
    <s v="Active"/>
    <s v="Full-Time"/>
    <s v="Zone B"/>
    <s v="Production       "/>
    <s v="Wireline Construction"/>
    <s v="Hispanic"/>
    <s v="Fully Meets"/>
    <n v="3"/>
  </r>
  <r>
    <x v="2440"/>
    <x v="2"/>
    <x v="1365"/>
    <s v="68-77"/>
    <n v="71"/>
    <d v="1949-04-01T00:00:00"/>
    <s v="Massachusetts"/>
    <s v="MA"/>
    <s v="Female"/>
    <s v="Single"/>
    <s v="Production Manager"/>
    <s v="Active"/>
    <s v="Contract"/>
    <s v="Zone B"/>
    <s v="Production       "/>
    <s v="Project Management - Con"/>
    <s v="White"/>
    <s v="Fully Meets"/>
    <n v="3"/>
  </r>
  <r>
    <x v="2441"/>
    <x v="4"/>
    <x v="593"/>
    <s v="68-77"/>
    <n v="71"/>
    <d v="1951-07-02T00:00:00"/>
    <s v="Massachusetts"/>
    <s v="MA"/>
    <s v="Male"/>
    <s v="Married"/>
    <s v="IT Support"/>
    <s v="Active"/>
    <s v="Full-Time"/>
    <s v="Zone B"/>
    <s v="IT/IS"/>
    <s v="Engineers"/>
    <s v="Other"/>
    <s v="Fully Meets"/>
    <n v="3"/>
  </r>
  <r>
    <x v="2442"/>
    <x v="1"/>
    <x v="1248"/>
    <s v="68-77"/>
    <n v="71"/>
    <d v="1948-01-16T00:00:00"/>
    <s v="Massachusetts"/>
    <s v="MA"/>
    <s v="Female"/>
    <s v="Widowed"/>
    <s v="IT Support"/>
    <s v="Active"/>
    <s v="Contract"/>
    <s v="Zone B"/>
    <s v="IT/IS"/>
    <s v="General - Sga"/>
    <s v="White"/>
    <s v="Fully Meets"/>
    <n v="4"/>
  </r>
  <r>
    <x v="2443"/>
    <x v="2"/>
    <x v="1366"/>
    <s v="68-77"/>
    <n v="71"/>
    <d v="1949-01-21T00:00:00"/>
    <s v="Massachusetts"/>
    <s v="MA"/>
    <s v="Male"/>
    <s v="Married"/>
    <s v="IT Manager - DB"/>
    <s v="Active"/>
    <s v="Full-Time"/>
    <s v="Zone C"/>
    <s v="IT/IS"/>
    <s v="Field Operations"/>
    <s v="Other"/>
    <s v="Fully Meets"/>
    <n v="3"/>
  </r>
  <r>
    <x v="2444"/>
    <x v="4"/>
    <x v="1330"/>
    <s v="68-77"/>
    <n v="71"/>
    <d v="1951-02-03T00:00:00"/>
    <s v="Massachusetts"/>
    <s v="MA"/>
    <s v="Male"/>
    <s v="Married"/>
    <s v="Director of Operations"/>
    <s v="Active"/>
    <s v="Contract"/>
    <s v="Zone C"/>
    <s v="Sales"/>
    <s v="Field Operations"/>
    <s v="Hispanic"/>
    <s v="Fully Meets"/>
    <n v="1"/>
  </r>
  <r>
    <x v="2445"/>
    <x v="3"/>
    <x v="1367"/>
    <s v="68-77"/>
    <n v="71"/>
    <d v="1950-11-01T00:00:00"/>
    <s v="Massachusetts"/>
    <s v="MA"/>
    <s v="Male"/>
    <s v="Single"/>
    <s v="Data Analyst"/>
    <s v="Active"/>
    <s v="Full-Time"/>
    <s v="Zone A"/>
    <s v="IT/IS"/>
    <s v="Finance &amp; Accounting"/>
    <s v="Black"/>
    <s v="Fully Meets"/>
    <n v="4"/>
  </r>
  <r>
    <x v="2446"/>
    <x v="0"/>
    <x v="846"/>
    <s v="68-77"/>
    <n v="71"/>
    <d v="1947-04-05T00:00:00"/>
    <s v="Texas"/>
    <s v="TX"/>
    <s v="Male"/>
    <s v="Married"/>
    <s v="CIO"/>
    <s v="Active"/>
    <s v="Part-Time"/>
    <s v="Zone A"/>
    <s v="IT/IS"/>
    <s v="Field Operations"/>
    <s v="White"/>
    <s v="Fully Meets"/>
    <n v="4"/>
  </r>
  <r>
    <x v="2447"/>
    <x v="4"/>
    <x v="866"/>
    <s v="68-77"/>
    <n v="71"/>
    <d v="1951-07-24T00:00:00"/>
    <s v="Massachusetts"/>
    <s v="MA"/>
    <s v="Female"/>
    <s v="Single"/>
    <s v="BI Developer"/>
    <s v="Active"/>
    <s v="Full-Time"/>
    <s v="Zone A"/>
    <s v="IT/IS"/>
    <s v="Field Operations"/>
    <s v="White"/>
    <s v="Fully Meets"/>
    <n v="5"/>
  </r>
  <r>
    <x v="2448"/>
    <x v="2"/>
    <x v="1368"/>
    <s v="68-77"/>
    <n v="71"/>
    <d v="1949-06-12T00:00:00"/>
    <s v="Tennessee"/>
    <s v="TN"/>
    <s v="Male"/>
    <s v="Single"/>
    <s v="Area Sales Manager"/>
    <s v="Active"/>
    <s v="Contract"/>
    <s v="Zone B"/>
    <s v="Sales"/>
    <s v="Field Operations"/>
    <s v="Asian"/>
    <s v="Fully Meets"/>
    <n v="1"/>
  </r>
  <r>
    <x v="2449"/>
    <x v="4"/>
    <x v="1246"/>
    <s v="68-77"/>
    <n v="71"/>
    <d v="1951-10-20T00:00:00"/>
    <s v="Idaho"/>
    <s v="ID"/>
    <s v="Male"/>
    <s v="Divorced"/>
    <s v="Area Sales Manager"/>
    <s v="Active"/>
    <s v="Contract"/>
    <s v="Zone A"/>
    <s v="Sales"/>
    <s v="General - Con"/>
    <s v="Hispanic"/>
    <s v="Fully Meets"/>
    <n v="4"/>
  </r>
  <r>
    <x v="2450"/>
    <x v="2"/>
    <x v="416"/>
    <s v="68-77"/>
    <n v="71"/>
    <d v="1949-04-03T00:00:00"/>
    <s v="Connecticut"/>
    <s v="CT"/>
    <s v="Male"/>
    <s v="Married"/>
    <s v="Area Sales Manager"/>
    <s v="Active"/>
    <s v="Contract"/>
    <s v="Zone B"/>
    <s v="Sales"/>
    <s v="Field Operations"/>
    <s v="Black"/>
    <s v="Fully Meets"/>
    <n v="3"/>
  </r>
  <r>
    <x v="2451"/>
    <x v="2"/>
    <x v="1251"/>
    <s v="68-77"/>
    <n v="71"/>
    <d v="1949-05-07T00:00:00"/>
    <s v="Colorado"/>
    <s v="CO"/>
    <s v="Male"/>
    <s v="Divorced"/>
    <s v="Area Sales Manager"/>
    <s v="Active"/>
    <s v="Contract"/>
    <s v="Zone C"/>
    <s v="Sales"/>
    <s v="Field Operations"/>
    <s v="Black"/>
    <s v="Fully Meets"/>
    <n v="2"/>
  </r>
  <r>
    <x v="2452"/>
    <x v="4"/>
    <x v="1369"/>
    <s v="68-77"/>
    <n v="71"/>
    <d v="1951-07-27T00:00:00"/>
    <s v="Colorado"/>
    <s v="CO"/>
    <s v="Male"/>
    <s v="Single"/>
    <s v="Area Sales Manager"/>
    <s v="Active"/>
    <s v="Part-Time"/>
    <s v="Zone A"/>
    <s v="Sales"/>
    <s v="Project Management - Con"/>
    <s v="Other"/>
    <s v="Fully Meets"/>
    <n v="2"/>
  </r>
  <r>
    <x v="2453"/>
    <x v="4"/>
    <x v="569"/>
    <s v="68-77"/>
    <n v="71"/>
    <d v="1951-06-13T00:00:00"/>
    <s v="Alabama"/>
    <s v="AL"/>
    <s v="Male"/>
    <s v="Divorced"/>
    <s v="Area Sales Manager"/>
    <s v="Active"/>
    <s v="Full-Time"/>
    <s v="Zone C"/>
    <s v="Sales"/>
    <s v="Field Operations"/>
    <s v="Asian"/>
    <s v="Fully Meets"/>
    <n v="3"/>
  </r>
  <r>
    <x v="2454"/>
    <x v="4"/>
    <x v="1027"/>
    <s v="68-77"/>
    <n v="72"/>
    <d v="1950-01-15T00:00:00"/>
    <s v="Massachusetts"/>
    <s v="MA"/>
    <s v="Male"/>
    <s v="Single"/>
    <s v="Sr. Network Engineer"/>
    <s v="Active"/>
    <s v="Contract"/>
    <s v="Zone B"/>
    <s v="IT/IS"/>
    <s v="General - Con"/>
    <s v="Black"/>
    <s v="Exceeds"/>
    <n v="4"/>
  </r>
  <r>
    <x v="2455"/>
    <x v="5"/>
    <x v="862"/>
    <s v="68-77"/>
    <n v="72"/>
    <d v="1951-05-21T00:00:00"/>
    <s v="Massachusetts"/>
    <s v="MA"/>
    <s v="Male"/>
    <s v="Widowed"/>
    <s v="Software Engineer"/>
    <s v="Active"/>
    <s v="Part-Time"/>
    <s v="Zone B"/>
    <s v="Software Engineering"/>
    <s v="Executive"/>
    <s v="Black"/>
    <s v="Fully Meets"/>
    <n v="5"/>
  </r>
  <r>
    <x v="2456"/>
    <x v="2"/>
    <x v="1370"/>
    <s v="68-77"/>
    <n v="72"/>
    <d v="1948-06-17T00:00:00"/>
    <s v="Massachusetts"/>
    <s v="MA"/>
    <s v="Male"/>
    <s v="Divorced"/>
    <s v="Software Engineer"/>
    <s v="Active"/>
    <s v="Part-Time"/>
    <s v="Zone C"/>
    <s v="Software Engineering"/>
    <s v="Project Management - Con"/>
    <s v="Asian"/>
    <s v="Fully Meets"/>
    <n v="1"/>
  </r>
  <r>
    <x v="2457"/>
    <x v="2"/>
    <x v="526"/>
    <s v="68-77"/>
    <n v="72"/>
    <d v="1948-12-07T00:00:00"/>
    <s v="Massachusetts"/>
    <s v="MA"/>
    <s v="Female"/>
    <s v="Married"/>
    <s v="Software Engineer"/>
    <s v="Active"/>
    <s v="Part-Time"/>
    <s v="Zone A"/>
    <s v="Software Engineering"/>
    <s v="Field Operations"/>
    <s v="White"/>
    <s v="Fully Meets"/>
    <n v="2"/>
  </r>
  <r>
    <x v="2458"/>
    <x v="4"/>
    <x v="1371"/>
    <s v="68-77"/>
    <n v="72"/>
    <d v="1950-07-08T00:00:00"/>
    <s v="Massachusetts"/>
    <s v="MA"/>
    <s v="Female"/>
    <s v="Widowed"/>
    <s v="Software Engineer"/>
    <s v="Active"/>
    <s v="Part-Time"/>
    <s v="Zone A"/>
    <s v="Software Engineering"/>
    <s v="Catv"/>
    <s v="Asian"/>
    <s v="Fully Meets"/>
    <n v="5"/>
  </r>
  <r>
    <x v="2459"/>
    <x v="1"/>
    <x v="600"/>
    <s v="68-77"/>
    <n v="72"/>
    <d v="1947-07-25T00:00:00"/>
    <s v="Massachusetts"/>
    <s v="MA"/>
    <s v="Female"/>
    <s v="Divorced"/>
    <s v="Shared Services Manager"/>
    <s v="Active"/>
    <s v="Contract"/>
    <s v="Zone C"/>
    <s v="Software Engineering"/>
    <s v="Project Management - Con"/>
    <s v="Hispanic"/>
    <s v="Fully Meets"/>
    <n v="1"/>
  </r>
  <r>
    <x v="2460"/>
    <x v="4"/>
    <x v="943"/>
    <s v="68-77"/>
    <n v="72"/>
    <d v="1950-11-07T00:00:00"/>
    <s v="Massachusetts"/>
    <s v="MA"/>
    <s v="Female"/>
    <s v="Widowed"/>
    <s v="Senior BI Developer"/>
    <s v="Active"/>
    <s v="Contract"/>
    <s v="Zone A"/>
    <s v="Admin Offices"/>
    <s v="Engineers"/>
    <s v="Other"/>
    <s v="Fully Meets"/>
    <n v="2"/>
  </r>
  <r>
    <x v="2461"/>
    <x v="2"/>
    <x v="481"/>
    <s v="68-77"/>
    <n v="72"/>
    <d v="1948-06-27T00:00:00"/>
    <s v="Massachusetts"/>
    <s v="MA"/>
    <s v="Male"/>
    <s v="Divorced"/>
    <s v="Production Technician II"/>
    <s v="Active"/>
    <s v="Contract"/>
    <s v="Zone B"/>
    <s v="Production       "/>
    <s v="Project Management - Con"/>
    <s v="Asian"/>
    <s v="Fully Meets"/>
    <n v="1"/>
  </r>
  <r>
    <x v="2462"/>
    <x v="2"/>
    <x v="963"/>
    <s v="68-77"/>
    <n v="72"/>
    <d v="1948-06-09T00:00:00"/>
    <s v="Massachusetts"/>
    <s v="MA"/>
    <s v="Female"/>
    <s v="Single"/>
    <s v="Production Technician II"/>
    <s v="Active"/>
    <s v="Full-Time"/>
    <s v="Zone A"/>
    <s v="Production       "/>
    <s v="General - Sga"/>
    <s v="White"/>
    <s v="Fully Meets"/>
    <n v="1"/>
  </r>
  <r>
    <x v="2463"/>
    <x v="0"/>
    <x v="1372"/>
    <s v="68-77"/>
    <n v="72"/>
    <d v="1946-07-25T00:00:00"/>
    <s v="Massachusetts"/>
    <s v="MA"/>
    <s v="Female"/>
    <s v="Married"/>
    <s v="Production Technician II"/>
    <s v="Active"/>
    <s v="Contract"/>
    <s v="Zone C"/>
    <s v="Production       "/>
    <s v="Aerial"/>
    <s v="Hispanic"/>
    <s v="Exceeds"/>
    <n v="3"/>
  </r>
  <r>
    <x v="2464"/>
    <x v="2"/>
    <x v="1324"/>
    <s v="68-77"/>
    <n v="72"/>
    <d v="1948-05-06T00:00:00"/>
    <s v="Massachusetts"/>
    <s v="MA"/>
    <s v="Female"/>
    <s v="Married"/>
    <s v="Production Technician II"/>
    <s v="Active"/>
    <s v="Contract"/>
    <s v="Zone A"/>
    <s v="Production       "/>
    <s v="General - Con"/>
    <s v="Hispanic"/>
    <s v="Fully Meets"/>
    <n v="3"/>
  </r>
  <r>
    <x v="2465"/>
    <x v="2"/>
    <x v="1373"/>
    <s v="68-77"/>
    <n v="72"/>
    <d v="1948-10-26T00:00:00"/>
    <s v="Massachusetts"/>
    <s v="MA"/>
    <s v="Female"/>
    <s v="Widowed"/>
    <s v="Production Technician II"/>
    <s v="Active"/>
    <s v="Part-Time"/>
    <s v="Zone C"/>
    <s v="Production       "/>
    <s v="Project Management - Con"/>
    <s v="Asian"/>
    <s v="Fully Meets"/>
    <n v="2"/>
  </r>
  <r>
    <x v="2466"/>
    <x v="5"/>
    <x v="1374"/>
    <s v="68-77"/>
    <n v="72"/>
    <d v="1951-02-18T00:00:00"/>
    <s v="Massachusetts"/>
    <s v="MA"/>
    <s v="Female"/>
    <s v="Divorced"/>
    <s v="Production Technician II"/>
    <s v="Active"/>
    <s v="Contract"/>
    <s v="Zone C"/>
    <s v="Production       "/>
    <s v="General - Con"/>
    <s v="Other"/>
    <s v="Fully Meets"/>
    <n v="4"/>
  </r>
  <r>
    <x v="2467"/>
    <x v="5"/>
    <x v="817"/>
    <s v="68-77"/>
    <n v="72"/>
    <d v="1951-11-18T00:00:00"/>
    <s v="Massachusetts"/>
    <s v="MA"/>
    <s v="Female"/>
    <s v="Married"/>
    <s v="Production Technician II"/>
    <s v="Active"/>
    <s v="Full-Time"/>
    <s v="Zone A"/>
    <s v="Production       "/>
    <s v="Engineers"/>
    <s v="Hispanic"/>
    <s v="Fully Meets"/>
    <n v="1"/>
  </r>
  <r>
    <x v="2468"/>
    <x v="4"/>
    <x v="1375"/>
    <s v="68-77"/>
    <n v="72"/>
    <d v="1950-07-24T00:00:00"/>
    <s v="Massachusetts"/>
    <s v="MA"/>
    <s v="Male"/>
    <s v="Single"/>
    <s v="Production Technician II"/>
    <s v="Terminated"/>
    <s v="Full-Time"/>
    <s v="Zone C"/>
    <s v="Production       "/>
    <s v="General - Con"/>
    <s v="Asian"/>
    <s v="Fully Meets"/>
    <n v="3"/>
  </r>
  <r>
    <x v="2469"/>
    <x v="0"/>
    <x v="952"/>
    <s v="68-77"/>
    <n v="72"/>
    <d v="1946-12-11T00:00:00"/>
    <s v="Massachusetts"/>
    <s v="MA"/>
    <s v="Female"/>
    <s v="Married"/>
    <s v="Production Technician II"/>
    <s v="Terminated"/>
    <s v="Part-Time"/>
    <s v="Zone B"/>
    <s v="Production       "/>
    <s v="Field Operations"/>
    <s v="White"/>
    <s v="Fully Meets"/>
    <n v="4"/>
  </r>
  <r>
    <x v="2470"/>
    <x v="1"/>
    <x v="872"/>
    <s v="68-77"/>
    <n v="72"/>
    <d v="1947-06-19T00:00:00"/>
    <s v="Massachusetts"/>
    <s v="MA"/>
    <s v="Female"/>
    <s v="Divorced"/>
    <s v="Production Technician II"/>
    <s v="Terminated"/>
    <s v="Full-Time"/>
    <s v="Zone A"/>
    <s v="Production       "/>
    <s v="Sales &amp; Marketing"/>
    <s v="Black"/>
    <s v="Fully Meets"/>
    <n v="1"/>
  </r>
  <r>
    <x v="2471"/>
    <x v="5"/>
    <x v="1376"/>
    <s v="68-77"/>
    <n v="72"/>
    <d v="1951-07-18T00:00:00"/>
    <s v="Massachusetts"/>
    <s v="MA"/>
    <s v="Female"/>
    <s v="Single"/>
    <s v="Production Technician II"/>
    <s v="Active"/>
    <s v="Part-Time"/>
    <s v="Zone C"/>
    <s v="Production       "/>
    <s v="Underground"/>
    <s v="Black"/>
    <s v="Fully Meets"/>
    <n v="5"/>
  </r>
  <r>
    <x v="2472"/>
    <x v="5"/>
    <x v="1046"/>
    <s v="68-77"/>
    <n v="72"/>
    <d v="1951-01-10T00:00:00"/>
    <s v="Massachusetts"/>
    <s v="MA"/>
    <s v="Female"/>
    <s v="Married"/>
    <s v="Production Technician II"/>
    <s v="Active"/>
    <s v="Contract"/>
    <s v="Zone A"/>
    <s v="Production       "/>
    <s v="Field Operations"/>
    <s v="White"/>
    <s v="Fully Meets"/>
    <n v="2"/>
  </r>
  <r>
    <x v="2473"/>
    <x v="2"/>
    <x v="331"/>
    <s v="68-77"/>
    <n v="72"/>
    <d v="1948-03-04T00:00:00"/>
    <s v="Massachusetts"/>
    <s v="MA"/>
    <s v="Male"/>
    <s v="Married"/>
    <s v="Production Technician II"/>
    <s v="Active"/>
    <s v="Contract"/>
    <s v="Zone B"/>
    <s v="Production       "/>
    <s v="Shop (Fleet)"/>
    <s v="Hispanic"/>
    <s v="Fully Meets"/>
    <n v="3"/>
  </r>
  <r>
    <x v="2474"/>
    <x v="0"/>
    <x v="1377"/>
    <s v="68-77"/>
    <n v="72"/>
    <d v="1946-12-11T00:00:00"/>
    <s v="Massachusetts"/>
    <s v="MA"/>
    <s v="Male"/>
    <s v="Divorced"/>
    <s v="Production Technician I"/>
    <s v="Active"/>
    <s v="Part-Time"/>
    <s v="Zone B"/>
    <s v="Production       "/>
    <s v="People Services"/>
    <s v="Hispanic"/>
    <s v="Fully Meets"/>
    <n v="5"/>
  </r>
  <r>
    <x v="2475"/>
    <x v="3"/>
    <x v="371"/>
    <s v="68-77"/>
    <n v="72"/>
    <d v="1949-11-30T00:00:00"/>
    <s v="Massachusetts"/>
    <s v="MA"/>
    <s v="Female"/>
    <s v="Married"/>
    <s v="Production Technician I"/>
    <s v="Terminated"/>
    <s v="Part-Time"/>
    <s v="Zone B"/>
    <s v="Production       "/>
    <s v="General - Con"/>
    <s v="Asian"/>
    <s v="Fully Meets"/>
    <n v="3"/>
  </r>
  <r>
    <x v="2476"/>
    <x v="3"/>
    <x v="208"/>
    <s v="68-77"/>
    <n v="72"/>
    <d v="1949-06-03T00:00:00"/>
    <s v="Massachusetts"/>
    <s v="MA"/>
    <s v="Male"/>
    <s v="Divorced"/>
    <s v="Production Technician I"/>
    <s v="Active"/>
    <s v="Contract"/>
    <s v="Zone B"/>
    <s v="Production       "/>
    <s v="Field Operations"/>
    <s v="Black"/>
    <s v="Fully Meets"/>
    <n v="5"/>
  </r>
  <r>
    <x v="2477"/>
    <x v="0"/>
    <x v="956"/>
    <s v="68-77"/>
    <n v="72"/>
    <d v="1946-04-30T00:00:00"/>
    <s v="Massachusetts"/>
    <s v="MA"/>
    <s v="Male"/>
    <s v="Married"/>
    <s v="Production Technician I"/>
    <s v="Active"/>
    <s v="Part-Time"/>
    <s v="Zone C"/>
    <s v="Production       "/>
    <s v="Engineers"/>
    <s v="Hispanic"/>
    <s v="Fully Meets"/>
    <n v="1"/>
  </r>
  <r>
    <x v="2478"/>
    <x v="3"/>
    <x v="1378"/>
    <s v="68-77"/>
    <n v="72"/>
    <d v="1949-07-20T00:00:00"/>
    <s v="Massachusetts"/>
    <s v="MA"/>
    <s v="Female"/>
    <s v="Single"/>
    <s v="Production Technician I"/>
    <s v="Active"/>
    <s v="Full-Time"/>
    <s v="Zone B"/>
    <s v="Production       "/>
    <s v="General - Con"/>
    <s v="White"/>
    <s v="Fully Meets"/>
    <n v="5"/>
  </r>
  <r>
    <x v="2479"/>
    <x v="3"/>
    <x v="1379"/>
    <s v="68-77"/>
    <n v="72"/>
    <d v="1949-03-13T00:00:00"/>
    <s v="Massachusetts"/>
    <s v="MA"/>
    <s v="Male"/>
    <s v="Single"/>
    <s v="Production Technician I"/>
    <s v="Active"/>
    <s v="Full-Time"/>
    <s v="Zone A"/>
    <s v="Production       "/>
    <s v="Wireline Construction"/>
    <s v="White"/>
    <s v="Needs Improvement"/>
    <n v="1"/>
  </r>
  <r>
    <x v="2480"/>
    <x v="0"/>
    <x v="131"/>
    <s v="68-77"/>
    <n v="72"/>
    <d v="1946-02-12T00:00:00"/>
    <s v="Massachusetts"/>
    <s v="MA"/>
    <s v="Male"/>
    <s v="Divorced"/>
    <s v="Production Technician I"/>
    <s v="Terminated"/>
    <s v="Part-Time"/>
    <s v="Zone A"/>
    <s v="Production       "/>
    <s v="Wireline Construction"/>
    <s v="Other"/>
    <s v="Fully Meets"/>
    <n v="3"/>
  </r>
  <r>
    <x v="2481"/>
    <x v="3"/>
    <x v="167"/>
    <s v="68-77"/>
    <n v="72"/>
    <d v="1949-04-21T00:00:00"/>
    <s v="Massachusetts"/>
    <s v="MA"/>
    <s v="Female"/>
    <s v="Widowed"/>
    <s v="Production Technician I"/>
    <s v="Active"/>
    <s v="Full-Time"/>
    <s v="Zone A"/>
    <s v="Production       "/>
    <s v="Splicing"/>
    <s v="Black"/>
    <s v="Exceeds"/>
    <n v="1"/>
  </r>
  <r>
    <x v="2482"/>
    <x v="0"/>
    <x v="93"/>
    <s v="68-77"/>
    <n v="72"/>
    <d v="1946-08-06T00:00:00"/>
    <s v="Massachusetts"/>
    <s v="MA"/>
    <s v="Female"/>
    <s v="Married"/>
    <s v="Production Technician I"/>
    <s v="Active"/>
    <s v="Full-Time"/>
    <s v="Zone A"/>
    <s v="Production       "/>
    <s v="Engineers"/>
    <s v="Other"/>
    <s v="Fully Meets"/>
    <n v="4"/>
  </r>
  <r>
    <x v="2483"/>
    <x v="2"/>
    <x v="1380"/>
    <s v="68-77"/>
    <n v="72"/>
    <d v="1948-02-11T00:00:00"/>
    <s v="Massachusetts"/>
    <s v="MA"/>
    <s v="Female"/>
    <s v="Single"/>
    <s v="Production Technician I"/>
    <s v="Active"/>
    <s v="Full-Time"/>
    <s v="Zone B"/>
    <s v="Production       "/>
    <s v="Catv"/>
    <s v="Black"/>
    <s v="Fully Meets"/>
    <n v="2"/>
  </r>
  <r>
    <x v="2484"/>
    <x v="4"/>
    <x v="908"/>
    <s v="68-77"/>
    <n v="72"/>
    <d v="1950-12-24T00:00:00"/>
    <s v="Massachusetts"/>
    <s v="MA"/>
    <s v="Female"/>
    <s v="Widowed"/>
    <s v="Production Technician I"/>
    <s v="Active"/>
    <s v="Contract"/>
    <s v="Zone C"/>
    <s v="Production       "/>
    <s v="Wireline Construction"/>
    <s v="Black"/>
    <s v="Fully Meets"/>
    <n v="2"/>
  </r>
  <r>
    <x v="2485"/>
    <x v="3"/>
    <x v="1032"/>
    <s v="68-77"/>
    <n v="72"/>
    <d v="1949-02-02T00:00:00"/>
    <s v="Massachusetts"/>
    <s v="MA"/>
    <s v="Female"/>
    <s v="Single"/>
    <s v="Production Technician I"/>
    <s v="Active"/>
    <s v="Full-Time"/>
    <s v="Zone C"/>
    <s v="Production       "/>
    <s v="Aerial"/>
    <s v="Other"/>
    <s v="Exceeds"/>
    <n v="5"/>
  </r>
  <r>
    <x v="2486"/>
    <x v="2"/>
    <x v="1381"/>
    <s v="68-77"/>
    <n v="72"/>
    <d v="1948-10-11T00:00:00"/>
    <s v="Massachusetts"/>
    <s v="MA"/>
    <s v="Female"/>
    <s v="Single"/>
    <s v="Production Technician I"/>
    <s v="Terminated"/>
    <s v="Contract"/>
    <s v="Zone A"/>
    <s v="Production       "/>
    <s v="General - Con"/>
    <s v="Hispanic"/>
    <s v="Fully Meets"/>
    <n v="4"/>
  </r>
  <r>
    <x v="2487"/>
    <x v="2"/>
    <x v="193"/>
    <s v="68-77"/>
    <n v="72"/>
    <d v="1948-11-03T00:00:00"/>
    <s v="Massachusetts"/>
    <s v="MA"/>
    <s v="Female"/>
    <s v="Married"/>
    <s v="Production Manager"/>
    <s v="Active"/>
    <s v="Part-Time"/>
    <s v="Zone C"/>
    <s v="Production       "/>
    <s v="General - Con"/>
    <s v="White"/>
    <s v="Fully Meets"/>
    <n v="1"/>
  </r>
  <r>
    <x v="2488"/>
    <x v="3"/>
    <x v="1382"/>
    <s v="68-77"/>
    <n v="72"/>
    <d v="1949-03-16T00:00:00"/>
    <s v="Massachusetts"/>
    <s v="MA"/>
    <s v="Male"/>
    <s v="Widowed"/>
    <s v="Production Manager"/>
    <s v="Terminated"/>
    <s v="Part-Time"/>
    <s v="Zone A"/>
    <s v="Production       "/>
    <s v="General - Con"/>
    <s v="Hispanic"/>
    <s v="Fully Meets"/>
    <n v="4"/>
  </r>
  <r>
    <x v="2489"/>
    <x v="5"/>
    <x v="1383"/>
    <s v="68-77"/>
    <n v="72"/>
    <d v="1951-08-21T00:00:00"/>
    <s v="Massachusetts"/>
    <s v="MA"/>
    <s v="Female"/>
    <s v="Divorced"/>
    <s v="Production Manager"/>
    <s v="Active"/>
    <s v="Full-Time"/>
    <s v="Zone C"/>
    <s v="Production       "/>
    <s v="Field Operations"/>
    <s v="Black"/>
    <s v="Fully Meets"/>
    <n v="2"/>
  </r>
  <r>
    <x v="2490"/>
    <x v="4"/>
    <x v="1384"/>
    <s v="68-77"/>
    <n v="72"/>
    <d v="1950-12-09T00:00:00"/>
    <s v="Massachusetts"/>
    <s v="MA"/>
    <s v="Male"/>
    <s v="Married"/>
    <s v="Production Manager"/>
    <s v="Active"/>
    <s v="Part-Time"/>
    <s v="Zone B"/>
    <s v="Production       "/>
    <s v="Yard (Material Handling)"/>
    <s v="Asian"/>
    <s v="Fully Meets"/>
    <n v="4"/>
  </r>
  <r>
    <x v="2491"/>
    <x v="2"/>
    <x v="476"/>
    <s v="68-77"/>
    <n v="72"/>
    <d v="1948-12-24T00:00:00"/>
    <s v="Massachusetts"/>
    <s v="MA"/>
    <s v="Female"/>
    <s v="Divorced"/>
    <s v="Production Manager"/>
    <s v="Active"/>
    <s v="Full-Time"/>
    <s v="Zone B"/>
    <s v="Production       "/>
    <s v="Field Operations"/>
    <s v="Asian"/>
    <s v="Fully Meets"/>
    <n v="5"/>
  </r>
  <r>
    <x v="2492"/>
    <x v="1"/>
    <x v="1385"/>
    <s v="68-77"/>
    <n v="72"/>
    <d v="1947-05-30T00:00:00"/>
    <s v="Connecticut"/>
    <s v="CT"/>
    <s v="Male"/>
    <s v="Widowed"/>
    <s v="Principal Data Architect"/>
    <s v="Active"/>
    <s v="Part-Time"/>
    <s v="Zone C"/>
    <s v="IT/IS"/>
    <s v="Field Operations"/>
    <s v="White"/>
    <s v="PIP"/>
    <n v="1"/>
  </r>
  <r>
    <x v="2493"/>
    <x v="2"/>
    <x v="1119"/>
    <s v="68-77"/>
    <n v="72"/>
    <d v="1948-11-21T00:00:00"/>
    <s v="Massachusetts"/>
    <s v="MA"/>
    <s v="Male"/>
    <s v="Single"/>
    <s v="IT Support"/>
    <s v="Active"/>
    <s v="Contract"/>
    <s v="Zone C"/>
    <s v="IT/IS"/>
    <s v="General - Sga"/>
    <s v="Black"/>
    <s v="Fully Meets"/>
    <n v="4"/>
  </r>
  <r>
    <x v="2494"/>
    <x v="3"/>
    <x v="1169"/>
    <s v="68-77"/>
    <n v="72"/>
    <d v="1949-12-23T00:00:00"/>
    <s v="Massachusetts"/>
    <s v="MA"/>
    <s v="Male"/>
    <s v="Married"/>
    <s v="IT Manager - DB"/>
    <s v="Active"/>
    <s v="Contract"/>
    <s v="Zone C"/>
    <s v="IT/IS"/>
    <s v="General - Con"/>
    <s v="White"/>
    <s v="Fully Meets"/>
    <n v="1"/>
  </r>
  <r>
    <x v="2495"/>
    <x v="0"/>
    <x v="617"/>
    <s v="68-77"/>
    <n v="72"/>
    <d v="1946-01-19T00:00:00"/>
    <s v="Washington"/>
    <s v="WA"/>
    <s v="Female"/>
    <s v="Single"/>
    <s v="Area Sales Manager"/>
    <s v="Active"/>
    <s v="Part-Time"/>
    <s v="Zone C"/>
    <s v="Sales"/>
    <s v="Yard (Material Handling)"/>
    <s v="Other"/>
    <s v="Fully Meets"/>
    <n v="5"/>
  </r>
  <r>
    <x v="2496"/>
    <x v="2"/>
    <x v="361"/>
    <s v="68-77"/>
    <n v="72"/>
    <d v="1948-01-24T00:00:00"/>
    <s v="Idaho"/>
    <s v="ID"/>
    <s v="Male"/>
    <s v="Single"/>
    <s v="Area Sales Manager"/>
    <s v="Active"/>
    <s v="Contract"/>
    <s v="Zone A"/>
    <s v="Sales"/>
    <s v="Billable Consultants"/>
    <s v="Black"/>
    <s v="Fully Meets"/>
    <n v="4"/>
  </r>
  <r>
    <x v="2497"/>
    <x v="2"/>
    <x v="481"/>
    <s v="68-77"/>
    <n v="72"/>
    <d v="1948-12-03T00:00:00"/>
    <s v="Arizona"/>
    <s v="AZ"/>
    <s v="Female"/>
    <s v="Married"/>
    <s v="Area Sales Manager"/>
    <s v="Active"/>
    <s v="Contract"/>
    <s v="Zone C"/>
    <s v="Sales"/>
    <s v="General - Con"/>
    <s v="Black"/>
    <s v="Fully Meets"/>
    <n v="2"/>
  </r>
  <r>
    <x v="2498"/>
    <x v="3"/>
    <x v="1004"/>
    <s v="68-77"/>
    <n v="72"/>
    <d v="1949-11-27T00:00:00"/>
    <s v="Massachusetts"/>
    <s v="MA"/>
    <s v="Female"/>
    <s v="Divorced"/>
    <s v="Accountant I"/>
    <s v="Active"/>
    <s v="Full-Time"/>
    <s v="Zone B"/>
    <s v="Admin Offices"/>
    <s v="Safety"/>
    <s v="White"/>
    <s v="Fully Meets"/>
    <n v="2"/>
  </r>
  <r>
    <x v="2499"/>
    <x v="3"/>
    <x v="1386"/>
    <s v="68-77"/>
    <n v="73"/>
    <d v="1948-09-13T00:00:00"/>
    <s v="Massachusetts"/>
    <s v="MA"/>
    <s v="Male"/>
    <s v="Divorced"/>
    <s v="Sr. Network Engineer"/>
    <s v="Active"/>
    <s v="Contract"/>
    <s v="Zone C"/>
    <s v="IT/IS"/>
    <s v="Field Operations"/>
    <s v="White"/>
    <s v="Fully Meets"/>
    <n v="2"/>
  </r>
  <r>
    <x v="2500"/>
    <x v="3"/>
    <x v="793"/>
    <s v="68-77"/>
    <n v="73"/>
    <d v="1948-10-21T00:00:00"/>
    <s v="Connecticut"/>
    <s v="CT"/>
    <s v="Female"/>
    <s v="Single"/>
    <s v="Sr. Network Engineer"/>
    <s v="Active"/>
    <s v="Full-Time"/>
    <s v="Zone B"/>
    <s v="IT/IS"/>
    <s v="Engineers"/>
    <s v="Black"/>
    <s v="Fully Meets"/>
    <n v="5"/>
  </r>
  <r>
    <x v="2501"/>
    <x v="1"/>
    <x v="11"/>
    <s v="68-77"/>
    <n v="73"/>
    <d v="1946-01-21T00:00:00"/>
    <s v="Massachusetts"/>
    <s v="MA"/>
    <s v="Male"/>
    <s v="Widowed"/>
    <s v="Senior BI Developer"/>
    <s v="Active"/>
    <s v="Contract"/>
    <s v="Zone A"/>
    <s v="IT/IS"/>
    <s v="Project Management - Con"/>
    <s v="Black"/>
    <s v="Fully Meets"/>
    <n v="1"/>
  </r>
  <r>
    <x v="2502"/>
    <x v="2"/>
    <x v="1312"/>
    <s v="68-77"/>
    <n v="73"/>
    <d v="1947-07-05T00:00:00"/>
    <s v="Massachusetts"/>
    <s v="MA"/>
    <s v="Female"/>
    <s v="Single"/>
    <s v="Senior BI Developer"/>
    <s v="Active"/>
    <s v="Full-Time"/>
    <s v="Zone B"/>
    <s v="Admin Offices"/>
    <s v="Field Operations"/>
    <s v="Black"/>
    <s v="Fully Meets"/>
    <n v="1"/>
  </r>
  <r>
    <x v="2503"/>
    <x v="5"/>
    <x v="979"/>
    <s v="68-77"/>
    <n v="73"/>
    <d v="1950-06-25T00:00:00"/>
    <s v="Massachusetts"/>
    <s v="MA"/>
    <s v="Female"/>
    <s v="Widowed"/>
    <s v="Production Technician II"/>
    <s v="Terminated"/>
    <s v="Full-Time"/>
    <s v="Zone B"/>
    <s v="Production       "/>
    <s v="Finance &amp; Accounting"/>
    <s v="White"/>
    <s v="Fully Meets"/>
    <n v="2"/>
  </r>
  <r>
    <x v="2504"/>
    <x v="4"/>
    <x v="538"/>
    <s v="68-77"/>
    <n v="73"/>
    <d v="1949-10-07T00:00:00"/>
    <s v="Massachusetts"/>
    <s v="MA"/>
    <s v="Female"/>
    <s v="Single"/>
    <s v="Production Technician II"/>
    <s v="Active"/>
    <s v="Contract"/>
    <s v="Zone B"/>
    <s v="Production       "/>
    <s v="Field Operations"/>
    <s v="White"/>
    <s v="Fully Meets"/>
    <n v="1"/>
  </r>
  <r>
    <x v="2505"/>
    <x v="4"/>
    <x v="1031"/>
    <s v="68-77"/>
    <n v="73"/>
    <d v="1949-03-20T00:00:00"/>
    <s v="Massachusetts"/>
    <s v="MA"/>
    <s v="Female"/>
    <s v="Single"/>
    <s v="Production Technician II"/>
    <s v="Active"/>
    <s v="Full-Time"/>
    <s v="Zone B"/>
    <s v="Production       "/>
    <s v="General - Eng"/>
    <s v="Asian"/>
    <s v="Fully Meets"/>
    <n v="3"/>
  </r>
  <r>
    <x v="2506"/>
    <x v="3"/>
    <x v="1387"/>
    <s v="68-77"/>
    <n v="73"/>
    <d v="1948-12-10T00:00:00"/>
    <s v="Massachusetts"/>
    <s v="MA"/>
    <s v="Female"/>
    <s v="Divorced"/>
    <s v="Production Technician II"/>
    <s v="Active"/>
    <s v="Contract"/>
    <s v="Zone A"/>
    <s v="Production       "/>
    <s v="Executive"/>
    <s v="White"/>
    <s v="Fully Meets"/>
    <n v="2"/>
  </r>
  <r>
    <x v="2507"/>
    <x v="4"/>
    <x v="1388"/>
    <s v="68-77"/>
    <n v="73"/>
    <d v="1949-04-03T00:00:00"/>
    <s v="Massachusetts"/>
    <s v="MA"/>
    <s v="Male"/>
    <s v="Divorced"/>
    <s v="Production Technician II"/>
    <s v="Active"/>
    <s v="Full-Time"/>
    <s v="Zone B"/>
    <s v="Production       "/>
    <s v="Field Operations"/>
    <s v="Asian"/>
    <s v="Fully Meets"/>
    <n v="4"/>
  </r>
  <r>
    <x v="2508"/>
    <x v="4"/>
    <x v="1136"/>
    <s v="68-77"/>
    <n v="73"/>
    <d v="1949-10-20T00:00:00"/>
    <s v="Massachusetts"/>
    <s v="MA"/>
    <s v="Female"/>
    <s v="Divorced"/>
    <s v="Production Technician II"/>
    <s v="Active"/>
    <s v="Full-Time"/>
    <s v="Zone C"/>
    <s v="Production       "/>
    <s v="Engineers"/>
    <s v="White"/>
    <s v="Fully Meets"/>
    <n v="2"/>
  </r>
  <r>
    <x v="2509"/>
    <x v="2"/>
    <x v="490"/>
    <s v="68-77"/>
    <n v="73"/>
    <d v="1947-09-18T00:00:00"/>
    <s v="Massachusetts"/>
    <s v="MA"/>
    <s v="Female"/>
    <s v="Divorced"/>
    <s v="Production Technician II"/>
    <s v="Active"/>
    <s v="Full-Time"/>
    <s v="Zone C"/>
    <s v="Production       "/>
    <s v="Field Operations"/>
    <s v="Black"/>
    <s v="Fully Meets"/>
    <n v="1"/>
  </r>
  <r>
    <x v="2510"/>
    <x v="4"/>
    <x v="1389"/>
    <s v="68-77"/>
    <n v="73"/>
    <d v="1949-07-31T00:00:00"/>
    <s v="Massachusetts"/>
    <s v="MA"/>
    <s v="Female"/>
    <s v="Widowed"/>
    <s v="Production Technician II"/>
    <s v="Active"/>
    <s v="Full-Time"/>
    <s v="Zone A"/>
    <s v="Production       "/>
    <s v="General - Con"/>
    <s v="White"/>
    <s v="Fully Meets"/>
    <n v="1"/>
  </r>
  <r>
    <x v="2511"/>
    <x v="3"/>
    <x v="1039"/>
    <s v="68-77"/>
    <n v="73"/>
    <d v="1948-07-20T00:00:00"/>
    <s v="Massachusetts"/>
    <s v="MA"/>
    <s v="Male"/>
    <s v="Divorced"/>
    <s v="Production Technician II"/>
    <s v="Active"/>
    <s v="Full-Time"/>
    <s v="Zone C"/>
    <s v="Production       "/>
    <s v="Field Operations"/>
    <s v="Asian"/>
    <s v="Fully Meets"/>
    <n v="4"/>
  </r>
  <r>
    <x v="2512"/>
    <x v="2"/>
    <x v="143"/>
    <s v="68-77"/>
    <n v="73"/>
    <d v="1947-08-31T00:00:00"/>
    <s v="Massachusetts"/>
    <s v="MA"/>
    <s v="Male"/>
    <s v="Married"/>
    <s v="Production Technician I"/>
    <s v="Terminated"/>
    <s v="Part-Time"/>
    <s v="Zone B"/>
    <s v="Production       "/>
    <s v="Field Operations"/>
    <s v="White"/>
    <s v="Fully Meets"/>
    <n v="5"/>
  </r>
  <r>
    <x v="2513"/>
    <x v="1"/>
    <x v="59"/>
    <s v="68-77"/>
    <n v="73"/>
    <d v="1946-08-16T00:00:00"/>
    <s v="Massachusetts"/>
    <s v="MA"/>
    <s v="Male"/>
    <s v="Married"/>
    <s v="Production Technician I"/>
    <s v="Terminated"/>
    <s v="Part-Time"/>
    <s v="Zone C"/>
    <s v="Production       "/>
    <s v="Field Operations"/>
    <s v="Other"/>
    <s v="Fully Meets"/>
    <n v="5"/>
  </r>
  <r>
    <x v="2514"/>
    <x v="1"/>
    <x v="1261"/>
    <s v="68-77"/>
    <n v="73"/>
    <d v="1946-10-15T00:00:00"/>
    <s v="Massachusetts"/>
    <s v="MA"/>
    <s v="Male"/>
    <s v="Widowed"/>
    <s v="Production Technician I"/>
    <s v="Active"/>
    <s v="Contract"/>
    <s v="Zone B"/>
    <s v="Production       "/>
    <s v="Field Operations"/>
    <s v="Black"/>
    <s v="PIP"/>
    <n v="1"/>
  </r>
  <r>
    <x v="2515"/>
    <x v="4"/>
    <x v="228"/>
    <s v="68-77"/>
    <n v="73"/>
    <d v="1949-09-27T00:00:00"/>
    <s v="Massachusetts"/>
    <s v="MA"/>
    <s v="Female"/>
    <s v="Single"/>
    <s v="Production Technician I"/>
    <s v="Active"/>
    <s v="Part-Time"/>
    <s v="Zone A"/>
    <s v="Production       "/>
    <s v="Field Operations"/>
    <s v="Asian"/>
    <s v="Fully Meets"/>
    <n v="3"/>
  </r>
  <r>
    <x v="2516"/>
    <x v="1"/>
    <x v="1390"/>
    <s v="68-77"/>
    <n v="73"/>
    <d v="1946-05-13T00:00:00"/>
    <s v="Massachusetts"/>
    <s v="MA"/>
    <s v="Male"/>
    <s v="Single"/>
    <s v="Production Technician I"/>
    <s v="Terminated"/>
    <s v="Part-Time"/>
    <s v="Zone C"/>
    <s v="Production       "/>
    <s v="Field Operations"/>
    <s v="Asian"/>
    <s v="Fully Meets"/>
    <n v="4"/>
  </r>
  <r>
    <x v="2517"/>
    <x v="3"/>
    <x v="1335"/>
    <s v="68-77"/>
    <n v="73"/>
    <d v="1948-12-17T00:00:00"/>
    <s v="Massachusetts"/>
    <s v="MA"/>
    <s v="Female"/>
    <s v="Divorced"/>
    <s v="Production Technician I"/>
    <s v="Active"/>
    <s v="Part-Time"/>
    <s v="Zone C"/>
    <s v="Production       "/>
    <s v="Shop (Fleet)"/>
    <s v="Black"/>
    <s v="Fully Meets"/>
    <n v="1"/>
  </r>
  <r>
    <x v="2518"/>
    <x v="1"/>
    <x v="1391"/>
    <s v="68-77"/>
    <n v="73"/>
    <d v="1946-06-03T00:00:00"/>
    <s v="Massachusetts"/>
    <s v="MA"/>
    <s v="Male"/>
    <s v="Single"/>
    <s v="Production Technician I"/>
    <s v="Terminated"/>
    <s v="Full-Time"/>
    <s v="Zone C"/>
    <s v="Production       "/>
    <s v="Field Operations"/>
    <s v="Hispanic"/>
    <s v="Fully Meets"/>
    <n v="5"/>
  </r>
  <r>
    <x v="2519"/>
    <x v="4"/>
    <x v="609"/>
    <s v="68-77"/>
    <n v="73"/>
    <d v="1949-10-17T00:00:00"/>
    <s v="Massachusetts"/>
    <s v="MA"/>
    <s v="Female"/>
    <s v="Single"/>
    <s v="Production Technician I"/>
    <s v="Active"/>
    <s v="Part-Time"/>
    <s v="Zone C"/>
    <s v="Production       "/>
    <s v="Project Management - Con"/>
    <s v="Black"/>
    <s v="Fully Meets"/>
    <n v="1"/>
  </r>
  <r>
    <x v="2520"/>
    <x v="1"/>
    <x v="751"/>
    <s v="68-77"/>
    <n v="73"/>
    <d v="1946-01-07T00:00:00"/>
    <s v="Massachusetts"/>
    <s v="MA"/>
    <s v="Male"/>
    <s v="Widowed"/>
    <s v="Production Technician I"/>
    <s v="Active"/>
    <s v="Full-Time"/>
    <s v="Zone A"/>
    <s v="Production       "/>
    <s v="General - Con"/>
    <s v="White"/>
    <s v="Fully Meets"/>
    <n v="5"/>
  </r>
  <r>
    <x v="2521"/>
    <x v="3"/>
    <x v="900"/>
    <s v="68-77"/>
    <n v="73"/>
    <d v="1948-06-17T00:00:00"/>
    <s v="Massachusetts"/>
    <s v="MA"/>
    <s v="Male"/>
    <s v="Married"/>
    <s v="Production Technician I"/>
    <s v="Active"/>
    <s v="Full-Time"/>
    <s v="Zone A"/>
    <s v="Production       "/>
    <s v="Billable Consultants"/>
    <s v="Asian"/>
    <s v="Fully Meets"/>
    <n v="3"/>
  </r>
  <r>
    <x v="2522"/>
    <x v="3"/>
    <x v="999"/>
    <s v="68-77"/>
    <n v="73"/>
    <d v="1948-01-13T00:00:00"/>
    <s v="Massachusetts"/>
    <s v="MA"/>
    <s v="Male"/>
    <s v="Widowed"/>
    <s v="Production Technician I"/>
    <s v="Terminated"/>
    <s v="Part-Time"/>
    <s v="Zone A"/>
    <s v="Production       "/>
    <s v="Finance &amp; Accounting"/>
    <s v="Hispanic"/>
    <s v="Fully Meets"/>
    <n v="4"/>
  </r>
  <r>
    <x v="2523"/>
    <x v="4"/>
    <x v="599"/>
    <s v="68-77"/>
    <n v="73"/>
    <d v="1949-07-22T00:00:00"/>
    <s v="Massachusetts"/>
    <s v="MA"/>
    <s v="Male"/>
    <s v="Single"/>
    <s v="Production Technician I"/>
    <s v="Active"/>
    <s v="Part-Time"/>
    <s v="Zone B"/>
    <s v="Production       "/>
    <s v="Field Operations"/>
    <s v="White"/>
    <s v="Fully Meets"/>
    <n v="4"/>
  </r>
  <r>
    <x v="2524"/>
    <x v="5"/>
    <x v="781"/>
    <s v="68-77"/>
    <n v="73"/>
    <d v="1950-09-08T00:00:00"/>
    <s v="Massachusetts"/>
    <s v="MA"/>
    <s v="Male"/>
    <s v="Married"/>
    <s v="Production Technician I"/>
    <s v="Active"/>
    <s v="Part-Time"/>
    <s v="Zone B"/>
    <s v="Production       "/>
    <s v="Sales &amp; Marketing"/>
    <s v="Black"/>
    <s v="Fully Meets"/>
    <n v="3"/>
  </r>
  <r>
    <x v="2525"/>
    <x v="4"/>
    <x v="975"/>
    <s v="68-77"/>
    <n v="73"/>
    <d v="1949-01-26T00:00:00"/>
    <s v="Massachusetts"/>
    <s v="MA"/>
    <s v="Female"/>
    <s v="Single"/>
    <s v="Production Technician I"/>
    <s v="Active"/>
    <s v="Part-Time"/>
    <s v="Zone C"/>
    <s v="Production       "/>
    <s v="General - Eng"/>
    <s v="Asian"/>
    <s v="Fully Meets"/>
    <n v="1"/>
  </r>
  <r>
    <x v="2526"/>
    <x v="4"/>
    <x v="1392"/>
    <s v="68-77"/>
    <n v="73"/>
    <d v="1949-01-15T00:00:00"/>
    <s v="Massachusetts"/>
    <s v="MA"/>
    <s v="Female"/>
    <s v="Divorced"/>
    <s v="Production Technician I"/>
    <s v="Active"/>
    <s v="Full-Time"/>
    <s v="Zone A"/>
    <s v="Production       "/>
    <s v="Field Operations"/>
    <s v="Asian"/>
    <s v="Fully Meets"/>
    <n v="3"/>
  </r>
  <r>
    <x v="2527"/>
    <x v="5"/>
    <x v="585"/>
    <s v="68-77"/>
    <n v="73"/>
    <d v="1950-06-17T00:00:00"/>
    <s v="Massachusetts"/>
    <s v="MA"/>
    <s v="Female"/>
    <s v="Widowed"/>
    <s v="Production Technician I"/>
    <s v="Active"/>
    <s v="Full-Time"/>
    <s v="Zone C"/>
    <s v="Production       "/>
    <s v="Wireline Construction"/>
    <s v="Black"/>
    <s v="Exceeds"/>
    <n v="5"/>
  </r>
  <r>
    <x v="2528"/>
    <x v="5"/>
    <x v="741"/>
    <s v="68-77"/>
    <n v="73"/>
    <d v="1950-08-09T00:00:00"/>
    <s v="Massachusetts"/>
    <s v="MA"/>
    <s v="Female"/>
    <s v="Single"/>
    <s v="Production Technician I"/>
    <s v="Terminated"/>
    <s v="Contract"/>
    <s v="Zone B"/>
    <s v="Production       "/>
    <s v="Wireline Construction"/>
    <s v="White"/>
    <s v="Exceeds"/>
    <n v="1"/>
  </r>
  <r>
    <x v="2529"/>
    <x v="3"/>
    <x v="54"/>
    <s v="68-77"/>
    <n v="73"/>
    <d v="1948-05-13T00:00:00"/>
    <s v="Massachusetts"/>
    <s v="MA"/>
    <s v="Female"/>
    <s v="Single"/>
    <s v="Production Technician I"/>
    <s v="Active"/>
    <s v="Contract"/>
    <s v="Zone C"/>
    <s v="Production       "/>
    <s v="General - Sga"/>
    <s v="Black"/>
    <s v="Exceeds"/>
    <n v="4"/>
  </r>
  <r>
    <x v="2530"/>
    <x v="4"/>
    <x v="1393"/>
    <s v="68-77"/>
    <n v="73"/>
    <d v="1949-02-18T00:00:00"/>
    <s v="Massachusetts"/>
    <s v="MA"/>
    <s v="Female"/>
    <s v="Divorced"/>
    <s v="Production Technician I"/>
    <s v="Active"/>
    <s v="Contract"/>
    <s v="Zone C"/>
    <s v="Production       "/>
    <s v="Executive"/>
    <s v="Black"/>
    <s v="Fully Meets"/>
    <n v="4"/>
  </r>
  <r>
    <x v="2531"/>
    <x v="0"/>
    <x v="917"/>
    <s v="68-77"/>
    <n v="73"/>
    <d v="1945-07-17T00:00:00"/>
    <s v="Massachusetts"/>
    <s v="MA"/>
    <s v="Female"/>
    <s v="Married"/>
    <s v="Production Technician I"/>
    <s v="Terminated"/>
    <s v="Part-Time"/>
    <s v="Zone A"/>
    <s v="Production       "/>
    <s v="General - Eng"/>
    <s v="Black"/>
    <s v="Fully Meets"/>
    <n v="3"/>
  </r>
  <r>
    <x v="2532"/>
    <x v="3"/>
    <x v="275"/>
    <s v="68-77"/>
    <n v="73"/>
    <d v="1948-08-03T00:00:00"/>
    <s v="Massachusetts"/>
    <s v="MA"/>
    <s v="Female"/>
    <s v="Widowed"/>
    <s v="Production Technician I"/>
    <s v="Terminated"/>
    <s v="Full-Time"/>
    <s v="Zone B"/>
    <s v="Production       "/>
    <s v="Field Operations"/>
    <s v="Hispanic"/>
    <s v="Fully Meets"/>
    <n v="5"/>
  </r>
  <r>
    <x v="2533"/>
    <x v="2"/>
    <x v="454"/>
    <s v="68-77"/>
    <n v="73"/>
    <d v="1947-12-26T00:00:00"/>
    <s v="Massachusetts"/>
    <s v="MA"/>
    <s v="Female"/>
    <s v="Married"/>
    <s v="Production Technician I"/>
    <s v="Active"/>
    <s v="Full-Time"/>
    <s v="Zone B"/>
    <s v="Production       "/>
    <s v="Engineers"/>
    <s v="White"/>
    <s v="Fully Meets"/>
    <n v="5"/>
  </r>
  <r>
    <x v="2534"/>
    <x v="1"/>
    <x v="989"/>
    <s v="68-77"/>
    <n v="73"/>
    <d v="1946-11-24T00:00:00"/>
    <s v="Massachusetts"/>
    <s v="MA"/>
    <s v="Male"/>
    <s v="Single"/>
    <s v="Production Technician I"/>
    <s v="Active"/>
    <s v="Full-Time"/>
    <s v="Zone C"/>
    <s v="Production       "/>
    <s v="Aerial"/>
    <s v="Black"/>
    <s v="Needs Improvement"/>
    <n v="4"/>
  </r>
  <r>
    <x v="2535"/>
    <x v="0"/>
    <x v="1394"/>
    <s v="68-77"/>
    <n v="73"/>
    <d v="1945-05-22T00:00:00"/>
    <s v="Massachusetts"/>
    <s v="MA"/>
    <s v="Female"/>
    <s v="Single"/>
    <s v="Production Technician I"/>
    <s v="Active"/>
    <s v="Full-Time"/>
    <s v="Zone B"/>
    <s v="Production       "/>
    <s v="Executive"/>
    <s v="Hispanic"/>
    <s v="Fully Meets"/>
    <n v="1"/>
  </r>
  <r>
    <x v="2536"/>
    <x v="5"/>
    <x v="643"/>
    <s v="68-77"/>
    <n v="73"/>
    <d v="1950-01-17T00:00:00"/>
    <s v="Massachusetts"/>
    <s v="MA"/>
    <s v="Female"/>
    <s v="Widowed"/>
    <s v="Production Technician I"/>
    <s v="Active"/>
    <s v="Full-Time"/>
    <s v="Zone C"/>
    <s v="Production       "/>
    <s v="Technology / It"/>
    <s v="White"/>
    <s v="Fully Meets"/>
    <n v="4"/>
  </r>
  <r>
    <x v="2537"/>
    <x v="5"/>
    <x v="972"/>
    <s v="68-77"/>
    <n v="73"/>
    <d v="1950-01-13T00:00:00"/>
    <s v="Massachusetts"/>
    <s v="MA"/>
    <s v="Female"/>
    <s v="Widowed"/>
    <s v="Production Technician I"/>
    <s v="Active"/>
    <s v="Part-Time"/>
    <s v="Zone B"/>
    <s v="Production       "/>
    <s v="Engineers"/>
    <s v="Asian"/>
    <s v="Fully Meets"/>
    <n v="2"/>
  </r>
  <r>
    <x v="2538"/>
    <x v="4"/>
    <x v="881"/>
    <s v="68-77"/>
    <n v="73"/>
    <d v="1949-11-20T00:00:00"/>
    <s v="Massachusetts"/>
    <s v="MA"/>
    <s v="Female"/>
    <s v="Married"/>
    <s v="Production Technician I"/>
    <s v="Terminated"/>
    <s v="Full-Time"/>
    <s v="Zone B"/>
    <s v="Production       "/>
    <s v="Aerial"/>
    <s v="Hispanic"/>
    <s v="Fully Meets"/>
    <n v="2"/>
  </r>
  <r>
    <x v="2539"/>
    <x v="3"/>
    <x v="276"/>
    <s v="68-77"/>
    <n v="73"/>
    <d v="1948-10-20T00:00:00"/>
    <s v="Massachusetts"/>
    <s v="MA"/>
    <s v="Male"/>
    <s v="Divorced"/>
    <s v="Production Manager"/>
    <s v="Active"/>
    <s v="Contract"/>
    <s v="Zone C"/>
    <s v="Production       "/>
    <s v="Executive"/>
    <s v="Black"/>
    <s v="Fully Meets"/>
    <n v="2"/>
  </r>
  <r>
    <x v="2540"/>
    <x v="2"/>
    <x v="1395"/>
    <s v="68-77"/>
    <n v="73"/>
    <d v="1947-09-04T00:00:00"/>
    <s v="Massachusetts"/>
    <s v="MA"/>
    <s v="Female"/>
    <s v="Single"/>
    <s v="Production Manager"/>
    <s v="Active"/>
    <s v="Full-Time"/>
    <s v="Zone A"/>
    <s v="Production       "/>
    <s v="Underground"/>
    <s v="Black"/>
    <s v="Fully Meets"/>
    <n v="1"/>
  </r>
  <r>
    <x v="2541"/>
    <x v="2"/>
    <x v="644"/>
    <s v="68-77"/>
    <n v="73"/>
    <d v="1947-03-17T00:00:00"/>
    <s v="Massachusetts"/>
    <s v="MA"/>
    <s v="Female"/>
    <s v="Single"/>
    <s v="Production Manager"/>
    <s v="Active"/>
    <s v="Full-Time"/>
    <s v="Zone B"/>
    <s v="Production       "/>
    <s v="People Services"/>
    <s v="Other"/>
    <s v="Fully Meets"/>
    <n v="1"/>
  </r>
  <r>
    <x v="2542"/>
    <x v="1"/>
    <x v="376"/>
    <s v="68-77"/>
    <n v="73"/>
    <d v="1946-02-15T00:00:00"/>
    <s v="Massachusetts"/>
    <s v="MA"/>
    <s v="Female"/>
    <s v="Married"/>
    <s v="IT Support"/>
    <s v="Active"/>
    <s v="Contract"/>
    <s v="Zone C"/>
    <s v="IT/IS"/>
    <s v="Wireless"/>
    <s v="Asian"/>
    <s v="Fully Meets"/>
    <n v="3"/>
  </r>
  <r>
    <x v="2543"/>
    <x v="4"/>
    <x v="1396"/>
    <s v="68-77"/>
    <n v="73"/>
    <d v="1949-12-08T00:00:00"/>
    <s v="Connecticut"/>
    <s v="CT"/>
    <s v="Female"/>
    <s v="Married"/>
    <s v="IT Manager - Support"/>
    <s v="Active"/>
    <s v="Contract"/>
    <s v="Zone C"/>
    <s v="IT/IS"/>
    <s v="Field Operations"/>
    <s v="Other"/>
    <s v="Fully Meets"/>
    <n v="2"/>
  </r>
  <r>
    <x v="2544"/>
    <x v="1"/>
    <x v="971"/>
    <s v="68-77"/>
    <n v="73"/>
    <d v="1946-12-02T00:00:00"/>
    <s v="Texas"/>
    <s v="TX"/>
    <s v="Male"/>
    <s v="Single"/>
    <s v="Database Administrator"/>
    <s v="Active"/>
    <s v="Contract"/>
    <s v="Zone A"/>
    <s v="IT/IS"/>
    <s v="Engineers"/>
    <s v="Black"/>
    <s v="Needs Improvement"/>
    <n v="4"/>
  </r>
  <r>
    <x v="2545"/>
    <x v="1"/>
    <x v="654"/>
    <s v="68-77"/>
    <n v="73"/>
    <d v="1946-12-08T00:00:00"/>
    <s v="Massachusetts"/>
    <s v="MA"/>
    <s v="Female"/>
    <s v="Widowed"/>
    <s v="Database Administrator"/>
    <s v="Active"/>
    <s v="Full-Time"/>
    <s v="Zone A"/>
    <s v="IT/IS"/>
    <s v="Wireline Construction"/>
    <s v="Black"/>
    <s v="Exceeds"/>
    <n v="5"/>
  </r>
  <r>
    <x v="2546"/>
    <x v="2"/>
    <x v="707"/>
    <s v="68-77"/>
    <n v="73"/>
    <d v="1947-05-12T00:00:00"/>
    <s v="Massachusetts"/>
    <s v="MA"/>
    <s v="Female"/>
    <s v="Married"/>
    <s v="Data Architect"/>
    <s v="Active"/>
    <s v="Full-Time"/>
    <s v="Zone B"/>
    <s v="IT/IS"/>
    <s v="General - Con"/>
    <s v="Other"/>
    <s v="Needs Improvement"/>
    <n v="4"/>
  </r>
  <r>
    <x v="2547"/>
    <x v="1"/>
    <x v="1397"/>
    <s v="68-77"/>
    <n v="73"/>
    <d v="1946-02-27T00:00:00"/>
    <s v="Massachusetts"/>
    <s v="MA"/>
    <s v="Male"/>
    <s v="Widowed"/>
    <s v="BI Director"/>
    <s v="Terminated"/>
    <s v="Part-Time"/>
    <s v="Zone C"/>
    <s v="IT/IS"/>
    <s v="Engineers"/>
    <s v="Asian"/>
    <s v="Fully Meets"/>
    <n v="1"/>
  </r>
  <r>
    <x v="2548"/>
    <x v="1"/>
    <x v="602"/>
    <s v="68-77"/>
    <n v="73"/>
    <d v="1946-09-23T00:00:00"/>
    <s v="Massachusetts"/>
    <s v="MA"/>
    <s v="Female"/>
    <s v="Single"/>
    <s v="BI Developer"/>
    <s v="Terminated"/>
    <s v="Contract"/>
    <s v="Zone A"/>
    <s v="IT/IS"/>
    <s v="Wireline Construction"/>
    <s v="Black"/>
    <s v="Fully Meets"/>
    <n v="2"/>
  </r>
  <r>
    <x v="2549"/>
    <x v="1"/>
    <x v="392"/>
    <s v="68-77"/>
    <n v="73"/>
    <d v="1946-01-04T00:00:00"/>
    <s v="Massachusetts"/>
    <s v="MA"/>
    <s v="Female"/>
    <s v="Married"/>
    <s v="BI Developer"/>
    <s v="Terminated"/>
    <s v="Part-Time"/>
    <s v="Zone B"/>
    <s v="IT/IS"/>
    <s v="Field Operations"/>
    <s v="Hispanic"/>
    <s v="Fully Meets"/>
    <n v="2"/>
  </r>
  <r>
    <x v="2550"/>
    <x v="4"/>
    <x v="1398"/>
    <s v="68-77"/>
    <n v="73"/>
    <d v="1949-11-11T00:00:00"/>
    <s v="Texas"/>
    <s v="TX"/>
    <s v="Male"/>
    <s v="Widowed"/>
    <s v="Area Sales Manager"/>
    <s v="Active"/>
    <s v="Part-Time"/>
    <s v="Zone B"/>
    <s v="Sales"/>
    <s v="Engineers"/>
    <s v="Asian"/>
    <s v="Fully Meets"/>
    <n v="5"/>
  </r>
  <r>
    <x v="2551"/>
    <x v="2"/>
    <x v="1399"/>
    <s v="68-77"/>
    <n v="73"/>
    <d v="1947-06-27T00:00:00"/>
    <s v="Tennessee"/>
    <s v="TN"/>
    <s v="Male"/>
    <s v="Married"/>
    <s v="Area Sales Manager"/>
    <s v="Active"/>
    <s v="Contract"/>
    <s v="Zone C"/>
    <s v="Sales"/>
    <s v="Wireline Construction"/>
    <s v="Asian"/>
    <s v="Fully Meets"/>
    <n v="3"/>
  </r>
  <r>
    <x v="2552"/>
    <x v="2"/>
    <x v="1400"/>
    <s v="68-77"/>
    <n v="73"/>
    <d v="1947-08-23T00:00:00"/>
    <s v="Kentucky"/>
    <s v="KY"/>
    <s v="Female"/>
    <s v="Divorced"/>
    <s v="Area Sales Manager"/>
    <s v="Active"/>
    <s v="Full-Time"/>
    <s v="Zone B"/>
    <s v="Sales"/>
    <s v="Engineers"/>
    <s v="White"/>
    <s v="Needs Improvement"/>
    <n v="1"/>
  </r>
  <r>
    <x v="2553"/>
    <x v="5"/>
    <x v="188"/>
    <s v="68-77"/>
    <n v="73"/>
    <d v="1950-10-01T00:00:00"/>
    <s v="Colorado"/>
    <s v="CO"/>
    <s v="Male"/>
    <s v="Widowed"/>
    <s v="Area Sales Manager"/>
    <s v="Active"/>
    <s v="Part-Time"/>
    <s v="Zone A"/>
    <s v="Sales"/>
    <s v="Shop (Fleet)"/>
    <s v="Hispanic"/>
    <s v="Exceeds"/>
    <n v="4"/>
  </r>
  <r>
    <x v="2554"/>
    <x v="2"/>
    <x v="1401"/>
    <s v="68-77"/>
    <n v="73"/>
    <d v="1947-07-14T00:00:00"/>
    <s v="Massachusetts"/>
    <s v="MA"/>
    <s v="Female"/>
    <s v="Married"/>
    <s v="Accountant I"/>
    <s v="Active"/>
    <s v="Full-Time"/>
    <s v="Zone A"/>
    <s v="Admin Offices"/>
    <s v="Field Operations"/>
    <s v="Black"/>
    <s v="Fully Meets"/>
    <n v="1"/>
  </r>
  <r>
    <x v="2555"/>
    <x v="2"/>
    <x v="478"/>
    <s v="68-77"/>
    <n v="74"/>
    <d v="1946-03-04T00:00:00"/>
    <s v="Massachusetts"/>
    <s v="MA"/>
    <s v="Male"/>
    <s v="Single"/>
    <s v="Sr. Network Engineer"/>
    <s v="Active"/>
    <s v="Part-Time"/>
    <s v="Zone A"/>
    <s v="IT/IS"/>
    <s v="Field Operations"/>
    <s v="White"/>
    <s v="Fully Meets"/>
    <n v="1"/>
  </r>
  <r>
    <x v="2556"/>
    <x v="3"/>
    <x v="1334"/>
    <s v="68-77"/>
    <n v="74"/>
    <d v="1947-11-24T00:00:00"/>
    <s v="Massachusetts"/>
    <s v="MA"/>
    <s v="Female"/>
    <s v="Divorced"/>
    <s v="Software Engineer"/>
    <s v="Active"/>
    <s v="Contract"/>
    <s v="Zone A"/>
    <s v="Software Engineering"/>
    <s v="General - Con"/>
    <s v="White"/>
    <s v="Fully Meets"/>
    <n v="5"/>
  </r>
  <r>
    <x v="2557"/>
    <x v="3"/>
    <x v="47"/>
    <s v="68-77"/>
    <n v="74"/>
    <d v="1947-11-24T00:00:00"/>
    <s v="Massachusetts"/>
    <s v="MA"/>
    <s v="Female"/>
    <s v="Single"/>
    <s v="Software Engineer"/>
    <s v="Active"/>
    <s v="Contract"/>
    <s v="Zone A"/>
    <s v="Software Engineering"/>
    <s v="Field Operations"/>
    <s v="Hispanic"/>
    <s v="Fully Meets"/>
    <n v="2"/>
  </r>
  <r>
    <x v="2558"/>
    <x v="4"/>
    <x v="116"/>
    <s v="68-77"/>
    <n v="74"/>
    <d v="1948-02-22T00:00:00"/>
    <s v="Massachusetts"/>
    <s v="MA"/>
    <s v="Male"/>
    <s v="Married"/>
    <s v="Software Engineer"/>
    <s v="Terminated"/>
    <s v="Contract"/>
    <s v="Zone A"/>
    <s v="Software Engineering"/>
    <s v="General - Con"/>
    <s v="Hispanic"/>
    <s v="Fully Meets"/>
    <n v="2"/>
  </r>
  <r>
    <x v="2559"/>
    <x v="2"/>
    <x v="1053"/>
    <s v="68-77"/>
    <n v="74"/>
    <d v="1946-03-28T00:00:00"/>
    <s v="Massachusetts"/>
    <s v="MA"/>
    <s v="Female"/>
    <s v="Widowed"/>
    <s v="Senior BI Developer"/>
    <s v="Active"/>
    <s v="Part-Time"/>
    <s v="Zone A"/>
    <s v="Admin Offices"/>
    <s v="Field Operations"/>
    <s v="Black"/>
    <s v="Fully Meets"/>
    <n v="1"/>
  </r>
  <r>
    <x v="2560"/>
    <x v="4"/>
    <x v="1389"/>
    <s v="68-77"/>
    <n v="74"/>
    <d v="1948-06-27T00:00:00"/>
    <s v="Massachusetts"/>
    <s v="MA"/>
    <s v="Female"/>
    <s v="Divorced"/>
    <s v="Production Technician II"/>
    <s v="Active"/>
    <s v="Contract"/>
    <s v="Zone A"/>
    <s v="Production       "/>
    <s v="Aerial"/>
    <s v="Other"/>
    <s v="Exceeds"/>
    <n v="3"/>
  </r>
  <r>
    <x v="2561"/>
    <x v="2"/>
    <x v="1167"/>
    <s v="68-77"/>
    <n v="74"/>
    <d v="1946-01-27T00:00:00"/>
    <s v="Massachusetts"/>
    <s v="MA"/>
    <s v="Female"/>
    <s v="Married"/>
    <s v="Production Technician II"/>
    <s v="Active"/>
    <s v="Contract"/>
    <s v="Zone B"/>
    <s v="Production       "/>
    <s v="Engineers"/>
    <s v="Hispanic"/>
    <s v="Fully Meets"/>
    <n v="3"/>
  </r>
  <r>
    <x v="2562"/>
    <x v="5"/>
    <x v="1055"/>
    <s v="68-77"/>
    <n v="74"/>
    <d v="1949-02-07T00:00:00"/>
    <s v="Massachusetts"/>
    <s v="MA"/>
    <s v="Female"/>
    <s v="Widowed"/>
    <s v="Production Technician II"/>
    <s v="Terminated"/>
    <s v="Contract"/>
    <s v="Zone C"/>
    <s v="Production       "/>
    <s v="Project Management - Con"/>
    <s v="Black"/>
    <s v="Fully Meets"/>
    <n v="1"/>
  </r>
  <r>
    <x v="2563"/>
    <x v="3"/>
    <x v="1154"/>
    <s v="68-77"/>
    <n v="74"/>
    <d v="1947-03-22T00:00:00"/>
    <s v="Massachusetts"/>
    <s v="MA"/>
    <s v="Male"/>
    <s v="Divorced"/>
    <s v="Production Technician II"/>
    <s v="Active"/>
    <s v="Contract"/>
    <s v="Zone B"/>
    <s v="Production       "/>
    <s v="Engineers"/>
    <s v="Black"/>
    <s v="Fully Meets"/>
    <n v="4"/>
  </r>
  <r>
    <x v="2564"/>
    <x v="3"/>
    <x v="1402"/>
    <s v="68-77"/>
    <n v="74"/>
    <d v="1947-09-08T00:00:00"/>
    <s v="Massachusetts"/>
    <s v="MA"/>
    <s v="Male"/>
    <s v="Divorced"/>
    <s v="Production Technician II"/>
    <s v="Terminated"/>
    <s v="Full-Time"/>
    <s v="Zone A"/>
    <s v="Production       "/>
    <s v="General - Con"/>
    <s v="Other"/>
    <s v="Fully Meets"/>
    <n v="2"/>
  </r>
  <r>
    <x v="2565"/>
    <x v="3"/>
    <x v="546"/>
    <s v="68-77"/>
    <n v="74"/>
    <d v="1947-03-28T00:00:00"/>
    <s v="Massachusetts"/>
    <s v="MA"/>
    <s v="Male"/>
    <s v="Divorced"/>
    <s v="Production Technician I"/>
    <s v="Active"/>
    <s v="Full-Time"/>
    <s v="Zone A"/>
    <s v="Production       "/>
    <s v="Field Operations"/>
    <s v="White"/>
    <s v="Fully Meets"/>
    <n v="3"/>
  </r>
  <r>
    <x v="2566"/>
    <x v="4"/>
    <x v="1214"/>
    <s v="68-77"/>
    <n v="74"/>
    <d v="1948-10-17T00:00:00"/>
    <s v="Massachusetts"/>
    <s v="MA"/>
    <s v="Male"/>
    <s v="Divorced"/>
    <s v="Production Technician I"/>
    <s v="Terminated"/>
    <s v="Contract"/>
    <s v="Zone A"/>
    <s v="Production       "/>
    <s v="Fielders"/>
    <s v="Other"/>
    <s v="Fully Meets"/>
    <n v="4"/>
  </r>
  <r>
    <x v="2567"/>
    <x v="2"/>
    <x v="1403"/>
    <s v="68-77"/>
    <n v="74"/>
    <d v="1946-10-05T00:00:00"/>
    <s v="Massachusetts"/>
    <s v="MA"/>
    <s v="Female"/>
    <s v="Widowed"/>
    <s v="Production Technician I"/>
    <s v="Terminated"/>
    <s v="Full-Time"/>
    <s v="Zone A"/>
    <s v="Production       "/>
    <s v="Project Management - Con"/>
    <s v="Other"/>
    <s v="Exceeds"/>
    <n v="2"/>
  </r>
  <r>
    <x v="2568"/>
    <x v="1"/>
    <x v="19"/>
    <s v="68-77"/>
    <n v="74"/>
    <d v="1945-03-07T00:00:00"/>
    <s v="Massachusetts"/>
    <s v="MA"/>
    <s v="Male"/>
    <s v="Divorced"/>
    <s v="Production Technician I"/>
    <s v="Active"/>
    <s v="Full-Time"/>
    <s v="Zone C"/>
    <s v="Production       "/>
    <s v="Field Operations"/>
    <s v="Other"/>
    <s v="Needs Improvement"/>
    <n v="3"/>
  </r>
  <r>
    <x v="2569"/>
    <x v="3"/>
    <x v="390"/>
    <s v="68-77"/>
    <n v="74"/>
    <d v="1947-01-19T00:00:00"/>
    <s v="Massachusetts"/>
    <s v="MA"/>
    <s v="Female"/>
    <s v="Married"/>
    <s v="Production Technician I"/>
    <s v="Active"/>
    <s v="Full-Time"/>
    <s v="Zone C"/>
    <s v="Production       "/>
    <s v="Field Operations"/>
    <s v="Asian"/>
    <s v="Fully Meets"/>
    <n v="4"/>
  </r>
  <r>
    <x v="2570"/>
    <x v="5"/>
    <x v="1404"/>
    <s v="68-77"/>
    <n v="74"/>
    <d v="1949-03-07T00:00:00"/>
    <s v="Massachusetts"/>
    <s v="MA"/>
    <s v="Female"/>
    <s v="Married"/>
    <s v="Production Technician I"/>
    <s v="Active"/>
    <s v="Part-Time"/>
    <s v="Zone B"/>
    <s v="Production       "/>
    <s v="Catv"/>
    <s v="Hispanic"/>
    <s v="Fully Meets"/>
    <n v="4"/>
  </r>
  <r>
    <x v="2571"/>
    <x v="3"/>
    <x v="1405"/>
    <s v="68-77"/>
    <n v="74"/>
    <d v="1947-08-03T00:00:00"/>
    <s v="Massachusetts"/>
    <s v="MA"/>
    <s v="Male"/>
    <s v="Widowed"/>
    <s v="Production Technician I"/>
    <s v="Active"/>
    <s v="Part-Time"/>
    <s v="Zone B"/>
    <s v="Production       "/>
    <s v="Field Operations"/>
    <s v="Hispanic"/>
    <s v="Fully Meets"/>
    <n v="4"/>
  </r>
  <r>
    <x v="2572"/>
    <x v="2"/>
    <x v="1286"/>
    <s v="68-77"/>
    <n v="74"/>
    <d v="1946-06-24T00:00:00"/>
    <s v="Massachusetts"/>
    <s v="MA"/>
    <s v="Female"/>
    <s v="Married"/>
    <s v="Production Technician I"/>
    <s v="Active"/>
    <s v="Full-Time"/>
    <s v="Zone C"/>
    <s v="Production       "/>
    <s v="Aerial"/>
    <s v="Hispanic"/>
    <s v="Fully Meets"/>
    <n v="5"/>
  </r>
  <r>
    <x v="2573"/>
    <x v="4"/>
    <x v="632"/>
    <s v="68-77"/>
    <n v="74"/>
    <d v="1948-10-24T00:00:00"/>
    <s v="Massachusetts"/>
    <s v="MA"/>
    <s v="Female"/>
    <s v="Single"/>
    <s v="Production Technician I"/>
    <s v="Active"/>
    <s v="Full-Time"/>
    <s v="Zone B"/>
    <s v="Production       "/>
    <s v="General - Con"/>
    <s v="Black"/>
    <s v="Fully Meets"/>
    <n v="1"/>
  </r>
  <r>
    <x v="2574"/>
    <x v="5"/>
    <x v="465"/>
    <s v="68-77"/>
    <n v="74"/>
    <d v="1949-01-02T00:00:00"/>
    <s v="Massachusetts"/>
    <s v="MA"/>
    <s v="Female"/>
    <s v="Married"/>
    <s v="Production Technician I"/>
    <s v="Active"/>
    <s v="Full-Time"/>
    <s v="Zone A"/>
    <s v="Production       "/>
    <s v="Engineers"/>
    <s v="Black"/>
    <s v="Fully Meets"/>
    <n v="3"/>
  </r>
  <r>
    <x v="2575"/>
    <x v="3"/>
    <x v="1406"/>
    <s v="68-77"/>
    <n v="74"/>
    <d v="1947-12-11T00:00:00"/>
    <s v="Massachusetts"/>
    <s v="MA"/>
    <s v="Male"/>
    <s v="Married"/>
    <s v="Production Technician I"/>
    <s v="Active"/>
    <s v="Contract"/>
    <s v="Zone B"/>
    <s v="Production       "/>
    <s v="General - Con"/>
    <s v="White"/>
    <s v="Fully Meets"/>
    <n v="2"/>
  </r>
  <r>
    <x v="2576"/>
    <x v="2"/>
    <x v="1407"/>
    <s v="68-77"/>
    <n v="74"/>
    <d v="1946-12-30T00:00:00"/>
    <s v="Massachusetts"/>
    <s v="MA"/>
    <s v="Female"/>
    <s v="Divorced"/>
    <s v="Production Technician I"/>
    <s v="Terminated"/>
    <s v="Contract"/>
    <s v="Zone A"/>
    <s v="Production       "/>
    <s v="General - Con"/>
    <s v="Other"/>
    <s v="Fully Meets"/>
    <n v="1"/>
  </r>
  <r>
    <x v="2577"/>
    <x v="1"/>
    <x v="43"/>
    <s v="68-77"/>
    <n v="74"/>
    <d v="1945-09-20T00:00:00"/>
    <s v="Massachusetts"/>
    <s v="MA"/>
    <s v="Male"/>
    <s v="Married"/>
    <s v="Production Technician I"/>
    <s v="Terminated"/>
    <s v="Full-Time"/>
    <s v="Zone C"/>
    <s v="Production       "/>
    <s v="Aerial"/>
    <s v="Black"/>
    <s v="Needs Improvement"/>
    <n v="2"/>
  </r>
  <r>
    <x v="2578"/>
    <x v="3"/>
    <x v="1039"/>
    <s v="68-77"/>
    <n v="74"/>
    <d v="1947-04-14T00:00:00"/>
    <s v="Massachusetts"/>
    <s v="MA"/>
    <s v="Female"/>
    <s v="Widowed"/>
    <s v="Production Technician I"/>
    <s v="Active"/>
    <s v="Full-Time"/>
    <s v="Zone B"/>
    <s v="Production       "/>
    <s v="General - Con"/>
    <s v="Asian"/>
    <s v="Needs Improvement"/>
    <n v="4"/>
  </r>
  <r>
    <x v="2579"/>
    <x v="3"/>
    <x v="1408"/>
    <s v="68-77"/>
    <n v="74"/>
    <d v="1947-03-20T00:00:00"/>
    <s v="Massachusetts"/>
    <s v="MA"/>
    <s v="Female"/>
    <s v="Single"/>
    <s v="Production Technician I"/>
    <s v="Active"/>
    <s v="Part-Time"/>
    <s v="Zone C"/>
    <s v="Production       "/>
    <s v="General - Con"/>
    <s v="Other"/>
    <s v="Exceeds"/>
    <n v="4"/>
  </r>
  <r>
    <x v="2580"/>
    <x v="4"/>
    <x v="523"/>
    <s v="68-77"/>
    <n v="74"/>
    <d v="1948-08-26T00:00:00"/>
    <s v="Massachusetts"/>
    <s v="MA"/>
    <s v="Male"/>
    <s v="Married"/>
    <s v="Production Technician I"/>
    <s v="Active"/>
    <s v="Full-Time"/>
    <s v="Zone B"/>
    <s v="Production       "/>
    <s v="General - Sga"/>
    <s v="White"/>
    <s v="Fully Meets"/>
    <n v="4"/>
  </r>
  <r>
    <x v="2581"/>
    <x v="0"/>
    <x v="549"/>
    <s v="68-77"/>
    <n v="74"/>
    <d v="1944-07-22T00:00:00"/>
    <s v="Massachusetts"/>
    <s v="MA"/>
    <s v="Female"/>
    <s v="Divorced"/>
    <s v="Production Manager"/>
    <s v="Terminated"/>
    <s v="Full-Time"/>
    <s v="Zone B"/>
    <s v="Production       "/>
    <s v="Fielders"/>
    <s v="Asian"/>
    <s v="Fully Meets"/>
    <n v="2"/>
  </r>
  <r>
    <x v="2582"/>
    <x v="3"/>
    <x v="82"/>
    <s v="68-77"/>
    <n v="74"/>
    <d v="1947-05-26T00:00:00"/>
    <s v="Massachusetts"/>
    <s v="MA"/>
    <s v="Male"/>
    <s v="Married"/>
    <s v="CIO"/>
    <s v="Active"/>
    <s v="Full-Time"/>
    <s v="Zone B"/>
    <s v="IT/IS"/>
    <s v="Field Operations"/>
    <s v="Asian"/>
    <s v="Fully Meets"/>
    <n v="3"/>
  </r>
  <r>
    <x v="2583"/>
    <x v="3"/>
    <x v="1169"/>
    <s v="68-77"/>
    <n v="74"/>
    <d v="1947-11-27T00:00:00"/>
    <s v="Massachusetts"/>
    <s v="MA"/>
    <s v="Male"/>
    <s v="Single"/>
    <s v="BI Director"/>
    <s v="Active"/>
    <s v="Part-Time"/>
    <s v="Zone A"/>
    <s v="IT/IS"/>
    <s v="Field Operations"/>
    <s v="Black"/>
    <s v="Fully Meets"/>
    <n v="2"/>
  </r>
  <r>
    <x v="2584"/>
    <x v="3"/>
    <x v="1120"/>
    <s v="68-77"/>
    <n v="74"/>
    <d v="1947-09-29T00:00:00"/>
    <s v="Massachusetts"/>
    <s v="MA"/>
    <s v="Male"/>
    <s v="Divorced"/>
    <s v="BI Developer"/>
    <s v="Active"/>
    <s v="Contract"/>
    <s v="Zone A"/>
    <s v="IT/IS"/>
    <s v="Field Operations"/>
    <s v="Black"/>
    <s v="Fully Meets"/>
    <n v="4"/>
  </r>
  <r>
    <x v="2585"/>
    <x v="4"/>
    <x v="557"/>
    <s v="68-77"/>
    <n v="74"/>
    <d v="1948-05-30T00:00:00"/>
    <s v="Texas"/>
    <s v="TX"/>
    <s v="Male"/>
    <s v="Widowed"/>
    <s v="Area Sales Manager"/>
    <s v="Active"/>
    <s v="Full-Time"/>
    <s v="Zone B"/>
    <s v="Sales"/>
    <s v="General - Con"/>
    <s v="White"/>
    <s v="Fully Meets"/>
    <n v="5"/>
  </r>
  <r>
    <x v="2586"/>
    <x v="2"/>
    <x v="1409"/>
    <s v="68-77"/>
    <n v="74"/>
    <d v="1946-04-06T00:00:00"/>
    <s v="Massachusetts"/>
    <s v="MA"/>
    <s v="Male"/>
    <s v="Divorced"/>
    <s v="Area Sales Manager"/>
    <s v="Active"/>
    <s v="Contract"/>
    <s v="Zone A"/>
    <s v="Sales"/>
    <s v="Field Operations"/>
    <s v="Hispanic"/>
    <s v="Fully Meets"/>
    <n v="2"/>
  </r>
  <r>
    <x v="2587"/>
    <x v="2"/>
    <x v="772"/>
    <s v="68-77"/>
    <n v="74"/>
    <d v="1946-06-07T00:00:00"/>
    <s v="Alabama"/>
    <s v="AL"/>
    <s v="Male"/>
    <s v="Divorced"/>
    <s v="Area Sales Manager"/>
    <s v="Active"/>
    <s v="Part-Time"/>
    <s v="Zone C"/>
    <s v="Sales"/>
    <s v="Engineers"/>
    <s v="Hispanic"/>
    <s v="Fully Meets"/>
    <n v="4"/>
  </r>
  <r>
    <x v="2588"/>
    <x v="0"/>
    <x v="1054"/>
    <s v="68-77"/>
    <n v="75"/>
    <d v="1943-08-19T00:00:00"/>
    <s v="Massachusetts"/>
    <s v="MA"/>
    <s v="Female"/>
    <s v="Divorced"/>
    <s v="Sr. Accountant"/>
    <s v="Active"/>
    <s v="Full-Time"/>
    <s v="Zone A"/>
    <s v="IT/IS"/>
    <s v="Wireline Construction"/>
    <s v="Black"/>
    <s v="Fully Meets"/>
    <n v="5"/>
  </r>
  <r>
    <x v="2589"/>
    <x v="2"/>
    <x v="1410"/>
    <s v="68-77"/>
    <n v="75"/>
    <d v="1945-10-25T00:00:00"/>
    <s v="Massachusetts"/>
    <s v="MA"/>
    <s v="Male"/>
    <s v="Widowed"/>
    <s v="Software Engineering Manager"/>
    <s v="Active"/>
    <s v="Part-Time"/>
    <s v="Zone B"/>
    <s v="Software Engineering"/>
    <s v="Wireless"/>
    <s v="White"/>
    <s v="Fully Meets"/>
    <n v="5"/>
  </r>
  <r>
    <x v="2590"/>
    <x v="3"/>
    <x v="944"/>
    <s v="68-77"/>
    <n v="75"/>
    <d v="1946-12-27T00:00:00"/>
    <s v="Massachusetts"/>
    <s v="MA"/>
    <s v="Male"/>
    <s v="Single"/>
    <s v="Software Engineer"/>
    <s v="Active"/>
    <s v="Full-Time"/>
    <s v="Zone C"/>
    <s v="Software Engineering"/>
    <s v="Engineers"/>
    <s v="Asian"/>
    <s v="Fully Meets"/>
    <n v="3"/>
  </r>
  <r>
    <x v="2591"/>
    <x v="1"/>
    <x v="731"/>
    <s v="68-77"/>
    <n v="75"/>
    <d v="1944-05-28T00:00:00"/>
    <s v="Massachusetts"/>
    <s v="MA"/>
    <s v="Male"/>
    <s v="Single"/>
    <s v="Software Engineer"/>
    <s v="Active"/>
    <s v="Contract"/>
    <s v="Zone A"/>
    <s v="Software Engineering"/>
    <s v="General - Con"/>
    <s v="Black"/>
    <s v="Fully Meets"/>
    <n v="5"/>
  </r>
  <r>
    <x v="2592"/>
    <x v="5"/>
    <x v="1411"/>
    <s v="68-77"/>
    <n v="75"/>
    <d v="1948-09-14T00:00:00"/>
    <s v="Massachusetts"/>
    <s v="MA"/>
    <s v="Female"/>
    <s v="Widowed"/>
    <s v="Production Technician II"/>
    <s v="Terminated"/>
    <s v="Full-Time"/>
    <s v="Zone A"/>
    <s v="Production       "/>
    <s v="Field Operations"/>
    <s v="Hispanic"/>
    <s v="Fully Meets"/>
    <n v="5"/>
  </r>
  <r>
    <x v="2593"/>
    <x v="4"/>
    <x v="1412"/>
    <s v="68-77"/>
    <n v="75"/>
    <d v="1947-07-08T00:00:00"/>
    <s v="Massachusetts"/>
    <s v="MA"/>
    <s v="Female"/>
    <s v="Divorced"/>
    <s v="Production Technician II"/>
    <s v="Active"/>
    <s v="Contract"/>
    <s v="Zone B"/>
    <s v="Production       "/>
    <s v="Underground"/>
    <s v="Hispanic"/>
    <s v="Fully Meets"/>
    <n v="2"/>
  </r>
  <r>
    <x v="2594"/>
    <x v="3"/>
    <x v="135"/>
    <s v="68-77"/>
    <n v="75"/>
    <d v="1946-09-15T00:00:00"/>
    <s v="Massachusetts"/>
    <s v="MA"/>
    <s v="Female"/>
    <s v="Married"/>
    <s v="Production Technician II"/>
    <s v="Terminated"/>
    <s v="Contract"/>
    <s v="Zone C"/>
    <s v="Production       "/>
    <s v="Field Operations"/>
    <s v="Other"/>
    <s v="Fully Meets"/>
    <n v="1"/>
  </r>
  <r>
    <x v="2595"/>
    <x v="3"/>
    <x v="768"/>
    <s v="68-77"/>
    <n v="75"/>
    <d v="1946-11-15T00:00:00"/>
    <s v="Massachusetts"/>
    <s v="MA"/>
    <s v="Female"/>
    <s v="Widowed"/>
    <s v="Production Technician II"/>
    <s v="Active"/>
    <s v="Full-Time"/>
    <s v="Zone C"/>
    <s v="Production       "/>
    <s v="Field Operations"/>
    <s v="Asian"/>
    <s v="Needs Improvement"/>
    <n v="3"/>
  </r>
  <r>
    <x v="2596"/>
    <x v="3"/>
    <x v="207"/>
    <s v="68-77"/>
    <n v="75"/>
    <d v="1946-11-27T00:00:00"/>
    <s v="Massachusetts"/>
    <s v="MA"/>
    <s v="Male"/>
    <s v="Married"/>
    <s v="Production Technician II"/>
    <s v="Active"/>
    <s v="Full-Time"/>
    <s v="Zone B"/>
    <s v="Production       "/>
    <s v="Field Operations"/>
    <s v="White"/>
    <s v="Fully Meets"/>
    <n v="1"/>
  </r>
  <r>
    <x v="2597"/>
    <x v="4"/>
    <x v="1413"/>
    <s v="68-77"/>
    <n v="75"/>
    <d v="1947-12-11T00:00:00"/>
    <s v="Massachusetts"/>
    <s v="MA"/>
    <s v="Female"/>
    <s v="Divorced"/>
    <s v="Production Technician II"/>
    <s v="Active"/>
    <s v="Part-Time"/>
    <s v="Zone B"/>
    <s v="Production       "/>
    <s v="General - Sga"/>
    <s v="White"/>
    <s v="Fully Meets"/>
    <n v="5"/>
  </r>
  <r>
    <x v="2598"/>
    <x v="5"/>
    <x v="1311"/>
    <s v="68-77"/>
    <n v="75"/>
    <d v="1948-05-12T00:00:00"/>
    <s v="Massachusetts"/>
    <s v="MA"/>
    <s v="Female"/>
    <s v="Married"/>
    <s v="Production Technician II"/>
    <s v="Active"/>
    <s v="Part-Time"/>
    <s v="Zone A"/>
    <s v="Production       "/>
    <s v="General - Con"/>
    <s v="Asian"/>
    <s v="Fully Meets"/>
    <n v="3"/>
  </r>
  <r>
    <x v="2599"/>
    <x v="0"/>
    <x v="1183"/>
    <s v="68-77"/>
    <n v="75"/>
    <d v="1943-01-04T00:00:00"/>
    <s v="Massachusetts"/>
    <s v="MA"/>
    <s v="Female"/>
    <s v="Married"/>
    <s v="Production Technician II"/>
    <s v="Terminated"/>
    <s v="Part-Time"/>
    <s v="Zone C"/>
    <s v="Production       "/>
    <s v="People Services"/>
    <s v="White"/>
    <s v="Needs Improvement"/>
    <n v="3"/>
  </r>
  <r>
    <x v="2600"/>
    <x v="2"/>
    <x v="1265"/>
    <s v="68-77"/>
    <n v="75"/>
    <d v="1945-06-29T00:00:00"/>
    <s v="Massachusetts"/>
    <s v="MA"/>
    <s v="Female"/>
    <s v="Divorced"/>
    <s v="Production Technician II"/>
    <s v="Active"/>
    <s v="Part-Time"/>
    <s v="Zone C"/>
    <s v="Production       "/>
    <s v="General - Con"/>
    <s v="Black"/>
    <s v="Needs Improvement"/>
    <n v="3"/>
  </r>
  <r>
    <x v="2601"/>
    <x v="1"/>
    <x v="12"/>
    <s v="68-77"/>
    <n v="75"/>
    <d v="1944-07-04T00:00:00"/>
    <s v="Massachusetts"/>
    <s v="MA"/>
    <s v="Female"/>
    <s v="Divorced"/>
    <s v="Production Technician II"/>
    <s v="Active"/>
    <s v="Part-Time"/>
    <s v="Zone B"/>
    <s v="Production       "/>
    <s v="Shop (Fleet)"/>
    <s v="White"/>
    <s v="Needs Improvement"/>
    <n v="2"/>
  </r>
  <r>
    <x v="2602"/>
    <x v="3"/>
    <x v="1414"/>
    <s v="68-77"/>
    <n v="75"/>
    <d v="1946-09-03T00:00:00"/>
    <s v="Massachusetts"/>
    <s v="MA"/>
    <s v="Female"/>
    <s v="Divorced"/>
    <s v="Production Technician II"/>
    <s v="Active"/>
    <s v="Part-Time"/>
    <s v="Zone C"/>
    <s v="Production       "/>
    <s v="Engineers"/>
    <s v="Black"/>
    <s v="Needs Improvement"/>
    <n v="4"/>
  </r>
  <r>
    <x v="2603"/>
    <x v="3"/>
    <x v="66"/>
    <s v="68-77"/>
    <n v="75"/>
    <d v="1946-02-14T00:00:00"/>
    <s v="Massachusetts"/>
    <s v="MA"/>
    <s v="Female"/>
    <s v="Widowed"/>
    <s v="Production Technician II"/>
    <s v="Active"/>
    <s v="Part-Time"/>
    <s v="Zone A"/>
    <s v="Production       "/>
    <s v="Wireline Construction"/>
    <s v="Black"/>
    <s v="Fully Meets"/>
    <n v="1"/>
  </r>
  <r>
    <x v="2604"/>
    <x v="4"/>
    <x v="235"/>
    <s v="68-77"/>
    <n v="75"/>
    <d v="1947-05-19T00:00:00"/>
    <s v="Massachusetts"/>
    <s v="MA"/>
    <s v="Male"/>
    <s v="Married"/>
    <s v="Production Technician II"/>
    <s v="Terminated"/>
    <s v="Part-Time"/>
    <s v="Zone B"/>
    <s v="Production       "/>
    <s v="General - Con"/>
    <s v="Other"/>
    <s v="Exceeds"/>
    <n v="3"/>
  </r>
  <r>
    <x v="2605"/>
    <x v="1"/>
    <x v="602"/>
    <s v="68-77"/>
    <n v="75"/>
    <d v="1944-09-02T00:00:00"/>
    <s v="Massachusetts"/>
    <s v="MA"/>
    <s v="Female"/>
    <s v="Divorced"/>
    <s v="Production Technician II"/>
    <s v="Terminated"/>
    <s v="Contract"/>
    <s v="Zone B"/>
    <s v="Production       "/>
    <s v="Field Operations"/>
    <s v="Hispanic"/>
    <s v="Exceeds"/>
    <n v="4"/>
  </r>
  <r>
    <x v="2606"/>
    <x v="1"/>
    <x v="1162"/>
    <s v="68-77"/>
    <n v="75"/>
    <d v="1944-08-20T00:00:00"/>
    <s v="Massachusetts"/>
    <s v="MA"/>
    <s v="Female"/>
    <s v="Divorced"/>
    <s v="Production Technician I"/>
    <s v="Active"/>
    <s v="Part-Time"/>
    <s v="Zone B"/>
    <s v="Production       "/>
    <s v="Field Operations"/>
    <s v="White"/>
    <s v="Exceeds"/>
    <n v="4"/>
  </r>
  <r>
    <x v="2607"/>
    <x v="4"/>
    <x v="701"/>
    <s v="68-77"/>
    <n v="75"/>
    <d v="1947-04-28T00:00:00"/>
    <s v="Massachusetts"/>
    <s v="MA"/>
    <s v="Male"/>
    <s v="Divorced"/>
    <s v="Production Technician I"/>
    <s v="Active"/>
    <s v="Contract"/>
    <s v="Zone C"/>
    <s v="Production       "/>
    <s v="Wireline Construction"/>
    <s v="Other"/>
    <s v="Fully Meets"/>
    <n v="1"/>
  </r>
  <r>
    <x v="2608"/>
    <x v="4"/>
    <x v="1415"/>
    <s v="68-77"/>
    <n v="75"/>
    <d v="1947-08-29T00:00:00"/>
    <s v="Massachusetts"/>
    <s v="MA"/>
    <s v="Female"/>
    <s v="Widowed"/>
    <s v="Production Technician I"/>
    <s v="Terminated"/>
    <s v="Part-Time"/>
    <s v="Zone C"/>
    <s v="Production       "/>
    <s v="Field Operations"/>
    <s v="White"/>
    <s v="Fully Meets"/>
    <n v="1"/>
  </r>
  <r>
    <x v="2609"/>
    <x v="3"/>
    <x v="1184"/>
    <s v="68-77"/>
    <n v="75"/>
    <d v="1946-01-24T00:00:00"/>
    <s v="Massachusetts"/>
    <s v="MA"/>
    <s v="Female"/>
    <s v="Divorced"/>
    <s v="Production Technician I"/>
    <s v="Active"/>
    <s v="Full-Time"/>
    <s v="Zone C"/>
    <s v="Production       "/>
    <s v="General - Con"/>
    <s v="Black"/>
    <s v="PIP"/>
    <n v="1"/>
  </r>
  <r>
    <x v="2610"/>
    <x v="3"/>
    <x v="1416"/>
    <s v="68-77"/>
    <n v="75"/>
    <d v="1946-02-03T00:00:00"/>
    <s v="Massachusetts"/>
    <s v="MA"/>
    <s v="Female"/>
    <s v="Widowed"/>
    <s v="Production Technician I"/>
    <s v="Active"/>
    <s v="Part-Time"/>
    <s v="Zone A"/>
    <s v="Production       "/>
    <s v="Aerial"/>
    <s v="Asian"/>
    <s v="Fully Meets"/>
    <n v="5"/>
  </r>
  <r>
    <x v="2611"/>
    <x v="3"/>
    <x v="1417"/>
    <s v="68-77"/>
    <n v="75"/>
    <d v="1946-11-15T00:00:00"/>
    <s v="Massachusetts"/>
    <s v="MA"/>
    <s v="Male"/>
    <s v="Single"/>
    <s v="Production Technician I"/>
    <s v="Terminated"/>
    <s v="Part-Time"/>
    <s v="Zone B"/>
    <s v="Production       "/>
    <s v="Shop (Fleet)"/>
    <s v="Asian"/>
    <s v="Fully Meets"/>
    <n v="2"/>
  </r>
  <r>
    <x v="2612"/>
    <x v="5"/>
    <x v="1418"/>
    <s v="68-77"/>
    <n v="75"/>
    <d v="1948-02-08T00:00:00"/>
    <s v="Massachusetts"/>
    <s v="MA"/>
    <s v="Female"/>
    <s v="Married"/>
    <s v="Production Technician I"/>
    <s v="Active"/>
    <s v="Contract"/>
    <s v="Zone B"/>
    <s v="Production       "/>
    <s v="Project Management - Con"/>
    <s v="Black"/>
    <s v="Fully Meets"/>
    <n v="3"/>
  </r>
  <r>
    <x v="2613"/>
    <x v="4"/>
    <x v="1419"/>
    <s v="68-77"/>
    <n v="75"/>
    <d v="1947-05-02T00:00:00"/>
    <s v="Massachusetts"/>
    <s v="MA"/>
    <s v="Male"/>
    <s v="Single"/>
    <s v="Production Technician I"/>
    <s v="Terminated"/>
    <s v="Full-Time"/>
    <s v="Zone A"/>
    <s v="Production       "/>
    <s v="Finance &amp; Accounting"/>
    <s v="Asian"/>
    <s v="Fully Meets"/>
    <n v="2"/>
  </r>
  <r>
    <x v="2614"/>
    <x v="5"/>
    <x v="803"/>
    <s v="68-77"/>
    <n v="75"/>
    <d v="1948-04-03T00:00:00"/>
    <s v="Massachusetts"/>
    <s v="MA"/>
    <s v="Female"/>
    <s v="Widowed"/>
    <s v="Production Technician I"/>
    <s v="Active"/>
    <s v="Full-Time"/>
    <s v="Zone B"/>
    <s v="Production       "/>
    <s v="General - Con"/>
    <s v="Other"/>
    <s v="Fully Meets"/>
    <n v="4"/>
  </r>
  <r>
    <x v="2615"/>
    <x v="2"/>
    <x v="315"/>
    <s v="68-77"/>
    <n v="75"/>
    <d v="1945-04-09T00:00:00"/>
    <s v="Massachusetts"/>
    <s v="MA"/>
    <s v="Male"/>
    <s v="Divorced"/>
    <s v="Production Technician I"/>
    <s v="Active"/>
    <s v="Contract"/>
    <s v="Zone C"/>
    <s v="Production       "/>
    <s v="People Services"/>
    <s v="Black"/>
    <s v="Fully Meets"/>
    <n v="2"/>
  </r>
  <r>
    <x v="2616"/>
    <x v="3"/>
    <x v="276"/>
    <s v="68-77"/>
    <n v="75"/>
    <d v="1946-11-20T00:00:00"/>
    <s v="Massachusetts"/>
    <s v="MA"/>
    <s v="Male"/>
    <s v="Widowed"/>
    <s v="Production Technician I"/>
    <s v="Active"/>
    <s v="Part-Time"/>
    <s v="Zone C"/>
    <s v="Production       "/>
    <s v="Field Operations"/>
    <s v="Other"/>
    <s v="Fully Meets"/>
    <n v="1"/>
  </r>
  <r>
    <x v="2617"/>
    <x v="0"/>
    <x v="733"/>
    <s v="68-77"/>
    <n v="75"/>
    <d v="1943-11-16T00:00:00"/>
    <s v="Massachusetts"/>
    <s v="MA"/>
    <s v="Female"/>
    <s v="Divorced"/>
    <s v="Production Technician I"/>
    <s v="Active"/>
    <s v="Full-Time"/>
    <s v="Zone A"/>
    <s v="Production       "/>
    <s v="General - Con"/>
    <s v="Asian"/>
    <s v="Fully Meets"/>
    <n v="3"/>
  </r>
  <r>
    <x v="2618"/>
    <x v="4"/>
    <x v="244"/>
    <s v="68-77"/>
    <n v="75"/>
    <d v="1947-04-14T00:00:00"/>
    <s v="Massachusetts"/>
    <s v="MA"/>
    <s v="Male"/>
    <s v="Single"/>
    <s v="Production Technician I"/>
    <s v="Active"/>
    <s v="Part-Time"/>
    <s v="Zone B"/>
    <s v="Production       "/>
    <s v="Engineers"/>
    <s v="Other"/>
    <s v="Fully Meets"/>
    <n v="5"/>
  </r>
  <r>
    <x v="2619"/>
    <x v="3"/>
    <x v="1189"/>
    <s v="68-77"/>
    <n v="75"/>
    <d v="1946-05-16T00:00:00"/>
    <s v="Massachusetts"/>
    <s v="MA"/>
    <s v="Male"/>
    <s v="Divorced"/>
    <s v="Production Technician I"/>
    <s v="Terminated"/>
    <s v="Part-Time"/>
    <s v="Zone B"/>
    <s v="Production       "/>
    <s v="General - Eng"/>
    <s v="White"/>
    <s v="Fully Meets"/>
    <n v="2"/>
  </r>
  <r>
    <x v="2620"/>
    <x v="3"/>
    <x v="226"/>
    <s v="68-77"/>
    <n v="75"/>
    <d v="1946-10-28T00:00:00"/>
    <s v="Massachusetts"/>
    <s v="MA"/>
    <s v="Male"/>
    <s v="Widowed"/>
    <s v="Production Technician I"/>
    <s v="Active"/>
    <s v="Contract"/>
    <s v="Zone B"/>
    <s v="Production       "/>
    <s v="Field Operations"/>
    <s v="White"/>
    <s v="Fully Meets"/>
    <n v="3"/>
  </r>
  <r>
    <x v="2621"/>
    <x v="1"/>
    <x v="1237"/>
    <s v="68-77"/>
    <n v="75"/>
    <d v="1944-09-10T00:00:00"/>
    <s v="Massachusetts"/>
    <s v="MA"/>
    <s v="Female"/>
    <s v="Married"/>
    <s v="Production Technician I"/>
    <s v="Active"/>
    <s v="Contract"/>
    <s v="Zone C"/>
    <s v="Production       "/>
    <s v="Project Management - Con"/>
    <s v="Other"/>
    <s v="Exceeds"/>
    <n v="5"/>
  </r>
  <r>
    <x v="2622"/>
    <x v="4"/>
    <x v="1420"/>
    <s v="68-77"/>
    <n v="75"/>
    <d v="1947-05-05T00:00:00"/>
    <s v="Massachusetts"/>
    <s v="MA"/>
    <s v="Female"/>
    <s v="Married"/>
    <s v="Production Technician I"/>
    <s v="Active"/>
    <s v="Full-Time"/>
    <s v="Zone C"/>
    <s v="Production       "/>
    <s v="Field Operations"/>
    <s v="Hispanic"/>
    <s v="Fully Meets"/>
    <n v="1"/>
  </r>
  <r>
    <x v="2623"/>
    <x v="1"/>
    <x v="60"/>
    <s v="68-77"/>
    <n v="75"/>
    <d v="1944-03-06T00:00:00"/>
    <s v="Massachusetts"/>
    <s v="MA"/>
    <s v="Female"/>
    <s v="Divorced"/>
    <s v="Production Technician I"/>
    <s v="Active"/>
    <s v="Full-Time"/>
    <s v="Zone C"/>
    <s v="Production       "/>
    <s v="Field Operations"/>
    <s v="White"/>
    <s v="Exceeds"/>
    <n v="4"/>
  </r>
  <r>
    <x v="2624"/>
    <x v="3"/>
    <x v="420"/>
    <s v="68-77"/>
    <n v="75"/>
    <d v="1946-02-18T00:00:00"/>
    <s v="Massachusetts"/>
    <s v="MA"/>
    <s v="Male"/>
    <s v="Widowed"/>
    <s v="Production Technician I"/>
    <s v="Active"/>
    <s v="Full-Time"/>
    <s v="Zone A"/>
    <s v="Production       "/>
    <s v="Splicing"/>
    <s v="Hispanic"/>
    <s v="Fully Meets"/>
    <n v="5"/>
  </r>
  <r>
    <x v="2625"/>
    <x v="3"/>
    <x v="1421"/>
    <s v="68-77"/>
    <n v="75"/>
    <d v="1946-08-12T00:00:00"/>
    <s v="Massachusetts"/>
    <s v="MA"/>
    <s v="Male"/>
    <s v="Single"/>
    <s v="Production Technician I"/>
    <s v="Active"/>
    <s v="Contract"/>
    <s v="Zone C"/>
    <s v="Production       "/>
    <s v="Engineers"/>
    <s v="Black"/>
    <s v="Exceeds"/>
    <n v="2"/>
  </r>
  <r>
    <x v="2626"/>
    <x v="0"/>
    <x v="640"/>
    <s v="68-77"/>
    <n v="75"/>
    <d v="1943-06-27T00:00:00"/>
    <s v="Massachusetts"/>
    <s v="MA"/>
    <s v="Female"/>
    <s v="Divorced"/>
    <s v="Production Technician I"/>
    <s v="Active"/>
    <s v="Full-Time"/>
    <s v="Zone A"/>
    <s v="Production       "/>
    <s v="Engineers"/>
    <s v="White"/>
    <s v="Fully Meets"/>
    <n v="4"/>
  </r>
  <r>
    <x v="2627"/>
    <x v="0"/>
    <x v="229"/>
    <s v="68-77"/>
    <n v="75"/>
    <d v="1943-11-14T00:00:00"/>
    <s v="Massachusetts"/>
    <s v="MA"/>
    <s v="Male"/>
    <s v="Widowed"/>
    <s v="Production Technician I"/>
    <s v="Terminated"/>
    <s v="Part-Time"/>
    <s v="Zone B"/>
    <s v="Production       "/>
    <s v="Field Operations"/>
    <s v="Black"/>
    <s v="Fully Meets"/>
    <n v="3"/>
  </r>
  <r>
    <x v="2628"/>
    <x v="3"/>
    <x v="1289"/>
    <s v="68-77"/>
    <n v="75"/>
    <d v="1946-08-12T00:00:00"/>
    <s v="Massachusetts"/>
    <s v="MA"/>
    <s v="Female"/>
    <s v="Single"/>
    <s v="Production Manager"/>
    <s v="Active"/>
    <s v="Part-Time"/>
    <s v="Zone C"/>
    <s v="Production       "/>
    <s v="Underground"/>
    <s v="Asian"/>
    <s v="Fully Meets"/>
    <n v="1"/>
  </r>
  <r>
    <x v="2629"/>
    <x v="4"/>
    <x v="701"/>
    <s v="68-77"/>
    <n v="75"/>
    <d v="1947-11-19T00:00:00"/>
    <s v="Massachusetts"/>
    <s v="MA"/>
    <s v="Female"/>
    <s v="Single"/>
    <s v="President &amp; CEO"/>
    <s v="Active"/>
    <s v="Contract"/>
    <s v="Zone A"/>
    <s v="Production       "/>
    <s v="Project Management - Con"/>
    <s v="Black"/>
    <s v="Fully Meets"/>
    <n v="1"/>
  </r>
  <r>
    <x v="2630"/>
    <x v="3"/>
    <x v="1422"/>
    <s v="68-77"/>
    <n v="75"/>
    <d v="1946-01-12T00:00:00"/>
    <s v="Massachusetts"/>
    <s v="MA"/>
    <s v="Male"/>
    <s v="Single"/>
    <s v="IT Support"/>
    <s v="Active"/>
    <s v="Contract"/>
    <s v="Zone A"/>
    <s v="IT/IS"/>
    <s v="General - Con"/>
    <s v="Black"/>
    <s v="Fully Meets"/>
    <n v="3"/>
  </r>
  <r>
    <x v="2631"/>
    <x v="1"/>
    <x v="1041"/>
    <s v="68-77"/>
    <n v="75"/>
    <d v="1944-12-30T00:00:00"/>
    <s v="Massachusetts"/>
    <s v="MA"/>
    <s v="Female"/>
    <s v="Single"/>
    <s v="IT Support"/>
    <s v="Active"/>
    <s v="Contract"/>
    <s v="Zone C"/>
    <s v="IT/IS"/>
    <s v="Field Operations"/>
    <s v="Hispanic"/>
    <s v="Fully Meets"/>
    <n v="4"/>
  </r>
  <r>
    <x v="2632"/>
    <x v="1"/>
    <x v="277"/>
    <s v="68-77"/>
    <n v="75"/>
    <d v="1944-05-22T00:00:00"/>
    <s v="Massachusetts"/>
    <s v="MA"/>
    <s v="Male"/>
    <s v="Divorced"/>
    <s v="IT Manager - Infra"/>
    <s v="Active"/>
    <s v="Part-Time"/>
    <s v="Zone A"/>
    <s v="IT/IS"/>
    <s v="Fielders"/>
    <s v="Black"/>
    <s v="Fully Meets"/>
    <n v="1"/>
  </r>
  <r>
    <x v="2633"/>
    <x v="3"/>
    <x v="551"/>
    <s v="68-77"/>
    <n v="75"/>
    <d v="1946-09-15T00:00:00"/>
    <s v="Massachusetts"/>
    <s v="MA"/>
    <s v="Male"/>
    <s v="Divorced"/>
    <s v="IT Manager - Infra"/>
    <s v="Active"/>
    <s v="Part-Time"/>
    <s v="Zone C"/>
    <s v="IT/IS"/>
    <s v="Engineers"/>
    <s v="Black"/>
    <s v="Fully Meets"/>
    <n v="4"/>
  </r>
  <r>
    <x v="2634"/>
    <x v="4"/>
    <x v="398"/>
    <s v="68-77"/>
    <n v="75"/>
    <d v="1947-07-12T00:00:00"/>
    <s v="Massachusetts"/>
    <s v="MA"/>
    <s v="Male"/>
    <s v="Single"/>
    <s v="Director of Operations"/>
    <s v="Active"/>
    <s v="Full-Time"/>
    <s v="Zone C"/>
    <s v="IT/IS"/>
    <s v="Field Operations"/>
    <s v="White"/>
    <s v="Fully Meets"/>
    <n v="3"/>
  </r>
  <r>
    <x v="2635"/>
    <x v="3"/>
    <x v="1423"/>
    <s v="68-77"/>
    <n v="75"/>
    <d v="1946-11-11T00:00:00"/>
    <s v="Massachusetts"/>
    <s v="MA"/>
    <s v="Female"/>
    <s v="Married"/>
    <s v="Database Administrator"/>
    <s v="Active"/>
    <s v="Full-Time"/>
    <s v="Zone B"/>
    <s v="IT/IS"/>
    <s v="General - Con"/>
    <s v="Hispanic"/>
    <s v="Fully Meets"/>
    <n v="1"/>
  </r>
  <r>
    <x v="2636"/>
    <x v="1"/>
    <x v="365"/>
    <s v="68-77"/>
    <n v="75"/>
    <d v="1944-09-27T00:00:00"/>
    <s v="Massachusetts"/>
    <s v="MA"/>
    <s v="Male"/>
    <s v="Single"/>
    <s v="Data Analyst"/>
    <s v="Active"/>
    <s v="Full-Time"/>
    <s v="Zone A"/>
    <s v="IT/IS"/>
    <s v="People Services"/>
    <s v="Black"/>
    <s v="Fully Meets"/>
    <n v="3"/>
  </r>
  <r>
    <x v="2637"/>
    <x v="4"/>
    <x v="601"/>
    <s v="68-77"/>
    <n v="75"/>
    <d v="1947-12-30T00:00:00"/>
    <s v="Tennessee"/>
    <s v="TN"/>
    <s v="Male"/>
    <s v="Widowed"/>
    <s v="Area Sales Manager"/>
    <s v="Active"/>
    <s v="Full-Time"/>
    <s v="Zone B"/>
    <s v="Sales"/>
    <s v="General - Con"/>
    <s v="White"/>
    <s v="Fully Meets"/>
    <n v="1"/>
  </r>
  <r>
    <x v="2638"/>
    <x v="4"/>
    <x v="1369"/>
    <s v="68-77"/>
    <n v="75"/>
    <d v="1947-03-25T00:00:00"/>
    <s v="Kentucky"/>
    <s v="KY"/>
    <s v="Female"/>
    <s v="Married"/>
    <s v="Area Sales Manager"/>
    <s v="Active"/>
    <s v="Contract"/>
    <s v="Zone B"/>
    <s v="Sales"/>
    <s v="Project Management - Eng"/>
    <s v="Other"/>
    <s v="Needs Improvement"/>
    <n v="4"/>
  </r>
  <r>
    <x v="2639"/>
    <x v="5"/>
    <x v="1424"/>
    <s v="68-77"/>
    <n v="75"/>
    <d v="1948-03-01T00:00:00"/>
    <s v="Indiana"/>
    <s v="IN"/>
    <s v="Male"/>
    <s v="Married"/>
    <s v="Area Sales Manager"/>
    <s v="Active"/>
    <s v="Contract"/>
    <s v="Zone A"/>
    <s v="Sales"/>
    <s v="Field Operations"/>
    <s v="White"/>
    <s v="Needs Improvement"/>
    <n v="3"/>
  </r>
  <r>
    <x v="2640"/>
    <x v="4"/>
    <x v="553"/>
    <s v="68-77"/>
    <n v="75"/>
    <d v="1947-01-07T00:00:00"/>
    <s v="Indiana"/>
    <s v="IN"/>
    <s v="Male"/>
    <s v="Divorced"/>
    <s v="Area Sales Manager"/>
    <s v="Active"/>
    <s v="Part-Time"/>
    <s v="Zone A"/>
    <s v="Sales"/>
    <s v="General - Con"/>
    <s v="Black"/>
    <s v="Fully Meets"/>
    <n v="5"/>
  </r>
  <r>
    <x v="2641"/>
    <x v="3"/>
    <x v="298"/>
    <s v="68-77"/>
    <n v="75"/>
    <d v="1946-10-20T00:00:00"/>
    <s v="Massachusetts"/>
    <s v="MA"/>
    <s v="Female"/>
    <s v="Widowed"/>
    <s v="Accountant I"/>
    <s v="Active"/>
    <s v="Full-Time"/>
    <s v="Zone C"/>
    <s v="Admin Offices"/>
    <s v="People Services"/>
    <s v="Black"/>
    <s v="Fully Meets"/>
    <n v="2"/>
  </r>
  <r>
    <x v="2642"/>
    <x v="3"/>
    <x v="1425"/>
    <s v="68-77"/>
    <n v="76"/>
    <d v="1945-03-22T00:00:00"/>
    <s v="Massachusetts"/>
    <s v="MA"/>
    <s v="Male"/>
    <s v="Divorced"/>
    <s v="Sr. Network Engineer"/>
    <s v="Active"/>
    <s v="Full-Time"/>
    <s v="Zone B"/>
    <s v="IT/IS"/>
    <s v="General - Eng"/>
    <s v="White"/>
    <s v="Fully Meets"/>
    <n v="4"/>
  </r>
  <r>
    <x v="2643"/>
    <x v="3"/>
    <x v="1168"/>
    <s v="68-77"/>
    <n v="76"/>
    <d v="1945-04-19T00:00:00"/>
    <s v="Massachusetts"/>
    <s v="MA"/>
    <s v="Female"/>
    <s v="Single"/>
    <s v="Software Engineer"/>
    <s v="Active"/>
    <s v="Full-Time"/>
    <s v="Zone B"/>
    <s v="Software Engineering"/>
    <s v="Aerial"/>
    <s v="Black"/>
    <s v="Fully Meets"/>
    <n v="2"/>
  </r>
  <r>
    <x v="2644"/>
    <x v="5"/>
    <x v="818"/>
    <s v="68-77"/>
    <n v="76"/>
    <d v="1947-09-07T00:00:00"/>
    <s v="Massachusetts"/>
    <s v="MA"/>
    <s v="Male"/>
    <s v="Single"/>
    <s v="Senior BI Developer"/>
    <s v="Active"/>
    <s v="Part-Time"/>
    <s v="Zone C"/>
    <s v="Admin Offices"/>
    <s v="Aerial"/>
    <s v="Black"/>
    <s v="Fully Meets"/>
    <n v="1"/>
  </r>
  <r>
    <x v="2645"/>
    <x v="1"/>
    <x v="330"/>
    <s v="68-77"/>
    <n v="76"/>
    <d v="1943-03-10T00:00:00"/>
    <s v="Massachusetts"/>
    <s v="MA"/>
    <s v="Female"/>
    <s v="Widowed"/>
    <s v="Production Technician II"/>
    <s v="Active"/>
    <s v="Part-Time"/>
    <s v="Zone A"/>
    <s v="Production       "/>
    <s v="Yard (Material Handling)"/>
    <s v="Black"/>
    <s v="Fully Meets"/>
    <n v="4"/>
  </r>
  <r>
    <x v="2646"/>
    <x v="2"/>
    <x v="1324"/>
    <s v="68-77"/>
    <n v="76"/>
    <d v="1944-11-15T00:00:00"/>
    <s v="Massachusetts"/>
    <s v="MA"/>
    <s v="Female"/>
    <s v="Married"/>
    <s v="Production Technician II"/>
    <s v="Active"/>
    <s v="Contract"/>
    <s v="Zone A"/>
    <s v="Production       "/>
    <s v="Field Operations"/>
    <s v="Black"/>
    <s v="Fully Meets"/>
    <n v="4"/>
  </r>
  <r>
    <x v="2647"/>
    <x v="4"/>
    <x v="889"/>
    <s v="68-77"/>
    <n v="76"/>
    <d v="1946-11-25T00:00:00"/>
    <s v="Massachusetts"/>
    <s v="MA"/>
    <s v="Male"/>
    <s v="Single"/>
    <s v="Production Technician II"/>
    <s v="Terminated"/>
    <s v="Full-Time"/>
    <s v="Zone B"/>
    <s v="Production       "/>
    <s v="Field Operations"/>
    <s v="Hispanic"/>
    <s v="Fully Meets"/>
    <n v="2"/>
  </r>
  <r>
    <x v="2648"/>
    <x v="1"/>
    <x v="1426"/>
    <s v="68-77"/>
    <n v="76"/>
    <d v="1943-10-05T00:00:00"/>
    <s v="Massachusetts"/>
    <s v="MA"/>
    <s v="Female"/>
    <s v="Widowed"/>
    <s v="Production Technician II"/>
    <s v="Active"/>
    <s v="Full-Time"/>
    <s v="Zone C"/>
    <s v="Production       "/>
    <s v="General - Con"/>
    <s v="Black"/>
    <s v="Fully Meets"/>
    <n v="1"/>
  </r>
  <r>
    <x v="2649"/>
    <x v="4"/>
    <x v="542"/>
    <s v="68-77"/>
    <n v="76"/>
    <d v="1946-01-10T00:00:00"/>
    <s v="Massachusetts"/>
    <s v="MA"/>
    <s v="Female"/>
    <s v="Divorced"/>
    <s v="Production Technician II"/>
    <s v="Active"/>
    <s v="Part-Time"/>
    <s v="Zone A"/>
    <s v="Production       "/>
    <s v="Field Operations"/>
    <s v="White"/>
    <s v="Exceeds"/>
    <n v="1"/>
  </r>
  <r>
    <x v="2650"/>
    <x v="1"/>
    <x v="1427"/>
    <s v="68-77"/>
    <n v="76"/>
    <d v="1943-06-22T00:00:00"/>
    <s v="Massachusetts"/>
    <s v="MA"/>
    <s v="Female"/>
    <s v="Married"/>
    <s v="Production Technician II"/>
    <s v="Active"/>
    <s v="Part-Time"/>
    <s v="Zone A"/>
    <s v="Production       "/>
    <s v="Wireline Construction"/>
    <s v="Black"/>
    <s v="Fully Meets"/>
    <n v="1"/>
  </r>
  <r>
    <x v="2651"/>
    <x v="1"/>
    <x v="1117"/>
    <s v="68-77"/>
    <n v="76"/>
    <d v="1943-09-30T00:00:00"/>
    <s v="Massachusetts"/>
    <s v="MA"/>
    <s v="Female"/>
    <s v="Single"/>
    <s v="Production Technician II"/>
    <s v="Terminated"/>
    <s v="Full-Time"/>
    <s v="Zone B"/>
    <s v="Production       "/>
    <s v="General - Con"/>
    <s v="Black"/>
    <s v="Fully Meets"/>
    <n v="3"/>
  </r>
  <r>
    <x v="2652"/>
    <x v="4"/>
    <x v="244"/>
    <s v="68-77"/>
    <n v="76"/>
    <d v="1946-12-20T00:00:00"/>
    <s v="Massachusetts"/>
    <s v="MA"/>
    <s v="Male"/>
    <s v="Divorced"/>
    <s v="Production Technician I"/>
    <s v="Terminated"/>
    <s v="Contract"/>
    <s v="Zone A"/>
    <s v="Production       "/>
    <s v="Engineers"/>
    <s v="Other"/>
    <s v="Fully Meets"/>
    <n v="1"/>
  </r>
  <r>
    <x v="2653"/>
    <x v="3"/>
    <x v="390"/>
    <s v="68-77"/>
    <n v="76"/>
    <d v="1945-01-15T00:00:00"/>
    <s v="Massachusetts"/>
    <s v="MA"/>
    <s v="Female"/>
    <s v="Divorced"/>
    <s v="Production Technician I"/>
    <s v="Active"/>
    <s v="Part-Time"/>
    <s v="Zone C"/>
    <s v="Production       "/>
    <s v="Field Operations"/>
    <s v="Other"/>
    <s v="Fully Meets"/>
    <n v="2"/>
  </r>
  <r>
    <x v="2654"/>
    <x v="1"/>
    <x v="86"/>
    <s v="68-77"/>
    <n v="76"/>
    <d v="1943-08-25T00:00:00"/>
    <s v="Massachusetts"/>
    <s v="MA"/>
    <s v="Male"/>
    <s v="Divorced"/>
    <s v="Production Technician I"/>
    <s v="Active"/>
    <s v="Contract"/>
    <s v="Zone C"/>
    <s v="Production       "/>
    <s v="Engineers"/>
    <s v="Other"/>
    <s v="Fully Meets"/>
    <n v="1"/>
  </r>
  <r>
    <x v="2655"/>
    <x v="2"/>
    <x v="121"/>
    <s v="68-77"/>
    <n v="76"/>
    <d v="1944-08-10T00:00:00"/>
    <s v="Massachusetts"/>
    <s v="MA"/>
    <s v="Female"/>
    <s v="Married"/>
    <s v="Production Technician I"/>
    <s v="Active"/>
    <s v="Contract"/>
    <s v="Zone A"/>
    <s v="Production       "/>
    <s v="Field Operations"/>
    <s v="Other"/>
    <s v="Fully Meets"/>
    <n v="3"/>
  </r>
  <r>
    <x v="2656"/>
    <x v="0"/>
    <x v="1428"/>
    <s v="68-77"/>
    <n v="76"/>
    <d v="1942-06-04T00:00:00"/>
    <s v="Massachusetts"/>
    <s v="MA"/>
    <s v="Female"/>
    <s v="Married"/>
    <s v="Production Technician I"/>
    <s v="Active"/>
    <s v="Contract"/>
    <s v="Zone B"/>
    <s v="Production       "/>
    <s v="General - Con"/>
    <s v="Hispanic"/>
    <s v="Needs Improvement"/>
    <n v="4"/>
  </r>
  <r>
    <x v="2657"/>
    <x v="5"/>
    <x v="923"/>
    <s v="68-77"/>
    <n v="76"/>
    <d v="1947-07-11T00:00:00"/>
    <s v="Massachusetts"/>
    <s v="MA"/>
    <s v="Female"/>
    <s v="Single"/>
    <s v="Production Technician I"/>
    <s v="Active"/>
    <s v="Full-Time"/>
    <s v="Zone B"/>
    <s v="Production       "/>
    <s v="Fielders"/>
    <s v="Asian"/>
    <s v="Fully Meets"/>
    <n v="4"/>
  </r>
  <r>
    <x v="2658"/>
    <x v="1"/>
    <x v="362"/>
    <s v="68-77"/>
    <n v="76"/>
    <d v="1943-09-19T00:00:00"/>
    <s v="Massachusetts"/>
    <s v="MA"/>
    <s v="Male"/>
    <s v="Divorced"/>
    <s v="Production Technician I"/>
    <s v="Active"/>
    <s v="Full-Time"/>
    <s v="Zone B"/>
    <s v="Production       "/>
    <s v="Splicing"/>
    <s v="Other"/>
    <s v="Exceeds"/>
    <n v="2"/>
  </r>
  <r>
    <x v="2659"/>
    <x v="3"/>
    <x v="460"/>
    <s v="68-77"/>
    <n v="76"/>
    <d v="1945-07-05T00:00:00"/>
    <s v="Massachusetts"/>
    <s v="MA"/>
    <s v="Female"/>
    <s v="Married"/>
    <s v="Production Technician I"/>
    <s v="Active"/>
    <s v="Full-Time"/>
    <s v="Zone B"/>
    <s v="Production       "/>
    <s v="General - Con"/>
    <s v="Hispanic"/>
    <s v="Fully Meets"/>
    <n v="4"/>
  </r>
  <r>
    <x v="2660"/>
    <x v="0"/>
    <x v="272"/>
    <s v="68-77"/>
    <n v="76"/>
    <d v="1942-10-15T00:00:00"/>
    <s v="Massachusetts"/>
    <s v="MA"/>
    <s v="Male"/>
    <s v="Widowed"/>
    <s v="Production Technician I"/>
    <s v="Active"/>
    <s v="Full-Time"/>
    <s v="Zone C"/>
    <s v="Production       "/>
    <s v="General - Con"/>
    <s v="Asian"/>
    <s v="Fully Meets"/>
    <n v="4"/>
  </r>
  <r>
    <x v="2661"/>
    <x v="4"/>
    <x v="599"/>
    <s v="68-77"/>
    <n v="76"/>
    <d v="1946-05-25T00:00:00"/>
    <s v="Massachusetts"/>
    <s v="MA"/>
    <s v="Male"/>
    <s v="Married"/>
    <s v="Production Technician I"/>
    <s v="Active"/>
    <s v="Full-Time"/>
    <s v="Zone A"/>
    <s v="Production       "/>
    <s v="Executive"/>
    <s v="Black"/>
    <s v="Fully Meets"/>
    <n v="4"/>
  </r>
  <r>
    <x v="2662"/>
    <x v="4"/>
    <x v="714"/>
    <s v="68-77"/>
    <n v="76"/>
    <d v="1946-01-28T00:00:00"/>
    <s v="Massachusetts"/>
    <s v="MA"/>
    <s v="Male"/>
    <s v="Single"/>
    <s v="Production Technician I"/>
    <s v="Terminated"/>
    <s v="Full-Time"/>
    <s v="Zone A"/>
    <s v="Production       "/>
    <s v="Project Management - Con"/>
    <s v="White"/>
    <s v="Exceeds"/>
    <n v="1"/>
  </r>
  <r>
    <x v="2663"/>
    <x v="3"/>
    <x v="130"/>
    <s v="68-77"/>
    <n v="76"/>
    <d v="1945-05-13T00:00:00"/>
    <s v="Massachusetts"/>
    <s v="MA"/>
    <s v="Male"/>
    <s v="Single"/>
    <s v="Production Technician I"/>
    <s v="Active"/>
    <s v="Part-Time"/>
    <s v="Zone A"/>
    <s v="Production       "/>
    <s v="General - Sga"/>
    <s v="Black"/>
    <s v="Fully Meets"/>
    <n v="4"/>
  </r>
  <r>
    <x v="2664"/>
    <x v="2"/>
    <x v="615"/>
    <s v="68-77"/>
    <n v="76"/>
    <d v="1944-07-31T00:00:00"/>
    <s v="Massachusetts"/>
    <s v="MA"/>
    <s v="Male"/>
    <s v="Single"/>
    <s v="Production Technician I"/>
    <s v="Active"/>
    <s v="Part-Time"/>
    <s v="Zone B"/>
    <s v="Production       "/>
    <s v="General - Con"/>
    <s v="Hispanic"/>
    <s v="Fully Meets"/>
    <n v="1"/>
  </r>
  <r>
    <x v="2665"/>
    <x v="3"/>
    <x v="1429"/>
    <s v="68-77"/>
    <n v="76"/>
    <d v="1945-11-19T00:00:00"/>
    <s v="Massachusetts"/>
    <s v="MA"/>
    <s v="Male"/>
    <s v="Divorced"/>
    <s v="Production Technician I"/>
    <s v="Active"/>
    <s v="Part-Time"/>
    <s v="Zone A"/>
    <s v="Production       "/>
    <s v="Field Operations"/>
    <s v="Black"/>
    <s v="Fully Meets"/>
    <n v="2"/>
  </r>
  <r>
    <x v="2666"/>
    <x v="1"/>
    <x v="964"/>
    <s v="68-77"/>
    <n v="76"/>
    <d v="1943-11-03T00:00:00"/>
    <s v="Massachusetts"/>
    <s v="MA"/>
    <s v="Female"/>
    <s v="Divorced"/>
    <s v="Production Technician I"/>
    <s v="Terminated"/>
    <s v="Full-Time"/>
    <s v="Zone A"/>
    <s v="Production       "/>
    <s v="Splicing"/>
    <s v="Other"/>
    <s v="Exceeds"/>
    <n v="1"/>
  </r>
  <r>
    <x v="2667"/>
    <x v="2"/>
    <x v="242"/>
    <s v="68-77"/>
    <n v="76"/>
    <d v="1944-10-20T00:00:00"/>
    <s v="Massachusetts"/>
    <s v="MA"/>
    <s v="Female"/>
    <s v="Widowed"/>
    <s v="Production Technician I"/>
    <s v="Active"/>
    <s v="Part-Time"/>
    <s v="Zone B"/>
    <s v="Production       "/>
    <s v="General - Con"/>
    <s v="White"/>
    <s v="Exceeds"/>
    <n v="1"/>
  </r>
  <r>
    <x v="2668"/>
    <x v="1"/>
    <x v="1108"/>
    <s v="68-77"/>
    <n v="76"/>
    <d v="1943-09-24T00:00:00"/>
    <s v="Massachusetts"/>
    <s v="MA"/>
    <s v="Female"/>
    <s v="Widowed"/>
    <s v="Production Technician I"/>
    <s v="Active"/>
    <s v="Part-Time"/>
    <s v="Zone B"/>
    <s v="Production       "/>
    <s v="Engineers"/>
    <s v="Other"/>
    <s v="Exceeds"/>
    <n v="3"/>
  </r>
  <r>
    <x v="2669"/>
    <x v="3"/>
    <x v="1216"/>
    <s v="68-77"/>
    <n v="76"/>
    <d v="1945-08-27T00:00:00"/>
    <s v="Massachusetts"/>
    <s v="MA"/>
    <s v="Female"/>
    <s v="Married"/>
    <s v="Production Technician I"/>
    <s v="Active"/>
    <s v="Contract"/>
    <s v="Zone C"/>
    <s v="Production       "/>
    <s v="General - Con"/>
    <s v="White"/>
    <s v="Fully Meets"/>
    <n v="5"/>
  </r>
  <r>
    <x v="2670"/>
    <x v="1"/>
    <x v="99"/>
    <s v="68-77"/>
    <n v="76"/>
    <d v="1943-10-23T00:00:00"/>
    <s v="Massachusetts"/>
    <s v="MA"/>
    <s v="Female"/>
    <s v="Single"/>
    <s v="Production Technician I"/>
    <s v="Active"/>
    <s v="Contract"/>
    <s v="Zone C"/>
    <s v="Production       "/>
    <s v="General - Eng"/>
    <s v="Black"/>
    <s v="Fully Meets"/>
    <n v="5"/>
  </r>
  <r>
    <x v="2671"/>
    <x v="3"/>
    <x v="1216"/>
    <s v="68-77"/>
    <n v="76"/>
    <d v="1945-02-16T00:00:00"/>
    <s v="Massachusetts"/>
    <s v="MA"/>
    <s v="Female"/>
    <s v="Single"/>
    <s v="Production Technician I"/>
    <s v="Active"/>
    <s v="Full-Time"/>
    <s v="Zone C"/>
    <s v="Production       "/>
    <s v="Finance &amp; Accounting"/>
    <s v="White"/>
    <s v="Fully Meets"/>
    <n v="5"/>
  </r>
  <r>
    <x v="2672"/>
    <x v="3"/>
    <x v="1111"/>
    <s v="68-77"/>
    <n v="76"/>
    <d v="1945-02-06T00:00:00"/>
    <s v="Massachusetts"/>
    <s v="MA"/>
    <s v="Female"/>
    <s v="Divorced"/>
    <s v="Production Technician I"/>
    <s v="Active"/>
    <s v="Full-Time"/>
    <s v="Zone A"/>
    <s v="Production       "/>
    <s v="Fielders"/>
    <s v="Asian"/>
    <s v="Fully Meets"/>
    <n v="4"/>
  </r>
  <r>
    <x v="2673"/>
    <x v="1"/>
    <x v="68"/>
    <s v="68-77"/>
    <n v="76"/>
    <d v="1943-03-07T00:00:00"/>
    <s v="Massachusetts"/>
    <s v="MA"/>
    <s v="Male"/>
    <s v="Divorced"/>
    <s v="Production Technician I"/>
    <s v="Active"/>
    <s v="Contract"/>
    <s v="Zone C"/>
    <s v="Production       "/>
    <s v="Field Operations"/>
    <s v="Black"/>
    <s v="Fully Meets"/>
    <n v="3"/>
  </r>
  <r>
    <x v="2674"/>
    <x v="2"/>
    <x v="933"/>
    <s v="68-77"/>
    <n v="76"/>
    <d v="1944-03-09T00:00:00"/>
    <s v="Massachusetts"/>
    <s v="MA"/>
    <s v="Female"/>
    <s v="Single"/>
    <s v="Production Technician I"/>
    <s v="Active"/>
    <s v="Full-Time"/>
    <s v="Zone B"/>
    <s v="Production       "/>
    <s v="General - Sga"/>
    <s v="Black"/>
    <s v="Fully Meets"/>
    <n v="2"/>
  </r>
  <r>
    <x v="2675"/>
    <x v="2"/>
    <x v="1430"/>
    <s v="68-77"/>
    <n v="76"/>
    <d v="1944-08-19T00:00:00"/>
    <s v="Massachusetts"/>
    <s v="MA"/>
    <s v="Female"/>
    <s v="Widowed"/>
    <s v="Production Technician I"/>
    <s v="Active"/>
    <s v="Contract"/>
    <s v="Zone A"/>
    <s v="Production       "/>
    <s v="Fielders"/>
    <s v="White"/>
    <s v="Fully Meets"/>
    <n v="5"/>
  </r>
  <r>
    <x v="2676"/>
    <x v="1"/>
    <x v="849"/>
    <s v="68-77"/>
    <n v="76"/>
    <d v="1943-03-12T00:00:00"/>
    <s v="Massachusetts"/>
    <s v="MA"/>
    <s v="Male"/>
    <s v="Widowed"/>
    <s v="Production Technician I"/>
    <s v="Active"/>
    <s v="Part-Time"/>
    <s v="Zone A"/>
    <s v="Production       "/>
    <s v="Finance &amp; Accounting"/>
    <s v="Black"/>
    <s v="Needs Improvement"/>
    <n v="3"/>
  </r>
  <r>
    <x v="2677"/>
    <x v="1"/>
    <x v="1431"/>
    <s v="68-77"/>
    <n v="76"/>
    <d v="1943-05-13T00:00:00"/>
    <s v="Massachusetts"/>
    <s v="MA"/>
    <s v="Male"/>
    <s v="Married"/>
    <s v="Production Technician I"/>
    <s v="Active"/>
    <s v="Full-Time"/>
    <s v="Zone A"/>
    <s v="Production       "/>
    <s v="Field Operations"/>
    <s v="Black"/>
    <s v="Exceeds"/>
    <n v="2"/>
  </r>
  <r>
    <x v="2678"/>
    <x v="4"/>
    <x v="1432"/>
    <s v="68-77"/>
    <n v="76"/>
    <d v="1946-12-18T00:00:00"/>
    <s v="Massachusetts"/>
    <s v="MA"/>
    <s v="Female"/>
    <s v="Married"/>
    <s v="Production Technician I"/>
    <s v="Active"/>
    <s v="Part-Time"/>
    <s v="Zone A"/>
    <s v="Production       "/>
    <s v="Catv"/>
    <s v="Black"/>
    <s v="Fully Meets"/>
    <n v="5"/>
  </r>
  <r>
    <x v="2679"/>
    <x v="2"/>
    <x v="1433"/>
    <s v="68-77"/>
    <n v="76"/>
    <d v="1944-11-30T00:00:00"/>
    <s v="Massachusetts"/>
    <s v="MA"/>
    <s v="Male"/>
    <s v="Single"/>
    <s v="Production Technician I"/>
    <s v="Active"/>
    <s v="Full-Time"/>
    <s v="Zone B"/>
    <s v="Production       "/>
    <s v="Underground"/>
    <s v="Hispanic"/>
    <s v="Fully Meets"/>
    <n v="3"/>
  </r>
  <r>
    <x v="2680"/>
    <x v="2"/>
    <x v="1243"/>
    <s v="68-77"/>
    <n v="76"/>
    <d v="1944-11-23T00:00:00"/>
    <s v="Massachusetts"/>
    <s v="MA"/>
    <s v="Female"/>
    <s v="Married"/>
    <s v="Production Manager"/>
    <s v="Active"/>
    <s v="Part-Time"/>
    <s v="Zone A"/>
    <s v="Production       "/>
    <s v="Project Management - Eng"/>
    <s v="Other"/>
    <s v="Fully Meets"/>
    <n v="5"/>
  </r>
  <r>
    <x v="2681"/>
    <x v="2"/>
    <x v="1434"/>
    <s v="68-77"/>
    <n v="76"/>
    <d v="1944-06-16T00:00:00"/>
    <s v="Massachusetts"/>
    <s v="MA"/>
    <s v="Female"/>
    <s v="Single"/>
    <s v="Production Manager"/>
    <s v="Active"/>
    <s v="Full-Time"/>
    <s v="Zone A"/>
    <s v="Production       "/>
    <s v="Yard (Material Handling)"/>
    <s v="Black"/>
    <s v="Fully Meets"/>
    <n v="2"/>
  </r>
  <r>
    <x v="2682"/>
    <x v="0"/>
    <x v="0"/>
    <s v="68-77"/>
    <n v="76"/>
    <d v="1942-06-20T00:00:00"/>
    <s v="Massachusetts"/>
    <s v="MA"/>
    <s v="Female"/>
    <s v="Widowed"/>
    <s v="Production Manager"/>
    <s v="Active"/>
    <s v="Contract"/>
    <s v="Zone A"/>
    <s v="Production       "/>
    <s v="Field Operations"/>
    <s v="Hispanic"/>
    <s v="Fully Meets"/>
    <n v="4"/>
  </r>
  <r>
    <x v="2683"/>
    <x v="0"/>
    <x v="709"/>
    <s v="68-77"/>
    <n v="76"/>
    <d v="1942-09-16T00:00:00"/>
    <s v="Massachusetts"/>
    <s v="MA"/>
    <s v="Female"/>
    <s v="Divorced"/>
    <s v="IT Support"/>
    <s v="Active"/>
    <s v="Part-Time"/>
    <s v="Zone B"/>
    <s v="IT/IS"/>
    <s v="Wireless"/>
    <s v="White"/>
    <s v="PIP"/>
    <n v="2"/>
  </r>
  <r>
    <x v="2684"/>
    <x v="1"/>
    <x v="1110"/>
    <s v="68-77"/>
    <n v="76"/>
    <d v="1943-02-01T00:00:00"/>
    <s v="Texas"/>
    <s v="TX"/>
    <s v="Male"/>
    <s v="Single"/>
    <s v="Database Administrator"/>
    <s v="Terminated"/>
    <s v="Full-Time"/>
    <s v="Zone B"/>
    <s v="IT/IS"/>
    <s v="Engineers"/>
    <s v="Asian"/>
    <s v="Exceeds"/>
    <n v="4"/>
  </r>
  <r>
    <x v="2685"/>
    <x v="1"/>
    <x v="1239"/>
    <s v="68-77"/>
    <n v="76"/>
    <d v="1943-01-17T00:00:00"/>
    <s v="Massachusetts"/>
    <s v="MA"/>
    <s v="Male"/>
    <s v="Single"/>
    <s v="Data Analyst"/>
    <s v="Active"/>
    <s v="Contract"/>
    <s v="Zone C"/>
    <s v="IT/IS"/>
    <s v="Field Operations"/>
    <s v="Asian"/>
    <s v="Fully Meets"/>
    <n v="1"/>
  </r>
  <r>
    <x v="2686"/>
    <x v="1"/>
    <x v="580"/>
    <s v="68-77"/>
    <n v="76"/>
    <d v="1943-02-27T00:00:00"/>
    <s v="Massachusetts"/>
    <s v="MA"/>
    <s v="Male"/>
    <s v="Widowed"/>
    <s v="Data Analyst"/>
    <s v="Active"/>
    <s v="Contract"/>
    <s v="Zone B"/>
    <s v="Production       "/>
    <s v="Engineers"/>
    <s v="Hispanic"/>
    <s v="Fully Meets"/>
    <n v="3"/>
  </r>
  <r>
    <x v="2687"/>
    <x v="4"/>
    <x v="471"/>
    <s v="68-77"/>
    <n v="76"/>
    <d v="1946-06-17T00:00:00"/>
    <s v="Massachusetts"/>
    <s v="MA"/>
    <s v="Female"/>
    <s v="Married"/>
    <s v="BI Developer"/>
    <s v="Terminated"/>
    <s v="Part-Time"/>
    <s v="Zone B"/>
    <s v="IT/IS"/>
    <s v="Wireline Construction"/>
    <s v="Other"/>
    <s v="Fully Meets"/>
    <n v="5"/>
  </r>
  <r>
    <x v="2688"/>
    <x v="2"/>
    <x v="767"/>
    <s v="68-77"/>
    <n v="76"/>
    <d v="1944-02-10T00:00:00"/>
    <s v="Texas"/>
    <s v="TX"/>
    <s v="Male"/>
    <s v="Married"/>
    <s v="Area Sales Manager"/>
    <s v="Active"/>
    <s v="Full-Time"/>
    <s v="Zone A"/>
    <s v="Sales"/>
    <s v="Aerial"/>
    <s v="Asian"/>
    <s v="Fully Meets"/>
    <n v="3"/>
  </r>
  <r>
    <x v="2689"/>
    <x v="3"/>
    <x v="1435"/>
    <s v="68-77"/>
    <n v="76"/>
    <d v="1945-09-12T00:00:00"/>
    <s v="Idaho"/>
    <s v="ID"/>
    <s v="Male"/>
    <s v="Single"/>
    <s v="Area Sales Manager"/>
    <s v="Active"/>
    <s v="Contract"/>
    <s v="Zone A"/>
    <s v="Sales"/>
    <s v="General - Con"/>
    <s v="Asian"/>
    <s v="Fully Meets"/>
    <n v="1"/>
  </r>
  <r>
    <x v="2690"/>
    <x v="2"/>
    <x v="857"/>
    <s v="68-77"/>
    <n v="76"/>
    <d v="1944-09-25T00:00:00"/>
    <s v="Idaho"/>
    <s v="ID"/>
    <s v="Male"/>
    <s v="Divorced"/>
    <s v="Area Sales Manager"/>
    <s v="Active"/>
    <s v="Contract"/>
    <s v="Zone A"/>
    <s v="Sales"/>
    <s v="Field Operations"/>
    <s v="Asian"/>
    <s v="Fully Meets"/>
    <n v="5"/>
  </r>
  <r>
    <x v="2691"/>
    <x v="0"/>
    <x v="596"/>
    <s v="68-77"/>
    <n v="76"/>
    <d v="1942-08-09T00:00:00"/>
    <s v="Colorado"/>
    <s v="CO"/>
    <s v="Male"/>
    <s v="Divorced"/>
    <s v="Area Sales Manager"/>
    <s v="Active"/>
    <s v="Contract"/>
    <s v="Zone A"/>
    <s v="Sales"/>
    <s v="Field Operations"/>
    <s v="Hispanic"/>
    <s v="Needs Improvement"/>
    <n v="3"/>
  </r>
  <r>
    <x v="2692"/>
    <x v="3"/>
    <x v="184"/>
    <s v="68-77"/>
    <n v="76"/>
    <d v="1945-03-16T00:00:00"/>
    <s v="Arizona"/>
    <s v="AZ"/>
    <s v="Male"/>
    <s v="Single"/>
    <s v="Area Sales Manager"/>
    <s v="Active"/>
    <s v="Part-Time"/>
    <s v="Zone A"/>
    <s v="Sales"/>
    <s v="Engineers"/>
    <s v="White"/>
    <s v="Fully Meets"/>
    <n v="5"/>
  </r>
  <r>
    <x v="2693"/>
    <x v="0"/>
    <x v="1183"/>
    <s v="68-77"/>
    <n v="76"/>
    <d v="1942-08-06T00:00:00"/>
    <s v="Arizona"/>
    <s v="AZ"/>
    <s v="Male"/>
    <s v="Single"/>
    <s v="Area Sales Manager"/>
    <s v="Active"/>
    <s v="Part-Time"/>
    <s v="Zone B"/>
    <s v="Sales"/>
    <s v="Technology / It"/>
    <s v="White"/>
    <s v="Fully Meets"/>
    <n v="5"/>
  </r>
  <r>
    <x v="2694"/>
    <x v="3"/>
    <x v="1436"/>
    <s v="68-77"/>
    <n v="76"/>
    <d v="1945-05-20T00:00:00"/>
    <s v="Massachusetts"/>
    <s v="MA"/>
    <s v="Female"/>
    <s v="Single"/>
    <s v="Administrative Assistant"/>
    <s v="Active"/>
    <s v="Full-Time"/>
    <s v="Zone B"/>
    <s v="Admin Offices"/>
    <s v="General - Con"/>
    <s v="Hispanic"/>
    <s v="Fully Meets"/>
    <n v="2"/>
  </r>
  <r>
    <x v="2695"/>
    <x v="1"/>
    <x v="171"/>
    <s v="68-77"/>
    <n v="77"/>
    <d v="1942-09-12T00:00:00"/>
    <s v="Massachusetts"/>
    <s v="MA"/>
    <s v="Female"/>
    <s v="Married"/>
    <s v="Sr. Network Engineer"/>
    <s v="Active"/>
    <s v="Part-Time"/>
    <s v="Zone B"/>
    <s v="IT/IS"/>
    <s v="Aerial"/>
    <s v="White"/>
    <s v="Exceeds"/>
    <n v="5"/>
  </r>
  <r>
    <x v="2696"/>
    <x v="5"/>
    <x v="1437"/>
    <s v="68-77"/>
    <n v="77"/>
    <d v="1946-10-22T00:00:00"/>
    <s v="Massachusetts"/>
    <s v="MA"/>
    <s v="Male"/>
    <s v="Divorced"/>
    <s v="Sr. Network Engineer"/>
    <s v="Active"/>
    <s v="Contract"/>
    <s v="Zone B"/>
    <s v="Admin Offices"/>
    <s v="Wireline Construction"/>
    <s v="Hispanic"/>
    <s v="Fully Meets"/>
    <n v="2"/>
  </r>
  <r>
    <x v="2697"/>
    <x v="2"/>
    <x v="1438"/>
    <s v="68-77"/>
    <n v="77"/>
    <d v="1943-01-28T00:00:00"/>
    <s v="Massachusetts"/>
    <s v="MA"/>
    <s v="Female"/>
    <s v="Widowed"/>
    <s v="Software Engineer"/>
    <s v="Active"/>
    <s v="Contract"/>
    <s v="Zone C"/>
    <s v="Software Engineering"/>
    <s v="General - Eng"/>
    <s v="White"/>
    <s v="Fully Meets"/>
    <n v="3"/>
  </r>
  <r>
    <x v="2698"/>
    <x v="1"/>
    <x v="5"/>
    <s v="68-77"/>
    <n v="77"/>
    <d v="1942-01-20T00:00:00"/>
    <s v="Massachusetts"/>
    <s v="MA"/>
    <s v="Male"/>
    <s v="Widowed"/>
    <s v="Senior BI Developer"/>
    <s v="Active"/>
    <s v="Contract"/>
    <s v="Zone A"/>
    <s v="Admin Offices"/>
    <s v="Yard (Material Handling)"/>
    <s v="Black"/>
    <s v="Fully Meets"/>
    <n v="1"/>
  </r>
  <r>
    <x v="2699"/>
    <x v="3"/>
    <x v="268"/>
    <s v="68-77"/>
    <n v="77"/>
    <d v="1944-12-14T00:00:00"/>
    <s v="Massachusetts"/>
    <s v="MA"/>
    <s v="Male"/>
    <s v="Widowed"/>
    <s v="Senior BI Developer"/>
    <s v="Active"/>
    <s v="Part-Time"/>
    <s v="Zone C"/>
    <s v="Admin Offices"/>
    <s v="Engineers"/>
    <s v="Black"/>
    <s v="Fully Meets"/>
    <n v="4"/>
  </r>
  <r>
    <x v="2700"/>
    <x v="2"/>
    <x v="1439"/>
    <s v="68-77"/>
    <n v="77"/>
    <d v="1943-09-23T00:00:00"/>
    <s v="Massachusetts"/>
    <s v="MA"/>
    <s v="Female"/>
    <s v="Widowed"/>
    <s v="Sales Manager"/>
    <s v="Active"/>
    <s v="Part-Time"/>
    <s v="Zone C"/>
    <s v="IT/IS"/>
    <s v="Engineers"/>
    <s v="Other"/>
    <s v="Fully Meets"/>
    <n v="2"/>
  </r>
  <r>
    <x v="2701"/>
    <x v="1"/>
    <x v="1440"/>
    <s v="68-77"/>
    <n v="77"/>
    <d v="1942-03-05T00:00:00"/>
    <s v="Pennsylvania"/>
    <s v="PA"/>
    <s v="Female"/>
    <s v="Married"/>
    <s v="Production Technician II"/>
    <s v="Active"/>
    <s v="Contract"/>
    <s v="Zone C"/>
    <s v="Sales"/>
    <s v="Field Operations"/>
    <s v="Asian"/>
    <s v="Fully Meets"/>
    <n v="5"/>
  </r>
  <r>
    <x v="2702"/>
    <x v="2"/>
    <x v="1441"/>
    <s v="68-77"/>
    <n v="77"/>
    <d v="1943-06-25T00:00:00"/>
    <s v="Massachusetts"/>
    <s v="MA"/>
    <s v="Male"/>
    <s v="Married"/>
    <s v="Production Technician II"/>
    <s v="Active"/>
    <s v="Full-Time"/>
    <s v="Zone C"/>
    <s v="Production       "/>
    <s v="Field Operations"/>
    <s v="Asian"/>
    <s v="Fully Meets"/>
    <n v="3"/>
  </r>
  <r>
    <x v="2703"/>
    <x v="2"/>
    <x v="829"/>
    <s v="68-77"/>
    <n v="77"/>
    <d v="1943-10-09T00:00:00"/>
    <s v="Massachusetts"/>
    <s v="MA"/>
    <s v="Male"/>
    <s v="Single"/>
    <s v="Production Technician II"/>
    <s v="Terminated"/>
    <s v="Part-Time"/>
    <s v="Zone B"/>
    <s v="Production       "/>
    <s v="Aerial"/>
    <s v="White"/>
    <s v="Fully Meets"/>
    <n v="5"/>
  </r>
  <r>
    <x v="2704"/>
    <x v="3"/>
    <x v="294"/>
    <s v="68-77"/>
    <n v="77"/>
    <d v="1944-06-09T00:00:00"/>
    <s v="Massachusetts"/>
    <s v="MA"/>
    <s v="Male"/>
    <s v="Widowed"/>
    <s v="Production Technician II"/>
    <s v="Active"/>
    <s v="Full-Time"/>
    <s v="Zone A"/>
    <s v="Production       "/>
    <s v="Fielders"/>
    <s v="Black"/>
    <s v="Fully Meets"/>
    <n v="5"/>
  </r>
  <r>
    <x v="2705"/>
    <x v="2"/>
    <x v="87"/>
    <s v="68-77"/>
    <n v="77"/>
    <d v="1943-01-20T00:00:00"/>
    <s v="Massachusetts"/>
    <s v="MA"/>
    <s v="Female"/>
    <s v="Widowed"/>
    <s v="Production Technician II"/>
    <s v="Active"/>
    <s v="Contract"/>
    <s v="Zone C"/>
    <s v="Production       "/>
    <s v="General - Con"/>
    <s v="Hispanic"/>
    <s v="Fully Meets"/>
    <n v="5"/>
  </r>
  <r>
    <x v="2706"/>
    <x v="2"/>
    <x v="1306"/>
    <s v="68-77"/>
    <n v="77"/>
    <d v="1943-07-14T00:00:00"/>
    <s v="Massachusetts"/>
    <s v="MA"/>
    <s v="Male"/>
    <s v="Single"/>
    <s v="Production Technician II"/>
    <s v="Active"/>
    <s v="Part-Time"/>
    <s v="Zone B"/>
    <s v="Production       "/>
    <s v="Engineers"/>
    <s v="Other"/>
    <s v="Fully Meets"/>
    <n v="2"/>
  </r>
  <r>
    <x v="2707"/>
    <x v="3"/>
    <x v="1006"/>
    <s v="68-77"/>
    <n v="77"/>
    <d v="1944-05-11T00:00:00"/>
    <s v="Massachusetts"/>
    <s v="MA"/>
    <s v="Female"/>
    <s v="Single"/>
    <s v="Production Technician II"/>
    <s v="Terminated"/>
    <s v="Full-Time"/>
    <s v="Zone A"/>
    <s v="Production       "/>
    <s v="Field Operations"/>
    <s v="Black"/>
    <s v="Fully Meets"/>
    <n v="5"/>
  </r>
  <r>
    <x v="2708"/>
    <x v="3"/>
    <x v="1442"/>
    <s v="68-77"/>
    <n v="77"/>
    <d v="1944-12-09T00:00:00"/>
    <s v="Massachusetts"/>
    <s v="MA"/>
    <s v="Female"/>
    <s v="Single"/>
    <s v="Production Technician II"/>
    <s v="Terminated"/>
    <s v="Part-Time"/>
    <s v="Zone A"/>
    <s v="Production       "/>
    <s v="Field Operations"/>
    <s v="Asian"/>
    <s v="Fully Meets"/>
    <n v="1"/>
  </r>
  <r>
    <x v="2709"/>
    <x v="3"/>
    <x v="208"/>
    <s v="68-77"/>
    <n v="77"/>
    <d v="1944-06-01T00:00:00"/>
    <s v="Massachusetts"/>
    <s v="MA"/>
    <s v="Female"/>
    <s v="Married"/>
    <s v="Production Technician I"/>
    <s v="Active"/>
    <s v="Full-Time"/>
    <s v="Zone A"/>
    <s v="Production       "/>
    <s v="Field Operations"/>
    <s v="Hispanic"/>
    <s v="Fully Meets"/>
    <n v="5"/>
  </r>
  <r>
    <x v="2710"/>
    <x v="3"/>
    <x v="130"/>
    <s v="68-77"/>
    <n v="77"/>
    <d v="1944-02-17T00:00:00"/>
    <s v="Massachusetts"/>
    <s v="MA"/>
    <s v="Male"/>
    <s v="Widowed"/>
    <s v="Production Technician I"/>
    <s v="Terminated"/>
    <s v="Part-Time"/>
    <s v="Zone C"/>
    <s v="Production       "/>
    <s v="Technology / It"/>
    <s v="Black"/>
    <s v="Fully Meets"/>
    <n v="5"/>
  </r>
  <r>
    <x v="2711"/>
    <x v="4"/>
    <x v="163"/>
    <s v="68-77"/>
    <n v="77"/>
    <d v="1945-10-03T00:00:00"/>
    <s v="Massachusetts"/>
    <s v="MA"/>
    <s v="Male"/>
    <s v="Married"/>
    <s v="Production Technician I"/>
    <s v="Active"/>
    <s v="Contract"/>
    <s v="Zone C"/>
    <s v="Production       "/>
    <s v="Field Operations"/>
    <s v="Asian"/>
    <s v="Fully Meets"/>
    <n v="4"/>
  </r>
  <r>
    <x v="2712"/>
    <x v="2"/>
    <x v="1443"/>
    <s v="68-77"/>
    <n v="77"/>
    <d v="1943-03-08T00:00:00"/>
    <s v="Massachusetts"/>
    <s v="MA"/>
    <s v="Male"/>
    <s v="Divorced"/>
    <s v="Production Technician I"/>
    <s v="Active"/>
    <s v="Full-Time"/>
    <s v="Zone A"/>
    <s v="Production       "/>
    <s v="Wireline Construction"/>
    <s v="Other"/>
    <s v="Fully Meets"/>
    <n v="4"/>
  </r>
  <r>
    <x v="2713"/>
    <x v="1"/>
    <x v="539"/>
    <s v="68-77"/>
    <n v="77"/>
    <d v="1942-04-21T00:00:00"/>
    <s v="Massachusetts"/>
    <s v="MA"/>
    <s v="Male"/>
    <s v="Married"/>
    <s v="Production Technician I"/>
    <s v="Active"/>
    <s v="Full-Time"/>
    <s v="Zone C"/>
    <s v="Production       "/>
    <s v="Field Operations"/>
    <s v="Other"/>
    <s v="Fully Meets"/>
    <n v="4"/>
  </r>
  <r>
    <x v="2714"/>
    <x v="2"/>
    <x v="87"/>
    <s v="68-77"/>
    <n v="77"/>
    <d v="1943-10-04T00:00:00"/>
    <s v="Massachusetts"/>
    <s v="MA"/>
    <s v="Female"/>
    <s v="Single"/>
    <s v="Production Technician I"/>
    <s v="Terminated"/>
    <s v="Part-Time"/>
    <s v="Zone B"/>
    <s v="Production       "/>
    <s v="General - Con"/>
    <s v="Other"/>
    <s v="Exceeds"/>
    <n v="3"/>
  </r>
  <r>
    <x v="2715"/>
    <x v="4"/>
    <x v="309"/>
    <s v="68-77"/>
    <n v="77"/>
    <d v="1945-12-18T00:00:00"/>
    <s v="Massachusetts"/>
    <s v="MA"/>
    <s v="Male"/>
    <s v="Widowed"/>
    <s v="Production Technician I"/>
    <s v="Active"/>
    <s v="Contract"/>
    <s v="Zone C"/>
    <s v="Production       "/>
    <s v="Engineers"/>
    <s v="Other"/>
    <s v="Fully Meets"/>
    <n v="3"/>
  </r>
  <r>
    <x v="2716"/>
    <x v="4"/>
    <x v="1321"/>
    <s v="68-77"/>
    <n v="77"/>
    <d v="1945-01-28T00:00:00"/>
    <s v="Massachusetts"/>
    <s v="MA"/>
    <s v="Male"/>
    <s v="Married"/>
    <s v="Production Technician I"/>
    <s v="Active"/>
    <s v="Part-Time"/>
    <s v="Zone A"/>
    <s v="Production       "/>
    <s v="Technology / It"/>
    <s v="Black"/>
    <s v="Fully Meets"/>
    <n v="2"/>
  </r>
  <r>
    <x v="2717"/>
    <x v="2"/>
    <x v="854"/>
    <s v="68-77"/>
    <n v="77"/>
    <d v="1943-05-12T00:00:00"/>
    <s v="Massachusetts"/>
    <s v="MA"/>
    <s v="Male"/>
    <s v="Married"/>
    <s v="Production Technician I"/>
    <s v="Active"/>
    <s v="Full-Time"/>
    <s v="Zone B"/>
    <s v="Production       "/>
    <s v="Fielders"/>
    <s v="Black"/>
    <s v="Fully Meets"/>
    <n v="1"/>
  </r>
  <r>
    <x v="2718"/>
    <x v="4"/>
    <x v="1122"/>
    <s v="68-77"/>
    <n v="77"/>
    <d v="1945-02-06T00:00:00"/>
    <s v="Massachusetts"/>
    <s v="MA"/>
    <s v="Female"/>
    <s v="Single"/>
    <s v="Production Technician I"/>
    <s v="Active"/>
    <s v="Full-Time"/>
    <s v="Zone C"/>
    <s v="Production       "/>
    <s v="Field Operations"/>
    <s v="Black"/>
    <s v="Fully Meets"/>
    <n v="5"/>
  </r>
  <r>
    <x v="2719"/>
    <x v="4"/>
    <x v="1164"/>
    <s v="68-77"/>
    <n v="77"/>
    <d v="1945-01-25T00:00:00"/>
    <s v="Massachusetts"/>
    <s v="MA"/>
    <s v="Male"/>
    <s v="Divorced"/>
    <s v="Production Technician I"/>
    <s v="Active"/>
    <s v="Full-Time"/>
    <s v="Zone A"/>
    <s v="Production       "/>
    <s v="Field Operations"/>
    <s v="White"/>
    <s v="Fully Meets"/>
    <n v="1"/>
  </r>
  <r>
    <x v="2720"/>
    <x v="4"/>
    <x v="1166"/>
    <s v="68-77"/>
    <n v="77"/>
    <d v="1945-12-18T00:00:00"/>
    <s v="Massachusetts"/>
    <s v="MA"/>
    <s v="Female"/>
    <s v="Married"/>
    <s v="Production Technician I"/>
    <s v="Active"/>
    <s v="Part-Time"/>
    <s v="Zone A"/>
    <s v="Production       "/>
    <s v="Executive"/>
    <s v="Hispanic"/>
    <s v="Needs Improvement"/>
    <n v="3"/>
  </r>
  <r>
    <x v="2721"/>
    <x v="3"/>
    <x v="1058"/>
    <s v="68-77"/>
    <n v="77"/>
    <d v="1944-07-10T00:00:00"/>
    <s v="Massachusetts"/>
    <s v="MA"/>
    <s v="Male"/>
    <s v="Single"/>
    <s v="Production Technician I"/>
    <s v="Active"/>
    <s v="Part-Time"/>
    <s v="Zone C"/>
    <s v="Production       "/>
    <s v="Splicing"/>
    <s v="Asian"/>
    <s v="Fully Meets"/>
    <n v="1"/>
  </r>
  <r>
    <x v="2722"/>
    <x v="1"/>
    <x v="856"/>
    <s v="68-77"/>
    <n v="77"/>
    <d v="1942-02-24T00:00:00"/>
    <s v="Massachusetts"/>
    <s v="MA"/>
    <s v="Female"/>
    <s v="Single"/>
    <s v="Production Technician I"/>
    <s v="Terminated"/>
    <s v="Part-Time"/>
    <s v="Zone B"/>
    <s v="Production       "/>
    <s v="Finance &amp; Accounting"/>
    <s v="Other"/>
    <s v="Exceeds"/>
    <n v="2"/>
  </r>
  <r>
    <x v="2723"/>
    <x v="2"/>
    <x v="1053"/>
    <s v="68-77"/>
    <n v="77"/>
    <d v="1943-12-25T00:00:00"/>
    <s v="Massachusetts"/>
    <s v="MA"/>
    <s v="Female"/>
    <s v="Married"/>
    <s v="Production Technician I"/>
    <s v="Active"/>
    <s v="Full-Time"/>
    <s v="Zone A"/>
    <s v="Production       "/>
    <s v="General - Con"/>
    <s v="Asian"/>
    <s v="Fully Meets"/>
    <n v="1"/>
  </r>
  <r>
    <x v="2724"/>
    <x v="3"/>
    <x v="768"/>
    <s v="68-77"/>
    <n v="77"/>
    <d v="1944-03-26T00:00:00"/>
    <s v="Massachusetts"/>
    <s v="MA"/>
    <s v="Female"/>
    <s v="Married"/>
    <s v="Production Technician I"/>
    <s v="Active"/>
    <s v="Contract"/>
    <s v="Zone B"/>
    <s v="Production       "/>
    <s v="Aerial"/>
    <s v="Hispanic"/>
    <s v="Fully Meets"/>
    <n v="5"/>
  </r>
  <r>
    <x v="2725"/>
    <x v="1"/>
    <x v="1444"/>
    <s v="68-77"/>
    <n v="77"/>
    <d v="1942-11-07T00:00:00"/>
    <s v="Massachusetts"/>
    <s v="MA"/>
    <s v="Female"/>
    <s v="Divorced"/>
    <s v="Production Technician I"/>
    <s v="Active"/>
    <s v="Full-Time"/>
    <s v="Zone C"/>
    <s v="Production       "/>
    <s v="General - Eng"/>
    <s v="Hispanic"/>
    <s v="Fully Meets"/>
    <n v="4"/>
  </r>
  <r>
    <x v="2726"/>
    <x v="1"/>
    <x v="1431"/>
    <s v="68-77"/>
    <n v="77"/>
    <d v="1942-06-22T00:00:00"/>
    <s v="Massachusetts"/>
    <s v="MA"/>
    <s v="Male"/>
    <s v="Widowed"/>
    <s v="Production Technician I"/>
    <s v="Active"/>
    <s v="Contract"/>
    <s v="Zone C"/>
    <s v="Production       "/>
    <s v="Field Operations"/>
    <s v="White"/>
    <s v="Fully Meets"/>
    <n v="1"/>
  </r>
  <r>
    <x v="2727"/>
    <x v="2"/>
    <x v="100"/>
    <s v="68-77"/>
    <n v="77"/>
    <d v="1943-10-18T00:00:00"/>
    <s v="Massachusetts"/>
    <s v="MA"/>
    <s v="Female"/>
    <s v="Married"/>
    <s v="Production Technician I"/>
    <s v="Active"/>
    <s v="Contract"/>
    <s v="Zone B"/>
    <s v="Production       "/>
    <s v="Fielders"/>
    <s v="White"/>
    <s v="Fully Meets"/>
    <n v="1"/>
  </r>
  <r>
    <x v="2728"/>
    <x v="1"/>
    <x v="14"/>
    <s v="68-77"/>
    <n v="77"/>
    <d v="1942-06-21T00:00:00"/>
    <s v="Massachusetts"/>
    <s v="MA"/>
    <s v="Female"/>
    <s v="Single"/>
    <s v="Production Technician I"/>
    <s v="Active"/>
    <s v="Part-Time"/>
    <s v="Zone B"/>
    <s v="Production       "/>
    <s v="Field Operations"/>
    <s v="Black"/>
    <s v="Needs Improvement"/>
    <n v="3"/>
  </r>
  <r>
    <x v="2729"/>
    <x v="4"/>
    <x v="792"/>
    <s v="68-77"/>
    <n v="77"/>
    <d v="1945-08-08T00:00:00"/>
    <s v="Massachusetts"/>
    <s v="MA"/>
    <s v="Female"/>
    <s v="Widowed"/>
    <s v="Production Technician I"/>
    <s v="Active"/>
    <s v="Contract"/>
    <s v="Zone C"/>
    <s v="Production       "/>
    <s v="Wireline Construction"/>
    <s v="White"/>
    <s v="Exceeds"/>
    <n v="2"/>
  </r>
  <r>
    <x v="2730"/>
    <x v="3"/>
    <x v="339"/>
    <s v="68-77"/>
    <n v="77"/>
    <d v="1944-12-09T00:00:00"/>
    <s v="Massachusetts"/>
    <s v="MA"/>
    <s v="Female"/>
    <s v="Widowed"/>
    <s v="Production Technician I"/>
    <s v="Active"/>
    <s v="Full-Time"/>
    <s v="Zone B"/>
    <s v="Production       "/>
    <s v="Field Operations"/>
    <s v="White"/>
    <s v="Exceeds"/>
    <n v="3"/>
  </r>
  <r>
    <x v="2731"/>
    <x v="1"/>
    <x v="388"/>
    <s v="68-77"/>
    <n v="77"/>
    <d v="1942-07-01T00:00:00"/>
    <s v="Massachusetts"/>
    <s v="MA"/>
    <s v="Female"/>
    <s v="Single"/>
    <s v="Production Technician I"/>
    <s v="Active"/>
    <s v="Full-Time"/>
    <s v="Zone C"/>
    <s v="Production       "/>
    <s v="General - Con"/>
    <s v="Other"/>
    <s v="Fully Meets"/>
    <n v="3"/>
  </r>
  <r>
    <x v="2732"/>
    <x v="2"/>
    <x v="1445"/>
    <s v="68-77"/>
    <n v="77"/>
    <d v="1943-09-18T00:00:00"/>
    <s v="Massachusetts"/>
    <s v="MA"/>
    <s v="Female"/>
    <s v="Widowed"/>
    <s v="Production Technician I"/>
    <s v="Terminated"/>
    <s v="Full-Time"/>
    <s v="Zone A"/>
    <s v="Production       "/>
    <s v="General - Con"/>
    <s v="Black"/>
    <s v="Fully Meets"/>
    <n v="5"/>
  </r>
  <r>
    <x v="2733"/>
    <x v="5"/>
    <x v="1093"/>
    <s v="68-77"/>
    <n v="77"/>
    <d v="1946-03-27T00:00:00"/>
    <s v="Massachusetts"/>
    <s v="MA"/>
    <s v="Male"/>
    <s v="Divorced"/>
    <s v="Production Technician I"/>
    <s v="Active"/>
    <s v="Full-Time"/>
    <s v="Zone A"/>
    <s v="Production       "/>
    <s v="Field Operations"/>
    <s v="Other"/>
    <s v="Fully Meets"/>
    <n v="5"/>
  </r>
  <r>
    <x v="2734"/>
    <x v="3"/>
    <x v="487"/>
    <s v="68-77"/>
    <n v="77"/>
    <d v="1944-03-19T00:00:00"/>
    <s v="Massachusetts"/>
    <s v="MA"/>
    <s v="Female"/>
    <s v="Widowed"/>
    <s v="Production Technician I"/>
    <s v="Active"/>
    <s v="Full-Time"/>
    <s v="Zone A"/>
    <s v="Production       "/>
    <s v="Engineers"/>
    <s v="White"/>
    <s v="Fully Meets"/>
    <n v="1"/>
  </r>
  <r>
    <x v="2735"/>
    <x v="2"/>
    <x v="1324"/>
    <s v="68-77"/>
    <n v="77"/>
    <d v="1943-11-14T00:00:00"/>
    <s v="Massachusetts"/>
    <s v="MA"/>
    <s v="Male"/>
    <s v="Married"/>
    <s v="Production Manager"/>
    <s v="Active"/>
    <s v="Contract"/>
    <s v="Zone A"/>
    <s v="Production       "/>
    <s v="Splicing"/>
    <s v="Black"/>
    <s v="Fully Meets"/>
    <n v="3"/>
  </r>
  <r>
    <x v="2736"/>
    <x v="3"/>
    <x v="1414"/>
    <s v="68-77"/>
    <n v="77"/>
    <d v="1944-05-10T00:00:00"/>
    <s v="Massachusetts"/>
    <s v="MA"/>
    <s v="Female"/>
    <s v="Single"/>
    <s v="Production Manager"/>
    <s v="Active"/>
    <s v="Contract"/>
    <s v="Zone B"/>
    <s v="Production       "/>
    <s v="Engineers"/>
    <s v="White"/>
    <s v="Fully Meets"/>
    <n v="3"/>
  </r>
  <r>
    <x v="2737"/>
    <x v="4"/>
    <x v="166"/>
    <s v="68-77"/>
    <n v="77"/>
    <d v="1945-09-23T00:00:00"/>
    <s v="Massachusetts"/>
    <s v="MA"/>
    <s v="Female"/>
    <s v="Divorced"/>
    <s v="Production Manager"/>
    <s v="Terminated"/>
    <s v="Full-Time"/>
    <s v="Zone C"/>
    <s v="Production       "/>
    <s v="Field Operations"/>
    <s v="Asian"/>
    <s v="Fully Meets"/>
    <n v="1"/>
  </r>
  <r>
    <x v="2738"/>
    <x v="1"/>
    <x v="1440"/>
    <s v="68-77"/>
    <n v="77"/>
    <d v="1942-01-24T00:00:00"/>
    <s v="Massachusetts"/>
    <s v="MA"/>
    <s v="Male"/>
    <s v="Single"/>
    <s v="Network Engineer"/>
    <s v="Active"/>
    <s v="Part-Time"/>
    <s v="Zone B"/>
    <s v="Executive Office"/>
    <s v="Technology / It"/>
    <s v="Black"/>
    <s v="Fully Meets"/>
    <n v="2"/>
  </r>
  <r>
    <x v="2739"/>
    <x v="2"/>
    <x v="1190"/>
    <s v="68-77"/>
    <n v="77"/>
    <d v="1943-11-30T00:00:00"/>
    <s v="Massachusetts"/>
    <s v="MA"/>
    <s v="Female"/>
    <s v="Married"/>
    <s v="IT Support"/>
    <s v="Active"/>
    <s v="Contract"/>
    <s v="Zone A"/>
    <s v="IT/IS"/>
    <s v="Splicing"/>
    <s v="Other"/>
    <s v="Fully Meets"/>
    <n v="3"/>
  </r>
  <r>
    <x v="2740"/>
    <x v="3"/>
    <x v="1446"/>
    <s v="68-77"/>
    <n v="77"/>
    <d v="1944-05-26T00:00:00"/>
    <s v="Massachusetts"/>
    <s v="MA"/>
    <s v="Female"/>
    <s v="Married"/>
    <s v="IT Support"/>
    <s v="Active"/>
    <s v="Part-Time"/>
    <s v="Zone C"/>
    <s v="IT/IS"/>
    <s v="General - Eng"/>
    <s v="Other"/>
    <s v="Needs Improvement"/>
    <n v="1"/>
  </r>
  <r>
    <x v="2741"/>
    <x v="2"/>
    <x v="565"/>
    <s v="68-77"/>
    <n v="77"/>
    <d v="1943-05-16T00:00:00"/>
    <s v="Massachusetts"/>
    <s v="MA"/>
    <s v="Female"/>
    <s v="Single"/>
    <s v="IT Support"/>
    <s v="Active"/>
    <s v="Full-Time"/>
    <s v="Zone C"/>
    <s v="IT/IS"/>
    <s v="Splicing"/>
    <s v="Other"/>
    <s v="Fully Meets"/>
    <n v="1"/>
  </r>
  <r>
    <x v="2742"/>
    <x v="5"/>
    <x v="720"/>
    <s v="68-77"/>
    <n v="77"/>
    <d v="1946-04-14T00:00:00"/>
    <s v="Massachusetts"/>
    <s v="MA"/>
    <s v="Male"/>
    <s v="Married"/>
    <s v="IT Manager - DB"/>
    <s v="Active"/>
    <s v="Full-Time"/>
    <s v="Zone C"/>
    <s v="IT/IS"/>
    <s v="Splicing"/>
    <s v="White"/>
    <s v="Fully Meets"/>
    <n v="3"/>
  </r>
  <r>
    <x v="2743"/>
    <x v="5"/>
    <x v="1127"/>
    <s v="68-77"/>
    <n v="77"/>
    <d v="1946-12-17T00:00:00"/>
    <s v="Massachusetts"/>
    <s v="MA"/>
    <s v="Female"/>
    <s v="Divorced"/>
    <s v="Data Analyst"/>
    <s v="Active"/>
    <s v="Contract"/>
    <s v="Zone C"/>
    <s v="IT/IS"/>
    <s v="General - Con"/>
    <s v="Hispanic"/>
    <s v="Fully Meets"/>
    <n v="1"/>
  </r>
  <r>
    <x v="2744"/>
    <x v="2"/>
    <x v="911"/>
    <s v="68-77"/>
    <n v="77"/>
    <d v="1943-02-13T00:00:00"/>
    <s v="Massachusetts"/>
    <s v="MA"/>
    <s v="Female"/>
    <s v="Divorced"/>
    <s v="Data Analyst"/>
    <s v="Active"/>
    <s v="Part-Time"/>
    <s v="Zone C"/>
    <s v="Production       "/>
    <s v="Engineers"/>
    <s v="Asian"/>
    <s v="Fully Meets"/>
    <n v="5"/>
  </r>
  <r>
    <x v="2745"/>
    <x v="3"/>
    <x v="45"/>
    <s v="68-77"/>
    <n v="77"/>
    <d v="1944-02-05T00:00:00"/>
    <s v="Massachusetts"/>
    <s v="MA"/>
    <s v="Female"/>
    <s v="Single"/>
    <s v="BI Developer"/>
    <s v="Terminated"/>
    <s v="Contract"/>
    <s v="Zone C"/>
    <s v="IT/IS"/>
    <s v="General - Con"/>
    <s v="Other"/>
    <s v="Fully Meets"/>
    <n v="3"/>
  </r>
  <r>
    <x v="2746"/>
    <x v="5"/>
    <x v="1258"/>
    <s v="68-77"/>
    <n v="77"/>
    <d v="1946-09-25T00:00:00"/>
    <s v="Kentucky"/>
    <s v="KY"/>
    <s v="Female"/>
    <s v="Divorced"/>
    <s v="Area Sales Manager"/>
    <s v="Active"/>
    <s v="Full-Time"/>
    <s v="Zone A"/>
    <s v="Sales"/>
    <s v="Field Operations"/>
    <s v="Black"/>
    <s v="Fully Meets"/>
    <n v="3"/>
  </r>
  <r>
    <x v="2747"/>
    <x v="2"/>
    <x v="1141"/>
    <s v="68-77"/>
    <n v="77"/>
    <d v="1943-07-24T00:00:00"/>
    <s v="Indiana"/>
    <s v="IN"/>
    <s v="Male"/>
    <s v="Widowed"/>
    <s v="Area Sales Manager"/>
    <s v="Active"/>
    <s v="Contract"/>
    <s v="Zone B"/>
    <s v="Sales"/>
    <s v="Field Operations"/>
    <s v="Hispanic"/>
    <s v="Fully Meets"/>
    <n v="3"/>
  </r>
  <r>
    <x v="2748"/>
    <x v="3"/>
    <x v="957"/>
    <s v="68-77"/>
    <n v="77"/>
    <d v="1944-09-21T00:00:00"/>
    <s v="Idaho"/>
    <s v="ID"/>
    <s v="Male"/>
    <s v="Single"/>
    <s v="Area Sales Manager"/>
    <s v="Active"/>
    <s v="Contract"/>
    <s v="Zone A"/>
    <s v="Sales"/>
    <s v="General - Con"/>
    <s v="Black"/>
    <s v="Fully Meets"/>
    <n v="2"/>
  </r>
  <r>
    <x v="2749"/>
    <x v="1"/>
    <x v="463"/>
    <s v="Above than 77"/>
    <n v="78"/>
    <d v="1941-12-16T00:00:00"/>
    <s v="Massachusetts"/>
    <s v="MA"/>
    <s v="Female"/>
    <s v="Single"/>
    <s v="Sr. Network Engineer"/>
    <s v="Active"/>
    <s v="Full-Time"/>
    <s v="Zone C"/>
    <s v="IT/IS"/>
    <s v="Wireless"/>
    <s v="Hispanic"/>
    <s v="Needs Improvement"/>
    <n v="1"/>
  </r>
  <r>
    <x v="2750"/>
    <x v="3"/>
    <x v="1302"/>
    <s v="Above than 77"/>
    <n v="78"/>
    <d v="1943-09-01T00:00:00"/>
    <s v="Massachusetts"/>
    <s v="MA"/>
    <s v="Male"/>
    <s v="Widowed"/>
    <s v="Software Engineer"/>
    <s v="Active"/>
    <s v="Contract"/>
    <s v="Zone C"/>
    <s v="Software Engineering"/>
    <s v="Wireline Construction"/>
    <s v="Hispanic"/>
    <s v="Fully Meets"/>
    <n v="2"/>
  </r>
  <r>
    <x v="2751"/>
    <x v="2"/>
    <x v="1447"/>
    <s v="Above than 77"/>
    <n v="78"/>
    <d v="1942-02-24T00:00:00"/>
    <s v="Massachusetts"/>
    <s v="MA"/>
    <s v="Female"/>
    <s v="Married"/>
    <s v="Senior BI Developer"/>
    <s v="Active"/>
    <s v="Part-Time"/>
    <s v="Zone A"/>
    <s v="Admin Offices"/>
    <s v="General - Con"/>
    <s v="White"/>
    <s v="Fully Meets"/>
    <n v="1"/>
  </r>
  <r>
    <x v="2752"/>
    <x v="1"/>
    <x v="1448"/>
    <s v="Above than 77"/>
    <n v="78"/>
    <d v="1941-12-14T00:00:00"/>
    <s v="Massachusetts"/>
    <s v="MA"/>
    <s v="Female"/>
    <s v="Married"/>
    <s v="Production Technician II"/>
    <s v="Active"/>
    <s v="Part-Time"/>
    <s v="Zone C"/>
    <s v="Production       "/>
    <s v="General - Sga"/>
    <s v="White"/>
    <s v="Fully Meets"/>
    <n v="3"/>
  </r>
  <r>
    <x v="2753"/>
    <x v="1"/>
    <x v="668"/>
    <s v="Above than 77"/>
    <n v="78"/>
    <d v="1941-10-02T00:00:00"/>
    <s v="Massachusetts"/>
    <s v="MA"/>
    <s v="Female"/>
    <s v="Single"/>
    <s v="Production Technician II"/>
    <s v="Active"/>
    <s v="Full-Time"/>
    <s v="Zone C"/>
    <s v="Production       "/>
    <s v="Field Operations"/>
    <s v="Hispanic"/>
    <s v="Needs Improvement"/>
    <n v="4"/>
  </r>
  <r>
    <x v="2754"/>
    <x v="3"/>
    <x v="1417"/>
    <s v="Above than 77"/>
    <n v="78"/>
    <d v="1943-12-09T00:00:00"/>
    <s v="Massachusetts"/>
    <s v="MA"/>
    <s v="Male"/>
    <s v="Widowed"/>
    <s v="Production Technician II"/>
    <s v="Active"/>
    <s v="Full-Time"/>
    <s v="Zone B"/>
    <s v="Production       "/>
    <s v="Yard (Material Handling)"/>
    <s v="Other"/>
    <s v="Needs Improvement"/>
    <n v="2"/>
  </r>
  <r>
    <x v="2755"/>
    <x v="1"/>
    <x v="222"/>
    <s v="Above than 77"/>
    <n v="78"/>
    <d v="1941-09-10T00:00:00"/>
    <s v="Massachusetts"/>
    <s v="MA"/>
    <s v="Female"/>
    <s v="Married"/>
    <s v="Production Technician II"/>
    <s v="Active"/>
    <s v="Part-Time"/>
    <s v="Zone A"/>
    <s v="Production       "/>
    <s v="General - Con"/>
    <s v="White"/>
    <s v="Exceeds"/>
    <n v="2"/>
  </r>
  <r>
    <x v="2756"/>
    <x v="2"/>
    <x v="459"/>
    <s v="Above than 77"/>
    <n v="78"/>
    <d v="1942-05-07T00:00:00"/>
    <s v="Massachusetts"/>
    <s v="MA"/>
    <s v="Female"/>
    <s v="Widowed"/>
    <s v="Production Technician II"/>
    <s v="Active"/>
    <s v="Contract"/>
    <s v="Zone A"/>
    <s v="Production       "/>
    <s v="Field Operations"/>
    <s v="Asian"/>
    <s v="Fully Meets"/>
    <n v="1"/>
  </r>
  <r>
    <x v="2757"/>
    <x v="1"/>
    <x v="915"/>
    <s v="Above than 77"/>
    <n v="78"/>
    <d v="1941-08-30T00:00:00"/>
    <s v="Massachusetts"/>
    <s v="MA"/>
    <s v="Female"/>
    <s v="Divorced"/>
    <s v="Production Technician II"/>
    <s v="Active"/>
    <s v="Contract"/>
    <s v="Zone B"/>
    <s v="Production       "/>
    <s v="Wireless"/>
    <s v="White"/>
    <s v="Fully Meets"/>
    <n v="3"/>
  </r>
  <r>
    <x v="2758"/>
    <x v="3"/>
    <x v="981"/>
    <s v="Above than 77"/>
    <n v="78"/>
    <d v="1943-06-22T00:00:00"/>
    <s v="Massachusetts"/>
    <s v="MA"/>
    <s v="Female"/>
    <s v="Widowed"/>
    <s v="Production Technician II"/>
    <s v="Active"/>
    <s v="Contract"/>
    <s v="Zone A"/>
    <s v="Production       "/>
    <s v="Field Operations"/>
    <s v="Other"/>
    <s v="Fully Meets"/>
    <n v="2"/>
  </r>
  <r>
    <x v="2759"/>
    <x v="2"/>
    <x v="1400"/>
    <s v="Above than 77"/>
    <n v="78"/>
    <d v="1942-10-06T00:00:00"/>
    <s v="Massachusetts"/>
    <s v="MA"/>
    <s v="Female"/>
    <s v="Divorced"/>
    <s v="Production Technician II"/>
    <s v="Active"/>
    <s v="Contract"/>
    <s v="Zone B"/>
    <s v="Production       "/>
    <s v="Field Operations"/>
    <s v="Black"/>
    <s v="Exceeds"/>
    <n v="2"/>
  </r>
  <r>
    <x v="2760"/>
    <x v="4"/>
    <x v="1330"/>
    <s v="Above than 77"/>
    <n v="78"/>
    <d v="1944-12-20T00:00:00"/>
    <s v="Massachusetts"/>
    <s v="MA"/>
    <s v="Female"/>
    <s v="Widowed"/>
    <s v="Production Technician II"/>
    <s v="Active"/>
    <s v="Part-Time"/>
    <s v="Zone A"/>
    <s v="Production       "/>
    <s v="Splicing"/>
    <s v="Hispanic"/>
    <s v="Needs Improvement"/>
    <n v="3"/>
  </r>
  <r>
    <x v="2761"/>
    <x v="5"/>
    <x v="1449"/>
    <s v="Above than 77"/>
    <n v="78"/>
    <d v="1945-12-31T00:00:00"/>
    <s v="Massachusetts"/>
    <s v="MA"/>
    <s v="Male"/>
    <s v="Single"/>
    <s v="Production Technician I"/>
    <s v="Active"/>
    <s v="Full-Time"/>
    <s v="Zone B"/>
    <s v="Production       "/>
    <s v="Wireline Construction"/>
    <s v="Other"/>
    <s v="Fully Meets"/>
    <n v="3"/>
  </r>
  <r>
    <x v="2762"/>
    <x v="4"/>
    <x v="1450"/>
    <s v="Above than 77"/>
    <n v="78"/>
    <d v="1944-01-14T00:00:00"/>
    <s v="Massachusetts"/>
    <s v="MA"/>
    <s v="Female"/>
    <s v="Married"/>
    <s v="Production Technician I"/>
    <s v="Active"/>
    <s v="Contract"/>
    <s v="Zone C"/>
    <s v="Production       "/>
    <s v="General - Con"/>
    <s v="Black"/>
    <s v="Fully Meets"/>
    <n v="2"/>
  </r>
  <r>
    <x v="2763"/>
    <x v="4"/>
    <x v="1451"/>
    <s v="Above than 77"/>
    <n v="78"/>
    <d v="1944-03-20T00:00:00"/>
    <s v="Massachusetts"/>
    <s v="MA"/>
    <s v="Female"/>
    <s v="Married"/>
    <s v="Production Technician I"/>
    <s v="Active"/>
    <s v="Part-Time"/>
    <s v="Zone B"/>
    <s v="Production       "/>
    <s v="Field Operations"/>
    <s v="Other"/>
    <s v="Fully Meets"/>
    <n v="3"/>
  </r>
  <r>
    <x v="2764"/>
    <x v="4"/>
    <x v="619"/>
    <s v="Above than 77"/>
    <n v="78"/>
    <d v="1944-12-28T00:00:00"/>
    <s v="Massachusetts"/>
    <s v="MA"/>
    <s v="Female"/>
    <s v="Widowed"/>
    <s v="Production Technician I"/>
    <s v="Active"/>
    <s v="Contract"/>
    <s v="Zone B"/>
    <s v="Production       "/>
    <s v="Project Management - Con"/>
    <s v="Asian"/>
    <s v="Fully Meets"/>
    <n v="4"/>
  </r>
  <r>
    <x v="2765"/>
    <x v="4"/>
    <x v="607"/>
    <s v="Above than 77"/>
    <n v="78"/>
    <d v="1944-01-13T00:00:00"/>
    <s v="Massachusetts"/>
    <s v="MA"/>
    <s v="Female"/>
    <s v="Divorced"/>
    <s v="Production Technician I"/>
    <s v="Active"/>
    <s v="Full-Time"/>
    <s v="Zone B"/>
    <s v="Production       "/>
    <s v="General - Sga"/>
    <s v="Black"/>
    <s v="Needs Improvement"/>
    <n v="3"/>
  </r>
  <r>
    <x v="2766"/>
    <x v="4"/>
    <x v="248"/>
    <s v="Above than 77"/>
    <n v="78"/>
    <d v="1944-11-24T00:00:00"/>
    <s v="Massachusetts"/>
    <s v="MA"/>
    <s v="Female"/>
    <s v="Divorced"/>
    <s v="Production Technician I"/>
    <s v="Active"/>
    <s v="Contract"/>
    <s v="Zone A"/>
    <s v="Production       "/>
    <s v="Aerial"/>
    <s v="Other"/>
    <s v="Exceeds"/>
    <n v="1"/>
  </r>
  <r>
    <x v="2767"/>
    <x v="3"/>
    <x v="482"/>
    <s v="Above than 77"/>
    <n v="78"/>
    <d v="1943-07-27T00:00:00"/>
    <s v="Massachusetts"/>
    <s v="MA"/>
    <s v="Female"/>
    <s v="Divorced"/>
    <s v="Production Technician I"/>
    <s v="Active"/>
    <s v="Full-Time"/>
    <s v="Zone A"/>
    <s v="Production       "/>
    <s v="Field Operations"/>
    <s v="Black"/>
    <s v="Fully Meets"/>
    <n v="5"/>
  </r>
  <r>
    <x v="2768"/>
    <x v="1"/>
    <x v="654"/>
    <s v="Above than 77"/>
    <n v="78"/>
    <d v="1941-09-03T00:00:00"/>
    <s v="Massachusetts"/>
    <s v="MA"/>
    <s v="Female"/>
    <s v="Widowed"/>
    <s v="Production Technician I"/>
    <s v="Active"/>
    <s v="Part-Time"/>
    <s v="Zone A"/>
    <s v="Production       "/>
    <s v="Field Operations"/>
    <s v="Asian"/>
    <s v="Fully Meets"/>
    <n v="2"/>
  </r>
  <r>
    <x v="2769"/>
    <x v="1"/>
    <x v="1142"/>
    <s v="Above than 77"/>
    <n v="78"/>
    <d v="1941-10-31T00:00:00"/>
    <s v="Massachusetts"/>
    <s v="MA"/>
    <s v="Female"/>
    <s v="Divorced"/>
    <s v="Production Technician I"/>
    <s v="Active"/>
    <s v="Contract"/>
    <s v="Zone A"/>
    <s v="Production       "/>
    <s v="Project Management - Con"/>
    <s v="Other"/>
    <s v="Fully Meets"/>
    <n v="4"/>
  </r>
  <r>
    <x v="2770"/>
    <x v="2"/>
    <x v="1452"/>
    <s v="Above than 77"/>
    <n v="78"/>
    <d v="1942-05-19T00:00:00"/>
    <s v="Massachusetts"/>
    <s v="MA"/>
    <s v="Female"/>
    <s v="Widowed"/>
    <s v="Production Technician I"/>
    <s v="Active"/>
    <s v="Contract"/>
    <s v="Zone B"/>
    <s v="Production       "/>
    <s v="Field Operations"/>
    <s v="White"/>
    <s v="Fully Meets"/>
    <n v="2"/>
  </r>
  <r>
    <x v="2771"/>
    <x v="3"/>
    <x v="370"/>
    <s v="Above than 77"/>
    <n v="78"/>
    <d v="1943-08-24T00:00:00"/>
    <s v="Massachusetts"/>
    <s v="MA"/>
    <s v="Male"/>
    <s v="Married"/>
    <s v="Production Technician I"/>
    <s v="Active"/>
    <s v="Full-Time"/>
    <s v="Zone B"/>
    <s v="Production       "/>
    <s v="Field Operations"/>
    <s v="Hispanic"/>
    <s v="Fully Meets"/>
    <n v="4"/>
  </r>
  <r>
    <x v="2772"/>
    <x v="2"/>
    <x v="716"/>
    <s v="Above than 77"/>
    <n v="78"/>
    <d v="1942-08-17T00:00:00"/>
    <s v="Massachusetts"/>
    <s v="MA"/>
    <s v="Female"/>
    <s v="Widowed"/>
    <s v="Production Technician I"/>
    <s v="Active"/>
    <s v="Full-Time"/>
    <s v="Zone A"/>
    <s v="Production       "/>
    <s v="Wireline Construction"/>
    <s v="Other"/>
    <s v="Exceeds"/>
    <n v="5"/>
  </r>
  <r>
    <x v="2773"/>
    <x v="4"/>
    <x v="1393"/>
    <s v="Above than 77"/>
    <n v="78"/>
    <d v="1944-03-24T00:00:00"/>
    <s v="Massachusetts"/>
    <s v="MA"/>
    <s v="Female"/>
    <s v="Married"/>
    <s v="Production Technician I"/>
    <s v="Active"/>
    <s v="Full-Time"/>
    <s v="Zone B"/>
    <s v="Production       "/>
    <s v="Engineers"/>
    <s v="Black"/>
    <s v="Exceeds"/>
    <n v="5"/>
  </r>
  <r>
    <x v="2774"/>
    <x v="4"/>
    <x v="105"/>
    <s v="Above than 77"/>
    <n v="78"/>
    <d v="1944-04-19T00:00:00"/>
    <s v="Massachusetts"/>
    <s v="MA"/>
    <s v="Male"/>
    <s v="Single"/>
    <s v="Production Technician I"/>
    <s v="Active"/>
    <s v="Full-Time"/>
    <s v="Zone C"/>
    <s v="Production       "/>
    <s v="General - Sga"/>
    <s v="Black"/>
    <s v="Fully Meets"/>
    <n v="2"/>
  </r>
  <r>
    <x v="2775"/>
    <x v="2"/>
    <x v="247"/>
    <s v="Above than 77"/>
    <n v="78"/>
    <d v="1942-02-18T00:00:00"/>
    <s v="Massachusetts"/>
    <s v="MA"/>
    <s v="Female"/>
    <s v="Widowed"/>
    <s v="IT Manager - Support"/>
    <s v="Active"/>
    <s v="Full-Time"/>
    <s v="Zone C"/>
    <s v="IT/IS"/>
    <s v="Executive"/>
    <s v="Asian"/>
    <s v="Exceeds"/>
    <n v="1"/>
  </r>
  <r>
    <x v="2776"/>
    <x v="2"/>
    <x v="1453"/>
    <s v="Above than 77"/>
    <n v="78"/>
    <d v="1942-04-16T00:00:00"/>
    <s v="Rhode Island"/>
    <s v="RI"/>
    <s v="Female"/>
    <s v="Widowed"/>
    <s v="Director of Sales"/>
    <s v="Active"/>
    <s v="Full-Time"/>
    <s v="Zone B"/>
    <s v="Sales"/>
    <s v="Wireline Construction"/>
    <s v="Hispanic"/>
    <s v="Fully Meets"/>
    <n v="1"/>
  </r>
  <r>
    <x v="2777"/>
    <x v="4"/>
    <x v="1122"/>
    <s v="Above than 77"/>
    <n v="78"/>
    <d v="1944-09-13T00:00:00"/>
    <s v="Massachusetts"/>
    <s v="MA"/>
    <s v="Male"/>
    <s v="Widowed"/>
    <s v="Database Administrator"/>
    <s v="Active"/>
    <s v="Contract"/>
    <s v="Zone C"/>
    <s v="IT/IS"/>
    <s v="Field Operations"/>
    <s v="White"/>
    <s v="Fully Meets"/>
    <n v="3"/>
  </r>
  <r>
    <x v="2778"/>
    <x v="4"/>
    <x v="1454"/>
    <s v="Above than 77"/>
    <n v="78"/>
    <d v="1944-11-19T00:00:00"/>
    <s v="Massachusetts"/>
    <s v="MA"/>
    <s v="Male"/>
    <s v="Divorced"/>
    <s v="Data Analyst"/>
    <s v="Active"/>
    <s v="Full-Time"/>
    <s v="Zone C"/>
    <s v="IT/IS"/>
    <s v="General - Con"/>
    <s v="White"/>
    <s v="Fully Meets"/>
    <n v="5"/>
  </r>
  <r>
    <x v="2779"/>
    <x v="5"/>
    <x v="1455"/>
    <s v="Above than 77"/>
    <n v="78"/>
    <d v="1945-06-20T00:00:00"/>
    <s v="Massachusetts"/>
    <s v="MA"/>
    <s v="Male"/>
    <s v="Divorced"/>
    <s v="Area Sales Manager"/>
    <s v="Active"/>
    <s v="Part-Time"/>
    <s v="Zone A"/>
    <s v="Sales"/>
    <s v="Fielders"/>
    <s v="Asian"/>
    <s v="Needs Improvement"/>
    <n v="5"/>
  </r>
  <r>
    <x v="2780"/>
    <x v="4"/>
    <x v="517"/>
    <s v="Above than 77"/>
    <n v="78"/>
    <d v="1944-06-23T00:00:00"/>
    <s v="Massachusetts"/>
    <s v="MA"/>
    <s v="Male"/>
    <s v="Widowed"/>
    <s v="Area Sales Manager"/>
    <s v="Active"/>
    <s v="Part-Time"/>
    <s v="Zone C"/>
    <s v="Sales"/>
    <s v="Field Operations"/>
    <s v="Asian"/>
    <s v="Fully Meets"/>
    <n v="2"/>
  </r>
  <r>
    <x v="2781"/>
    <x v="2"/>
    <x v="767"/>
    <s v="Above than 77"/>
    <n v="78"/>
    <d v="1942-01-04T00:00:00"/>
    <s v="Indiana"/>
    <s v="IN"/>
    <s v="Male"/>
    <s v="Widowed"/>
    <s v="Area Sales Manager"/>
    <s v="Active"/>
    <s v="Part-Time"/>
    <s v="Zone A"/>
    <s v="Sales"/>
    <s v="Splicing"/>
    <s v="Hispanic"/>
    <s v="Fully Meets"/>
    <n v="1"/>
  </r>
  <r>
    <x v="2782"/>
    <x v="4"/>
    <x v="1371"/>
    <s v="Above than 77"/>
    <n v="78"/>
    <d v="1944-07-16T00:00:00"/>
    <s v="Idaho"/>
    <s v="ID"/>
    <s v="Male"/>
    <s v="Single"/>
    <s v="Area Sales Manager"/>
    <s v="Active"/>
    <s v="Part-Time"/>
    <s v="Zone B"/>
    <s v="Sales"/>
    <s v="Project Management - Eng"/>
    <s v="Black"/>
    <s v="Fully Meets"/>
    <n v="1"/>
  </r>
  <r>
    <x v="2783"/>
    <x v="2"/>
    <x v="143"/>
    <s v="Above than 77"/>
    <n v="78"/>
    <d v="1942-08-11T00:00:00"/>
    <s v="Colorado"/>
    <s v="CO"/>
    <s v="Male"/>
    <s v="Single"/>
    <s v="Area Sales Manager"/>
    <s v="Active"/>
    <s v="Full-Time"/>
    <s v="Zone B"/>
    <s v="Sales"/>
    <s v="Field Operations"/>
    <s v="White"/>
    <s v="Needs Improvement"/>
    <n v="4"/>
  </r>
  <r>
    <x v="2784"/>
    <x v="4"/>
    <x v="1456"/>
    <s v="Above than 77"/>
    <n v="79"/>
    <d v="1943-03-15T00:00:00"/>
    <s v="Massachusetts"/>
    <s v="MA"/>
    <s v="Male"/>
    <s v="Divorced"/>
    <s v="Production Technician II"/>
    <s v="Active"/>
    <s v="Contract"/>
    <s v="Zone B"/>
    <s v="Production       "/>
    <s v="Yard (Material Handling)"/>
    <s v="Asian"/>
    <s v="Fully Meets"/>
    <n v="5"/>
  </r>
  <r>
    <x v="2785"/>
    <x v="2"/>
    <x v="173"/>
    <s v="Above than 77"/>
    <n v="79"/>
    <d v="1941-12-22T00:00:00"/>
    <s v="Massachusetts"/>
    <s v="MA"/>
    <s v="Male"/>
    <s v="Divorced"/>
    <s v="Production Technician II"/>
    <s v="Active"/>
    <s v="Full-Time"/>
    <s v="Zone C"/>
    <s v="Production       "/>
    <s v="Field Operations"/>
    <s v="Black"/>
    <s v="Fully Meets"/>
    <n v="2"/>
  </r>
  <r>
    <x v="2786"/>
    <x v="4"/>
    <x v="1017"/>
    <s v="Above than 77"/>
    <n v="79"/>
    <d v="1943-03-11T00:00:00"/>
    <s v="Massachusetts"/>
    <s v="MA"/>
    <s v="Female"/>
    <s v="Divorced"/>
    <s v="Production Technician II"/>
    <s v="Active"/>
    <s v="Contract"/>
    <s v="Zone A"/>
    <s v="Production       "/>
    <s v="Field Operations"/>
    <s v="Other"/>
    <s v="Fully Meets"/>
    <n v="2"/>
  </r>
  <r>
    <x v="2787"/>
    <x v="4"/>
    <x v="896"/>
    <s v="Above than 77"/>
    <n v="79"/>
    <d v="1943-08-05T00:00:00"/>
    <s v="Massachusetts"/>
    <s v="MA"/>
    <s v="Female"/>
    <s v="Divorced"/>
    <s v="Production Technician II"/>
    <s v="Active"/>
    <s v="Contract"/>
    <s v="Zone C"/>
    <s v="Production       "/>
    <s v="Project Management - Con"/>
    <s v="Asian"/>
    <s v="Fully Meets"/>
    <n v="2"/>
  </r>
  <r>
    <x v="2788"/>
    <x v="3"/>
    <x v="1408"/>
    <s v="Above than 77"/>
    <n v="79"/>
    <d v="1942-12-02T00:00:00"/>
    <s v="Massachusetts"/>
    <s v="MA"/>
    <s v="Male"/>
    <s v="Married"/>
    <s v="Production Technician II"/>
    <s v="Active"/>
    <s v="Full-Time"/>
    <s v="Zone C"/>
    <s v="Production       "/>
    <s v="General - Con"/>
    <s v="Black"/>
    <s v="Fully Meets"/>
    <n v="1"/>
  </r>
  <r>
    <x v="2789"/>
    <x v="4"/>
    <x v="1457"/>
    <s v="Above than 77"/>
    <n v="79"/>
    <d v="1943-06-05T00:00:00"/>
    <s v="Massachusetts"/>
    <s v="MA"/>
    <s v="Male"/>
    <s v="Widowed"/>
    <s v="Production Technician II"/>
    <s v="Active"/>
    <s v="Contract"/>
    <s v="Zone B"/>
    <s v="Production       "/>
    <s v="General - Eng"/>
    <s v="Hispanic"/>
    <s v="Fully Meets"/>
    <n v="5"/>
  </r>
  <r>
    <x v="2790"/>
    <x v="4"/>
    <x v="1070"/>
    <s v="Above than 77"/>
    <n v="79"/>
    <d v="1943-01-01T00:00:00"/>
    <s v="Massachusetts"/>
    <s v="MA"/>
    <s v="Male"/>
    <s v="Divorced"/>
    <s v="Production Technician I"/>
    <s v="Active"/>
    <s v="Contract"/>
    <s v="Zone B"/>
    <s v="Production       "/>
    <s v="Wireline Construction"/>
    <s v="Other"/>
    <s v="Fully Meets"/>
    <n v="5"/>
  </r>
  <r>
    <x v="2791"/>
    <x v="5"/>
    <x v="1404"/>
    <s v="Above than 77"/>
    <n v="79"/>
    <d v="1944-05-05T00:00:00"/>
    <s v="Massachusetts"/>
    <s v="MA"/>
    <s v="Male"/>
    <s v="Married"/>
    <s v="Production Technician I"/>
    <s v="Active"/>
    <s v="Part-Time"/>
    <s v="Zone B"/>
    <s v="Production       "/>
    <s v="Splicing"/>
    <s v="Black"/>
    <s v="Fully Meets"/>
    <n v="4"/>
  </r>
  <r>
    <x v="2792"/>
    <x v="4"/>
    <x v="1458"/>
    <s v="Above than 77"/>
    <n v="79"/>
    <d v="1943-10-29T00:00:00"/>
    <s v="Massachusetts"/>
    <s v="MA"/>
    <s v="Female"/>
    <s v="Divorced"/>
    <s v="Production Technician I"/>
    <s v="Active"/>
    <s v="Part-Time"/>
    <s v="Zone A"/>
    <s v="Production       "/>
    <s v="Wireless"/>
    <s v="Other"/>
    <s v="Fully Meets"/>
    <n v="5"/>
  </r>
  <r>
    <x v="2793"/>
    <x v="5"/>
    <x v="1459"/>
    <s v="Above than 77"/>
    <n v="79"/>
    <d v="1944-01-07T00:00:00"/>
    <s v="Massachusetts"/>
    <s v="MA"/>
    <s v="Male"/>
    <s v="Widowed"/>
    <s v="Production Technician I"/>
    <s v="Active"/>
    <s v="Part-Time"/>
    <s v="Zone C"/>
    <s v="Production       "/>
    <s v="General - Con"/>
    <s v="Black"/>
    <s v="PIP"/>
    <n v="5"/>
  </r>
  <r>
    <x v="2794"/>
    <x v="3"/>
    <x v="1460"/>
    <s v="Above than 77"/>
    <n v="79"/>
    <d v="1942-05-26T00:00:00"/>
    <s v="Massachusetts"/>
    <s v="MA"/>
    <s v="Female"/>
    <s v="Widowed"/>
    <s v="Production Technician I"/>
    <s v="Active"/>
    <s v="Contract"/>
    <s v="Zone B"/>
    <s v="Production       "/>
    <s v="Engineers"/>
    <s v="Hispanic"/>
    <s v="Fully Meets"/>
    <n v="3"/>
  </r>
  <r>
    <x v="2795"/>
    <x v="4"/>
    <x v="883"/>
    <s v="Above than 77"/>
    <n v="79"/>
    <d v="1943-03-22T00:00:00"/>
    <s v="Massachusetts"/>
    <s v="MA"/>
    <s v="Male"/>
    <s v="Widowed"/>
    <s v="Production Technician I"/>
    <s v="Active"/>
    <s v="Contract"/>
    <s v="Zone A"/>
    <s v="Production       "/>
    <s v="Aerial"/>
    <s v="Black"/>
    <s v="Fully Meets"/>
    <n v="5"/>
  </r>
  <r>
    <x v="2796"/>
    <x v="3"/>
    <x v="1461"/>
    <s v="Above than 77"/>
    <n v="79"/>
    <d v="1942-06-04T00:00:00"/>
    <s v="Massachusetts"/>
    <s v="MA"/>
    <s v="Male"/>
    <s v="Divorced"/>
    <s v="Production Technician I"/>
    <s v="Active"/>
    <s v="Contract"/>
    <s v="Zone B"/>
    <s v="Production       "/>
    <s v="Wireless"/>
    <s v="Asian"/>
    <s v="Fully Meets"/>
    <n v="2"/>
  </r>
  <r>
    <x v="2797"/>
    <x v="3"/>
    <x v="1216"/>
    <s v="Above than 77"/>
    <n v="79"/>
    <d v="1942-11-01T00:00:00"/>
    <s v="Massachusetts"/>
    <s v="MA"/>
    <s v="Male"/>
    <s v="Divorced"/>
    <s v="Production Technician I"/>
    <s v="Active"/>
    <s v="Full-Time"/>
    <s v="Zone B"/>
    <s v="Production       "/>
    <s v="Engineers"/>
    <s v="Asian"/>
    <s v="Needs Improvement"/>
    <n v="5"/>
  </r>
  <r>
    <x v="2798"/>
    <x v="2"/>
    <x v="1462"/>
    <s v="Above than 77"/>
    <n v="79"/>
    <d v="1941-12-23T00:00:00"/>
    <s v="Massachusetts"/>
    <s v="MA"/>
    <s v="Female"/>
    <s v="Single"/>
    <s v="Production Technician I"/>
    <s v="Active"/>
    <s v="Part-Time"/>
    <s v="Zone A"/>
    <s v="Production       "/>
    <s v="Aerial"/>
    <s v="Black"/>
    <s v="Needs Improvement"/>
    <n v="2"/>
  </r>
  <r>
    <x v="2799"/>
    <x v="3"/>
    <x v="1361"/>
    <s v="Above than 77"/>
    <n v="79"/>
    <d v="1942-03-22T00:00:00"/>
    <s v="Massachusetts"/>
    <s v="MA"/>
    <s v="Male"/>
    <s v="Married"/>
    <s v="Production Technician I"/>
    <s v="Active"/>
    <s v="Part-Time"/>
    <s v="Zone B"/>
    <s v="Production       "/>
    <s v="General - Eng"/>
    <s v="Black"/>
    <s v="Fully Meets"/>
    <n v="5"/>
  </r>
  <r>
    <x v="2800"/>
    <x v="3"/>
    <x v="936"/>
    <s v="Above than 77"/>
    <n v="79"/>
    <d v="1942-04-08T00:00:00"/>
    <s v="Massachusetts"/>
    <s v="MA"/>
    <s v="Female"/>
    <s v="Divorced"/>
    <s v="Production Technician I"/>
    <s v="Terminated"/>
    <s v="Full-Time"/>
    <s v="Zone A"/>
    <s v="Production       "/>
    <s v="Shop (Fleet)"/>
    <s v="White"/>
    <s v="Fully Meets"/>
    <n v="4"/>
  </r>
  <r>
    <x v="2801"/>
    <x v="2"/>
    <x v="1463"/>
    <s v="Above than 77"/>
    <n v="79"/>
    <d v="1941-11-18T00:00:00"/>
    <s v="Massachusetts"/>
    <s v="MA"/>
    <s v="Female"/>
    <s v="Single"/>
    <s v="Production Technician I"/>
    <s v="Active"/>
    <s v="Contract"/>
    <s v="Zone A"/>
    <s v="Production       "/>
    <s v="Wireless"/>
    <s v="Other"/>
    <s v="Needs Improvement"/>
    <n v="1"/>
  </r>
  <r>
    <x v="2802"/>
    <x v="2"/>
    <x v="51"/>
    <s v="Above than 77"/>
    <n v="79"/>
    <d v="1941-10-20T00:00:00"/>
    <s v="Massachusetts"/>
    <s v="MA"/>
    <s v="Female"/>
    <s v="Divorced"/>
    <s v="Production Technician I"/>
    <s v="Terminated"/>
    <s v="Part-Time"/>
    <s v="Zone A"/>
    <s v="Production       "/>
    <s v="Field Operations"/>
    <s v="Asian"/>
    <s v="Fully Meets"/>
    <n v="4"/>
  </r>
  <r>
    <x v="2803"/>
    <x v="4"/>
    <x v="1330"/>
    <s v="Above than 77"/>
    <n v="79"/>
    <d v="1943-09-15T00:00:00"/>
    <s v="Massachusetts"/>
    <s v="MA"/>
    <s v="Female"/>
    <s v="Married"/>
    <s v="Production Manager"/>
    <s v="Active"/>
    <s v="Contract"/>
    <s v="Zone B"/>
    <s v="Production       "/>
    <s v="General - Con"/>
    <s v="Black"/>
    <s v="Fully Meets"/>
    <n v="2"/>
  </r>
  <r>
    <x v="2804"/>
    <x v="5"/>
    <x v="683"/>
    <s v="Above than 77"/>
    <n v="79"/>
    <d v="1944-10-07T00:00:00"/>
    <s v="Massachusetts"/>
    <s v="MA"/>
    <s v="Female"/>
    <s v="Divorced"/>
    <s v="IT Support"/>
    <s v="Active"/>
    <s v="Contract"/>
    <s v="Zone C"/>
    <s v="IT/IS"/>
    <s v="Field Operations"/>
    <s v="Asian"/>
    <s v="Fully Meets"/>
    <n v="3"/>
  </r>
  <r>
    <x v="2805"/>
    <x v="3"/>
    <x v="359"/>
    <s v="Above than 77"/>
    <n v="79"/>
    <d v="1942-01-21T00:00:00"/>
    <s v="Massachusetts"/>
    <s v="MA"/>
    <s v="Male"/>
    <s v="Single"/>
    <s v="BI Developer"/>
    <s v="Active"/>
    <s v="Contract"/>
    <s v="Zone A"/>
    <s v="IT/IS"/>
    <s v="Aerial"/>
    <s v="Asian"/>
    <s v="Needs Improvement"/>
    <n v="5"/>
  </r>
  <r>
    <x v="2806"/>
    <x v="4"/>
    <x v="1464"/>
    <s v="Above than 77"/>
    <n v="79"/>
    <d v="1943-11-09T00:00:00"/>
    <s v="Tennessee"/>
    <s v="TN"/>
    <s v="Male"/>
    <s v="Divorced"/>
    <s v="Area Sales Manager"/>
    <s v="Active"/>
    <s v="Full-Time"/>
    <s v="Zone B"/>
    <s v="Sales"/>
    <s v="Splicing"/>
    <s v="Asian"/>
    <s v="Fully Meets"/>
    <n v="5"/>
  </r>
  <r>
    <x v="2807"/>
    <x v="4"/>
    <x v="1465"/>
    <s v="Above than 77"/>
    <n v="79"/>
    <d v="1943-01-28T00:00:00"/>
    <s v="Oregon"/>
    <s v="OR"/>
    <s v="Female"/>
    <s v="Widowed"/>
    <s v="Area Sales Manager"/>
    <s v="Active"/>
    <s v="Full-Time"/>
    <s v="Zone C"/>
    <s v="IT/IS"/>
    <s v="Field Operations"/>
    <s v="Black"/>
    <s v="Fully Meets"/>
    <n v="5"/>
  </r>
  <r>
    <x v="2808"/>
    <x v="3"/>
    <x v="386"/>
    <s v="Above than 77"/>
    <n v="79"/>
    <d v="1942-05-26T00:00:00"/>
    <s v="Oregon"/>
    <s v="OR"/>
    <s v="Male"/>
    <s v="Single"/>
    <s v="Area Sales Manager"/>
    <s v="Active"/>
    <s v="Full-Time"/>
    <s v="Zone B"/>
    <s v="Sales"/>
    <s v="Aerial"/>
    <s v="Asian"/>
    <s v="Fully Meets"/>
    <n v="5"/>
  </r>
  <r>
    <x v="2809"/>
    <x v="5"/>
    <x v="1466"/>
    <s v="Above than 77"/>
    <n v="79"/>
    <d v="1944-04-21T00:00:00"/>
    <s v="Massachusetts"/>
    <s v="MA"/>
    <s v="Male"/>
    <s v="Widowed"/>
    <s v="Area Sales Manager"/>
    <s v="Active"/>
    <s v="Full-Time"/>
    <s v="Zone C"/>
    <s v="Sales"/>
    <s v="Wireline Construction"/>
    <s v="White"/>
    <s v="Fully Meets"/>
    <n v="5"/>
  </r>
  <r>
    <x v="2810"/>
    <x v="4"/>
    <x v="1467"/>
    <s v="Above than 77"/>
    <n v="80"/>
    <d v="1942-03-13T00:00:00"/>
    <s v="Massachusetts"/>
    <s v="MA"/>
    <s v="Male"/>
    <s v="Married"/>
    <s v="Software Engineer"/>
    <s v="Active"/>
    <s v="Contract"/>
    <s v="Zone C"/>
    <s v="Software Engineering"/>
    <s v="Billable Consultants"/>
    <s v="Hispanic"/>
    <s v="Fully Meets"/>
    <n v="2"/>
  </r>
  <r>
    <x v="2811"/>
    <x v="4"/>
    <x v="548"/>
    <s v="Above than 77"/>
    <n v="80"/>
    <d v="1942-08-18T00:00:00"/>
    <s v="Massachusetts"/>
    <s v="MA"/>
    <s v="Male"/>
    <s v="Widowed"/>
    <s v="Software Engineer"/>
    <s v="Active"/>
    <s v="Contract"/>
    <s v="Zone B"/>
    <s v="Software Engineering"/>
    <s v="Field Operations"/>
    <s v="Black"/>
    <s v="Fully Meets"/>
    <n v="3"/>
  </r>
  <r>
    <x v="2812"/>
    <x v="3"/>
    <x v="1468"/>
    <s v="Above than 77"/>
    <n v="80"/>
    <d v="1941-10-06T00:00:00"/>
    <s v="Pennsylvania"/>
    <s v="PA"/>
    <s v="Female"/>
    <s v="Widowed"/>
    <s v="Production Technician II"/>
    <s v="Active"/>
    <s v="Contract"/>
    <s v="Zone A"/>
    <s v="Sales"/>
    <s v="Engineers"/>
    <s v="Hispanic"/>
    <s v="Fully Meets"/>
    <n v="5"/>
  </r>
  <r>
    <x v="2813"/>
    <x v="5"/>
    <x v="1344"/>
    <s v="Above than 77"/>
    <n v="80"/>
    <d v="1943-05-08T00:00:00"/>
    <s v="Massachusetts"/>
    <s v="MA"/>
    <s v="Female"/>
    <s v="Single"/>
    <s v="Production Technician II"/>
    <s v="Active"/>
    <s v="Part-Time"/>
    <s v="Zone A"/>
    <s v="Production       "/>
    <s v="General - Eng"/>
    <s v="White"/>
    <s v="Fully Meets"/>
    <n v="2"/>
  </r>
  <r>
    <x v="2814"/>
    <x v="5"/>
    <x v="858"/>
    <s v="Above than 77"/>
    <n v="80"/>
    <d v="1943-04-28T00:00:00"/>
    <s v="Massachusetts"/>
    <s v="MA"/>
    <s v="Female"/>
    <s v="Single"/>
    <s v="Production Technician I"/>
    <s v="Active"/>
    <s v="Full-Time"/>
    <s v="Zone C"/>
    <s v="Production       "/>
    <s v="Field Operations"/>
    <s v="Black"/>
    <s v="Fully Meets"/>
    <n v="3"/>
  </r>
  <r>
    <x v="2815"/>
    <x v="4"/>
    <x v="913"/>
    <s v="Above than 77"/>
    <n v="80"/>
    <d v="1942-08-09T00:00:00"/>
    <s v="Massachusetts"/>
    <s v="MA"/>
    <s v="Male"/>
    <s v="Married"/>
    <s v="Production Technician I"/>
    <s v="Active"/>
    <s v="Full-Time"/>
    <s v="Zone B"/>
    <s v="Production       "/>
    <s v="Engineers"/>
    <s v="Asian"/>
    <s v="Exceeds"/>
    <n v="3"/>
  </r>
  <r>
    <x v="2816"/>
    <x v="5"/>
    <x v="1466"/>
    <s v="Above than 77"/>
    <n v="80"/>
    <d v="1943-07-18T00:00:00"/>
    <s v="Massachusetts"/>
    <s v="MA"/>
    <s v="Female"/>
    <s v="Single"/>
    <s v="Production Technician I"/>
    <s v="Active"/>
    <s v="Full-Time"/>
    <s v="Zone C"/>
    <s v="Production       "/>
    <s v="General - Con"/>
    <s v="Black"/>
    <s v="Fully Meets"/>
    <n v="5"/>
  </r>
  <r>
    <x v="2817"/>
    <x v="4"/>
    <x v="628"/>
    <s v="Above than 77"/>
    <n v="80"/>
    <d v="1942-08-30T00:00:00"/>
    <s v="Massachusetts"/>
    <s v="MA"/>
    <s v="Male"/>
    <s v="Widowed"/>
    <s v="Production Technician I"/>
    <s v="Terminated"/>
    <s v="Part-Time"/>
    <s v="Zone A"/>
    <s v="Production       "/>
    <s v="Aerial"/>
    <s v="Hispanic"/>
    <s v="Fully Meets"/>
    <n v="5"/>
  </r>
  <r>
    <x v="2818"/>
    <x v="4"/>
    <x v="769"/>
    <s v="Above than 77"/>
    <n v="80"/>
    <d v="1942-01-09T00:00:00"/>
    <s v="Massachusetts"/>
    <s v="MA"/>
    <s v="Female"/>
    <s v="Widowed"/>
    <s v="Production Technician I"/>
    <s v="Active"/>
    <s v="Contract"/>
    <s v="Zone A"/>
    <s v="Production       "/>
    <s v="Field Operations"/>
    <s v="Other"/>
    <s v="Needs Improvement"/>
    <n v="4"/>
  </r>
  <r>
    <x v="2819"/>
    <x v="5"/>
    <x v="496"/>
    <s v="Above than 77"/>
    <n v="80"/>
    <d v="1943-12-27T00:00:00"/>
    <s v="Massachusetts"/>
    <s v="MA"/>
    <s v="Female"/>
    <s v="Widowed"/>
    <s v="Production Technician I"/>
    <s v="Active"/>
    <s v="Contract"/>
    <s v="Zone B"/>
    <s v="Production       "/>
    <s v="Field Operations"/>
    <s v="Hispanic"/>
    <s v="Exceeds"/>
    <n v="1"/>
  </r>
  <r>
    <x v="2820"/>
    <x v="4"/>
    <x v="1073"/>
    <s v="Above than 77"/>
    <n v="80"/>
    <d v="1942-02-18T00:00:00"/>
    <s v="Massachusetts"/>
    <s v="MA"/>
    <s v="Female"/>
    <s v="Single"/>
    <s v="Production Technician I"/>
    <s v="Active"/>
    <s v="Contract"/>
    <s v="Zone A"/>
    <s v="Production       "/>
    <s v="Aerial"/>
    <s v="Asian"/>
    <s v="Fully Meets"/>
    <n v="3"/>
  </r>
  <r>
    <x v="2821"/>
    <x v="3"/>
    <x v="1469"/>
    <s v="Above than 77"/>
    <n v="80"/>
    <d v="1941-11-17T00:00:00"/>
    <s v="Massachusetts"/>
    <s v="MA"/>
    <s v="Female"/>
    <s v="Widowed"/>
    <s v="Production Technician I"/>
    <s v="Active"/>
    <s v="Part-Time"/>
    <s v="Zone B"/>
    <s v="Production       "/>
    <s v="Aerial"/>
    <s v="Other"/>
    <s v="Exceeds"/>
    <n v="2"/>
  </r>
  <r>
    <x v="2822"/>
    <x v="3"/>
    <x v="1416"/>
    <s v="Above than 77"/>
    <n v="80"/>
    <d v="1941-08-14T00:00:00"/>
    <s v="Massachusetts"/>
    <s v="MA"/>
    <s v="Female"/>
    <s v="Divorced"/>
    <s v="Production Technician I"/>
    <s v="Active"/>
    <s v="Contract"/>
    <s v="Zone A"/>
    <s v="Production       "/>
    <s v="Field Operations"/>
    <s v="Black"/>
    <s v="Fully Meets"/>
    <n v="5"/>
  </r>
  <r>
    <x v="2823"/>
    <x v="4"/>
    <x v="1470"/>
    <s v="Above than 77"/>
    <n v="80"/>
    <d v="1942-02-26T00:00:00"/>
    <s v="Massachusetts"/>
    <s v="MA"/>
    <s v="Male"/>
    <s v="Single"/>
    <s v="Production Manager"/>
    <s v="Terminated"/>
    <s v="Part-Time"/>
    <s v="Zone C"/>
    <s v="Production       "/>
    <s v="General - Con"/>
    <s v="White"/>
    <s v="Fully Meets"/>
    <n v="4"/>
  </r>
  <r>
    <x v="2824"/>
    <x v="4"/>
    <x v="306"/>
    <s v="Above than 77"/>
    <n v="80"/>
    <d v="1942-03-12T00:00:00"/>
    <s v="Massachusetts"/>
    <s v="MA"/>
    <s v="Female"/>
    <s v="Widowed"/>
    <s v="Production Manager"/>
    <s v="Active"/>
    <s v="Contract"/>
    <s v="Zone A"/>
    <s v="Production       "/>
    <s v="General - Con"/>
    <s v="Asian"/>
    <s v="Fully Meets"/>
    <n v="2"/>
  </r>
  <r>
    <x v="2825"/>
    <x v="4"/>
    <x v="1338"/>
    <s v="Above than 77"/>
    <n v="80"/>
    <d v="1942-06-20T00:00:00"/>
    <s v="Massachusetts"/>
    <s v="MA"/>
    <s v="Male"/>
    <s v="Married"/>
    <s v="Production Manager"/>
    <s v="Terminated"/>
    <s v="Contract"/>
    <s v="Zone B"/>
    <s v="Production       "/>
    <s v="Project Management - Con"/>
    <s v="Black"/>
    <s v="Fully Meets"/>
    <n v="2"/>
  </r>
  <r>
    <x v="2826"/>
    <x v="4"/>
    <x v="1454"/>
    <s v="Above than 77"/>
    <n v="80"/>
    <d v="1942-04-10T00:00:00"/>
    <s v="Massachusetts"/>
    <s v="MA"/>
    <s v="Female"/>
    <s v="Single"/>
    <s v="Production Manager"/>
    <s v="Active"/>
    <s v="Full-Time"/>
    <s v="Zone B"/>
    <s v="Production       "/>
    <s v="General - Con"/>
    <s v="White"/>
    <s v="Fully Meets"/>
    <n v="2"/>
  </r>
  <r>
    <x v="2827"/>
    <x v="5"/>
    <x v="209"/>
    <s v="Above than 77"/>
    <n v="80"/>
    <d v="1943-12-10T00:00:00"/>
    <s v="Massachusetts"/>
    <s v="MA"/>
    <s v="Male"/>
    <s v="Single"/>
    <s v="Production Manager"/>
    <s v="Active"/>
    <s v="Part-Time"/>
    <s v="Zone C"/>
    <s v="Production       "/>
    <s v="Catv"/>
    <s v="Asian"/>
    <s v="Fully Meets"/>
    <n v="3"/>
  </r>
  <r>
    <x v="2828"/>
    <x v="4"/>
    <x v="607"/>
    <s v="Above than 77"/>
    <n v="80"/>
    <d v="1942-02-24T00:00:00"/>
    <s v="Massachusetts"/>
    <s v="MA"/>
    <s v="Female"/>
    <s v="Married"/>
    <s v="Production Manager"/>
    <s v="Active"/>
    <s v="Part-Time"/>
    <s v="Zone A"/>
    <s v="Production       "/>
    <s v="Field Operations"/>
    <s v="Asian"/>
    <s v="Fully Meets"/>
    <n v="1"/>
  </r>
  <r>
    <x v="2829"/>
    <x v="3"/>
    <x v="999"/>
    <s v="Above than 77"/>
    <n v="80"/>
    <d v="1941-10-18T00:00:00"/>
    <s v="Massachusetts"/>
    <s v="MA"/>
    <s v="Male"/>
    <s v="Divorced"/>
    <s v="IT Manager - DB"/>
    <s v="Active"/>
    <s v="Full-Time"/>
    <s v="Zone A"/>
    <s v="IT/IS"/>
    <s v="General - Eng"/>
    <s v="Asian"/>
    <s v="Fully Meets"/>
    <n v="2"/>
  </r>
  <r>
    <x v="2830"/>
    <x v="4"/>
    <x v="179"/>
    <s v="Above than 77"/>
    <n v="80"/>
    <d v="1942-10-05T00:00:00"/>
    <s v="Massachusetts"/>
    <s v="MA"/>
    <s v="Male"/>
    <s v="Single"/>
    <s v="IT Manager - DB"/>
    <s v="Active"/>
    <s v="Part-Time"/>
    <s v="Zone A"/>
    <s v="IT/IS"/>
    <s v="Field Operations"/>
    <s v="Hispanic"/>
    <s v="Fully Meets"/>
    <n v="5"/>
  </r>
  <r>
    <x v="2831"/>
    <x v="5"/>
    <x v="1278"/>
    <s v="Above than 77"/>
    <n v="80"/>
    <d v="1943-10-29T00:00:00"/>
    <s v="Massachusetts"/>
    <s v="MA"/>
    <s v="Male"/>
    <s v="Married"/>
    <s v="Data Analyst"/>
    <s v="Terminated"/>
    <s v="Contract"/>
    <s v="Zone C"/>
    <s v="IT/IS"/>
    <s v="Aerial"/>
    <s v="Hispanic"/>
    <s v="Fully Meets"/>
    <n v="4"/>
  </r>
  <r>
    <x v="2832"/>
    <x v="5"/>
    <x v="779"/>
    <s v="Above than 77"/>
    <n v="80"/>
    <d v="1943-01-15T00:00:00"/>
    <s v="Idaho"/>
    <s v="ID"/>
    <s v="Male"/>
    <s v="Divorced"/>
    <s v="Area Sales Manager"/>
    <s v="Active"/>
    <s v="Part-Time"/>
    <s v="Zone B"/>
    <s v="Sales"/>
    <s v="Catv"/>
    <s v="Other"/>
    <s v="Fully Meets"/>
    <n v="3"/>
  </r>
  <r>
    <x v="2833"/>
    <x v="5"/>
    <x v="643"/>
    <s v="Above than 77"/>
    <n v="80"/>
    <d v="1943-05-18T00:00:00"/>
    <s v="California"/>
    <s v="CA"/>
    <s v="Male"/>
    <s v="Divorced"/>
    <s v="Area Sales Manager"/>
    <s v="Active"/>
    <s v="Full-Time"/>
    <s v="Zone C"/>
    <s v="Sales"/>
    <s v="Project Management - Con"/>
    <s v="Black"/>
    <s v="Fully Meets"/>
    <n v="4"/>
  </r>
  <r>
    <x v="2834"/>
    <x v="4"/>
    <x v="1034"/>
    <s v="Above than 77"/>
    <n v="80"/>
    <d v="1942-07-01T00:00:00"/>
    <s v="California"/>
    <s v="CA"/>
    <s v="Female"/>
    <s v="Divorced"/>
    <s v="Area Sales Manager"/>
    <s v="Active"/>
    <s v="Full-Time"/>
    <s v="Zone B"/>
    <s v="Sales"/>
    <s v="General - Eng"/>
    <s v="Hispanic"/>
    <s v="Exceeds"/>
    <n v="5"/>
  </r>
  <r>
    <x v="2835"/>
    <x v="5"/>
    <x v="1097"/>
    <s v="Above than 77"/>
    <n v="80"/>
    <d v="1943-02-16T00:00:00"/>
    <s v="Washington"/>
    <s v="WA"/>
    <s v="Female"/>
    <s v="Single"/>
    <s v="Administrative Assistant"/>
    <s v="Active"/>
    <s v="Part-Time"/>
    <s v="Zone B"/>
    <s v="Sales"/>
    <s v="Field Operations"/>
    <s v="Asian"/>
    <s v="Fully Meets"/>
    <n v="5"/>
  </r>
  <r>
    <x v="2836"/>
    <x v="4"/>
    <x v="811"/>
    <s v="Above than 77"/>
    <n v="80"/>
    <d v="1942-07-11T00:00:00"/>
    <s v="Idaho"/>
    <s v="ID"/>
    <s v="Female"/>
    <s v="Widowed"/>
    <s v="Administrative Assistant"/>
    <s v="Active"/>
    <s v="Contract"/>
    <s v="Zone A"/>
    <s v="Sales"/>
    <s v="Yard (Material Handling)"/>
    <s v="Black"/>
    <s v="Fully Meets"/>
    <n v="4"/>
  </r>
  <r>
    <x v="2837"/>
    <x v="5"/>
    <x v="979"/>
    <s v="Above than 77"/>
    <n v="81"/>
    <d v="1942-10-30T00:00:00"/>
    <s v="Massachusetts"/>
    <s v="MA"/>
    <s v="Female"/>
    <s v="Divorced"/>
    <s v="Production Technician II"/>
    <s v="Active"/>
    <s v="Part-Time"/>
    <s v="Zone B"/>
    <s v="Production       "/>
    <s v="General - Sga"/>
    <s v="Asian"/>
    <s v="Fully Meets"/>
    <n v="4"/>
  </r>
  <r>
    <x v="2838"/>
    <x v="5"/>
    <x v="1471"/>
    <s v="Above than 77"/>
    <n v="81"/>
    <d v="1942-08-07T00:00:00"/>
    <s v="Massachusetts"/>
    <s v="MA"/>
    <s v="Female"/>
    <s v="Widowed"/>
    <s v="Production Technician II"/>
    <s v="Active"/>
    <s v="Contract"/>
    <s v="Zone A"/>
    <s v="Sales"/>
    <s v="Engineers"/>
    <s v="Asian"/>
    <s v="Fully Meets"/>
    <n v="4"/>
  </r>
  <r>
    <x v="2839"/>
    <x v="5"/>
    <x v="403"/>
    <s v="Above than 77"/>
    <n v="81"/>
    <d v="1942-07-13T00:00:00"/>
    <s v="Massachusetts"/>
    <s v="MA"/>
    <s v="Female"/>
    <s v="Married"/>
    <s v="Production Technician II"/>
    <s v="Terminated"/>
    <s v="Full-Time"/>
    <s v="Zone C"/>
    <s v="Production       "/>
    <s v="Engineers"/>
    <s v="Hispanic"/>
    <s v="Exceeds"/>
    <n v="1"/>
  </r>
  <r>
    <x v="2840"/>
    <x v="4"/>
    <x v="737"/>
    <s v="Above than 77"/>
    <n v="81"/>
    <d v="1941-09-17T00:00:00"/>
    <s v="Massachusetts"/>
    <s v="MA"/>
    <s v="Female"/>
    <s v="Married"/>
    <s v="Production Technician II"/>
    <s v="Active"/>
    <s v="Part-Time"/>
    <s v="Zone C"/>
    <s v="Production       "/>
    <s v="Field Operations"/>
    <s v="Asian"/>
    <s v="Fully Meets"/>
    <n v="2"/>
  </r>
  <r>
    <x v="2841"/>
    <x v="4"/>
    <x v="1080"/>
    <s v="Above than 77"/>
    <n v="81"/>
    <d v="1941-09-03T00:00:00"/>
    <s v="Massachusetts"/>
    <s v="MA"/>
    <s v="Male"/>
    <s v="Divorced"/>
    <s v="Production Technician I"/>
    <s v="Active"/>
    <s v="Contract"/>
    <s v="Zone A"/>
    <s v="Production       "/>
    <s v="General - Con"/>
    <s v="Hispanic"/>
    <s v="Fully Meets"/>
    <n v="1"/>
  </r>
  <r>
    <x v="2842"/>
    <x v="5"/>
    <x v="595"/>
    <s v="Above than 77"/>
    <n v="81"/>
    <d v="1942-09-18T00:00:00"/>
    <s v="Massachusetts"/>
    <s v="MA"/>
    <s v="Female"/>
    <s v="Divorced"/>
    <s v="Production Technician I"/>
    <s v="Active"/>
    <s v="Part-Time"/>
    <s v="Zone C"/>
    <s v="Production       "/>
    <s v="Field Operations"/>
    <s v="Asian"/>
    <s v="Fully Meets"/>
    <n v="5"/>
  </r>
  <r>
    <x v="2843"/>
    <x v="5"/>
    <x v="713"/>
    <s v="Above than 77"/>
    <n v="81"/>
    <d v="1942-09-01T00:00:00"/>
    <s v="Massachusetts"/>
    <s v="MA"/>
    <s v="Male"/>
    <s v="Married"/>
    <s v="Area Sales Manager"/>
    <s v="Active"/>
    <s v="Part-Time"/>
    <s v="Zone A"/>
    <s v="IT/IS"/>
    <s v="Wireline Construction"/>
    <s v="Black"/>
    <s v="Fully Meets"/>
    <n v="1"/>
  </r>
  <r>
    <x v="2844"/>
    <x v="5"/>
    <x v="1091"/>
    <s v="Above than 77"/>
    <n v="82"/>
    <d v="1941-11-28T00:00:00"/>
    <s v="Massachusetts"/>
    <s v="MA"/>
    <s v="Female"/>
    <s v="Divorced"/>
    <s v="Production Technician II"/>
    <s v="Active"/>
    <s v="Full-Time"/>
    <s v="Zone A"/>
    <s v="Production       "/>
    <s v="Engineers"/>
    <s v="Hispanic"/>
    <s v="Fully Meets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E0047-36F9-46A6-82E4-24AE8709F64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Year">
  <location ref="L3:M9" firstHeaderRow="1" firstDataRow="1" firstDataCol="1"/>
  <pivotFields count="21">
    <pivotField dataField="1" showAll="0">
      <items count="2846">
        <item x="1981"/>
        <item x="2458"/>
        <item x="1436"/>
        <item x="2030"/>
        <item x="1525"/>
        <item x="1980"/>
        <item x="33"/>
        <item x="861"/>
        <item x="606"/>
        <item x="474"/>
        <item x="2558"/>
        <item x="1060"/>
        <item x="1253"/>
        <item x="2303"/>
        <item x="1706"/>
        <item x="2078"/>
        <item x="2502"/>
        <item x="2751"/>
        <item x="1158"/>
        <item x="654"/>
        <item x="555"/>
        <item x="1866"/>
        <item x="307"/>
        <item x="556"/>
        <item x="2031"/>
        <item x="2460"/>
        <item x="1763"/>
        <item x="17"/>
        <item x="1010"/>
        <item x="2076"/>
        <item x="1392"/>
        <item x="2266"/>
        <item x="306"/>
        <item x="1063"/>
        <item x="1012"/>
        <item x="412"/>
        <item x="354"/>
        <item x="1524"/>
        <item x="818"/>
        <item x="1301"/>
        <item x="1105"/>
        <item x="2811"/>
        <item x="2218"/>
        <item x="2077"/>
        <item x="1707"/>
        <item x="1865"/>
        <item x="2557"/>
        <item x="2029"/>
        <item x="2132"/>
        <item x="353"/>
        <item x="1009"/>
        <item x="1011"/>
        <item x="2459"/>
        <item x="518"/>
        <item x="159"/>
        <item x="2750"/>
        <item x="252"/>
        <item x="2810"/>
        <item x="1391"/>
        <item x="1062"/>
        <item x="475"/>
        <item x="1435"/>
        <item x="2643"/>
        <item x="745"/>
        <item x="158"/>
        <item x="954"/>
        <item x="2457"/>
        <item x="157"/>
        <item x="1106"/>
        <item x="34"/>
        <item x="1480"/>
        <item x="1008"/>
        <item x="60"/>
        <item x="860"/>
        <item x="1595"/>
        <item x="2697"/>
        <item x="352"/>
        <item x="156"/>
        <item x="61"/>
        <item x="607"/>
        <item x="1703"/>
        <item x="1205"/>
        <item x="1864"/>
        <item x="703"/>
        <item x="2360"/>
        <item x="1390"/>
        <item x="1350"/>
        <item x="473"/>
        <item x="2359"/>
        <item x="1761"/>
        <item x="638"/>
        <item x="1553"/>
        <item x="1139"/>
        <item x="486"/>
        <item x="2844"/>
        <item x="1424"/>
        <item x="234"/>
        <item x="324"/>
        <item x="1508"/>
        <item x="1690"/>
        <item x="2734"/>
        <item x="2182"/>
        <item x="2107"/>
        <item x="233"/>
        <item x="2486"/>
        <item x="312"/>
        <item x="424"/>
        <item x="1464"/>
        <item x="1045"/>
        <item x="755"/>
        <item x="2241"/>
        <item x="1329"/>
        <item x="1283"/>
        <item x="1901"/>
        <item x="137"/>
        <item x="772"/>
        <item x="136"/>
        <item x="1138"/>
        <item x="293"/>
        <item x="1552"/>
        <item x="997"/>
        <item x="1285"/>
        <item x="1745"/>
        <item x="686"/>
        <item x="527"/>
        <item x="1818"/>
        <item x="5"/>
        <item x="2181"/>
        <item x="2039"/>
        <item x="183"/>
        <item x="232"/>
        <item x="1788"/>
        <item x="2538"/>
        <item x="292"/>
        <item x="1741"/>
        <item x="2733"/>
        <item x="2160"/>
        <item x="806"/>
        <item x="2159"/>
        <item x="683"/>
        <item x="2822"/>
        <item x="591"/>
        <item x="2682"/>
        <item x="1691"/>
        <item x="2473"/>
        <item x="1874"/>
        <item x="2651"/>
        <item x="2650"/>
        <item x="2840"/>
        <item x="936"/>
        <item x="1189"/>
        <item x="1900"/>
        <item x="2802"/>
        <item x="733"/>
        <item x="2240"/>
        <item x="935"/>
        <item x="182"/>
        <item x="1899"/>
        <item x="1188"/>
        <item x="1282"/>
        <item x="2205"/>
        <item x="934"/>
        <item x="328"/>
        <item x="2343"/>
        <item x="185"/>
        <item x="1722"/>
        <item x="2180"/>
        <item x="2472"/>
        <item x="1873"/>
        <item x="2471"/>
        <item x="2341"/>
        <item x="2340"/>
        <item x="1551"/>
        <item x="1328"/>
        <item x="135"/>
        <item x="2012"/>
        <item x="1550"/>
        <item x="2011"/>
        <item x="637"/>
        <item x="2679"/>
        <item x="447"/>
        <item x="1327"/>
        <item x="2678"/>
        <item x="2439"/>
        <item x="1243"/>
        <item x="895"/>
        <item x="237"/>
        <item x="1023"/>
        <item x="616"/>
        <item x="115"/>
        <item x="1022"/>
        <item x="714"/>
        <item x="2395"/>
        <item x="2204"/>
        <item x="1044"/>
        <item x="2010"/>
        <item x="2239"/>
        <item x="2394"/>
        <item x="1240"/>
        <item x="2293"/>
        <item x="933"/>
        <item x="586"/>
        <item x="2580"/>
        <item x="2106"/>
        <item x="2009"/>
        <item x="2059"/>
        <item x="996"/>
        <item x="236"/>
        <item x="2491"/>
        <item x="827"/>
        <item x="826"/>
        <item x="667"/>
        <item x="1638"/>
        <item x="825"/>
        <item x="846"/>
        <item x="1837"/>
        <item x="1187"/>
        <item x="1281"/>
        <item x="2339"/>
        <item x="1652"/>
        <item x="2438"/>
        <item x="291"/>
        <item x="1740"/>
        <item x="2203"/>
        <item x="1689"/>
        <item x="636"/>
        <item x="391"/>
        <item x="2292"/>
        <item x="1370"/>
        <item x="327"/>
        <item x="2541"/>
        <item x="526"/>
        <item x="2470"/>
        <item x="114"/>
        <item x="2469"/>
        <item x="1263"/>
        <item x="1549"/>
        <item x="86"/>
        <item x="771"/>
        <item x="390"/>
        <item x="2105"/>
        <item x="1043"/>
        <item x="2291"/>
        <item x="1787"/>
        <item x="2627"/>
        <item x="1326"/>
        <item x="682"/>
        <item x="181"/>
        <item x="446"/>
        <item x="2393"/>
        <item x="995"/>
        <item x="1426"/>
        <item x="2368"/>
        <item x="754"/>
        <item x="485"/>
        <item x="1116"/>
        <item x="1216"/>
        <item x="2202"/>
        <item x="1960"/>
        <item x="1898"/>
        <item x="1186"/>
        <item x="2392"/>
        <item x="85"/>
        <item x="1280"/>
        <item x="1463"/>
        <item x="1423"/>
        <item x="2008"/>
        <item x="1739"/>
        <item x="1548"/>
        <item x="2338"/>
        <item x="1462"/>
        <item x="2061"/>
        <item x="1332"/>
        <item x="969"/>
        <item x="1021"/>
        <item x="753"/>
        <item x="2141"/>
        <item x="367"/>
        <item x="2774"/>
        <item x="1547"/>
        <item x="1042"/>
        <item x="84"/>
        <item x="732"/>
        <item x="389"/>
        <item x="134"/>
        <item x="2732"/>
        <item x="231"/>
        <item x="2731"/>
        <item x="290"/>
        <item x="770"/>
        <item x="2626"/>
        <item x="445"/>
        <item x="1588"/>
        <item x="1493"/>
        <item x="713"/>
        <item x="1492"/>
        <item x="968"/>
        <item x="2225"/>
        <item x="1603"/>
        <item x="2337"/>
        <item x="83"/>
        <item x="2058"/>
        <item x="388"/>
        <item x="180"/>
        <item x="230"/>
        <item x="993"/>
        <item x="1091"/>
        <item x="992"/>
        <item x="769"/>
        <item x="805"/>
        <item x="229"/>
        <item x="2201"/>
        <item x="289"/>
        <item x="2073"/>
        <item x="2111"/>
        <item x="2416"/>
        <item x="949"/>
        <item x="1666"/>
        <item x="787"/>
        <item x="2071"/>
        <item x="907"/>
        <item x="2356"/>
        <item x="789"/>
        <item x="859"/>
        <item x="1104"/>
        <item x="1804"/>
        <item x="1204"/>
        <item x="2075"/>
        <item x="653"/>
        <item x="2641"/>
        <item x="2696"/>
        <item x="1157"/>
        <item x="2263"/>
        <item x="2556"/>
        <item x="2554"/>
        <item x="2172"/>
        <item x="605"/>
        <item x="952"/>
        <item x="2642"/>
        <item x="1058"/>
        <item x="743"/>
        <item x="1978"/>
        <item x="1103"/>
        <item x="1203"/>
        <item x="2499"/>
        <item x="350"/>
        <item x="2498"/>
        <item x="1631"/>
        <item x="201"/>
        <item x="1156"/>
        <item x="2555"/>
        <item x="2694"/>
        <item x="788"/>
        <item x="1300"/>
        <item x="154"/>
        <item x="58"/>
        <item x="1702"/>
        <item x="816"/>
        <item x="1057"/>
        <item x="1299"/>
        <item x="858"/>
        <item x="2454"/>
        <item x="516"/>
        <item x="351"/>
        <item x="1348"/>
        <item x="552"/>
        <item x="2130"/>
        <item x="604"/>
        <item x="817"/>
        <item x="2695"/>
        <item x="103"/>
        <item x="1977"/>
        <item x="1593"/>
        <item x="1349"/>
        <item x="950"/>
        <item x="2262"/>
        <item x="102"/>
        <item x="1479"/>
        <item x="408"/>
        <item x="2129"/>
        <item x="1630"/>
        <item x="1155"/>
        <item x="2414"/>
        <item x="1433"/>
        <item x="1721"/>
        <item x="2104"/>
        <item x="2801"/>
        <item x="2103"/>
        <item x="2579"/>
        <item x="2677"/>
        <item x="1934"/>
        <item x="2057"/>
        <item x="845"/>
        <item x="1422"/>
        <item x="1279"/>
        <item x="2038"/>
        <item x="1546"/>
        <item x="681"/>
        <item x="2730"/>
        <item x="967"/>
        <item x="1020"/>
        <item x="966"/>
        <item x="991"/>
        <item x="1041"/>
        <item x="893"/>
        <item x="2729"/>
        <item x="932"/>
        <item x="844"/>
        <item x="2676"/>
        <item x="1688"/>
        <item x="1137"/>
        <item x="2238"/>
        <item x="2485"/>
        <item x="10"/>
        <item x="931"/>
        <item x="2437"/>
        <item x="2436"/>
        <item x="542"/>
        <item x="2728"/>
        <item x="133"/>
        <item x="2179"/>
        <item x="1532"/>
        <item x="2605"/>
        <item x="2083"/>
        <item x="2273"/>
        <item x="423"/>
        <item x="323"/>
        <item x="635"/>
        <item x="179"/>
        <item x="680"/>
        <item x="228"/>
        <item x="1278"/>
        <item x="731"/>
        <item x="322"/>
        <item x="930"/>
        <item x="288"/>
        <item x="1836"/>
        <item x="1325"/>
        <item x="1185"/>
        <item x="1720"/>
        <item x="1984"/>
        <item x="2760"/>
        <item x="2178"/>
        <item x="666"/>
        <item x="1215"/>
        <item x="227"/>
        <item x="2056"/>
        <item x="1040"/>
        <item x="387"/>
        <item x="2625"/>
        <item x="2200"/>
        <item x="9"/>
        <item x="2055"/>
        <item x="1239"/>
        <item x="2007"/>
        <item x="2006"/>
        <item x="634"/>
        <item x="730"/>
        <item x="1586"/>
        <item x="1238"/>
        <item x="444"/>
        <item x="1817"/>
        <item x="1399"/>
        <item x="2759"/>
        <item x="2839"/>
        <item x="525"/>
        <item x="1719"/>
        <item x="1651"/>
        <item x="2290"/>
        <item x="2391"/>
        <item x="287"/>
        <item x="178"/>
        <item x="2237"/>
        <item x="1959"/>
        <item x="507"/>
        <item x="1461"/>
        <item x="46"/>
        <item x="1507"/>
        <item x="2675"/>
        <item x="1421"/>
        <item x="892"/>
        <item x="2140"/>
        <item x="1071"/>
        <item x="2312"/>
        <item x="1442"/>
        <item x="2311"/>
        <item x="265"/>
        <item x="2773"/>
        <item x="1324"/>
        <item x="729"/>
        <item x="132"/>
        <item x="768"/>
        <item x="804"/>
        <item x="1369"/>
        <item x="2772"/>
        <item x="1277"/>
        <item x="286"/>
        <item x="1835"/>
        <item x="2005"/>
        <item x="1039"/>
        <item x="311"/>
        <item x="912"/>
        <item x="67"/>
        <item x="2789"/>
        <item x="752"/>
        <item x="1166"/>
        <item x="1545"/>
        <item x="1184"/>
        <item x="541"/>
        <item x="2771"/>
        <item x="1420"/>
        <item x="1368"/>
        <item x="2578"/>
        <item x="728"/>
        <item x="1090"/>
        <item x="2336"/>
        <item x="1419"/>
        <item x="131"/>
        <item x="1770"/>
        <item x="66"/>
        <item x="2224"/>
        <item x="2367"/>
        <item x="113"/>
        <item x="1816"/>
        <item x="1617"/>
        <item x="1418"/>
        <item x="540"/>
        <item x="1786"/>
        <item x="321"/>
        <item x="1958"/>
        <item x="2289"/>
        <item x="506"/>
        <item x="1650"/>
        <item x="505"/>
        <item x="1738"/>
        <item x="2004"/>
        <item x="1572"/>
        <item x="524"/>
        <item x="366"/>
        <item x="911"/>
        <item x="1718"/>
        <item x="2564"/>
        <item x="2158"/>
        <item x="2674"/>
        <item x="2003"/>
        <item x="633"/>
        <item x="2002"/>
        <item x="1897"/>
        <item x="1183"/>
        <item x="443"/>
        <item x="1276"/>
        <item x="539"/>
        <item x="767"/>
        <item x="2390"/>
        <item x="803"/>
        <item x="2577"/>
        <item x="1717"/>
        <item x="1019"/>
        <item x="365"/>
        <item x="1491"/>
        <item x="2468"/>
        <item x="264"/>
        <item x="1460"/>
        <item x="2727"/>
        <item x="2199"/>
        <item x="1417"/>
        <item x="891"/>
        <item x="2624"/>
        <item x="226"/>
        <item x="890"/>
        <item x="2198"/>
        <item x="929"/>
        <item x="802"/>
        <item x="1616"/>
        <item x="1615"/>
        <item x="1307"/>
        <item x="263"/>
        <item x="615"/>
        <item x="65"/>
        <item x="1637"/>
        <item x="1165"/>
        <item x="2054"/>
        <item x="2623"/>
        <item x="727"/>
        <item x="177"/>
        <item x="2157"/>
        <item x="679"/>
        <item x="1687"/>
        <item x="504"/>
        <item x="225"/>
        <item x="2435"/>
        <item x="2053"/>
        <item x="386"/>
        <item x="585"/>
        <item x="1182"/>
        <item x="1585"/>
        <item x="1293"/>
        <item x="2805"/>
        <item x="149"/>
        <item x="355"/>
        <item x="1206"/>
        <item x="2546"/>
        <item x="1750"/>
        <item x="1159"/>
        <item x="2549"/>
        <item x="2745"/>
        <item x="852"/>
        <item x="1559"/>
        <item x="248"/>
        <item x="1342"/>
        <item x="698"/>
        <item x="35"/>
        <item x="705"/>
        <item x="308"/>
        <item x="2119"/>
        <item x="1916"/>
        <item x="740"/>
        <item x="2548"/>
        <item x="905"/>
        <item x="195"/>
        <item x="1296"/>
        <item x="608"/>
        <item x="657"/>
        <item x="1161"/>
        <item x="1656"/>
        <item x="2547"/>
        <item x="339"/>
        <item x="811"/>
        <item x="1972"/>
        <item x="151"/>
        <item x="2843"/>
        <item x="819"/>
        <item x="1437"/>
        <item x="1160"/>
        <item x="1066"/>
        <item x="1517"/>
        <item x="851"/>
        <item x="1658"/>
        <item x="1971"/>
        <item x="549"/>
        <item x="1699"/>
        <item x="1148"/>
        <item x="1255"/>
        <item x="2644"/>
        <item x="1806"/>
        <item x="1805"/>
        <item x="1708"/>
        <item x="2582"/>
        <item x="2348"/>
        <item x="2687"/>
        <item x="2125"/>
        <item x="1920"/>
        <item x="1752"/>
        <item x="2559"/>
        <item x="2699"/>
        <item x="1107"/>
        <item x="1393"/>
        <item x="1482"/>
        <item x="704"/>
        <item x="1914"/>
        <item x="1474"/>
        <item x="2257"/>
        <item x="1662"/>
        <item x="2123"/>
        <item x="790"/>
        <item x="2698"/>
        <item x="2501"/>
        <item x="2700"/>
        <item x="820"/>
        <item x="1913"/>
        <item x="850"/>
        <item x="1856"/>
        <item x="810"/>
        <item x="404"/>
        <item x="411"/>
        <item x="1867"/>
        <item x="2133"/>
        <item x="656"/>
        <item x="955"/>
        <item x="338"/>
        <item x="1915"/>
        <item x="546"/>
        <item x="400"/>
        <item x="545"/>
        <item x="1919"/>
        <item x="1351"/>
        <item x="655"/>
        <item x="1254"/>
        <item x="558"/>
        <item x="106"/>
        <item x="1623"/>
        <item x="1855"/>
        <item x="2023"/>
        <item x="29"/>
        <item x="463"/>
        <item x="1762"/>
        <item x="62"/>
        <item x="1596"/>
        <item x="1481"/>
        <item x="2118"/>
        <item x="2584"/>
        <item x="903"/>
        <item x="192"/>
        <item x="1367"/>
        <item x="2576"/>
        <item x="1323"/>
        <item x="2563"/>
        <item x="1872"/>
        <item x="2335"/>
        <item x="2726"/>
        <item x="2800"/>
        <item x="2102"/>
        <item x="766"/>
        <item x="965"/>
        <item x="824"/>
        <item x="1737"/>
        <item x="1038"/>
        <item x="1459"/>
        <item x="1"/>
        <item x="2622"/>
        <item x="665"/>
        <item x="1785"/>
        <item x="1416"/>
        <item x="1686"/>
        <item x="1037"/>
        <item x="130"/>
        <item x="990"/>
        <item x="2673"/>
        <item x="584"/>
        <item x="285"/>
        <item x="1957"/>
        <item x="765"/>
        <item x="1956"/>
        <item x="2575"/>
        <item x="385"/>
        <item x="1896"/>
        <item x="129"/>
        <item x="2537"/>
        <item x="2574"/>
        <item x="422"/>
        <item x="2001"/>
        <item x="442"/>
        <item x="1237"/>
        <item x="1415"/>
        <item x="1322"/>
        <item x="2389"/>
        <item x="2101"/>
        <item x="2799"/>
        <item x="538"/>
        <item x="82"/>
        <item x="2197"/>
        <item x="1736"/>
        <item x="2388"/>
        <item x="2000"/>
        <item x="503"/>
        <item x="801"/>
        <item x="2310"/>
        <item x="989"/>
        <item x="1544"/>
        <item x="2536"/>
        <item x="1136"/>
        <item x="2052"/>
        <item x="1181"/>
        <item x="1895"/>
        <item x="2196"/>
        <item x="988"/>
        <item x="2334"/>
        <item x="2535"/>
        <item x="1784"/>
        <item x="1834"/>
        <item x="1236"/>
        <item x="678"/>
        <item x="823"/>
        <item x="664"/>
        <item x="1135"/>
        <item x="632"/>
        <item x="889"/>
        <item x="843"/>
        <item x="2100"/>
        <item x="1414"/>
        <item x="2434"/>
        <item x="987"/>
        <item x="986"/>
        <item x="1685"/>
        <item x="384"/>
        <item x="1235"/>
        <item x="1134"/>
        <item x="985"/>
        <item x="1089"/>
        <item x="1833"/>
        <item x="2309"/>
        <item x="614"/>
        <item x="2139"/>
        <item x="2573"/>
        <item x="1133"/>
        <item x="1088"/>
        <item x="2484"/>
        <item x="1955"/>
        <item x="1894"/>
        <item x="284"/>
        <item x="2821"/>
        <item x="928"/>
        <item x="842"/>
        <item x="677"/>
        <item x="1783"/>
        <item x="1543"/>
        <item x="2051"/>
        <item x="984"/>
        <item x="1070"/>
        <item x="910"/>
        <item x="1357"/>
        <item x="1262"/>
        <item x="1954"/>
        <item x="1584"/>
        <item x="1542"/>
        <item x="1893"/>
        <item x="176"/>
        <item x="1892"/>
        <item x="1649"/>
        <item x="2798"/>
        <item x="2534"/>
        <item x="128"/>
        <item x="81"/>
        <item x="1999"/>
        <item x="175"/>
        <item x="1614"/>
        <item x="888"/>
        <item x="2138"/>
        <item x="1769"/>
        <item x="2604"/>
        <item x="1398"/>
        <item x="2137"/>
        <item x="583"/>
        <item x="887"/>
        <item x="27"/>
        <item x="2333"/>
        <item x="800"/>
        <item x="631"/>
        <item x="1506"/>
        <item x="1541"/>
        <item x="1132"/>
        <item x="2797"/>
        <item x="127"/>
        <item x="841"/>
        <item x="537"/>
        <item x="283"/>
        <item x="1458"/>
        <item x="1815"/>
        <item x="1933"/>
        <item x="2272"/>
        <item x="1871"/>
        <item x="80"/>
        <item x="1583"/>
        <item x="1648"/>
        <item x="26"/>
        <item x="2672"/>
        <item x="1505"/>
        <item x="25"/>
        <item x="886"/>
        <item x="885"/>
        <item x="282"/>
        <item x="2533"/>
        <item x="2050"/>
        <item x="1613"/>
        <item x="2572"/>
        <item x="613"/>
        <item x="1164"/>
        <item x="2082"/>
        <item x="663"/>
        <item x="2467"/>
        <item x="2511"/>
        <item x="126"/>
        <item x="884"/>
        <item x="1891"/>
        <item x="2099"/>
        <item x="2288"/>
        <item x="1890"/>
        <item x="983"/>
        <item x="1457"/>
        <item x="2571"/>
        <item x="726"/>
        <item x="2770"/>
        <item x="1889"/>
        <item x="2725"/>
        <item x="536"/>
        <item x="662"/>
        <item x="1441"/>
        <item x="871"/>
        <item x="1832"/>
        <item x="676"/>
        <item x="630"/>
        <item x="2532"/>
        <item x="383"/>
        <item x="1998"/>
        <item x="1735"/>
        <item x="502"/>
        <item x="1131"/>
        <item x="24"/>
        <item x="1275"/>
        <item x="927"/>
        <item x="764"/>
        <item x="840"/>
        <item x="174"/>
        <item x="1065"/>
        <item x="519"/>
        <item x="413"/>
        <item x="1214"/>
        <item x="609"/>
        <item x="2135"/>
        <item x="2037"/>
        <item x="2701"/>
        <item x="2838"/>
        <item x="2812"/>
        <item x="1636"/>
        <item x="2174"/>
        <item x="1709"/>
        <item x="1064"/>
        <item x="2032"/>
        <item x="862"/>
        <item x="1807"/>
        <item x="2304"/>
        <item x="2134"/>
        <item x="1868"/>
        <item x="557"/>
        <item x="1321"/>
        <item x="1490"/>
        <item x="125"/>
        <item x="2049"/>
        <item x="1180"/>
        <item x="501"/>
        <item x="675"/>
        <item x="2387"/>
        <item x="2531"/>
        <item x="2466"/>
        <item x="1366"/>
        <item x="1582"/>
        <item x="2510"/>
        <item x="1356"/>
        <item x="281"/>
        <item x="2098"/>
        <item x="2386"/>
        <item x="209"/>
        <item x="262"/>
        <item x="421"/>
        <item x="1581"/>
        <item x="2769"/>
        <item x="2671"/>
        <item x="2385"/>
        <item x="1234"/>
        <item x="1456"/>
        <item x="582"/>
        <item x="441"/>
        <item x="883"/>
        <item x="2097"/>
        <item x="2483"/>
        <item x="1888"/>
        <item x="2530"/>
        <item x="1504"/>
        <item x="500"/>
        <item x="38"/>
        <item x="2509"/>
        <item x="2366"/>
        <item x="2308"/>
        <item x="1355"/>
        <item x="712"/>
        <item x="1163"/>
        <item x="484"/>
        <item x="483"/>
        <item x="166"/>
        <item x="2758"/>
        <item x="1831"/>
        <item x="1087"/>
        <item x="440"/>
        <item x="763"/>
        <item x="45"/>
        <item x="2433"/>
        <item x="1365"/>
        <item x="1036"/>
        <item x="2768"/>
        <item x="224"/>
        <item x="2570"/>
        <item x="439"/>
        <item x="799"/>
        <item x="2236"/>
        <item x="870"/>
        <item x="564"/>
        <item x="2036"/>
        <item x="1354"/>
        <item x="792"/>
        <item x="1213"/>
        <item x="2603"/>
        <item x="2223"/>
        <item x="2757"/>
        <item x="1870"/>
        <item x="523"/>
        <item x="1261"/>
        <item x="1580"/>
        <item x="1233"/>
        <item x="982"/>
        <item x="2670"/>
        <item x="839"/>
        <item x="1232"/>
        <item x="320"/>
        <item x="581"/>
        <item x="2569"/>
        <item x="23"/>
        <item x="2820"/>
        <item x="2669"/>
        <item x="0"/>
        <item x="2156"/>
        <item x="261"/>
        <item x="364"/>
        <item x="1571"/>
        <item x="522"/>
        <item x="1212"/>
        <item x="2465"/>
        <item x="1673"/>
        <item x="363"/>
        <item x="2756"/>
        <item x="2307"/>
        <item x="173"/>
        <item x="2096"/>
        <item x="629"/>
        <item x="280"/>
        <item x="580"/>
        <item x="2048"/>
        <item x="1734"/>
        <item x="882"/>
        <item x="798"/>
        <item x="2842"/>
        <item x="2482"/>
        <item x="2287"/>
        <item x="2724"/>
        <item x="1684"/>
        <item x="1353"/>
        <item x="711"/>
        <item x="2508"/>
        <item x="1814"/>
        <item x="563"/>
        <item x="1570"/>
        <item x="1260"/>
        <item x="1115"/>
        <item x="2222"/>
        <item x="1531"/>
        <item x="1086"/>
        <item x="2767"/>
        <item x="2723"/>
        <item x="628"/>
        <item x="2195"/>
        <item x="1997"/>
        <item x="627"/>
        <item x="1887"/>
        <item x="926"/>
        <item x="1455"/>
        <item x="44"/>
        <item x="1130"/>
        <item x="1886"/>
        <item x="1830"/>
        <item x="1540"/>
        <item x="2837"/>
        <item x="165"/>
        <item x="612"/>
        <item x="2464"/>
        <item x="1635"/>
        <item x="310"/>
        <item x="869"/>
        <item x="1602"/>
        <item x="2365"/>
        <item x="1413"/>
        <item x="2766"/>
        <item x="1782"/>
        <item x="1733"/>
        <item x="725"/>
        <item x="2432"/>
        <item x="1885"/>
        <item x="1732"/>
        <item x="2819"/>
        <item x="1179"/>
        <item x="674"/>
        <item x="2529"/>
        <item x="2155"/>
        <item x="2668"/>
        <item x="2667"/>
        <item x="362"/>
        <item x="1018"/>
        <item x="2602"/>
        <item x="361"/>
        <item x="37"/>
        <item x="2755"/>
        <item x="1489"/>
        <item x="112"/>
        <item x="1274"/>
        <item x="1085"/>
        <item x="2528"/>
        <item x="8"/>
        <item x="1539"/>
        <item x="2194"/>
        <item x="2286"/>
        <item x="579"/>
        <item x="1412"/>
        <item x="2332"/>
        <item x="1781"/>
        <item x="1273"/>
        <item x="79"/>
        <item x="2193"/>
        <item x="382"/>
        <item x="1634"/>
        <item x="1530"/>
        <item x="1488"/>
        <item x="2463"/>
        <item x="1633"/>
        <item x="208"/>
        <item x="521"/>
        <item x="2666"/>
        <item x="925"/>
        <item x="2481"/>
        <item x="223"/>
        <item x="1538"/>
        <item x="2431"/>
        <item x="2095"/>
        <item x="2621"/>
        <item x="1320"/>
        <item x="2722"/>
        <item x="499"/>
        <item x="2384"/>
        <item x="1953"/>
        <item x="881"/>
        <item x="724"/>
        <item x="2383"/>
        <item x="1487"/>
        <item x="1569"/>
        <item x="2364"/>
        <item x="2421"/>
        <item x="111"/>
        <item x="164"/>
        <item x="260"/>
        <item x="2527"/>
        <item x="498"/>
        <item x="381"/>
        <item x="723"/>
        <item x="1537"/>
        <item x="626"/>
        <item x="673"/>
        <item x="2331"/>
        <item x="625"/>
        <item x="319"/>
        <item x="880"/>
        <item x="438"/>
        <item x="497"/>
        <item x="2330"/>
        <item x="838"/>
        <item x="1932"/>
        <item x="309"/>
        <item x="110"/>
        <item x="1672"/>
        <item x="2601"/>
        <item x="868"/>
        <item x="1440"/>
        <item x="2600"/>
        <item x="1683"/>
        <item x="380"/>
        <item x="2329"/>
        <item x="924"/>
        <item x="762"/>
        <item x="1829"/>
        <item x="1129"/>
        <item x="2285"/>
        <item x="535"/>
        <item x="1503"/>
        <item x="722"/>
        <item x="837"/>
        <item x="2765"/>
        <item x="2818"/>
        <item x="2284"/>
        <item x="2405"/>
        <item x="51"/>
        <item x="1694"/>
        <item x="1429"/>
        <item x="594"/>
        <item x="1794"/>
        <item x="2403"/>
        <item x="1908"/>
        <item x="1470"/>
        <item x="296"/>
        <item x="1558"/>
        <item x="1693"/>
        <item x="1967"/>
        <item x="334"/>
        <item x="142"/>
        <item x="2775"/>
        <item x="93"/>
        <item x="1557"/>
        <item x="1846"/>
        <item x="333"/>
        <item x="2683"/>
        <item x="1248"/>
        <item x="1290"/>
        <item x="544"/>
        <item x="2830"/>
        <item x="1099"/>
        <item x="1288"/>
        <item x="2295"/>
        <item x="2404"/>
        <item x="1336"/>
        <item x="1430"/>
        <item x="1968"/>
        <item x="92"/>
        <item x="999"/>
        <item x="458"/>
        <item x="2346"/>
        <item x="2543"/>
        <item x="2633"/>
        <item x="1338"/>
        <item x="779"/>
        <item x="189"/>
        <item x="240"/>
        <item x="1909"/>
        <item x="1193"/>
        <item x="1337"/>
        <item x="897"/>
        <item x="2113"/>
        <item x="543"/>
        <item x="898"/>
        <item x="689"/>
        <item x="143"/>
        <item x="1966"/>
        <item x="457"/>
        <item x="2115"/>
        <item x="2345"/>
        <item x="1653"/>
        <item x="1100"/>
        <item x="2631"/>
        <item x="1247"/>
        <item x="1556"/>
        <item x="1795"/>
        <item x="1289"/>
        <item x="2250"/>
        <item x="332"/>
        <item x="780"/>
        <item x="2114"/>
        <item x="52"/>
        <item x="2490"/>
        <item x="1047"/>
        <item x="1843"/>
        <item x="1842"/>
        <item x="1242"/>
        <item x="685"/>
        <item x="89"/>
        <item x="1554"/>
        <item x="1705"/>
        <item x="2022"/>
        <item x="1510"/>
        <item x="848"/>
        <item x="1963"/>
        <item x="736"/>
        <item x="1704"/>
        <item x="2776"/>
        <item x="782"/>
        <item x="1744"/>
        <item x="138"/>
        <item x="1241"/>
        <item x="184"/>
        <item x="1373"/>
        <item x="1904"/>
        <item x="2164"/>
        <item x="2828"/>
        <item x="2540"/>
        <item x="2628"/>
        <item x="590"/>
        <item x="2017"/>
        <item x="2110"/>
        <item x="1428"/>
        <item x="90"/>
        <item x="644"/>
        <item x="191"/>
        <item x="460"/>
        <item x="942"/>
        <item x="1380"/>
        <item x="2299"/>
        <item x="96"/>
        <item x="1798"/>
        <item x="809"/>
        <item x="1372"/>
        <item x="2681"/>
        <item x="2163"/>
        <item x="808"/>
        <item x="1790"/>
        <item x="2489"/>
        <item x="1841"/>
        <item x="2016"/>
        <item x="295"/>
        <item x="88"/>
        <item x="2629"/>
        <item x="1427"/>
        <item x="939"/>
        <item x="1747"/>
        <item x="2117"/>
        <item x="2256"/>
        <item x="1379"/>
        <item x="2298"/>
        <item x="900"/>
        <item x="2778"/>
        <item x="776"/>
        <item x="642"/>
        <item x="1331"/>
        <item x="1467"/>
        <item x="50"/>
        <item x="735"/>
        <item x="1587"/>
        <item x="87"/>
        <item x="454"/>
        <item x="1425"/>
        <item x="938"/>
        <item x="1094"/>
        <item x="1287"/>
        <item x="2248"/>
        <item x="1335"/>
        <item x="2686"/>
        <item x="399"/>
        <item x="95"/>
        <item x="1516"/>
        <item x="2685"/>
        <item x="2210"/>
        <item x="2803"/>
        <item x="392"/>
        <item x="235"/>
        <item x="589"/>
        <item x="326"/>
        <item x="1284"/>
        <item x="894"/>
        <item x="1840"/>
        <item x="2162"/>
        <item x="2581"/>
        <item x="1962"/>
        <item x="2400"/>
        <item x="737"/>
        <item x="2294"/>
        <item x="148"/>
        <item x="398"/>
        <item x="899"/>
        <item x="1854"/>
        <item x="1912"/>
        <item x="994"/>
        <item x="1961"/>
        <item x="2680"/>
        <item x="453"/>
        <item x="2244"/>
        <item x="588"/>
        <item x="2827"/>
        <item x="1330"/>
        <item x="1093"/>
        <item x="2243"/>
        <item x="1142"/>
        <item x="456"/>
        <item x="2247"/>
        <item x="1145"/>
        <item x="2744"/>
        <item x="1851"/>
        <item x="2636"/>
        <item x="294"/>
        <item x="1092"/>
        <item x="807"/>
        <item x="2015"/>
        <item x="452"/>
        <item x="1903"/>
        <item x="2161"/>
        <item x="1743"/>
        <item x="2737"/>
        <item x="847"/>
        <item x="2014"/>
        <item x="2398"/>
        <item x="2399"/>
        <item x="1334"/>
        <item x="2209"/>
        <item x="1853"/>
        <item x="245"/>
        <item x="2171"/>
        <item x="451"/>
        <item x="450"/>
        <item x="2826"/>
        <item x="2397"/>
        <item x="2342"/>
        <item x="449"/>
        <item x="775"/>
        <item x="2825"/>
        <item x="49"/>
        <item x="2440"/>
        <item x="774"/>
        <item x="2488"/>
        <item x="1049"/>
        <item x="1244"/>
        <item x="1001"/>
        <item x="1970"/>
        <item x="2116"/>
        <item x="1797"/>
        <item x="48"/>
        <item x="2396"/>
        <item x="2824"/>
        <item x="1902"/>
        <item x="1190"/>
        <item x="641"/>
        <item x="1046"/>
        <item x="2109"/>
        <item x="1141"/>
        <item x="1789"/>
        <item x="2736"/>
        <item x="1839"/>
        <item x="1374"/>
        <item x="1472"/>
        <item x="1195"/>
        <item x="2208"/>
        <item x="1466"/>
        <item x="2539"/>
        <item x="448"/>
        <item x="587"/>
        <item x="734"/>
        <item x="325"/>
        <item x="2735"/>
        <item x="1465"/>
        <item x="773"/>
        <item x="640"/>
        <item x="508"/>
        <item x="1509"/>
        <item x="1742"/>
        <item x="1048"/>
        <item x="297"/>
        <item x="1852"/>
        <item x="1061"/>
        <item x="2487"/>
        <item x="639"/>
        <item x="2242"/>
        <item x="1838"/>
        <item x="1618"/>
        <item x="1140"/>
        <item x="2013"/>
        <item x="47"/>
        <item x="684"/>
        <item x="2060"/>
        <item x="1371"/>
        <item x="937"/>
        <item x="2108"/>
        <item x="2823"/>
        <item x="1619"/>
        <item x="1000"/>
        <item x="336"/>
        <item x="2743"/>
        <item x="1144"/>
        <item x="94"/>
        <item x="2296"/>
        <item x="2632"/>
        <item x="2583"/>
        <item x="2589"/>
        <item x="781"/>
        <item x="1051"/>
        <item x="690"/>
        <item x="2253"/>
        <item x="2254"/>
        <item x="2591"/>
        <item x="1979"/>
        <item x="1007"/>
        <item x="1101"/>
        <item x="1471"/>
        <item x="1848"/>
        <item x="2207"/>
        <item x="53"/>
        <item x="702"/>
        <item x="2417"/>
        <item x="2358"/>
        <item x="32"/>
        <item x="2494"/>
        <item x="1339"/>
        <item x="596"/>
        <item x="2634"/>
        <item x="902"/>
        <item x="1292"/>
        <item x="105"/>
        <item x="554"/>
        <item x="2590"/>
        <item x="1669"/>
        <item x="2829"/>
        <item x="2168"/>
        <item x="144"/>
        <item x="691"/>
        <item x="1696"/>
        <item x="1801"/>
        <item x="1760"/>
        <item x="2456"/>
        <item x="2265"/>
        <item x="2443"/>
        <item x="1514"/>
        <item x="1621"/>
        <item x="2347"/>
        <item x="1800"/>
        <item x="462"/>
        <item x="901"/>
        <item x="2302"/>
        <item x="1059"/>
        <item x="2455"/>
        <item x="1376"/>
        <item x="1654"/>
        <item x="1847"/>
        <item x="1102"/>
        <item x="2444"/>
        <item x="2447"/>
        <item x="693"/>
        <item x="2211"/>
        <item x="409"/>
        <item x="1389"/>
        <item x="2074"/>
        <item x="410"/>
        <item x="2742"/>
        <item x="2251"/>
        <item x="646"/>
        <item x="1515"/>
        <item x="2120"/>
        <item x="1799"/>
        <item x="2264"/>
        <item x="744"/>
        <item x="2301"/>
        <item x="1431"/>
        <item x="595"/>
        <item x="2064"/>
        <item x="243"/>
        <item x="1657"/>
        <item x="1668"/>
        <item x="2131"/>
        <item x="1194"/>
        <item x="2167"/>
        <item x="1620"/>
        <item x="2252"/>
        <item x="242"/>
        <item x="784"/>
        <item x="1667"/>
        <item x="2063"/>
        <item x="510"/>
        <item x="335"/>
        <item x="459"/>
        <item x="648"/>
        <item x="461"/>
        <item x="694"/>
        <item x="1519"/>
        <item x="2409"/>
        <item x="1521"/>
        <item x="1857"/>
        <item x="401"/>
        <item x="1201"/>
        <item x="2213"/>
        <item x="1522"/>
        <item x="466"/>
        <item x="247"/>
        <item x="2259"/>
        <item x="54"/>
        <item x="1004"/>
        <item x="31"/>
        <item x="649"/>
        <item x="2412"/>
        <item x="303"/>
        <item x="349"/>
        <item x="2448"/>
        <item x="1295"/>
        <item x="2258"/>
        <item x="99"/>
        <item x="1200"/>
        <item x="2690"/>
        <item x="1700"/>
        <item x="2836"/>
        <item x="1592"/>
        <item x="16"/>
        <item x="857"/>
        <item x="56"/>
        <item x="600"/>
        <item x="1591"/>
        <item x="2354"/>
        <item x="1153"/>
        <item x="1147"/>
        <item x="1382"/>
        <item x="2637"/>
        <item x="2067"/>
        <item x="1664"/>
        <item x="2782"/>
        <item x="741"/>
        <item x="1863"/>
        <item x="1347"/>
        <item x="304"/>
        <item x="305"/>
        <item x="2586"/>
        <item x="1384"/>
        <item x="2693"/>
        <item x="515"/>
        <item x="2261"/>
        <item x="947"/>
        <item x="2806"/>
        <item x="1197"/>
        <item x="696"/>
        <item x="547"/>
        <item x="1386"/>
        <item x="470"/>
        <item x="196"/>
        <item x="1346"/>
        <item x="856"/>
        <item x="2835"/>
        <item x="2026"/>
        <item x="1383"/>
        <item x="1661"/>
        <item x="2128"/>
        <item x="1252"/>
        <item x="1862"/>
        <item x="1298"/>
        <item x="2453"/>
        <item x="1697"/>
        <item x="98"/>
        <item x="2551"/>
        <item x="14"/>
        <item x="2353"/>
        <item x="469"/>
        <item x="1341"/>
        <item x="1628"/>
        <item x="471"/>
        <item x="2355"/>
        <item x="2809"/>
        <item x="2124"/>
        <item x="1803"/>
        <item x="1976"/>
        <item x="348"/>
        <item x="2070"/>
        <item x="652"/>
        <item x="1918"/>
        <item x="1520"/>
        <item x="2689"/>
        <item x="1562"/>
        <item x="1921"/>
        <item x="512"/>
        <item x="2495"/>
        <item x="1627"/>
        <item x="1202"/>
        <item x="2216"/>
        <item x="403"/>
        <item x="2780"/>
        <item x="101"/>
        <item x="200"/>
        <item x="1626"/>
        <item x="2587"/>
        <item x="1345"/>
        <item x="511"/>
        <item x="1663"/>
        <item x="2449"/>
        <item x="2496"/>
        <item x="814"/>
        <item x="1198"/>
        <item x="2349"/>
        <item x="948"/>
        <item x="1759"/>
        <item x="2214"/>
        <item x="2692"/>
        <item x="1625"/>
        <item x="2215"/>
        <item x="302"/>
        <item x="1344"/>
        <item x="193"/>
        <item x="695"/>
        <item x="1152"/>
        <item x="1975"/>
        <item x="2352"/>
        <item x="1698"/>
        <item x="1560"/>
        <item x="904"/>
        <item x="603"/>
        <item x="1922"/>
        <item x="1754"/>
        <item x="651"/>
        <item x="153"/>
        <item x="15"/>
        <item x="1149"/>
        <item x="551"/>
        <item x="1751"/>
        <item x="854"/>
        <item x="468"/>
        <item x="1385"/>
        <item x="340"/>
        <item x="150"/>
        <item x="1518"/>
        <item x="464"/>
        <item x="1629"/>
        <item x="299"/>
        <item x="199"/>
        <item x="347"/>
        <item x="467"/>
        <item x="944"/>
        <item x="1056"/>
        <item x="1294"/>
        <item x="2832"/>
        <item x="1477"/>
        <item x="1475"/>
        <item x="812"/>
        <item x="2121"/>
        <item x="2407"/>
        <item x="1624"/>
        <item x="2413"/>
        <item x="697"/>
        <item x="346"/>
        <item x="2497"/>
        <item x="30"/>
        <item x="1758"/>
        <item x="1432"/>
        <item x="2025"/>
        <item x="2748"/>
        <item x="945"/>
        <item x="1340"/>
        <item x="599"/>
        <item x="943"/>
        <item x="2212"/>
        <item x="12"/>
        <item x="1154"/>
        <item x="1780"/>
        <item x="1779"/>
        <item x="2328"/>
        <item x="2507"/>
        <item x="1272"/>
        <item x="923"/>
        <item x="1128"/>
        <item x="2235"/>
        <item x="751"/>
        <item x="2480"/>
        <item x="496"/>
        <item x="1486"/>
        <item x="222"/>
        <item x="2708"/>
        <item x="437"/>
        <item x="495"/>
        <item x="1536"/>
        <item x="1931"/>
        <item x="2526"/>
        <item x="1035"/>
        <item x="2283"/>
        <item x="2665"/>
        <item x="2382"/>
        <item x="1319"/>
        <item x="1778"/>
        <item x="379"/>
        <item x="1731"/>
        <item x="1271"/>
        <item x="2664"/>
        <item x="2154"/>
        <item x="2094"/>
        <item x="2430"/>
        <item x="1502"/>
        <item x="624"/>
        <item x="1259"/>
        <item x="964"/>
        <item x="1568"/>
        <item x="4"/>
        <item x="2506"/>
        <item x="2562"/>
        <item x="2796"/>
        <item x="1884"/>
        <item x="2620"/>
        <item x="2381"/>
        <item x="981"/>
        <item x="1231"/>
        <item x="2525"/>
        <item x="578"/>
        <item x="1730"/>
        <item x="1501"/>
        <item x="672"/>
        <item x="2429"/>
        <item x="378"/>
        <item x="1127"/>
        <item x="1647"/>
        <item x="2177"/>
        <item x="710"/>
        <item x="1716"/>
        <item x="1162"/>
        <item x="259"/>
        <item x="1828"/>
        <item x="2047"/>
        <item x="124"/>
        <item x="2619"/>
        <item x="1411"/>
        <item x="1178"/>
        <item x="1230"/>
        <item x="534"/>
        <item x="279"/>
        <item x="1827"/>
        <item x="172"/>
        <item x="1126"/>
        <item x="78"/>
        <item x="1883"/>
        <item x="879"/>
        <item x="1813"/>
        <item x="1017"/>
        <item x="963"/>
        <item x="2707"/>
        <item x="2618"/>
        <item x="436"/>
        <item x="2327"/>
        <item x="1270"/>
        <item x="577"/>
        <item x="2617"/>
        <item x="318"/>
        <item x="721"/>
        <item x="2721"/>
        <item x="2663"/>
        <item x="1454"/>
        <item x="171"/>
        <item x="1777"/>
        <item x="1646"/>
        <item x="2788"/>
        <item x="1016"/>
        <item x="2081"/>
        <item x="2662"/>
        <item x="2326"/>
        <item x="1453"/>
        <item x="1579"/>
        <item x="2616"/>
        <item x="435"/>
        <item x="2720"/>
        <item x="1125"/>
        <item x="2380"/>
        <item x="1229"/>
        <item x="1318"/>
        <item x="2568"/>
        <item x="1996"/>
        <item x="623"/>
        <item x="2706"/>
        <item x="2754"/>
        <item x="360"/>
        <item x="1567"/>
        <item x="2363"/>
        <item x="258"/>
        <item x="2661"/>
        <item x="2795"/>
        <item x="2524"/>
        <item x="2325"/>
        <item x="1578"/>
        <item x="221"/>
        <item x="2324"/>
        <item x="922"/>
        <item x="2192"/>
        <item x="2764"/>
        <item x="2093"/>
        <item x="1682"/>
        <item x="77"/>
        <item x="2234"/>
        <item x="1034"/>
        <item x="1812"/>
        <item x="1114"/>
        <item x="822"/>
        <item x="661"/>
        <item x="720"/>
        <item x="317"/>
        <item x="1952"/>
        <item x="2719"/>
        <item x="2523"/>
        <item x="278"/>
        <item x="1084"/>
        <item x="1826"/>
        <item x="622"/>
        <item x="434"/>
        <item x="2323"/>
        <item x="377"/>
        <item x="1882"/>
        <item x="277"/>
        <item x="2567"/>
        <item x="1397"/>
        <item x="909"/>
        <item x="1768"/>
        <item x="1015"/>
        <item x="2753"/>
        <item x="2649"/>
        <item x="2191"/>
        <item x="1881"/>
        <item x="2322"/>
        <item x="1364"/>
        <item x="533"/>
        <item x="2233"/>
        <item x="494"/>
        <item x="921"/>
        <item x="576"/>
        <item x="1951"/>
        <item x="1950"/>
        <item x="493"/>
        <item x="1083"/>
        <item x="1082"/>
        <item x="1258"/>
        <item x="1396"/>
        <item x="709"/>
        <item x="207"/>
        <item x="1500"/>
        <item x="2522"/>
        <item x="2479"/>
        <item x="1776"/>
        <item x="276"/>
        <item x="920"/>
        <item x="2282"/>
        <item x="1499"/>
        <item x="1081"/>
        <item x="1363"/>
        <item x="433"/>
        <item x="2379"/>
        <item x="1681"/>
        <item x="2232"/>
        <item x="1124"/>
        <item x="708"/>
        <item x="2035"/>
        <item x="2599"/>
        <item x="2648"/>
        <item x="2221"/>
        <item x="1995"/>
        <item x="2092"/>
        <item x="1949"/>
        <item x="43"/>
        <item x="1948"/>
        <item x="2615"/>
        <item x="2817"/>
        <item x="1123"/>
        <item x="1228"/>
        <item x="836"/>
        <item x="1269"/>
        <item x="2046"/>
        <item x="2190"/>
        <item x="1825"/>
        <item x="919"/>
        <item x="835"/>
        <item x="660"/>
        <item x="878"/>
        <item x="206"/>
        <item x="2614"/>
        <item x="2281"/>
        <item x="2718"/>
        <item x="2521"/>
        <item x="659"/>
        <item x="1033"/>
        <item x="76"/>
        <item x="1994"/>
        <item x="1122"/>
        <item x="2176"/>
        <item x="1811"/>
        <item x="1211"/>
        <item x="1410"/>
        <item x="1535"/>
        <item x="1612"/>
        <item x="1362"/>
        <item x="2794"/>
        <item x="42"/>
        <item x="75"/>
        <item x="1409"/>
        <item x="2520"/>
        <item x="2321"/>
        <item x="2091"/>
        <item x="671"/>
        <item x="834"/>
        <item x="1645"/>
        <item x="1361"/>
        <item x="1408"/>
        <item x="2660"/>
        <item x="482"/>
        <item x="562"/>
        <item x="163"/>
        <item x="2705"/>
        <item x="1601"/>
        <item x="2362"/>
        <item x="1113"/>
        <item x="123"/>
        <item x="833"/>
        <item x="1644"/>
        <item x="1177"/>
        <item x="122"/>
        <item x="492"/>
        <item x="1268"/>
        <item x="1121"/>
        <item x="2793"/>
        <item x="670"/>
        <item x="1080"/>
        <item x="1930"/>
        <item x="1810"/>
        <item x="162"/>
        <item x="2787"/>
        <item x="2813"/>
        <item x="3"/>
        <item x="1983"/>
        <item x="2306"/>
        <item x="1993"/>
        <item x="1611"/>
        <item x="2320"/>
        <item x="2045"/>
        <item x="575"/>
        <item x="2153"/>
        <item x="1577"/>
        <item x="797"/>
        <item x="41"/>
        <item x="1992"/>
        <item x="1824"/>
        <item x="1610"/>
        <item x="1498"/>
        <item x="962"/>
        <item x="1566"/>
        <item x="1210"/>
        <item x="2598"/>
        <item x="1439"/>
        <item x="1395"/>
        <item x="2462"/>
        <item x="1982"/>
        <item x="2428"/>
        <item x="2792"/>
        <item x="1407"/>
        <item x="2319"/>
        <item x="2231"/>
        <item x="761"/>
        <item x="877"/>
        <item x="1947"/>
        <item x="1227"/>
        <item x="1643"/>
        <item x="832"/>
        <item x="2613"/>
        <item x="36"/>
        <item x="1306"/>
        <item x="2175"/>
        <item x="821"/>
        <item x="750"/>
        <item x="1715"/>
        <item x="1600"/>
        <item x="257"/>
        <item x="2090"/>
        <item x="1946"/>
        <item x="980"/>
        <item x="719"/>
        <item x="1680"/>
        <item x="220"/>
        <item x="1729"/>
        <item x="621"/>
        <item x="2612"/>
        <item x="2763"/>
        <item x="1728"/>
        <item x="2189"/>
        <item x="1945"/>
        <item x="1014"/>
        <item x="1112"/>
        <item x="1767"/>
        <item x="2786"/>
        <item x="1209"/>
        <item x="1809"/>
        <item x="2704"/>
        <item x="1727"/>
        <item x="2378"/>
        <item x="1991"/>
        <item x="2762"/>
        <item x="2717"/>
        <item x="40"/>
        <item x="1452"/>
        <item x="2659"/>
        <item x="22"/>
        <item x="2188"/>
        <item x="1880"/>
        <item x="2611"/>
        <item x="867"/>
        <item x="1929"/>
        <item x="1714"/>
        <item x="961"/>
        <item x="2752"/>
        <item x="2034"/>
        <item x="432"/>
        <item x="2610"/>
        <item x="2519"/>
        <item x="2377"/>
        <item x="1176"/>
        <item x="574"/>
        <item x="1226"/>
        <item x="718"/>
        <item x="918"/>
        <item x="2230"/>
        <item x="1032"/>
        <item x="2089"/>
        <item x="2420"/>
        <item x="359"/>
        <item x="256"/>
        <item x="161"/>
        <item x="749"/>
        <item x="1438"/>
        <item x="620"/>
        <item x="1497"/>
        <item x="2478"/>
        <item x="2427"/>
        <item x="2152"/>
        <item x="979"/>
        <item x="219"/>
        <item x="2376"/>
        <item x="876"/>
        <item x="2229"/>
        <item x="1726"/>
        <item x="2318"/>
        <item x="275"/>
        <item x="2375"/>
        <item x="2317"/>
        <item x="1713"/>
        <item x="748"/>
        <item x="1305"/>
        <item x="960"/>
        <item x="2271"/>
        <item x="959"/>
        <item x="160"/>
        <item x="978"/>
        <item x="274"/>
        <item x="273"/>
        <item x="316"/>
        <item x="2658"/>
        <item x="2280"/>
        <item x="532"/>
        <item x="272"/>
        <item x="796"/>
        <item x="2151"/>
        <item x="1944"/>
        <item x="2657"/>
        <item x="7"/>
        <item x="21"/>
        <item x="520"/>
        <item x="2785"/>
        <item x="109"/>
        <item x="1869"/>
        <item x="1529"/>
        <item x="2305"/>
        <item x="1451"/>
        <item x="74"/>
        <item x="1609"/>
        <item x="1879"/>
        <item x="1175"/>
        <item x="1823"/>
        <item x="121"/>
        <item x="2716"/>
        <item x="120"/>
        <item x="2609"/>
        <item x="315"/>
        <item x="917"/>
        <item x="1174"/>
        <item x="1079"/>
        <item x="1173"/>
        <item x="977"/>
        <item x="1257"/>
        <item x="875"/>
        <item x="73"/>
        <item x="1878"/>
        <item x="2088"/>
        <item x="1775"/>
        <item x="1031"/>
        <item x="1317"/>
        <item x="866"/>
        <item x="376"/>
        <item x="2270"/>
        <item x="1352"/>
        <item x="2187"/>
        <item x="1316"/>
        <item x="1304"/>
        <item x="1406"/>
        <item x="1485"/>
        <item x="1315"/>
        <item x="18"/>
        <item x="1120"/>
        <item x="2761"/>
        <item x="573"/>
        <item x="2374"/>
        <item x="1576"/>
        <item x="1172"/>
        <item x="572"/>
        <item x="2518"/>
        <item x="2715"/>
        <item x="218"/>
        <item x="1990"/>
        <item x="1774"/>
        <item x="1111"/>
        <item x="747"/>
        <item x="2"/>
        <item x="358"/>
        <item x="865"/>
        <item x="2597"/>
        <item x="2186"/>
        <item x="2150"/>
        <item x="2517"/>
        <item x="2426"/>
        <item x="571"/>
        <item x="2816"/>
        <item x="1496"/>
        <item x="2373"/>
        <item x="217"/>
        <item x="2044"/>
        <item x="531"/>
        <item x="1989"/>
        <item x="2149"/>
        <item x="707"/>
        <item x="1528"/>
        <item x="2647"/>
        <item x="481"/>
        <item x="864"/>
        <item x="619"/>
        <item x="2425"/>
        <item x="271"/>
        <item x="216"/>
        <item x="1679"/>
        <item x="1943"/>
        <item x="72"/>
        <item x="1942"/>
        <item x="1405"/>
        <item x="2087"/>
        <item x="215"/>
        <item x="570"/>
        <item x="270"/>
        <item x="1110"/>
        <item x="2646"/>
        <item x="255"/>
        <item x="958"/>
        <item x="2136"/>
        <item x="1069"/>
        <item x="611"/>
        <item x="2566"/>
        <item x="2228"/>
        <item x="1404"/>
        <item x="1078"/>
        <item x="1534"/>
        <item x="976"/>
        <item x="170"/>
        <item x="2185"/>
        <item x="2516"/>
        <item x="1608"/>
        <item x="2148"/>
        <item x="205"/>
        <item x="1303"/>
        <item x="2596"/>
        <item x="108"/>
        <item x="1068"/>
        <item x="746"/>
        <item x="431"/>
        <item x="530"/>
        <item x="1030"/>
        <item x="214"/>
        <item x="39"/>
        <item x="1314"/>
        <item x="1313"/>
        <item x="2477"/>
        <item x="1225"/>
        <item x="2086"/>
        <item x="1941"/>
        <item x="916"/>
        <item x="1671"/>
        <item x="1484"/>
        <item x="658"/>
        <item x="2703"/>
        <item x="420"/>
        <item x="2841"/>
        <item x="1029"/>
        <item x="1822"/>
        <item x="1077"/>
        <item x="1171"/>
        <item x="1678"/>
        <item x="1940"/>
        <item x="569"/>
        <item x="717"/>
        <item x="375"/>
        <item x="1170"/>
        <item x="1403"/>
        <item x="2316"/>
        <item x="2372"/>
        <item x="1939"/>
        <item x="2220"/>
        <item x="64"/>
        <item x="1712"/>
        <item x="2033"/>
        <item x="957"/>
        <item x="610"/>
        <item x="2043"/>
        <item x="1402"/>
        <item x="1312"/>
        <item x="831"/>
        <item x="1076"/>
        <item x="1877"/>
        <item x="618"/>
        <item x="374"/>
        <item x="2815"/>
        <item x="975"/>
        <item x="1311"/>
        <item x="2714"/>
        <item x="1607"/>
        <item x="2147"/>
        <item x="1928"/>
        <item x="2461"/>
        <item x="1109"/>
        <item x="1766"/>
        <item x="2080"/>
        <item x="1527"/>
        <item x="568"/>
        <item x="491"/>
        <item x="169"/>
        <item x="71"/>
        <item x="830"/>
        <item x="567"/>
        <item x="430"/>
        <item x="915"/>
        <item x="2279"/>
        <item x="1360"/>
        <item x="760"/>
        <item x="429"/>
        <item x="1169"/>
        <item x="204"/>
        <item x="1599"/>
        <item x="480"/>
        <item x="2702"/>
        <item x="479"/>
        <item x="561"/>
        <item x="2656"/>
        <item x="2476"/>
        <item x="1267"/>
        <item x="2475"/>
        <item x="2515"/>
        <item x="2042"/>
        <item x="874"/>
        <item x="1495"/>
        <item x="1450"/>
        <item x="1266"/>
        <item x="2146"/>
        <item x="2269"/>
        <item x="1711"/>
        <item x="2784"/>
        <item x="863"/>
        <item x="2505"/>
        <item x="419"/>
        <item x="1710"/>
        <item x="213"/>
        <item x="1359"/>
        <item x="428"/>
        <item x="119"/>
        <item x="314"/>
        <item x="2227"/>
        <item x="2655"/>
        <item x="2041"/>
        <item x="20"/>
        <item x="168"/>
        <item x="2145"/>
        <item x="617"/>
        <item x="1449"/>
        <item x="1773"/>
        <item x="402"/>
        <item x="194"/>
        <item x="1478"/>
        <item x="2450"/>
        <item x="2834"/>
        <item x="2068"/>
        <item x="1196"/>
        <item x="2550"/>
        <item x="1861"/>
        <item x="2410"/>
        <item x="1055"/>
        <item x="2300"/>
        <item x="548"/>
        <item x="2260"/>
        <item x="405"/>
        <item x="906"/>
        <item x="813"/>
        <item x="298"/>
        <item x="344"/>
        <item x="1590"/>
        <item x="2640"/>
        <item x="1005"/>
        <item x="1561"/>
        <item x="152"/>
        <item x="2746"/>
        <item x="2552"/>
        <item x="2688"/>
        <item x="2691"/>
        <item x="2351"/>
        <item x="55"/>
        <item x="1859"/>
        <item x="1151"/>
        <item x="699"/>
        <item x="100"/>
        <item x="1589"/>
        <item x="1052"/>
        <item x="2553"/>
        <item x="1665"/>
        <item x="2127"/>
        <item x="2779"/>
        <item x="1476"/>
        <item x="1973"/>
        <item x="1917"/>
        <item x="1756"/>
        <item x="197"/>
        <item x="406"/>
        <item x="650"/>
        <item x="513"/>
        <item x="301"/>
        <item x="2350"/>
        <item x="465"/>
        <item x="1381"/>
        <item x="343"/>
        <item x="786"/>
        <item x="342"/>
        <item x="550"/>
        <item x="1757"/>
        <item x="1003"/>
        <item x="300"/>
        <item x="1343"/>
        <item x="13"/>
        <item x="1146"/>
        <item x="2452"/>
        <item x="1054"/>
        <item x="2747"/>
        <item x="601"/>
        <item x="1387"/>
        <item x="2808"/>
        <item x="1199"/>
        <item x="2126"/>
        <item x="250"/>
        <item x="2024"/>
        <item x="742"/>
        <item x="2781"/>
        <item x="1563"/>
        <item x="2411"/>
        <item x="1753"/>
        <item x="2408"/>
        <item x="853"/>
        <item x="1150"/>
        <item x="2585"/>
        <item x="1297"/>
        <item x="602"/>
        <item x="341"/>
        <item x="345"/>
        <item x="2833"/>
        <item x="1659"/>
        <item x="1660"/>
        <item x="1860"/>
        <item x="249"/>
        <item x="700"/>
        <item x="815"/>
        <item x="855"/>
        <item x="514"/>
        <item x="2639"/>
        <item x="946"/>
        <item x="198"/>
        <item x="2807"/>
        <item x="1053"/>
        <item x="2638"/>
        <item x="1755"/>
        <item x="2069"/>
        <item x="2122"/>
        <item x="2783"/>
        <item x="2451"/>
        <item x="1974"/>
        <item x="785"/>
        <item x="1802"/>
        <item x="1858"/>
        <item x="1821"/>
        <item x="427"/>
        <item x="2278"/>
        <item x="2079"/>
        <item x="2514"/>
        <item x="254"/>
        <item x="1575"/>
        <item x="1765"/>
        <item x="1725"/>
        <item x="1401"/>
        <item x="212"/>
        <item x="1208"/>
        <item x="2608"/>
        <item x="269"/>
        <item x="829"/>
        <item x="716"/>
        <item x="478"/>
        <item x="1988"/>
        <item x="1987"/>
        <item x="2595"/>
        <item x="2713"/>
        <item x="2712"/>
        <item x="1533"/>
        <item x="2040"/>
        <item x="669"/>
        <item x="490"/>
        <item x="19"/>
        <item x="1168"/>
        <item x="1310"/>
        <item x="2277"/>
        <item x="2424"/>
        <item x="1448"/>
        <item x="2276"/>
        <item x="828"/>
        <item x="2268"/>
        <item x="2361"/>
        <item x="2504"/>
        <item x="1670"/>
        <item x="357"/>
        <item x="1013"/>
        <item x="2419"/>
        <item x="2654"/>
        <item x="1606"/>
        <item x="1119"/>
        <item x="974"/>
        <item x="426"/>
        <item x="1224"/>
        <item x="2315"/>
        <item x="873"/>
        <item x="1265"/>
        <item x="1309"/>
        <item x="1028"/>
        <item x="1986"/>
        <item x="2791"/>
        <item x="914"/>
        <item x="489"/>
        <item x="70"/>
        <item x="253"/>
        <item x="1927"/>
        <item x="203"/>
        <item x="1256"/>
        <item x="418"/>
        <item x="1526"/>
        <item x="2561"/>
        <item x="913"/>
        <item x="1605"/>
        <item x="2607"/>
        <item x="2711"/>
        <item x="759"/>
        <item x="1938"/>
        <item x="1075"/>
        <item x="872"/>
        <item x="373"/>
        <item x="1223"/>
        <item x="167"/>
        <item x="1820"/>
        <item x="795"/>
        <item x="1074"/>
        <item x="1632"/>
        <item x="1598"/>
        <item x="2560"/>
        <item x="1597"/>
        <item x="417"/>
        <item x="416"/>
        <item x="2513"/>
        <item x="313"/>
        <item x="372"/>
        <item x="268"/>
        <item x="6"/>
        <item x="488"/>
        <item x="1677"/>
        <item x="529"/>
        <item x="1222"/>
        <item x="2371"/>
        <item x="1447"/>
        <item x="715"/>
        <item x="2184"/>
        <item x="211"/>
        <item x="371"/>
        <item x="1574"/>
        <item x="1565"/>
        <item x="706"/>
        <item x="415"/>
        <item x="1394"/>
        <item x="202"/>
        <item x="2267"/>
        <item x="267"/>
        <item x="1985"/>
        <item x="118"/>
        <item x="528"/>
        <item x="758"/>
        <item x="1221"/>
        <item x="2814"/>
        <item x="2144"/>
        <item x="2143"/>
        <item x="794"/>
        <item x="2606"/>
        <item x="1937"/>
        <item x="2370"/>
        <item x="370"/>
        <item x="973"/>
        <item x="1067"/>
        <item x="1764"/>
        <item x="477"/>
        <item x="560"/>
        <item x="414"/>
        <item x="908"/>
        <item x="1220"/>
        <item x="566"/>
        <item x="2423"/>
        <item x="1118"/>
        <item x="2314"/>
        <item x="1117"/>
        <item x="1573"/>
        <item x="1219"/>
        <item x="369"/>
        <item x="1264"/>
        <item x="1446"/>
        <item x="1936"/>
        <item x="972"/>
        <item x="757"/>
        <item x="1642"/>
        <item x="1218"/>
        <item x="476"/>
        <item x="559"/>
        <item x="2594"/>
        <item x="2593"/>
        <item x="1926"/>
        <item x="1876"/>
        <item x="2512"/>
        <item x="1445"/>
        <item x="1444"/>
        <item x="2085"/>
        <item x="266"/>
        <item x="2653"/>
        <item x="1604"/>
        <item x="2790"/>
        <item x="1724"/>
        <item x="117"/>
        <item x="2183"/>
        <item x="1641"/>
        <item x="1676"/>
        <item x="1167"/>
        <item x="2474"/>
        <item x="107"/>
        <item x="2219"/>
        <item x="63"/>
        <item x="2592"/>
        <item x="956"/>
        <item x="2369"/>
        <item x="1675"/>
        <item x="1027"/>
        <item x="1494"/>
        <item x="2710"/>
        <item x="1443"/>
        <item x="793"/>
        <item x="2142"/>
        <item x="1400"/>
        <item x="2275"/>
        <item x="1875"/>
        <item x="1073"/>
        <item x="2709"/>
        <item x="2652"/>
        <item x="2084"/>
        <item x="1935"/>
        <item x="791"/>
        <item x="2418"/>
        <item x="2503"/>
        <item x="356"/>
        <item x="1564"/>
        <item x="2645"/>
        <item x="425"/>
        <item x="487"/>
        <item x="2274"/>
        <item x="368"/>
        <item x="971"/>
        <item x="1674"/>
        <item x="1358"/>
        <item x="69"/>
        <item x="1026"/>
        <item x="1025"/>
        <item x="1640"/>
        <item x="565"/>
        <item x="756"/>
        <item x="1772"/>
        <item x="210"/>
        <item x="1207"/>
        <item x="1808"/>
        <item x="1483"/>
        <item x="1302"/>
        <item x="1108"/>
        <item x="1925"/>
        <item x="1072"/>
        <item x="68"/>
        <item x="2226"/>
        <item x="116"/>
        <item x="668"/>
        <item x="1639"/>
        <item x="1217"/>
        <item x="1819"/>
        <item x="1771"/>
        <item x="2313"/>
        <item x="2422"/>
        <item x="2565"/>
        <item x="1024"/>
        <item x="970"/>
        <item x="1308"/>
        <item x="1723"/>
        <item x="2442"/>
        <item x="11"/>
        <item x="1923"/>
        <item x="2072"/>
        <item x="701"/>
        <item x="2249"/>
        <item x="849"/>
        <item x="2166"/>
        <item x="1143"/>
        <item x="2401"/>
        <item x="2062"/>
        <item x="1096"/>
        <item x="951"/>
        <item x="1192"/>
        <item x="778"/>
        <item x="2493"/>
        <item x="239"/>
        <item x="141"/>
        <item x="396"/>
        <item x="472"/>
        <item x="2027"/>
        <item x="2492"/>
        <item x="2297"/>
        <item x="2344"/>
        <item x="1792"/>
        <item x="331"/>
        <item x="2630"/>
        <item x="2206"/>
        <item x="941"/>
        <item x="57"/>
        <item x="1594"/>
        <item x="1511"/>
        <item x="1906"/>
        <item x="1469"/>
        <item x="1246"/>
        <item x="91"/>
        <item x="188"/>
        <item x="1098"/>
        <item x="2217"/>
        <item x="2738"/>
        <item x="139"/>
        <item x="509"/>
        <item x="1845"/>
        <item x="2441"/>
        <item x="395"/>
        <item x="238"/>
        <item x="1701"/>
        <item x="1333"/>
        <item x="1746"/>
        <item x="1965"/>
        <item x="643"/>
        <item x="28"/>
        <item x="1097"/>
        <item x="1749"/>
        <item x="1513"/>
        <item x="1555"/>
        <item x="1434"/>
        <item x="155"/>
        <item x="1523"/>
        <item x="2246"/>
        <item x="1095"/>
        <item x="1512"/>
        <item x="187"/>
        <item x="1375"/>
        <item x="394"/>
        <item x="2542"/>
        <item x="593"/>
        <item x="645"/>
        <item x="2500"/>
        <item x="1006"/>
        <item x="998"/>
        <item x="186"/>
        <item x="2020"/>
        <item x="1191"/>
        <item x="2402"/>
        <item x="2112"/>
        <item x="2741"/>
        <item x="940"/>
        <item x="2028"/>
        <item x="455"/>
        <item x="687"/>
        <item x="1844"/>
        <item x="330"/>
        <item x="1468"/>
        <item x="2019"/>
        <item x="1245"/>
        <item x="1793"/>
        <item x="688"/>
        <item x="2740"/>
        <item x="251"/>
        <item x="2415"/>
        <item x="2018"/>
        <item x="592"/>
        <item x="1791"/>
        <item x="329"/>
        <item x="1905"/>
        <item x="2804"/>
        <item x="1907"/>
        <item x="2739"/>
        <item x="140"/>
        <item x="2173"/>
        <item x="407"/>
        <item x="2749"/>
        <item x="896"/>
        <item x="2165"/>
        <item x="1286"/>
        <item x="777"/>
        <item x="1964"/>
        <item x="1748"/>
        <item x="1692"/>
        <item x="1050"/>
        <item x="393"/>
        <item x="241"/>
        <item x="2777"/>
        <item x="2170"/>
        <item x="397"/>
        <item x="1924"/>
        <item x="692"/>
        <item x="2245"/>
        <item x="1378"/>
        <item x="190"/>
        <item x="246"/>
        <item x="2021"/>
        <item x="244"/>
        <item x="2831"/>
        <item x="738"/>
        <item x="1910"/>
        <item x="2445"/>
        <item x="1695"/>
        <item x="2635"/>
        <item x="147"/>
        <item x="145"/>
        <item x="598"/>
        <item x="1291"/>
        <item x="739"/>
        <item x="2446"/>
        <item x="1251"/>
        <item x="553"/>
        <item x="59"/>
        <item x="104"/>
        <item x="2066"/>
        <item x="1622"/>
        <item x="1655"/>
        <item x="2406"/>
        <item x="2065"/>
        <item x="2255"/>
        <item x="1249"/>
        <item x="647"/>
        <item x="97"/>
        <item x="517"/>
        <item x="2588"/>
        <item x="953"/>
        <item x="1250"/>
        <item x="1911"/>
        <item x="2169"/>
        <item x="1796"/>
        <item x="1849"/>
        <item x="597"/>
        <item x="1377"/>
        <item x="1002"/>
        <item x="2357"/>
        <item x="1388"/>
        <item x="1969"/>
        <item x="337"/>
        <item x="783"/>
        <item x="2545"/>
        <item x="146"/>
        <item x="2544"/>
        <item x="1473"/>
        <item x="2684"/>
        <item x="185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20"/>
  </rowFields>
  <rowItems count="6"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No. of Employees Joined" fld="0" subtotal="count" baseField="20" baseItem="1"/>
  </dataFields>
  <formats count="1">
    <format dxfId="4">
      <pivotArea field="20" type="button" dataOnly="0" labelOnly="1" outline="0" axis="axisRow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51E4363-5CF7-4C9F-BBBB-72D748045B07}" autoFormatId="16" applyNumberFormats="0" applyBorderFormats="0" applyFontFormats="0" applyPatternFormats="0" applyAlignmentFormats="0" applyWidthHeightFormats="0">
  <queryTableRefresh nextId="43">
    <queryTableFields count="19">
      <queryTableField id="1" name="Employee ID" tableColumnId="1"/>
      <queryTableField id="41" dataBound="0" tableColumnId="18"/>
      <queryTableField id="2" name="StartDate" tableColumnId="2"/>
      <queryTableField id="40" dataBound="0" tableColumnId="4"/>
      <queryTableField id="28" name="Age" tableColumnId="28"/>
      <queryTableField id="11" name="DOB" tableColumnId="11"/>
      <queryTableField id="38" dataBound="0" tableColumnId="8"/>
      <queryTableField id="12" name="State" tableColumnId="12"/>
      <queryTableField id="13" name="GenderCode" tableColumnId="13"/>
      <queryTableField id="15" name="MaritalDesc" tableColumnId="15"/>
      <queryTableField id="3" name="Title" tableColumnId="3"/>
      <queryTableField id="5" name="EmployeeStatus" tableColumnId="5"/>
      <queryTableField id="6" name="EmployeeType" tableColumnId="6"/>
      <queryTableField id="7" name="PayZone" tableColumnId="7"/>
      <queryTableField id="9" name="DepartmentType" tableColumnId="9"/>
      <queryTableField id="10" name="Division" tableColumnId="10"/>
      <queryTableField id="14" name="RaceDesc" tableColumnId="14"/>
      <queryTableField id="16" name="Performance Score" tableColumnId="16"/>
      <queryTableField id="20" name="Satisfaction Score" tableColumnId="20"/>
    </queryTableFields>
    <queryTableDeletedFields count="12">
      <deletedField name="Training Cost"/>
      <deletedField name="BusinessUnit"/>
      <deletedField name="Current Employee Rating"/>
      <deletedField name="Survey Date"/>
      <deletedField name="Engagement Score"/>
      <deletedField name="Work-Life Balance Score"/>
      <deletedField name="Training Date"/>
      <deletedField name="Training Program Name"/>
      <deletedField name="Training Type"/>
      <deletedField name="Training Outcome"/>
      <deletedField name="Training Duration(Days)"/>
      <deletedField name="EmployeeClassification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883CD-FF1F-46CA-8128-1CA81A1B4974}" name="Cleaned_HR_Data_Analysis__2" displayName="Cleaned_HR_Data_Analysis__2" ref="A1:S2846" tableType="queryTable" totalsRowShown="0">
  <autoFilter ref="A1:S2846" xr:uid="{EA8883CD-FF1F-46CA-8128-1CA81A1B4974}"/>
  <sortState xmlns:xlrd2="http://schemas.microsoft.com/office/spreadsheetml/2017/richdata2" ref="A2:S2846">
    <sortCondition ref="E1:E2846"/>
  </sortState>
  <tableColumns count="19">
    <tableColumn id="1" xr3:uid="{67F0ED76-22C9-4E82-8023-CA91CEDE25EA}" uniqueName="1" name="Employee_ID" queryTableFieldId="1"/>
    <tableColumn id="18" xr3:uid="{CA2D5DC7-F407-41A8-97D0-24B1DE32D3F5}" uniqueName="18" name="Joining Year" queryTableFieldId="41" dataDxfId="21">
      <calculatedColumnFormula>YEAR(Cleaned_HR_Data_Analysis__2[[#This Row],[Joining_Date]])</calculatedColumnFormula>
    </tableColumn>
    <tableColumn id="2" xr3:uid="{9B119ABC-527D-419D-9053-9F2747C25C2C}" uniqueName="2" name="Joining_Date" queryTableFieldId="2" dataDxfId="20"/>
    <tableColumn id="4" xr3:uid="{19429DF9-7F3A-46EA-A049-16F344AE779B}" uniqueName="4" name="Age Range" queryTableFieldId="40" dataDxfId="19">
      <calculatedColumnFormula array="1">_xlfn.IFS(E2&lt;28, "17-27",
AND(E2&gt;27, E2&lt;38), "28-37",
AND(E2&gt;37, E2 &lt;48), "38-47",
AND(E2&gt;47, E2 &lt;58), "48-57",
AND(E2&gt;57, E2&lt;68), "58-67",
AND(E2&gt;67, E2&lt;78), "68-77",
E2&gt;77,"Above than 77")</calculatedColumnFormula>
    </tableColumn>
    <tableColumn id="28" xr3:uid="{E6825CE9-E758-4FE2-ABDF-E48FC3E7DE52}" uniqueName="28" name="Age" queryTableFieldId="28" dataDxfId="18"/>
    <tableColumn id="11" xr3:uid="{E666BB6F-F1FD-4071-A05E-7BE9F0DC085F}" uniqueName="11" name="DOB" queryTableFieldId="11" dataDxfId="17"/>
    <tableColumn id="8" xr3:uid="{FF4CBE17-09B0-4ABE-A30D-A303997D52ED}" uniqueName="8" name="States Full Form" queryTableFieldId="38" dataDxfId="16">
      <calculatedColumnFormula>VLOOKUP(H2,Table7[#All], 2, FALSE)</calculatedColumnFormula>
    </tableColumn>
    <tableColumn id="12" xr3:uid="{94A8F5B9-C3E4-4111-ABB9-E7E8512B7424}" uniqueName="12" name="State" queryTableFieldId="12" dataDxfId="15"/>
    <tableColumn id="13" xr3:uid="{66E4F175-12AD-4962-9C3F-61A26D64CA01}" uniqueName="13" name="GenderCode" queryTableFieldId="13" dataDxfId="14"/>
    <tableColumn id="15" xr3:uid="{E72B5479-8844-4BE2-BE97-84621E38A66F}" uniqueName="15" name="Marital_Status" queryTableFieldId="15" dataDxfId="13"/>
    <tableColumn id="3" xr3:uid="{8B249437-84EC-496F-A883-AB7528740547}" uniqueName="3" name="Employee_Title" queryTableFieldId="3" dataDxfId="12"/>
    <tableColumn id="5" xr3:uid="{18C4E3BA-DBC7-4647-97FD-6340565172E7}" uniqueName="5" name="Employee_Status" queryTableFieldId="5" dataDxfId="11"/>
    <tableColumn id="6" xr3:uid="{193E8BD9-7291-43F0-84B7-A4DD0CAA1F43}" uniqueName="6" name="Job_Type" queryTableFieldId="6" dataDxfId="10"/>
    <tableColumn id="7" xr3:uid="{8D9AC802-34B1-4B9E-834C-577029B051B5}" uniqueName="7" name="PayZone" queryTableFieldId="7" dataDxfId="9"/>
    <tableColumn id="9" xr3:uid="{B644FA5B-B7F9-4FEC-8032-769482A24FC0}" uniqueName="9" name="DepartmentType" queryTableFieldId="9" dataDxfId="8"/>
    <tableColumn id="10" xr3:uid="{4CBB6850-2531-4C9B-B2F1-C16E317A359C}" uniqueName="10" name="Division" queryTableFieldId="10" dataDxfId="7"/>
    <tableColumn id="14" xr3:uid="{98BF6741-E72F-48A8-9D75-C7B742C4A4BA}" uniqueName="14" name="Race" queryTableFieldId="14" dataDxfId="6"/>
    <tableColumn id="16" xr3:uid="{C989F3DD-3B11-47B6-B001-D406F57E9094}" uniqueName="16" name="Performance_Score" queryTableFieldId="16" dataDxfId="5"/>
    <tableColumn id="20" xr3:uid="{41FB4CE7-C728-436D-A78B-61AEACDA427E}" uniqueName="20" name="Satisfaction_Score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08EA0A-2AEF-4882-B4CF-9AB697F509ED}" name="Table7" displayName="Table7" ref="A1:B51" totalsRowShown="0" headerRowDxfId="3" tableBorderDxfId="2">
  <autoFilter ref="A1:B51" xr:uid="{F608EA0A-2AEF-4882-B4CF-9AB697F509ED}"/>
  <tableColumns count="2">
    <tableColumn id="1" xr3:uid="{4718DAFF-A245-4991-B5AD-4BADBCA21C7B}" name="State Short Form" dataDxfId="1"/>
    <tableColumn id="2" xr3:uid="{A3132277-90A5-446B-B077-043F22A9DB43}" name="Full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1980-1AFC-40A4-81B2-83483D8F18E4}">
  <dimension ref="A1:P2845"/>
  <sheetViews>
    <sheetView workbookViewId="0">
      <selection activeCell="I9" sqref="I9"/>
    </sheetView>
  </sheetViews>
  <sheetFormatPr defaultRowHeight="14.4" x14ac:dyDescent="0.3"/>
  <cols>
    <col min="2" max="2" width="12.6640625" customWidth="1"/>
    <col min="4" max="4" width="12.6640625" customWidth="1"/>
    <col min="7" max="7" width="10.88671875" customWidth="1"/>
    <col min="8" max="8" width="22.6640625" customWidth="1"/>
    <col min="10" max="10" width="10.109375" customWidth="1"/>
    <col min="12" max="12" width="15.33203125" customWidth="1"/>
    <col min="13" max="13" width="21.21875" customWidth="1"/>
    <col min="15" max="15" width="12.44140625" customWidth="1"/>
  </cols>
  <sheetData>
    <row r="1" spans="1:16" x14ac:dyDescent="0.3">
      <c r="A1" s="12" t="s">
        <v>122</v>
      </c>
      <c r="B1" t="s">
        <v>123</v>
      </c>
      <c r="C1" s="12" t="s">
        <v>124</v>
      </c>
      <c r="D1" s="9" t="s">
        <v>125</v>
      </c>
      <c r="E1" s="9" t="s">
        <v>14</v>
      </c>
      <c r="F1" s="9" t="s">
        <v>15</v>
      </c>
      <c r="G1" s="9" t="s">
        <v>17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16</v>
      </c>
      <c r="O1" s="9" t="s">
        <v>18</v>
      </c>
      <c r="P1" t="s">
        <v>126</v>
      </c>
    </row>
    <row r="2" spans="1:16" x14ac:dyDescent="0.3">
      <c r="A2">
        <v>3428</v>
      </c>
      <c r="B2">
        <v>44968</v>
      </c>
      <c r="C2">
        <v>58</v>
      </c>
      <c r="D2">
        <v>23984</v>
      </c>
      <c r="E2" t="s">
        <v>14</v>
      </c>
      <c r="F2" t="s">
        <v>22</v>
      </c>
      <c r="G2" t="s">
        <v>17</v>
      </c>
      <c r="H2" t="s">
        <v>8</v>
      </c>
      <c r="I2" t="s">
        <v>9</v>
      </c>
      <c r="J2" t="s">
        <v>10</v>
      </c>
      <c r="K2" t="s">
        <v>19</v>
      </c>
      <c r="L2" t="s">
        <v>12</v>
      </c>
      <c r="M2" t="s">
        <v>21</v>
      </c>
      <c r="N2" t="s">
        <v>23</v>
      </c>
      <c r="O2" t="s">
        <v>18</v>
      </c>
      <c r="P2">
        <v>1</v>
      </c>
    </row>
    <row r="3" spans="1:16" x14ac:dyDescent="0.3">
      <c r="A3">
        <v>3429</v>
      </c>
      <c r="B3">
        <v>43444</v>
      </c>
      <c r="C3">
        <v>27</v>
      </c>
      <c r="D3">
        <v>33517</v>
      </c>
      <c r="E3" t="s">
        <v>14</v>
      </c>
      <c r="F3" t="s">
        <v>22</v>
      </c>
      <c r="G3" t="s">
        <v>17</v>
      </c>
      <c r="H3" t="s">
        <v>24</v>
      </c>
      <c r="I3" t="s">
        <v>9</v>
      </c>
      <c r="J3" t="s">
        <v>25</v>
      </c>
      <c r="K3" t="s">
        <v>26</v>
      </c>
      <c r="L3" t="s">
        <v>27</v>
      </c>
      <c r="M3" t="s">
        <v>28</v>
      </c>
      <c r="N3" t="s">
        <v>23</v>
      </c>
      <c r="O3" t="s">
        <v>18</v>
      </c>
      <c r="P3">
        <v>2</v>
      </c>
    </row>
    <row r="4" spans="1:16" x14ac:dyDescent="0.3">
      <c r="A4">
        <v>3430</v>
      </c>
      <c r="B4">
        <v>44368</v>
      </c>
      <c r="C4">
        <v>23</v>
      </c>
      <c r="D4">
        <v>35889</v>
      </c>
      <c r="E4" t="s">
        <v>29</v>
      </c>
      <c r="F4" t="s">
        <v>22</v>
      </c>
      <c r="G4" t="s">
        <v>31</v>
      </c>
      <c r="H4" t="s">
        <v>24</v>
      </c>
      <c r="I4" t="s">
        <v>9</v>
      </c>
      <c r="J4" t="s">
        <v>10</v>
      </c>
      <c r="K4" t="s">
        <v>19</v>
      </c>
      <c r="L4" t="s">
        <v>27</v>
      </c>
      <c r="M4" t="s">
        <v>13</v>
      </c>
      <c r="N4" t="s">
        <v>30</v>
      </c>
      <c r="O4" t="s">
        <v>18</v>
      </c>
      <c r="P4">
        <v>5</v>
      </c>
    </row>
    <row r="5" spans="1:16" x14ac:dyDescent="0.3">
      <c r="A5">
        <v>3431</v>
      </c>
      <c r="B5">
        <v>43645</v>
      </c>
      <c r="C5">
        <v>50</v>
      </c>
      <c r="D5">
        <v>25444</v>
      </c>
      <c r="E5" t="s">
        <v>33</v>
      </c>
      <c r="F5" t="s">
        <v>15</v>
      </c>
      <c r="G5" t="s">
        <v>34</v>
      </c>
      <c r="H5" t="s">
        <v>24</v>
      </c>
      <c r="I5" t="s">
        <v>9</v>
      </c>
      <c r="J5" t="s">
        <v>10</v>
      </c>
      <c r="K5" t="s">
        <v>19</v>
      </c>
      <c r="L5" t="s">
        <v>27</v>
      </c>
      <c r="M5" t="s">
        <v>32</v>
      </c>
      <c r="N5" t="s">
        <v>30</v>
      </c>
      <c r="O5" t="s">
        <v>18</v>
      </c>
      <c r="P5">
        <v>5</v>
      </c>
    </row>
    <row r="6" spans="1:16" x14ac:dyDescent="0.3">
      <c r="A6">
        <v>3432</v>
      </c>
      <c r="B6">
        <v>43847</v>
      </c>
      <c r="C6">
        <v>71</v>
      </c>
      <c r="D6">
        <v>17991</v>
      </c>
      <c r="E6" t="s">
        <v>36</v>
      </c>
      <c r="F6" t="s">
        <v>22</v>
      </c>
      <c r="G6" t="s">
        <v>34</v>
      </c>
      <c r="H6" t="s">
        <v>24</v>
      </c>
      <c r="I6" t="s">
        <v>9</v>
      </c>
      <c r="J6" t="s">
        <v>10</v>
      </c>
      <c r="K6" t="s">
        <v>26</v>
      </c>
      <c r="L6" t="s">
        <v>27</v>
      </c>
      <c r="M6" t="s">
        <v>35</v>
      </c>
      <c r="N6" t="s">
        <v>37</v>
      </c>
      <c r="O6" t="s">
        <v>18</v>
      </c>
      <c r="P6">
        <v>3</v>
      </c>
    </row>
    <row r="7" spans="1:16" x14ac:dyDescent="0.3">
      <c r="A7">
        <v>3433</v>
      </c>
      <c r="B7">
        <v>44657</v>
      </c>
      <c r="C7">
        <v>80</v>
      </c>
      <c r="D7">
        <v>15523</v>
      </c>
      <c r="E7" t="s">
        <v>39</v>
      </c>
      <c r="F7" t="s">
        <v>15</v>
      </c>
      <c r="G7" t="s">
        <v>40</v>
      </c>
      <c r="H7" t="s">
        <v>24</v>
      </c>
      <c r="I7" t="s">
        <v>9</v>
      </c>
      <c r="J7" t="s">
        <v>25</v>
      </c>
      <c r="K7" t="s">
        <v>26</v>
      </c>
      <c r="L7" t="s">
        <v>27</v>
      </c>
      <c r="M7" t="s">
        <v>38</v>
      </c>
      <c r="N7" t="s">
        <v>23</v>
      </c>
      <c r="O7" t="s">
        <v>41</v>
      </c>
      <c r="P7">
        <v>5</v>
      </c>
    </row>
    <row r="8" spans="1:16" x14ac:dyDescent="0.3">
      <c r="A8">
        <v>3434</v>
      </c>
      <c r="B8">
        <v>44141</v>
      </c>
      <c r="C8">
        <v>63</v>
      </c>
      <c r="D8">
        <v>20886</v>
      </c>
      <c r="E8" t="s">
        <v>43</v>
      </c>
      <c r="F8" t="s">
        <v>15</v>
      </c>
      <c r="G8" t="s">
        <v>40</v>
      </c>
      <c r="H8" t="s">
        <v>24</v>
      </c>
      <c r="I8" t="s">
        <v>9</v>
      </c>
      <c r="J8" t="s">
        <v>10</v>
      </c>
      <c r="K8" t="s">
        <v>11</v>
      </c>
      <c r="L8" t="s">
        <v>27</v>
      </c>
      <c r="M8" t="s">
        <v>42</v>
      </c>
      <c r="N8" t="s">
        <v>16</v>
      </c>
      <c r="O8" t="s">
        <v>18</v>
      </c>
      <c r="P8">
        <v>4</v>
      </c>
    </row>
    <row r="9" spans="1:16" x14ac:dyDescent="0.3">
      <c r="A9">
        <v>3435</v>
      </c>
      <c r="B9">
        <v>43330</v>
      </c>
      <c r="C9">
        <v>44</v>
      </c>
      <c r="D9">
        <v>27164</v>
      </c>
      <c r="E9" t="s">
        <v>45</v>
      </c>
      <c r="F9" t="s">
        <v>22</v>
      </c>
      <c r="G9" t="s">
        <v>17</v>
      </c>
      <c r="H9" t="s">
        <v>24</v>
      </c>
      <c r="I9" t="s">
        <v>9</v>
      </c>
      <c r="J9" t="s">
        <v>10</v>
      </c>
      <c r="K9" t="s">
        <v>26</v>
      </c>
      <c r="L9" t="s">
        <v>27</v>
      </c>
      <c r="M9" t="s">
        <v>44</v>
      </c>
      <c r="N9" t="s">
        <v>37</v>
      </c>
      <c r="O9" t="s">
        <v>41</v>
      </c>
      <c r="P9">
        <v>3</v>
      </c>
    </row>
    <row r="10" spans="1:16" x14ac:dyDescent="0.3">
      <c r="A10">
        <v>3436</v>
      </c>
      <c r="B10">
        <v>44582</v>
      </c>
      <c r="C10">
        <v>73</v>
      </c>
      <c r="D10">
        <v>18213</v>
      </c>
      <c r="E10" t="s">
        <v>45</v>
      </c>
      <c r="F10" t="s">
        <v>22</v>
      </c>
      <c r="G10" t="s">
        <v>17</v>
      </c>
      <c r="H10" t="s">
        <v>24</v>
      </c>
      <c r="I10" t="s">
        <v>9</v>
      </c>
      <c r="J10" t="s">
        <v>20</v>
      </c>
      <c r="K10" t="s">
        <v>26</v>
      </c>
      <c r="L10" t="s">
        <v>27</v>
      </c>
      <c r="M10" t="s">
        <v>42</v>
      </c>
      <c r="N10" t="s">
        <v>46</v>
      </c>
      <c r="O10" t="s">
        <v>18</v>
      </c>
      <c r="P10">
        <v>5</v>
      </c>
    </row>
    <row r="11" spans="1:16" x14ac:dyDescent="0.3">
      <c r="A11">
        <v>3437</v>
      </c>
      <c r="B11">
        <v>45142</v>
      </c>
      <c r="C11">
        <v>59</v>
      </c>
      <c r="D11">
        <v>23402</v>
      </c>
      <c r="E11" t="s">
        <v>47</v>
      </c>
      <c r="F11" t="s">
        <v>15</v>
      </c>
      <c r="G11" t="s">
        <v>31</v>
      </c>
      <c r="H11" t="s">
        <v>24</v>
      </c>
      <c r="I11" t="s">
        <v>9</v>
      </c>
      <c r="J11" t="s">
        <v>10</v>
      </c>
      <c r="K11" t="s">
        <v>26</v>
      </c>
      <c r="L11" t="s">
        <v>27</v>
      </c>
      <c r="M11" t="s">
        <v>35</v>
      </c>
      <c r="N11" t="s">
        <v>30</v>
      </c>
      <c r="O11" t="s">
        <v>18</v>
      </c>
      <c r="P11">
        <v>2</v>
      </c>
    </row>
    <row r="12" spans="1:16" x14ac:dyDescent="0.3">
      <c r="A12">
        <v>3438</v>
      </c>
      <c r="B12">
        <v>43322</v>
      </c>
      <c r="C12">
        <v>70</v>
      </c>
      <c r="D12">
        <v>17629</v>
      </c>
      <c r="E12" t="s">
        <v>48</v>
      </c>
      <c r="F12" t="s">
        <v>15</v>
      </c>
      <c r="G12" t="s">
        <v>34</v>
      </c>
      <c r="H12" t="s">
        <v>24</v>
      </c>
      <c r="I12" t="s">
        <v>9</v>
      </c>
      <c r="J12" t="s">
        <v>25</v>
      </c>
      <c r="K12" t="s">
        <v>11</v>
      </c>
      <c r="L12" t="s">
        <v>27</v>
      </c>
      <c r="M12" t="s">
        <v>32</v>
      </c>
      <c r="N12" t="s">
        <v>46</v>
      </c>
      <c r="O12" t="s">
        <v>18</v>
      </c>
      <c r="P12">
        <v>2</v>
      </c>
    </row>
    <row r="13" spans="1:16" x14ac:dyDescent="0.3">
      <c r="A13">
        <v>3439</v>
      </c>
      <c r="B13">
        <v>44706</v>
      </c>
      <c r="C13">
        <v>41</v>
      </c>
      <c r="D13">
        <v>29914</v>
      </c>
      <c r="E13" t="s">
        <v>50</v>
      </c>
      <c r="F13" t="s">
        <v>22</v>
      </c>
      <c r="G13" t="s">
        <v>31</v>
      </c>
      <c r="H13" t="s">
        <v>24</v>
      </c>
      <c r="I13" t="s">
        <v>9</v>
      </c>
      <c r="J13" t="s">
        <v>25</v>
      </c>
      <c r="K13" t="s">
        <v>19</v>
      </c>
      <c r="L13" t="s">
        <v>27</v>
      </c>
      <c r="M13" t="s">
        <v>49</v>
      </c>
      <c r="N13" t="s">
        <v>30</v>
      </c>
      <c r="O13" t="s">
        <v>18</v>
      </c>
      <c r="P13">
        <v>2</v>
      </c>
    </row>
    <row r="14" spans="1:16" x14ac:dyDescent="0.3">
      <c r="A14">
        <v>3440</v>
      </c>
      <c r="B14">
        <v>43804</v>
      </c>
      <c r="C14">
        <v>68</v>
      </c>
      <c r="D14">
        <v>18938</v>
      </c>
      <c r="E14" t="s">
        <v>51</v>
      </c>
      <c r="F14" t="s">
        <v>15</v>
      </c>
      <c r="G14" t="s">
        <v>40</v>
      </c>
      <c r="H14" t="s">
        <v>24</v>
      </c>
      <c r="I14" t="s">
        <v>9</v>
      </c>
      <c r="J14" t="s">
        <v>10</v>
      </c>
      <c r="K14" t="s">
        <v>19</v>
      </c>
      <c r="L14" t="s">
        <v>27</v>
      </c>
      <c r="M14" t="s">
        <v>13</v>
      </c>
      <c r="N14" t="s">
        <v>16</v>
      </c>
      <c r="O14" t="s">
        <v>18</v>
      </c>
      <c r="P14">
        <v>4</v>
      </c>
    </row>
    <row r="15" spans="1:16" x14ac:dyDescent="0.3">
      <c r="A15">
        <v>3441</v>
      </c>
      <c r="B15">
        <v>43583</v>
      </c>
      <c r="C15">
        <v>30</v>
      </c>
      <c r="D15">
        <v>32833</v>
      </c>
      <c r="E15" t="s">
        <v>52</v>
      </c>
      <c r="F15" t="s">
        <v>22</v>
      </c>
      <c r="G15" t="s">
        <v>17</v>
      </c>
      <c r="H15" t="s">
        <v>24</v>
      </c>
      <c r="I15" t="s">
        <v>9</v>
      </c>
      <c r="J15" t="s">
        <v>20</v>
      </c>
      <c r="K15" t="s">
        <v>19</v>
      </c>
      <c r="L15" t="s">
        <v>27</v>
      </c>
      <c r="M15" t="s">
        <v>32</v>
      </c>
      <c r="N15" t="s">
        <v>46</v>
      </c>
      <c r="O15" t="s">
        <v>41</v>
      </c>
      <c r="P15">
        <v>2</v>
      </c>
    </row>
    <row r="16" spans="1:16" x14ac:dyDescent="0.3">
      <c r="A16">
        <v>3442</v>
      </c>
      <c r="B16">
        <v>43655</v>
      </c>
      <c r="C16">
        <v>67</v>
      </c>
      <c r="D16">
        <v>19322</v>
      </c>
      <c r="E16" t="s">
        <v>14</v>
      </c>
      <c r="F16" t="s">
        <v>22</v>
      </c>
      <c r="G16" t="s">
        <v>31</v>
      </c>
      <c r="H16" t="s">
        <v>24</v>
      </c>
      <c r="I16" t="s">
        <v>9</v>
      </c>
      <c r="J16" t="s">
        <v>25</v>
      </c>
      <c r="K16" t="s">
        <v>19</v>
      </c>
      <c r="L16" t="s">
        <v>53</v>
      </c>
      <c r="M16" t="s">
        <v>35</v>
      </c>
      <c r="N16" t="s">
        <v>37</v>
      </c>
      <c r="O16" t="s">
        <v>41</v>
      </c>
      <c r="P16">
        <v>5</v>
      </c>
    </row>
    <row r="17" spans="1:16" x14ac:dyDescent="0.3">
      <c r="A17">
        <v>3443</v>
      </c>
      <c r="B17">
        <v>44291</v>
      </c>
      <c r="C17">
        <v>27</v>
      </c>
      <c r="D17">
        <v>34432</v>
      </c>
      <c r="E17" t="s">
        <v>51</v>
      </c>
      <c r="F17" t="s">
        <v>22</v>
      </c>
      <c r="G17" t="s">
        <v>17</v>
      </c>
      <c r="H17" t="s">
        <v>24</v>
      </c>
      <c r="I17" t="s">
        <v>9</v>
      </c>
      <c r="J17" t="s">
        <v>25</v>
      </c>
      <c r="K17" t="s">
        <v>11</v>
      </c>
      <c r="L17" t="s">
        <v>53</v>
      </c>
      <c r="M17" t="s">
        <v>54</v>
      </c>
      <c r="N17" t="s">
        <v>46</v>
      </c>
      <c r="O17" t="s">
        <v>18</v>
      </c>
      <c r="P17">
        <v>2</v>
      </c>
    </row>
    <row r="18" spans="1:16" x14ac:dyDescent="0.3">
      <c r="A18">
        <v>3444</v>
      </c>
      <c r="B18">
        <v>44528</v>
      </c>
      <c r="C18">
        <v>38</v>
      </c>
      <c r="D18">
        <v>30635</v>
      </c>
      <c r="E18" t="s">
        <v>51</v>
      </c>
      <c r="F18" t="s">
        <v>22</v>
      </c>
      <c r="G18" t="s">
        <v>17</v>
      </c>
      <c r="H18" t="s">
        <v>24</v>
      </c>
      <c r="I18" t="s">
        <v>9</v>
      </c>
      <c r="J18" t="s">
        <v>10</v>
      </c>
      <c r="K18" t="s">
        <v>19</v>
      </c>
      <c r="L18" t="s">
        <v>27</v>
      </c>
      <c r="M18" t="s">
        <v>42</v>
      </c>
      <c r="N18" t="s">
        <v>30</v>
      </c>
      <c r="O18" t="s">
        <v>18</v>
      </c>
      <c r="P18">
        <v>2</v>
      </c>
    </row>
    <row r="19" spans="1:16" x14ac:dyDescent="0.3">
      <c r="A19">
        <v>3445</v>
      </c>
      <c r="B19">
        <v>44212</v>
      </c>
      <c r="C19">
        <v>36</v>
      </c>
      <c r="D19">
        <v>31388</v>
      </c>
      <c r="E19" t="s">
        <v>51</v>
      </c>
      <c r="F19" t="s">
        <v>15</v>
      </c>
      <c r="G19" t="s">
        <v>34</v>
      </c>
      <c r="H19" t="s">
        <v>24</v>
      </c>
      <c r="I19" t="s">
        <v>9</v>
      </c>
      <c r="J19" t="s">
        <v>10</v>
      </c>
      <c r="K19" t="s">
        <v>11</v>
      </c>
      <c r="L19" t="s">
        <v>27</v>
      </c>
      <c r="M19" t="s">
        <v>54</v>
      </c>
      <c r="N19" t="s">
        <v>30</v>
      </c>
      <c r="O19" t="s">
        <v>41</v>
      </c>
      <c r="P19">
        <v>5</v>
      </c>
    </row>
    <row r="20" spans="1:16" x14ac:dyDescent="0.3">
      <c r="A20">
        <v>3446</v>
      </c>
      <c r="B20">
        <v>44432</v>
      </c>
      <c r="C20">
        <v>25</v>
      </c>
      <c r="D20">
        <v>35186</v>
      </c>
      <c r="E20" t="s">
        <v>45</v>
      </c>
      <c r="F20" t="s">
        <v>15</v>
      </c>
      <c r="G20" t="s">
        <v>40</v>
      </c>
      <c r="H20" t="s">
        <v>24</v>
      </c>
      <c r="I20" t="s">
        <v>9</v>
      </c>
      <c r="J20" t="s">
        <v>20</v>
      </c>
      <c r="K20" t="s">
        <v>19</v>
      </c>
      <c r="L20" t="s">
        <v>27</v>
      </c>
      <c r="M20" t="s">
        <v>35</v>
      </c>
      <c r="N20" t="s">
        <v>16</v>
      </c>
      <c r="O20" t="s">
        <v>41</v>
      </c>
      <c r="P20">
        <v>3</v>
      </c>
    </row>
    <row r="21" spans="1:16" x14ac:dyDescent="0.3">
      <c r="A21">
        <v>3450</v>
      </c>
      <c r="B21">
        <v>44075</v>
      </c>
      <c r="C21">
        <v>26</v>
      </c>
      <c r="D21">
        <v>34557</v>
      </c>
      <c r="E21" t="s">
        <v>50</v>
      </c>
      <c r="F21" t="s">
        <v>22</v>
      </c>
      <c r="G21" t="s">
        <v>31</v>
      </c>
      <c r="H21" t="s">
        <v>24</v>
      </c>
      <c r="I21" t="s">
        <v>9</v>
      </c>
      <c r="J21" t="s">
        <v>10</v>
      </c>
      <c r="K21" t="s">
        <v>11</v>
      </c>
      <c r="L21" t="s">
        <v>27</v>
      </c>
      <c r="M21" t="s">
        <v>35</v>
      </c>
      <c r="N21" t="s">
        <v>30</v>
      </c>
      <c r="O21" t="s">
        <v>41</v>
      </c>
      <c r="P21">
        <v>3</v>
      </c>
    </row>
    <row r="22" spans="1:16" x14ac:dyDescent="0.3">
      <c r="A22">
        <v>3451</v>
      </c>
      <c r="B22">
        <v>44245</v>
      </c>
      <c r="C22">
        <v>53</v>
      </c>
      <c r="D22">
        <v>24852</v>
      </c>
      <c r="E22" t="s">
        <v>50</v>
      </c>
      <c r="F22" t="s">
        <v>22</v>
      </c>
      <c r="G22" t="s">
        <v>40</v>
      </c>
      <c r="H22" t="s">
        <v>24</v>
      </c>
      <c r="I22" t="s">
        <v>9</v>
      </c>
      <c r="J22" t="s">
        <v>10</v>
      </c>
      <c r="K22" t="s">
        <v>11</v>
      </c>
      <c r="L22" t="s">
        <v>27</v>
      </c>
      <c r="M22" t="s">
        <v>32</v>
      </c>
      <c r="N22" t="s">
        <v>30</v>
      </c>
      <c r="O22" t="s">
        <v>41</v>
      </c>
      <c r="P22">
        <v>1</v>
      </c>
    </row>
    <row r="23" spans="1:16" x14ac:dyDescent="0.3">
      <c r="A23">
        <v>3452</v>
      </c>
      <c r="B23">
        <v>44873</v>
      </c>
      <c r="C23">
        <v>75</v>
      </c>
      <c r="D23">
        <v>17174</v>
      </c>
      <c r="E23" t="s">
        <v>47</v>
      </c>
      <c r="F23" t="s">
        <v>22</v>
      </c>
      <c r="G23" t="s">
        <v>40</v>
      </c>
      <c r="H23" t="s">
        <v>24</v>
      </c>
      <c r="I23" t="s">
        <v>9</v>
      </c>
      <c r="J23" t="s">
        <v>20</v>
      </c>
      <c r="K23" t="s">
        <v>19</v>
      </c>
      <c r="L23" t="s">
        <v>27</v>
      </c>
      <c r="M23" t="s">
        <v>32</v>
      </c>
      <c r="N23" t="s">
        <v>37</v>
      </c>
      <c r="O23" t="s">
        <v>18</v>
      </c>
      <c r="P23">
        <v>5</v>
      </c>
    </row>
    <row r="24" spans="1:16" x14ac:dyDescent="0.3">
      <c r="A24">
        <v>3453</v>
      </c>
      <c r="B24">
        <v>44847</v>
      </c>
      <c r="C24">
        <v>40</v>
      </c>
      <c r="D24">
        <v>30048</v>
      </c>
      <c r="E24" t="s">
        <v>14</v>
      </c>
      <c r="F24" t="s">
        <v>22</v>
      </c>
      <c r="G24" t="s">
        <v>17</v>
      </c>
      <c r="H24" t="s">
        <v>24</v>
      </c>
      <c r="I24" t="s">
        <v>9</v>
      </c>
      <c r="J24" t="s">
        <v>10</v>
      </c>
      <c r="K24" t="s">
        <v>11</v>
      </c>
      <c r="L24" t="s">
        <v>27</v>
      </c>
      <c r="M24" t="s">
        <v>55</v>
      </c>
      <c r="N24" t="s">
        <v>16</v>
      </c>
      <c r="O24" t="s">
        <v>18</v>
      </c>
      <c r="P24">
        <v>5</v>
      </c>
    </row>
    <row r="25" spans="1:16" x14ac:dyDescent="0.3">
      <c r="A25">
        <v>3454</v>
      </c>
      <c r="B25">
        <v>44815</v>
      </c>
      <c r="C25">
        <v>52</v>
      </c>
      <c r="D25">
        <v>25597</v>
      </c>
      <c r="E25" t="s">
        <v>51</v>
      </c>
      <c r="F25" t="s">
        <v>22</v>
      </c>
      <c r="G25" t="s">
        <v>34</v>
      </c>
      <c r="H25" t="s">
        <v>24</v>
      </c>
      <c r="I25" t="s">
        <v>9</v>
      </c>
      <c r="J25" t="s">
        <v>25</v>
      </c>
      <c r="K25" t="s">
        <v>11</v>
      </c>
      <c r="L25" t="s">
        <v>53</v>
      </c>
      <c r="M25" t="s">
        <v>32</v>
      </c>
      <c r="N25" t="s">
        <v>23</v>
      </c>
      <c r="O25" t="s">
        <v>56</v>
      </c>
      <c r="P25">
        <v>4</v>
      </c>
    </row>
    <row r="26" spans="1:16" x14ac:dyDescent="0.3">
      <c r="A26">
        <v>3455</v>
      </c>
      <c r="B26">
        <v>44376</v>
      </c>
      <c r="C26">
        <v>22</v>
      </c>
      <c r="D26">
        <v>36178</v>
      </c>
      <c r="E26" t="s">
        <v>51</v>
      </c>
      <c r="F26" t="s">
        <v>22</v>
      </c>
      <c r="G26" t="s">
        <v>17</v>
      </c>
      <c r="H26" t="s">
        <v>24</v>
      </c>
      <c r="I26" t="s">
        <v>9</v>
      </c>
      <c r="J26" t="s">
        <v>25</v>
      </c>
      <c r="K26" t="s">
        <v>11</v>
      </c>
      <c r="L26" t="s">
        <v>27</v>
      </c>
      <c r="M26" t="s">
        <v>57</v>
      </c>
      <c r="N26" t="s">
        <v>30</v>
      </c>
      <c r="O26" t="s">
        <v>41</v>
      </c>
      <c r="P26">
        <v>1</v>
      </c>
    </row>
    <row r="27" spans="1:16" x14ac:dyDescent="0.3">
      <c r="A27">
        <v>3456</v>
      </c>
      <c r="B27">
        <v>44991</v>
      </c>
      <c r="C27">
        <v>77</v>
      </c>
      <c r="D27">
        <v>17070</v>
      </c>
      <c r="E27" t="s">
        <v>51</v>
      </c>
      <c r="F27" t="s">
        <v>15</v>
      </c>
      <c r="G27" t="s">
        <v>40</v>
      </c>
      <c r="H27" t="s">
        <v>24</v>
      </c>
      <c r="I27" t="s">
        <v>9</v>
      </c>
      <c r="J27" t="s">
        <v>25</v>
      </c>
      <c r="K27" t="s">
        <v>19</v>
      </c>
      <c r="L27" t="s">
        <v>27</v>
      </c>
      <c r="M27" t="s">
        <v>35</v>
      </c>
      <c r="N27" t="s">
        <v>37</v>
      </c>
      <c r="O27" t="s">
        <v>18</v>
      </c>
      <c r="P27">
        <v>3</v>
      </c>
    </row>
    <row r="28" spans="1:16" x14ac:dyDescent="0.3">
      <c r="A28">
        <v>3457</v>
      </c>
      <c r="B28">
        <v>44099</v>
      </c>
      <c r="C28">
        <v>73</v>
      </c>
      <c r="D28">
        <v>17402</v>
      </c>
      <c r="E28" t="s">
        <v>51</v>
      </c>
      <c r="F28" t="s">
        <v>15</v>
      </c>
      <c r="G28" t="s">
        <v>40</v>
      </c>
      <c r="H28" t="s">
        <v>24</v>
      </c>
      <c r="I28" t="s">
        <v>9</v>
      </c>
      <c r="J28" t="s">
        <v>25</v>
      </c>
      <c r="K28" t="s">
        <v>26</v>
      </c>
      <c r="L28" t="s">
        <v>27</v>
      </c>
      <c r="M28" t="s">
        <v>42</v>
      </c>
      <c r="N28" t="s">
        <v>16</v>
      </c>
      <c r="O28" t="s">
        <v>56</v>
      </c>
      <c r="P28">
        <v>1</v>
      </c>
    </row>
    <row r="29" spans="1:16" x14ac:dyDescent="0.3">
      <c r="A29">
        <v>3460</v>
      </c>
      <c r="B29">
        <v>43880</v>
      </c>
      <c r="C29">
        <v>76</v>
      </c>
      <c r="D29">
        <v>16112</v>
      </c>
      <c r="E29" t="s">
        <v>45</v>
      </c>
      <c r="F29" t="s">
        <v>22</v>
      </c>
      <c r="G29" t="s">
        <v>34</v>
      </c>
      <c r="H29" t="s">
        <v>24</v>
      </c>
      <c r="I29" t="s">
        <v>9</v>
      </c>
      <c r="J29" t="s">
        <v>25</v>
      </c>
      <c r="K29" t="s">
        <v>19</v>
      </c>
      <c r="L29" t="s">
        <v>27</v>
      </c>
      <c r="M29" t="s">
        <v>21</v>
      </c>
      <c r="N29" t="s">
        <v>46</v>
      </c>
      <c r="O29" t="s">
        <v>18</v>
      </c>
      <c r="P29">
        <v>3</v>
      </c>
    </row>
    <row r="30" spans="1:16" x14ac:dyDescent="0.3">
      <c r="A30">
        <v>3462</v>
      </c>
      <c r="B30">
        <v>43356</v>
      </c>
      <c r="C30">
        <v>76</v>
      </c>
      <c r="D30">
        <v>15562</v>
      </c>
      <c r="E30" t="s">
        <v>50</v>
      </c>
      <c r="F30" t="s">
        <v>22</v>
      </c>
      <c r="G30" t="s">
        <v>40</v>
      </c>
      <c r="H30" t="s">
        <v>24</v>
      </c>
      <c r="I30" t="s">
        <v>9</v>
      </c>
      <c r="J30" t="s">
        <v>10</v>
      </c>
      <c r="K30" t="s">
        <v>19</v>
      </c>
      <c r="L30" t="s">
        <v>27</v>
      </c>
      <c r="M30" t="s">
        <v>35</v>
      </c>
      <c r="N30" t="s">
        <v>23</v>
      </c>
      <c r="O30" t="s">
        <v>56</v>
      </c>
      <c r="P30">
        <v>3</v>
      </c>
    </row>
    <row r="31" spans="1:16" x14ac:dyDescent="0.3">
      <c r="A31">
        <v>3463</v>
      </c>
      <c r="B31">
        <v>43951</v>
      </c>
      <c r="C31">
        <v>69</v>
      </c>
      <c r="D31">
        <v>18800</v>
      </c>
      <c r="E31" t="s">
        <v>47</v>
      </c>
      <c r="F31" t="s">
        <v>22</v>
      </c>
      <c r="G31" t="s">
        <v>31</v>
      </c>
      <c r="H31" t="s">
        <v>24</v>
      </c>
      <c r="I31" t="s">
        <v>9</v>
      </c>
      <c r="J31" t="s">
        <v>20</v>
      </c>
      <c r="K31" t="s">
        <v>19</v>
      </c>
      <c r="L31" t="s">
        <v>27</v>
      </c>
      <c r="M31" t="s">
        <v>35</v>
      </c>
      <c r="N31" t="s">
        <v>23</v>
      </c>
      <c r="O31" t="s">
        <v>18</v>
      </c>
      <c r="P31">
        <v>3</v>
      </c>
    </row>
    <row r="32" spans="1:16" x14ac:dyDescent="0.3">
      <c r="A32">
        <v>3464</v>
      </c>
      <c r="B32">
        <v>43437</v>
      </c>
      <c r="C32">
        <v>20</v>
      </c>
      <c r="D32">
        <v>35963</v>
      </c>
      <c r="E32" t="s">
        <v>14</v>
      </c>
      <c r="F32" t="s">
        <v>22</v>
      </c>
      <c r="G32" t="s">
        <v>17</v>
      </c>
      <c r="H32" t="s">
        <v>24</v>
      </c>
      <c r="I32" t="s">
        <v>9</v>
      </c>
      <c r="J32" t="s">
        <v>10</v>
      </c>
      <c r="K32" t="s">
        <v>26</v>
      </c>
      <c r="L32" t="s">
        <v>27</v>
      </c>
      <c r="M32" t="s">
        <v>58</v>
      </c>
      <c r="N32" t="s">
        <v>37</v>
      </c>
      <c r="O32" t="s">
        <v>56</v>
      </c>
      <c r="P32">
        <v>5</v>
      </c>
    </row>
    <row r="33" spans="1:16" x14ac:dyDescent="0.3">
      <c r="A33">
        <v>3465</v>
      </c>
      <c r="B33">
        <v>44508</v>
      </c>
      <c r="C33">
        <v>59</v>
      </c>
      <c r="D33">
        <v>22653</v>
      </c>
      <c r="E33" t="s">
        <v>14</v>
      </c>
      <c r="F33" t="s">
        <v>22</v>
      </c>
      <c r="G33" t="s">
        <v>40</v>
      </c>
      <c r="H33" t="s">
        <v>24</v>
      </c>
      <c r="I33" t="s">
        <v>9</v>
      </c>
      <c r="J33" t="s">
        <v>25</v>
      </c>
      <c r="K33" t="s">
        <v>26</v>
      </c>
      <c r="L33" t="s">
        <v>27</v>
      </c>
      <c r="M33" t="s">
        <v>32</v>
      </c>
      <c r="N33" t="s">
        <v>46</v>
      </c>
      <c r="O33" t="s">
        <v>56</v>
      </c>
      <c r="P33">
        <v>4</v>
      </c>
    </row>
    <row r="34" spans="1:16" x14ac:dyDescent="0.3">
      <c r="A34">
        <v>3466</v>
      </c>
      <c r="B34">
        <v>44664</v>
      </c>
      <c r="C34">
        <v>43</v>
      </c>
      <c r="D34">
        <v>28881</v>
      </c>
      <c r="E34" t="s">
        <v>51</v>
      </c>
      <c r="F34" t="s">
        <v>22</v>
      </c>
      <c r="G34" t="s">
        <v>34</v>
      </c>
      <c r="H34" t="s">
        <v>24</v>
      </c>
      <c r="I34" t="s">
        <v>9</v>
      </c>
      <c r="J34" t="s">
        <v>20</v>
      </c>
      <c r="K34" t="s">
        <v>11</v>
      </c>
      <c r="L34" t="s">
        <v>53</v>
      </c>
      <c r="M34" t="s">
        <v>21</v>
      </c>
      <c r="N34" t="s">
        <v>30</v>
      </c>
      <c r="O34" t="s">
        <v>41</v>
      </c>
      <c r="P34">
        <v>3</v>
      </c>
    </row>
    <row r="35" spans="1:16" x14ac:dyDescent="0.3">
      <c r="A35">
        <v>3467</v>
      </c>
      <c r="B35">
        <v>43957</v>
      </c>
      <c r="C35">
        <v>33</v>
      </c>
      <c r="D35">
        <v>31911</v>
      </c>
      <c r="E35" t="s">
        <v>51</v>
      </c>
      <c r="F35" t="s">
        <v>15</v>
      </c>
      <c r="G35" t="s">
        <v>40</v>
      </c>
      <c r="H35" t="s">
        <v>24</v>
      </c>
      <c r="I35" t="s">
        <v>9</v>
      </c>
      <c r="J35" t="s">
        <v>10</v>
      </c>
      <c r="K35" t="s">
        <v>19</v>
      </c>
      <c r="L35" t="s">
        <v>27</v>
      </c>
      <c r="M35" t="s">
        <v>55</v>
      </c>
      <c r="N35" t="s">
        <v>46</v>
      </c>
      <c r="O35" t="s">
        <v>41</v>
      </c>
      <c r="P35">
        <v>3</v>
      </c>
    </row>
    <row r="36" spans="1:16" x14ac:dyDescent="0.3">
      <c r="A36">
        <v>3468</v>
      </c>
      <c r="B36">
        <v>43717</v>
      </c>
      <c r="C36">
        <v>21</v>
      </c>
      <c r="D36">
        <v>35911</v>
      </c>
      <c r="E36" t="s">
        <v>51</v>
      </c>
      <c r="F36" t="s">
        <v>15</v>
      </c>
      <c r="G36" t="s">
        <v>31</v>
      </c>
      <c r="H36" t="s">
        <v>24</v>
      </c>
      <c r="I36" t="s">
        <v>9</v>
      </c>
      <c r="J36" t="s">
        <v>10</v>
      </c>
      <c r="K36" t="s">
        <v>26</v>
      </c>
      <c r="L36" t="s">
        <v>27</v>
      </c>
      <c r="M36" t="s">
        <v>59</v>
      </c>
      <c r="N36" t="s">
        <v>37</v>
      </c>
      <c r="O36" t="s">
        <v>18</v>
      </c>
      <c r="P36">
        <v>1</v>
      </c>
    </row>
    <row r="37" spans="1:16" x14ac:dyDescent="0.3">
      <c r="A37">
        <v>3471</v>
      </c>
      <c r="B37">
        <v>43890</v>
      </c>
      <c r="C37">
        <v>53</v>
      </c>
      <c r="D37">
        <v>24475</v>
      </c>
      <c r="E37" t="s">
        <v>45</v>
      </c>
      <c r="F37" t="s">
        <v>22</v>
      </c>
      <c r="G37" t="s">
        <v>34</v>
      </c>
      <c r="H37" t="s">
        <v>24</v>
      </c>
      <c r="I37" t="s">
        <v>9</v>
      </c>
      <c r="J37" t="s">
        <v>20</v>
      </c>
      <c r="K37" t="s">
        <v>11</v>
      </c>
      <c r="L37" t="s">
        <v>27</v>
      </c>
      <c r="M37" t="s">
        <v>35</v>
      </c>
      <c r="N37" t="s">
        <v>46</v>
      </c>
      <c r="O37" t="s">
        <v>18</v>
      </c>
      <c r="P37">
        <v>4</v>
      </c>
    </row>
    <row r="38" spans="1:16" x14ac:dyDescent="0.3">
      <c r="A38">
        <v>3472</v>
      </c>
      <c r="B38">
        <v>44941</v>
      </c>
      <c r="C38">
        <v>41</v>
      </c>
      <c r="D38">
        <v>29963</v>
      </c>
      <c r="E38" t="s">
        <v>45</v>
      </c>
      <c r="F38" t="s">
        <v>22</v>
      </c>
      <c r="G38" t="s">
        <v>34</v>
      </c>
      <c r="H38" t="s">
        <v>24</v>
      </c>
      <c r="I38" t="s">
        <v>9</v>
      </c>
      <c r="J38" t="s">
        <v>10</v>
      </c>
      <c r="K38" t="s">
        <v>11</v>
      </c>
      <c r="L38" t="s">
        <v>27</v>
      </c>
      <c r="M38" t="s">
        <v>54</v>
      </c>
      <c r="N38" t="s">
        <v>30</v>
      </c>
      <c r="O38" t="s">
        <v>41</v>
      </c>
      <c r="P38">
        <v>5</v>
      </c>
    </row>
    <row r="39" spans="1:16" x14ac:dyDescent="0.3">
      <c r="A39">
        <v>3473</v>
      </c>
      <c r="B39">
        <v>45106</v>
      </c>
      <c r="C39">
        <v>73</v>
      </c>
      <c r="D39">
        <v>18537</v>
      </c>
      <c r="E39" t="s">
        <v>50</v>
      </c>
      <c r="F39" t="s">
        <v>22</v>
      </c>
      <c r="G39" t="s">
        <v>17</v>
      </c>
      <c r="H39" t="s">
        <v>24</v>
      </c>
      <c r="I39" t="s">
        <v>9</v>
      </c>
      <c r="J39" t="s">
        <v>20</v>
      </c>
      <c r="K39" t="s">
        <v>19</v>
      </c>
      <c r="L39" t="s">
        <v>27</v>
      </c>
      <c r="M39" t="s">
        <v>58</v>
      </c>
      <c r="N39" t="s">
        <v>23</v>
      </c>
      <c r="O39" t="s">
        <v>41</v>
      </c>
      <c r="P39">
        <v>4</v>
      </c>
    </row>
    <row r="40" spans="1:16" x14ac:dyDescent="0.3">
      <c r="A40">
        <v>3474</v>
      </c>
      <c r="B40">
        <v>43899</v>
      </c>
      <c r="C40">
        <v>55</v>
      </c>
      <c r="D40">
        <v>24092</v>
      </c>
      <c r="E40" t="s">
        <v>50</v>
      </c>
      <c r="F40" t="s">
        <v>22</v>
      </c>
      <c r="G40" t="s">
        <v>40</v>
      </c>
      <c r="H40" t="s">
        <v>24</v>
      </c>
      <c r="I40" t="s">
        <v>9</v>
      </c>
      <c r="J40" t="s">
        <v>25</v>
      </c>
      <c r="K40" t="s">
        <v>19</v>
      </c>
      <c r="L40" t="s">
        <v>27</v>
      </c>
      <c r="M40" t="s">
        <v>60</v>
      </c>
      <c r="N40" t="s">
        <v>30</v>
      </c>
      <c r="O40" t="s">
        <v>18</v>
      </c>
      <c r="P40">
        <v>1</v>
      </c>
    </row>
    <row r="41" spans="1:16" x14ac:dyDescent="0.3">
      <c r="A41">
        <v>3475</v>
      </c>
      <c r="B41">
        <v>44460</v>
      </c>
      <c r="C41">
        <v>64</v>
      </c>
      <c r="D41">
        <v>21179</v>
      </c>
      <c r="E41" t="s">
        <v>47</v>
      </c>
      <c r="F41" t="s">
        <v>22</v>
      </c>
      <c r="G41" t="s">
        <v>17</v>
      </c>
      <c r="H41" t="s">
        <v>24</v>
      </c>
      <c r="I41" t="s">
        <v>9</v>
      </c>
      <c r="J41" t="s">
        <v>25</v>
      </c>
      <c r="K41" t="s">
        <v>11</v>
      </c>
      <c r="L41" t="s">
        <v>27</v>
      </c>
      <c r="M41" t="s">
        <v>32</v>
      </c>
      <c r="N41" t="s">
        <v>46</v>
      </c>
      <c r="O41" t="s">
        <v>18</v>
      </c>
      <c r="P41">
        <v>3</v>
      </c>
    </row>
    <row r="42" spans="1:16" x14ac:dyDescent="0.3">
      <c r="A42">
        <v>3476</v>
      </c>
      <c r="B42">
        <v>45089</v>
      </c>
      <c r="C42">
        <v>78</v>
      </c>
      <c r="D42">
        <v>16608</v>
      </c>
      <c r="E42" t="s">
        <v>14</v>
      </c>
      <c r="F42" t="s">
        <v>22</v>
      </c>
      <c r="G42" t="s">
        <v>40</v>
      </c>
      <c r="H42" t="s">
        <v>24</v>
      </c>
      <c r="I42" t="s">
        <v>9</v>
      </c>
      <c r="J42" t="s">
        <v>20</v>
      </c>
      <c r="K42" t="s">
        <v>19</v>
      </c>
      <c r="L42" t="s">
        <v>27</v>
      </c>
      <c r="M42" t="s">
        <v>55</v>
      </c>
      <c r="N42" t="s">
        <v>46</v>
      </c>
      <c r="O42" t="s">
        <v>56</v>
      </c>
      <c r="P42">
        <v>5</v>
      </c>
    </row>
    <row r="43" spans="1:16" x14ac:dyDescent="0.3">
      <c r="A43">
        <v>3477</v>
      </c>
      <c r="B43">
        <v>43562</v>
      </c>
      <c r="C43">
        <v>50</v>
      </c>
      <c r="D43">
        <v>25540</v>
      </c>
      <c r="E43" t="s">
        <v>51</v>
      </c>
      <c r="F43" t="s">
        <v>15</v>
      </c>
      <c r="G43" t="s">
        <v>17</v>
      </c>
      <c r="H43" t="s">
        <v>24</v>
      </c>
      <c r="I43" t="s">
        <v>9</v>
      </c>
      <c r="J43" t="s">
        <v>20</v>
      </c>
      <c r="K43" t="s">
        <v>19</v>
      </c>
      <c r="L43" t="s">
        <v>53</v>
      </c>
      <c r="M43" t="s">
        <v>21</v>
      </c>
      <c r="N43" t="s">
        <v>46</v>
      </c>
      <c r="O43" t="s">
        <v>56</v>
      </c>
      <c r="P43">
        <v>2</v>
      </c>
    </row>
    <row r="44" spans="1:16" x14ac:dyDescent="0.3">
      <c r="A44">
        <v>3478</v>
      </c>
      <c r="B44">
        <v>43360</v>
      </c>
      <c r="C44">
        <v>61</v>
      </c>
      <c r="D44">
        <v>21103</v>
      </c>
      <c r="E44" t="s">
        <v>51</v>
      </c>
      <c r="F44" t="s">
        <v>15</v>
      </c>
      <c r="G44" t="s">
        <v>34</v>
      </c>
      <c r="H44" t="s">
        <v>24</v>
      </c>
      <c r="I44" t="s">
        <v>9</v>
      </c>
      <c r="J44" t="s">
        <v>25</v>
      </c>
      <c r="K44" t="s">
        <v>11</v>
      </c>
      <c r="L44" t="s">
        <v>27</v>
      </c>
      <c r="M44" t="s">
        <v>59</v>
      </c>
      <c r="N44" t="s">
        <v>23</v>
      </c>
      <c r="O44" t="s">
        <v>18</v>
      </c>
      <c r="P44">
        <v>4</v>
      </c>
    </row>
    <row r="45" spans="1:16" x14ac:dyDescent="0.3">
      <c r="A45">
        <v>3479</v>
      </c>
      <c r="B45">
        <v>44775</v>
      </c>
      <c r="C45">
        <v>60</v>
      </c>
      <c r="D45">
        <v>22783</v>
      </c>
      <c r="E45" t="s">
        <v>45</v>
      </c>
      <c r="F45" t="s">
        <v>15</v>
      </c>
      <c r="G45" t="s">
        <v>17</v>
      </c>
      <c r="H45" t="s">
        <v>24</v>
      </c>
      <c r="I45" t="s">
        <v>9</v>
      </c>
      <c r="J45" t="s">
        <v>10</v>
      </c>
      <c r="K45" t="s">
        <v>19</v>
      </c>
      <c r="L45" t="s">
        <v>27</v>
      </c>
      <c r="M45" t="s">
        <v>54</v>
      </c>
      <c r="N45" t="s">
        <v>23</v>
      </c>
      <c r="O45" t="s">
        <v>18</v>
      </c>
      <c r="P45">
        <v>4</v>
      </c>
    </row>
    <row r="46" spans="1:16" x14ac:dyDescent="0.3">
      <c r="A46">
        <v>3483</v>
      </c>
      <c r="B46">
        <v>44465</v>
      </c>
      <c r="C46">
        <v>57</v>
      </c>
      <c r="D46">
        <v>23547</v>
      </c>
      <c r="E46" t="s">
        <v>50</v>
      </c>
      <c r="F46" t="s">
        <v>22</v>
      </c>
      <c r="G46" t="s">
        <v>17</v>
      </c>
      <c r="H46" t="s">
        <v>24</v>
      </c>
      <c r="I46" t="s">
        <v>9</v>
      </c>
      <c r="J46" t="s">
        <v>20</v>
      </c>
      <c r="K46" t="s">
        <v>26</v>
      </c>
      <c r="L46" t="s">
        <v>27</v>
      </c>
      <c r="M46" t="s">
        <v>54</v>
      </c>
      <c r="N46" t="s">
        <v>46</v>
      </c>
      <c r="O46" t="s">
        <v>18</v>
      </c>
      <c r="P46">
        <v>4</v>
      </c>
    </row>
    <row r="47" spans="1:16" x14ac:dyDescent="0.3">
      <c r="A47">
        <v>3484</v>
      </c>
      <c r="B47">
        <v>43341</v>
      </c>
      <c r="C47">
        <v>23</v>
      </c>
      <c r="D47">
        <v>34898</v>
      </c>
      <c r="E47" t="s">
        <v>50</v>
      </c>
      <c r="F47" t="s">
        <v>22</v>
      </c>
      <c r="G47" t="s">
        <v>31</v>
      </c>
      <c r="H47" t="s">
        <v>24</v>
      </c>
      <c r="I47" t="s">
        <v>9</v>
      </c>
      <c r="J47" t="s">
        <v>20</v>
      </c>
      <c r="K47" t="s">
        <v>26</v>
      </c>
      <c r="L47" t="s">
        <v>27</v>
      </c>
      <c r="M47" t="s">
        <v>32</v>
      </c>
      <c r="N47" t="s">
        <v>30</v>
      </c>
      <c r="O47" t="s">
        <v>18</v>
      </c>
      <c r="P47">
        <v>2</v>
      </c>
    </row>
    <row r="48" spans="1:16" x14ac:dyDescent="0.3">
      <c r="A48">
        <v>3485</v>
      </c>
      <c r="B48">
        <v>44495</v>
      </c>
      <c r="C48">
        <v>27</v>
      </c>
      <c r="D48">
        <v>34568</v>
      </c>
      <c r="E48" t="s">
        <v>50</v>
      </c>
      <c r="F48" t="s">
        <v>22</v>
      </c>
      <c r="G48" t="s">
        <v>17</v>
      </c>
      <c r="H48" t="s">
        <v>24</v>
      </c>
      <c r="I48" t="s">
        <v>9</v>
      </c>
      <c r="J48" t="s">
        <v>10</v>
      </c>
      <c r="K48" t="s">
        <v>11</v>
      </c>
      <c r="L48" t="s">
        <v>27</v>
      </c>
      <c r="M48" t="s">
        <v>35</v>
      </c>
      <c r="N48" t="s">
        <v>16</v>
      </c>
      <c r="O48" t="s">
        <v>18</v>
      </c>
      <c r="P48">
        <v>1</v>
      </c>
    </row>
    <row r="49" spans="1:16" x14ac:dyDescent="0.3">
      <c r="A49">
        <v>3486</v>
      </c>
      <c r="B49">
        <v>44865</v>
      </c>
      <c r="C49">
        <v>32</v>
      </c>
      <c r="D49">
        <v>33191</v>
      </c>
      <c r="E49" t="s">
        <v>47</v>
      </c>
      <c r="F49" t="s">
        <v>22</v>
      </c>
      <c r="G49" t="s">
        <v>17</v>
      </c>
      <c r="H49" t="s">
        <v>24</v>
      </c>
      <c r="I49" t="s">
        <v>9</v>
      </c>
      <c r="J49" t="s">
        <v>20</v>
      </c>
      <c r="K49" t="s">
        <v>11</v>
      </c>
      <c r="L49" t="s">
        <v>27</v>
      </c>
      <c r="M49" t="s">
        <v>55</v>
      </c>
      <c r="N49" t="s">
        <v>30</v>
      </c>
      <c r="O49" t="s">
        <v>18</v>
      </c>
      <c r="P49">
        <v>1</v>
      </c>
    </row>
    <row r="50" spans="1:16" x14ac:dyDescent="0.3">
      <c r="A50">
        <v>3487</v>
      </c>
      <c r="B50">
        <v>45000</v>
      </c>
      <c r="C50">
        <v>29</v>
      </c>
      <c r="D50">
        <v>34366</v>
      </c>
      <c r="E50" t="s">
        <v>51</v>
      </c>
      <c r="F50" t="s">
        <v>15</v>
      </c>
      <c r="G50" t="s">
        <v>40</v>
      </c>
      <c r="H50" t="s">
        <v>24</v>
      </c>
      <c r="I50" t="s">
        <v>9</v>
      </c>
      <c r="J50" t="s">
        <v>10</v>
      </c>
      <c r="K50" t="s">
        <v>26</v>
      </c>
      <c r="L50" t="s">
        <v>27</v>
      </c>
      <c r="M50" t="s">
        <v>28</v>
      </c>
      <c r="N50" t="s">
        <v>30</v>
      </c>
      <c r="O50" t="s">
        <v>18</v>
      </c>
      <c r="P50">
        <v>4</v>
      </c>
    </row>
    <row r="51" spans="1:16" x14ac:dyDescent="0.3">
      <c r="A51">
        <v>3488</v>
      </c>
      <c r="B51">
        <v>44813</v>
      </c>
      <c r="C51">
        <v>25</v>
      </c>
      <c r="D51">
        <v>35746</v>
      </c>
      <c r="E51" t="s">
        <v>51</v>
      </c>
      <c r="F51" t="s">
        <v>15</v>
      </c>
      <c r="G51" t="s">
        <v>31</v>
      </c>
      <c r="H51" t="s">
        <v>24</v>
      </c>
      <c r="I51" t="s">
        <v>9</v>
      </c>
      <c r="J51" t="s">
        <v>10</v>
      </c>
      <c r="K51" t="s">
        <v>26</v>
      </c>
      <c r="L51" t="s">
        <v>27</v>
      </c>
      <c r="M51" t="s">
        <v>59</v>
      </c>
      <c r="N51" t="s">
        <v>46</v>
      </c>
      <c r="O51" t="s">
        <v>18</v>
      </c>
      <c r="P51">
        <v>5</v>
      </c>
    </row>
    <row r="52" spans="1:16" x14ac:dyDescent="0.3">
      <c r="A52">
        <v>3489</v>
      </c>
      <c r="B52">
        <v>44624</v>
      </c>
      <c r="C52">
        <v>69</v>
      </c>
      <c r="D52">
        <v>19481</v>
      </c>
      <c r="E52" t="s">
        <v>45</v>
      </c>
      <c r="F52" t="s">
        <v>15</v>
      </c>
      <c r="G52" t="s">
        <v>40</v>
      </c>
      <c r="H52" t="s">
        <v>24</v>
      </c>
      <c r="I52" t="s">
        <v>9</v>
      </c>
      <c r="J52" t="s">
        <v>20</v>
      </c>
      <c r="K52" t="s">
        <v>19</v>
      </c>
      <c r="L52" t="s">
        <v>27</v>
      </c>
      <c r="M52" t="s">
        <v>35</v>
      </c>
      <c r="N52" t="s">
        <v>37</v>
      </c>
      <c r="O52" t="s">
        <v>18</v>
      </c>
      <c r="P52">
        <v>4</v>
      </c>
    </row>
    <row r="53" spans="1:16" x14ac:dyDescent="0.3">
      <c r="A53">
        <v>3490</v>
      </c>
      <c r="B53">
        <v>43507</v>
      </c>
      <c r="C53">
        <v>28</v>
      </c>
      <c r="D53">
        <v>33429</v>
      </c>
      <c r="E53" t="s">
        <v>45</v>
      </c>
      <c r="F53" t="s">
        <v>15</v>
      </c>
      <c r="G53" t="s">
        <v>40</v>
      </c>
      <c r="H53" t="s">
        <v>24</v>
      </c>
      <c r="I53" t="s">
        <v>9</v>
      </c>
      <c r="J53" t="s">
        <v>20</v>
      </c>
      <c r="K53" t="s">
        <v>19</v>
      </c>
      <c r="L53" t="s">
        <v>27</v>
      </c>
      <c r="M53" t="s">
        <v>28</v>
      </c>
      <c r="N53" t="s">
        <v>23</v>
      </c>
      <c r="O53" t="s">
        <v>18</v>
      </c>
      <c r="P53">
        <v>3</v>
      </c>
    </row>
    <row r="54" spans="1:16" x14ac:dyDescent="0.3">
      <c r="A54">
        <v>3491</v>
      </c>
      <c r="B54">
        <v>44222</v>
      </c>
      <c r="C54">
        <v>48</v>
      </c>
      <c r="D54">
        <v>26817</v>
      </c>
      <c r="E54" t="s">
        <v>45</v>
      </c>
      <c r="F54" t="s">
        <v>22</v>
      </c>
      <c r="G54" t="s">
        <v>17</v>
      </c>
      <c r="H54" t="s">
        <v>24</v>
      </c>
      <c r="I54" t="s">
        <v>9</v>
      </c>
      <c r="J54" t="s">
        <v>10</v>
      </c>
      <c r="K54" t="s">
        <v>26</v>
      </c>
      <c r="L54" t="s">
        <v>27</v>
      </c>
      <c r="M54" t="s">
        <v>35</v>
      </c>
      <c r="N54" t="s">
        <v>16</v>
      </c>
      <c r="O54" t="s">
        <v>18</v>
      </c>
      <c r="P54">
        <v>4</v>
      </c>
    </row>
    <row r="55" spans="1:16" x14ac:dyDescent="0.3">
      <c r="A55">
        <v>3492</v>
      </c>
      <c r="B55">
        <v>43795</v>
      </c>
      <c r="C55">
        <v>26</v>
      </c>
      <c r="D55">
        <v>33977</v>
      </c>
      <c r="E55" t="s">
        <v>50</v>
      </c>
      <c r="F55" t="s">
        <v>22</v>
      </c>
      <c r="G55" t="s">
        <v>34</v>
      </c>
      <c r="H55" t="s">
        <v>24</v>
      </c>
      <c r="I55" t="s">
        <v>9</v>
      </c>
      <c r="J55" t="s">
        <v>25</v>
      </c>
      <c r="K55" t="s">
        <v>11</v>
      </c>
      <c r="L55" t="s">
        <v>27</v>
      </c>
      <c r="M55" t="s">
        <v>32</v>
      </c>
      <c r="N55" t="s">
        <v>46</v>
      </c>
      <c r="O55" t="s">
        <v>18</v>
      </c>
      <c r="P55">
        <v>5</v>
      </c>
    </row>
    <row r="56" spans="1:16" x14ac:dyDescent="0.3">
      <c r="A56">
        <v>3493</v>
      </c>
      <c r="B56">
        <v>43661</v>
      </c>
      <c r="C56">
        <v>35</v>
      </c>
      <c r="D56">
        <v>30789</v>
      </c>
      <c r="E56" t="s">
        <v>50</v>
      </c>
      <c r="F56" t="s">
        <v>22</v>
      </c>
      <c r="G56" t="s">
        <v>17</v>
      </c>
      <c r="H56" t="s">
        <v>24</v>
      </c>
      <c r="I56" t="s">
        <v>9</v>
      </c>
      <c r="J56" t="s">
        <v>25</v>
      </c>
      <c r="K56" t="s">
        <v>11</v>
      </c>
      <c r="L56" t="s">
        <v>27</v>
      </c>
      <c r="M56" t="s">
        <v>54</v>
      </c>
      <c r="N56" t="s">
        <v>46</v>
      </c>
      <c r="O56" t="s">
        <v>18</v>
      </c>
      <c r="P56">
        <v>1</v>
      </c>
    </row>
    <row r="57" spans="1:16" x14ac:dyDescent="0.3">
      <c r="A57">
        <v>3494</v>
      </c>
      <c r="B57">
        <v>44000</v>
      </c>
      <c r="C57">
        <v>26</v>
      </c>
      <c r="D57">
        <v>34373</v>
      </c>
      <c r="E57" t="s">
        <v>50</v>
      </c>
      <c r="F57" t="s">
        <v>22</v>
      </c>
      <c r="G57" t="s">
        <v>31</v>
      </c>
      <c r="H57" t="s">
        <v>24</v>
      </c>
      <c r="I57" t="s">
        <v>9</v>
      </c>
      <c r="J57" t="s">
        <v>10</v>
      </c>
      <c r="K57" t="s">
        <v>26</v>
      </c>
      <c r="L57" t="s">
        <v>27</v>
      </c>
      <c r="M57" t="s">
        <v>32</v>
      </c>
      <c r="N57" t="s">
        <v>37</v>
      </c>
      <c r="O57" t="s">
        <v>18</v>
      </c>
      <c r="P57">
        <v>2</v>
      </c>
    </row>
    <row r="58" spans="1:16" x14ac:dyDescent="0.3">
      <c r="A58">
        <v>3495</v>
      </c>
      <c r="B58">
        <v>45099</v>
      </c>
      <c r="C58">
        <v>30</v>
      </c>
      <c r="D58">
        <v>33996</v>
      </c>
      <c r="E58" t="s">
        <v>47</v>
      </c>
      <c r="F58" t="s">
        <v>22</v>
      </c>
      <c r="G58" t="s">
        <v>34</v>
      </c>
      <c r="H58" t="s">
        <v>24</v>
      </c>
      <c r="I58" t="s">
        <v>9</v>
      </c>
      <c r="J58" t="s">
        <v>20</v>
      </c>
      <c r="K58" t="s">
        <v>26</v>
      </c>
      <c r="L58" t="s">
        <v>27</v>
      </c>
      <c r="M58" t="s">
        <v>59</v>
      </c>
      <c r="N58" t="s">
        <v>30</v>
      </c>
      <c r="O58" t="s">
        <v>18</v>
      </c>
      <c r="P58">
        <v>3</v>
      </c>
    </row>
    <row r="59" spans="1:16" x14ac:dyDescent="0.3">
      <c r="A59">
        <v>3496</v>
      </c>
      <c r="B59">
        <v>44532</v>
      </c>
      <c r="C59">
        <v>57</v>
      </c>
      <c r="D59">
        <v>23639</v>
      </c>
      <c r="E59" t="s">
        <v>39</v>
      </c>
      <c r="F59" t="s">
        <v>22</v>
      </c>
      <c r="G59" t="s">
        <v>17</v>
      </c>
      <c r="H59" t="s">
        <v>24</v>
      </c>
      <c r="I59" t="s">
        <v>9</v>
      </c>
      <c r="J59" t="s">
        <v>10</v>
      </c>
      <c r="K59" t="s">
        <v>19</v>
      </c>
      <c r="L59" t="s">
        <v>27</v>
      </c>
      <c r="M59" t="s">
        <v>28</v>
      </c>
      <c r="N59" t="s">
        <v>30</v>
      </c>
      <c r="O59" t="s">
        <v>18</v>
      </c>
      <c r="P59">
        <v>3</v>
      </c>
    </row>
    <row r="60" spans="1:16" x14ac:dyDescent="0.3">
      <c r="A60">
        <v>3497</v>
      </c>
      <c r="B60">
        <v>44538</v>
      </c>
      <c r="C60">
        <v>40</v>
      </c>
      <c r="D60">
        <v>29635</v>
      </c>
      <c r="E60" t="s">
        <v>43</v>
      </c>
      <c r="F60" t="s">
        <v>15</v>
      </c>
      <c r="G60" t="s">
        <v>17</v>
      </c>
      <c r="H60" t="s">
        <v>24</v>
      </c>
      <c r="I60" t="s">
        <v>9</v>
      </c>
      <c r="J60" t="s">
        <v>20</v>
      </c>
      <c r="K60" t="s">
        <v>11</v>
      </c>
      <c r="L60" t="s">
        <v>27</v>
      </c>
      <c r="M60" t="s">
        <v>54</v>
      </c>
      <c r="N60" t="s">
        <v>23</v>
      </c>
      <c r="O60" t="s">
        <v>18</v>
      </c>
      <c r="P60">
        <v>3</v>
      </c>
    </row>
    <row r="61" spans="1:16" x14ac:dyDescent="0.3">
      <c r="A61">
        <v>3498</v>
      </c>
      <c r="B61">
        <v>45042</v>
      </c>
      <c r="C61">
        <v>25</v>
      </c>
      <c r="D61">
        <v>36085</v>
      </c>
      <c r="E61" t="s">
        <v>51</v>
      </c>
      <c r="F61" t="s">
        <v>15</v>
      </c>
      <c r="G61" t="s">
        <v>17</v>
      </c>
      <c r="H61" t="s">
        <v>24</v>
      </c>
      <c r="I61" t="s">
        <v>9</v>
      </c>
      <c r="J61" t="s">
        <v>25</v>
      </c>
      <c r="K61" t="s">
        <v>19</v>
      </c>
      <c r="L61" t="s">
        <v>27</v>
      </c>
      <c r="M61" t="s">
        <v>28</v>
      </c>
      <c r="N61" t="s">
        <v>16</v>
      </c>
      <c r="O61" t="s">
        <v>18</v>
      </c>
      <c r="P61">
        <v>3</v>
      </c>
    </row>
    <row r="62" spans="1:16" x14ac:dyDescent="0.3">
      <c r="A62">
        <v>3499</v>
      </c>
      <c r="B62">
        <v>43368</v>
      </c>
      <c r="C62">
        <v>47</v>
      </c>
      <c r="D62">
        <v>25949</v>
      </c>
      <c r="E62" t="s">
        <v>51</v>
      </c>
      <c r="F62" t="s">
        <v>15</v>
      </c>
      <c r="G62" t="s">
        <v>17</v>
      </c>
      <c r="H62" t="s">
        <v>24</v>
      </c>
      <c r="I62" t="s">
        <v>9</v>
      </c>
      <c r="J62" t="s">
        <v>20</v>
      </c>
      <c r="K62" t="s">
        <v>11</v>
      </c>
      <c r="L62" t="s">
        <v>27</v>
      </c>
      <c r="M62" t="s">
        <v>35</v>
      </c>
      <c r="N62" t="s">
        <v>46</v>
      </c>
      <c r="O62" t="s">
        <v>18</v>
      </c>
      <c r="P62">
        <v>3</v>
      </c>
    </row>
    <row r="63" spans="1:16" x14ac:dyDescent="0.3">
      <c r="A63">
        <v>3500</v>
      </c>
      <c r="B63">
        <v>43424</v>
      </c>
      <c r="C63">
        <v>18</v>
      </c>
      <c r="D63">
        <v>36581</v>
      </c>
      <c r="E63" t="s">
        <v>45</v>
      </c>
      <c r="F63" t="s">
        <v>15</v>
      </c>
      <c r="G63" t="s">
        <v>40</v>
      </c>
      <c r="H63" t="s">
        <v>24</v>
      </c>
      <c r="I63" t="s">
        <v>9</v>
      </c>
      <c r="J63" t="s">
        <v>25</v>
      </c>
      <c r="K63" t="s">
        <v>26</v>
      </c>
      <c r="L63" t="s">
        <v>27</v>
      </c>
      <c r="M63" t="s">
        <v>58</v>
      </c>
      <c r="N63" t="s">
        <v>16</v>
      </c>
      <c r="O63" t="s">
        <v>18</v>
      </c>
      <c r="P63">
        <v>1</v>
      </c>
    </row>
    <row r="64" spans="1:16" x14ac:dyDescent="0.3">
      <c r="A64">
        <v>3502</v>
      </c>
      <c r="B64">
        <v>43739</v>
      </c>
      <c r="C64">
        <v>43</v>
      </c>
      <c r="D64">
        <v>27940</v>
      </c>
      <c r="E64" t="s">
        <v>45</v>
      </c>
      <c r="F64" t="s">
        <v>22</v>
      </c>
      <c r="G64" t="s">
        <v>34</v>
      </c>
      <c r="H64" t="s">
        <v>24</v>
      </c>
      <c r="I64" t="s">
        <v>9</v>
      </c>
      <c r="J64" t="s">
        <v>25</v>
      </c>
      <c r="K64" t="s">
        <v>11</v>
      </c>
      <c r="L64" t="s">
        <v>27</v>
      </c>
      <c r="M64" t="s">
        <v>49</v>
      </c>
      <c r="N64" t="s">
        <v>16</v>
      </c>
      <c r="O64" t="s">
        <v>18</v>
      </c>
      <c r="P64">
        <v>3</v>
      </c>
    </row>
    <row r="65" spans="1:16" x14ac:dyDescent="0.3">
      <c r="A65">
        <v>3503</v>
      </c>
      <c r="B65">
        <v>44581</v>
      </c>
      <c r="C65">
        <v>71</v>
      </c>
      <c r="D65">
        <v>18836</v>
      </c>
      <c r="E65" t="s">
        <v>50</v>
      </c>
      <c r="F65" t="s">
        <v>22</v>
      </c>
      <c r="G65" t="s">
        <v>31</v>
      </c>
      <c r="H65" t="s">
        <v>24</v>
      </c>
      <c r="I65" t="s">
        <v>9</v>
      </c>
      <c r="J65" t="s">
        <v>20</v>
      </c>
      <c r="K65" t="s">
        <v>19</v>
      </c>
      <c r="L65" t="s">
        <v>27</v>
      </c>
      <c r="M65" t="s">
        <v>54</v>
      </c>
      <c r="N65" t="s">
        <v>30</v>
      </c>
      <c r="O65" t="s">
        <v>18</v>
      </c>
      <c r="P65">
        <v>2</v>
      </c>
    </row>
    <row r="66" spans="1:16" x14ac:dyDescent="0.3">
      <c r="A66">
        <v>3504</v>
      </c>
      <c r="B66">
        <v>44479</v>
      </c>
      <c r="C66">
        <v>41</v>
      </c>
      <c r="D66">
        <v>29456</v>
      </c>
      <c r="E66" t="s">
        <v>50</v>
      </c>
      <c r="F66" t="s">
        <v>22</v>
      </c>
      <c r="G66" t="s">
        <v>34</v>
      </c>
      <c r="H66" t="s">
        <v>24</v>
      </c>
      <c r="I66" t="s">
        <v>9</v>
      </c>
      <c r="J66" t="s">
        <v>25</v>
      </c>
      <c r="K66" t="s">
        <v>26</v>
      </c>
      <c r="L66" t="s">
        <v>27</v>
      </c>
      <c r="M66" t="s">
        <v>32</v>
      </c>
      <c r="N66" t="s">
        <v>23</v>
      </c>
      <c r="O66" t="s">
        <v>18</v>
      </c>
      <c r="P66">
        <v>4</v>
      </c>
    </row>
    <row r="67" spans="1:16" x14ac:dyDescent="0.3">
      <c r="A67">
        <v>3505</v>
      </c>
      <c r="B67">
        <v>44072</v>
      </c>
      <c r="C67">
        <v>77</v>
      </c>
      <c r="D67">
        <v>15911</v>
      </c>
      <c r="E67" t="s">
        <v>47</v>
      </c>
      <c r="F67" t="s">
        <v>22</v>
      </c>
      <c r="G67" t="s">
        <v>17</v>
      </c>
      <c r="H67" t="s">
        <v>24</v>
      </c>
      <c r="I67" t="s">
        <v>9</v>
      </c>
      <c r="J67" t="s">
        <v>10</v>
      </c>
      <c r="K67" t="s">
        <v>26</v>
      </c>
      <c r="L67" t="s">
        <v>27</v>
      </c>
      <c r="M67" t="s">
        <v>35</v>
      </c>
      <c r="N67" t="s">
        <v>23</v>
      </c>
      <c r="O67" t="s">
        <v>18</v>
      </c>
      <c r="P67">
        <v>3</v>
      </c>
    </row>
    <row r="68" spans="1:16" x14ac:dyDescent="0.3">
      <c r="A68">
        <v>3506</v>
      </c>
      <c r="B68">
        <v>43704</v>
      </c>
      <c r="C68">
        <v>31</v>
      </c>
      <c r="D68">
        <v>32330</v>
      </c>
      <c r="E68" t="s">
        <v>47</v>
      </c>
      <c r="F68" t="s">
        <v>22</v>
      </c>
      <c r="G68" t="s">
        <v>34</v>
      </c>
      <c r="H68" t="s">
        <v>24</v>
      </c>
      <c r="I68" t="s">
        <v>9</v>
      </c>
      <c r="J68" t="s">
        <v>25</v>
      </c>
      <c r="K68" t="s">
        <v>26</v>
      </c>
      <c r="L68" t="s">
        <v>27</v>
      </c>
      <c r="M68" t="s">
        <v>35</v>
      </c>
      <c r="N68" t="s">
        <v>30</v>
      </c>
      <c r="O68" t="s">
        <v>18</v>
      </c>
      <c r="P68">
        <v>2</v>
      </c>
    </row>
    <row r="69" spans="1:16" x14ac:dyDescent="0.3">
      <c r="A69">
        <v>3507</v>
      </c>
      <c r="B69">
        <v>44252</v>
      </c>
      <c r="C69">
        <v>48</v>
      </c>
      <c r="D69">
        <v>26747</v>
      </c>
      <c r="E69" t="s">
        <v>39</v>
      </c>
      <c r="F69" t="s">
        <v>22</v>
      </c>
      <c r="G69" t="s">
        <v>31</v>
      </c>
      <c r="H69" t="s">
        <v>24</v>
      </c>
      <c r="I69" t="s">
        <v>9</v>
      </c>
      <c r="J69" t="s">
        <v>25</v>
      </c>
      <c r="K69" t="s">
        <v>19</v>
      </c>
      <c r="L69" t="s">
        <v>27</v>
      </c>
      <c r="M69" t="s">
        <v>54</v>
      </c>
      <c r="N69" t="s">
        <v>16</v>
      </c>
      <c r="O69" t="s">
        <v>18</v>
      </c>
      <c r="P69">
        <v>5</v>
      </c>
    </row>
    <row r="70" spans="1:16" x14ac:dyDescent="0.3">
      <c r="A70">
        <v>3508</v>
      </c>
      <c r="B70">
        <v>44390</v>
      </c>
      <c r="C70">
        <v>79</v>
      </c>
      <c r="D70">
        <v>15487</v>
      </c>
      <c r="E70" t="s">
        <v>43</v>
      </c>
      <c r="F70" t="s">
        <v>22</v>
      </c>
      <c r="G70" t="s">
        <v>31</v>
      </c>
      <c r="H70" t="s">
        <v>24</v>
      </c>
      <c r="I70" t="s">
        <v>9</v>
      </c>
      <c r="J70" t="s">
        <v>25</v>
      </c>
      <c r="K70" t="s">
        <v>26</v>
      </c>
      <c r="L70" t="s">
        <v>27</v>
      </c>
      <c r="M70" t="s">
        <v>21</v>
      </c>
      <c r="N70" t="s">
        <v>46</v>
      </c>
      <c r="O70" t="s">
        <v>18</v>
      </c>
      <c r="P70">
        <v>5</v>
      </c>
    </row>
    <row r="71" spans="1:16" x14ac:dyDescent="0.3">
      <c r="A71">
        <v>3509</v>
      </c>
      <c r="B71">
        <v>44300</v>
      </c>
      <c r="C71">
        <v>44</v>
      </c>
      <c r="D71">
        <v>28433</v>
      </c>
      <c r="E71" t="s">
        <v>51</v>
      </c>
      <c r="F71" t="s">
        <v>15</v>
      </c>
      <c r="G71" t="s">
        <v>34</v>
      </c>
      <c r="H71" t="s">
        <v>24</v>
      </c>
      <c r="I71" t="s">
        <v>9</v>
      </c>
      <c r="J71" t="s">
        <v>20</v>
      </c>
      <c r="K71" t="s">
        <v>11</v>
      </c>
      <c r="L71" t="s">
        <v>27</v>
      </c>
      <c r="M71" t="s">
        <v>28</v>
      </c>
      <c r="N71" t="s">
        <v>37</v>
      </c>
      <c r="O71" t="s">
        <v>18</v>
      </c>
      <c r="P71">
        <v>5</v>
      </c>
    </row>
    <row r="72" spans="1:16" x14ac:dyDescent="0.3">
      <c r="A72">
        <v>3510</v>
      </c>
      <c r="B72">
        <v>43871</v>
      </c>
      <c r="C72">
        <v>64</v>
      </c>
      <c r="D72">
        <v>20745</v>
      </c>
      <c r="E72" t="s">
        <v>51</v>
      </c>
      <c r="F72" t="s">
        <v>15</v>
      </c>
      <c r="G72" t="s">
        <v>34</v>
      </c>
      <c r="H72" t="s">
        <v>24</v>
      </c>
      <c r="I72" t="s">
        <v>9</v>
      </c>
      <c r="J72" t="s">
        <v>20</v>
      </c>
      <c r="K72" t="s">
        <v>19</v>
      </c>
      <c r="L72" t="s">
        <v>27</v>
      </c>
      <c r="M72" t="s">
        <v>32</v>
      </c>
      <c r="N72" t="s">
        <v>23</v>
      </c>
      <c r="O72" t="s">
        <v>18</v>
      </c>
      <c r="P72">
        <v>4</v>
      </c>
    </row>
    <row r="73" spans="1:16" x14ac:dyDescent="0.3">
      <c r="A73">
        <v>3511</v>
      </c>
      <c r="B73">
        <v>44425</v>
      </c>
      <c r="C73">
        <v>24</v>
      </c>
      <c r="D73">
        <v>35479</v>
      </c>
      <c r="E73" t="s">
        <v>51</v>
      </c>
      <c r="F73" t="s">
        <v>15</v>
      </c>
      <c r="G73" t="s">
        <v>40</v>
      </c>
      <c r="H73" t="s">
        <v>24</v>
      </c>
      <c r="I73" t="s">
        <v>9</v>
      </c>
      <c r="J73" t="s">
        <v>20</v>
      </c>
      <c r="K73" t="s">
        <v>26</v>
      </c>
      <c r="L73" t="s">
        <v>27</v>
      </c>
      <c r="M73" t="s">
        <v>13</v>
      </c>
      <c r="N73" t="s">
        <v>46</v>
      </c>
      <c r="O73" t="s">
        <v>18</v>
      </c>
      <c r="P73">
        <v>4</v>
      </c>
    </row>
    <row r="74" spans="1:16" x14ac:dyDescent="0.3">
      <c r="A74">
        <v>3514</v>
      </c>
      <c r="B74">
        <v>43936</v>
      </c>
      <c r="C74">
        <v>62</v>
      </c>
      <c r="D74">
        <v>21188</v>
      </c>
      <c r="E74" t="s">
        <v>45</v>
      </c>
      <c r="F74" t="s">
        <v>22</v>
      </c>
      <c r="G74" t="s">
        <v>34</v>
      </c>
      <c r="H74" t="s">
        <v>24</v>
      </c>
      <c r="I74" t="s">
        <v>9</v>
      </c>
      <c r="J74" t="s">
        <v>25</v>
      </c>
      <c r="K74" t="s">
        <v>26</v>
      </c>
      <c r="L74" t="s">
        <v>27</v>
      </c>
      <c r="M74" t="s">
        <v>59</v>
      </c>
      <c r="N74" t="s">
        <v>46</v>
      </c>
      <c r="O74" t="s">
        <v>18</v>
      </c>
      <c r="P74">
        <v>1</v>
      </c>
    </row>
    <row r="75" spans="1:16" x14ac:dyDescent="0.3">
      <c r="A75">
        <v>3516</v>
      </c>
      <c r="B75">
        <v>44658</v>
      </c>
      <c r="C75">
        <v>34</v>
      </c>
      <c r="D75">
        <v>32319</v>
      </c>
      <c r="E75" t="s">
        <v>50</v>
      </c>
      <c r="F75" t="s">
        <v>22</v>
      </c>
      <c r="G75" t="s">
        <v>40</v>
      </c>
      <c r="H75" t="s">
        <v>24</v>
      </c>
      <c r="I75" t="s">
        <v>9</v>
      </c>
      <c r="J75" t="s">
        <v>10</v>
      </c>
      <c r="K75" t="s">
        <v>26</v>
      </c>
      <c r="L75" t="s">
        <v>27</v>
      </c>
      <c r="M75" t="s">
        <v>54</v>
      </c>
      <c r="N75" t="s">
        <v>46</v>
      </c>
      <c r="O75" t="s">
        <v>18</v>
      </c>
      <c r="P75">
        <v>3</v>
      </c>
    </row>
    <row r="76" spans="1:16" x14ac:dyDescent="0.3">
      <c r="A76">
        <v>3517</v>
      </c>
      <c r="B76">
        <v>43880</v>
      </c>
      <c r="C76">
        <v>78</v>
      </c>
      <c r="D76">
        <v>15345</v>
      </c>
      <c r="E76" t="s">
        <v>47</v>
      </c>
      <c r="F76" t="s">
        <v>22</v>
      </c>
      <c r="G76" t="s">
        <v>17</v>
      </c>
      <c r="H76" t="s">
        <v>24</v>
      </c>
      <c r="I76" t="s">
        <v>9</v>
      </c>
      <c r="J76" t="s">
        <v>20</v>
      </c>
      <c r="K76" t="s">
        <v>19</v>
      </c>
      <c r="L76" t="s">
        <v>27</v>
      </c>
      <c r="M76" t="s">
        <v>49</v>
      </c>
      <c r="N76" t="s">
        <v>23</v>
      </c>
      <c r="O76" t="s">
        <v>18</v>
      </c>
      <c r="P76">
        <v>1</v>
      </c>
    </row>
    <row r="77" spans="1:16" x14ac:dyDescent="0.3">
      <c r="A77">
        <v>3518</v>
      </c>
      <c r="B77">
        <v>44296</v>
      </c>
      <c r="C77">
        <v>52</v>
      </c>
      <c r="D77">
        <v>25347</v>
      </c>
      <c r="E77" t="s">
        <v>39</v>
      </c>
      <c r="F77" t="s">
        <v>15</v>
      </c>
      <c r="G77" t="s">
        <v>34</v>
      </c>
      <c r="H77" t="s">
        <v>24</v>
      </c>
      <c r="I77" t="s">
        <v>9</v>
      </c>
      <c r="J77" t="s">
        <v>10</v>
      </c>
      <c r="K77" t="s">
        <v>26</v>
      </c>
      <c r="L77" t="s">
        <v>27</v>
      </c>
      <c r="M77" t="s">
        <v>38</v>
      </c>
      <c r="N77" t="s">
        <v>23</v>
      </c>
      <c r="O77" t="s">
        <v>18</v>
      </c>
      <c r="P77">
        <v>2</v>
      </c>
    </row>
    <row r="78" spans="1:16" x14ac:dyDescent="0.3">
      <c r="A78">
        <v>3519</v>
      </c>
      <c r="B78">
        <v>44549</v>
      </c>
      <c r="C78">
        <v>70</v>
      </c>
      <c r="D78">
        <v>18715</v>
      </c>
      <c r="E78" t="s">
        <v>39</v>
      </c>
      <c r="F78" t="s">
        <v>22</v>
      </c>
      <c r="G78" t="s">
        <v>17</v>
      </c>
      <c r="H78" t="s">
        <v>24</v>
      </c>
      <c r="I78" t="s">
        <v>9</v>
      </c>
      <c r="J78" t="s">
        <v>20</v>
      </c>
      <c r="K78" t="s">
        <v>11</v>
      </c>
      <c r="L78" t="s">
        <v>27</v>
      </c>
      <c r="M78" t="s">
        <v>21</v>
      </c>
      <c r="N78" t="s">
        <v>23</v>
      </c>
      <c r="O78" t="s">
        <v>18</v>
      </c>
      <c r="P78">
        <v>3</v>
      </c>
    </row>
    <row r="79" spans="1:16" x14ac:dyDescent="0.3">
      <c r="A79">
        <v>3520</v>
      </c>
      <c r="B79">
        <v>44178</v>
      </c>
      <c r="C79">
        <v>57</v>
      </c>
      <c r="D79">
        <v>23071</v>
      </c>
      <c r="E79" t="s">
        <v>29</v>
      </c>
      <c r="F79" t="s">
        <v>15</v>
      </c>
      <c r="G79" t="s">
        <v>40</v>
      </c>
      <c r="H79" t="s">
        <v>24</v>
      </c>
      <c r="I79" t="s">
        <v>9</v>
      </c>
      <c r="J79" t="s">
        <v>25</v>
      </c>
      <c r="K79" t="s">
        <v>11</v>
      </c>
      <c r="L79" t="s">
        <v>27</v>
      </c>
      <c r="M79" t="s">
        <v>54</v>
      </c>
      <c r="N79" t="s">
        <v>37</v>
      </c>
      <c r="O79" t="s">
        <v>18</v>
      </c>
      <c r="P79">
        <v>1</v>
      </c>
    </row>
    <row r="80" spans="1:16" x14ac:dyDescent="0.3">
      <c r="A80">
        <v>3521</v>
      </c>
      <c r="B80">
        <v>43522</v>
      </c>
      <c r="C80">
        <v>70</v>
      </c>
      <c r="D80">
        <v>18004</v>
      </c>
      <c r="E80" t="s">
        <v>51</v>
      </c>
      <c r="F80" t="s">
        <v>15</v>
      </c>
      <c r="G80" t="s">
        <v>40</v>
      </c>
      <c r="H80" t="s">
        <v>24</v>
      </c>
      <c r="I80" t="s">
        <v>9</v>
      </c>
      <c r="J80" t="s">
        <v>10</v>
      </c>
      <c r="K80" t="s">
        <v>11</v>
      </c>
      <c r="L80" t="s">
        <v>27</v>
      </c>
      <c r="M80" t="s">
        <v>32</v>
      </c>
      <c r="N80" t="s">
        <v>46</v>
      </c>
      <c r="O80" t="s">
        <v>18</v>
      </c>
      <c r="P80">
        <v>3</v>
      </c>
    </row>
    <row r="81" spans="1:16" x14ac:dyDescent="0.3">
      <c r="A81">
        <v>3522</v>
      </c>
      <c r="B81">
        <v>43892</v>
      </c>
      <c r="C81">
        <v>37</v>
      </c>
      <c r="D81">
        <v>30601</v>
      </c>
      <c r="E81" t="s">
        <v>51</v>
      </c>
      <c r="F81" t="s">
        <v>15</v>
      </c>
      <c r="G81" t="s">
        <v>31</v>
      </c>
      <c r="H81" t="s">
        <v>24</v>
      </c>
      <c r="I81" t="s">
        <v>9</v>
      </c>
      <c r="J81" t="s">
        <v>25</v>
      </c>
      <c r="K81" t="s">
        <v>11</v>
      </c>
      <c r="L81" t="s">
        <v>27</v>
      </c>
      <c r="M81" t="s">
        <v>49</v>
      </c>
      <c r="N81" t="s">
        <v>30</v>
      </c>
      <c r="O81" t="s">
        <v>18</v>
      </c>
      <c r="P81">
        <v>5</v>
      </c>
    </row>
    <row r="82" spans="1:16" x14ac:dyDescent="0.3">
      <c r="A82">
        <v>3523</v>
      </c>
      <c r="B82">
        <v>44372</v>
      </c>
      <c r="C82">
        <v>43</v>
      </c>
      <c r="D82">
        <v>28843</v>
      </c>
      <c r="E82" t="s">
        <v>51</v>
      </c>
      <c r="F82" t="s">
        <v>15</v>
      </c>
      <c r="G82" t="s">
        <v>31</v>
      </c>
      <c r="H82" t="s">
        <v>24</v>
      </c>
      <c r="I82" t="s">
        <v>9</v>
      </c>
      <c r="J82" t="s">
        <v>25</v>
      </c>
      <c r="K82" t="s">
        <v>19</v>
      </c>
      <c r="L82" t="s">
        <v>27</v>
      </c>
      <c r="M82" t="s">
        <v>32</v>
      </c>
      <c r="N82" t="s">
        <v>30</v>
      </c>
      <c r="O82" t="s">
        <v>18</v>
      </c>
      <c r="P82">
        <v>2</v>
      </c>
    </row>
    <row r="83" spans="1:16" x14ac:dyDescent="0.3">
      <c r="A83">
        <v>3526</v>
      </c>
      <c r="B83">
        <v>44819</v>
      </c>
      <c r="C83">
        <v>74</v>
      </c>
      <c r="D83">
        <v>17683</v>
      </c>
      <c r="E83" t="s">
        <v>45</v>
      </c>
      <c r="F83" t="s">
        <v>22</v>
      </c>
      <c r="G83" t="s">
        <v>17</v>
      </c>
      <c r="H83" t="s">
        <v>24</v>
      </c>
      <c r="I83" t="s">
        <v>9</v>
      </c>
      <c r="J83" t="s">
        <v>25</v>
      </c>
      <c r="K83" t="s">
        <v>26</v>
      </c>
      <c r="L83" t="s">
        <v>27</v>
      </c>
      <c r="M83" t="s">
        <v>32</v>
      </c>
      <c r="N83" t="s">
        <v>16</v>
      </c>
      <c r="O83" t="s">
        <v>18</v>
      </c>
      <c r="P83">
        <v>5</v>
      </c>
    </row>
    <row r="84" spans="1:16" x14ac:dyDescent="0.3">
      <c r="A84">
        <v>3527</v>
      </c>
      <c r="B84">
        <v>43952</v>
      </c>
      <c r="C84">
        <v>46</v>
      </c>
      <c r="D84">
        <v>27317</v>
      </c>
      <c r="E84" t="s">
        <v>50</v>
      </c>
      <c r="F84" t="s">
        <v>22</v>
      </c>
      <c r="G84" t="s">
        <v>34</v>
      </c>
      <c r="H84" t="s">
        <v>24</v>
      </c>
      <c r="I84" t="s">
        <v>9</v>
      </c>
      <c r="J84" t="s">
        <v>25</v>
      </c>
      <c r="K84" t="s">
        <v>26</v>
      </c>
      <c r="L84" t="s">
        <v>27</v>
      </c>
      <c r="M84" t="s">
        <v>21</v>
      </c>
      <c r="N84" t="s">
        <v>37</v>
      </c>
      <c r="O84" t="s">
        <v>18</v>
      </c>
      <c r="P84">
        <v>3</v>
      </c>
    </row>
    <row r="85" spans="1:16" x14ac:dyDescent="0.3">
      <c r="A85">
        <v>3528</v>
      </c>
      <c r="B85">
        <v>44847</v>
      </c>
      <c r="C85">
        <v>31</v>
      </c>
      <c r="D85">
        <v>33585</v>
      </c>
      <c r="E85" t="s">
        <v>50</v>
      </c>
      <c r="F85" t="s">
        <v>22</v>
      </c>
      <c r="G85" t="s">
        <v>17</v>
      </c>
      <c r="H85" t="s">
        <v>24</v>
      </c>
      <c r="I85" t="s">
        <v>9</v>
      </c>
      <c r="J85" t="s">
        <v>25</v>
      </c>
      <c r="K85" t="s">
        <v>11</v>
      </c>
      <c r="L85" t="s">
        <v>27</v>
      </c>
      <c r="M85" t="s">
        <v>13</v>
      </c>
      <c r="N85" t="s">
        <v>23</v>
      </c>
      <c r="O85" t="s">
        <v>18</v>
      </c>
      <c r="P85">
        <v>2</v>
      </c>
    </row>
    <row r="86" spans="1:16" x14ac:dyDescent="0.3">
      <c r="A86">
        <v>3529</v>
      </c>
      <c r="B86">
        <v>43833</v>
      </c>
      <c r="C86">
        <v>26</v>
      </c>
      <c r="D86">
        <v>34503</v>
      </c>
      <c r="E86" t="s">
        <v>47</v>
      </c>
      <c r="F86" t="s">
        <v>22</v>
      </c>
      <c r="G86" t="s">
        <v>31</v>
      </c>
      <c r="H86" t="s">
        <v>24</v>
      </c>
      <c r="I86" t="s">
        <v>9</v>
      </c>
      <c r="J86" t="s">
        <v>20</v>
      </c>
      <c r="K86" t="s">
        <v>11</v>
      </c>
      <c r="L86" t="s">
        <v>27</v>
      </c>
      <c r="M86" t="s">
        <v>35</v>
      </c>
      <c r="N86" t="s">
        <v>23</v>
      </c>
      <c r="O86" t="s">
        <v>18</v>
      </c>
      <c r="P86">
        <v>3</v>
      </c>
    </row>
    <row r="87" spans="1:16" x14ac:dyDescent="0.3">
      <c r="A87">
        <v>3530</v>
      </c>
      <c r="B87">
        <v>43782</v>
      </c>
      <c r="C87">
        <v>26</v>
      </c>
      <c r="D87">
        <v>34136</v>
      </c>
      <c r="E87" t="s">
        <v>39</v>
      </c>
      <c r="F87" t="s">
        <v>15</v>
      </c>
      <c r="G87" t="s">
        <v>17</v>
      </c>
      <c r="H87" t="s">
        <v>24</v>
      </c>
      <c r="I87" t="s">
        <v>9</v>
      </c>
      <c r="J87" t="s">
        <v>25</v>
      </c>
      <c r="K87" t="s">
        <v>26</v>
      </c>
      <c r="L87" t="s">
        <v>27</v>
      </c>
      <c r="M87" t="s">
        <v>35</v>
      </c>
      <c r="N87" t="s">
        <v>37</v>
      </c>
      <c r="O87" t="s">
        <v>18</v>
      </c>
      <c r="P87">
        <v>2</v>
      </c>
    </row>
    <row r="88" spans="1:16" x14ac:dyDescent="0.3">
      <c r="A88">
        <v>3531</v>
      </c>
      <c r="B88">
        <v>45094</v>
      </c>
      <c r="C88">
        <v>80</v>
      </c>
      <c r="D88">
        <v>15844</v>
      </c>
      <c r="E88" t="s">
        <v>39</v>
      </c>
      <c r="F88" t="s">
        <v>22</v>
      </c>
      <c r="G88" t="s">
        <v>40</v>
      </c>
      <c r="H88" t="s">
        <v>24</v>
      </c>
      <c r="I88" t="s">
        <v>9</v>
      </c>
      <c r="J88" t="s">
        <v>25</v>
      </c>
      <c r="K88" t="s">
        <v>11</v>
      </c>
      <c r="L88" t="s">
        <v>27</v>
      </c>
      <c r="M88" t="s">
        <v>54</v>
      </c>
      <c r="N88" t="s">
        <v>37</v>
      </c>
      <c r="O88" t="s">
        <v>18</v>
      </c>
      <c r="P88">
        <v>4</v>
      </c>
    </row>
    <row r="89" spans="1:16" x14ac:dyDescent="0.3">
      <c r="A89">
        <v>3532</v>
      </c>
      <c r="B89">
        <v>44483</v>
      </c>
      <c r="C89">
        <v>55</v>
      </c>
      <c r="D89">
        <v>24438</v>
      </c>
      <c r="E89" t="s">
        <v>43</v>
      </c>
      <c r="F89" t="s">
        <v>15</v>
      </c>
      <c r="G89" t="s">
        <v>17</v>
      </c>
      <c r="H89" t="s">
        <v>24</v>
      </c>
      <c r="I89" t="s">
        <v>9</v>
      </c>
      <c r="J89" t="s">
        <v>20</v>
      </c>
      <c r="K89" t="s">
        <v>26</v>
      </c>
      <c r="L89" t="s">
        <v>53</v>
      </c>
      <c r="M89" t="s">
        <v>61</v>
      </c>
      <c r="N89" t="s">
        <v>37</v>
      </c>
      <c r="O89" t="s">
        <v>18</v>
      </c>
      <c r="P89">
        <v>2</v>
      </c>
    </row>
    <row r="90" spans="1:16" x14ac:dyDescent="0.3">
      <c r="A90">
        <v>3533</v>
      </c>
      <c r="B90">
        <v>44348</v>
      </c>
      <c r="C90">
        <v>55</v>
      </c>
      <c r="D90">
        <v>24423</v>
      </c>
      <c r="E90" t="s">
        <v>29</v>
      </c>
      <c r="F90" t="s">
        <v>22</v>
      </c>
      <c r="G90" t="s">
        <v>34</v>
      </c>
      <c r="H90" t="s">
        <v>24</v>
      </c>
      <c r="I90" t="s">
        <v>9</v>
      </c>
      <c r="J90" t="s">
        <v>10</v>
      </c>
      <c r="K90" t="s">
        <v>26</v>
      </c>
      <c r="L90" t="s">
        <v>27</v>
      </c>
      <c r="M90" t="s">
        <v>28</v>
      </c>
      <c r="N90" t="s">
        <v>16</v>
      </c>
      <c r="O90" t="s">
        <v>18</v>
      </c>
      <c r="P90">
        <v>5</v>
      </c>
    </row>
    <row r="91" spans="1:16" x14ac:dyDescent="0.3">
      <c r="A91">
        <v>3534</v>
      </c>
      <c r="B91">
        <v>43357</v>
      </c>
      <c r="C91">
        <v>59</v>
      </c>
      <c r="D91">
        <v>21778</v>
      </c>
      <c r="E91" t="s">
        <v>51</v>
      </c>
      <c r="F91" t="s">
        <v>15</v>
      </c>
      <c r="G91" t="s">
        <v>31</v>
      </c>
      <c r="H91" t="s">
        <v>24</v>
      </c>
      <c r="I91" t="s">
        <v>9</v>
      </c>
      <c r="J91" t="s">
        <v>25</v>
      </c>
      <c r="K91" t="s">
        <v>19</v>
      </c>
      <c r="L91" t="s">
        <v>27</v>
      </c>
      <c r="M91" t="s">
        <v>42</v>
      </c>
      <c r="N91" t="s">
        <v>46</v>
      </c>
      <c r="O91" t="s">
        <v>18</v>
      </c>
      <c r="P91">
        <v>3</v>
      </c>
    </row>
    <row r="92" spans="1:16" x14ac:dyDescent="0.3">
      <c r="A92">
        <v>3535</v>
      </c>
      <c r="B92">
        <v>43445</v>
      </c>
      <c r="C92">
        <v>24</v>
      </c>
      <c r="D92">
        <v>34367</v>
      </c>
      <c r="E92" t="s">
        <v>51</v>
      </c>
      <c r="F92" t="s">
        <v>15</v>
      </c>
      <c r="G92" t="s">
        <v>31</v>
      </c>
      <c r="H92" t="s">
        <v>24</v>
      </c>
      <c r="I92" t="s">
        <v>9</v>
      </c>
      <c r="J92" t="s">
        <v>25</v>
      </c>
      <c r="K92" t="s">
        <v>19</v>
      </c>
      <c r="L92" t="s">
        <v>27</v>
      </c>
      <c r="M92" t="s">
        <v>55</v>
      </c>
      <c r="N92" t="s">
        <v>37</v>
      </c>
      <c r="O92" t="s">
        <v>18</v>
      </c>
      <c r="P92">
        <v>5</v>
      </c>
    </row>
    <row r="93" spans="1:16" x14ac:dyDescent="0.3">
      <c r="A93">
        <v>3536</v>
      </c>
      <c r="B93">
        <v>44779</v>
      </c>
      <c r="C93">
        <v>33</v>
      </c>
      <c r="D93">
        <v>32510</v>
      </c>
      <c r="E93" t="s">
        <v>48</v>
      </c>
      <c r="F93" t="s">
        <v>15</v>
      </c>
      <c r="G93" t="s">
        <v>31</v>
      </c>
      <c r="H93" t="s">
        <v>24</v>
      </c>
      <c r="I93" t="s">
        <v>9</v>
      </c>
      <c r="J93" t="s">
        <v>10</v>
      </c>
      <c r="K93" t="s">
        <v>11</v>
      </c>
      <c r="L93" t="s">
        <v>27</v>
      </c>
      <c r="M93" t="s">
        <v>28</v>
      </c>
      <c r="N93" t="s">
        <v>37</v>
      </c>
      <c r="O93" t="s">
        <v>18</v>
      </c>
      <c r="P93">
        <v>2</v>
      </c>
    </row>
    <row r="94" spans="1:16" x14ac:dyDescent="0.3">
      <c r="A94">
        <v>3539</v>
      </c>
      <c r="B94">
        <v>43807</v>
      </c>
      <c r="C94">
        <v>36</v>
      </c>
      <c r="D94">
        <v>30647</v>
      </c>
      <c r="E94" t="s">
        <v>50</v>
      </c>
      <c r="F94" t="s">
        <v>22</v>
      </c>
      <c r="G94" t="s">
        <v>31</v>
      </c>
      <c r="H94" t="s">
        <v>24</v>
      </c>
      <c r="I94" t="s">
        <v>9</v>
      </c>
      <c r="J94" t="s">
        <v>25</v>
      </c>
      <c r="K94" t="s">
        <v>11</v>
      </c>
      <c r="L94" t="s">
        <v>27</v>
      </c>
      <c r="M94" t="s">
        <v>32</v>
      </c>
      <c r="N94" t="s">
        <v>23</v>
      </c>
      <c r="O94" t="s">
        <v>18</v>
      </c>
      <c r="P94">
        <v>3</v>
      </c>
    </row>
    <row r="95" spans="1:16" x14ac:dyDescent="0.3">
      <c r="A95">
        <v>3540</v>
      </c>
      <c r="B95">
        <v>43902</v>
      </c>
      <c r="C95">
        <v>37</v>
      </c>
      <c r="D95">
        <v>30476</v>
      </c>
      <c r="E95" t="s">
        <v>50</v>
      </c>
      <c r="F95" t="s">
        <v>22</v>
      </c>
      <c r="G95" t="s">
        <v>17</v>
      </c>
      <c r="H95" t="s">
        <v>24</v>
      </c>
      <c r="I95" t="s">
        <v>9</v>
      </c>
      <c r="J95" t="s">
        <v>25</v>
      </c>
      <c r="K95" t="s">
        <v>26</v>
      </c>
      <c r="L95" t="s">
        <v>27</v>
      </c>
      <c r="M95" t="s">
        <v>49</v>
      </c>
      <c r="N95" t="s">
        <v>16</v>
      </c>
      <c r="O95" t="s">
        <v>41</v>
      </c>
      <c r="P95">
        <v>2</v>
      </c>
    </row>
    <row r="96" spans="1:16" x14ac:dyDescent="0.3">
      <c r="A96">
        <v>3541</v>
      </c>
      <c r="B96">
        <v>43927</v>
      </c>
      <c r="C96">
        <v>29</v>
      </c>
      <c r="D96">
        <v>33538</v>
      </c>
      <c r="E96" t="s">
        <v>47</v>
      </c>
      <c r="F96" t="s">
        <v>22</v>
      </c>
      <c r="G96" t="s">
        <v>34</v>
      </c>
      <c r="H96" t="s">
        <v>24</v>
      </c>
      <c r="I96" t="s">
        <v>9</v>
      </c>
      <c r="J96" t="s">
        <v>25</v>
      </c>
      <c r="K96" t="s">
        <v>26</v>
      </c>
      <c r="L96" t="s">
        <v>27</v>
      </c>
      <c r="M96" t="s">
        <v>35</v>
      </c>
      <c r="N96" t="s">
        <v>37</v>
      </c>
      <c r="O96" t="s">
        <v>41</v>
      </c>
      <c r="P96">
        <v>3</v>
      </c>
    </row>
    <row r="97" spans="1:16" x14ac:dyDescent="0.3">
      <c r="A97">
        <v>3542</v>
      </c>
      <c r="B97">
        <v>45031</v>
      </c>
      <c r="C97">
        <v>75</v>
      </c>
      <c r="D97">
        <v>17593</v>
      </c>
      <c r="E97" t="s">
        <v>47</v>
      </c>
      <c r="F97" t="s">
        <v>22</v>
      </c>
      <c r="G97" t="s">
        <v>34</v>
      </c>
      <c r="H97" t="s">
        <v>24</v>
      </c>
      <c r="I97" t="s">
        <v>9</v>
      </c>
      <c r="J97" t="s">
        <v>10</v>
      </c>
      <c r="K97" t="s">
        <v>19</v>
      </c>
      <c r="L97" t="s">
        <v>27</v>
      </c>
      <c r="M97" t="s">
        <v>35</v>
      </c>
      <c r="N97" t="s">
        <v>16</v>
      </c>
      <c r="O97" t="s">
        <v>56</v>
      </c>
      <c r="P97">
        <v>3</v>
      </c>
    </row>
    <row r="98" spans="1:16" x14ac:dyDescent="0.3">
      <c r="A98">
        <v>3543</v>
      </c>
      <c r="B98">
        <v>44145</v>
      </c>
      <c r="C98">
        <v>39</v>
      </c>
      <c r="D98">
        <v>29635</v>
      </c>
      <c r="E98" t="s">
        <v>39</v>
      </c>
      <c r="F98" t="s">
        <v>15</v>
      </c>
      <c r="G98" t="s">
        <v>31</v>
      </c>
      <c r="H98" t="s">
        <v>24</v>
      </c>
      <c r="I98" t="s">
        <v>9</v>
      </c>
      <c r="J98" t="s">
        <v>20</v>
      </c>
      <c r="K98" t="s">
        <v>19</v>
      </c>
      <c r="L98" t="s">
        <v>27</v>
      </c>
      <c r="M98" t="s">
        <v>32</v>
      </c>
      <c r="N98" t="s">
        <v>37</v>
      </c>
      <c r="O98" t="s">
        <v>18</v>
      </c>
      <c r="P98">
        <v>5</v>
      </c>
    </row>
    <row r="99" spans="1:16" x14ac:dyDescent="0.3">
      <c r="A99">
        <v>3544</v>
      </c>
      <c r="B99">
        <v>45106</v>
      </c>
      <c r="C99">
        <v>23</v>
      </c>
      <c r="D99">
        <v>36785</v>
      </c>
      <c r="E99" t="s">
        <v>39</v>
      </c>
      <c r="F99" t="s">
        <v>22</v>
      </c>
      <c r="G99" t="s">
        <v>31</v>
      </c>
      <c r="H99" t="s">
        <v>24</v>
      </c>
      <c r="I99" t="s">
        <v>9</v>
      </c>
      <c r="J99" t="s">
        <v>10</v>
      </c>
      <c r="K99" t="s">
        <v>19</v>
      </c>
      <c r="L99" t="s">
        <v>27</v>
      </c>
      <c r="M99" t="s">
        <v>21</v>
      </c>
      <c r="N99" t="s">
        <v>46</v>
      </c>
      <c r="O99" t="s">
        <v>18</v>
      </c>
      <c r="P99">
        <v>5</v>
      </c>
    </row>
    <row r="100" spans="1:16" x14ac:dyDescent="0.3">
      <c r="A100">
        <v>3545</v>
      </c>
      <c r="B100">
        <v>44627</v>
      </c>
      <c r="C100">
        <v>79</v>
      </c>
      <c r="D100">
        <v>15734</v>
      </c>
      <c r="E100" t="s">
        <v>43</v>
      </c>
      <c r="F100" t="s">
        <v>15</v>
      </c>
      <c r="G100" t="s">
        <v>17</v>
      </c>
      <c r="H100" t="s">
        <v>24</v>
      </c>
      <c r="I100" t="s">
        <v>9</v>
      </c>
      <c r="J100" t="s">
        <v>25</v>
      </c>
      <c r="K100" t="s">
        <v>11</v>
      </c>
      <c r="L100" t="s">
        <v>53</v>
      </c>
      <c r="M100" t="s">
        <v>35</v>
      </c>
      <c r="N100" t="s">
        <v>37</v>
      </c>
      <c r="O100" t="s">
        <v>18</v>
      </c>
      <c r="P100">
        <v>5</v>
      </c>
    </row>
    <row r="101" spans="1:16" x14ac:dyDescent="0.3">
      <c r="A101">
        <v>3546</v>
      </c>
      <c r="B101">
        <v>44408</v>
      </c>
      <c r="C101">
        <v>41</v>
      </c>
      <c r="D101">
        <v>29416</v>
      </c>
      <c r="E101" t="s">
        <v>29</v>
      </c>
      <c r="F101" t="s">
        <v>22</v>
      </c>
      <c r="G101" t="s">
        <v>17</v>
      </c>
      <c r="H101" t="s">
        <v>24</v>
      </c>
      <c r="I101" t="s">
        <v>9</v>
      </c>
      <c r="J101" t="s">
        <v>25</v>
      </c>
      <c r="K101" t="s">
        <v>26</v>
      </c>
      <c r="L101" t="s">
        <v>27</v>
      </c>
      <c r="M101" t="s">
        <v>32</v>
      </c>
      <c r="N101" t="s">
        <v>23</v>
      </c>
      <c r="O101" t="s">
        <v>41</v>
      </c>
      <c r="P101">
        <v>5</v>
      </c>
    </row>
    <row r="102" spans="1:16" x14ac:dyDescent="0.3">
      <c r="A102">
        <v>3547</v>
      </c>
      <c r="B102">
        <v>44581</v>
      </c>
      <c r="C102">
        <v>75</v>
      </c>
      <c r="D102">
        <v>17251</v>
      </c>
      <c r="E102" t="s">
        <v>51</v>
      </c>
      <c r="F102" t="s">
        <v>15</v>
      </c>
      <c r="G102" t="s">
        <v>34</v>
      </c>
      <c r="H102" t="s">
        <v>24</v>
      </c>
      <c r="I102" t="s">
        <v>9</v>
      </c>
      <c r="J102" t="s">
        <v>10</v>
      </c>
      <c r="K102" t="s">
        <v>26</v>
      </c>
      <c r="L102" t="s">
        <v>27</v>
      </c>
      <c r="M102" t="s">
        <v>57</v>
      </c>
      <c r="N102" t="s">
        <v>30</v>
      </c>
      <c r="O102" t="s">
        <v>56</v>
      </c>
      <c r="P102">
        <v>4</v>
      </c>
    </row>
    <row r="103" spans="1:16" x14ac:dyDescent="0.3">
      <c r="A103">
        <v>3548</v>
      </c>
      <c r="B103">
        <v>44388</v>
      </c>
      <c r="C103">
        <v>57</v>
      </c>
      <c r="D103">
        <v>23401</v>
      </c>
      <c r="E103" t="s">
        <v>51</v>
      </c>
      <c r="F103" t="s">
        <v>15</v>
      </c>
      <c r="G103" t="s">
        <v>31</v>
      </c>
      <c r="H103" t="s">
        <v>24</v>
      </c>
      <c r="I103" t="s">
        <v>9</v>
      </c>
      <c r="J103" t="s">
        <v>20</v>
      </c>
      <c r="K103" t="s">
        <v>19</v>
      </c>
      <c r="L103" t="s">
        <v>27</v>
      </c>
      <c r="M103" t="s">
        <v>32</v>
      </c>
      <c r="N103" t="s">
        <v>16</v>
      </c>
      <c r="O103" t="s">
        <v>18</v>
      </c>
      <c r="P103">
        <v>5</v>
      </c>
    </row>
    <row r="104" spans="1:16" x14ac:dyDescent="0.3">
      <c r="A104">
        <v>3549</v>
      </c>
      <c r="B104">
        <v>43388</v>
      </c>
      <c r="C104">
        <v>63</v>
      </c>
      <c r="D104">
        <v>20165</v>
      </c>
      <c r="E104" t="s">
        <v>48</v>
      </c>
      <c r="F104" t="s">
        <v>15</v>
      </c>
      <c r="G104" t="s">
        <v>40</v>
      </c>
      <c r="H104" t="s">
        <v>24</v>
      </c>
      <c r="I104" t="s">
        <v>9</v>
      </c>
      <c r="J104" t="s">
        <v>25</v>
      </c>
      <c r="K104" t="s">
        <v>11</v>
      </c>
      <c r="L104" t="s">
        <v>27</v>
      </c>
      <c r="M104" t="s">
        <v>35</v>
      </c>
      <c r="N104" t="s">
        <v>37</v>
      </c>
      <c r="O104" t="s">
        <v>18</v>
      </c>
      <c r="P104">
        <v>4</v>
      </c>
    </row>
    <row r="105" spans="1:16" x14ac:dyDescent="0.3">
      <c r="A105">
        <v>3551</v>
      </c>
      <c r="B105">
        <v>43323</v>
      </c>
      <c r="C105">
        <v>64</v>
      </c>
      <c r="D105">
        <v>19909</v>
      </c>
      <c r="E105" t="s">
        <v>45</v>
      </c>
      <c r="F105" t="s">
        <v>22</v>
      </c>
      <c r="G105" t="s">
        <v>34</v>
      </c>
      <c r="H105" t="s">
        <v>24</v>
      </c>
      <c r="I105" t="s">
        <v>9</v>
      </c>
      <c r="J105" t="s">
        <v>20</v>
      </c>
      <c r="K105" t="s">
        <v>11</v>
      </c>
      <c r="L105" t="s">
        <v>27</v>
      </c>
      <c r="M105" t="s">
        <v>42</v>
      </c>
      <c r="N105" t="s">
        <v>37</v>
      </c>
      <c r="O105" t="s">
        <v>56</v>
      </c>
      <c r="P105">
        <v>4</v>
      </c>
    </row>
    <row r="106" spans="1:16" x14ac:dyDescent="0.3">
      <c r="A106">
        <v>3552</v>
      </c>
      <c r="B106">
        <v>43877</v>
      </c>
      <c r="C106">
        <v>78</v>
      </c>
      <c r="D106">
        <v>15564</v>
      </c>
      <c r="E106" t="s">
        <v>50</v>
      </c>
      <c r="F106" t="s">
        <v>22</v>
      </c>
      <c r="G106" t="s">
        <v>31</v>
      </c>
      <c r="H106" t="s">
        <v>24</v>
      </c>
      <c r="I106" t="s">
        <v>9</v>
      </c>
      <c r="J106" t="s">
        <v>25</v>
      </c>
      <c r="K106" t="s">
        <v>26</v>
      </c>
      <c r="L106" t="s">
        <v>27</v>
      </c>
      <c r="M106" t="s">
        <v>35</v>
      </c>
      <c r="N106" t="s">
        <v>16</v>
      </c>
      <c r="O106" t="s">
        <v>56</v>
      </c>
      <c r="P106">
        <v>4</v>
      </c>
    </row>
    <row r="107" spans="1:16" x14ac:dyDescent="0.3">
      <c r="A107">
        <v>3553</v>
      </c>
      <c r="B107">
        <v>43850</v>
      </c>
      <c r="C107">
        <v>71</v>
      </c>
      <c r="D107">
        <v>18025</v>
      </c>
      <c r="E107" t="s">
        <v>50</v>
      </c>
      <c r="F107" t="s">
        <v>22</v>
      </c>
      <c r="G107" t="s">
        <v>40</v>
      </c>
      <c r="H107" t="s">
        <v>24</v>
      </c>
      <c r="I107" t="s">
        <v>9</v>
      </c>
      <c r="J107" t="s">
        <v>10</v>
      </c>
      <c r="K107" t="s">
        <v>11</v>
      </c>
      <c r="L107" t="s">
        <v>27</v>
      </c>
      <c r="M107" t="s">
        <v>35</v>
      </c>
      <c r="N107" t="s">
        <v>37</v>
      </c>
      <c r="O107" t="s">
        <v>18</v>
      </c>
      <c r="P107">
        <v>2</v>
      </c>
    </row>
    <row r="108" spans="1:16" x14ac:dyDescent="0.3">
      <c r="A108">
        <v>3554</v>
      </c>
      <c r="B108">
        <v>43555</v>
      </c>
      <c r="C108">
        <v>61</v>
      </c>
      <c r="D108">
        <v>21472</v>
      </c>
      <c r="E108" t="s">
        <v>47</v>
      </c>
      <c r="F108" t="s">
        <v>22</v>
      </c>
      <c r="G108" t="s">
        <v>17</v>
      </c>
      <c r="H108" t="s">
        <v>24</v>
      </c>
      <c r="I108" t="s">
        <v>9</v>
      </c>
      <c r="J108" t="s">
        <v>20</v>
      </c>
      <c r="K108" t="s">
        <v>11</v>
      </c>
      <c r="L108" t="s">
        <v>27</v>
      </c>
      <c r="M108" t="s">
        <v>62</v>
      </c>
      <c r="N108" t="s">
        <v>46</v>
      </c>
      <c r="O108" t="s">
        <v>18</v>
      </c>
      <c r="P108">
        <v>1</v>
      </c>
    </row>
    <row r="109" spans="1:16" x14ac:dyDescent="0.3">
      <c r="A109">
        <v>3555</v>
      </c>
      <c r="B109">
        <v>44932</v>
      </c>
      <c r="C109">
        <v>35</v>
      </c>
      <c r="D109">
        <v>32153</v>
      </c>
      <c r="E109" t="s">
        <v>47</v>
      </c>
      <c r="F109" t="s">
        <v>15</v>
      </c>
      <c r="G109" t="s">
        <v>17</v>
      </c>
      <c r="H109" t="s">
        <v>24</v>
      </c>
      <c r="I109" t="s">
        <v>9</v>
      </c>
      <c r="J109" t="s">
        <v>25</v>
      </c>
      <c r="K109" t="s">
        <v>11</v>
      </c>
      <c r="L109" t="s">
        <v>27</v>
      </c>
      <c r="M109" t="s">
        <v>38</v>
      </c>
      <c r="N109" t="s">
        <v>23</v>
      </c>
      <c r="O109" t="s">
        <v>18</v>
      </c>
      <c r="P109">
        <v>5</v>
      </c>
    </row>
    <row r="110" spans="1:16" x14ac:dyDescent="0.3">
      <c r="A110">
        <v>3556</v>
      </c>
      <c r="B110">
        <v>43664</v>
      </c>
      <c r="C110">
        <v>58</v>
      </c>
      <c r="D110">
        <v>22448</v>
      </c>
      <c r="E110" t="s">
        <v>39</v>
      </c>
      <c r="F110" t="s">
        <v>22</v>
      </c>
      <c r="G110" t="s">
        <v>31</v>
      </c>
      <c r="H110" t="s">
        <v>24</v>
      </c>
      <c r="I110" t="s">
        <v>9</v>
      </c>
      <c r="J110" t="s">
        <v>25</v>
      </c>
      <c r="K110" t="s">
        <v>26</v>
      </c>
      <c r="L110" t="s">
        <v>27</v>
      </c>
      <c r="M110" t="s">
        <v>59</v>
      </c>
      <c r="N110" t="s">
        <v>16</v>
      </c>
      <c r="O110" t="s">
        <v>41</v>
      </c>
      <c r="P110">
        <v>2</v>
      </c>
    </row>
    <row r="111" spans="1:16" x14ac:dyDescent="0.3">
      <c r="A111">
        <v>3557</v>
      </c>
      <c r="B111">
        <v>43509</v>
      </c>
      <c r="C111">
        <v>59</v>
      </c>
      <c r="D111">
        <v>22073</v>
      </c>
      <c r="E111" t="s">
        <v>14</v>
      </c>
      <c r="F111" t="s">
        <v>22</v>
      </c>
      <c r="G111" t="s">
        <v>31</v>
      </c>
      <c r="H111" t="s">
        <v>24</v>
      </c>
      <c r="I111" t="s">
        <v>9</v>
      </c>
      <c r="J111" t="s">
        <v>20</v>
      </c>
      <c r="K111" t="s">
        <v>11</v>
      </c>
      <c r="L111" t="s">
        <v>27</v>
      </c>
      <c r="M111" t="s">
        <v>35</v>
      </c>
      <c r="N111" t="s">
        <v>30</v>
      </c>
      <c r="O111" t="s">
        <v>18</v>
      </c>
      <c r="P111">
        <v>5</v>
      </c>
    </row>
    <row r="112" spans="1:16" x14ac:dyDescent="0.3">
      <c r="A112">
        <v>3558</v>
      </c>
      <c r="B112">
        <v>43464</v>
      </c>
      <c r="C112">
        <v>59</v>
      </c>
      <c r="D112">
        <v>21705</v>
      </c>
      <c r="E112" t="s">
        <v>14</v>
      </c>
      <c r="F112" t="s">
        <v>15</v>
      </c>
      <c r="G112" t="s">
        <v>31</v>
      </c>
      <c r="H112" t="s">
        <v>8</v>
      </c>
      <c r="I112" t="s">
        <v>9</v>
      </c>
      <c r="J112" t="s">
        <v>20</v>
      </c>
      <c r="K112" t="s">
        <v>19</v>
      </c>
      <c r="L112" t="s">
        <v>12</v>
      </c>
      <c r="M112" t="s">
        <v>63</v>
      </c>
      <c r="N112" t="s">
        <v>37</v>
      </c>
      <c r="O112" t="s">
        <v>18</v>
      </c>
      <c r="P112">
        <v>5</v>
      </c>
    </row>
    <row r="113" spans="1:16" x14ac:dyDescent="0.3">
      <c r="A113">
        <v>3559</v>
      </c>
      <c r="B113">
        <v>43775</v>
      </c>
      <c r="C113">
        <v>28</v>
      </c>
      <c r="D113">
        <v>33560</v>
      </c>
      <c r="E113" t="s">
        <v>14</v>
      </c>
      <c r="F113" t="s">
        <v>22</v>
      </c>
      <c r="G113" t="s">
        <v>31</v>
      </c>
      <c r="H113" t="s">
        <v>8</v>
      </c>
      <c r="I113" t="s">
        <v>9</v>
      </c>
      <c r="J113" t="s">
        <v>20</v>
      </c>
      <c r="K113" t="s">
        <v>11</v>
      </c>
      <c r="L113" t="s">
        <v>12</v>
      </c>
      <c r="M113" t="s">
        <v>35</v>
      </c>
      <c r="N113" t="s">
        <v>16</v>
      </c>
      <c r="O113" t="s">
        <v>18</v>
      </c>
      <c r="P113">
        <v>2</v>
      </c>
    </row>
    <row r="114" spans="1:16" x14ac:dyDescent="0.3">
      <c r="A114">
        <v>3560</v>
      </c>
      <c r="B114">
        <v>44713</v>
      </c>
      <c r="C114">
        <v>68</v>
      </c>
      <c r="D114">
        <v>19773</v>
      </c>
      <c r="E114" t="s">
        <v>14</v>
      </c>
      <c r="F114" t="s">
        <v>15</v>
      </c>
      <c r="G114" t="s">
        <v>40</v>
      </c>
      <c r="H114" t="s">
        <v>8</v>
      </c>
      <c r="I114" t="s">
        <v>9</v>
      </c>
      <c r="J114" t="s">
        <v>10</v>
      </c>
      <c r="K114" t="s">
        <v>11</v>
      </c>
      <c r="L114" t="s">
        <v>12</v>
      </c>
      <c r="M114" t="s">
        <v>35</v>
      </c>
      <c r="N114" t="s">
        <v>46</v>
      </c>
      <c r="O114" t="s">
        <v>41</v>
      </c>
      <c r="P114">
        <v>4</v>
      </c>
    </row>
    <row r="115" spans="1:16" x14ac:dyDescent="0.3">
      <c r="A115">
        <v>3561</v>
      </c>
      <c r="B115">
        <v>45013</v>
      </c>
      <c r="C115">
        <v>64</v>
      </c>
      <c r="D115">
        <v>21581</v>
      </c>
      <c r="E115" t="s">
        <v>14</v>
      </c>
      <c r="F115" t="s">
        <v>15</v>
      </c>
      <c r="G115" t="s">
        <v>34</v>
      </c>
      <c r="H115" t="s">
        <v>64</v>
      </c>
      <c r="I115" t="s">
        <v>9</v>
      </c>
      <c r="J115" t="s">
        <v>20</v>
      </c>
      <c r="K115" t="s">
        <v>11</v>
      </c>
      <c r="L115" t="s">
        <v>12</v>
      </c>
      <c r="M115" t="s">
        <v>32</v>
      </c>
      <c r="N115" t="s">
        <v>16</v>
      </c>
      <c r="O115" t="s">
        <v>18</v>
      </c>
      <c r="P115">
        <v>1</v>
      </c>
    </row>
    <row r="116" spans="1:16" x14ac:dyDescent="0.3">
      <c r="A116">
        <v>3563</v>
      </c>
      <c r="B116">
        <v>43466</v>
      </c>
      <c r="C116">
        <v>73</v>
      </c>
      <c r="D116">
        <v>17090</v>
      </c>
      <c r="E116" t="s">
        <v>14</v>
      </c>
      <c r="F116" t="s">
        <v>22</v>
      </c>
      <c r="G116" t="s">
        <v>17</v>
      </c>
      <c r="H116" t="s">
        <v>8</v>
      </c>
      <c r="I116" t="s">
        <v>9</v>
      </c>
      <c r="J116" t="s">
        <v>10</v>
      </c>
      <c r="K116" t="s">
        <v>26</v>
      </c>
      <c r="L116" t="s">
        <v>12</v>
      </c>
      <c r="M116" t="s">
        <v>35</v>
      </c>
      <c r="N116" t="s">
        <v>37</v>
      </c>
      <c r="O116" t="s">
        <v>65</v>
      </c>
      <c r="P116">
        <v>1</v>
      </c>
    </row>
    <row r="117" spans="1:16" x14ac:dyDescent="0.3">
      <c r="A117">
        <v>3564</v>
      </c>
      <c r="B117">
        <v>43491</v>
      </c>
      <c r="C117">
        <v>25</v>
      </c>
      <c r="D117">
        <v>34645</v>
      </c>
      <c r="E117" t="s">
        <v>14</v>
      </c>
      <c r="F117" t="s">
        <v>15</v>
      </c>
      <c r="G117" t="s">
        <v>40</v>
      </c>
      <c r="H117" t="s">
        <v>64</v>
      </c>
      <c r="I117" t="s">
        <v>66</v>
      </c>
      <c r="J117" t="s">
        <v>25</v>
      </c>
      <c r="K117" t="s">
        <v>11</v>
      </c>
      <c r="L117" t="s">
        <v>12</v>
      </c>
      <c r="M117" t="s">
        <v>21</v>
      </c>
      <c r="N117" t="s">
        <v>16</v>
      </c>
      <c r="O117" t="s">
        <v>18</v>
      </c>
      <c r="P117">
        <v>4</v>
      </c>
    </row>
    <row r="118" spans="1:16" x14ac:dyDescent="0.3">
      <c r="A118">
        <v>3565</v>
      </c>
      <c r="B118">
        <v>44450</v>
      </c>
      <c r="C118">
        <v>53</v>
      </c>
      <c r="D118">
        <v>24968</v>
      </c>
      <c r="E118" t="s">
        <v>14</v>
      </c>
      <c r="F118" t="s">
        <v>22</v>
      </c>
      <c r="G118" t="s">
        <v>40</v>
      </c>
      <c r="H118" t="s">
        <v>8</v>
      </c>
      <c r="I118" t="s">
        <v>9</v>
      </c>
      <c r="J118" t="s">
        <v>20</v>
      </c>
      <c r="K118" t="s">
        <v>26</v>
      </c>
      <c r="L118" t="s">
        <v>12</v>
      </c>
      <c r="M118" t="s">
        <v>32</v>
      </c>
      <c r="N118" t="s">
        <v>30</v>
      </c>
      <c r="O118" t="s">
        <v>18</v>
      </c>
      <c r="P118">
        <v>5</v>
      </c>
    </row>
    <row r="119" spans="1:16" x14ac:dyDescent="0.3">
      <c r="A119">
        <v>3566</v>
      </c>
      <c r="B119">
        <v>44465</v>
      </c>
      <c r="C119">
        <v>58</v>
      </c>
      <c r="D119">
        <v>23289</v>
      </c>
      <c r="E119" t="s">
        <v>14</v>
      </c>
      <c r="F119" t="s">
        <v>22</v>
      </c>
      <c r="G119" t="s">
        <v>31</v>
      </c>
      <c r="H119" t="s">
        <v>64</v>
      </c>
      <c r="I119" t="s">
        <v>9</v>
      </c>
      <c r="J119" t="s">
        <v>20</v>
      </c>
      <c r="K119" t="s">
        <v>19</v>
      </c>
      <c r="L119" t="s">
        <v>12</v>
      </c>
      <c r="M119" t="s">
        <v>21</v>
      </c>
      <c r="N119" t="s">
        <v>37</v>
      </c>
      <c r="O119" t="s">
        <v>18</v>
      </c>
      <c r="P119">
        <v>2</v>
      </c>
    </row>
    <row r="120" spans="1:16" x14ac:dyDescent="0.3">
      <c r="A120">
        <v>3567</v>
      </c>
      <c r="B120">
        <v>44989</v>
      </c>
      <c r="C120">
        <v>57</v>
      </c>
      <c r="D120">
        <v>24352</v>
      </c>
      <c r="E120" t="s">
        <v>14</v>
      </c>
      <c r="F120" t="s">
        <v>22</v>
      </c>
      <c r="G120" t="s">
        <v>17</v>
      </c>
      <c r="H120" t="s">
        <v>8</v>
      </c>
      <c r="I120" t="s">
        <v>9</v>
      </c>
      <c r="J120" t="s">
        <v>25</v>
      </c>
      <c r="K120" t="s">
        <v>11</v>
      </c>
      <c r="L120" t="s">
        <v>12</v>
      </c>
      <c r="M120" t="s">
        <v>28</v>
      </c>
      <c r="N120" t="s">
        <v>46</v>
      </c>
      <c r="O120" t="s">
        <v>18</v>
      </c>
      <c r="P120">
        <v>3</v>
      </c>
    </row>
    <row r="121" spans="1:16" x14ac:dyDescent="0.3">
      <c r="A121">
        <v>3568</v>
      </c>
      <c r="B121">
        <v>45118</v>
      </c>
      <c r="C121">
        <v>49</v>
      </c>
      <c r="D121">
        <v>27371</v>
      </c>
      <c r="E121" t="s">
        <v>14</v>
      </c>
      <c r="F121" t="s">
        <v>22</v>
      </c>
      <c r="G121" t="s">
        <v>40</v>
      </c>
      <c r="H121" t="s">
        <v>8</v>
      </c>
      <c r="I121" t="s">
        <v>66</v>
      </c>
      <c r="J121" t="s">
        <v>25</v>
      </c>
      <c r="K121" t="s">
        <v>26</v>
      </c>
      <c r="L121" t="s">
        <v>12</v>
      </c>
      <c r="M121" t="s">
        <v>35</v>
      </c>
      <c r="N121" t="s">
        <v>46</v>
      </c>
      <c r="O121" t="s">
        <v>18</v>
      </c>
      <c r="P121">
        <v>4</v>
      </c>
    </row>
    <row r="122" spans="1:16" x14ac:dyDescent="0.3">
      <c r="A122">
        <v>3569</v>
      </c>
      <c r="B122">
        <v>43505</v>
      </c>
      <c r="C122">
        <v>24</v>
      </c>
      <c r="D122">
        <v>34899</v>
      </c>
      <c r="E122" t="s">
        <v>14</v>
      </c>
      <c r="F122" t="s">
        <v>15</v>
      </c>
      <c r="G122" t="s">
        <v>40</v>
      </c>
      <c r="H122" t="s">
        <v>8</v>
      </c>
      <c r="I122" t="s">
        <v>9</v>
      </c>
      <c r="J122" t="s">
        <v>20</v>
      </c>
      <c r="K122" t="s">
        <v>26</v>
      </c>
      <c r="L122" t="s">
        <v>12</v>
      </c>
      <c r="M122" t="s">
        <v>60</v>
      </c>
      <c r="N122" t="s">
        <v>23</v>
      </c>
      <c r="O122" t="s">
        <v>18</v>
      </c>
      <c r="P122">
        <v>3</v>
      </c>
    </row>
    <row r="123" spans="1:16" x14ac:dyDescent="0.3">
      <c r="A123">
        <v>3570</v>
      </c>
      <c r="B123">
        <v>43574</v>
      </c>
      <c r="C123">
        <v>45</v>
      </c>
      <c r="D123">
        <v>27356</v>
      </c>
      <c r="E123" t="s">
        <v>14</v>
      </c>
      <c r="F123" t="s">
        <v>15</v>
      </c>
      <c r="G123" t="s">
        <v>34</v>
      </c>
      <c r="H123" t="s">
        <v>64</v>
      </c>
      <c r="I123" t="s">
        <v>66</v>
      </c>
      <c r="J123" t="s">
        <v>25</v>
      </c>
      <c r="K123" t="s">
        <v>26</v>
      </c>
      <c r="L123" t="s">
        <v>12</v>
      </c>
      <c r="M123" t="s">
        <v>55</v>
      </c>
      <c r="N123" t="s">
        <v>46</v>
      </c>
      <c r="O123" t="s">
        <v>18</v>
      </c>
      <c r="P123">
        <v>5</v>
      </c>
    </row>
    <row r="124" spans="1:16" x14ac:dyDescent="0.3">
      <c r="A124">
        <v>3571</v>
      </c>
      <c r="B124">
        <v>44749</v>
      </c>
      <c r="C124">
        <v>75</v>
      </c>
      <c r="D124">
        <v>17408</v>
      </c>
      <c r="E124" t="s">
        <v>14</v>
      </c>
      <c r="F124" t="s">
        <v>15</v>
      </c>
      <c r="G124" t="s">
        <v>17</v>
      </c>
      <c r="H124" t="s">
        <v>8</v>
      </c>
      <c r="I124" t="s">
        <v>66</v>
      </c>
      <c r="J124" t="s">
        <v>20</v>
      </c>
      <c r="K124" t="s">
        <v>11</v>
      </c>
      <c r="L124" t="s">
        <v>12</v>
      </c>
      <c r="M124" t="s">
        <v>35</v>
      </c>
      <c r="N124" t="s">
        <v>16</v>
      </c>
      <c r="O124" t="s">
        <v>18</v>
      </c>
      <c r="P124">
        <v>1</v>
      </c>
    </row>
    <row r="125" spans="1:16" x14ac:dyDescent="0.3">
      <c r="A125">
        <v>3572</v>
      </c>
      <c r="B125">
        <v>43536</v>
      </c>
      <c r="C125">
        <v>25</v>
      </c>
      <c r="D125">
        <v>34492</v>
      </c>
      <c r="E125" t="s">
        <v>14</v>
      </c>
      <c r="F125" t="s">
        <v>22</v>
      </c>
      <c r="G125" t="s">
        <v>31</v>
      </c>
      <c r="H125" t="s">
        <v>8</v>
      </c>
      <c r="I125" t="s">
        <v>9</v>
      </c>
      <c r="J125" t="s">
        <v>10</v>
      </c>
      <c r="K125" t="s">
        <v>19</v>
      </c>
      <c r="L125" t="s">
        <v>12</v>
      </c>
      <c r="M125" t="s">
        <v>55</v>
      </c>
      <c r="N125" t="s">
        <v>16</v>
      </c>
      <c r="O125" t="s">
        <v>18</v>
      </c>
      <c r="P125">
        <v>5</v>
      </c>
    </row>
    <row r="126" spans="1:16" x14ac:dyDescent="0.3">
      <c r="A126">
        <v>3573</v>
      </c>
      <c r="B126">
        <v>43899</v>
      </c>
      <c r="C126">
        <v>37</v>
      </c>
      <c r="D126">
        <v>30615</v>
      </c>
      <c r="E126" t="s">
        <v>14</v>
      </c>
      <c r="F126" t="s">
        <v>15</v>
      </c>
      <c r="G126" t="s">
        <v>40</v>
      </c>
      <c r="H126" t="s">
        <v>8</v>
      </c>
      <c r="I126" t="s">
        <v>9</v>
      </c>
      <c r="J126" t="s">
        <v>10</v>
      </c>
      <c r="K126" t="s">
        <v>26</v>
      </c>
      <c r="L126" t="s">
        <v>12</v>
      </c>
      <c r="M126" t="s">
        <v>35</v>
      </c>
      <c r="N126" t="s">
        <v>46</v>
      </c>
      <c r="O126" t="s">
        <v>41</v>
      </c>
      <c r="P126">
        <v>1</v>
      </c>
    </row>
    <row r="127" spans="1:16" x14ac:dyDescent="0.3">
      <c r="A127">
        <v>3575</v>
      </c>
      <c r="B127">
        <v>44314</v>
      </c>
      <c r="C127">
        <v>34</v>
      </c>
      <c r="D127">
        <v>31841</v>
      </c>
      <c r="E127" t="s">
        <v>14</v>
      </c>
      <c r="F127" t="s">
        <v>22</v>
      </c>
      <c r="G127" t="s">
        <v>31</v>
      </c>
      <c r="H127" t="s">
        <v>8</v>
      </c>
      <c r="I127" t="s">
        <v>66</v>
      </c>
      <c r="J127" t="s">
        <v>20</v>
      </c>
      <c r="K127" t="s">
        <v>19</v>
      </c>
      <c r="L127" t="s">
        <v>12</v>
      </c>
      <c r="M127" t="s">
        <v>35</v>
      </c>
      <c r="N127" t="s">
        <v>23</v>
      </c>
      <c r="O127" t="s">
        <v>41</v>
      </c>
      <c r="P127">
        <v>1</v>
      </c>
    </row>
    <row r="128" spans="1:16" x14ac:dyDescent="0.3">
      <c r="A128">
        <v>3576</v>
      </c>
      <c r="B128">
        <v>44398</v>
      </c>
      <c r="C128">
        <v>29</v>
      </c>
      <c r="D128">
        <v>33720</v>
      </c>
      <c r="E128" t="s">
        <v>14</v>
      </c>
      <c r="F128" t="s">
        <v>15</v>
      </c>
      <c r="G128" t="s">
        <v>31</v>
      </c>
      <c r="H128" t="s">
        <v>64</v>
      </c>
      <c r="I128" t="s">
        <v>9</v>
      </c>
      <c r="J128" t="s">
        <v>25</v>
      </c>
      <c r="K128" t="s">
        <v>26</v>
      </c>
      <c r="L128" t="s">
        <v>12</v>
      </c>
      <c r="M128" t="s">
        <v>42</v>
      </c>
      <c r="N128" t="s">
        <v>46</v>
      </c>
      <c r="O128" t="s">
        <v>41</v>
      </c>
      <c r="P128">
        <v>3</v>
      </c>
    </row>
    <row r="129" spans="1:16" x14ac:dyDescent="0.3">
      <c r="A129">
        <v>3577</v>
      </c>
      <c r="B129">
        <v>43723</v>
      </c>
      <c r="C129">
        <v>62</v>
      </c>
      <c r="D129">
        <v>20970</v>
      </c>
      <c r="E129" t="s">
        <v>14</v>
      </c>
      <c r="F129" t="s">
        <v>22</v>
      </c>
      <c r="G129" t="s">
        <v>17</v>
      </c>
      <c r="H129" t="s">
        <v>8</v>
      </c>
      <c r="I129" t="s">
        <v>9</v>
      </c>
      <c r="J129" t="s">
        <v>20</v>
      </c>
      <c r="K129" t="s">
        <v>11</v>
      </c>
      <c r="L129" t="s">
        <v>12</v>
      </c>
      <c r="M129" t="s">
        <v>35</v>
      </c>
      <c r="N129" t="s">
        <v>16</v>
      </c>
      <c r="O129" t="s">
        <v>18</v>
      </c>
      <c r="P129">
        <v>4</v>
      </c>
    </row>
    <row r="130" spans="1:16" x14ac:dyDescent="0.3">
      <c r="A130">
        <v>3578</v>
      </c>
      <c r="B130">
        <v>43589</v>
      </c>
      <c r="C130">
        <v>62</v>
      </c>
      <c r="D130">
        <v>20970</v>
      </c>
      <c r="E130" t="s">
        <v>14</v>
      </c>
      <c r="F130" t="s">
        <v>22</v>
      </c>
      <c r="G130" t="s">
        <v>34</v>
      </c>
      <c r="H130" t="s">
        <v>8</v>
      </c>
      <c r="I130" t="s">
        <v>9</v>
      </c>
      <c r="J130" t="s">
        <v>25</v>
      </c>
      <c r="K130" t="s">
        <v>19</v>
      </c>
      <c r="L130" t="s">
        <v>12</v>
      </c>
      <c r="M130" t="s">
        <v>35</v>
      </c>
      <c r="N130" t="s">
        <v>23</v>
      </c>
      <c r="O130" t="s">
        <v>41</v>
      </c>
      <c r="P130">
        <v>4</v>
      </c>
    </row>
    <row r="131" spans="1:16" x14ac:dyDescent="0.3">
      <c r="A131">
        <v>3579</v>
      </c>
      <c r="B131">
        <v>44336</v>
      </c>
      <c r="C131">
        <v>75</v>
      </c>
      <c r="D131">
        <v>17121</v>
      </c>
      <c r="E131" t="s">
        <v>14</v>
      </c>
      <c r="F131" t="s">
        <v>15</v>
      </c>
      <c r="G131" t="s">
        <v>17</v>
      </c>
      <c r="H131" t="s">
        <v>64</v>
      </c>
      <c r="I131" t="s">
        <v>9</v>
      </c>
      <c r="J131" t="s">
        <v>25</v>
      </c>
      <c r="K131" t="s">
        <v>11</v>
      </c>
      <c r="L131" t="s">
        <v>12</v>
      </c>
      <c r="M131" t="s">
        <v>35</v>
      </c>
      <c r="N131" t="s">
        <v>46</v>
      </c>
      <c r="O131" t="s">
        <v>56</v>
      </c>
      <c r="P131">
        <v>3</v>
      </c>
    </row>
    <row r="132" spans="1:16" x14ac:dyDescent="0.3">
      <c r="A132">
        <v>3580</v>
      </c>
      <c r="B132">
        <v>43815</v>
      </c>
      <c r="C132">
        <v>77</v>
      </c>
      <c r="D132">
        <v>15452</v>
      </c>
      <c r="E132" t="s">
        <v>14</v>
      </c>
      <c r="F132" t="s">
        <v>22</v>
      </c>
      <c r="G132" t="s">
        <v>34</v>
      </c>
      <c r="H132" t="s">
        <v>8</v>
      </c>
      <c r="I132" t="s">
        <v>9</v>
      </c>
      <c r="J132" t="s">
        <v>25</v>
      </c>
      <c r="K132" t="s">
        <v>11</v>
      </c>
      <c r="L132" t="s">
        <v>12</v>
      </c>
      <c r="M132" t="s">
        <v>35</v>
      </c>
      <c r="N132" t="s">
        <v>30</v>
      </c>
      <c r="O132" t="s">
        <v>18</v>
      </c>
      <c r="P132">
        <v>4</v>
      </c>
    </row>
    <row r="133" spans="1:16" x14ac:dyDescent="0.3">
      <c r="A133">
        <v>3581</v>
      </c>
      <c r="B133">
        <v>44155</v>
      </c>
      <c r="C133">
        <v>77</v>
      </c>
      <c r="D133">
        <v>15773</v>
      </c>
      <c r="E133" t="s">
        <v>14</v>
      </c>
      <c r="F133" t="s">
        <v>22</v>
      </c>
      <c r="G133" t="s">
        <v>40</v>
      </c>
      <c r="H133" t="s">
        <v>8</v>
      </c>
      <c r="I133" t="s">
        <v>9</v>
      </c>
      <c r="J133" t="s">
        <v>25</v>
      </c>
      <c r="K133" t="s">
        <v>19</v>
      </c>
      <c r="L133" t="s">
        <v>12</v>
      </c>
      <c r="M133" t="s">
        <v>59</v>
      </c>
      <c r="N133" t="s">
        <v>30</v>
      </c>
      <c r="O133" t="s">
        <v>18</v>
      </c>
      <c r="P133">
        <v>4</v>
      </c>
    </row>
    <row r="134" spans="1:16" x14ac:dyDescent="0.3">
      <c r="A134">
        <v>3582</v>
      </c>
      <c r="B134">
        <v>44062</v>
      </c>
      <c r="C134">
        <v>52</v>
      </c>
      <c r="D134">
        <v>25059</v>
      </c>
      <c r="E134" t="s">
        <v>14</v>
      </c>
      <c r="F134" t="s">
        <v>22</v>
      </c>
      <c r="G134" t="s">
        <v>17</v>
      </c>
      <c r="H134" t="s">
        <v>8</v>
      </c>
      <c r="I134" t="s">
        <v>9</v>
      </c>
      <c r="J134" t="s">
        <v>20</v>
      </c>
      <c r="K134" t="s">
        <v>26</v>
      </c>
      <c r="L134" t="s">
        <v>12</v>
      </c>
      <c r="M134" t="s">
        <v>63</v>
      </c>
      <c r="N134" t="s">
        <v>46</v>
      </c>
      <c r="O134" t="s">
        <v>18</v>
      </c>
      <c r="P134">
        <v>2</v>
      </c>
    </row>
    <row r="135" spans="1:16" x14ac:dyDescent="0.3">
      <c r="A135">
        <v>3583</v>
      </c>
      <c r="B135">
        <v>44314</v>
      </c>
      <c r="C135">
        <v>63</v>
      </c>
      <c r="D135">
        <v>21509</v>
      </c>
      <c r="E135" t="s">
        <v>14</v>
      </c>
      <c r="F135" t="s">
        <v>15</v>
      </c>
      <c r="G135" t="s">
        <v>34</v>
      </c>
      <c r="H135" t="s">
        <v>8</v>
      </c>
      <c r="I135" t="s">
        <v>9</v>
      </c>
      <c r="J135" t="s">
        <v>25</v>
      </c>
      <c r="K135" t="s">
        <v>11</v>
      </c>
      <c r="L135" t="s">
        <v>12</v>
      </c>
      <c r="M135" t="s">
        <v>35</v>
      </c>
      <c r="N135" t="s">
        <v>16</v>
      </c>
      <c r="O135" t="s">
        <v>56</v>
      </c>
      <c r="P135">
        <v>1</v>
      </c>
    </row>
    <row r="136" spans="1:16" x14ac:dyDescent="0.3">
      <c r="A136">
        <v>3584</v>
      </c>
      <c r="B136">
        <v>44057</v>
      </c>
      <c r="C136">
        <v>33</v>
      </c>
      <c r="D136">
        <v>32088</v>
      </c>
      <c r="E136" t="s">
        <v>14</v>
      </c>
      <c r="F136" t="s">
        <v>15</v>
      </c>
      <c r="G136" t="s">
        <v>34</v>
      </c>
      <c r="H136" t="s">
        <v>8</v>
      </c>
      <c r="I136" t="s">
        <v>9</v>
      </c>
      <c r="J136" t="s">
        <v>10</v>
      </c>
      <c r="K136" t="s">
        <v>11</v>
      </c>
      <c r="L136" t="s">
        <v>12</v>
      </c>
      <c r="M136" t="s">
        <v>35</v>
      </c>
      <c r="N136" t="s">
        <v>30</v>
      </c>
      <c r="O136" t="s">
        <v>18</v>
      </c>
      <c r="P136">
        <v>2</v>
      </c>
    </row>
    <row r="137" spans="1:16" x14ac:dyDescent="0.3">
      <c r="A137">
        <v>3585</v>
      </c>
      <c r="B137">
        <v>44552</v>
      </c>
      <c r="C137">
        <v>29</v>
      </c>
      <c r="D137">
        <v>33801</v>
      </c>
      <c r="E137" t="s">
        <v>14</v>
      </c>
      <c r="F137" t="s">
        <v>15</v>
      </c>
      <c r="G137" t="s">
        <v>40</v>
      </c>
      <c r="H137" t="s">
        <v>8</v>
      </c>
      <c r="I137" t="s">
        <v>9</v>
      </c>
      <c r="J137" t="s">
        <v>25</v>
      </c>
      <c r="K137" t="s">
        <v>19</v>
      </c>
      <c r="L137" t="s">
        <v>12</v>
      </c>
      <c r="M137" t="s">
        <v>63</v>
      </c>
      <c r="N137" t="s">
        <v>37</v>
      </c>
      <c r="O137" t="s">
        <v>18</v>
      </c>
      <c r="P137">
        <v>2</v>
      </c>
    </row>
    <row r="138" spans="1:16" x14ac:dyDescent="0.3">
      <c r="A138">
        <v>3586</v>
      </c>
      <c r="B138">
        <v>43497</v>
      </c>
      <c r="C138">
        <v>19</v>
      </c>
      <c r="D138">
        <v>36887</v>
      </c>
      <c r="E138" t="s">
        <v>14</v>
      </c>
      <c r="F138" t="s">
        <v>15</v>
      </c>
      <c r="G138" t="s">
        <v>31</v>
      </c>
      <c r="H138" t="s">
        <v>8</v>
      </c>
      <c r="I138" t="s">
        <v>9</v>
      </c>
      <c r="J138" t="s">
        <v>20</v>
      </c>
      <c r="K138" t="s">
        <v>26</v>
      </c>
      <c r="L138" t="s">
        <v>12</v>
      </c>
      <c r="M138" t="s">
        <v>62</v>
      </c>
      <c r="N138" t="s">
        <v>23</v>
      </c>
      <c r="O138" t="s">
        <v>18</v>
      </c>
      <c r="P138">
        <v>2</v>
      </c>
    </row>
    <row r="139" spans="1:16" x14ac:dyDescent="0.3">
      <c r="A139">
        <v>3587</v>
      </c>
      <c r="B139">
        <v>44326</v>
      </c>
      <c r="C139">
        <v>44</v>
      </c>
      <c r="D139">
        <v>28484</v>
      </c>
      <c r="E139" t="s">
        <v>14</v>
      </c>
      <c r="F139" t="s">
        <v>22</v>
      </c>
      <c r="G139" t="s">
        <v>40</v>
      </c>
      <c r="H139" t="s">
        <v>8</v>
      </c>
      <c r="I139" t="s">
        <v>9</v>
      </c>
      <c r="J139" t="s">
        <v>25</v>
      </c>
      <c r="K139" t="s">
        <v>26</v>
      </c>
      <c r="L139" t="s">
        <v>12</v>
      </c>
      <c r="M139" t="s">
        <v>38</v>
      </c>
      <c r="N139" t="s">
        <v>30</v>
      </c>
      <c r="O139" t="s">
        <v>18</v>
      </c>
      <c r="P139">
        <v>2</v>
      </c>
    </row>
    <row r="140" spans="1:16" x14ac:dyDescent="0.3">
      <c r="A140">
        <v>3588</v>
      </c>
      <c r="B140">
        <v>43641</v>
      </c>
      <c r="C140">
        <v>47</v>
      </c>
      <c r="D140">
        <v>26366</v>
      </c>
      <c r="E140" t="s">
        <v>14</v>
      </c>
      <c r="F140" t="s">
        <v>22</v>
      </c>
      <c r="G140" t="s">
        <v>17</v>
      </c>
      <c r="H140" t="s">
        <v>8</v>
      </c>
      <c r="I140" t="s">
        <v>9</v>
      </c>
      <c r="J140" t="s">
        <v>25</v>
      </c>
      <c r="K140" t="s">
        <v>11</v>
      </c>
      <c r="L140" t="s">
        <v>12</v>
      </c>
      <c r="M140" t="s">
        <v>58</v>
      </c>
      <c r="N140" t="s">
        <v>37</v>
      </c>
      <c r="O140" t="s">
        <v>18</v>
      </c>
      <c r="P140">
        <v>2</v>
      </c>
    </row>
    <row r="141" spans="1:16" x14ac:dyDescent="0.3">
      <c r="A141">
        <v>3589</v>
      </c>
      <c r="B141">
        <v>43580</v>
      </c>
      <c r="C141">
        <v>68</v>
      </c>
      <c r="D141">
        <v>18842</v>
      </c>
      <c r="E141" t="s">
        <v>14</v>
      </c>
      <c r="F141" t="s">
        <v>22</v>
      </c>
      <c r="G141" t="s">
        <v>31</v>
      </c>
      <c r="H141" t="s">
        <v>8</v>
      </c>
      <c r="I141" t="s">
        <v>9</v>
      </c>
      <c r="J141" t="s">
        <v>10</v>
      </c>
      <c r="K141" t="s">
        <v>26</v>
      </c>
      <c r="L141" t="s">
        <v>12</v>
      </c>
      <c r="M141" t="s">
        <v>35</v>
      </c>
      <c r="N141" t="s">
        <v>16</v>
      </c>
      <c r="O141" t="s">
        <v>18</v>
      </c>
      <c r="P141">
        <v>3</v>
      </c>
    </row>
    <row r="142" spans="1:16" x14ac:dyDescent="0.3">
      <c r="A142">
        <v>3593</v>
      </c>
      <c r="B142">
        <v>43981</v>
      </c>
      <c r="C142">
        <v>71</v>
      </c>
      <c r="D142">
        <v>18213</v>
      </c>
      <c r="E142" t="s">
        <v>14</v>
      </c>
      <c r="F142" t="s">
        <v>22</v>
      </c>
      <c r="G142" t="s">
        <v>34</v>
      </c>
      <c r="H142" t="s">
        <v>8</v>
      </c>
      <c r="I142" t="s">
        <v>9</v>
      </c>
      <c r="J142" t="s">
        <v>10</v>
      </c>
      <c r="K142" t="s">
        <v>19</v>
      </c>
      <c r="L142" t="s">
        <v>12</v>
      </c>
      <c r="M142" t="s">
        <v>32</v>
      </c>
      <c r="N142" t="s">
        <v>46</v>
      </c>
      <c r="O142" t="s">
        <v>18</v>
      </c>
      <c r="P142">
        <v>4</v>
      </c>
    </row>
    <row r="143" spans="1:16" x14ac:dyDescent="0.3">
      <c r="A143">
        <v>3594</v>
      </c>
      <c r="B143">
        <v>43445</v>
      </c>
      <c r="C143">
        <v>50</v>
      </c>
      <c r="D143">
        <v>24911</v>
      </c>
      <c r="E143" t="s">
        <v>14</v>
      </c>
      <c r="F143" t="s">
        <v>22</v>
      </c>
      <c r="G143" t="s">
        <v>34</v>
      </c>
      <c r="H143" t="s">
        <v>8</v>
      </c>
      <c r="I143" t="s">
        <v>9</v>
      </c>
      <c r="J143" t="s">
        <v>20</v>
      </c>
      <c r="K143" t="s">
        <v>26</v>
      </c>
      <c r="L143" t="s">
        <v>12</v>
      </c>
      <c r="M143" t="s">
        <v>35</v>
      </c>
      <c r="N143" t="s">
        <v>37</v>
      </c>
      <c r="O143" t="s">
        <v>56</v>
      </c>
      <c r="P143">
        <v>5</v>
      </c>
    </row>
    <row r="144" spans="1:16" x14ac:dyDescent="0.3">
      <c r="A144">
        <v>3595</v>
      </c>
      <c r="B144">
        <v>44096</v>
      </c>
      <c r="C144">
        <v>68</v>
      </c>
      <c r="D144">
        <v>19055</v>
      </c>
      <c r="E144" t="s">
        <v>14</v>
      </c>
      <c r="F144" t="s">
        <v>22</v>
      </c>
      <c r="G144" t="s">
        <v>40</v>
      </c>
      <c r="H144" t="s">
        <v>8</v>
      </c>
      <c r="I144" t="s">
        <v>9</v>
      </c>
      <c r="J144" t="s">
        <v>10</v>
      </c>
      <c r="K144" t="s">
        <v>19</v>
      </c>
      <c r="L144" t="s">
        <v>12</v>
      </c>
      <c r="M144" t="s">
        <v>42</v>
      </c>
      <c r="N144" t="s">
        <v>30</v>
      </c>
      <c r="O144" t="s">
        <v>18</v>
      </c>
      <c r="P144">
        <v>3</v>
      </c>
    </row>
    <row r="145" spans="1:16" x14ac:dyDescent="0.3">
      <c r="A145">
        <v>3596</v>
      </c>
      <c r="B145">
        <v>43674</v>
      </c>
      <c r="C145">
        <v>37</v>
      </c>
      <c r="D145">
        <v>30151</v>
      </c>
      <c r="E145" t="s">
        <v>14</v>
      </c>
      <c r="F145" t="s">
        <v>22</v>
      </c>
      <c r="G145" t="s">
        <v>31</v>
      </c>
      <c r="H145" t="s">
        <v>8</v>
      </c>
      <c r="I145" t="s">
        <v>9</v>
      </c>
      <c r="J145" t="s">
        <v>20</v>
      </c>
      <c r="K145" t="s">
        <v>11</v>
      </c>
      <c r="L145" t="s">
        <v>12</v>
      </c>
      <c r="M145" t="s">
        <v>49</v>
      </c>
      <c r="N145" t="s">
        <v>30</v>
      </c>
      <c r="O145" t="s">
        <v>56</v>
      </c>
      <c r="P145">
        <v>3</v>
      </c>
    </row>
    <row r="146" spans="1:16" x14ac:dyDescent="0.3">
      <c r="A146">
        <v>3598</v>
      </c>
      <c r="B146">
        <v>43371</v>
      </c>
      <c r="C146">
        <v>68</v>
      </c>
      <c r="D146">
        <v>18542</v>
      </c>
      <c r="E146" t="s">
        <v>14</v>
      </c>
      <c r="F146" t="s">
        <v>15</v>
      </c>
      <c r="G146" t="s">
        <v>34</v>
      </c>
      <c r="H146" t="s">
        <v>64</v>
      </c>
      <c r="I146" t="s">
        <v>66</v>
      </c>
      <c r="J146" t="s">
        <v>20</v>
      </c>
      <c r="K146" t="s">
        <v>19</v>
      </c>
      <c r="L146" t="s">
        <v>12</v>
      </c>
      <c r="M146" t="s">
        <v>57</v>
      </c>
      <c r="N146" t="s">
        <v>30</v>
      </c>
      <c r="O146" t="s">
        <v>56</v>
      </c>
      <c r="P146">
        <v>5</v>
      </c>
    </row>
    <row r="147" spans="1:16" x14ac:dyDescent="0.3">
      <c r="A147">
        <v>3599</v>
      </c>
      <c r="B147">
        <v>43933</v>
      </c>
      <c r="C147">
        <v>70</v>
      </c>
      <c r="D147">
        <v>18353</v>
      </c>
      <c r="E147" t="s">
        <v>14</v>
      </c>
      <c r="F147" t="s">
        <v>15</v>
      </c>
      <c r="G147" t="s">
        <v>40</v>
      </c>
      <c r="H147" t="s">
        <v>64</v>
      </c>
      <c r="I147" t="s">
        <v>9</v>
      </c>
      <c r="J147" t="s">
        <v>20</v>
      </c>
      <c r="K147" t="s">
        <v>19</v>
      </c>
      <c r="L147" t="s">
        <v>12</v>
      </c>
      <c r="M147" t="s">
        <v>32</v>
      </c>
      <c r="N147" t="s">
        <v>16</v>
      </c>
      <c r="O147" t="s">
        <v>18</v>
      </c>
      <c r="P147">
        <v>4</v>
      </c>
    </row>
    <row r="148" spans="1:16" x14ac:dyDescent="0.3">
      <c r="A148">
        <v>3600</v>
      </c>
      <c r="B148">
        <v>44866</v>
      </c>
      <c r="C148">
        <v>73</v>
      </c>
      <c r="D148">
        <v>18178</v>
      </c>
      <c r="E148" t="s">
        <v>14</v>
      </c>
      <c r="F148" t="s">
        <v>15</v>
      </c>
      <c r="G148" t="s">
        <v>31</v>
      </c>
      <c r="H148" t="s">
        <v>64</v>
      </c>
      <c r="I148" t="s">
        <v>9</v>
      </c>
      <c r="J148" t="s">
        <v>10</v>
      </c>
      <c r="K148" t="s">
        <v>26</v>
      </c>
      <c r="L148" t="s">
        <v>12</v>
      </c>
      <c r="M148" t="s">
        <v>35</v>
      </c>
      <c r="N148" t="s">
        <v>16</v>
      </c>
      <c r="O148" t="s">
        <v>18</v>
      </c>
      <c r="P148">
        <v>1</v>
      </c>
    </row>
    <row r="149" spans="1:16" x14ac:dyDescent="0.3">
      <c r="A149">
        <v>3601</v>
      </c>
      <c r="B149">
        <v>44886</v>
      </c>
      <c r="C149">
        <v>56</v>
      </c>
      <c r="D149">
        <v>24310</v>
      </c>
      <c r="E149" t="s">
        <v>14</v>
      </c>
      <c r="F149" t="s">
        <v>15</v>
      </c>
      <c r="G149" t="s">
        <v>34</v>
      </c>
      <c r="H149" t="s">
        <v>64</v>
      </c>
      <c r="I149" t="s">
        <v>9</v>
      </c>
      <c r="J149" t="s">
        <v>20</v>
      </c>
      <c r="K149" t="s">
        <v>26</v>
      </c>
      <c r="L149" t="s">
        <v>12</v>
      </c>
      <c r="M149" t="s">
        <v>59</v>
      </c>
      <c r="N149" t="s">
        <v>16</v>
      </c>
      <c r="O149" t="s">
        <v>18</v>
      </c>
      <c r="P149">
        <v>1</v>
      </c>
    </row>
    <row r="150" spans="1:16" x14ac:dyDescent="0.3">
      <c r="A150">
        <v>3602</v>
      </c>
      <c r="B150">
        <v>44297</v>
      </c>
      <c r="C150">
        <v>27</v>
      </c>
      <c r="D150">
        <v>34619</v>
      </c>
      <c r="E150" t="s">
        <v>14</v>
      </c>
      <c r="F150" t="s">
        <v>15</v>
      </c>
      <c r="G150" t="s">
        <v>34</v>
      </c>
      <c r="H150" t="s">
        <v>64</v>
      </c>
      <c r="I150" t="s">
        <v>66</v>
      </c>
      <c r="J150" t="s">
        <v>25</v>
      </c>
      <c r="K150" t="s">
        <v>26</v>
      </c>
      <c r="L150" t="s">
        <v>12</v>
      </c>
      <c r="M150" t="s">
        <v>42</v>
      </c>
      <c r="N150" t="s">
        <v>23</v>
      </c>
      <c r="O150" t="s">
        <v>18</v>
      </c>
      <c r="P150">
        <v>3</v>
      </c>
    </row>
    <row r="151" spans="1:16" x14ac:dyDescent="0.3">
      <c r="A151">
        <v>3603</v>
      </c>
      <c r="B151">
        <v>43433</v>
      </c>
      <c r="C151">
        <v>41</v>
      </c>
      <c r="D151">
        <v>28171</v>
      </c>
      <c r="E151" t="s">
        <v>14</v>
      </c>
      <c r="F151" t="s">
        <v>15</v>
      </c>
      <c r="G151" t="s">
        <v>34</v>
      </c>
      <c r="H151" t="s">
        <v>64</v>
      </c>
      <c r="I151" t="s">
        <v>66</v>
      </c>
      <c r="J151" t="s">
        <v>25</v>
      </c>
      <c r="K151" t="s">
        <v>19</v>
      </c>
      <c r="L151" t="s">
        <v>12</v>
      </c>
      <c r="M151" t="s">
        <v>35</v>
      </c>
      <c r="N151" t="s">
        <v>16</v>
      </c>
      <c r="O151" t="s">
        <v>18</v>
      </c>
      <c r="P151">
        <v>1</v>
      </c>
    </row>
    <row r="152" spans="1:16" x14ac:dyDescent="0.3">
      <c r="A152">
        <v>3604</v>
      </c>
      <c r="B152">
        <v>43481</v>
      </c>
      <c r="C152">
        <v>71</v>
      </c>
      <c r="D152">
        <v>17601</v>
      </c>
      <c r="E152" t="s">
        <v>14</v>
      </c>
      <c r="F152" t="s">
        <v>15</v>
      </c>
      <c r="G152" t="s">
        <v>40</v>
      </c>
      <c r="H152" t="s">
        <v>64</v>
      </c>
      <c r="I152" t="s">
        <v>9</v>
      </c>
      <c r="J152" t="s">
        <v>20</v>
      </c>
      <c r="K152" t="s">
        <v>26</v>
      </c>
      <c r="L152" t="s">
        <v>12</v>
      </c>
      <c r="M152" t="s">
        <v>35</v>
      </c>
      <c r="N152" t="s">
        <v>23</v>
      </c>
      <c r="O152" t="s">
        <v>56</v>
      </c>
      <c r="P152">
        <v>5</v>
      </c>
    </row>
    <row r="153" spans="1:16" x14ac:dyDescent="0.3">
      <c r="A153">
        <v>3605</v>
      </c>
      <c r="B153">
        <v>43726</v>
      </c>
      <c r="C153">
        <v>76</v>
      </c>
      <c r="D153">
        <v>15943</v>
      </c>
      <c r="E153" t="s">
        <v>14</v>
      </c>
      <c r="F153" t="s">
        <v>22</v>
      </c>
      <c r="G153" t="s">
        <v>40</v>
      </c>
      <c r="H153" t="s">
        <v>8</v>
      </c>
      <c r="I153" t="s">
        <v>9</v>
      </c>
      <c r="J153" t="s">
        <v>10</v>
      </c>
      <c r="K153" t="s">
        <v>11</v>
      </c>
      <c r="L153" t="s">
        <v>12</v>
      </c>
      <c r="M153" t="s">
        <v>42</v>
      </c>
      <c r="N153" t="s">
        <v>30</v>
      </c>
      <c r="O153" t="s">
        <v>18</v>
      </c>
      <c r="P153">
        <v>1</v>
      </c>
    </row>
    <row r="154" spans="1:16" x14ac:dyDescent="0.3">
      <c r="A154">
        <v>3606</v>
      </c>
      <c r="B154">
        <v>43678</v>
      </c>
      <c r="C154">
        <v>54</v>
      </c>
      <c r="D154">
        <v>23814</v>
      </c>
      <c r="E154" t="s">
        <v>14</v>
      </c>
      <c r="F154" t="s">
        <v>22</v>
      </c>
      <c r="G154" t="s">
        <v>40</v>
      </c>
      <c r="H154" t="s">
        <v>8</v>
      </c>
      <c r="I154" t="s">
        <v>66</v>
      </c>
      <c r="J154" t="s">
        <v>20</v>
      </c>
      <c r="K154" t="s">
        <v>11</v>
      </c>
      <c r="L154" t="s">
        <v>12</v>
      </c>
      <c r="M154" t="s">
        <v>67</v>
      </c>
      <c r="N154" t="s">
        <v>30</v>
      </c>
      <c r="O154" t="s">
        <v>18</v>
      </c>
      <c r="P154">
        <v>5</v>
      </c>
    </row>
    <row r="155" spans="1:16" x14ac:dyDescent="0.3">
      <c r="A155">
        <v>3607</v>
      </c>
      <c r="B155">
        <v>43634</v>
      </c>
      <c r="C155">
        <v>43</v>
      </c>
      <c r="D155">
        <v>27975</v>
      </c>
      <c r="E155" t="s">
        <v>14</v>
      </c>
      <c r="F155" t="s">
        <v>22</v>
      </c>
      <c r="G155" t="s">
        <v>34</v>
      </c>
      <c r="H155" t="s">
        <v>8</v>
      </c>
      <c r="I155" t="s">
        <v>9</v>
      </c>
      <c r="J155" t="s">
        <v>25</v>
      </c>
      <c r="K155" t="s">
        <v>19</v>
      </c>
      <c r="L155" t="s">
        <v>12</v>
      </c>
      <c r="M155" t="s">
        <v>54</v>
      </c>
      <c r="N155" t="s">
        <v>30</v>
      </c>
      <c r="O155" t="s">
        <v>18</v>
      </c>
      <c r="P155">
        <v>4</v>
      </c>
    </row>
    <row r="156" spans="1:16" x14ac:dyDescent="0.3">
      <c r="A156">
        <v>3608</v>
      </c>
      <c r="B156">
        <v>43509</v>
      </c>
      <c r="C156">
        <v>40</v>
      </c>
      <c r="D156">
        <v>29042</v>
      </c>
      <c r="E156" t="s">
        <v>14</v>
      </c>
      <c r="F156" t="s">
        <v>22</v>
      </c>
      <c r="G156" t="s">
        <v>34</v>
      </c>
      <c r="H156" t="s">
        <v>8</v>
      </c>
      <c r="I156" t="s">
        <v>9</v>
      </c>
      <c r="J156" t="s">
        <v>25</v>
      </c>
      <c r="K156" t="s">
        <v>11</v>
      </c>
      <c r="L156" t="s">
        <v>12</v>
      </c>
      <c r="M156" t="s">
        <v>35</v>
      </c>
      <c r="N156" t="s">
        <v>30</v>
      </c>
      <c r="O156" t="s">
        <v>18</v>
      </c>
      <c r="P156">
        <v>3</v>
      </c>
    </row>
    <row r="157" spans="1:16" x14ac:dyDescent="0.3">
      <c r="A157">
        <v>3609</v>
      </c>
      <c r="B157">
        <v>44349</v>
      </c>
      <c r="C157">
        <v>28</v>
      </c>
      <c r="D157">
        <v>34129</v>
      </c>
      <c r="E157" t="s">
        <v>14</v>
      </c>
      <c r="F157" t="s">
        <v>15</v>
      </c>
      <c r="G157" t="s">
        <v>17</v>
      </c>
      <c r="H157" t="s">
        <v>8</v>
      </c>
      <c r="I157" t="s">
        <v>9</v>
      </c>
      <c r="J157" t="s">
        <v>10</v>
      </c>
      <c r="K157" t="s">
        <v>26</v>
      </c>
      <c r="L157" t="s">
        <v>12</v>
      </c>
      <c r="M157" t="s">
        <v>58</v>
      </c>
      <c r="N157" t="s">
        <v>30</v>
      </c>
      <c r="O157" t="s">
        <v>18</v>
      </c>
      <c r="P157">
        <v>2</v>
      </c>
    </row>
    <row r="158" spans="1:16" x14ac:dyDescent="0.3">
      <c r="A158">
        <v>3610</v>
      </c>
      <c r="B158">
        <v>43384</v>
      </c>
      <c r="C158">
        <v>45</v>
      </c>
      <c r="D158">
        <v>26761</v>
      </c>
      <c r="E158" t="s">
        <v>14</v>
      </c>
      <c r="F158" t="s">
        <v>15</v>
      </c>
      <c r="G158" t="s">
        <v>31</v>
      </c>
      <c r="H158" t="s">
        <v>8</v>
      </c>
      <c r="I158" t="s">
        <v>9</v>
      </c>
      <c r="J158" t="s">
        <v>20</v>
      </c>
      <c r="K158" t="s">
        <v>11</v>
      </c>
      <c r="L158" t="s">
        <v>12</v>
      </c>
      <c r="M158" t="s">
        <v>35</v>
      </c>
      <c r="N158" t="s">
        <v>30</v>
      </c>
      <c r="O158" t="s">
        <v>18</v>
      </c>
      <c r="P158">
        <v>5</v>
      </c>
    </row>
    <row r="159" spans="1:16" x14ac:dyDescent="0.3">
      <c r="A159">
        <v>3611</v>
      </c>
      <c r="B159">
        <v>44264</v>
      </c>
      <c r="C159">
        <v>69</v>
      </c>
      <c r="D159">
        <v>19013</v>
      </c>
      <c r="E159" t="s">
        <v>14</v>
      </c>
      <c r="F159" t="s">
        <v>15</v>
      </c>
      <c r="G159" t="s">
        <v>34</v>
      </c>
      <c r="H159" t="s">
        <v>8</v>
      </c>
      <c r="I159" t="s">
        <v>9</v>
      </c>
      <c r="J159" t="s">
        <v>10</v>
      </c>
      <c r="K159" t="s">
        <v>11</v>
      </c>
      <c r="L159" t="s">
        <v>12</v>
      </c>
      <c r="M159" t="s">
        <v>54</v>
      </c>
      <c r="N159" t="s">
        <v>23</v>
      </c>
      <c r="O159" t="s">
        <v>18</v>
      </c>
      <c r="P159">
        <v>3</v>
      </c>
    </row>
    <row r="160" spans="1:16" x14ac:dyDescent="0.3">
      <c r="A160">
        <v>3612</v>
      </c>
      <c r="B160">
        <v>44584</v>
      </c>
      <c r="C160">
        <v>38</v>
      </c>
      <c r="D160">
        <v>31041</v>
      </c>
      <c r="E160" t="s">
        <v>14</v>
      </c>
      <c r="F160" t="s">
        <v>22</v>
      </c>
      <c r="G160" t="s">
        <v>31</v>
      </c>
      <c r="H160" t="s">
        <v>8</v>
      </c>
      <c r="I160" t="s">
        <v>9</v>
      </c>
      <c r="J160" t="s">
        <v>10</v>
      </c>
      <c r="K160" t="s">
        <v>19</v>
      </c>
      <c r="L160" t="s">
        <v>12</v>
      </c>
      <c r="M160" t="s">
        <v>35</v>
      </c>
      <c r="N160" t="s">
        <v>37</v>
      </c>
      <c r="O160" t="s">
        <v>65</v>
      </c>
      <c r="P160">
        <v>3</v>
      </c>
    </row>
    <row r="161" spans="1:16" x14ac:dyDescent="0.3">
      <c r="A161">
        <v>3613</v>
      </c>
      <c r="B161">
        <v>43520</v>
      </c>
      <c r="C161">
        <v>46</v>
      </c>
      <c r="D161">
        <v>26829</v>
      </c>
      <c r="E161" t="s">
        <v>14</v>
      </c>
      <c r="F161" t="s">
        <v>22</v>
      </c>
      <c r="G161" t="s">
        <v>34</v>
      </c>
      <c r="H161" t="s">
        <v>8</v>
      </c>
      <c r="I161" t="s">
        <v>9</v>
      </c>
      <c r="J161" t="s">
        <v>10</v>
      </c>
      <c r="K161" t="s">
        <v>26</v>
      </c>
      <c r="L161" t="s">
        <v>12</v>
      </c>
      <c r="M161" t="s">
        <v>35</v>
      </c>
      <c r="N161" t="s">
        <v>46</v>
      </c>
      <c r="O161" t="s">
        <v>41</v>
      </c>
      <c r="P161">
        <v>5</v>
      </c>
    </row>
    <row r="162" spans="1:16" x14ac:dyDescent="0.3">
      <c r="A162">
        <v>3614</v>
      </c>
      <c r="B162">
        <v>43838</v>
      </c>
      <c r="C162">
        <v>47</v>
      </c>
      <c r="D162">
        <v>26907</v>
      </c>
      <c r="E162" t="s">
        <v>14</v>
      </c>
      <c r="F162" t="s">
        <v>22</v>
      </c>
      <c r="G162" t="s">
        <v>34</v>
      </c>
      <c r="H162" t="s">
        <v>8</v>
      </c>
      <c r="I162" t="s">
        <v>9</v>
      </c>
      <c r="J162" t="s">
        <v>10</v>
      </c>
      <c r="K162" t="s">
        <v>26</v>
      </c>
      <c r="L162" t="s">
        <v>12</v>
      </c>
      <c r="M162" t="s">
        <v>54</v>
      </c>
      <c r="N162" t="s">
        <v>16</v>
      </c>
      <c r="O162" t="s">
        <v>18</v>
      </c>
      <c r="P162">
        <v>5</v>
      </c>
    </row>
    <row r="163" spans="1:16" x14ac:dyDescent="0.3">
      <c r="A163">
        <v>3616</v>
      </c>
      <c r="B163">
        <v>44604</v>
      </c>
      <c r="C163">
        <v>41</v>
      </c>
      <c r="D163">
        <v>29669</v>
      </c>
      <c r="E163" t="s">
        <v>14</v>
      </c>
      <c r="F163" t="s">
        <v>15</v>
      </c>
      <c r="G163" t="s">
        <v>34</v>
      </c>
      <c r="H163" t="s">
        <v>8</v>
      </c>
      <c r="I163" t="s">
        <v>9</v>
      </c>
      <c r="J163" t="s">
        <v>10</v>
      </c>
      <c r="K163" t="s">
        <v>11</v>
      </c>
      <c r="L163" t="s">
        <v>12</v>
      </c>
      <c r="M163" t="s">
        <v>32</v>
      </c>
      <c r="N163" t="s">
        <v>23</v>
      </c>
      <c r="O163" t="s">
        <v>18</v>
      </c>
      <c r="P163">
        <v>1</v>
      </c>
    </row>
    <row r="164" spans="1:16" x14ac:dyDescent="0.3">
      <c r="A164">
        <v>3617</v>
      </c>
      <c r="B164">
        <v>44958</v>
      </c>
      <c r="C164">
        <v>62</v>
      </c>
      <c r="D164">
        <v>22330</v>
      </c>
      <c r="E164" t="s">
        <v>14</v>
      </c>
      <c r="F164" t="s">
        <v>15</v>
      </c>
      <c r="G164" t="s">
        <v>34</v>
      </c>
      <c r="H164" t="s">
        <v>8</v>
      </c>
      <c r="I164" t="s">
        <v>9</v>
      </c>
      <c r="J164" t="s">
        <v>25</v>
      </c>
      <c r="K164" t="s">
        <v>11</v>
      </c>
      <c r="L164" t="s">
        <v>12</v>
      </c>
      <c r="M164" t="s">
        <v>59</v>
      </c>
      <c r="N164" t="s">
        <v>23</v>
      </c>
      <c r="O164" t="s">
        <v>18</v>
      </c>
      <c r="P164">
        <v>3</v>
      </c>
    </row>
    <row r="165" spans="1:16" x14ac:dyDescent="0.3">
      <c r="A165">
        <v>3618</v>
      </c>
      <c r="B165">
        <v>44961</v>
      </c>
      <c r="C165">
        <v>79</v>
      </c>
      <c r="D165">
        <v>16197</v>
      </c>
      <c r="E165" t="s">
        <v>14</v>
      </c>
      <c r="F165" t="s">
        <v>22</v>
      </c>
      <c r="G165" t="s">
        <v>34</v>
      </c>
      <c r="H165" t="s">
        <v>8</v>
      </c>
      <c r="I165" t="s">
        <v>9</v>
      </c>
      <c r="J165" t="s">
        <v>20</v>
      </c>
      <c r="K165" t="s">
        <v>26</v>
      </c>
      <c r="L165" t="s">
        <v>12</v>
      </c>
      <c r="M165" t="s">
        <v>49</v>
      </c>
      <c r="N165" t="s">
        <v>37</v>
      </c>
      <c r="O165" t="s">
        <v>18</v>
      </c>
      <c r="P165">
        <v>4</v>
      </c>
    </row>
    <row r="166" spans="1:16" x14ac:dyDescent="0.3">
      <c r="A166">
        <v>3619</v>
      </c>
      <c r="B166">
        <v>45008</v>
      </c>
      <c r="C166">
        <v>39</v>
      </c>
      <c r="D166">
        <v>30758</v>
      </c>
      <c r="E166" t="s">
        <v>14</v>
      </c>
      <c r="F166" t="s">
        <v>22</v>
      </c>
      <c r="G166" t="s">
        <v>34</v>
      </c>
      <c r="H166" t="s">
        <v>8</v>
      </c>
      <c r="I166" t="s">
        <v>9</v>
      </c>
      <c r="J166" t="s">
        <v>25</v>
      </c>
      <c r="K166" t="s">
        <v>19</v>
      </c>
      <c r="L166" t="s">
        <v>12</v>
      </c>
      <c r="M166" t="s">
        <v>32</v>
      </c>
      <c r="N166" t="s">
        <v>46</v>
      </c>
      <c r="O166" t="s">
        <v>18</v>
      </c>
      <c r="P166">
        <v>5</v>
      </c>
    </row>
    <row r="167" spans="1:16" x14ac:dyDescent="0.3">
      <c r="A167">
        <v>3620</v>
      </c>
      <c r="B167">
        <v>45007</v>
      </c>
      <c r="C167">
        <v>29</v>
      </c>
      <c r="D167">
        <v>34619</v>
      </c>
      <c r="E167" t="s">
        <v>14</v>
      </c>
      <c r="F167" t="s">
        <v>22</v>
      </c>
      <c r="G167" t="s">
        <v>34</v>
      </c>
      <c r="H167" t="s">
        <v>8</v>
      </c>
      <c r="I167" t="s">
        <v>9</v>
      </c>
      <c r="J167" t="s">
        <v>20</v>
      </c>
      <c r="K167" t="s">
        <v>19</v>
      </c>
      <c r="L167" t="s">
        <v>12</v>
      </c>
      <c r="M167" t="s">
        <v>38</v>
      </c>
      <c r="N167" t="s">
        <v>23</v>
      </c>
      <c r="O167" t="s">
        <v>18</v>
      </c>
      <c r="P167">
        <v>2</v>
      </c>
    </row>
    <row r="168" spans="1:16" x14ac:dyDescent="0.3">
      <c r="A168">
        <v>3621</v>
      </c>
      <c r="B168">
        <v>43432</v>
      </c>
      <c r="C168">
        <v>21</v>
      </c>
      <c r="D168">
        <v>35682</v>
      </c>
      <c r="E168" t="s">
        <v>14</v>
      </c>
      <c r="F168" t="s">
        <v>22</v>
      </c>
      <c r="G168" t="s">
        <v>34</v>
      </c>
      <c r="H168" t="s">
        <v>8</v>
      </c>
      <c r="I168" t="s">
        <v>9</v>
      </c>
      <c r="J168" t="s">
        <v>10</v>
      </c>
      <c r="K168" t="s">
        <v>19</v>
      </c>
      <c r="L168" t="s">
        <v>12</v>
      </c>
      <c r="M168" t="s">
        <v>61</v>
      </c>
      <c r="N168" t="s">
        <v>16</v>
      </c>
      <c r="O168" t="s">
        <v>18</v>
      </c>
      <c r="P168">
        <v>3</v>
      </c>
    </row>
    <row r="169" spans="1:16" x14ac:dyDescent="0.3">
      <c r="A169">
        <v>3622</v>
      </c>
      <c r="B169">
        <v>44021</v>
      </c>
      <c r="C169">
        <v>25</v>
      </c>
      <c r="D169">
        <v>34988</v>
      </c>
      <c r="E169" t="s">
        <v>14</v>
      </c>
      <c r="F169" t="s">
        <v>15</v>
      </c>
      <c r="G169" t="s">
        <v>40</v>
      </c>
      <c r="H169" t="s">
        <v>64</v>
      </c>
      <c r="I169" t="s">
        <v>9</v>
      </c>
      <c r="J169" t="s">
        <v>20</v>
      </c>
      <c r="K169" t="s">
        <v>19</v>
      </c>
      <c r="L169" t="s">
        <v>12</v>
      </c>
      <c r="M169" t="s">
        <v>35</v>
      </c>
      <c r="N169" t="s">
        <v>23</v>
      </c>
      <c r="O169" t="s">
        <v>18</v>
      </c>
      <c r="P169">
        <v>1</v>
      </c>
    </row>
    <row r="170" spans="1:16" x14ac:dyDescent="0.3">
      <c r="A170">
        <v>3623</v>
      </c>
      <c r="B170">
        <v>43507</v>
      </c>
      <c r="C170">
        <v>61</v>
      </c>
      <c r="D170">
        <v>21300</v>
      </c>
      <c r="E170" t="s">
        <v>14</v>
      </c>
      <c r="F170" t="s">
        <v>15</v>
      </c>
      <c r="G170" t="s">
        <v>40</v>
      </c>
      <c r="H170" t="s">
        <v>64</v>
      </c>
      <c r="I170" t="s">
        <v>9</v>
      </c>
      <c r="J170" t="s">
        <v>20</v>
      </c>
      <c r="K170" t="s">
        <v>19</v>
      </c>
      <c r="L170" t="s">
        <v>12</v>
      </c>
      <c r="M170" t="s">
        <v>42</v>
      </c>
      <c r="N170" t="s">
        <v>46</v>
      </c>
      <c r="O170" t="s">
        <v>18</v>
      </c>
      <c r="P170">
        <v>2</v>
      </c>
    </row>
    <row r="171" spans="1:16" x14ac:dyDescent="0.3">
      <c r="A171">
        <v>3624</v>
      </c>
      <c r="B171">
        <v>43839</v>
      </c>
      <c r="C171">
        <v>24</v>
      </c>
      <c r="D171">
        <v>35099</v>
      </c>
      <c r="E171" t="s">
        <v>14</v>
      </c>
      <c r="F171" t="s">
        <v>15</v>
      </c>
      <c r="G171" t="s">
        <v>34</v>
      </c>
      <c r="H171" t="s">
        <v>64</v>
      </c>
      <c r="I171" t="s">
        <v>9</v>
      </c>
      <c r="J171" t="s">
        <v>20</v>
      </c>
      <c r="K171" t="s">
        <v>26</v>
      </c>
      <c r="L171" t="s">
        <v>12</v>
      </c>
      <c r="M171" t="s">
        <v>68</v>
      </c>
      <c r="N171" t="s">
        <v>46</v>
      </c>
      <c r="O171" t="s">
        <v>18</v>
      </c>
      <c r="P171">
        <v>2</v>
      </c>
    </row>
    <row r="172" spans="1:16" x14ac:dyDescent="0.3">
      <c r="A172">
        <v>3625</v>
      </c>
      <c r="B172">
        <v>44511</v>
      </c>
      <c r="C172">
        <v>46</v>
      </c>
      <c r="D172">
        <v>27742</v>
      </c>
      <c r="E172" t="s">
        <v>14</v>
      </c>
      <c r="F172" t="s">
        <v>15</v>
      </c>
      <c r="G172" t="s">
        <v>31</v>
      </c>
      <c r="H172" t="s">
        <v>64</v>
      </c>
      <c r="I172" t="s">
        <v>66</v>
      </c>
      <c r="J172" t="s">
        <v>10</v>
      </c>
      <c r="K172" t="s">
        <v>26</v>
      </c>
      <c r="L172" t="s">
        <v>12</v>
      </c>
      <c r="M172" t="s">
        <v>42</v>
      </c>
      <c r="N172" t="s">
        <v>46</v>
      </c>
      <c r="O172" t="s">
        <v>18</v>
      </c>
      <c r="P172">
        <v>2</v>
      </c>
    </row>
    <row r="173" spans="1:16" x14ac:dyDescent="0.3">
      <c r="A173">
        <v>3626</v>
      </c>
      <c r="B173">
        <v>44331</v>
      </c>
      <c r="C173">
        <v>28</v>
      </c>
      <c r="D173">
        <v>34270</v>
      </c>
      <c r="E173" t="s">
        <v>14</v>
      </c>
      <c r="F173" t="s">
        <v>15</v>
      </c>
      <c r="G173" t="s">
        <v>31</v>
      </c>
      <c r="H173" t="s">
        <v>64</v>
      </c>
      <c r="I173" t="s">
        <v>9</v>
      </c>
      <c r="J173" t="s">
        <v>25</v>
      </c>
      <c r="K173" t="s">
        <v>26</v>
      </c>
      <c r="L173" t="s">
        <v>12</v>
      </c>
      <c r="M173" t="s">
        <v>35</v>
      </c>
      <c r="N173" t="s">
        <v>46</v>
      </c>
      <c r="O173" t="s">
        <v>18</v>
      </c>
      <c r="P173">
        <v>5</v>
      </c>
    </row>
    <row r="174" spans="1:16" x14ac:dyDescent="0.3">
      <c r="A174">
        <v>3627</v>
      </c>
      <c r="B174">
        <v>43698</v>
      </c>
      <c r="C174">
        <v>52</v>
      </c>
      <c r="D174">
        <v>24526</v>
      </c>
      <c r="E174" t="s">
        <v>14</v>
      </c>
      <c r="F174" t="s">
        <v>15</v>
      </c>
      <c r="G174" t="s">
        <v>34</v>
      </c>
      <c r="H174" t="s">
        <v>64</v>
      </c>
      <c r="I174" t="s">
        <v>66</v>
      </c>
      <c r="J174" t="s">
        <v>10</v>
      </c>
      <c r="K174" t="s">
        <v>11</v>
      </c>
      <c r="L174" t="s">
        <v>12</v>
      </c>
      <c r="M174" t="s">
        <v>35</v>
      </c>
      <c r="N174" t="s">
        <v>37</v>
      </c>
      <c r="O174" t="s">
        <v>18</v>
      </c>
      <c r="P174">
        <v>1</v>
      </c>
    </row>
    <row r="175" spans="1:16" x14ac:dyDescent="0.3">
      <c r="A175">
        <v>3628</v>
      </c>
      <c r="B175">
        <v>44092</v>
      </c>
      <c r="C175">
        <v>74</v>
      </c>
      <c r="D175">
        <v>16829</v>
      </c>
      <c r="E175" t="s">
        <v>14</v>
      </c>
      <c r="F175" t="s">
        <v>15</v>
      </c>
      <c r="G175" t="s">
        <v>34</v>
      </c>
      <c r="H175" t="s">
        <v>64</v>
      </c>
      <c r="I175" t="s">
        <v>9</v>
      </c>
      <c r="J175" t="s">
        <v>10</v>
      </c>
      <c r="K175" t="s">
        <v>26</v>
      </c>
      <c r="L175" t="s">
        <v>12</v>
      </c>
      <c r="M175" t="s">
        <v>42</v>
      </c>
      <c r="N175" t="s">
        <v>23</v>
      </c>
      <c r="O175" t="s">
        <v>18</v>
      </c>
      <c r="P175">
        <v>3</v>
      </c>
    </row>
    <row r="176" spans="1:16" x14ac:dyDescent="0.3">
      <c r="A176">
        <v>3629</v>
      </c>
      <c r="B176">
        <v>44800</v>
      </c>
      <c r="C176">
        <v>39</v>
      </c>
      <c r="D176">
        <v>30646</v>
      </c>
      <c r="E176" t="s">
        <v>14</v>
      </c>
      <c r="F176" t="s">
        <v>22</v>
      </c>
      <c r="G176" t="s">
        <v>40</v>
      </c>
      <c r="H176" t="s">
        <v>8</v>
      </c>
      <c r="I176" t="s">
        <v>66</v>
      </c>
      <c r="J176" t="s">
        <v>10</v>
      </c>
      <c r="K176" t="s">
        <v>26</v>
      </c>
      <c r="L176" t="s">
        <v>12</v>
      </c>
      <c r="M176" t="s">
        <v>35</v>
      </c>
      <c r="N176" t="s">
        <v>37</v>
      </c>
      <c r="O176" t="s">
        <v>18</v>
      </c>
      <c r="P176">
        <v>4</v>
      </c>
    </row>
    <row r="177" spans="1:16" x14ac:dyDescent="0.3">
      <c r="A177">
        <v>3630</v>
      </c>
      <c r="B177">
        <v>43519</v>
      </c>
      <c r="C177">
        <v>54</v>
      </c>
      <c r="D177">
        <v>23869</v>
      </c>
      <c r="E177" t="s">
        <v>14</v>
      </c>
      <c r="F177" t="s">
        <v>22</v>
      </c>
      <c r="G177" t="s">
        <v>17</v>
      </c>
      <c r="H177" t="s">
        <v>8</v>
      </c>
      <c r="I177" t="s">
        <v>9</v>
      </c>
      <c r="J177" t="s">
        <v>10</v>
      </c>
      <c r="K177" t="s">
        <v>26</v>
      </c>
      <c r="L177" t="s">
        <v>12</v>
      </c>
      <c r="M177" t="s">
        <v>35</v>
      </c>
      <c r="N177" t="s">
        <v>30</v>
      </c>
      <c r="O177" t="s">
        <v>18</v>
      </c>
      <c r="P177">
        <v>3</v>
      </c>
    </row>
    <row r="178" spans="1:16" x14ac:dyDescent="0.3">
      <c r="A178">
        <v>3631</v>
      </c>
      <c r="B178">
        <v>44781</v>
      </c>
      <c r="C178">
        <v>75</v>
      </c>
      <c r="D178">
        <v>17285</v>
      </c>
      <c r="E178" t="s">
        <v>14</v>
      </c>
      <c r="F178" t="s">
        <v>22</v>
      </c>
      <c r="G178" t="s">
        <v>40</v>
      </c>
      <c r="H178" t="s">
        <v>8</v>
      </c>
      <c r="I178" t="s">
        <v>9</v>
      </c>
      <c r="J178" t="s">
        <v>10</v>
      </c>
      <c r="K178" t="s">
        <v>11</v>
      </c>
      <c r="L178" t="s">
        <v>12</v>
      </c>
      <c r="M178" t="s">
        <v>59</v>
      </c>
      <c r="N178" t="s">
        <v>30</v>
      </c>
      <c r="O178" t="s">
        <v>18</v>
      </c>
      <c r="P178">
        <v>1</v>
      </c>
    </row>
    <row r="179" spans="1:16" x14ac:dyDescent="0.3">
      <c r="A179">
        <v>3632</v>
      </c>
      <c r="B179">
        <v>44828</v>
      </c>
      <c r="C179">
        <v>77</v>
      </c>
      <c r="D179">
        <v>16713</v>
      </c>
      <c r="E179" t="s">
        <v>14</v>
      </c>
      <c r="F179" t="s">
        <v>22</v>
      </c>
      <c r="G179" t="s">
        <v>34</v>
      </c>
      <c r="H179" t="s">
        <v>8</v>
      </c>
      <c r="I179" t="s">
        <v>9</v>
      </c>
      <c r="J179" t="s">
        <v>10</v>
      </c>
      <c r="K179" t="s">
        <v>11</v>
      </c>
      <c r="L179" t="s">
        <v>12</v>
      </c>
      <c r="M179" t="s">
        <v>35</v>
      </c>
      <c r="N179" t="s">
        <v>46</v>
      </c>
      <c r="O179" t="s">
        <v>18</v>
      </c>
      <c r="P179">
        <v>4</v>
      </c>
    </row>
    <row r="180" spans="1:16" x14ac:dyDescent="0.3">
      <c r="A180">
        <v>3633</v>
      </c>
      <c r="B180">
        <v>44641</v>
      </c>
      <c r="C180">
        <v>35</v>
      </c>
      <c r="D180">
        <v>31860</v>
      </c>
      <c r="E180" t="s">
        <v>14</v>
      </c>
      <c r="F180" t="s">
        <v>15</v>
      </c>
      <c r="G180" t="s">
        <v>31</v>
      </c>
      <c r="H180" t="s">
        <v>8</v>
      </c>
      <c r="I180" t="s">
        <v>9</v>
      </c>
      <c r="J180" t="s">
        <v>10</v>
      </c>
      <c r="K180" t="s">
        <v>26</v>
      </c>
      <c r="L180" t="s">
        <v>12</v>
      </c>
      <c r="M180" t="s">
        <v>21</v>
      </c>
      <c r="N180" t="s">
        <v>23</v>
      </c>
      <c r="O180" t="s">
        <v>18</v>
      </c>
      <c r="P180">
        <v>4</v>
      </c>
    </row>
    <row r="181" spans="1:16" x14ac:dyDescent="0.3">
      <c r="A181">
        <v>3634</v>
      </c>
      <c r="B181">
        <v>45100</v>
      </c>
      <c r="C181">
        <v>61</v>
      </c>
      <c r="D181">
        <v>22762</v>
      </c>
      <c r="E181" t="s">
        <v>14</v>
      </c>
      <c r="F181" t="s">
        <v>15</v>
      </c>
      <c r="G181" t="s">
        <v>34</v>
      </c>
      <c r="H181" t="s">
        <v>8</v>
      </c>
      <c r="I181" t="s">
        <v>9</v>
      </c>
      <c r="J181" t="s">
        <v>20</v>
      </c>
      <c r="K181" t="s">
        <v>26</v>
      </c>
      <c r="L181" t="s">
        <v>12</v>
      </c>
      <c r="M181" t="s">
        <v>28</v>
      </c>
      <c r="N181" t="s">
        <v>30</v>
      </c>
      <c r="O181" t="s">
        <v>18</v>
      </c>
      <c r="P181">
        <v>5</v>
      </c>
    </row>
    <row r="182" spans="1:16" x14ac:dyDescent="0.3">
      <c r="A182">
        <v>3635</v>
      </c>
      <c r="B182">
        <v>44130</v>
      </c>
      <c r="C182">
        <v>42</v>
      </c>
      <c r="D182">
        <v>28561</v>
      </c>
      <c r="E182" t="s">
        <v>14</v>
      </c>
      <c r="F182" t="s">
        <v>15</v>
      </c>
      <c r="G182" t="s">
        <v>31</v>
      </c>
      <c r="H182" t="s">
        <v>8</v>
      </c>
      <c r="I182" t="s">
        <v>9</v>
      </c>
      <c r="J182" t="s">
        <v>20</v>
      </c>
      <c r="K182" t="s">
        <v>11</v>
      </c>
      <c r="L182" t="s">
        <v>12</v>
      </c>
      <c r="M182" t="s">
        <v>63</v>
      </c>
      <c r="N182" t="s">
        <v>23</v>
      </c>
      <c r="O182" t="s">
        <v>18</v>
      </c>
      <c r="P182">
        <v>5</v>
      </c>
    </row>
    <row r="183" spans="1:16" x14ac:dyDescent="0.3">
      <c r="A183">
        <v>3636</v>
      </c>
      <c r="B183">
        <v>43859</v>
      </c>
      <c r="C183">
        <v>38</v>
      </c>
      <c r="D183">
        <v>30023</v>
      </c>
      <c r="E183" t="s">
        <v>14</v>
      </c>
      <c r="F183" t="s">
        <v>22</v>
      </c>
      <c r="G183" t="s">
        <v>40</v>
      </c>
      <c r="H183" t="s">
        <v>8</v>
      </c>
      <c r="I183" t="s">
        <v>9</v>
      </c>
      <c r="J183" t="s">
        <v>10</v>
      </c>
      <c r="K183" t="s">
        <v>26</v>
      </c>
      <c r="L183" t="s">
        <v>12</v>
      </c>
      <c r="M183" t="s">
        <v>60</v>
      </c>
      <c r="N183" t="s">
        <v>46</v>
      </c>
      <c r="O183" t="s">
        <v>18</v>
      </c>
      <c r="P183">
        <v>5</v>
      </c>
    </row>
    <row r="184" spans="1:16" x14ac:dyDescent="0.3">
      <c r="A184">
        <v>3637</v>
      </c>
      <c r="B184">
        <v>44674</v>
      </c>
      <c r="C184">
        <v>27</v>
      </c>
      <c r="D184">
        <v>34806</v>
      </c>
      <c r="E184" t="s">
        <v>14</v>
      </c>
      <c r="F184" t="s">
        <v>22</v>
      </c>
      <c r="G184" t="s">
        <v>40</v>
      </c>
      <c r="H184" t="s">
        <v>8</v>
      </c>
      <c r="I184" t="s">
        <v>9</v>
      </c>
      <c r="J184" t="s">
        <v>25</v>
      </c>
      <c r="K184" t="s">
        <v>11</v>
      </c>
      <c r="L184" t="s">
        <v>12</v>
      </c>
      <c r="M184" t="s">
        <v>21</v>
      </c>
      <c r="N184" t="s">
        <v>46</v>
      </c>
      <c r="O184" t="s">
        <v>18</v>
      </c>
      <c r="P184">
        <v>1</v>
      </c>
    </row>
    <row r="185" spans="1:16" x14ac:dyDescent="0.3">
      <c r="A185">
        <v>3638</v>
      </c>
      <c r="B185">
        <v>45092</v>
      </c>
      <c r="C185">
        <v>45</v>
      </c>
      <c r="D185">
        <v>28834</v>
      </c>
      <c r="E185" t="s">
        <v>14</v>
      </c>
      <c r="F185" t="s">
        <v>22</v>
      </c>
      <c r="G185" t="s">
        <v>31</v>
      </c>
      <c r="H185" t="s">
        <v>8</v>
      </c>
      <c r="I185" t="s">
        <v>9</v>
      </c>
      <c r="J185" t="s">
        <v>25</v>
      </c>
      <c r="K185" t="s">
        <v>11</v>
      </c>
      <c r="L185" t="s">
        <v>12</v>
      </c>
      <c r="M185" t="s">
        <v>35</v>
      </c>
      <c r="N185" t="s">
        <v>23</v>
      </c>
      <c r="O185" t="s">
        <v>18</v>
      </c>
      <c r="P185">
        <v>5</v>
      </c>
    </row>
    <row r="186" spans="1:16" x14ac:dyDescent="0.3">
      <c r="A186">
        <v>3640</v>
      </c>
      <c r="B186">
        <v>44933</v>
      </c>
      <c r="C186">
        <v>23</v>
      </c>
      <c r="D186">
        <v>36790</v>
      </c>
      <c r="E186" t="s">
        <v>14</v>
      </c>
      <c r="F186" t="s">
        <v>15</v>
      </c>
      <c r="G186" t="s">
        <v>40</v>
      </c>
      <c r="H186" t="s">
        <v>8</v>
      </c>
      <c r="I186" t="s">
        <v>9</v>
      </c>
      <c r="J186" t="s">
        <v>10</v>
      </c>
      <c r="K186" t="s">
        <v>19</v>
      </c>
      <c r="L186" t="s">
        <v>12</v>
      </c>
      <c r="M186" t="s">
        <v>35</v>
      </c>
      <c r="N186" t="s">
        <v>46</v>
      </c>
      <c r="O186" t="s">
        <v>18</v>
      </c>
      <c r="P186">
        <v>1</v>
      </c>
    </row>
    <row r="187" spans="1:16" x14ac:dyDescent="0.3">
      <c r="A187">
        <v>3643</v>
      </c>
      <c r="B187">
        <v>43937</v>
      </c>
      <c r="C187">
        <v>59</v>
      </c>
      <c r="D187">
        <v>22362</v>
      </c>
      <c r="E187" t="s">
        <v>14</v>
      </c>
      <c r="F187" t="s">
        <v>22</v>
      </c>
      <c r="G187" t="s">
        <v>31</v>
      </c>
      <c r="H187" t="s">
        <v>8</v>
      </c>
      <c r="I187" t="s">
        <v>9</v>
      </c>
      <c r="J187" t="s">
        <v>25</v>
      </c>
      <c r="K187" t="s">
        <v>19</v>
      </c>
      <c r="L187" t="s">
        <v>12</v>
      </c>
      <c r="M187" t="s">
        <v>60</v>
      </c>
      <c r="N187" t="s">
        <v>46</v>
      </c>
      <c r="O187" t="s">
        <v>18</v>
      </c>
      <c r="P187">
        <v>5</v>
      </c>
    </row>
    <row r="188" spans="1:16" x14ac:dyDescent="0.3">
      <c r="A188">
        <v>3644</v>
      </c>
      <c r="B188">
        <v>44728</v>
      </c>
      <c r="C188">
        <v>36</v>
      </c>
      <c r="D188">
        <v>31587</v>
      </c>
      <c r="E188" t="s">
        <v>14</v>
      </c>
      <c r="F188" t="s">
        <v>22</v>
      </c>
      <c r="G188" t="s">
        <v>34</v>
      </c>
      <c r="H188" t="s">
        <v>8</v>
      </c>
      <c r="I188" t="s">
        <v>9</v>
      </c>
      <c r="J188" t="s">
        <v>20</v>
      </c>
      <c r="K188" t="s">
        <v>26</v>
      </c>
      <c r="L188" t="s">
        <v>12</v>
      </c>
      <c r="M188" t="s">
        <v>35</v>
      </c>
      <c r="N188" t="s">
        <v>37</v>
      </c>
      <c r="O188" t="s">
        <v>18</v>
      </c>
      <c r="P188">
        <v>4</v>
      </c>
    </row>
    <row r="189" spans="1:16" x14ac:dyDescent="0.3">
      <c r="A189">
        <v>3645</v>
      </c>
      <c r="B189">
        <v>43668</v>
      </c>
      <c r="C189">
        <v>42</v>
      </c>
      <c r="D189">
        <v>28384</v>
      </c>
      <c r="E189" t="s">
        <v>14</v>
      </c>
      <c r="F189" t="s">
        <v>22</v>
      </c>
      <c r="G189" t="s">
        <v>31</v>
      </c>
      <c r="H189" t="s">
        <v>8</v>
      </c>
      <c r="I189" t="s">
        <v>9</v>
      </c>
      <c r="J189" t="s">
        <v>20</v>
      </c>
      <c r="K189" t="s">
        <v>11</v>
      </c>
      <c r="L189" t="s">
        <v>12</v>
      </c>
      <c r="M189" t="s">
        <v>32</v>
      </c>
      <c r="N189" t="s">
        <v>46</v>
      </c>
      <c r="O189" t="s">
        <v>18</v>
      </c>
      <c r="P189">
        <v>3</v>
      </c>
    </row>
    <row r="190" spans="1:16" x14ac:dyDescent="0.3">
      <c r="A190">
        <v>3646</v>
      </c>
      <c r="B190">
        <v>45038</v>
      </c>
      <c r="C190">
        <v>55</v>
      </c>
      <c r="D190">
        <v>24838</v>
      </c>
      <c r="E190" t="s">
        <v>14</v>
      </c>
      <c r="F190" t="s">
        <v>15</v>
      </c>
      <c r="G190" t="s">
        <v>17</v>
      </c>
      <c r="H190" t="s">
        <v>64</v>
      </c>
      <c r="I190" t="s">
        <v>9</v>
      </c>
      <c r="J190" t="s">
        <v>20</v>
      </c>
      <c r="K190" t="s">
        <v>19</v>
      </c>
      <c r="L190" t="s">
        <v>12</v>
      </c>
      <c r="M190" t="s">
        <v>49</v>
      </c>
      <c r="N190" t="s">
        <v>23</v>
      </c>
      <c r="O190" t="s">
        <v>18</v>
      </c>
      <c r="P190">
        <v>4</v>
      </c>
    </row>
    <row r="191" spans="1:16" x14ac:dyDescent="0.3">
      <c r="A191">
        <v>3647</v>
      </c>
      <c r="B191">
        <v>44193</v>
      </c>
      <c r="C191">
        <v>54</v>
      </c>
      <c r="D191">
        <v>24312</v>
      </c>
      <c r="E191" t="s">
        <v>14</v>
      </c>
      <c r="F191" t="s">
        <v>15</v>
      </c>
      <c r="G191" t="s">
        <v>31</v>
      </c>
      <c r="H191" t="s">
        <v>64</v>
      </c>
      <c r="I191" t="s">
        <v>66</v>
      </c>
      <c r="J191" t="s">
        <v>20</v>
      </c>
      <c r="K191" t="s">
        <v>19</v>
      </c>
      <c r="L191" t="s">
        <v>12</v>
      </c>
      <c r="M191" t="s">
        <v>42</v>
      </c>
      <c r="N191" t="s">
        <v>37</v>
      </c>
      <c r="O191" t="s">
        <v>18</v>
      </c>
      <c r="P191">
        <v>4</v>
      </c>
    </row>
    <row r="192" spans="1:16" x14ac:dyDescent="0.3">
      <c r="A192">
        <v>3648</v>
      </c>
      <c r="B192">
        <v>44615</v>
      </c>
      <c r="C192">
        <v>74</v>
      </c>
      <c r="D192">
        <v>17711</v>
      </c>
      <c r="E192" t="s">
        <v>14</v>
      </c>
      <c r="F192" t="s">
        <v>15</v>
      </c>
      <c r="G192" t="s">
        <v>40</v>
      </c>
      <c r="H192" t="s">
        <v>64</v>
      </c>
      <c r="I192" t="s">
        <v>9</v>
      </c>
      <c r="J192" t="s">
        <v>10</v>
      </c>
      <c r="K192" t="s">
        <v>19</v>
      </c>
      <c r="L192" t="s">
        <v>12</v>
      </c>
      <c r="M192" t="s">
        <v>21</v>
      </c>
      <c r="N192" t="s">
        <v>30</v>
      </c>
      <c r="O192" t="s">
        <v>41</v>
      </c>
      <c r="P192">
        <v>3</v>
      </c>
    </row>
    <row r="193" spans="1:16" x14ac:dyDescent="0.3">
      <c r="A193">
        <v>3649</v>
      </c>
      <c r="B193">
        <v>44786</v>
      </c>
      <c r="C193">
        <v>54</v>
      </c>
      <c r="D193">
        <v>24995</v>
      </c>
      <c r="E193" t="s">
        <v>14</v>
      </c>
      <c r="F193" t="s">
        <v>15</v>
      </c>
      <c r="G193" t="s">
        <v>34</v>
      </c>
      <c r="H193" t="s">
        <v>64</v>
      </c>
      <c r="I193" t="s">
        <v>9</v>
      </c>
      <c r="J193" t="s">
        <v>10</v>
      </c>
      <c r="K193" t="s">
        <v>19</v>
      </c>
      <c r="L193" t="s">
        <v>12</v>
      </c>
      <c r="M193" t="s">
        <v>35</v>
      </c>
      <c r="N193" t="s">
        <v>16</v>
      </c>
      <c r="O193" t="s">
        <v>41</v>
      </c>
      <c r="P193">
        <v>2</v>
      </c>
    </row>
    <row r="194" spans="1:16" x14ac:dyDescent="0.3">
      <c r="A194">
        <v>3650</v>
      </c>
      <c r="B194">
        <v>43741</v>
      </c>
      <c r="C194">
        <v>28</v>
      </c>
      <c r="D194">
        <v>33597</v>
      </c>
      <c r="E194" t="s">
        <v>14</v>
      </c>
      <c r="F194" t="s">
        <v>15</v>
      </c>
      <c r="G194" t="s">
        <v>40</v>
      </c>
      <c r="H194" t="s">
        <v>64</v>
      </c>
      <c r="I194" t="s">
        <v>66</v>
      </c>
      <c r="J194" t="s">
        <v>25</v>
      </c>
      <c r="K194" t="s">
        <v>26</v>
      </c>
      <c r="L194" t="s">
        <v>12</v>
      </c>
      <c r="M194" t="s">
        <v>35</v>
      </c>
      <c r="N194" t="s">
        <v>16</v>
      </c>
      <c r="O194" t="s">
        <v>18</v>
      </c>
      <c r="P194">
        <v>2</v>
      </c>
    </row>
    <row r="195" spans="1:16" x14ac:dyDescent="0.3">
      <c r="A195">
        <v>3651</v>
      </c>
      <c r="B195">
        <v>43752</v>
      </c>
      <c r="C195">
        <v>28</v>
      </c>
      <c r="D195">
        <v>33257</v>
      </c>
      <c r="E195" t="s">
        <v>14</v>
      </c>
      <c r="F195" t="s">
        <v>15</v>
      </c>
      <c r="G195" t="s">
        <v>31</v>
      </c>
      <c r="H195" t="s">
        <v>64</v>
      </c>
      <c r="I195" t="s">
        <v>9</v>
      </c>
      <c r="J195" t="s">
        <v>25</v>
      </c>
      <c r="K195" t="s">
        <v>11</v>
      </c>
      <c r="L195" t="s">
        <v>12</v>
      </c>
      <c r="M195" t="s">
        <v>32</v>
      </c>
      <c r="N195" t="s">
        <v>16</v>
      </c>
      <c r="O195" t="s">
        <v>18</v>
      </c>
      <c r="P195">
        <v>4</v>
      </c>
    </row>
    <row r="196" spans="1:16" x14ac:dyDescent="0.3">
      <c r="A196">
        <v>3652</v>
      </c>
      <c r="B196">
        <v>43707</v>
      </c>
      <c r="C196">
        <v>73</v>
      </c>
      <c r="D196">
        <v>17030</v>
      </c>
      <c r="E196" t="s">
        <v>14</v>
      </c>
      <c r="F196" t="s">
        <v>22</v>
      </c>
      <c r="G196" t="s">
        <v>34</v>
      </c>
      <c r="H196" t="s">
        <v>8</v>
      </c>
      <c r="I196" t="s">
        <v>66</v>
      </c>
      <c r="J196" t="s">
        <v>20</v>
      </c>
      <c r="K196" t="s">
        <v>11</v>
      </c>
      <c r="L196" t="s">
        <v>12</v>
      </c>
      <c r="M196" t="s">
        <v>35</v>
      </c>
      <c r="N196" t="s">
        <v>30</v>
      </c>
      <c r="O196" t="s">
        <v>18</v>
      </c>
      <c r="P196">
        <v>5</v>
      </c>
    </row>
    <row r="197" spans="1:16" x14ac:dyDescent="0.3">
      <c r="A197">
        <v>3653</v>
      </c>
      <c r="B197">
        <v>44231</v>
      </c>
      <c r="C197">
        <v>26</v>
      </c>
      <c r="D197">
        <v>34879</v>
      </c>
      <c r="E197" t="s">
        <v>14</v>
      </c>
      <c r="F197" t="s">
        <v>22</v>
      </c>
      <c r="G197" t="s">
        <v>17</v>
      </c>
      <c r="H197" t="s">
        <v>8</v>
      </c>
      <c r="I197" t="s">
        <v>66</v>
      </c>
      <c r="J197" t="s">
        <v>10</v>
      </c>
      <c r="K197" t="s">
        <v>26</v>
      </c>
      <c r="L197" t="s">
        <v>12</v>
      </c>
      <c r="M197" t="s">
        <v>32</v>
      </c>
      <c r="N197" t="s">
        <v>46</v>
      </c>
      <c r="O197" t="s">
        <v>41</v>
      </c>
      <c r="P197">
        <v>4</v>
      </c>
    </row>
    <row r="198" spans="1:16" x14ac:dyDescent="0.3">
      <c r="A198">
        <v>3654</v>
      </c>
      <c r="B198">
        <v>44888</v>
      </c>
      <c r="C198">
        <v>27</v>
      </c>
      <c r="D198">
        <v>34788</v>
      </c>
      <c r="E198" t="s">
        <v>14</v>
      </c>
      <c r="F198" t="s">
        <v>22</v>
      </c>
      <c r="G198" t="s">
        <v>40</v>
      </c>
      <c r="H198" t="s">
        <v>8</v>
      </c>
      <c r="I198" t="s">
        <v>9</v>
      </c>
      <c r="J198" t="s">
        <v>20</v>
      </c>
      <c r="K198" t="s">
        <v>19</v>
      </c>
      <c r="L198" t="s">
        <v>12</v>
      </c>
      <c r="M198" t="s">
        <v>21</v>
      </c>
      <c r="N198" t="s">
        <v>46</v>
      </c>
      <c r="O198" t="s">
        <v>41</v>
      </c>
      <c r="P198">
        <v>4</v>
      </c>
    </row>
    <row r="199" spans="1:16" x14ac:dyDescent="0.3">
      <c r="A199">
        <v>3655</v>
      </c>
      <c r="B199">
        <v>44982</v>
      </c>
      <c r="C199">
        <v>25</v>
      </c>
      <c r="D199">
        <v>36088</v>
      </c>
      <c r="E199" t="s">
        <v>14</v>
      </c>
      <c r="F199" t="s">
        <v>22</v>
      </c>
      <c r="G199" t="s">
        <v>34</v>
      </c>
      <c r="H199" t="s">
        <v>8</v>
      </c>
      <c r="I199" t="s">
        <v>9</v>
      </c>
      <c r="J199" t="s">
        <v>20</v>
      </c>
      <c r="K199" t="s">
        <v>11</v>
      </c>
      <c r="L199" t="s">
        <v>12</v>
      </c>
      <c r="M199" t="s">
        <v>42</v>
      </c>
      <c r="N199" t="s">
        <v>46</v>
      </c>
      <c r="O199" t="s">
        <v>18</v>
      </c>
      <c r="P199">
        <v>5</v>
      </c>
    </row>
    <row r="200" spans="1:16" x14ac:dyDescent="0.3">
      <c r="A200">
        <v>3656</v>
      </c>
      <c r="B200">
        <v>43814</v>
      </c>
      <c r="C200">
        <v>18</v>
      </c>
      <c r="D200">
        <v>36995</v>
      </c>
      <c r="E200" t="s">
        <v>14</v>
      </c>
      <c r="F200" t="s">
        <v>22</v>
      </c>
      <c r="G200" t="s">
        <v>40</v>
      </c>
      <c r="H200" t="s">
        <v>8</v>
      </c>
      <c r="I200" t="s">
        <v>9</v>
      </c>
      <c r="J200" t="s">
        <v>20</v>
      </c>
      <c r="K200" t="s">
        <v>26</v>
      </c>
      <c r="L200" t="s">
        <v>12</v>
      </c>
      <c r="M200" t="s">
        <v>69</v>
      </c>
      <c r="N200" t="s">
        <v>23</v>
      </c>
      <c r="O200" t="s">
        <v>41</v>
      </c>
      <c r="P200">
        <v>3</v>
      </c>
    </row>
    <row r="201" spans="1:16" x14ac:dyDescent="0.3">
      <c r="A201">
        <v>3657</v>
      </c>
      <c r="B201">
        <v>44437</v>
      </c>
      <c r="C201">
        <v>29</v>
      </c>
      <c r="D201">
        <v>33667</v>
      </c>
      <c r="E201" t="s">
        <v>14</v>
      </c>
      <c r="F201" t="s">
        <v>15</v>
      </c>
      <c r="G201" t="s">
        <v>31</v>
      </c>
      <c r="H201" t="s">
        <v>8</v>
      </c>
      <c r="I201" t="s">
        <v>9</v>
      </c>
      <c r="J201" t="s">
        <v>20</v>
      </c>
      <c r="K201" t="s">
        <v>11</v>
      </c>
      <c r="L201" t="s">
        <v>12</v>
      </c>
      <c r="M201" t="s">
        <v>32</v>
      </c>
      <c r="N201" t="s">
        <v>37</v>
      </c>
      <c r="O201" t="s">
        <v>18</v>
      </c>
      <c r="P201">
        <v>2</v>
      </c>
    </row>
    <row r="202" spans="1:16" x14ac:dyDescent="0.3">
      <c r="A202">
        <v>3658</v>
      </c>
      <c r="B202">
        <v>44869</v>
      </c>
      <c r="C202">
        <v>56</v>
      </c>
      <c r="D202">
        <v>24436</v>
      </c>
      <c r="E202" t="s">
        <v>14</v>
      </c>
      <c r="F202" t="s">
        <v>15</v>
      </c>
      <c r="G202" t="s">
        <v>40</v>
      </c>
      <c r="H202" t="s">
        <v>8</v>
      </c>
      <c r="I202" t="s">
        <v>9</v>
      </c>
      <c r="J202" t="s">
        <v>20</v>
      </c>
      <c r="K202" t="s">
        <v>11</v>
      </c>
      <c r="L202" t="s">
        <v>12</v>
      </c>
      <c r="M202" t="s">
        <v>54</v>
      </c>
      <c r="N202" t="s">
        <v>37</v>
      </c>
      <c r="O202" t="s">
        <v>18</v>
      </c>
      <c r="P202">
        <v>4</v>
      </c>
    </row>
    <row r="203" spans="1:16" x14ac:dyDescent="0.3">
      <c r="A203">
        <v>3659</v>
      </c>
      <c r="B203">
        <v>43740</v>
      </c>
      <c r="C203">
        <v>30</v>
      </c>
      <c r="D203">
        <v>32811</v>
      </c>
      <c r="E203" t="s">
        <v>14</v>
      </c>
      <c r="F203" t="s">
        <v>22</v>
      </c>
      <c r="G203" t="s">
        <v>40</v>
      </c>
      <c r="H203" t="s">
        <v>8</v>
      </c>
      <c r="I203" t="s">
        <v>9</v>
      </c>
      <c r="J203" t="s">
        <v>25</v>
      </c>
      <c r="K203" t="s">
        <v>19</v>
      </c>
      <c r="L203" t="s">
        <v>12</v>
      </c>
      <c r="M203" t="s">
        <v>35</v>
      </c>
      <c r="N203" t="s">
        <v>30</v>
      </c>
      <c r="O203" t="s">
        <v>41</v>
      </c>
      <c r="P203">
        <v>1</v>
      </c>
    </row>
    <row r="204" spans="1:16" x14ac:dyDescent="0.3">
      <c r="A204">
        <v>3660</v>
      </c>
      <c r="B204">
        <v>43609</v>
      </c>
      <c r="C204">
        <v>45</v>
      </c>
      <c r="D204">
        <v>27201</v>
      </c>
      <c r="E204" t="s">
        <v>14</v>
      </c>
      <c r="F204" t="s">
        <v>22</v>
      </c>
      <c r="G204" t="s">
        <v>31</v>
      </c>
      <c r="H204" t="s">
        <v>8</v>
      </c>
      <c r="I204" t="s">
        <v>9</v>
      </c>
      <c r="J204" t="s">
        <v>25</v>
      </c>
      <c r="K204" t="s">
        <v>19</v>
      </c>
      <c r="L204" t="s">
        <v>12</v>
      </c>
      <c r="M204" t="s">
        <v>35</v>
      </c>
      <c r="N204" t="s">
        <v>23</v>
      </c>
      <c r="O204" t="s">
        <v>41</v>
      </c>
      <c r="P204">
        <v>2</v>
      </c>
    </row>
    <row r="205" spans="1:16" x14ac:dyDescent="0.3">
      <c r="A205">
        <v>3661</v>
      </c>
      <c r="B205">
        <v>44620</v>
      </c>
      <c r="C205">
        <v>70</v>
      </c>
      <c r="D205">
        <v>19136</v>
      </c>
      <c r="E205" t="s">
        <v>14</v>
      </c>
      <c r="F205" t="s">
        <v>22</v>
      </c>
      <c r="G205" t="s">
        <v>34</v>
      </c>
      <c r="H205" t="s">
        <v>8</v>
      </c>
      <c r="I205" t="s">
        <v>9</v>
      </c>
      <c r="J205" t="s">
        <v>10</v>
      </c>
      <c r="K205" t="s">
        <v>11</v>
      </c>
      <c r="L205" t="s">
        <v>12</v>
      </c>
      <c r="M205" t="s">
        <v>44</v>
      </c>
      <c r="N205" t="s">
        <v>46</v>
      </c>
      <c r="O205" t="s">
        <v>18</v>
      </c>
      <c r="P205">
        <v>2</v>
      </c>
    </row>
    <row r="206" spans="1:16" x14ac:dyDescent="0.3">
      <c r="A206">
        <v>3662</v>
      </c>
      <c r="B206">
        <v>45090</v>
      </c>
      <c r="C206">
        <v>50</v>
      </c>
      <c r="D206">
        <v>26772</v>
      </c>
      <c r="E206" t="s">
        <v>14</v>
      </c>
      <c r="F206" t="s">
        <v>22</v>
      </c>
      <c r="G206" t="s">
        <v>34</v>
      </c>
      <c r="H206" t="s">
        <v>8</v>
      </c>
      <c r="I206" t="s">
        <v>9</v>
      </c>
      <c r="J206" t="s">
        <v>25</v>
      </c>
      <c r="K206" t="s">
        <v>26</v>
      </c>
      <c r="L206" t="s">
        <v>12</v>
      </c>
      <c r="M206" t="s">
        <v>59</v>
      </c>
      <c r="N206" t="s">
        <v>30</v>
      </c>
      <c r="O206" t="s">
        <v>41</v>
      </c>
      <c r="P206">
        <v>5</v>
      </c>
    </row>
    <row r="207" spans="1:16" x14ac:dyDescent="0.3">
      <c r="A207">
        <v>3665</v>
      </c>
      <c r="B207">
        <v>43791</v>
      </c>
      <c r="C207">
        <v>34</v>
      </c>
      <c r="D207">
        <v>31136</v>
      </c>
      <c r="E207" t="s">
        <v>14</v>
      </c>
      <c r="F207" t="s">
        <v>22</v>
      </c>
      <c r="G207" t="s">
        <v>34</v>
      </c>
      <c r="H207" t="s">
        <v>8</v>
      </c>
      <c r="I207" t="s">
        <v>9</v>
      </c>
      <c r="J207" t="s">
        <v>25</v>
      </c>
      <c r="K207" t="s">
        <v>26</v>
      </c>
      <c r="L207" t="s">
        <v>12</v>
      </c>
      <c r="M207" t="s">
        <v>35</v>
      </c>
      <c r="N207" t="s">
        <v>46</v>
      </c>
      <c r="O207" t="s">
        <v>18</v>
      </c>
      <c r="P207">
        <v>2</v>
      </c>
    </row>
    <row r="208" spans="1:16" x14ac:dyDescent="0.3">
      <c r="A208">
        <v>3666</v>
      </c>
      <c r="B208">
        <v>44680</v>
      </c>
      <c r="C208">
        <v>66</v>
      </c>
      <c r="D208">
        <v>20594</v>
      </c>
      <c r="E208" t="s">
        <v>14</v>
      </c>
      <c r="F208" t="s">
        <v>22</v>
      </c>
      <c r="G208" t="s">
        <v>31</v>
      </c>
      <c r="H208" t="s">
        <v>8</v>
      </c>
      <c r="I208" t="s">
        <v>9</v>
      </c>
      <c r="J208" t="s">
        <v>25</v>
      </c>
      <c r="K208" t="s">
        <v>19</v>
      </c>
      <c r="L208" t="s">
        <v>12</v>
      </c>
      <c r="M208" t="s">
        <v>35</v>
      </c>
      <c r="N208" t="s">
        <v>23</v>
      </c>
      <c r="O208" t="s">
        <v>18</v>
      </c>
      <c r="P208">
        <v>2</v>
      </c>
    </row>
    <row r="209" spans="1:16" x14ac:dyDescent="0.3">
      <c r="A209">
        <v>3667</v>
      </c>
      <c r="B209">
        <v>44906</v>
      </c>
      <c r="C209">
        <v>24</v>
      </c>
      <c r="D209">
        <v>36030</v>
      </c>
      <c r="E209" t="s">
        <v>14</v>
      </c>
      <c r="F209" t="s">
        <v>22</v>
      </c>
      <c r="G209" t="s">
        <v>31</v>
      </c>
      <c r="H209" t="s">
        <v>8</v>
      </c>
      <c r="I209" t="s">
        <v>9</v>
      </c>
      <c r="J209" t="s">
        <v>20</v>
      </c>
      <c r="K209" t="s">
        <v>26</v>
      </c>
      <c r="L209" t="s">
        <v>12</v>
      </c>
      <c r="M209" t="s">
        <v>67</v>
      </c>
      <c r="N209" t="s">
        <v>37</v>
      </c>
      <c r="O209" t="s">
        <v>18</v>
      </c>
      <c r="P209">
        <v>1</v>
      </c>
    </row>
    <row r="210" spans="1:16" x14ac:dyDescent="0.3">
      <c r="A210">
        <v>3668</v>
      </c>
      <c r="B210">
        <v>45144</v>
      </c>
      <c r="C210">
        <v>27</v>
      </c>
      <c r="D210">
        <v>35209</v>
      </c>
      <c r="E210" t="s">
        <v>14</v>
      </c>
      <c r="F210" t="s">
        <v>22</v>
      </c>
      <c r="G210" t="s">
        <v>17</v>
      </c>
      <c r="H210" t="s">
        <v>8</v>
      </c>
      <c r="I210" t="s">
        <v>9</v>
      </c>
      <c r="J210" t="s">
        <v>25</v>
      </c>
      <c r="K210" t="s">
        <v>11</v>
      </c>
      <c r="L210" t="s">
        <v>12</v>
      </c>
      <c r="M210" t="s">
        <v>69</v>
      </c>
      <c r="N210" t="s">
        <v>46</v>
      </c>
      <c r="O210" t="s">
        <v>56</v>
      </c>
      <c r="P210">
        <v>5</v>
      </c>
    </row>
    <row r="211" spans="1:16" x14ac:dyDescent="0.3">
      <c r="A211">
        <v>3669</v>
      </c>
      <c r="B211">
        <v>43918</v>
      </c>
      <c r="C211">
        <v>53</v>
      </c>
      <c r="D211">
        <v>24488</v>
      </c>
      <c r="E211" t="s">
        <v>14</v>
      </c>
      <c r="F211" t="s">
        <v>22</v>
      </c>
      <c r="G211" t="s">
        <v>17</v>
      </c>
      <c r="H211" t="s">
        <v>8</v>
      </c>
      <c r="I211" t="s">
        <v>66</v>
      </c>
      <c r="J211" t="s">
        <v>10</v>
      </c>
      <c r="K211" t="s">
        <v>19</v>
      </c>
      <c r="L211" t="s">
        <v>12</v>
      </c>
      <c r="M211" t="s">
        <v>13</v>
      </c>
      <c r="N211" t="s">
        <v>37</v>
      </c>
      <c r="O211" t="s">
        <v>18</v>
      </c>
      <c r="P211">
        <v>2</v>
      </c>
    </row>
    <row r="212" spans="1:16" x14ac:dyDescent="0.3">
      <c r="A212">
        <v>3670</v>
      </c>
      <c r="B212">
        <v>44784</v>
      </c>
      <c r="C212">
        <v>53</v>
      </c>
      <c r="D212">
        <v>25220</v>
      </c>
      <c r="E212" t="s">
        <v>14</v>
      </c>
      <c r="F212" t="s">
        <v>15</v>
      </c>
      <c r="G212" t="s">
        <v>17</v>
      </c>
      <c r="H212" t="s">
        <v>64</v>
      </c>
      <c r="I212" t="s">
        <v>9</v>
      </c>
      <c r="J212" t="s">
        <v>25</v>
      </c>
      <c r="K212" t="s">
        <v>19</v>
      </c>
      <c r="L212" t="s">
        <v>12</v>
      </c>
      <c r="M212" t="s">
        <v>67</v>
      </c>
      <c r="N212" t="s">
        <v>23</v>
      </c>
      <c r="O212" t="s">
        <v>56</v>
      </c>
      <c r="P212">
        <v>2</v>
      </c>
    </row>
    <row r="213" spans="1:16" x14ac:dyDescent="0.3">
      <c r="A213">
        <v>3671</v>
      </c>
      <c r="B213">
        <v>44952</v>
      </c>
      <c r="C213">
        <v>34</v>
      </c>
      <c r="D213">
        <v>32871</v>
      </c>
      <c r="E213" t="s">
        <v>14</v>
      </c>
      <c r="F213" t="s">
        <v>15</v>
      </c>
      <c r="G213" t="s">
        <v>40</v>
      </c>
      <c r="H213" t="s">
        <v>64</v>
      </c>
      <c r="I213" t="s">
        <v>66</v>
      </c>
      <c r="J213" t="s">
        <v>20</v>
      </c>
      <c r="K213" t="s">
        <v>19</v>
      </c>
      <c r="L213" t="s">
        <v>12</v>
      </c>
      <c r="M213" t="s">
        <v>49</v>
      </c>
      <c r="N213" t="s">
        <v>46</v>
      </c>
      <c r="O213" t="s">
        <v>56</v>
      </c>
      <c r="P213">
        <v>4</v>
      </c>
    </row>
    <row r="214" spans="1:16" x14ac:dyDescent="0.3">
      <c r="A214">
        <v>3672</v>
      </c>
      <c r="B214">
        <v>43479</v>
      </c>
      <c r="C214">
        <v>28</v>
      </c>
      <c r="D214">
        <v>33293</v>
      </c>
      <c r="E214" t="s">
        <v>14</v>
      </c>
      <c r="F214" t="s">
        <v>15</v>
      </c>
      <c r="G214" t="s">
        <v>40</v>
      </c>
      <c r="H214" t="s">
        <v>64</v>
      </c>
      <c r="I214" t="s">
        <v>9</v>
      </c>
      <c r="J214" t="s">
        <v>20</v>
      </c>
      <c r="K214" t="s">
        <v>19</v>
      </c>
      <c r="L214" t="s">
        <v>12</v>
      </c>
      <c r="M214" t="s">
        <v>32</v>
      </c>
      <c r="N214" t="s">
        <v>46</v>
      </c>
      <c r="O214" t="s">
        <v>18</v>
      </c>
      <c r="P214">
        <v>2</v>
      </c>
    </row>
    <row r="215" spans="1:16" x14ac:dyDescent="0.3">
      <c r="A215">
        <v>3673</v>
      </c>
      <c r="B215">
        <v>44723</v>
      </c>
      <c r="C215">
        <v>49</v>
      </c>
      <c r="D215">
        <v>26714</v>
      </c>
      <c r="E215" t="s">
        <v>14</v>
      </c>
      <c r="F215" t="s">
        <v>15</v>
      </c>
      <c r="G215" t="s">
        <v>17</v>
      </c>
      <c r="H215" t="s">
        <v>64</v>
      </c>
      <c r="I215" t="s">
        <v>66</v>
      </c>
      <c r="J215" t="s">
        <v>25</v>
      </c>
      <c r="K215" t="s">
        <v>26</v>
      </c>
      <c r="L215" t="s">
        <v>12</v>
      </c>
      <c r="M215" t="s">
        <v>62</v>
      </c>
      <c r="N215" t="s">
        <v>30</v>
      </c>
      <c r="O215" t="s">
        <v>18</v>
      </c>
      <c r="P215">
        <v>3</v>
      </c>
    </row>
    <row r="216" spans="1:16" x14ac:dyDescent="0.3">
      <c r="A216">
        <v>3674</v>
      </c>
      <c r="B216">
        <v>44007</v>
      </c>
      <c r="C216">
        <v>24</v>
      </c>
      <c r="D216">
        <v>35186</v>
      </c>
      <c r="E216" t="s">
        <v>14</v>
      </c>
      <c r="F216" t="s">
        <v>15</v>
      </c>
      <c r="G216" t="s">
        <v>31</v>
      </c>
      <c r="H216" t="s">
        <v>64</v>
      </c>
      <c r="I216" t="s">
        <v>66</v>
      </c>
      <c r="J216" t="s">
        <v>20</v>
      </c>
      <c r="K216" t="s">
        <v>11</v>
      </c>
      <c r="L216" t="s">
        <v>12</v>
      </c>
      <c r="M216" t="s">
        <v>42</v>
      </c>
      <c r="N216" t="s">
        <v>30</v>
      </c>
      <c r="O216" t="s">
        <v>18</v>
      </c>
      <c r="P216">
        <v>4</v>
      </c>
    </row>
    <row r="217" spans="1:16" x14ac:dyDescent="0.3">
      <c r="A217">
        <v>3675</v>
      </c>
      <c r="B217">
        <v>43990</v>
      </c>
      <c r="C217">
        <v>68</v>
      </c>
      <c r="D217">
        <v>19234</v>
      </c>
      <c r="E217" t="s">
        <v>14</v>
      </c>
      <c r="F217" t="s">
        <v>15</v>
      </c>
      <c r="G217" t="s">
        <v>40</v>
      </c>
      <c r="H217" t="s">
        <v>64</v>
      </c>
      <c r="I217" t="s">
        <v>9</v>
      </c>
      <c r="J217" t="s">
        <v>25</v>
      </c>
      <c r="K217" t="s">
        <v>11</v>
      </c>
      <c r="L217" t="s">
        <v>12</v>
      </c>
      <c r="M217" t="s">
        <v>42</v>
      </c>
      <c r="N217" t="s">
        <v>23</v>
      </c>
      <c r="O217" t="s">
        <v>18</v>
      </c>
      <c r="P217">
        <v>3</v>
      </c>
    </row>
    <row r="218" spans="1:16" x14ac:dyDescent="0.3">
      <c r="A218">
        <v>3676</v>
      </c>
      <c r="B218">
        <v>43341</v>
      </c>
      <c r="C218">
        <v>25</v>
      </c>
      <c r="D218">
        <v>34302</v>
      </c>
      <c r="E218" t="s">
        <v>14</v>
      </c>
      <c r="F218" t="s">
        <v>22</v>
      </c>
      <c r="G218" t="s">
        <v>40</v>
      </c>
      <c r="H218" t="s">
        <v>8</v>
      </c>
      <c r="I218" t="s">
        <v>9</v>
      </c>
      <c r="J218" t="s">
        <v>10</v>
      </c>
      <c r="K218" t="s">
        <v>26</v>
      </c>
      <c r="L218" t="s">
        <v>12</v>
      </c>
      <c r="M218" t="s">
        <v>63</v>
      </c>
      <c r="N218" t="s">
        <v>37</v>
      </c>
      <c r="O218" t="s">
        <v>18</v>
      </c>
      <c r="P218">
        <v>4</v>
      </c>
    </row>
    <row r="219" spans="1:16" x14ac:dyDescent="0.3">
      <c r="A219">
        <v>3677</v>
      </c>
      <c r="B219">
        <v>44835</v>
      </c>
      <c r="C219">
        <v>62</v>
      </c>
      <c r="D219">
        <v>21950</v>
      </c>
      <c r="E219" t="s">
        <v>14</v>
      </c>
      <c r="F219" t="s">
        <v>22</v>
      </c>
      <c r="G219" t="s">
        <v>31</v>
      </c>
      <c r="H219" t="s">
        <v>8</v>
      </c>
      <c r="I219" t="s">
        <v>9</v>
      </c>
      <c r="J219" t="s">
        <v>25</v>
      </c>
      <c r="K219" t="s">
        <v>19</v>
      </c>
      <c r="L219" t="s">
        <v>12</v>
      </c>
      <c r="M219" t="s">
        <v>35</v>
      </c>
      <c r="N219" t="s">
        <v>23</v>
      </c>
      <c r="O219" t="s">
        <v>18</v>
      </c>
      <c r="P219">
        <v>5</v>
      </c>
    </row>
    <row r="220" spans="1:16" x14ac:dyDescent="0.3">
      <c r="A220">
        <v>3678</v>
      </c>
      <c r="B220">
        <v>44399</v>
      </c>
      <c r="C220">
        <v>22</v>
      </c>
      <c r="D220">
        <v>36304</v>
      </c>
      <c r="E220" t="s">
        <v>14</v>
      </c>
      <c r="F220" t="s">
        <v>22</v>
      </c>
      <c r="G220" t="s">
        <v>31</v>
      </c>
      <c r="H220" t="s">
        <v>8</v>
      </c>
      <c r="I220" t="s">
        <v>9</v>
      </c>
      <c r="J220" t="s">
        <v>25</v>
      </c>
      <c r="K220" t="s">
        <v>19</v>
      </c>
      <c r="L220" t="s">
        <v>12</v>
      </c>
      <c r="M220" t="s">
        <v>38</v>
      </c>
      <c r="N220" t="s">
        <v>46</v>
      </c>
      <c r="O220" t="s">
        <v>18</v>
      </c>
      <c r="P220">
        <v>4</v>
      </c>
    </row>
    <row r="221" spans="1:16" x14ac:dyDescent="0.3">
      <c r="A221">
        <v>3679</v>
      </c>
      <c r="B221">
        <v>43813</v>
      </c>
      <c r="C221">
        <v>30</v>
      </c>
      <c r="D221">
        <v>32705</v>
      </c>
      <c r="E221" t="s">
        <v>14</v>
      </c>
      <c r="F221" t="s">
        <v>22</v>
      </c>
      <c r="G221" t="s">
        <v>40</v>
      </c>
      <c r="H221" t="s">
        <v>8</v>
      </c>
      <c r="I221" t="s">
        <v>9</v>
      </c>
      <c r="J221" t="s">
        <v>25</v>
      </c>
      <c r="K221" t="s">
        <v>19</v>
      </c>
      <c r="L221" t="s">
        <v>12</v>
      </c>
      <c r="M221" t="s">
        <v>42</v>
      </c>
      <c r="N221" t="s">
        <v>46</v>
      </c>
      <c r="O221" t="s">
        <v>18</v>
      </c>
      <c r="P221">
        <v>2</v>
      </c>
    </row>
    <row r="222" spans="1:16" x14ac:dyDescent="0.3">
      <c r="A222">
        <v>3680</v>
      </c>
      <c r="B222">
        <v>43917</v>
      </c>
      <c r="C222">
        <v>35</v>
      </c>
      <c r="D222">
        <v>31304</v>
      </c>
      <c r="E222" t="s">
        <v>14</v>
      </c>
      <c r="F222" t="s">
        <v>15</v>
      </c>
      <c r="G222" t="s">
        <v>40</v>
      </c>
      <c r="H222" t="s">
        <v>8</v>
      </c>
      <c r="I222" t="s">
        <v>9</v>
      </c>
      <c r="J222" t="s">
        <v>20</v>
      </c>
      <c r="K222" t="s">
        <v>26</v>
      </c>
      <c r="L222" t="s">
        <v>12</v>
      </c>
      <c r="M222" t="s">
        <v>69</v>
      </c>
      <c r="N222" t="s">
        <v>30</v>
      </c>
      <c r="O222" t="s">
        <v>18</v>
      </c>
      <c r="P222">
        <v>2</v>
      </c>
    </row>
    <row r="223" spans="1:16" x14ac:dyDescent="0.3">
      <c r="A223">
        <v>3681</v>
      </c>
      <c r="B223">
        <v>44525</v>
      </c>
      <c r="C223">
        <v>45</v>
      </c>
      <c r="D223">
        <v>27836</v>
      </c>
      <c r="E223" t="s">
        <v>14</v>
      </c>
      <c r="F223" t="s">
        <v>15</v>
      </c>
      <c r="G223" t="s">
        <v>17</v>
      </c>
      <c r="H223" t="s">
        <v>8</v>
      </c>
      <c r="I223" t="s">
        <v>9</v>
      </c>
      <c r="J223" t="s">
        <v>20</v>
      </c>
      <c r="K223" t="s">
        <v>26</v>
      </c>
      <c r="L223" t="s">
        <v>12</v>
      </c>
      <c r="M223" t="s">
        <v>42</v>
      </c>
      <c r="N223" t="s">
        <v>37</v>
      </c>
      <c r="O223" t="s">
        <v>18</v>
      </c>
      <c r="P223">
        <v>2</v>
      </c>
    </row>
    <row r="224" spans="1:16" x14ac:dyDescent="0.3">
      <c r="A224">
        <v>3682</v>
      </c>
      <c r="B224">
        <v>45115</v>
      </c>
      <c r="C224">
        <v>80</v>
      </c>
      <c r="D224">
        <v>15824</v>
      </c>
      <c r="E224" t="s">
        <v>14</v>
      </c>
      <c r="F224" t="s">
        <v>15</v>
      </c>
      <c r="G224" t="s">
        <v>31</v>
      </c>
      <c r="H224" t="s">
        <v>8</v>
      </c>
      <c r="I224" t="s">
        <v>9</v>
      </c>
      <c r="J224" t="s">
        <v>25</v>
      </c>
      <c r="K224" t="s">
        <v>11</v>
      </c>
      <c r="L224" t="s">
        <v>12</v>
      </c>
      <c r="M224" t="s">
        <v>35</v>
      </c>
      <c r="N224" t="s">
        <v>37</v>
      </c>
      <c r="O224" t="s">
        <v>18</v>
      </c>
      <c r="P224">
        <v>3</v>
      </c>
    </row>
    <row r="225" spans="1:16" x14ac:dyDescent="0.3">
      <c r="A225">
        <v>3683</v>
      </c>
      <c r="B225">
        <v>44502</v>
      </c>
      <c r="C225">
        <v>65</v>
      </c>
      <c r="D225">
        <v>20460</v>
      </c>
      <c r="E225" t="s">
        <v>14</v>
      </c>
      <c r="F225" t="s">
        <v>22</v>
      </c>
      <c r="G225" t="s">
        <v>40</v>
      </c>
      <c r="H225" t="s">
        <v>8</v>
      </c>
      <c r="I225" t="s">
        <v>9</v>
      </c>
      <c r="J225" t="s">
        <v>20</v>
      </c>
      <c r="K225" t="s">
        <v>11</v>
      </c>
      <c r="L225" t="s">
        <v>12</v>
      </c>
      <c r="M225" t="s">
        <v>13</v>
      </c>
      <c r="N225" t="s">
        <v>30</v>
      </c>
      <c r="O225" t="s">
        <v>18</v>
      </c>
      <c r="P225">
        <v>1</v>
      </c>
    </row>
    <row r="226" spans="1:16" x14ac:dyDescent="0.3">
      <c r="A226">
        <v>3684</v>
      </c>
      <c r="B226">
        <v>43800</v>
      </c>
      <c r="C226">
        <v>65</v>
      </c>
      <c r="D226">
        <v>19939</v>
      </c>
      <c r="E226" t="s">
        <v>14</v>
      </c>
      <c r="F226" t="s">
        <v>22</v>
      </c>
      <c r="G226" t="s">
        <v>17</v>
      </c>
      <c r="H226" t="s">
        <v>8</v>
      </c>
      <c r="I226" t="s">
        <v>9</v>
      </c>
      <c r="J226" t="s">
        <v>10</v>
      </c>
      <c r="K226" t="s">
        <v>11</v>
      </c>
      <c r="L226" t="s">
        <v>12</v>
      </c>
      <c r="M226" t="s">
        <v>35</v>
      </c>
      <c r="N226" t="s">
        <v>23</v>
      </c>
      <c r="O226" t="s">
        <v>18</v>
      </c>
      <c r="P226">
        <v>5</v>
      </c>
    </row>
    <row r="227" spans="1:16" x14ac:dyDescent="0.3">
      <c r="A227">
        <v>3685</v>
      </c>
      <c r="B227">
        <v>44789</v>
      </c>
      <c r="C227">
        <v>36</v>
      </c>
      <c r="D227">
        <v>31585</v>
      </c>
      <c r="E227" t="s">
        <v>14</v>
      </c>
      <c r="F227" t="s">
        <v>22</v>
      </c>
      <c r="G227" t="s">
        <v>17</v>
      </c>
      <c r="H227" t="s">
        <v>8</v>
      </c>
      <c r="I227" t="s">
        <v>9</v>
      </c>
      <c r="J227" t="s">
        <v>25</v>
      </c>
      <c r="K227" t="s">
        <v>11</v>
      </c>
      <c r="L227" t="s">
        <v>12</v>
      </c>
      <c r="M227" t="s">
        <v>54</v>
      </c>
      <c r="N227" t="s">
        <v>46</v>
      </c>
      <c r="O227" t="s">
        <v>18</v>
      </c>
      <c r="P227">
        <v>3</v>
      </c>
    </row>
    <row r="228" spans="1:16" x14ac:dyDescent="0.3">
      <c r="A228">
        <v>3687</v>
      </c>
      <c r="B228">
        <v>43602</v>
      </c>
      <c r="C228">
        <v>75</v>
      </c>
      <c r="D228">
        <v>16304</v>
      </c>
      <c r="E228" t="s">
        <v>14</v>
      </c>
      <c r="F228" t="s">
        <v>15</v>
      </c>
      <c r="G228" t="s">
        <v>40</v>
      </c>
      <c r="H228" t="s">
        <v>8</v>
      </c>
      <c r="I228" t="s">
        <v>9</v>
      </c>
      <c r="J228" t="s">
        <v>20</v>
      </c>
      <c r="K228" t="s">
        <v>26</v>
      </c>
      <c r="L228" t="s">
        <v>12</v>
      </c>
      <c r="M228" t="s">
        <v>35</v>
      </c>
      <c r="N228" t="s">
        <v>16</v>
      </c>
      <c r="O228" t="s">
        <v>41</v>
      </c>
      <c r="P228">
        <v>4</v>
      </c>
    </row>
    <row r="229" spans="1:16" x14ac:dyDescent="0.3">
      <c r="A229">
        <v>3689</v>
      </c>
      <c r="B229">
        <v>44393</v>
      </c>
      <c r="C229">
        <v>61</v>
      </c>
      <c r="D229">
        <v>22279</v>
      </c>
      <c r="E229" t="s">
        <v>14</v>
      </c>
      <c r="F229" t="s">
        <v>22</v>
      </c>
      <c r="G229" t="s">
        <v>34</v>
      </c>
      <c r="H229" t="s">
        <v>8</v>
      </c>
      <c r="I229" t="s">
        <v>9</v>
      </c>
      <c r="J229" t="s">
        <v>10</v>
      </c>
      <c r="K229" t="s">
        <v>19</v>
      </c>
      <c r="L229" t="s">
        <v>12</v>
      </c>
      <c r="M229" t="s">
        <v>35</v>
      </c>
      <c r="N229" t="s">
        <v>46</v>
      </c>
      <c r="O229" t="s">
        <v>41</v>
      </c>
      <c r="P229">
        <v>4</v>
      </c>
    </row>
    <row r="230" spans="1:16" x14ac:dyDescent="0.3">
      <c r="A230">
        <v>3690</v>
      </c>
      <c r="B230">
        <v>44047</v>
      </c>
      <c r="C230">
        <v>70</v>
      </c>
      <c r="D230">
        <v>18581</v>
      </c>
      <c r="E230" t="s">
        <v>14</v>
      </c>
      <c r="F230" t="s">
        <v>22</v>
      </c>
      <c r="G230" t="s">
        <v>31</v>
      </c>
      <c r="H230" t="s">
        <v>8</v>
      </c>
      <c r="I230" t="s">
        <v>9</v>
      </c>
      <c r="J230" t="s">
        <v>20</v>
      </c>
      <c r="K230" t="s">
        <v>19</v>
      </c>
      <c r="L230" t="s">
        <v>12</v>
      </c>
      <c r="M230" t="s">
        <v>63</v>
      </c>
      <c r="N230" t="s">
        <v>16</v>
      </c>
      <c r="O230" t="s">
        <v>56</v>
      </c>
      <c r="P230">
        <v>3</v>
      </c>
    </row>
    <row r="231" spans="1:16" x14ac:dyDescent="0.3">
      <c r="A231">
        <v>3691</v>
      </c>
      <c r="B231">
        <v>44158</v>
      </c>
      <c r="C231">
        <v>27</v>
      </c>
      <c r="D231">
        <v>33972</v>
      </c>
      <c r="E231" t="s">
        <v>14</v>
      </c>
      <c r="F231" t="s">
        <v>22</v>
      </c>
      <c r="G231" t="s">
        <v>31</v>
      </c>
      <c r="H231" t="s">
        <v>8</v>
      </c>
      <c r="I231" t="s">
        <v>9</v>
      </c>
      <c r="J231" t="s">
        <v>20</v>
      </c>
      <c r="K231" t="s">
        <v>11</v>
      </c>
      <c r="L231" t="s">
        <v>12</v>
      </c>
      <c r="M231" t="s">
        <v>13</v>
      </c>
      <c r="N231" t="s">
        <v>46</v>
      </c>
      <c r="O231" t="s">
        <v>56</v>
      </c>
      <c r="P231">
        <v>1</v>
      </c>
    </row>
    <row r="232" spans="1:16" x14ac:dyDescent="0.3">
      <c r="A232">
        <v>3692</v>
      </c>
      <c r="B232">
        <v>43780</v>
      </c>
      <c r="C232">
        <v>40</v>
      </c>
      <c r="D232">
        <v>29204</v>
      </c>
      <c r="E232" t="s">
        <v>14</v>
      </c>
      <c r="F232" t="s">
        <v>22</v>
      </c>
      <c r="G232" t="s">
        <v>17</v>
      </c>
      <c r="H232" t="s">
        <v>8</v>
      </c>
      <c r="I232" t="s">
        <v>9</v>
      </c>
      <c r="J232" t="s">
        <v>25</v>
      </c>
      <c r="K232" t="s">
        <v>26</v>
      </c>
      <c r="L232" t="s">
        <v>12</v>
      </c>
      <c r="M232" t="s">
        <v>21</v>
      </c>
      <c r="N232" t="s">
        <v>37</v>
      </c>
      <c r="O232" t="s">
        <v>56</v>
      </c>
      <c r="P232">
        <v>5</v>
      </c>
    </row>
    <row r="233" spans="1:16" x14ac:dyDescent="0.3">
      <c r="A233">
        <v>3693</v>
      </c>
      <c r="B233">
        <v>43605</v>
      </c>
      <c r="C233">
        <v>42</v>
      </c>
      <c r="D233">
        <v>28338</v>
      </c>
      <c r="E233" t="s">
        <v>14</v>
      </c>
      <c r="F233" t="s">
        <v>15</v>
      </c>
      <c r="G233" t="s">
        <v>34</v>
      </c>
      <c r="H233" t="s">
        <v>64</v>
      </c>
      <c r="I233" t="s">
        <v>9</v>
      </c>
      <c r="J233" t="s">
        <v>20</v>
      </c>
      <c r="K233" t="s">
        <v>26</v>
      </c>
      <c r="L233" t="s">
        <v>12</v>
      </c>
      <c r="M233" t="s">
        <v>54</v>
      </c>
      <c r="N233" t="s">
        <v>16</v>
      </c>
      <c r="O233" t="s">
        <v>41</v>
      </c>
      <c r="P233">
        <v>1</v>
      </c>
    </row>
    <row r="234" spans="1:16" x14ac:dyDescent="0.3">
      <c r="A234">
        <v>3694</v>
      </c>
      <c r="B234">
        <v>43774</v>
      </c>
      <c r="C234">
        <v>58</v>
      </c>
      <c r="D234">
        <v>22351</v>
      </c>
      <c r="E234" t="s">
        <v>14</v>
      </c>
      <c r="F234" t="s">
        <v>15</v>
      </c>
      <c r="G234" t="s">
        <v>34</v>
      </c>
      <c r="H234" t="s">
        <v>64</v>
      </c>
      <c r="I234" t="s">
        <v>66</v>
      </c>
      <c r="J234" t="s">
        <v>25</v>
      </c>
      <c r="K234" t="s">
        <v>19</v>
      </c>
      <c r="L234" t="s">
        <v>12</v>
      </c>
      <c r="M234" t="s">
        <v>35</v>
      </c>
      <c r="N234" t="s">
        <v>23</v>
      </c>
      <c r="O234" t="s">
        <v>65</v>
      </c>
      <c r="P234">
        <v>3</v>
      </c>
    </row>
    <row r="235" spans="1:16" x14ac:dyDescent="0.3">
      <c r="A235">
        <v>3695</v>
      </c>
      <c r="B235">
        <v>43363</v>
      </c>
      <c r="C235">
        <v>29</v>
      </c>
      <c r="D235">
        <v>32840</v>
      </c>
      <c r="E235" t="s">
        <v>14</v>
      </c>
      <c r="F235" t="s">
        <v>15</v>
      </c>
      <c r="G235" t="s">
        <v>40</v>
      </c>
      <c r="H235" t="s">
        <v>64</v>
      </c>
      <c r="I235" t="s">
        <v>66</v>
      </c>
      <c r="J235" t="s">
        <v>10</v>
      </c>
      <c r="K235" t="s">
        <v>11</v>
      </c>
      <c r="L235" t="s">
        <v>12</v>
      </c>
      <c r="M235" t="s">
        <v>60</v>
      </c>
      <c r="N235" t="s">
        <v>23</v>
      </c>
      <c r="O235" t="s">
        <v>65</v>
      </c>
      <c r="P235">
        <v>1</v>
      </c>
    </row>
    <row r="236" spans="1:16" x14ac:dyDescent="0.3">
      <c r="A236">
        <v>3696</v>
      </c>
      <c r="B236">
        <v>44076</v>
      </c>
      <c r="C236">
        <v>31</v>
      </c>
      <c r="D236">
        <v>32788</v>
      </c>
      <c r="E236" t="s">
        <v>14</v>
      </c>
      <c r="F236" t="s">
        <v>15</v>
      </c>
      <c r="G236" t="s">
        <v>17</v>
      </c>
      <c r="H236" t="s">
        <v>64</v>
      </c>
      <c r="I236" t="s">
        <v>66</v>
      </c>
      <c r="J236" t="s">
        <v>10</v>
      </c>
      <c r="K236" t="s">
        <v>26</v>
      </c>
      <c r="L236" t="s">
        <v>12</v>
      </c>
      <c r="M236" t="s">
        <v>61</v>
      </c>
      <c r="N236" t="s">
        <v>23</v>
      </c>
      <c r="O236" t="s">
        <v>65</v>
      </c>
      <c r="P236">
        <v>1</v>
      </c>
    </row>
    <row r="237" spans="1:16" x14ac:dyDescent="0.3">
      <c r="A237">
        <v>3697</v>
      </c>
      <c r="B237">
        <v>44010</v>
      </c>
      <c r="C237">
        <v>28</v>
      </c>
      <c r="D237">
        <v>33964</v>
      </c>
      <c r="E237" t="s">
        <v>14</v>
      </c>
      <c r="F237" t="s">
        <v>15</v>
      </c>
      <c r="G237" t="s">
        <v>31</v>
      </c>
      <c r="H237" t="s">
        <v>64</v>
      </c>
      <c r="I237" t="s">
        <v>9</v>
      </c>
      <c r="J237" t="s">
        <v>25</v>
      </c>
      <c r="K237" t="s">
        <v>19</v>
      </c>
      <c r="L237" t="s">
        <v>12</v>
      </c>
      <c r="M237" t="s">
        <v>35</v>
      </c>
      <c r="N237" t="s">
        <v>30</v>
      </c>
      <c r="O237" t="s">
        <v>65</v>
      </c>
      <c r="P237">
        <v>4</v>
      </c>
    </row>
    <row r="238" spans="1:16" x14ac:dyDescent="0.3">
      <c r="A238">
        <v>3698</v>
      </c>
      <c r="B238">
        <v>45007</v>
      </c>
      <c r="C238">
        <v>39</v>
      </c>
      <c r="D238">
        <v>30845</v>
      </c>
      <c r="E238" t="s">
        <v>14</v>
      </c>
      <c r="F238" t="s">
        <v>15</v>
      </c>
      <c r="G238" t="s">
        <v>34</v>
      </c>
      <c r="H238" t="s">
        <v>64</v>
      </c>
      <c r="I238" t="s">
        <v>9</v>
      </c>
      <c r="J238" t="s">
        <v>25</v>
      </c>
      <c r="K238" t="s">
        <v>19</v>
      </c>
      <c r="L238" t="s">
        <v>12</v>
      </c>
      <c r="M238" t="s">
        <v>60</v>
      </c>
      <c r="N238" t="s">
        <v>23</v>
      </c>
      <c r="O238" t="s">
        <v>65</v>
      </c>
      <c r="P238">
        <v>5</v>
      </c>
    </row>
    <row r="239" spans="1:16" x14ac:dyDescent="0.3">
      <c r="A239">
        <v>3699</v>
      </c>
      <c r="B239">
        <v>44803</v>
      </c>
      <c r="C239">
        <v>45</v>
      </c>
      <c r="D239">
        <v>28156</v>
      </c>
      <c r="E239" t="s">
        <v>14</v>
      </c>
      <c r="F239" t="s">
        <v>22</v>
      </c>
      <c r="G239" t="s">
        <v>40</v>
      </c>
      <c r="H239" t="s">
        <v>8</v>
      </c>
      <c r="I239" t="s">
        <v>66</v>
      </c>
      <c r="J239" t="s">
        <v>20</v>
      </c>
      <c r="K239" t="s">
        <v>26</v>
      </c>
      <c r="L239" t="s">
        <v>12</v>
      </c>
      <c r="M239" t="s">
        <v>42</v>
      </c>
      <c r="N239" t="s">
        <v>46</v>
      </c>
      <c r="O239" t="s">
        <v>65</v>
      </c>
      <c r="P239">
        <v>4</v>
      </c>
    </row>
    <row r="240" spans="1:16" x14ac:dyDescent="0.3">
      <c r="A240">
        <v>3700</v>
      </c>
      <c r="B240">
        <v>43762</v>
      </c>
      <c r="C240">
        <v>31</v>
      </c>
      <c r="D240">
        <v>32245</v>
      </c>
      <c r="E240" t="s">
        <v>14</v>
      </c>
      <c r="F240" t="s">
        <v>22</v>
      </c>
      <c r="G240" t="s">
        <v>40</v>
      </c>
      <c r="H240" t="s">
        <v>8</v>
      </c>
      <c r="I240" t="s">
        <v>9</v>
      </c>
      <c r="J240" t="s">
        <v>20</v>
      </c>
      <c r="K240" t="s">
        <v>19</v>
      </c>
      <c r="L240" t="s">
        <v>12</v>
      </c>
      <c r="M240" t="s">
        <v>59</v>
      </c>
      <c r="N240" t="s">
        <v>23</v>
      </c>
      <c r="O240" t="s">
        <v>65</v>
      </c>
      <c r="P240">
        <v>1</v>
      </c>
    </row>
    <row r="241" spans="1:16" x14ac:dyDescent="0.3">
      <c r="A241">
        <v>3701</v>
      </c>
      <c r="B241">
        <v>43778</v>
      </c>
      <c r="C241">
        <v>71</v>
      </c>
      <c r="D241">
        <v>17704</v>
      </c>
      <c r="E241" t="s">
        <v>14</v>
      </c>
      <c r="F241" t="s">
        <v>22</v>
      </c>
      <c r="G241" t="s">
        <v>31</v>
      </c>
      <c r="H241" t="s">
        <v>8</v>
      </c>
      <c r="I241" t="s">
        <v>9</v>
      </c>
      <c r="J241" t="s">
        <v>20</v>
      </c>
      <c r="K241" t="s">
        <v>26</v>
      </c>
      <c r="L241" t="s">
        <v>12</v>
      </c>
      <c r="M241" t="s">
        <v>58</v>
      </c>
      <c r="N241" t="s">
        <v>30</v>
      </c>
      <c r="O241" t="s">
        <v>65</v>
      </c>
      <c r="P241">
        <v>1</v>
      </c>
    </row>
    <row r="242" spans="1:16" x14ac:dyDescent="0.3">
      <c r="A242">
        <v>3702</v>
      </c>
      <c r="B242">
        <v>43659</v>
      </c>
      <c r="C242">
        <v>43</v>
      </c>
      <c r="D242">
        <v>27872</v>
      </c>
      <c r="E242" t="s">
        <v>14</v>
      </c>
      <c r="F242" t="s">
        <v>22</v>
      </c>
      <c r="G242" t="s">
        <v>31</v>
      </c>
      <c r="H242" t="s">
        <v>8</v>
      </c>
      <c r="I242" t="s">
        <v>9</v>
      </c>
      <c r="J242" t="s">
        <v>20</v>
      </c>
      <c r="K242" t="s">
        <v>11</v>
      </c>
      <c r="L242" t="s">
        <v>12</v>
      </c>
      <c r="M242" t="s">
        <v>21</v>
      </c>
      <c r="N242" t="s">
        <v>46</v>
      </c>
      <c r="O242" t="s">
        <v>41</v>
      </c>
      <c r="P242">
        <v>4</v>
      </c>
    </row>
    <row r="243" spans="1:16" x14ac:dyDescent="0.3">
      <c r="A243">
        <v>3703</v>
      </c>
      <c r="B243">
        <v>44074</v>
      </c>
      <c r="C243">
        <v>69</v>
      </c>
      <c r="D243">
        <v>18674</v>
      </c>
      <c r="E243" t="s">
        <v>14</v>
      </c>
      <c r="F243" t="s">
        <v>15</v>
      </c>
      <c r="G243" t="s">
        <v>17</v>
      </c>
      <c r="H243" t="s">
        <v>8</v>
      </c>
      <c r="I243" t="s">
        <v>9</v>
      </c>
      <c r="J243" t="s">
        <v>20</v>
      </c>
      <c r="K243" t="s">
        <v>19</v>
      </c>
      <c r="L243" t="s">
        <v>12</v>
      </c>
      <c r="M243" t="s">
        <v>42</v>
      </c>
      <c r="N243" t="s">
        <v>16</v>
      </c>
      <c r="O243" t="s">
        <v>41</v>
      </c>
      <c r="P243">
        <v>5</v>
      </c>
    </row>
    <row r="244" spans="1:16" x14ac:dyDescent="0.3">
      <c r="A244">
        <v>3704</v>
      </c>
      <c r="B244">
        <v>43490</v>
      </c>
      <c r="C244">
        <v>43</v>
      </c>
      <c r="D244">
        <v>27795</v>
      </c>
      <c r="E244" t="s">
        <v>14</v>
      </c>
      <c r="F244" t="s">
        <v>15</v>
      </c>
      <c r="G244" t="s">
        <v>34</v>
      </c>
      <c r="H244" t="s">
        <v>8</v>
      </c>
      <c r="I244" t="s">
        <v>9</v>
      </c>
      <c r="J244" t="s">
        <v>25</v>
      </c>
      <c r="K244" t="s">
        <v>11</v>
      </c>
      <c r="L244" t="s">
        <v>12</v>
      </c>
      <c r="M244" t="s">
        <v>35</v>
      </c>
      <c r="N244" t="s">
        <v>46</v>
      </c>
      <c r="O244" t="s">
        <v>41</v>
      </c>
      <c r="P244">
        <v>4</v>
      </c>
    </row>
    <row r="245" spans="1:16" x14ac:dyDescent="0.3">
      <c r="A245">
        <v>3705</v>
      </c>
      <c r="B245">
        <v>44156</v>
      </c>
      <c r="C245">
        <v>53</v>
      </c>
      <c r="D245">
        <v>24619</v>
      </c>
      <c r="E245" t="s">
        <v>14</v>
      </c>
      <c r="F245" t="s">
        <v>15</v>
      </c>
      <c r="G245" t="s">
        <v>31</v>
      </c>
      <c r="H245" t="s">
        <v>8</v>
      </c>
      <c r="I245" t="s">
        <v>9</v>
      </c>
      <c r="J245" t="s">
        <v>25</v>
      </c>
      <c r="K245" t="s">
        <v>19</v>
      </c>
      <c r="L245" t="s">
        <v>12</v>
      </c>
      <c r="M245" t="s">
        <v>28</v>
      </c>
      <c r="N245" t="s">
        <v>16</v>
      </c>
      <c r="O245" t="s">
        <v>41</v>
      </c>
      <c r="P245">
        <v>1</v>
      </c>
    </row>
    <row r="246" spans="1:16" x14ac:dyDescent="0.3">
      <c r="A246">
        <v>3706</v>
      </c>
      <c r="B246">
        <v>43731</v>
      </c>
      <c r="C246">
        <v>45</v>
      </c>
      <c r="D246">
        <v>27341</v>
      </c>
      <c r="E246" t="s">
        <v>14</v>
      </c>
      <c r="F246" t="s">
        <v>22</v>
      </c>
      <c r="G246" t="s">
        <v>40</v>
      </c>
      <c r="H246" t="s">
        <v>8</v>
      </c>
      <c r="I246" t="s">
        <v>9</v>
      </c>
      <c r="J246" t="s">
        <v>25</v>
      </c>
      <c r="K246" t="s">
        <v>26</v>
      </c>
      <c r="L246" t="s">
        <v>12</v>
      </c>
      <c r="M246" t="s">
        <v>35</v>
      </c>
      <c r="N246" t="s">
        <v>16</v>
      </c>
      <c r="O246" t="s">
        <v>41</v>
      </c>
      <c r="P246">
        <v>1</v>
      </c>
    </row>
    <row r="247" spans="1:16" x14ac:dyDescent="0.3">
      <c r="A247">
        <v>3707</v>
      </c>
      <c r="B247">
        <v>44906</v>
      </c>
      <c r="C247">
        <v>27</v>
      </c>
      <c r="D247">
        <v>35034</v>
      </c>
      <c r="E247" t="s">
        <v>14</v>
      </c>
      <c r="F247" t="s">
        <v>22</v>
      </c>
      <c r="G247" t="s">
        <v>40</v>
      </c>
      <c r="H247" t="s">
        <v>8</v>
      </c>
      <c r="I247" t="s">
        <v>9</v>
      </c>
      <c r="J247" t="s">
        <v>10</v>
      </c>
      <c r="K247" t="s">
        <v>26</v>
      </c>
      <c r="L247" t="s">
        <v>12</v>
      </c>
      <c r="M247" t="s">
        <v>42</v>
      </c>
      <c r="N247" t="s">
        <v>46</v>
      </c>
      <c r="O247" t="s">
        <v>41</v>
      </c>
      <c r="P247">
        <v>2</v>
      </c>
    </row>
    <row r="248" spans="1:16" x14ac:dyDescent="0.3">
      <c r="A248">
        <v>3708</v>
      </c>
      <c r="B248">
        <v>44064</v>
      </c>
      <c r="C248">
        <v>46</v>
      </c>
      <c r="D248">
        <v>27079</v>
      </c>
      <c r="E248" t="s">
        <v>14</v>
      </c>
      <c r="F248" t="s">
        <v>22</v>
      </c>
      <c r="G248" t="s">
        <v>34</v>
      </c>
      <c r="H248" t="s">
        <v>8</v>
      </c>
      <c r="I248" t="s">
        <v>9</v>
      </c>
      <c r="J248" t="s">
        <v>25</v>
      </c>
      <c r="K248" t="s">
        <v>11</v>
      </c>
      <c r="L248" t="s">
        <v>12</v>
      </c>
      <c r="M248" t="s">
        <v>55</v>
      </c>
      <c r="N248" t="s">
        <v>37</v>
      </c>
      <c r="O248" t="s">
        <v>41</v>
      </c>
      <c r="P248">
        <v>5</v>
      </c>
    </row>
    <row r="249" spans="1:16" x14ac:dyDescent="0.3">
      <c r="A249">
        <v>3709</v>
      </c>
      <c r="B249">
        <v>43500</v>
      </c>
      <c r="C249">
        <v>50</v>
      </c>
      <c r="D249">
        <v>25464</v>
      </c>
      <c r="E249" t="s">
        <v>14</v>
      </c>
      <c r="F249" t="s">
        <v>22</v>
      </c>
      <c r="G249" t="s">
        <v>40</v>
      </c>
      <c r="H249" t="s">
        <v>8</v>
      </c>
      <c r="I249" t="s">
        <v>9</v>
      </c>
      <c r="J249" t="s">
        <v>25</v>
      </c>
      <c r="K249" t="s">
        <v>11</v>
      </c>
      <c r="L249" t="s">
        <v>12</v>
      </c>
      <c r="M249" t="s">
        <v>49</v>
      </c>
      <c r="N249" t="s">
        <v>37</v>
      </c>
      <c r="O249" t="s">
        <v>41</v>
      </c>
      <c r="P249">
        <v>5</v>
      </c>
    </row>
    <row r="250" spans="1:16" x14ac:dyDescent="0.3">
      <c r="A250">
        <v>3710</v>
      </c>
      <c r="B250">
        <v>44498</v>
      </c>
      <c r="C250">
        <v>61</v>
      </c>
      <c r="D250">
        <v>22205</v>
      </c>
      <c r="E250" t="s">
        <v>14</v>
      </c>
      <c r="F250" t="s">
        <v>15</v>
      </c>
      <c r="G250" t="s">
        <v>31</v>
      </c>
      <c r="H250" t="s">
        <v>8</v>
      </c>
      <c r="I250" t="s">
        <v>9</v>
      </c>
      <c r="J250" t="s">
        <v>25</v>
      </c>
      <c r="K250" t="s">
        <v>11</v>
      </c>
      <c r="L250" t="s">
        <v>12</v>
      </c>
      <c r="M250" t="s">
        <v>21</v>
      </c>
      <c r="N250" t="s">
        <v>23</v>
      </c>
      <c r="O250" t="s">
        <v>41</v>
      </c>
      <c r="P250">
        <v>5</v>
      </c>
    </row>
    <row r="251" spans="1:16" x14ac:dyDescent="0.3">
      <c r="A251">
        <v>3711</v>
      </c>
      <c r="B251">
        <v>44394</v>
      </c>
      <c r="C251">
        <v>40</v>
      </c>
      <c r="D251">
        <v>29589</v>
      </c>
      <c r="E251" t="s">
        <v>14</v>
      </c>
      <c r="F251" t="s">
        <v>15</v>
      </c>
      <c r="G251" t="s">
        <v>31</v>
      </c>
      <c r="H251" t="s">
        <v>8</v>
      </c>
      <c r="I251" t="s">
        <v>9</v>
      </c>
      <c r="J251" t="s">
        <v>20</v>
      </c>
      <c r="K251" t="s">
        <v>19</v>
      </c>
      <c r="L251" t="s">
        <v>12</v>
      </c>
      <c r="M251" t="s">
        <v>13</v>
      </c>
      <c r="N251" t="s">
        <v>37</v>
      </c>
      <c r="O251" t="s">
        <v>56</v>
      </c>
      <c r="P251">
        <v>3</v>
      </c>
    </row>
    <row r="252" spans="1:16" x14ac:dyDescent="0.3">
      <c r="A252">
        <v>3713</v>
      </c>
      <c r="B252">
        <v>44033</v>
      </c>
      <c r="C252">
        <v>35</v>
      </c>
      <c r="D252">
        <v>31147</v>
      </c>
      <c r="E252" t="s">
        <v>14</v>
      </c>
      <c r="F252" t="s">
        <v>22</v>
      </c>
      <c r="G252" t="s">
        <v>17</v>
      </c>
      <c r="H252" t="s">
        <v>8</v>
      </c>
      <c r="I252" t="s">
        <v>9</v>
      </c>
      <c r="J252" t="s">
        <v>25</v>
      </c>
      <c r="K252" t="s">
        <v>26</v>
      </c>
      <c r="L252" t="s">
        <v>12</v>
      </c>
      <c r="M252" t="s">
        <v>28</v>
      </c>
      <c r="N252" t="s">
        <v>23</v>
      </c>
      <c r="O252" t="s">
        <v>18</v>
      </c>
      <c r="P252">
        <v>4</v>
      </c>
    </row>
    <row r="253" spans="1:16" x14ac:dyDescent="0.3">
      <c r="A253">
        <v>3714</v>
      </c>
      <c r="B253">
        <v>43849</v>
      </c>
      <c r="C253">
        <v>55</v>
      </c>
      <c r="D253">
        <v>23851</v>
      </c>
      <c r="E253" t="s">
        <v>14</v>
      </c>
      <c r="F253" t="s">
        <v>22</v>
      </c>
      <c r="G253" t="s">
        <v>34</v>
      </c>
      <c r="H253" t="s">
        <v>8</v>
      </c>
      <c r="I253" t="s">
        <v>9</v>
      </c>
      <c r="J253" t="s">
        <v>25</v>
      </c>
      <c r="K253" t="s">
        <v>26</v>
      </c>
      <c r="L253" t="s">
        <v>12</v>
      </c>
      <c r="M253" t="s">
        <v>35</v>
      </c>
      <c r="N253" t="s">
        <v>16</v>
      </c>
      <c r="O253" t="s">
        <v>18</v>
      </c>
      <c r="P253">
        <v>5</v>
      </c>
    </row>
    <row r="254" spans="1:16" x14ac:dyDescent="0.3">
      <c r="A254">
        <v>3715</v>
      </c>
      <c r="B254">
        <v>44451</v>
      </c>
      <c r="C254">
        <v>45</v>
      </c>
      <c r="D254">
        <v>27824</v>
      </c>
      <c r="E254" t="s">
        <v>14</v>
      </c>
      <c r="F254" t="s">
        <v>22</v>
      </c>
      <c r="G254" t="s">
        <v>17</v>
      </c>
      <c r="H254" t="s">
        <v>8</v>
      </c>
      <c r="I254" t="s">
        <v>9</v>
      </c>
      <c r="J254" t="s">
        <v>10</v>
      </c>
      <c r="K254" t="s">
        <v>19</v>
      </c>
      <c r="L254" t="s">
        <v>12</v>
      </c>
      <c r="M254" t="s">
        <v>54</v>
      </c>
      <c r="N254" t="s">
        <v>37</v>
      </c>
      <c r="O254" t="s">
        <v>18</v>
      </c>
      <c r="P254">
        <v>1</v>
      </c>
    </row>
    <row r="255" spans="1:16" x14ac:dyDescent="0.3">
      <c r="A255">
        <v>3716</v>
      </c>
      <c r="B255">
        <v>44773</v>
      </c>
      <c r="C255">
        <v>29</v>
      </c>
      <c r="D255">
        <v>34147</v>
      </c>
      <c r="E255" t="s">
        <v>14</v>
      </c>
      <c r="F255" t="s">
        <v>15</v>
      </c>
      <c r="G255" t="s">
        <v>34</v>
      </c>
      <c r="H255" t="s">
        <v>64</v>
      </c>
      <c r="I255" t="s">
        <v>66</v>
      </c>
      <c r="J255" t="s">
        <v>25</v>
      </c>
      <c r="K255" t="s">
        <v>19</v>
      </c>
      <c r="L255" t="s">
        <v>12</v>
      </c>
      <c r="M255" t="s">
        <v>32</v>
      </c>
      <c r="N255" t="s">
        <v>37</v>
      </c>
      <c r="O255" t="s">
        <v>18</v>
      </c>
      <c r="P255">
        <v>3</v>
      </c>
    </row>
    <row r="256" spans="1:16" x14ac:dyDescent="0.3">
      <c r="A256">
        <v>3717</v>
      </c>
      <c r="B256">
        <v>45064</v>
      </c>
      <c r="C256">
        <v>31</v>
      </c>
      <c r="D256">
        <v>33915</v>
      </c>
      <c r="E256" t="s">
        <v>14</v>
      </c>
      <c r="F256" t="s">
        <v>15</v>
      </c>
      <c r="G256" t="s">
        <v>34</v>
      </c>
      <c r="H256" t="s">
        <v>64</v>
      </c>
      <c r="I256" t="s">
        <v>9</v>
      </c>
      <c r="J256" t="s">
        <v>10</v>
      </c>
      <c r="K256" t="s">
        <v>26</v>
      </c>
      <c r="L256" t="s">
        <v>12</v>
      </c>
      <c r="M256" t="s">
        <v>35</v>
      </c>
      <c r="N256" t="s">
        <v>46</v>
      </c>
      <c r="O256" t="s">
        <v>18</v>
      </c>
      <c r="P256">
        <v>1</v>
      </c>
    </row>
    <row r="257" spans="1:16" x14ac:dyDescent="0.3">
      <c r="A257">
        <v>3718</v>
      </c>
      <c r="B257">
        <v>44341</v>
      </c>
      <c r="C257">
        <v>75</v>
      </c>
      <c r="D257">
        <v>17060</v>
      </c>
      <c r="E257" t="s">
        <v>14</v>
      </c>
      <c r="F257" t="s">
        <v>15</v>
      </c>
      <c r="G257" t="s">
        <v>34</v>
      </c>
      <c r="H257" t="s">
        <v>64</v>
      </c>
      <c r="I257" t="s">
        <v>66</v>
      </c>
      <c r="J257" t="s">
        <v>10</v>
      </c>
      <c r="K257" t="s">
        <v>11</v>
      </c>
      <c r="L257" t="s">
        <v>12</v>
      </c>
      <c r="M257" t="s">
        <v>35</v>
      </c>
      <c r="N257" t="s">
        <v>30</v>
      </c>
      <c r="O257" t="s">
        <v>18</v>
      </c>
      <c r="P257">
        <v>1</v>
      </c>
    </row>
    <row r="258" spans="1:16" x14ac:dyDescent="0.3">
      <c r="A258">
        <v>3719</v>
      </c>
      <c r="B258">
        <v>44764</v>
      </c>
      <c r="C258">
        <v>75</v>
      </c>
      <c r="D258">
        <v>17356</v>
      </c>
      <c r="E258" t="s">
        <v>14</v>
      </c>
      <c r="F258" t="s">
        <v>15</v>
      </c>
      <c r="G258" t="s">
        <v>40</v>
      </c>
      <c r="H258" t="s">
        <v>64</v>
      </c>
      <c r="I258" t="s">
        <v>9</v>
      </c>
      <c r="J258" t="s">
        <v>10</v>
      </c>
      <c r="K258" t="s">
        <v>26</v>
      </c>
      <c r="L258" t="s">
        <v>12</v>
      </c>
      <c r="M258" t="s">
        <v>69</v>
      </c>
      <c r="N258" t="s">
        <v>23</v>
      </c>
      <c r="O258" t="s">
        <v>18</v>
      </c>
      <c r="P258">
        <v>2</v>
      </c>
    </row>
    <row r="259" spans="1:16" x14ac:dyDescent="0.3">
      <c r="A259">
        <v>3720</v>
      </c>
      <c r="B259">
        <v>43608</v>
      </c>
      <c r="C259">
        <v>61</v>
      </c>
      <c r="D259">
        <v>21537</v>
      </c>
      <c r="E259" t="s">
        <v>14</v>
      </c>
      <c r="F259" t="s">
        <v>15</v>
      </c>
      <c r="G259" t="s">
        <v>31</v>
      </c>
      <c r="H259" t="s">
        <v>64</v>
      </c>
      <c r="I259" t="s">
        <v>9</v>
      </c>
      <c r="J259" t="s">
        <v>20</v>
      </c>
      <c r="K259" t="s">
        <v>26</v>
      </c>
      <c r="L259" t="s">
        <v>12</v>
      </c>
      <c r="M259" t="s">
        <v>35</v>
      </c>
      <c r="N259" t="s">
        <v>16</v>
      </c>
      <c r="O259" t="s">
        <v>18</v>
      </c>
      <c r="P259">
        <v>1</v>
      </c>
    </row>
    <row r="260" spans="1:16" x14ac:dyDescent="0.3">
      <c r="A260">
        <v>3721</v>
      </c>
      <c r="B260">
        <v>43873</v>
      </c>
      <c r="C260">
        <v>60</v>
      </c>
      <c r="D260">
        <v>21999</v>
      </c>
      <c r="E260" t="s">
        <v>14</v>
      </c>
      <c r="F260" t="s">
        <v>22</v>
      </c>
      <c r="G260" t="s">
        <v>17</v>
      </c>
      <c r="H260" t="s">
        <v>8</v>
      </c>
      <c r="I260" t="s">
        <v>9</v>
      </c>
      <c r="J260" t="s">
        <v>25</v>
      </c>
      <c r="K260" t="s">
        <v>26</v>
      </c>
      <c r="L260" t="s">
        <v>12</v>
      </c>
      <c r="M260" t="s">
        <v>55</v>
      </c>
      <c r="N260" t="s">
        <v>37</v>
      </c>
      <c r="O260" t="s">
        <v>18</v>
      </c>
      <c r="P260">
        <v>4</v>
      </c>
    </row>
    <row r="261" spans="1:16" x14ac:dyDescent="0.3">
      <c r="A261">
        <v>3722</v>
      </c>
      <c r="B261">
        <v>43877</v>
      </c>
      <c r="C261">
        <v>73</v>
      </c>
      <c r="D261">
        <v>17410</v>
      </c>
      <c r="E261" t="s">
        <v>14</v>
      </c>
      <c r="F261" t="s">
        <v>22</v>
      </c>
      <c r="G261" t="s">
        <v>34</v>
      </c>
      <c r="H261" t="s">
        <v>8</v>
      </c>
      <c r="I261" t="s">
        <v>66</v>
      </c>
      <c r="J261" t="s">
        <v>20</v>
      </c>
      <c r="K261" t="s">
        <v>26</v>
      </c>
      <c r="L261" t="s">
        <v>12</v>
      </c>
      <c r="M261" t="s">
        <v>35</v>
      </c>
      <c r="N261" t="s">
        <v>16</v>
      </c>
      <c r="O261" t="s">
        <v>18</v>
      </c>
      <c r="P261">
        <v>5</v>
      </c>
    </row>
    <row r="262" spans="1:16" x14ac:dyDescent="0.3">
      <c r="A262">
        <v>3723</v>
      </c>
      <c r="B262">
        <v>44680</v>
      </c>
      <c r="C262">
        <v>50</v>
      </c>
      <c r="D262">
        <v>26541</v>
      </c>
      <c r="E262" t="s">
        <v>14</v>
      </c>
      <c r="F262" t="s">
        <v>22</v>
      </c>
      <c r="G262" t="s">
        <v>34</v>
      </c>
      <c r="H262" t="s">
        <v>8</v>
      </c>
      <c r="I262" t="s">
        <v>66</v>
      </c>
      <c r="J262" t="s">
        <v>25</v>
      </c>
      <c r="K262" t="s">
        <v>19</v>
      </c>
      <c r="L262" t="s">
        <v>12</v>
      </c>
      <c r="M262" t="s">
        <v>59</v>
      </c>
      <c r="N262" t="s">
        <v>46</v>
      </c>
      <c r="O262" t="s">
        <v>18</v>
      </c>
      <c r="P262">
        <v>1</v>
      </c>
    </row>
    <row r="263" spans="1:16" x14ac:dyDescent="0.3">
      <c r="A263">
        <v>3724</v>
      </c>
      <c r="B263">
        <v>43748</v>
      </c>
      <c r="C263">
        <v>50</v>
      </c>
      <c r="D263">
        <v>25532</v>
      </c>
      <c r="E263" t="s">
        <v>14</v>
      </c>
      <c r="F263" t="s">
        <v>22</v>
      </c>
      <c r="G263" t="s">
        <v>40</v>
      </c>
      <c r="H263" t="s">
        <v>8</v>
      </c>
      <c r="I263" t="s">
        <v>66</v>
      </c>
      <c r="J263" t="s">
        <v>20</v>
      </c>
      <c r="K263" t="s">
        <v>11</v>
      </c>
      <c r="L263" t="s">
        <v>12</v>
      </c>
      <c r="M263" t="s">
        <v>35</v>
      </c>
      <c r="N263" t="s">
        <v>46</v>
      </c>
      <c r="O263" t="s">
        <v>18</v>
      </c>
      <c r="P263">
        <v>2</v>
      </c>
    </row>
    <row r="264" spans="1:16" x14ac:dyDescent="0.3">
      <c r="A264">
        <v>3725</v>
      </c>
      <c r="B264">
        <v>43562</v>
      </c>
      <c r="C264">
        <v>64</v>
      </c>
      <c r="D264">
        <v>20322</v>
      </c>
      <c r="E264" t="s">
        <v>14</v>
      </c>
      <c r="F264" t="s">
        <v>22</v>
      </c>
      <c r="G264" t="s">
        <v>17</v>
      </c>
      <c r="H264" t="s">
        <v>8</v>
      </c>
      <c r="I264" t="s">
        <v>9</v>
      </c>
      <c r="J264" t="s">
        <v>10</v>
      </c>
      <c r="K264" t="s">
        <v>26</v>
      </c>
      <c r="L264" t="s">
        <v>12</v>
      </c>
      <c r="M264" t="s">
        <v>21</v>
      </c>
      <c r="N264" t="s">
        <v>46</v>
      </c>
      <c r="O264" t="s">
        <v>18</v>
      </c>
      <c r="P264">
        <v>3</v>
      </c>
    </row>
    <row r="265" spans="1:16" x14ac:dyDescent="0.3">
      <c r="A265">
        <v>3726</v>
      </c>
      <c r="B265">
        <v>44025</v>
      </c>
      <c r="C265">
        <v>25</v>
      </c>
      <c r="D265">
        <v>34905</v>
      </c>
      <c r="E265" t="s">
        <v>14</v>
      </c>
      <c r="F265" t="s">
        <v>15</v>
      </c>
      <c r="G265" t="s">
        <v>34</v>
      </c>
      <c r="H265" t="s">
        <v>8</v>
      </c>
      <c r="I265" t="s">
        <v>9</v>
      </c>
      <c r="J265" t="s">
        <v>10</v>
      </c>
      <c r="K265" t="s">
        <v>19</v>
      </c>
      <c r="L265" t="s">
        <v>12</v>
      </c>
      <c r="M265" t="s">
        <v>32</v>
      </c>
      <c r="N265" t="s">
        <v>30</v>
      </c>
      <c r="O265" t="s">
        <v>18</v>
      </c>
      <c r="P265">
        <v>4</v>
      </c>
    </row>
    <row r="266" spans="1:16" x14ac:dyDescent="0.3">
      <c r="A266">
        <v>3727</v>
      </c>
      <c r="B266">
        <v>44434</v>
      </c>
      <c r="C266">
        <v>76</v>
      </c>
      <c r="D266">
        <v>16452</v>
      </c>
      <c r="E266" t="s">
        <v>14</v>
      </c>
      <c r="F266" t="s">
        <v>15</v>
      </c>
      <c r="G266" t="s">
        <v>40</v>
      </c>
      <c r="H266" t="s">
        <v>8</v>
      </c>
      <c r="I266" t="s">
        <v>9</v>
      </c>
      <c r="J266" t="s">
        <v>20</v>
      </c>
      <c r="K266" t="s">
        <v>11</v>
      </c>
      <c r="L266" t="s">
        <v>12</v>
      </c>
      <c r="M266" t="s">
        <v>35</v>
      </c>
      <c r="N266" t="s">
        <v>30</v>
      </c>
      <c r="O266" t="s">
        <v>18</v>
      </c>
      <c r="P266">
        <v>2</v>
      </c>
    </row>
    <row r="267" spans="1:16" x14ac:dyDescent="0.3">
      <c r="A267">
        <v>3728</v>
      </c>
      <c r="B267">
        <v>44553</v>
      </c>
      <c r="C267">
        <v>54</v>
      </c>
      <c r="D267">
        <v>24510</v>
      </c>
      <c r="E267" t="s">
        <v>14</v>
      </c>
      <c r="F267" t="s">
        <v>22</v>
      </c>
      <c r="G267" t="s">
        <v>40</v>
      </c>
      <c r="H267" t="s">
        <v>8</v>
      </c>
      <c r="I267" t="s">
        <v>9</v>
      </c>
      <c r="J267" t="s">
        <v>10</v>
      </c>
      <c r="K267" t="s">
        <v>19</v>
      </c>
      <c r="L267" t="s">
        <v>12</v>
      </c>
      <c r="M267" t="s">
        <v>49</v>
      </c>
      <c r="N267" t="s">
        <v>23</v>
      </c>
      <c r="O267" t="s">
        <v>18</v>
      </c>
      <c r="P267">
        <v>1</v>
      </c>
    </row>
    <row r="268" spans="1:16" x14ac:dyDescent="0.3">
      <c r="A268">
        <v>3729</v>
      </c>
      <c r="B268">
        <v>44903</v>
      </c>
      <c r="C268">
        <v>79</v>
      </c>
      <c r="D268">
        <v>15707</v>
      </c>
      <c r="E268" t="s">
        <v>14</v>
      </c>
      <c r="F268" t="s">
        <v>22</v>
      </c>
      <c r="G268" t="s">
        <v>40</v>
      </c>
      <c r="H268" t="s">
        <v>8</v>
      </c>
      <c r="I268" t="s">
        <v>9</v>
      </c>
      <c r="J268" t="s">
        <v>10</v>
      </c>
      <c r="K268" t="s">
        <v>26</v>
      </c>
      <c r="L268" t="s">
        <v>12</v>
      </c>
      <c r="M268" t="s">
        <v>59</v>
      </c>
      <c r="N268" t="s">
        <v>30</v>
      </c>
      <c r="O268" t="s">
        <v>18</v>
      </c>
      <c r="P268">
        <v>5</v>
      </c>
    </row>
    <row r="269" spans="1:16" x14ac:dyDescent="0.3">
      <c r="A269">
        <v>3730</v>
      </c>
      <c r="B269">
        <v>44579</v>
      </c>
      <c r="C269">
        <v>57</v>
      </c>
      <c r="D269">
        <v>24084</v>
      </c>
      <c r="E269" t="s">
        <v>14</v>
      </c>
      <c r="F269" t="s">
        <v>22</v>
      </c>
      <c r="G269" t="s">
        <v>17</v>
      </c>
      <c r="H269" t="s">
        <v>8</v>
      </c>
      <c r="I269" t="s">
        <v>9</v>
      </c>
      <c r="J269" t="s">
        <v>10</v>
      </c>
      <c r="K269" t="s">
        <v>26</v>
      </c>
      <c r="L269" t="s">
        <v>12</v>
      </c>
      <c r="M269" t="s">
        <v>55</v>
      </c>
      <c r="N269" t="s">
        <v>37</v>
      </c>
      <c r="O269" t="s">
        <v>18</v>
      </c>
      <c r="P269">
        <v>5</v>
      </c>
    </row>
    <row r="270" spans="1:16" x14ac:dyDescent="0.3">
      <c r="A270">
        <v>3731</v>
      </c>
      <c r="B270">
        <v>43889</v>
      </c>
      <c r="C270">
        <v>22</v>
      </c>
      <c r="D270">
        <v>35980</v>
      </c>
      <c r="E270" t="s">
        <v>14</v>
      </c>
      <c r="F270" t="s">
        <v>22</v>
      </c>
      <c r="G270" t="s">
        <v>31</v>
      </c>
      <c r="H270" t="s">
        <v>8</v>
      </c>
      <c r="I270" t="s">
        <v>9</v>
      </c>
      <c r="J270" t="s">
        <v>20</v>
      </c>
      <c r="K270" t="s">
        <v>26</v>
      </c>
      <c r="L270" t="s">
        <v>12</v>
      </c>
      <c r="M270" t="s">
        <v>35</v>
      </c>
      <c r="N270" t="s">
        <v>23</v>
      </c>
      <c r="O270" t="s">
        <v>18</v>
      </c>
      <c r="P270">
        <v>4</v>
      </c>
    </row>
    <row r="271" spans="1:16" x14ac:dyDescent="0.3">
      <c r="A271">
        <v>3732</v>
      </c>
      <c r="B271">
        <v>43982</v>
      </c>
      <c r="C271">
        <v>66</v>
      </c>
      <c r="D271">
        <v>19908</v>
      </c>
      <c r="E271" t="s">
        <v>14</v>
      </c>
      <c r="F271" t="s">
        <v>22</v>
      </c>
      <c r="G271" t="s">
        <v>17</v>
      </c>
      <c r="H271" t="s">
        <v>8</v>
      </c>
      <c r="I271" t="s">
        <v>9</v>
      </c>
      <c r="J271" t="s">
        <v>20</v>
      </c>
      <c r="K271" t="s">
        <v>26</v>
      </c>
      <c r="L271" t="s">
        <v>12</v>
      </c>
      <c r="M271" t="s">
        <v>35</v>
      </c>
      <c r="N271" t="s">
        <v>37</v>
      </c>
      <c r="O271" t="s">
        <v>18</v>
      </c>
      <c r="P271">
        <v>4</v>
      </c>
    </row>
    <row r="272" spans="1:16" x14ac:dyDescent="0.3">
      <c r="A272">
        <v>3734</v>
      </c>
      <c r="B272">
        <v>43531</v>
      </c>
      <c r="C272">
        <v>55</v>
      </c>
      <c r="D272">
        <v>23579</v>
      </c>
      <c r="E272" t="s">
        <v>14</v>
      </c>
      <c r="F272" t="s">
        <v>22</v>
      </c>
      <c r="G272" t="s">
        <v>40</v>
      </c>
      <c r="H272" t="s">
        <v>8</v>
      </c>
      <c r="I272" t="s">
        <v>9</v>
      </c>
      <c r="J272" t="s">
        <v>25</v>
      </c>
      <c r="K272" t="s">
        <v>11</v>
      </c>
      <c r="L272" t="s">
        <v>12</v>
      </c>
      <c r="M272" t="s">
        <v>68</v>
      </c>
      <c r="N272" t="s">
        <v>16</v>
      </c>
      <c r="O272" t="s">
        <v>18</v>
      </c>
      <c r="P272">
        <v>5</v>
      </c>
    </row>
    <row r="273" spans="1:16" x14ac:dyDescent="0.3">
      <c r="A273">
        <v>3735</v>
      </c>
      <c r="B273">
        <v>43614</v>
      </c>
      <c r="C273">
        <v>56</v>
      </c>
      <c r="D273">
        <v>23203</v>
      </c>
      <c r="E273" t="s">
        <v>14</v>
      </c>
      <c r="F273" t="s">
        <v>22</v>
      </c>
      <c r="G273" t="s">
        <v>34</v>
      </c>
      <c r="H273" t="s">
        <v>8</v>
      </c>
      <c r="I273" t="s">
        <v>9</v>
      </c>
      <c r="J273" t="s">
        <v>10</v>
      </c>
      <c r="K273" t="s">
        <v>11</v>
      </c>
      <c r="L273" t="s">
        <v>12</v>
      </c>
      <c r="M273" t="s">
        <v>61</v>
      </c>
      <c r="N273" t="s">
        <v>16</v>
      </c>
      <c r="O273" t="s">
        <v>18</v>
      </c>
      <c r="P273">
        <v>4</v>
      </c>
    </row>
    <row r="274" spans="1:16" x14ac:dyDescent="0.3">
      <c r="A274">
        <v>3736</v>
      </c>
      <c r="B274">
        <v>44122</v>
      </c>
      <c r="C274">
        <v>44</v>
      </c>
      <c r="D274">
        <v>27943</v>
      </c>
      <c r="E274" t="s">
        <v>14</v>
      </c>
      <c r="F274" t="s">
        <v>22</v>
      </c>
      <c r="G274" t="s">
        <v>34</v>
      </c>
      <c r="H274" t="s">
        <v>8</v>
      </c>
      <c r="I274" t="s">
        <v>9</v>
      </c>
      <c r="J274" t="s">
        <v>25</v>
      </c>
      <c r="K274" t="s">
        <v>19</v>
      </c>
      <c r="L274" t="s">
        <v>12</v>
      </c>
      <c r="M274" t="s">
        <v>59</v>
      </c>
      <c r="N274" t="s">
        <v>30</v>
      </c>
      <c r="O274" t="s">
        <v>18</v>
      </c>
      <c r="P274">
        <v>1</v>
      </c>
    </row>
    <row r="275" spans="1:16" x14ac:dyDescent="0.3">
      <c r="A275">
        <v>3737</v>
      </c>
      <c r="B275">
        <v>43423</v>
      </c>
      <c r="C275">
        <v>72</v>
      </c>
      <c r="D275">
        <v>17147</v>
      </c>
      <c r="E275" t="s">
        <v>14</v>
      </c>
      <c r="F275" t="s">
        <v>22</v>
      </c>
      <c r="G275" t="s">
        <v>40</v>
      </c>
      <c r="H275" t="s">
        <v>8</v>
      </c>
      <c r="I275" t="s">
        <v>9</v>
      </c>
      <c r="J275" t="s">
        <v>20</v>
      </c>
      <c r="K275" t="s">
        <v>26</v>
      </c>
      <c r="L275" t="s">
        <v>12</v>
      </c>
      <c r="M275" t="s">
        <v>62</v>
      </c>
      <c r="N275" t="s">
        <v>23</v>
      </c>
      <c r="O275" t="s">
        <v>18</v>
      </c>
      <c r="P275">
        <v>5</v>
      </c>
    </row>
    <row r="276" spans="1:16" x14ac:dyDescent="0.3">
      <c r="A276">
        <v>3738</v>
      </c>
      <c r="B276">
        <v>44666</v>
      </c>
      <c r="C276">
        <v>22</v>
      </c>
      <c r="D276">
        <v>36772</v>
      </c>
      <c r="E276" t="s">
        <v>14</v>
      </c>
      <c r="F276" t="s">
        <v>15</v>
      </c>
      <c r="G276" t="s">
        <v>17</v>
      </c>
      <c r="H276" t="s">
        <v>64</v>
      </c>
      <c r="I276" t="s">
        <v>66</v>
      </c>
      <c r="J276" t="s">
        <v>25</v>
      </c>
      <c r="K276" t="s">
        <v>19</v>
      </c>
      <c r="L276" t="s">
        <v>12</v>
      </c>
      <c r="M276" t="s">
        <v>32</v>
      </c>
      <c r="N276" t="s">
        <v>23</v>
      </c>
      <c r="O276" t="s">
        <v>18</v>
      </c>
      <c r="P276">
        <v>3</v>
      </c>
    </row>
    <row r="277" spans="1:16" x14ac:dyDescent="0.3">
      <c r="A277">
        <v>3739</v>
      </c>
      <c r="B277">
        <v>43336</v>
      </c>
      <c r="C277">
        <v>67</v>
      </c>
      <c r="D277">
        <v>18696</v>
      </c>
      <c r="E277" t="s">
        <v>14</v>
      </c>
      <c r="F277" t="s">
        <v>15</v>
      </c>
      <c r="G277" t="s">
        <v>40</v>
      </c>
      <c r="H277" t="s">
        <v>64</v>
      </c>
      <c r="I277" t="s">
        <v>66</v>
      </c>
      <c r="J277" t="s">
        <v>25</v>
      </c>
      <c r="K277" t="s">
        <v>26</v>
      </c>
      <c r="L277" t="s">
        <v>12</v>
      </c>
      <c r="M277" t="s">
        <v>35</v>
      </c>
      <c r="N277" t="s">
        <v>46</v>
      </c>
      <c r="O277" t="s">
        <v>18</v>
      </c>
      <c r="P277">
        <v>3</v>
      </c>
    </row>
    <row r="278" spans="1:16" x14ac:dyDescent="0.3">
      <c r="A278">
        <v>3740</v>
      </c>
      <c r="B278">
        <v>44849</v>
      </c>
      <c r="C278">
        <v>21</v>
      </c>
      <c r="D278">
        <v>37035</v>
      </c>
      <c r="E278" t="s">
        <v>14</v>
      </c>
      <c r="F278" t="s">
        <v>15</v>
      </c>
      <c r="G278" t="s">
        <v>31</v>
      </c>
      <c r="H278" t="s">
        <v>64</v>
      </c>
      <c r="I278" t="s">
        <v>66</v>
      </c>
      <c r="J278" t="s">
        <v>25</v>
      </c>
      <c r="K278" t="s">
        <v>11</v>
      </c>
      <c r="L278" t="s">
        <v>12</v>
      </c>
      <c r="M278" t="s">
        <v>62</v>
      </c>
      <c r="N278" t="s">
        <v>30</v>
      </c>
      <c r="O278" t="s">
        <v>18</v>
      </c>
      <c r="P278">
        <v>2</v>
      </c>
    </row>
    <row r="279" spans="1:16" x14ac:dyDescent="0.3">
      <c r="A279">
        <v>3741</v>
      </c>
      <c r="B279">
        <v>44984</v>
      </c>
      <c r="C279">
        <v>75</v>
      </c>
      <c r="D279">
        <v>17790</v>
      </c>
      <c r="E279" t="s">
        <v>14</v>
      </c>
      <c r="F279" t="s">
        <v>15</v>
      </c>
      <c r="G279" t="s">
        <v>17</v>
      </c>
      <c r="H279" t="s">
        <v>64</v>
      </c>
      <c r="I279" t="s">
        <v>66</v>
      </c>
      <c r="J279" t="s">
        <v>25</v>
      </c>
      <c r="K279" t="s">
        <v>19</v>
      </c>
      <c r="L279" t="s">
        <v>12</v>
      </c>
      <c r="M279" t="s">
        <v>35</v>
      </c>
      <c r="N279" t="s">
        <v>23</v>
      </c>
      <c r="O279" t="s">
        <v>18</v>
      </c>
      <c r="P279">
        <v>5</v>
      </c>
    </row>
    <row r="280" spans="1:16" x14ac:dyDescent="0.3">
      <c r="A280">
        <v>3742</v>
      </c>
      <c r="B280">
        <v>44461</v>
      </c>
      <c r="C280">
        <v>40</v>
      </c>
      <c r="D280">
        <v>29841</v>
      </c>
      <c r="E280" t="s">
        <v>14</v>
      </c>
      <c r="F280" t="s">
        <v>15</v>
      </c>
      <c r="G280" t="s">
        <v>34</v>
      </c>
      <c r="H280" t="s">
        <v>64</v>
      </c>
      <c r="I280" t="s">
        <v>9</v>
      </c>
      <c r="J280" t="s">
        <v>10</v>
      </c>
      <c r="K280" t="s">
        <v>19</v>
      </c>
      <c r="L280" t="s">
        <v>12</v>
      </c>
      <c r="M280" t="s">
        <v>35</v>
      </c>
      <c r="N280" t="s">
        <v>46</v>
      </c>
      <c r="O280" t="s">
        <v>18</v>
      </c>
      <c r="P280">
        <v>1</v>
      </c>
    </row>
    <row r="281" spans="1:16" x14ac:dyDescent="0.3">
      <c r="A281">
        <v>3743</v>
      </c>
      <c r="B281">
        <v>43981</v>
      </c>
      <c r="C281">
        <v>70</v>
      </c>
      <c r="D281">
        <v>18519</v>
      </c>
      <c r="E281" t="s">
        <v>14</v>
      </c>
      <c r="F281" t="s">
        <v>22</v>
      </c>
      <c r="G281" t="s">
        <v>34</v>
      </c>
      <c r="H281" t="s">
        <v>8</v>
      </c>
      <c r="I281" t="s">
        <v>9</v>
      </c>
      <c r="J281" t="s">
        <v>10</v>
      </c>
      <c r="K281" t="s">
        <v>19</v>
      </c>
      <c r="L281" t="s">
        <v>12</v>
      </c>
      <c r="M281" t="s">
        <v>32</v>
      </c>
      <c r="N281" t="s">
        <v>37</v>
      </c>
      <c r="O281" t="s">
        <v>18</v>
      </c>
      <c r="P281">
        <v>1</v>
      </c>
    </row>
    <row r="282" spans="1:16" x14ac:dyDescent="0.3">
      <c r="A282">
        <v>3744</v>
      </c>
      <c r="B282">
        <v>44085</v>
      </c>
      <c r="C282">
        <v>56</v>
      </c>
      <c r="D282">
        <v>23733</v>
      </c>
      <c r="E282" t="s">
        <v>14</v>
      </c>
      <c r="F282" t="s">
        <v>15</v>
      </c>
      <c r="G282" t="s">
        <v>17</v>
      </c>
      <c r="H282" t="s">
        <v>8</v>
      </c>
      <c r="I282" t="s">
        <v>9</v>
      </c>
      <c r="J282" t="s">
        <v>20</v>
      </c>
      <c r="K282" t="s">
        <v>26</v>
      </c>
      <c r="L282" t="s">
        <v>12</v>
      </c>
      <c r="M282" t="s">
        <v>21</v>
      </c>
      <c r="N282" t="s">
        <v>46</v>
      </c>
      <c r="O282" t="s">
        <v>18</v>
      </c>
      <c r="P282">
        <v>3</v>
      </c>
    </row>
    <row r="283" spans="1:16" x14ac:dyDescent="0.3">
      <c r="A283">
        <v>3745</v>
      </c>
      <c r="B283">
        <v>43616</v>
      </c>
      <c r="C283">
        <v>41</v>
      </c>
      <c r="D283">
        <v>28691</v>
      </c>
      <c r="E283" t="s">
        <v>14</v>
      </c>
      <c r="F283" t="s">
        <v>22</v>
      </c>
      <c r="G283" t="s">
        <v>31</v>
      </c>
      <c r="H283" t="s">
        <v>8</v>
      </c>
      <c r="I283" t="s">
        <v>66</v>
      </c>
      <c r="J283" t="s">
        <v>25</v>
      </c>
      <c r="K283" t="s">
        <v>11</v>
      </c>
      <c r="L283" t="s">
        <v>12</v>
      </c>
      <c r="M283" t="s">
        <v>32</v>
      </c>
      <c r="N283" t="s">
        <v>46</v>
      </c>
      <c r="O283" t="s">
        <v>18</v>
      </c>
      <c r="P283">
        <v>4</v>
      </c>
    </row>
    <row r="284" spans="1:16" x14ac:dyDescent="0.3">
      <c r="A284">
        <v>3746</v>
      </c>
      <c r="B284">
        <v>44025</v>
      </c>
      <c r="C284">
        <v>51</v>
      </c>
      <c r="D284">
        <v>25436</v>
      </c>
      <c r="E284" t="s">
        <v>14</v>
      </c>
      <c r="F284" t="s">
        <v>22</v>
      </c>
      <c r="G284" t="s">
        <v>17</v>
      </c>
      <c r="H284" t="s">
        <v>8</v>
      </c>
      <c r="I284" t="s">
        <v>9</v>
      </c>
      <c r="J284" t="s">
        <v>20</v>
      </c>
      <c r="K284" t="s">
        <v>26</v>
      </c>
      <c r="L284" t="s">
        <v>12</v>
      </c>
      <c r="M284" t="s">
        <v>58</v>
      </c>
      <c r="N284" t="s">
        <v>37</v>
      </c>
      <c r="O284" t="s">
        <v>18</v>
      </c>
      <c r="P284">
        <v>1</v>
      </c>
    </row>
    <row r="285" spans="1:16" x14ac:dyDescent="0.3">
      <c r="A285">
        <v>3747</v>
      </c>
      <c r="B285">
        <v>44448</v>
      </c>
      <c r="C285">
        <v>77</v>
      </c>
      <c r="D285">
        <v>16119</v>
      </c>
      <c r="E285" t="s">
        <v>14</v>
      </c>
      <c r="F285" t="s">
        <v>22</v>
      </c>
      <c r="G285" t="s">
        <v>17</v>
      </c>
      <c r="H285" t="s">
        <v>8</v>
      </c>
      <c r="I285" t="s">
        <v>66</v>
      </c>
      <c r="J285" t="s">
        <v>20</v>
      </c>
      <c r="K285" t="s">
        <v>11</v>
      </c>
      <c r="L285" t="s">
        <v>12</v>
      </c>
      <c r="M285" t="s">
        <v>68</v>
      </c>
      <c r="N285" t="s">
        <v>37</v>
      </c>
      <c r="O285" t="s">
        <v>18</v>
      </c>
      <c r="P285">
        <v>5</v>
      </c>
    </row>
    <row r="286" spans="1:16" x14ac:dyDescent="0.3">
      <c r="A286">
        <v>3748</v>
      </c>
      <c r="B286">
        <v>43561</v>
      </c>
      <c r="C286">
        <v>50</v>
      </c>
      <c r="D286">
        <v>25435</v>
      </c>
      <c r="E286" t="s">
        <v>14</v>
      </c>
      <c r="F286" t="s">
        <v>22</v>
      </c>
      <c r="G286" t="s">
        <v>34</v>
      </c>
      <c r="H286" t="s">
        <v>8</v>
      </c>
      <c r="I286" t="s">
        <v>9</v>
      </c>
      <c r="J286" t="s">
        <v>25</v>
      </c>
      <c r="K286" t="s">
        <v>11</v>
      </c>
      <c r="L286" t="s">
        <v>12</v>
      </c>
      <c r="M286" t="s">
        <v>32</v>
      </c>
      <c r="N286" t="s">
        <v>30</v>
      </c>
      <c r="O286" t="s">
        <v>18</v>
      </c>
      <c r="P286">
        <v>1</v>
      </c>
    </row>
    <row r="287" spans="1:16" x14ac:dyDescent="0.3">
      <c r="A287">
        <v>3749</v>
      </c>
      <c r="B287">
        <v>44243</v>
      </c>
      <c r="C287">
        <v>36</v>
      </c>
      <c r="D287">
        <v>31169</v>
      </c>
      <c r="E287" t="s">
        <v>14</v>
      </c>
      <c r="F287" t="s">
        <v>15</v>
      </c>
      <c r="G287" t="s">
        <v>34</v>
      </c>
      <c r="H287" t="s">
        <v>8</v>
      </c>
      <c r="I287" t="s">
        <v>9</v>
      </c>
      <c r="J287" t="s">
        <v>25</v>
      </c>
      <c r="K287" t="s">
        <v>19</v>
      </c>
      <c r="L287" t="s">
        <v>12</v>
      </c>
      <c r="M287" t="s">
        <v>57</v>
      </c>
      <c r="N287" t="s">
        <v>30</v>
      </c>
      <c r="O287" t="s">
        <v>18</v>
      </c>
      <c r="P287">
        <v>3</v>
      </c>
    </row>
    <row r="288" spans="1:16" x14ac:dyDescent="0.3">
      <c r="A288">
        <v>3750</v>
      </c>
      <c r="B288">
        <v>43878</v>
      </c>
      <c r="C288">
        <v>65</v>
      </c>
      <c r="D288">
        <v>20136</v>
      </c>
      <c r="E288" t="s">
        <v>14</v>
      </c>
      <c r="F288" t="s">
        <v>22</v>
      </c>
      <c r="G288" t="s">
        <v>31</v>
      </c>
      <c r="H288" t="s">
        <v>8</v>
      </c>
      <c r="I288" t="s">
        <v>9</v>
      </c>
      <c r="J288" t="s">
        <v>25</v>
      </c>
      <c r="K288" t="s">
        <v>11</v>
      </c>
      <c r="L288" t="s">
        <v>12</v>
      </c>
      <c r="M288" t="s">
        <v>42</v>
      </c>
      <c r="N288" t="s">
        <v>37</v>
      </c>
      <c r="O288" t="s">
        <v>18</v>
      </c>
      <c r="P288">
        <v>1</v>
      </c>
    </row>
    <row r="289" spans="1:16" x14ac:dyDescent="0.3">
      <c r="A289">
        <v>3751</v>
      </c>
      <c r="B289">
        <v>44484</v>
      </c>
      <c r="C289">
        <v>49</v>
      </c>
      <c r="D289">
        <v>26657</v>
      </c>
      <c r="E289" t="s">
        <v>14</v>
      </c>
      <c r="F289" t="s">
        <v>22</v>
      </c>
      <c r="G289" t="s">
        <v>31</v>
      </c>
      <c r="H289" t="s">
        <v>8</v>
      </c>
      <c r="I289" t="s">
        <v>9</v>
      </c>
      <c r="J289" t="s">
        <v>10</v>
      </c>
      <c r="K289" t="s">
        <v>19</v>
      </c>
      <c r="L289" t="s">
        <v>12</v>
      </c>
      <c r="M289" t="s">
        <v>21</v>
      </c>
      <c r="N289" t="s">
        <v>30</v>
      </c>
      <c r="O289" t="s">
        <v>18</v>
      </c>
      <c r="P289">
        <v>1</v>
      </c>
    </row>
    <row r="290" spans="1:16" x14ac:dyDescent="0.3">
      <c r="A290">
        <v>3752</v>
      </c>
      <c r="B290">
        <v>44748</v>
      </c>
      <c r="C290">
        <v>68</v>
      </c>
      <c r="D290">
        <v>20009</v>
      </c>
      <c r="E290" t="s">
        <v>14</v>
      </c>
      <c r="F290" t="s">
        <v>22</v>
      </c>
      <c r="G290" t="s">
        <v>40</v>
      </c>
      <c r="H290" t="s">
        <v>8</v>
      </c>
      <c r="I290" t="s">
        <v>9</v>
      </c>
      <c r="J290" t="s">
        <v>25</v>
      </c>
      <c r="K290" t="s">
        <v>19</v>
      </c>
      <c r="L290" t="s">
        <v>12</v>
      </c>
      <c r="M290" t="s">
        <v>42</v>
      </c>
      <c r="N290" t="s">
        <v>16</v>
      </c>
      <c r="O290" t="s">
        <v>18</v>
      </c>
      <c r="P290">
        <v>1</v>
      </c>
    </row>
    <row r="291" spans="1:16" x14ac:dyDescent="0.3">
      <c r="A291">
        <v>3753</v>
      </c>
      <c r="B291">
        <v>43529</v>
      </c>
      <c r="C291">
        <v>60</v>
      </c>
      <c r="D291">
        <v>21822</v>
      </c>
      <c r="E291" t="s">
        <v>14</v>
      </c>
      <c r="F291" t="s">
        <v>22</v>
      </c>
      <c r="G291" t="s">
        <v>31</v>
      </c>
      <c r="H291" t="s">
        <v>8</v>
      </c>
      <c r="I291" t="s">
        <v>9</v>
      </c>
      <c r="J291" t="s">
        <v>20</v>
      </c>
      <c r="K291" t="s">
        <v>26</v>
      </c>
      <c r="L291" t="s">
        <v>12</v>
      </c>
      <c r="M291" t="s">
        <v>57</v>
      </c>
      <c r="N291" t="s">
        <v>16</v>
      </c>
      <c r="O291" t="s">
        <v>18</v>
      </c>
      <c r="P291">
        <v>3</v>
      </c>
    </row>
    <row r="292" spans="1:16" x14ac:dyDescent="0.3">
      <c r="A292">
        <v>3754</v>
      </c>
      <c r="B292">
        <v>43984</v>
      </c>
      <c r="C292">
        <v>42</v>
      </c>
      <c r="D292">
        <v>28641</v>
      </c>
      <c r="E292" t="s">
        <v>14</v>
      </c>
      <c r="F292" t="s">
        <v>22</v>
      </c>
      <c r="G292" t="s">
        <v>34</v>
      </c>
      <c r="H292" t="s">
        <v>8</v>
      </c>
      <c r="I292" t="s">
        <v>9</v>
      </c>
      <c r="J292" t="s">
        <v>25</v>
      </c>
      <c r="K292" t="s">
        <v>11</v>
      </c>
      <c r="L292" t="s">
        <v>12</v>
      </c>
      <c r="M292" t="s">
        <v>54</v>
      </c>
      <c r="N292" t="s">
        <v>37</v>
      </c>
      <c r="O292" t="s">
        <v>18</v>
      </c>
      <c r="P292">
        <v>3</v>
      </c>
    </row>
    <row r="293" spans="1:16" x14ac:dyDescent="0.3">
      <c r="A293">
        <v>3756</v>
      </c>
      <c r="B293">
        <v>44340</v>
      </c>
      <c r="C293">
        <v>77</v>
      </c>
      <c r="D293">
        <v>16224</v>
      </c>
      <c r="E293" t="s">
        <v>14</v>
      </c>
      <c r="F293" t="s">
        <v>15</v>
      </c>
      <c r="G293" t="s">
        <v>34</v>
      </c>
      <c r="H293" t="s">
        <v>8</v>
      </c>
      <c r="I293" t="s">
        <v>9</v>
      </c>
      <c r="J293" t="s">
        <v>25</v>
      </c>
      <c r="K293" t="s">
        <v>19</v>
      </c>
      <c r="L293" t="s">
        <v>12</v>
      </c>
      <c r="M293" t="s">
        <v>35</v>
      </c>
      <c r="N293" t="s">
        <v>23</v>
      </c>
      <c r="O293" t="s">
        <v>18</v>
      </c>
      <c r="P293">
        <v>5</v>
      </c>
    </row>
    <row r="294" spans="1:16" x14ac:dyDescent="0.3">
      <c r="A294">
        <v>3758</v>
      </c>
      <c r="B294">
        <v>44881</v>
      </c>
      <c r="C294">
        <v>76</v>
      </c>
      <c r="D294">
        <v>17156</v>
      </c>
      <c r="E294" t="s">
        <v>14</v>
      </c>
      <c r="F294" t="s">
        <v>22</v>
      </c>
      <c r="G294" t="s">
        <v>40</v>
      </c>
      <c r="H294" t="s">
        <v>8</v>
      </c>
      <c r="I294" t="s">
        <v>66</v>
      </c>
      <c r="J294" t="s">
        <v>10</v>
      </c>
      <c r="K294" t="s">
        <v>19</v>
      </c>
      <c r="L294" t="s">
        <v>12</v>
      </c>
      <c r="M294" t="s">
        <v>42</v>
      </c>
      <c r="N294" t="s">
        <v>30</v>
      </c>
      <c r="O294" t="s">
        <v>18</v>
      </c>
      <c r="P294">
        <v>1</v>
      </c>
    </row>
    <row r="295" spans="1:16" x14ac:dyDescent="0.3">
      <c r="A295">
        <v>3759</v>
      </c>
      <c r="B295">
        <v>44682</v>
      </c>
      <c r="C295">
        <v>64</v>
      </c>
      <c r="D295">
        <v>21479</v>
      </c>
      <c r="E295" t="s">
        <v>14</v>
      </c>
      <c r="F295" t="s">
        <v>22</v>
      </c>
      <c r="G295" t="s">
        <v>34</v>
      </c>
      <c r="H295" t="s">
        <v>8</v>
      </c>
      <c r="I295" t="s">
        <v>9</v>
      </c>
      <c r="J295" t="s">
        <v>10</v>
      </c>
      <c r="K295" t="s">
        <v>26</v>
      </c>
      <c r="L295" t="s">
        <v>12</v>
      </c>
      <c r="M295" t="s">
        <v>63</v>
      </c>
      <c r="N295" t="s">
        <v>37</v>
      </c>
      <c r="O295" t="s">
        <v>18</v>
      </c>
      <c r="P295">
        <v>4</v>
      </c>
    </row>
    <row r="296" spans="1:16" x14ac:dyDescent="0.3">
      <c r="A296">
        <v>3760</v>
      </c>
      <c r="B296">
        <v>44432</v>
      </c>
      <c r="C296">
        <v>61</v>
      </c>
      <c r="D296">
        <v>21958</v>
      </c>
      <c r="E296" t="s">
        <v>14</v>
      </c>
      <c r="F296" t="s">
        <v>22</v>
      </c>
      <c r="G296" t="s">
        <v>17</v>
      </c>
      <c r="H296" t="s">
        <v>8</v>
      </c>
      <c r="I296" t="s">
        <v>9</v>
      </c>
      <c r="J296" t="s">
        <v>25</v>
      </c>
      <c r="K296" t="s">
        <v>19</v>
      </c>
      <c r="L296" t="s">
        <v>12</v>
      </c>
      <c r="M296" t="s">
        <v>32</v>
      </c>
      <c r="N296" t="s">
        <v>30</v>
      </c>
      <c r="O296" t="s">
        <v>18</v>
      </c>
      <c r="P296">
        <v>3</v>
      </c>
    </row>
    <row r="297" spans="1:16" x14ac:dyDescent="0.3">
      <c r="A297">
        <v>3761</v>
      </c>
      <c r="B297">
        <v>45099</v>
      </c>
      <c r="C297">
        <v>36</v>
      </c>
      <c r="D297">
        <v>32104</v>
      </c>
      <c r="E297" t="s">
        <v>14</v>
      </c>
      <c r="F297" t="s">
        <v>15</v>
      </c>
      <c r="G297" t="s">
        <v>34</v>
      </c>
      <c r="H297" t="s">
        <v>64</v>
      </c>
      <c r="I297" t="s">
        <v>9</v>
      </c>
      <c r="J297" t="s">
        <v>10</v>
      </c>
      <c r="K297" t="s">
        <v>19</v>
      </c>
      <c r="L297" t="s">
        <v>12</v>
      </c>
      <c r="M297" t="s">
        <v>28</v>
      </c>
      <c r="N297" t="s">
        <v>37</v>
      </c>
      <c r="O297" t="s">
        <v>18</v>
      </c>
      <c r="P297">
        <v>4</v>
      </c>
    </row>
    <row r="298" spans="1:16" x14ac:dyDescent="0.3">
      <c r="A298">
        <v>3762</v>
      </c>
      <c r="B298">
        <v>44030</v>
      </c>
      <c r="C298">
        <v>71</v>
      </c>
      <c r="D298">
        <v>18029</v>
      </c>
      <c r="E298" t="s">
        <v>14</v>
      </c>
      <c r="F298" t="s">
        <v>15</v>
      </c>
      <c r="G298" t="s">
        <v>40</v>
      </c>
      <c r="H298" t="s">
        <v>64</v>
      </c>
      <c r="I298" t="s">
        <v>9</v>
      </c>
      <c r="J298" t="s">
        <v>20</v>
      </c>
      <c r="K298" t="s">
        <v>26</v>
      </c>
      <c r="L298" t="s">
        <v>12</v>
      </c>
      <c r="M298" t="s">
        <v>42</v>
      </c>
      <c r="N298" t="s">
        <v>37</v>
      </c>
      <c r="O298" t="s">
        <v>18</v>
      </c>
      <c r="P298">
        <v>1</v>
      </c>
    </row>
    <row r="299" spans="1:16" x14ac:dyDescent="0.3">
      <c r="A299">
        <v>3763</v>
      </c>
      <c r="B299">
        <v>44938</v>
      </c>
      <c r="C299">
        <v>73</v>
      </c>
      <c r="D299">
        <v>18439</v>
      </c>
      <c r="E299" t="s">
        <v>14</v>
      </c>
      <c r="F299" t="s">
        <v>15</v>
      </c>
      <c r="G299" t="s">
        <v>17</v>
      </c>
      <c r="H299" t="s">
        <v>64</v>
      </c>
      <c r="I299" t="s">
        <v>66</v>
      </c>
      <c r="J299" t="s">
        <v>25</v>
      </c>
      <c r="K299" t="s">
        <v>26</v>
      </c>
      <c r="L299" t="s">
        <v>12</v>
      </c>
      <c r="M299" t="s">
        <v>13</v>
      </c>
      <c r="N299" t="s">
        <v>16</v>
      </c>
      <c r="O299" t="s">
        <v>18</v>
      </c>
      <c r="P299">
        <v>2</v>
      </c>
    </row>
    <row r="300" spans="1:16" x14ac:dyDescent="0.3">
      <c r="A300">
        <v>3764</v>
      </c>
      <c r="B300">
        <v>44608</v>
      </c>
      <c r="C300">
        <v>27</v>
      </c>
      <c r="D300">
        <v>35046</v>
      </c>
      <c r="E300" t="s">
        <v>14</v>
      </c>
      <c r="F300" t="s">
        <v>15</v>
      </c>
      <c r="G300" t="s">
        <v>31</v>
      </c>
      <c r="H300" t="s">
        <v>64</v>
      </c>
      <c r="I300" t="s">
        <v>9</v>
      </c>
      <c r="J300" t="s">
        <v>25</v>
      </c>
      <c r="K300" t="s">
        <v>26</v>
      </c>
      <c r="L300" t="s">
        <v>12</v>
      </c>
      <c r="M300" t="s">
        <v>28</v>
      </c>
      <c r="N300" t="s">
        <v>37</v>
      </c>
      <c r="O300" t="s">
        <v>18</v>
      </c>
      <c r="P300">
        <v>1</v>
      </c>
    </row>
    <row r="301" spans="1:16" x14ac:dyDescent="0.3">
      <c r="A301">
        <v>3765</v>
      </c>
      <c r="B301">
        <v>44806</v>
      </c>
      <c r="C301">
        <v>53</v>
      </c>
      <c r="D301">
        <v>25384</v>
      </c>
      <c r="E301" t="s">
        <v>14</v>
      </c>
      <c r="F301" t="s">
        <v>15</v>
      </c>
      <c r="G301" t="s">
        <v>17</v>
      </c>
      <c r="H301" t="s">
        <v>64</v>
      </c>
      <c r="I301" t="s">
        <v>9</v>
      </c>
      <c r="J301" t="s">
        <v>20</v>
      </c>
      <c r="K301" t="s">
        <v>19</v>
      </c>
      <c r="L301" t="s">
        <v>12</v>
      </c>
      <c r="M301" t="s">
        <v>63</v>
      </c>
      <c r="N301" t="s">
        <v>23</v>
      </c>
      <c r="O301" t="s">
        <v>18</v>
      </c>
      <c r="P301">
        <v>1</v>
      </c>
    </row>
    <row r="302" spans="1:16" x14ac:dyDescent="0.3">
      <c r="A302">
        <v>3766</v>
      </c>
      <c r="B302">
        <v>43498</v>
      </c>
      <c r="C302">
        <v>76</v>
      </c>
      <c r="D302">
        <v>15775</v>
      </c>
      <c r="E302" t="s">
        <v>14</v>
      </c>
      <c r="F302" t="s">
        <v>15</v>
      </c>
      <c r="G302" t="s">
        <v>17</v>
      </c>
      <c r="H302" t="s">
        <v>64</v>
      </c>
      <c r="I302" t="s">
        <v>9</v>
      </c>
      <c r="J302" t="s">
        <v>20</v>
      </c>
      <c r="K302" t="s">
        <v>19</v>
      </c>
      <c r="L302" t="s">
        <v>12</v>
      </c>
      <c r="M302" t="s">
        <v>63</v>
      </c>
      <c r="N302" t="s">
        <v>37</v>
      </c>
      <c r="O302" t="s">
        <v>18</v>
      </c>
      <c r="P302">
        <v>4</v>
      </c>
    </row>
    <row r="303" spans="1:16" x14ac:dyDescent="0.3">
      <c r="A303">
        <v>3767</v>
      </c>
      <c r="B303">
        <v>44434</v>
      </c>
      <c r="C303">
        <v>28</v>
      </c>
      <c r="D303">
        <v>34035</v>
      </c>
      <c r="E303" t="s">
        <v>14</v>
      </c>
      <c r="F303" t="s">
        <v>15</v>
      </c>
      <c r="G303" t="s">
        <v>40</v>
      </c>
      <c r="H303" t="s">
        <v>8</v>
      </c>
      <c r="I303" t="s">
        <v>66</v>
      </c>
      <c r="J303" t="s">
        <v>25</v>
      </c>
      <c r="K303" t="s">
        <v>26</v>
      </c>
      <c r="L303" t="s">
        <v>12</v>
      </c>
      <c r="M303" t="s">
        <v>32</v>
      </c>
      <c r="N303" t="s">
        <v>37</v>
      </c>
      <c r="O303" t="s">
        <v>18</v>
      </c>
      <c r="P303">
        <v>5</v>
      </c>
    </row>
    <row r="304" spans="1:16" x14ac:dyDescent="0.3">
      <c r="A304">
        <v>3768</v>
      </c>
      <c r="B304">
        <v>44196</v>
      </c>
      <c r="C304">
        <v>29</v>
      </c>
      <c r="D304">
        <v>33388</v>
      </c>
      <c r="E304" t="s">
        <v>14</v>
      </c>
      <c r="F304" t="s">
        <v>15</v>
      </c>
      <c r="G304" t="s">
        <v>40</v>
      </c>
      <c r="H304" t="s">
        <v>8</v>
      </c>
      <c r="I304" t="s">
        <v>9</v>
      </c>
      <c r="J304" t="s">
        <v>10</v>
      </c>
      <c r="K304" t="s">
        <v>26</v>
      </c>
      <c r="L304" t="s">
        <v>12</v>
      </c>
      <c r="M304" t="s">
        <v>60</v>
      </c>
      <c r="N304" t="s">
        <v>37</v>
      </c>
      <c r="O304" t="s">
        <v>18</v>
      </c>
      <c r="P304">
        <v>4</v>
      </c>
    </row>
    <row r="305" spans="1:16" x14ac:dyDescent="0.3">
      <c r="A305">
        <v>3769</v>
      </c>
      <c r="B305">
        <v>44177</v>
      </c>
      <c r="C305">
        <v>68</v>
      </c>
      <c r="D305">
        <v>19319</v>
      </c>
      <c r="E305" t="s">
        <v>14</v>
      </c>
      <c r="F305" t="s">
        <v>22</v>
      </c>
      <c r="G305" t="s">
        <v>34</v>
      </c>
      <c r="H305" t="s">
        <v>8</v>
      </c>
      <c r="I305" t="s">
        <v>9</v>
      </c>
      <c r="J305" t="s">
        <v>25</v>
      </c>
      <c r="K305" t="s">
        <v>19</v>
      </c>
      <c r="L305" t="s">
        <v>12</v>
      </c>
      <c r="M305" t="s">
        <v>55</v>
      </c>
      <c r="N305" t="s">
        <v>46</v>
      </c>
      <c r="O305" t="s">
        <v>18</v>
      </c>
      <c r="P305">
        <v>5</v>
      </c>
    </row>
    <row r="306" spans="1:16" x14ac:dyDescent="0.3">
      <c r="A306">
        <v>3770</v>
      </c>
      <c r="B306">
        <v>44574</v>
      </c>
      <c r="C306">
        <v>27</v>
      </c>
      <c r="D306">
        <v>34725</v>
      </c>
      <c r="E306" t="s">
        <v>14</v>
      </c>
      <c r="F306" t="s">
        <v>22</v>
      </c>
      <c r="G306" t="s">
        <v>34</v>
      </c>
      <c r="H306" t="s">
        <v>8</v>
      </c>
      <c r="I306" t="s">
        <v>66</v>
      </c>
      <c r="J306" t="s">
        <v>10</v>
      </c>
      <c r="K306" t="s">
        <v>26</v>
      </c>
      <c r="L306" t="s">
        <v>12</v>
      </c>
      <c r="M306" t="s">
        <v>21</v>
      </c>
      <c r="N306" t="s">
        <v>46</v>
      </c>
      <c r="O306" t="s">
        <v>18</v>
      </c>
      <c r="P306">
        <v>3</v>
      </c>
    </row>
    <row r="307" spans="1:16" x14ac:dyDescent="0.3">
      <c r="A307">
        <v>3771</v>
      </c>
      <c r="B307">
        <v>44220</v>
      </c>
      <c r="C307">
        <v>40</v>
      </c>
      <c r="D307">
        <v>29849</v>
      </c>
      <c r="E307" t="s">
        <v>14</v>
      </c>
      <c r="F307" t="s">
        <v>22</v>
      </c>
      <c r="G307" t="s">
        <v>34</v>
      </c>
      <c r="H307" t="s">
        <v>8</v>
      </c>
      <c r="I307" t="s">
        <v>66</v>
      </c>
      <c r="J307" t="s">
        <v>20</v>
      </c>
      <c r="K307" t="s">
        <v>26</v>
      </c>
      <c r="L307" t="s">
        <v>12</v>
      </c>
      <c r="M307" t="s">
        <v>32</v>
      </c>
      <c r="N307" t="s">
        <v>46</v>
      </c>
      <c r="O307" t="s">
        <v>18</v>
      </c>
      <c r="P307">
        <v>2</v>
      </c>
    </row>
    <row r="308" spans="1:16" x14ac:dyDescent="0.3">
      <c r="A308">
        <v>3772</v>
      </c>
      <c r="B308">
        <v>44600</v>
      </c>
      <c r="C308">
        <v>56</v>
      </c>
      <c r="D308">
        <v>24143</v>
      </c>
      <c r="E308" t="s">
        <v>14</v>
      </c>
      <c r="F308" t="s">
        <v>15</v>
      </c>
      <c r="G308" t="s">
        <v>40</v>
      </c>
      <c r="H308" t="s">
        <v>8</v>
      </c>
      <c r="I308" t="s">
        <v>9</v>
      </c>
      <c r="J308" t="s">
        <v>25</v>
      </c>
      <c r="K308" t="s">
        <v>19</v>
      </c>
      <c r="L308" t="s">
        <v>12</v>
      </c>
      <c r="M308" t="s">
        <v>42</v>
      </c>
      <c r="N308" t="s">
        <v>46</v>
      </c>
      <c r="O308" t="s">
        <v>18</v>
      </c>
      <c r="P308">
        <v>5</v>
      </c>
    </row>
    <row r="309" spans="1:16" x14ac:dyDescent="0.3">
      <c r="A309">
        <v>3773</v>
      </c>
      <c r="B309">
        <v>44115</v>
      </c>
      <c r="C309">
        <v>48</v>
      </c>
      <c r="D309">
        <v>26435</v>
      </c>
      <c r="E309" t="s">
        <v>14</v>
      </c>
      <c r="F309" t="s">
        <v>15</v>
      </c>
      <c r="G309" t="s">
        <v>40</v>
      </c>
      <c r="H309" t="s">
        <v>8</v>
      </c>
      <c r="I309" t="s">
        <v>66</v>
      </c>
      <c r="J309" t="s">
        <v>20</v>
      </c>
      <c r="K309" t="s">
        <v>19</v>
      </c>
      <c r="L309" t="s">
        <v>12</v>
      </c>
      <c r="M309" t="s">
        <v>42</v>
      </c>
      <c r="N309" t="s">
        <v>23</v>
      </c>
      <c r="O309" t="s">
        <v>18</v>
      </c>
      <c r="P309">
        <v>5</v>
      </c>
    </row>
    <row r="310" spans="1:16" x14ac:dyDescent="0.3">
      <c r="A310">
        <v>3774</v>
      </c>
      <c r="B310">
        <v>43636</v>
      </c>
      <c r="C310">
        <v>21</v>
      </c>
      <c r="D310">
        <v>35891</v>
      </c>
      <c r="E310" t="s">
        <v>14</v>
      </c>
      <c r="F310" t="s">
        <v>22</v>
      </c>
      <c r="G310" t="s">
        <v>31</v>
      </c>
      <c r="H310" t="s">
        <v>8</v>
      </c>
      <c r="I310" t="s">
        <v>9</v>
      </c>
      <c r="J310" t="s">
        <v>20</v>
      </c>
      <c r="K310" t="s">
        <v>26</v>
      </c>
      <c r="L310" t="s">
        <v>12</v>
      </c>
      <c r="M310" t="s">
        <v>42</v>
      </c>
      <c r="N310" t="s">
        <v>37</v>
      </c>
      <c r="O310" t="s">
        <v>18</v>
      </c>
      <c r="P310">
        <v>3</v>
      </c>
    </row>
    <row r="311" spans="1:16" x14ac:dyDescent="0.3">
      <c r="A311">
        <v>3775</v>
      </c>
      <c r="B311">
        <v>44390</v>
      </c>
      <c r="C311">
        <v>41</v>
      </c>
      <c r="D311">
        <v>29509</v>
      </c>
      <c r="E311" t="s">
        <v>14</v>
      </c>
      <c r="F311" t="s">
        <v>22</v>
      </c>
      <c r="G311" t="s">
        <v>17</v>
      </c>
      <c r="H311" t="s">
        <v>8</v>
      </c>
      <c r="I311" t="s">
        <v>9</v>
      </c>
      <c r="J311" t="s">
        <v>10</v>
      </c>
      <c r="K311" t="s">
        <v>26</v>
      </c>
      <c r="L311" t="s">
        <v>12</v>
      </c>
      <c r="M311" t="s">
        <v>35</v>
      </c>
      <c r="N311" t="s">
        <v>30</v>
      </c>
      <c r="O311" t="s">
        <v>18</v>
      </c>
      <c r="P311">
        <v>1</v>
      </c>
    </row>
    <row r="312" spans="1:16" x14ac:dyDescent="0.3">
      <c r="A312">
        <v>3776</v>
      </c>
      <c r="B312">
        <v>44483</v>
      </c>
      <c r="C312">
        <v>41</v>
      </c>
      <c r="D312">
        <v>29339</v>
      </c>
      <c r="E312" t="s">
        <v>14</v>
      </c>
      <c r="F312" t="s">
        <v>22</v>
      </c>
      <c r="G312" t="s">
        <v>34</v>
      </c>
      <c r="H312" t="s">
        <v>8</v>
      </c>
      <c r="I312" t="s">
        <v>9</v>
      </c>
      <c r="J312" t="s">
        <v>10</v>
      </c>
      <c r="K312" t="s">
        <v>19</v>
      </c>
      <c r="L312" t="s">
        <v>12</v>
      </c>
      <c r="M312" t="s">
        <v>38</v>
      </c>
      <c r="N312" t="s">
        <v>37</v>
      </c>
      <c r="O312" t="s">
        <v>18</v>
      </c>
      <c r="P312">
        <v>1</v>
      </c>
    </row>
    <row r="313" spans="1:16" x14ac:dyDescent="0.3">
      <c r="A313">
        <v>3777</v>
      </c>
      <c r="B313">
        <v>44509</v>
      </c>
      <c r="C313">
        <v>55</v>
      </c>
      <c r="D313">
        <v>24187</v>
      </c>
      <c r="E313" t="s">
        <v>14</v>
      </c>
      <c r="F313" t="s">
        <v>22</v>
      </c>
      <c r="G313" t="s">
        <v>31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21</v>
      </c>
      <c r="N313" t="s">
        <v>37</v>
      </c>
      <c r="O313" t="s">
        <v>18</v>
      </c>
      <c r="P313">
        <v>3</v>
      </c>
    </row>
    <row r="314" spans="1:16" x14ac:dyDescent="0.3">
      <c r="A314">
        <v>3778</v>
      </c>
      <c r="B314">
        <v>45018</v>
      </c>
      <c r="C314">
        <v>31</v>
      </c>
      <c r="D314">
        <v>33643</v>
      </c>
      <c r="E314" t="s">
        <v>14</v>
      </c>
      <c r="F314" t="s">
        <v>22</v>
      </c>
      <c r="G314" t="s">
        <v>34</v>
      </c>
      <c r="H314" t="s">
        <v>8</v>
      </c>
      <c r="I314" t="s">
        <v>9</v>
      </c>
      <c r="J314" t="s">
        <v>25</v>
      </c>
      <c r="K314" t="s">
        <v>19</v>
      </c>
      <c r="L314" t="s">
        <v>12</v>
      </c>
      <c r="M314" t="s">
        <v>59</v>
      </c>
      <c r="N314" t="s">
        <v>30</v>
      </c>
      <c r="O314" t="s">
        <v>18</v>
      </c>
      <c r="P314">
        <v>5</v>
      </c>
    </row>
    <row r="315" spans="1:16" x14ac:dyDescent="0.3">
      <c r="A315">
        <v>3782</v>
      </c>
      <c r="B315">
        <v>43533</v>
      </c>
      <c r="C315">
        <v>35</v>
      </c>
      <c r="D315">
        <v>30950</v>
      </c>
      <c r="E315" t="s">
        <v>14</v>
      </c>
      <c r="F315" t="s">
        <v>22</v>
      </c>
      <c r="G315" t="s">
        <v>17</v>
      </c>
      <c r="H315" t="s">
        <v>8</v>
      </c>
      <c r="I315" t="s">
        <v>66</v>
      </c>
      <c r="J315" t="s">
        <v>25</v>
      </c>
      <c r="K315" t="s">
        <v>26</v>
      </c>
      <c r="L315" t="s">
        <v>12</v>
      </c>
      <c r="M315" t="s">
        <v>35</v>
      </c>
      <c r="N315" t="s">
        <v>46</v>
      </c>
      <c r="O315" t="s">
        <v>18</v>
      </c>
      <c r="P315">
        <v>5</v>
      </c>
    </row>
    <row r="316" spans="1:16" x14ac:dyDescent="0.3">
      <c r="A316">
        <v>3783</v>
      </c>
      <c r="B316">
        <v>43960</v>
      </c>
      <c r="C316">
        <v>58</v>
      </c>
      <c r="D316">
        <v>22747</v>
      </c>
      <c r="E316" t="s">
        <v>14</v>
      </c>
      <c r="F316" t="s">
        <v>22</v>
      </c>
      <c r="G316" t="s">
        <v>40</v>
      </c>
      <c r="H316" t="s">
        <v>8</v>
      </c>
      <c r="I316" t="s">
        <v>9</v>
      </c>
      <c r="J316" t="s">
        <v>10</v>
      </c>
      <c r="K316" t="s">
        <v>19</v>
      </c>
      <c r="L316" t="s">
        <v>12</v>
      </c>
      <c r="M316" t="s">
        <v>55</v>
      </c>
      <c r="N316" t="s">
        <v>46</v>
      </c>
      <c r="O316" t="s">
        <v>18</v>
      </c>
      <c r="P316">
        <v>4</v>
      </c>
    </row>
    <row r="317" spans="1:16" x14ac:dyDescent="0.3">
      <c r="A317">
        <v>3784</v>
      </c>
      <c r="B317">
        <v>44787</v>
      </c>
      <c r="C317">
        <v>24</v>
      </c>
      <c r="D317">
        <v>35868</v>
      </c>
      <c r="E317" t="s">
        <v>14</v>
      </c>
      <c r="F317" t="s">
        <v>15</v>
      </c>
      <c r="G317" t="s">
        <v>31</v>
      </c>
      <c r="H317" t="s">
        <v>8</v>
      </c>
      <c r="I317" t="s">
        <v>9</v>
      </c>
      <c r="J317" t="s">
        <v>10</v>
      </c>
      <c r="K317" t="s">
        <v>19</v>
      </c>
      <c r="L317" t="s">
        <v>12</v>
      </c>
      <c r="M317" t="s">
        <v>49</v>
      </c>
      <c r="N317" t="s">
        <v>16</v>
      </c>
      <c r="O317" t="s">
        <v>18</v>
      </c>
      <c r="P317">
        <v>3</v>
      </c>
    </row>
    <row r="318" spans="1:16" x14ac:dyDescent="0.3">
      <c r="A318">
        <v>3785</v>
      </c>
      <c r="B318">
        <v>44579</v>
      </c>
      <c r="C318">
        <v>45</v>
      </c>
      <c r="D318">
        <v>28418</v>
      </c>
      <c r="E318" t="s">
        <v>14</v>
      </c>
      <c r="F318" t="s">
        <v>15</v>
      </c>
      <c r="G318" t="s">
        <v>40</v>
      </c>
      <c r="H318" t="s">
        <v>64</v>
      </c>
      <c r="I318" t="s">
        <v>9</v>
      </c>
      <c r="J318" t="s">
        <v>10</v>
      </c>
      <c r="K318" t="s">
        <v>11</v>
      </c>
      <c r="L318" t="s">
        <v>12</v>
      </c>
      <c r="M318" t="s">
        <v>54</v>
      </c>
      <c r="N318" t="s">
        <v>37</v>
      </c>
      <c r="O318" t="s">
        <v>18</v>
      </c>
      <c r="P318">
        <v>2</v>
      </c>
    </row>
    <row r="319" spans="1:16" x14ac:dyDescent="0.3">
      <c r="A319">
        <v>3786</v>
      </c>
      <c r="B319">
        <v>44369</v>
      </c>
      <c r="C319">
        <v>59</v>
      </c>
      <c r="D319">
        <v>22807</v>
      </c>
      <c r="E319" t="s">
        <v>14</v>
      </c>
      <c r="F319" t="s">
        <v>15</v>
      </c>
      <c r="G319" t="s">
        <v>40</v>
      </c>
      <c r="H319" t="s">
        <v>64</v>
      </c>
      <c r="I319" t="s">
        <v>66</v>
      </c>
      <c r="J319" t="s">
        <v>25</v>
      </c>
      <c r="K319" t="s">
        <v>19</v>
      </c>
      <c r="L319" t="s">
        <v>12</v>
      </c>
      <c r="M319" t="s">
        <v>35</v>
      </c>
      <c r="N319" t="s">
        <v>37</v>
      </c>
      <c r="O319" t="s">
        <v>18</v>
      </c>
      <c r="P319">
        <v>4</v>
      </c>
    </row>
    <row r="320" spans="1:16" x14ac:dyDescent="0.3">
      <c r="A320">
        <v>3787</v>
      </c>
      <c r="B320">
        <v>44945</v>
      </c>
      <c r="C320">
        <v>51</v>
      </c>
      <c r="D320">
        <v>26540</v>
      </c>
      <c r="E320" t="s">
        <v>14</v>
      </c>
      <c r="F320" t="s">
        <v>15</v>
      </c>
      <c r="G320" t="s">
        <v>17</v>
      </c>
      <c r="H320" t="s">
        <v>64</v>
      </c>
      <c r="I320" t="s">
        <v>66</v>
      </c>
      <c r="J320" t="s">
        <v>25</v>
      </c>
      <c r="K320" t="s">
        <v>11</v>
      </c>
      <c r="L320" t="s">
        <v>12</v>
      </c>
      <c r="M320" t="s">
        <v>28</v>
      </c>
      <c r="N320" t="s">
        <v>16</v>
      </c>
      <c r="O320" t="s">
        <v>18</v>
      </c>
      <c r="P320">
        <v>2</v>
      </c>
    </row>
    <row r="321" spans="1:16" x14ac:dyDescent="0.3">
      <c r="A321">
        <v>3788</v>
      </c>
      <c r="B321">
        <v>45063</v>
      </c>
      <c r="C321">
        <v>47</v>
      </c>
      <c r="D321">
        <v>28009</v>
      </c>
      <c r="E321" t="s">
        <v>14</v>
      </c>
      <c r="F321" t="s">
        <v>15</v>
      </c>
      <c r="G321" t="s">
        <v>34</v>
      </c>
      <c r="H321" t="s">
        <v>64</v>
      </c>
      <c r="I321" t="s">
        <v>66</v>
      </c>
      <c r="J321" t="s">
        <v>20</v>
      </c>
      <c r="K321" t="s">
        <v>19</v>
      </c>
      <c r="L321" t="s">
        <v>12</v>
      </c>
      <c r="M321" t="s">
        <v>35</v>
      </c>
      <c r="N321" t="s">
        <v>37</v>
      </c>
      <c r="O321" t="s">
        <v>18</v>
      </c>
      <c r="P321">
        <v>4</v>
      </c>
    </row>
    <row r="322" spans="1:16" x14ac:dyDescent="0.3">
      <c r="A322">
        <v>3789</v>
      </c>
      <c r="B322">
        <v>43989</v>
      </c>
      <c r="C322">
        <v>43</v>
      </c>
      <c r="D322">
        <v>28270</v>
      </c>
      <c r="E322" t="s">
        <v>14</v>
      </c>
      <c r="F322" t="s">
        <v>15</v>
      </c>
      <c r="G322" t="s">
        <v>17</v>
      </c>
      <c r="H322" t="s">
        <v>64</v>
      </c>
      <c r="I322" t="s">
        <v>9</v>
      </c>
      <c r="J322" t="s">
        <v>10</v>
      </c>
      <c r="K322" t="s">
        <v>19</v>
      </c>
      <c r="L322" t="s">
        <v>12</v>
      </c>
      <c r="M322" t="s">
        <v>59</v>
      </c>
      <c r="N322" t="s">
        <v>30</v>
      </c>
      <c r="O322" t="s">
        <v>18</v>
      </c>
      <c r="P322">
        <v>1</v>
      </c>
    </row>
    <row r="323" spans="1:16" x14ac:dyDescent="0.3">
      <c r="A323">
        <v>3790</v>
      </c>
      <c r="B323">
        <v>45114</v>
      </c>
      <c r="C323">
        <v>61</v>
      </c>
      <c r="D323">
        <v>22991</v>
      </c>
      <c r="E323" t="s">
        <v>14</v>
      </c>
      <c r="F323" t="s">
        <v>15</v>
      </c>
      <c r="G323" t="s">
        <v>31</v>
      </c>
      <c r="H323" t="s">
        <v>64</v>
      </c>
      <c r="I323" t="s">
        <v>9</v>
      </c>
      <c r="J323" t="s">
        <v>25</v>
      </c>
      <c r="K323" t="s">
        <v>19</v>
      </c>
      <c r="L323" t="s">
        <v>12</v>
      </c>
      <c r="M323" t="s">
        <v>63</v>
      </c>
      <c r="N323" t="s">
        <v>23</v>
      </c>
      <c r="O323" t="s">
        <v>18</v>
      </c>
      <c r="P323">
        <v>2</v>
      </c>
    </row>
    <row r="324" spans="1:16" x14ac:dyDescent="0.3">
      <c r="A324">
        <v>3791</v>
      </c>
      <c r="B324">
        <v>43918</v>
      </c>
      <c r="C324">
        <v>42</v>
      </c>
      <c r="D324">
        <v>28523</v>
      </c>
      <c r="E324" t="s">
        <v>14</v>
      </c>
      <c r="F324" t="s">
        <v>15</v>
      </c>
      <c r="G324" t="s">
        <v>40</v>
      </c>
      <c r="H324" t="s">
        <v>8</v>
      </c>
      <c r="I324" t="s">
        <v>9</v>
      </c>
      <c r="J324" t="s">
        <v>25</v>
      </c>
      <c r="K324" t="s">
        <v>26</v>
      </c>
      <c r="L324" t="s">
        <v>12</v>
      </c>
      <c r="M324" t="s">
        <v>13</v>
      </c>
      <c r="N324" t="s">
        <v>46</v>
      </c>
      <c r="O324" t="s">
        <v>18</v>
      </c>
      <c r="P324">
        <v>1</v>
      </c>
    </row>
    <row r="325" spans="1:16" x14ac:dyDescent="0.3">
      <c r="A325">
        <v>3792</v>
      </c>
      <c r="B325">
        <v>43608</v>
      </c>
      <c r="C325">
        <v>21</v>
      </c>
      <c r="D325">
        <v>35954</v>
      </c>
      <c r="E325" t="s">
        <v>14</v>
      </c>
      <c r="F325" t="s">
        <v>22</v>
      </c>
      <c r="G325" t="s">
        <v>34</v>
      </c>
      <c r="H325" t="s">
        <v>8</v>
      </c>
      <c r="I325" t="s">
        <v>9</v>
      </c>
      <c r="J325" t="s">
        <v>20</v>
      </c>
      <c r="K325" t="s">
        <v>11</v>
      </c>
      <c r="L325" t="s">
        <v>12</v>
      </c>
      <c r="M325" t="s">
        <v>42</v>
      </c>
      <c r="N325" t="s">
        <v>16</v>
      </c>
      <c r="O325" t="s">
        <v>18</v>
      </c>
      <c r="P325">
        <v>2</v>
      </c>
    </row>
    <row r="326" spans="1:16" x14ac:dyDescent="0.3">
      <c r="A326">
        <v>3793</v>
      </c>
      <c r="B326">
        <v>43575</v>
      </c>
      <c r="C326">
        <v>67</v>
      </c>
      <c r="D326">
        <v>19008</v>
      </c>
      <c r="E326" t="s">
        <v>14</v>
      </c>
      <c r="F326" t="s">
        <v>22</v>
      </c>
      <c r="G326" t="s">
        <v>34</v>
      </c>
      <c r="H326" t="s">
        <v>8</v>
      </c>
      <c r="I326" t="s">
        <v>9</v>
      </c>
      <c r="J326" t="s">
        <v>25</v>
      </c>
      <c r="K326" t="s">
        <v>26</v>
      </c>
      <c r="L326" t="s">
        <v>12</v>
      </c>
      <c r="M326" t="s">
        <v>32</v>
      </c>
      <c r="N326" t="s">
        <v>46</v>
      </c>
      <c r="O326" t="s">
        <v>18</v>
      </c>
      <c r="P326">
        <v>3</v>
      </c>
    </row>
    <row r="327" spans="1:16" x14ac:dyDescent="0.3">
      <c r="A327">
        <v>3794</v>
      </c>
      <c r="B327">
        <v>43352</v>
      </c>
      <c r="C327">
        <v>22</v>
      </c>
      <c r="D327">
        <v>35084</v>
      </c>
      <c r="E327" t="s">
        <v>14</v>
      </c>
      <c r="F327" t="s">
        <v>22</v>
      </c>
      <c r="G327" t="s">
        <v>17</v>
      </c>
      <c r="H327" t="s">
        <v>8</v>
      </c>
      <c r="I327" t="s">
        <v>9</v>
      </c>
      <c r="J327" t="s">
        <v>10</v>
      </c>
      <c r="K327" t="s">
        <v>19</v>
      </c>
      <c r="L327" t="s">
        <v>12</v>
      </c>
      <c r="M327" t="s">
        <v>32</v>
      </c>
      <c r="N327" t="s">
        <v>46</v>
      </c>
      <c r="O327" t="s">
        <v>18</v>
      </c>
      <c r="P327">
        <v>1</v>
      </c>
    </row>
    <row r="328" spans="1:16" x14ac:dyDescent="0.3">
      <c r="A328">
        <v>3795</v>
      </c>
      <c r="B328">
        <v>44756</v>
      </c>
      <c r="C328">
        <v>33</v>
      </c>
      <c r="D328">
        <v>32721</v>
      </c>
      <c r="E328" t="s">
        <v>14</v>
      </c>
      <c r="F328" t="s">
        <v>22</v>
      </c>
      <c r="G328" t="s">
        <v>40</v>
      </c>
      <c r="H328" t="s">
        <v>8</v>
      </c>
      <c r="I328" t="s">
        <v>9</v>
      </c>
      <c r="J328" t="s">
        <v>20</v>
      </c>
      <c r="K328" t="s">
        <v>19</v>
      </c>
      <c r="L328" t="s">
        <v>12</v>
      </c>
      <c r="M328" t="s">
        <v>28</v>
      </c>
      <c r="N328" t="s">
        <v>16</v>
      </c>
      <c r="O328" t="s">
        <v>41</v>
      </c>
      <c r="P328">
        <v>3</v>
      </c>
    </row>
    <row r="329" spans="1:16" x14ac:dyDescent="0.3">
      <c r="A329">
        <v>3796</v>
      </c>
      <c r="B329">
        <v>43572</v>
      </c>
      <c r="C329">
        <v>55</v>
      </c>
      <c r="D329">
        <v>23616</v>
      </c>
      <c r="E329" t="s">
        <v>14</v>
      </c>
      <c r="F329" t="s">
        <v>15</v>
      </c>
      <c r="G329" t="s">
        <v>34</v>
      </c>
      <c r="H329" t="s">
        <v>8</v>
      </c>
      <c r="I329" t="s">
        <v>9</v>
      </c>
      <c r="J329" t="s">
        <v>10</v>
      </c>
      <c r="K329" t="s">
        <v>19</v>
      </c>
      <c r="L329" t="s">
        <v>12</v>
      </c>
      <c r="M329" t="s">
        <v>32</v>
      </c>
      <c r="N329" t="s">
        <v>23</v>
      </c>
      <c r="O329" t="s">
        <v>41</v>
      </c>
      <c r="P329">
        <v>5</v>
      </c>
    </row>
    <row r="330" spans="1:16" x14ac:dyDescent="0.3">
      <c r="A330">
        <v>3797</v>
      </c>
      <c r="B330">
        <v>43966</v>
      </c>
      <c r="C330">
        <v>45</v>
      </c>
      <c r="D330">
        <v>27571</v>
      </c>
      <c r="E330" t="s">
        <v>14</v>
      </c>
      <c r="F330" t="s">
        <v>15</v>
      </c>
      <c r="G330" t="s">
        <v>34</v>
      </c>
      <c r="H330" t="s">
        <v>8</v>
      </c>
      <c r="I330" t="s">
        <v>9</v>
      </c>
      <c r="J330" t="s">
        <v>10</v>
      </c>
      <c r="K330" t="s">
        <v>19</v>
      </c>
      <c r="L330" t="s">
        <v>12</v>
      </c>
      <c r="M330" t="s">
        <v>60</v>
      </c>
      <c r="N330" t="s">
        <v>37</v>
      </c>
      <c r="O330" t="s">
        <v>18</v>
      </c>
      <c r="P330">
        <v>4</v>
      </c>
    </row>
    <row r="331" spans="1:16" x14ac:dyDescent="0.3">
      <c r="A331">
        <v>3798</v>
      </c>
      <c r="B331">
        <v>43925</v>
      </c>
      <c r="C331">
        <v>59</v>
      </c>
      <c r="D331">
        <v>22636</v>
      </c>
      <c r="E331" t="s">
        <v>14</v>
      </c>
      <c r="F331" t="s">
        <v>22</v>
      </c>
      <c r="G331" t="s">
        <v>17</v>
      </c>
      <c r="H331" t="s">
        <v>8</v>
      </c>
      <c r="I331" t="s">
        <v>9</v>
      </c>
      <c r="J331" t="s">
        <v>25</v>
      </c>
      <c r="K331" t="s">
        <v>11</v>
      </c>
      <c r="L331" t="s">
        <v>12</v>
      </c>
      <c r="M331" t="s">
        <v>32</v>
      </c>
      <c r="N331" t="s">
        <v>30</v>
      </c>
      <c r="O331" t="s">
        <v>18</v>
      </c>
      <c r="P331">
        <v>1</v>
      </c>
    </row>
    <row r="332" spans="1:16" x14ac:dyDescent="0.3">
      <c r="A332">
        <v>3799</v>
      </c>
      <c r="B332">
        <v>44849</v>
      </c>
      <c r="C332">
        <v>58</v>
      </c>
      <c r="D332">
        <v>23705</v>
      </c>
      <c r="E332" t="s">
        <v>14</v>
      </c>
      <c r="F332" t="s">
        <v>22</v>
      </c>
      <c r="G332" t="s">
        <v>31</v>
      </c>
      <c r="H332" t="s">
        <v>8</v>
      </c>
      <c r="I332" t="s">
        <v>9</v>
      </c>
      <c r="J332" t="s">
        <v>25</v>
      </c>
      <c r="K332" t="s">
        <v>19</v>
      </c>
      <c r="L332" t="s">
        <v>12</v>
      </c>
      <c r="M332" t="s">
        <v>44</v>
      </c>
      <c r="N332" t="s">
        <v>23</v>
      </c>
      <c r="O332" t="s">
        <v>41</v>
      </c>
      <c r="P332">
        <v>1</v>
      </c>
    </row>
    <row r="333" spans="1:16" x14ac:dyDescent="0.3">
      <c r="A333">
        <v>3800</v>
      </c>
      <c r="B333">
        <v>43657</v>
      </c>
      <c r="C333">
        <v>69</v>
      </c>
      <c r="D333">
        <v>18606</v>
      </c>
      <c r="E333" t="s">
        <v>14</v>
      </c>
      <c r="F333" t="s">
        <v>22</v>
      </c>
      <c r="G333" t="s">
        <v>34</v>
      </c>
      <c r="H333" t="s">
        <v>8</v>
      </c>
      <c r="I333" t="s">
        <v>9</v>
      </c>
      <c r="J333" t="s">
        <v>10</v>
      </c>
      <c r="K333" t="s">
        <v>11</v>
      </c>
      <c r="L333" t="s">
        <v>12</v>
      </c>
      <c r="M333" t="s">
        <v>28</v>
      </c>
      <c r="N333" t="s">
        <v>30</v>
      </c>
      <c r="O333" t="s">
        <v>18</v>
      </c>
      <c r="P333">
        <v>3</v>
      </c>
    </row>
    <row r="334" spans="1:16" x14ac:dyDescent="0.3">
      <c r="A334">
        <v>3801</v>
      </c>
      <c r="B334">
        <v>43740</v>
      </c>
      <c r="C334">
        <v>71</v>
      </c>
      <c r="D334">
        <v>17550</v>
      </c>
      <c r="E334" t="s">
        <v>14</v>
      </c>
      <c r="F334" t="s">
        <v>15</v>
      </c>
      <c r="G334" t="s">
        <v>31</v>
      </c>
      <c r="H334" t="s">
        <v>8</v>
      </c>
      <c r="I334" t="s">
        <v>9</v>
      </c>
      <c r="J334" t="s">
        <v>10</v>
      </c>
      <c r="K334" t="s">
        <v>11</v>
      </c>
      <c r="L334" t="s">
        <v>12</v>
      </c>
      <c r="M334" t="s">
        <v>35</v>
      </c>
      <c r="N334" t="s">
        <v>23</v>
      </c>
      <c r="O334" t="s">
        <v>18</v>
      </c>
      <c r="P334">
        <v>1</v>
      </c>
    </row>
    <row r="335" spans="1:16" x14ac:dyDescent="0.3">
      <c r="A335">
        <v>3802</v>
      </c>
      <c r="B335">
        <v>44259</v>
      </c>
      <c r="C335">
        <v>74</v>
      </c>
      <c r="D335">
        <v>17254</v>
      </c>
      <c r="E335" t="s">
        <v>14</v>
      </c>
      <c r="F335" t="s">
        <v>22</v>
      </c>
      <c r="G335" t="s">
        <v>40</v>
      </c>
      <c r="H335" t="s">
        <v>8</v>
      </c>
      <c r="I335" t="s">
        <v>9</v>
      </c>
      <c r="J335" t="s">
        <v>25</v>
      </c>
      <c r="K335" t="s">
        <v>19</v>
      </c>
      <c r="L335" t="s">
        <v>12</v>
      </c>
      <c r="M335" t="s">
        <v>35</v>
      </c>
      <c r="N335" t="s">
        <v>16</v>
      </c>
      <c r="O335" t="s">
        <v>18</v>
      </c>
      <c r="P335">
        <v>3</v>
      </c>
    </row>
    <row r="336" spans="1:16" x14ac:dyDescent="0.3">
      <c r="A336">
        <v>3804</v>
      </c>
      <c r="B336">
        <v>43600</v>
      </c>
      <c r="C336">
        <v>41</v>
      </c>
      <c r="D336">
        <v>28759</v>
      </c>
      <c r="E336" t="s">
        <v>14</v>
      </c>
      <c r="F336" t="s">
        <v>15</v>
      </c>
      <c r="G336" t="s">
        <v>31</v>
      </c>
      <c r="H336" t="s">
        <v>8</v>
      </c>
      <c r="I336" t="s">
        <v>9</v>
      </c>
      <c r="J336" t="s">
        <v>25</v>
      </c>
      <c r="K336" t="s">
        <v>11</v>
      </c>
      <c r="L336" t="s">
        <v>12</v>
      </c>
      <c r="M336" t="s">
        <v>32</v>
      </c>
      <c r="N336" t="s">
        <v>23</v>
      </c>
      <c r="O336" t="s">
        <v>18</v>
      </c>
      <c r="P336">
        <v>2</v>
      </c>
    </row>
    <row r="337" spans="1:16" x14ac:dyDescent="0.3">
      <c r="A337">
        <v>3805</v>
      </c>
      <c r="B337">
        <v>44679</v>
      </c>
      <c r="C337">
        <v>40</v>
      </c>
      <c r="D337">
        <v>30064</v>
      </c>
      <c r="E337" t="s">
        <v>14</v>
      </c>
      <c r="F337" t="s">
        <v>22</v>
      </c>
      <c r="G337" t="s">
        <v>40</v>
      </c>
      <c r="H337" t="s">
        <v>8</v>
      </c>
      <c r="I337" t="s">
        <v>9</v>
      </c>
      <c r="J337" t="s">
        <v>25</v>
      </c>
      <c r="K337" t="s">
        <v>26</v>
      </c>
      <c r="L337" t="s">
        <v>12</v>
      </c>
      <c r="M337" t="s">
        <v>32</v>
      </c>
      <c r="N337" t="s">
        <v>30</v>
      </c>
      <c r="O337" t="s">
        <v>18</v>
      </c>
      <c r="P337">
        <v>5</v>
      </c>
    </row>
    <row r="338" spans="1:16" x14ac:dyDescent="0.3">
      <c r="A338">
        <v>3806</v>
      </c>
      <c r="B338">
        <v>44462</v>
      </c>
      <c r="C338">
        <v>47</v>
      </c>
      <c r="D338">
        <v>27273</v>
      </c>
      <c r="E338" t="s">
        <v>14</v>
      </c>
      <c r="F338" t="s">
        <v>22</v>
      </c>
      <c r="G338" t="s">
        <v>34</v>
      </c>
      <c r="H338" t="s">
        <v>8</v>
      </c>
      <c r="I338" t="s">
        <v>9</v>
      </c>
      <c r="J338" t="s">
        <v>10</v>
      </c>
      <c r="K338" t="s">
        <v>11</v>
      </c>
      <c r="L338" t="s">
        <v>12</v>
      </c>
      <c r="M338" t="s">
        <v>35</v>
      </c>
      <c r="N338" t="s">
        <v>30</v>
      </c>
      <c r="O338" t="s">
        <v>18</v>
      </c>
      <c r="P338">
        <v>1</v>
      </c>
    </row>
    <row r="339" spans="1:16" x14ac:dyDescent="0.3">
      <c r="A339">
        <v>3807</v>
      </c>
      <c r="B339">
        <v>44454</v>
      </c>
      <c r="C339">
        <v>57</v>
      </c>
      <c r="D339">
        <v>23513</v>
      </c>
      <c r="E339" t="s">
        <v>14</v>
      </c>
      <c r="F339" t="s">
        <v>22</v>
      </c>
      <c r="G339" t="s">
        <v>31</v>
      </c>
      <c r="H339" t="s">
        <v>8</v>
      </c>
      <c r="I339" t="s">
        <v>9</v>
      </c>
      <c r="J339" t="s">
        <v>10</v>
      </c>
      <c r="K339" t="s">
        <v>11</v>
      </c>
      <c r="L339" t="s">
        <v>12</v>
      </c>
      <c r="M339" t="s">
        <v>54</v>
      </c>
      <c r="N339" t="s">
        <v>46</v>
      </c>
      <c r="O339" t="s">
        <v>18</v>
      </c>
      <c r="P339">
        <v>5</v>
      </c>
    </row>
    <row r="340" spans="1:16" x14ac:dyDescent="0.3">
      <c r="A340">
        <v>3808</v>
      </c>
      <c r="B340">
        <v>43582</v>
      </c>
      <c r="C340">
        <v>71</v>
      </c>
      <c r="D340">
        <v>17548</v>
      </c>
      <c r="E340" t="s">
        <v>14</v>
      </c>
      <c r="F340" t="s">
        <v>15</v>
      </c>
      <c r="G340" t="s">
        <v>17</v>
      </c>
      <c r="H340" t="s">
        <v>70</v>
      </c>
      <c r="I340" t="s">
        <v>9</v>
      </c>
      <c r="J340" t="s">
        <v>10</v>
      </c>
      <c r="K340" t="s">
        <v>26</v>
      </c>
      <c r="L340" t="s">
        <v>53</v>
      </c>
      <c r="M340" t="s">
        <v>28</v>
      </c>
      <c r="N340" t="s">
        <v>16</v>
      </c>
      <c r="O340" t="s">
        <v>18</v>
      </c>
      <c r="P340">
        <v>4</v>
      </c>
    </row>
    <row r="341" spans="1:16" x14ac:dyDescent="0.3">
      <c r="A341">
        <v>3809</v>
      </c>
      <c r="B341">
        <v>43744</v>
      </c>
      <c r="C341">
        <v>18</v>
      </c>
      <c r="D341">
        <v>36911</v>
      </c>
      <c r="E341" t="s">
        <v>14</v>
      </c>
      <c r="F341" t="s">
        <v>22</v>
      </c>
      <c r="G341" t="s">
        <v>31</v>
      </c>
      <c r="H341" t="s">
        <v>71</v>
      </c>
      <c r="I341" t="s">
        <v>9</v>
      </c>
      <c r="J341" t="s">
        <v>20</v>
      </c>
      <c r="K341" t="s">
        <v>26</v>
      </c>
      <c r="L341" t="s">
        <v>53</v>
      </c>
      <c r="M341" t="s">
        <v>35</v>
      </c>
      <c r="N341" t="s">
        <v>23</v>
      </c>
      <c r="O341" t="s">
        <v>18</v>
      </c>
      <c r="P341">
        <v>1</v>
      </c>
    </row>
    <row r="342" spans="1:16" x14ac:dyDescent="0.3">
      <c r="A342">
        <v>3810</v>
      </c>
      <c r="B342">
        <v>43877</v>
      </c>
      <c r="C342">
        <v>61</v>
      </c>
      <c r="D342">
        <v>21833</v>
      </c>
      <c r="E342" t="s">
        <v>36</v>
      </c>
      <c r="F342" t="s">
        <v>15</v>
      </c>
      <c r="G342" t="s">
        <v>31</v>
      </c>
      <c r="H342" t="s">
        <v>72</v>
      </c>
      <c r="I342" t="s">
        <v>9</v>
      </c>
      <c r="J342" t="s">
        <v>25</v>
      </c>
      <c r="K342" t="s">
        <v>19</v>
      </c>
      <c r="L342" t="s">
        <v>53</v>
      </c>
      <c r="M342" t="s">
        <v>28</v>
      </c>
      <c r="N342" t="s">
        <v>37</v>
      </c>
      <c r="O342" t="s">
        <v>18</v>
      </c>
      <c r="P342">
        <v>3</v>
      </c>
    </row>
    <row r="343" spans="1:16" x14ac:dyDescent="0.3">
      <c r="A343">
        <v>3811</v>
      </c>
      <c r="B343">
        <v>44695</v>
      </c>
      <c r="C343">
        <v>64</v>
      </c>
      <c r="D343">
        <v>21255</v>
      </c>
      <c r="E343" t="s">
        <v>36</v>
      </c>
      <c r="F343" t="s">
        <v>22</v>
      </c>
      <c r="G343" t="s">
        <v>17</v>
      </c>
      <c r="H343" t="s">
        <v>72</v>
      </c>
      <c r="I343" t="s">
        <v>9</v>
      </c>
      <c r="J343" t="s">
        <v>20</v>
      </c>
      <c r="K343" t="s">
        <v>26</v>
      </c>
      <c r="L343" t="s">
        <v>53</v>
      </c>
      <c r="M343" t="s">
        <v>55</v>
      </c>
      <c r="N343" t="s">
        <v>23</v>
      </c>
      <c r="O343" t="s">
        <v>18</v>
      </c>
      <c r="P343">
        <v>1</v>
      </c>
    </row>
    <row r="344" spans="1:16" x14ac:dyDescent="0.3">
      <c r="A344">
        <v>3812</v>
      </c>
      <c r="B344">
        <v>43509</v>
      </c>
      <c r="C344">
        <v>34</v>
      </c>
      <c r="D344">
        <v>31191</v>
      </c>
      <c r="E344" t="s">
        <v>14</v>
      </c>
      <c r="F344" t="s">
        <v>15</v>
      </c>
      <c r="G344" t="s">
        <v>31</v>
      </c>
      <c r="H344" t="s">
        <v>72</v>
      </c>
      <c r="I344" t="s">
        <v>9</v>
      </c>
      <c r="J344" t="s">
        <v>10</v>
      </c>
      <c r="K344" t="s">
        <v>26</v>
      </c>
      <c r="L344" t="s">
        <v>53</v>
      </c>
      <c r="M344" t="s">
        <v>38</v>
      </c>
      <c r="N344" t="s">
        <v>23</v>
      </c>
      <c r="O344" t="s">
        <v>18</v>
      </c>
      <c r="P344">
        <v>3</v>
      </c>
    </row>
    <row r="345" spans="1:16" x14ac:dyDescent="0.3">
      <c r="A345">
        <v>3813</v>
      </c>
      <c r="B345">
        <v>44797</v>
      </c>
      <c r="C345">
        <v>67</v>
      </c>
      <c r="D345">
        <v>20145</v>
      </c>
      <c r="E345" t="s">
        <v>14</v>
      </c>
      <c r="F345" t="s">
        <v>22</v>
      </c>
      <c r="G345" t="s">
        <v>17</v>
      </c>
      <c r="H345" t="s">
        <v>70</v>
      </c>
      <c r="I345" t="s">
        <v>9</v>
      </c>
      <c r="J345" t="s">
        <v>20</v>
      </c>
      <c r="K345" t="s">
        <v>19</v>
      </c>
      <c r="L345" t="s">
        <v>53</v>
      </c>
      <c r="M345" t="s">
        <v>42</v>
      </c>
      <c r="N345" t="s">
        <v>23</v>
      </c>
      <c r="O345" t="s">
        <v>18</v>
      </c>
      <c r="P345">
        <v>3</v>
      </c>
    </row>
    <row r="346" spans="1:16" x14ac:dyDescent="0.3">
      <c r="A346">
        <v>3815</v>
      </c>
      <c r="B346">
        <v>44281</v>
      </c>
      <c r="C346">
        <v>37</v>
      </c>
      <c r="D346">
        <v>30828</v>
      </c>
      <c r="E346" t="s">
        <v>14</v>
      </c>
      <c r="F346" t="s">
        <v>22</v>
      </c>
      <c r="G346" t="s">
        <v>40</v>
      </c>
      <c r="H346" t="s">
        <v>71</v>
      </c>
      <c r="I346" t="s">
        <v>9</v>
      </c>
      <c r="J346" t="s">
        <v>10</v>
      </c>
      <c r="K346" t="s">
        <v>11</v>
      </c>
      <c r="L346" t="s">
        <v>53</v>
      </c>
      <c r="M346" t="s">
        <v>54</v>
      </c>
      <c r="N346" t="s">
        <v>16</v>
      </c>
      <c r="O346" t="s">
        <v>18</v>
      </c>
      <c r="P346">
        <v>5</v>
      </c>
    </row>
    <row r="347" spans="1:16" x14ac:dyDescent="0.3">
      <c r="A347">
        <v>3816</v>
      </c>
      <c r="B347">
        <v>44317</v>
      </c>
      <c r="C347">
        <v>65</v>
      </c>
      <c r="D347">
        <v>20677</v>
      </c>
      <c r="E347" t="s">
        <v>14</v>
      </c>
      <c r="F347" t="s">
        <v>22</v>
      </c>
      <c r="G347" t="s">
        <v>31</v>
      </c>
      <c r="H347" t="s">
        <v>70</v>
      </c>
      <c r="I347" t="s">
        <v>9</v>
      </c>
      <c r="J347" t="s">
        <v>25</v>
      </c>
      <c r="K347" t="s">
        <v>19</v>
      </c>
      <c r="L347" t="s">
        <v>53</v>
      </c>
      <c r="M347" t="s">
        <v>35</v>
      </c>
      <c r="N347" t="s">
        <v>23</v>
      </c>
      <c r="O347" t="s">
        <v>18</v>
      </c>
      <c r="P347">
        <v>1</v>
      </c>
    </row>
    <row r="348" spans="1:16" x14ac:dyDescent="0.3">
      <c r="A348">
        <v>3817</v>
      </c>
      <c r="B348">
        <v>44479</v>
      </c>
      <c r="C348">
        <v>43</v>
      </c>
      <c r="D348">
        <v>28491</v>
      </c>
      <c r="E348" t="s">
        <v>14</v>
      </c>
      <c r="F348" t="s">
        <v>15</v>
      </c>
      <c r="G348" t="s">
        <v>31</v>
      </c>
      <c r="H348" t="s">
        <v>70</v>
      </c>
      <c r="I348" t="s">
        <v>9</v>
      </c>
      <c r="J348" t="s">
        <v>20</v>
      </c>
      <c r="K348" t="s">
        <v>19</v>
      </c>
      <c r="L348" t="s">
        <v>53</v>
      </c>
      <c r="M348" t="s">
        <v>32</v>
      </c>
      <c r="N348" t="s">
        <v>37</v>
      </c>
      <c r="O348" t="s">
        <v>56</v>
      </c>
      <c r="P348">
        <v>3</v>
      </c>
    </row>
    <row r="349" spans="1:16" x14ac:dyDescent="0.3">
      <c r="A349">
        <v>3818</v>
      </c>
      <c r="B349">
        <v>43832</v>
      </c>
      <c r="C349">
        <v>70</v>
      </c>
      <c r="D349">
        <v>18429</v>
      </c>
      <c r="E349" t="s">
        <v>14</v>
      </c>
      <c r="F349" t="s">
        <v>22</v>
      </c>
      <c r="G349" t="s">
        <v>31</v>
      </c>
      <c r="H349" t="s">
        <v>71</v>
      </c>
      <c r="I349" t="s">
        <v>9</v>
      </c>
      <c r="J349" t="s">
        <v>20</v>
      </c>
      <c r="K349" t="s">
        <v>19</v>
      </c>
      <c r="L349" t="s">
        <v>53</v>
      </c>
      <c r="M349" t="s">
        <v>61</v>
      </c>
      <c r="N349" t="s">
        <v>46</v>
      </c>
      <c r="O349" t="s">
        <v>18</v>
      </c>
      <c r="P349">
        <v>1</v>
      </c>
    </row>
    <row r="350" spans="1:16" x14ac:dyDescent="0.3">
      <c r="A350">
        <v>3819</v>
      </c>
      <c r="B350">
        <v>43850</v>
      </c>
      <c r="C350">
        <v>63</v>
      </c>
      <c r="D350">
        <v>21150</v>
      </c>
      <c r="E350" t="s">
        <v>14</v>
      </c>
      <c r="F350" t="s">
        <v>15</v>
      </c>
      <c r="G350" t="s">
        <v>31</v>
      </c>
      <c r="H350" t="s">
        <v>71</v>
      </c>
      <c r="I350" t="s">
        <v>9</v>
      </c>
      <c r="J350" t="s">
        <v>25</v>
      </c>
      <c r="K350" t="s">
        <v>26</v>
      </c>
      <c r="L350" t="s">
        <v>53</v>
      </c>
      <c r="M350" t="s">
        <v>21</v>
      </c>
      <c r="N350" t="s">
        <v>46</v>
      </c>
      <c r="O350" t="s">
        <v>18</v>
      </c>
      <c r="P350">
        <v>1</v>
      </c>
    </row>
    <row r="351" spans="1:16" x14ac:dyDescent="0.3">
      <c r="A351">
        <v>3820</v>
      </c>
      <c r="B351">
        <v>43323</v>
      </c>
      <c r="C351">
        <v>42</v>
      </c>
      <c r="D351">
        <v>28032</v>
      </c>
      <c r="E351" t="s">
        <v>14</v>
      </c>
      <c r="F351" t="s">
        <v>15</v>
      </c>
      <c r="G351" t="s">
        <v>40</v>
      </c>
      <c r="H351" t="s">
        <v>71</v>
      </c>
      <c r="I351" t="s">
        <v>9</v>
      </c>
      <c r="J351" t="s">
        <v>10</v>
      </c>
      <c r="K351" t="s">
        <v>11</v>
      </c>
      <c r="L351" t="s">
        <v>53</v>
      </c>
      <c r="M351" t="s">
        <v>32</v>
      </c>
      <c r="N351" t="s">
        <v>30</v>
      </c>
      <c r="O351" t="s">
        <v>18</v>
      </c>
      <c r="P351">
        <v>3</v>
      </c>
    </row>
    <row r="352" spans="1:16" x14ac:dyDescent="0.3">
      <c r="A352">
        <v>3821</v>
      </c>
      <c r="B352">
        <v>44548</v>
      </c>
      <c r="C352">
        <v>40</v>
      </c>
      <c r="D352">
        <v>29679</v>
      </c>
      <c r="E352" t="s">
        <v>14</v>
      </c>
      <c r="F352" t="s">
        <v>22</v>
      </c>
      <c r="G352" t="s">
        <v>31</v>
      </c>
      <c r="H352" t="s">
        <v>72</v>
      </c>
      <c r="I352" t="s">
        <v>9</v>
      </c>
      <c r="J352" t="s">
        <v>10</v>
      </c>
      <c r="K352" t="s">
        <v>19</v>
      </c>
      <c r="L352" t="s">
        <v>53</v>
      </c>
      <c r="M352" t="s">
        <v>35</v>
      </c>
      <c r="N352" t="s">
        <v>16</v>
      </c>
      <c r="O352" t="s">
        <v>18</v>
      </c>
      <c r="P352">
        <v>4</v>
      </c>
    </row>
    <row r="353" spans="1:16" x14ac:dyDescent="0.3">
      <c r="A353">
        <v>3822</v>
      </c>
      <c r="B353">
        <v>43732</v>
      </c>
      <c r="C353">
        <v>44</v>
      </c>
      <c r="D353">
        <v>27655</v>
      </c>
      <c r="E353" t="s">
        <v>14</v>
      </c>
      <c r="F353" t="s">
        <v>22</v>
      </c>
      <c r="G353" t="s">
        <v>40</v>
      </c>
      <c r="H353" t="s">
        <v>71</v>
      </c>
      <c r="I353" t="s">
        <v>9</v>
      </c>
      <c r="J353" t="s">
        <v>25</v>
      </c>
      <c r="K353" t="s">
        <v>26</v>
      </c>
      <c r="L353" t="s">
        <v>73</v>
      </c>
      <c r="M353" t="s">
        <v>32</v>
      </c>
      <c r="N353" t="s">
        <v>23</v>
      </c>
      <c r="O353" t="s">
        <v>18</v>
      </c>
      <c r="P353">
        <v>4</v>
      </c>
    </row>
    <row r="354" spans="1:16" x14ac:dyDescent="0.3">
      <c r="A354">
        <v>3823</v>
      </c>
      <c r="B354">
        <v>44851</v>
      </c>
      <c r="C354">
        <v>35</v>
      </c>
      <c r="D354">
        <v>32013</v>
      </c>
      <c r="E354" t="s">
        <v>14</v>
      </c>
      <c r="F354" t="s">
        <v>22</v>
      </c>
      <c r="G354" t="s">
        <v>31</v>
      </c>
      <c r="H354" t="s">
        <v>71</v>
      </c>
      <c r="I354" t="s">
        <v>9</v>
      </c>
      <c r="J354" t="s">
        <v>25</v>
      </c>
      <c r="K354" t="s">
        <v>19</v>
      </c>
      <c r="L354" t="s">
        <v>73</v>
      </c>
      <c r="M354" t="s">
        <v>58</v>
      </c>
      <c r="N354" t="s">
        <v>16</v>
      </c>
      <c r="O354" t="s">
        <v>56</v>
      </c>
      <c r="P354">
        <v>4</v>
      </c>
    </row>
    <row r="355" spans="1:16" x14ac:dyDescent="0.3">
      <c r="A355">
        <v>3824</v>
      </c>
      <c r="B355">
        <v>43837</v>
      </c>
      <c r="C355">
        <v>72</v>
      </c>
      <c r="D355">
        <v>17858</v>
      </c>
      <c r="E355" t="s">
        <v>14</v>
      </c>
      <c r="F355" t="s">
        <v>22</v>
      </c>
      <c r="G355" t="s">
        <v>31</v>
      </c>
      <c r="H355" t="s">
        <v>70</v>
      </c>
      <c r="I355" t="s">
        <v>9</v>
      </c>
      <c r="J355" t="s">
        <v>10</v>
      </c>
      <c r="K355" t="s">
        <v>11</v>
      </c>
      <c r="L355" t="s">
        <v>53</v>
      </c>
      <c r="M355" t="s">
        <v>28</v>
      </c>
      <c r="N355" t="s">
        <v>37</v>
      </c>
      <c r="O355" t="s">
        <v>18</v>
      </c>
      <c r="P355">
        <v>4</v>
      </c>
    </row>
    <row r="356" spans="1:16" x14ac:dyDescent="0.3">
      <c r="A356">
        <v>3825</v>
      </c>
      <c r="B356">
        <v>44870</v>
      </c>
      <c r="C356">
        <v>24</v>
      </c>
      <c r="D356">
        <v>35938</v>
      </c>
      <c r="E356" t="s">
        <v>14</v>
      </c>
      <c r="F356" t="s">
        <v>22</v>
      </c>
      <c r="G356" t="s">
        <v>34</v>
      </c>
      <c r="H356" t="s">
        <v>70</v>
      </c>
      <c r="I356" t="s">
        <v>9</v>
      </c>
      <c r="J356" t="s">
        <v>25</v>
      </c>
      <c r="K356" t="s">
        <v>19</v>
      </c>
      <c r="L356" t="s">
        <v>53</v>
      </c>
      <c r="M356" t="s">
        <v>35</v>
      </c>
      <c r="N356" t="s">
        <v>37</v>
      </c>
      <c r="O356" t="s">
        <v>18</v>
      </c>
      <c r="P356">
        <v>4</v>
      </c>
    </row>
    <row r="357" spans="1:16" x14ac:dyDescent="0.3">
      <c r="A357">
        <v>3826</v>
      </c>
      <c r="B357">
        <v>45042</v>
      </c>
      <c r="C357">
        <v>22</v>
      </c>
      <c r="D357">
        <v>36992</v>
      </c>
      <c r="E357" t="s">
        <v>14</v>
      </c>
      <c r="F357" t="s">
        <v>22</v>
      </c>
      <c r="G357" t="s">
        <v>40</v>
      </c>
      <c r="H357" t="s">
        <v>70</v>
      </c>
      <c r="I357" t="s">
        <v>9</v>
      </c>
      <c r="J357" t="s">
        <v>20</v>
      </c>
      <c r="K357" t="s">
        <v>26</v>
      </c>
      <c r="L357" t="s">
        <v>53</v>
      </c>
      <c r="M357" t="s">
        <v>35</v>
      </c>
      <c r="N357" t="s">
        <v>46</v>
      </c>
      <c r="O357" t="s">
        <v>18</v>
      </c>
      <c r="P357">
        <v>1</v>
      </c>
    </row>
    <row r="358" spans="1:16" x14ac:dyDescent="0.3">
      <c r="A358">
        <v>3827</v>
      </c>
      <c r="B358">
        <v>43614</v>
      </c>
      <c r="C358">
        <v>27</v>
      </c>
      <c r="D358">
        <v>33871</v>
      </c>
      <c r="E358" t="s">
        <v>14</v>
      </c>
      <c r="F358" t="s">
        <v>22</v>
      </c>
      <c r="G358" t="s">
        <v>17</v>
      </c>
      <c r="H358" t="s">
        <v>70</v>
      </c>
      <c r="I358" t="s">
        <v>9</v>
      </c>
      <c r="J358" t="s">
        <v>20</v>
      </c>
      <c r="K358" t="s">
        <v>26</v>
      </c>
      <c r="L358" t="s">
        <v>53</v>
      </c>
      <c r="M358" t="s">
        <v>38</v>
      </c>
      <c r="N358" t="s">
        <v>46</v>
      </c>
      <c r="O358" t="s">
        <v>18</v>
      </c>
      <c r="P358">
        <v>3</v>
      </c>
    </row>
    <row r="359" spans="1:16" x14ac:dyDescent="0.3">
      <c r="A359">
        <v>3828</v>
      </c>
      <c r="B359">
        <v>43720</v>
      </c>
      <c r="C359">
        <v>29</v>
      </c>
      <c r="D359">
        <v>33174</v>
      </c>
      <c r="E359" t="s">
        <v>14</v>
      </c>
      <c r="F359" t="s">
        <v>22</v>
      </c>
      <c r="G359" t="s">
        <v>40</v>
      </c>
      <c r="H359" t="s">
        <v>72</v>
      </c>
      <c r="I359" t="s">
        <v>9</v>
      </c>
      <c r="J359" t="s">
        <v>20</v>
      </c>
      <c r="K359" t="s">
        <v>19</v>
      </c>
      <c r="L359" t="s">
        <v>53</v>
      </c>
      <c r="M359" t="s">
        <v>21</v>
      </c>
      <c r="N359" t="s">
        <v>37</v>
      </c>
      <c r="O359" t="s">
        <v>18</v>
      </c>
      <c r="P359">
        <v>5</v>
      </c>
    </row>
    <row r="360" spans="1:16" x14ac:dyDescent="0.3">
      <c r="A360">
        <v>3829</v>
      </c>
      <c r="B360">
        <v>43492</v>
      </c>
      <c r="C360">
        <v>63</v>
      </c>
      <c r="D360">
        <v>20526</v>
      </c>
      <c r="E360" t="s">
        <v>14</v>
      </c>
      <c r="F360" t="s">
        <v>22</v>
      </c>
      <c r="G360" t="s">
        <v>34</v>
      </c>
      <c r="H360" t="s">
        <v>72</v>
      </c>
      <c r="I360" t="s">
        <v>9</v>
      </c>
      <c r="J360" t="s">
        <v>20</v>
      </c>
      <c r="K360" t="s">
        <v>11</v>
      </c>
      <c r="L360" t="s">
        <v>53</v>
      </c>
      <c r="M360" t="s">
        <v>54</v>
      </c>
      <c r="N360" t="s">
        <v>30</v>
      </c>
      <c r="O360" t="s">
        <v>41</v>
      </c>
      <c r="P360">
        <v>2</v>
      </c>
    </row>
    <row r="361" spans="1:16" x14ac:dyDescent="0.3">
      <c r="A361">
        <v>3830</v>
      </c>
      <c r="B361">
        <v>43697</v>
      </c>
      <c r="C361">
        <v>72</v>
      </c>
      <c r="D361">
        <v>17317</v>
      </c>
      <c r="E361" t="s">
        <v>36</v>
      </c>
      <c r="F361" t="s">
        <v>22</v>
      </c>
      <c r="G361" t="s">
        <v>17</v>
      </c>
      <c r="H361" t="s">
        <v>74</v>
      </c>
      <c r="I361" t="s">
        <v>9</v>
      </c>
      <c r="J361" t="s">
        <v>20</v>
      </c>
      <c r="K361" t="s">
        <v>11</v>
      </c>
      <c r="L361" t="s">
        <v>53</v>
      </c>
      <c r="M361" t="s">
        <v>35</v>
      </c>
      <c r="N361" t="s">
        <v>16</v>
      </c>
      <c r="O361" t="s">
        <v>65</v>
      </c>
      <c r="P361">
        <v>1</v>
      </c>
    </row>
    <row r="362" spans="1:16" x14ac:dyDescent="0.3">
      <c r="A362">
        <v>3831</v>
      </c>
      <c r="B362">
        <v>43357</v>
      </c>
      <c r="C362">
        <v>68</v>
      </c>
      <c r="D362">
        <v>18329</v>
      </c>
      <c r="E362" t="s">
        <v>36</v>
      </c>
      <c r="F362" t="s">
        <v>15</v>
      </c>
      <c r="G362" t="s">
        <v>40</v>
      </c>
      <c r="H362" t="s">
        <v>75</v>
      </c>
      <c r="I362" t="s">
        <v>9</v>
      </c>
      <c r="J362" t="s">
        <v>20</v>
      </c>
      <c r="K362" t="s">
        <v>11</v>
      </c>
      <c r="L362" t="s">
        <v>53</v>
      </c>
      <c r="M362" t="s">
        <v>35</v>
      </c>
      <c r="N362" t="s">
        <v>23</v>
      </c>
      <c r="O362" t="s">
        <v>56</v>
      </c>
      <c r="P362">
        <v>2</v>
      </c>
    </row>
    <row r="363" spans="1:16" x14ac:dyDescent="0.3">
      <c r="A363">
        <v>3833</v>
      </c>
      <c r="B363">
        <v>44587</v>
      </c>
      <c r="C363">
        <v>69</v>
      </c>
      <c r="D363">
        <v>19491</v>
      </c>
      <c r="E363" t="s">
        <v>14</v>
      </c>
      <c r="F363" t="s">
        <v>22</v>
      </c>
      <c r="G363" t="s">
        <v>31</v>
      </c>
      <c r="H363" t="s">
        <v>71</v>
      </c>
      <c r="I363" t="s">
        <v>9</v>
      </c>
      <c r="J363" t="s">
        <v>25</v>
      </c>
      <c r="K363" t="s">
        <v>19</v>
      </c>
      <c r="L363" t="s">
        <v>73</v>
      </c>
      <c r="M363" t="s">
        <v>35</v>
      </c>
      <c r="N363" t="s">
        <v>46</v>
      </c>
      <c r="O363" t="s">
        <v>65</v>
      </c>
      <c r="P363">
        <v>5</v>
      </c>
    </row>
    <row r="364" spans="1:16" x14ac:dyDescent="0.3">
      <c r="A364">
        <v>3834</v>
      </c>
      <c r="B364">
        <v>43595</v>
      </c>
      <c r="C364">
        <v>58</v>
      </c>
      <c r="D364">
        <v>22473</v>
      </c>
      <c r="E364" t="s">
        <v>14</v>
      </c>
      <c r="F364" t="s">
        <v>22</v>
      </c>
      <c r="G364" t="s">
        <v>34</v>
      </c>
      <c r="H364" t="s">
        <v>71</v>
      </c>
      <c r="I364" t="s">
        <v>9</v>
      </c>
      <c r="J364" t="s">
        <v>10</v>
      </c>
      <c r="K364" t="s">
        <v>11</v>
      </c>
      <c r="L364" t="s">
        <v>73</v>
      </c>
      <c r="M364" t="s">
        <v>35</v>
      </c>
      <c r="N364" t="s">
        <v>23</v>
      </c>
      <c r="O364" t="s">
        <v>18</v>
      </c>
      <c r="P364">
        <v>5</v>
      </c>
    </row>
    <row r="365" spans="1:16" x14ac:dyDescent="0.3">
      <c r="A365">
        <v>3835</v>
      </c>
      <c r="B365">
        <v>43467</v>
      </c>
      <c r="C365">
        <v>26</v>
      </c>
      <c r="D365">
        <v>34253</v>
      </c>
      <c r="E365" t="s">
        <v>14</v>
      </c>
      <c r="F365" t="s">
        <v>22</v>
      </c>
      <c r="G365" t="s">
        <v>40</v>
      </c>
      <c r="H365" t="s">
        <v>70</v>
      </c>
      <c r="I365" t="s">
        <v>9</v>
      </c>
      <c r="J365" t="s">
        <v>20</v>
      </c>
      <c r="K365" t="s">
        <v>26</v>
      </c>
      <c r="L365" t="s">
        <v>53</v>
      </c>
      <c r="M365" t="s">
        <v>63</v>
      </c>
      <c r="N365" t="s">
        <v>23</v>
      </c>
      <c r="O365" t="s">
        <v>18</v>
      </c>
      <c r="P365">
        <v>3</v>
      </c>
    </row>
    <row r="366" spans="1:16" x14ac:dyDescent="0.3">
      <c r="A366">
        <v>3836</v>
      </c>
      <c r="B366">
        <v>44421</v>
      </c>
      <c r="C366">
        <v>75</v>
      </c>
      <c r="D366">
        <v>16814</v>
      </c>
      <c r="E366" t="s">
        <v>14</v>
      </c>
      <c r="F366" t="s">
        <v>22</v>
      </c>
      <c r="G366" t="s">
        <v>31</v>
      </c>
      <c r="H366" t="s">
        <v>70</v>
      </c>
      <c r="I366" t="s">
        <v>9</v>
      </c>
      <c r="J366" t="s">
        <v>10</v>
      </c>
      <c r="K366" t="s">
        <v>19</v>
      </c>
      <c r="L366" t="s">
        <v>53</v>
      </c>
      <c r="M366" t="s">
        <v>32</v>
      </c>
      <c r="N366" t="s">
        <v>37</v>
      </c>
      <c r="O366" t="s">
        <v>18</v>
      </c>
      <c r="P366">
        <v>3</v>
      </c>
    </row>
    <row r="367" spans="1:16" x14ac:dyDescent="0.3">
      <c r="A367">
        <v>3837</v>
      </c>
      <c r="B367">
        <v>44836</v>
      </c>
      <c r="C367">
        <v>66</v>
      </c>
      <c r="D367">
        <v>20694</v>
      </c>
      <c r="E367" t="s">
        <v>14</v>
      </c>
      <c r="F367" t="s">
        <v>22</v>
      </c>
      <c r="G367" t="s">
        <v>31</v>
      </c>
      <c r="H367" t="s">
        <v>70</v>
      </c>
      <c r="I367" t="s">
        <v>9</v>
      </c>
      <c r="J367" t="s">
        <v>20</v>
      </c>
      <c r="K367" t="s">
        <v>19</v>
      </c>
      <c r="L367" t="s">
        <v>53</v>
      </c>
      <c r="M367" t="s">
        <v>13</v>
      </c>
      <c r="N367" t="s">
        <v>30</v>
      </c>
      <c r="O367" t="s">
        <v>65</v>
      </c>
      <c r="P367">
        <v>3</v>
      </c>
    </row>
    <row r="368" spans="1:16" x14ac:dyDescent="0.3">
      <c r="A368">
        <v>3838</v>
      </c>
      <c r="B368">
        <v>43451</v>
      </c>
      <c r="C368">
        <v>39</v>
      </c>
      <c r="D368">
        <v>29081</v>
      </c>
      <c r="E368" t="s">
        <v>14</v>
      </c>
      <c r="F368" t="s">
        <v>15</v>
      </c>
      <c r="G368" t="s">
        <v>31</v>
      </c>
      <c r="H368" t="s">
        <v>70</v>
      </c>
      <c r="I368" t="s">
        <v>9</v>
      </c>
      <c r="J368" t="s">
        <v>20</v>
      </c>
      <c r="K368" t="s">
        <v>19</v>
      </c>
      <c r="L368" t="s">
        <v>53</v>
      </c>
      <c r="M368" t="s">
        <v>35</v>
      </c>
      <c r="N368" t="s">
        <v>46</v>
      </c>
      <c r="O368" t="s">
        <v>65</v>
      </c>
      <c r="P368">
        <v>1</v>
      </c>
    </row>
    <row r="369" spans="1:16" x14ac:dyDescent="0.3">
      <c r="A369">
        <v>3839</v>
      </c>
      <c r="B369">
        <v>44480</v>
      </c>
      <c r="C369">
        <v>21</v>
      </c>
      <c r="D369">
        <v>36796</v>
      </c>
      <c r="E369" t="s">
        <v>14</v>
      </c>
      <c r="F369" t="s">
        <v>22</v>
      </c>
      <c r="G369" t="s">
        <v>40</v>
      </c>
      <c r="H369" t="s">
        <v>72</v>
      </c>
      <c r="I369" t="s">
        <v>9</v>
      </c>
      <c r="J369" t="s">
        <v>10</v>
      </c>
      <c r="K369" t="s">
        <v>26</v>
      </c>
      <c r="L369" t="s">
        <v>53</v>
      </c>
      <c r="M369" t="s">
        <v>32</v>
      </c>
      <c r="N369" t="s">
        <v>23</v>
      </c>
      <c r="O369" t="s">
        <v>65</v>
      </c>
      <c r="P369">
        <v>3</v>
      </c>
    </row>
    <row r="370" spans="1:16" x14ac:dyDescent="0.3">
      <c r="A370">
        <v>3840</v>
      </c>
      <c r="B370">
        <v>45017</v>
      </c>
      <c r="C370">
        <v>54</v>
      </c>
      <c r="D370">
        <v>25501</v>
      </c>
      <c r="E370" t="s">
        <v>14</v>
      </c>
      <c r="F370" t="s">
        <v>22</v>
      </c>
      <c r="G370" t="s">
        <v>31</v>
      </c>
      <c r="H370" t="s">
        <v>72</v>
      </c>
      <c r="I370" t="s">
        <v>9</v>
      </c>
      <c r="J370" t="s">
        <v>20</v>
      </c>
      <c r="K370" t="s">
        <v>26</v>
      </c>
      <c r="L370" t="s">
        <v>53</v>
      </c>
      <c r="M370" t="s">
        <v>35</v>
      </c>
      <c r="N370" t="s">
        <v>23</v>
      </c>
      <c r="O370" t="s">
        <v>18</v>
      </c>
      <c r="P370">
        <v>5</v>
      </c>
    </row>
    <row r="371" spans="1:16" x14ac:dyDescent="0.3">
      <c r="A371">
        <v>3841</v>
      </c>
      <c r="B371">
        <v>44275</v>
      </c>
      <c r="C371">
        <v>51</v>
      </c>
      <c r="D371">
        <v>25736</v>
      </c>
      <c r="E371" t="s">
        <v>36</v>
      </c>
      <c r="F371" t="s">
        <v>22</v>
      </c>
      <c r="G371" t="s">
        <v>31</v>
      </c>
      <c r="H371" t="s">
        <v>74</v>
      </c>
      <c r="I371" t="s">
        <v>9</v>
      </c>
      <c r="J371" t="s">
        <v>25</v>
      </c>
      <c r="K371" t="s">
        <v>11</v>
      </c>
      <c r="L371" t="s">
        <v>53</v>
      </c>
      <c r="M371" t="s">
        <v>59</v>
      </c>
      <c r="N371" t="s">
        <v>46</v>
      </c>
      <c r="O371" t="s">
        <v>18</v>
      </c>
      <c r="P371">
        <v>4</v>
      </c>
    </row>
    <row r="372" spans="1:16" x14ac:dyDescent="0.3">
      <c r="A372">
        <v>3844</v>
      </c>
      <c r="B372">
        <v>44357</v>
      </c>
      <c r="C372">
        <v>60</v>
      </c>
      <c r="D372">
        <v>22434</v>
      </c>
      <c r="E372" t="s">
        <v>14</v>
      </c>
      <c r="F372" t="s">
        <v>22</v>
      </c>
      <c r="G372" t="s">
        <v>31</v>
      </c>
      <c r="H372" t="s">
        <v>71</v>
      </c>
      <c r="I372" t="s">
        <v>9</v>
      </c>
      <c r="J372" t="s">
        <v>20</v>
      </c>
      <c r="K372" t="s">
        <v>11</v>
      </c>
      <c r="L372" t="s">
        <v>73</v>
      </c>
      <c r="M372" t="s">
        <v>32</v>
      </c>
      <c r="N372" t="s">
        <v>16</v>
      </c>
      <c r="O372" t="s">
        <v>65</v>
      </c>
      <c r="P372">
        <v>2</v>
      </c>
    </row>
    <row r="373" spans="1:16" x14ac:dyDescent="0.3">
      <c r="A373">
        <v>3845</v>
      </c>
      <c r="B373">
        <v>43702</v>
      </c>
      <c r="C373">
        <v>50</v>
      </c>
      <c r="D373">
        <v>25425</v>
      </c>
      <c r="E373" t="s">
        <v>14</v>
      </c>
      <c r="F373" t="s">
        <v>22</v>
      </c>
      <c r="G373" t="s">
        <v>31</v>
      </c>
      <c r="H373" t="s">
        <v>71</v>
      </c>
      <c r="I373" t="s">
        <v>9</v>
      </c>
      <c r="J373" t="s">
        <v>10</v>
      </c>
      <c r="K373" t="s">
        <v>19</v>
      </c>
      <c r="L373" t="s">
        <v>73</v>
      </c>
      <c r="M373" t="s">
        <v>35</v>
      </c>
      <c r="N373" t="s">
        <v>23</v>
      </c>
      <c r="O373" t="s">
        <v>65</v>
      </c>
      <c r="P373">
        <v>5</v>
      </c>
    </row>
    <row r="374" spans="1:16" x14ac:dyDescent="0.3">
      <c r="A374">
        <v>3846</v>
      </c>
      <c r="B374">
        <v>43955</v>
      </c>
      <c r="C374">
        <v>45</v>
      </c>
      <c r="D374">
        <v>27616</v>
      </c>
      <c r="E374" t="s">
        <v>14</v>
      </c>
      <c r="F374" t="s">
        <v>22</v>
      </c>
      <c r="G374" t="s">
        <v>31</v>
      </c>
      <c r="H374" t="s">
        <v>70</v>
      </c>
      <c r="I374" t="s">
        <v>9</v>
      </c>
      <c r="J374" t="s">
        <v>10</v>
      </c>
      <c r="K374" t="s">
        <v>11</v>
      </c>
      <c r="L374" t="s">
        <v>53</v>
      </c>
      <c r="M374" t="s">
        <v>59</v>
      </c>
      <c r="N374" t="s">
        <v>46</v>
      </c>
      <c r="O374" t="s">
        <v>18</v>
      </c>
      <c r="P374">
        <v>5</v>
      </c>
    </row>
    <row r="375" spans="1:16" x14ac:dyDescent="0.3">
      <c r="A375">
        <v>3847</v>
      </c>
      <c r="B375">
        <v>43520</v>
      </c>
      <c r="C375">
        <v>21</v>
      </c>
      <c r="D375">
        <v>36044</v>
      </c>
      <c r="E375" t="s">
        <v>14</v>
      </c>
      <c r="F375" t="s">
        <v>22</v>
      </c>
      <c r="G375" t="s">
        <v>31</v>
      </c>
      <c r="H375" t="s">
        <v>70</v>
      </c>
      <c r="I375" t="s">
        <v>9</v>
      </c>
      <c r="J375" t="s">
        <v>20</v>
      </c>
      <c r="K375" t="s">
        <v>26</v>
      </c>
      <c r="L375" t="s">
        <v>53</v>
      </c>
      <c r="M375" t="s">
        <v>35</v>
      </c>
      <c r="N375" t="s">
        <v>23</v>
      </c>
      <c r="O375" t="s">
        <v>18</v>
      </c>
      <c r="P375">
        <v>3</v>
      </c>
    </row>
    <row r="376" spans="1:16" x14ac:dyDescent="0.3">
      <c r="A376">
        <v>3848</v>
      </c>
      <c r="B376">
        <v>43732</v>
      </c>
      <c r="C376">
        <v>23</v>
      </c>
      <c r="D376">
        <v>35295</v>
      </c>
      <c r="E376" t="s">
        <v>14</v>
      </c>
      <c r="F376" t="s">
        <v>22</v>
      </c>
      <c r="G376" t="s">
        <v>34</v>
      </c>
      <c r="H376" t="s">
        <v>70</v>
      </c>
      <c r="I376" t="s">
        <v>9</v>
      </c>
      <c r="J376" t="s">
        <v>25</v>
      </c>
      <c r="K376" t="s">
        <v>11</v>
      </c>
      <c r="L376" t="s">
        <v>53</v>
      </c>
      <c r="M376" t="s">
        <v>35</v>
      </c>
      <c r="N376" t="s">
        <v>46</v>
      </c>
      <c r="O376" t="s">
        <v>18</v>
      </c>
      <c r="P376">
        <v>1</v>
      </c>
    </row>
    <row r="377" spans="1:16" x14ac:dyDescent="0.3">
      <c r="A377">
        <v>3849</v>
      </c>
      <c r="B377">
        <v>44240</v>
      </c>
      <c r="C377">
        <v>42</v>
      </c>
      <c r="D377">
        <v>28876</v>
      </c>
      <c r="E377" t="s">
        <v>14</v>
      </c>
      <c r="F377" t="s">
        <v>15</v>
      </c>
      <c r="G377" t="s">
        <v>17</v>
      </c>
      <c r="H377" t="s">
        <v>70</v>
      </c>
      <c r="I377" t="s">
        <v>9</v>
      </c>
      <c r="J377" t="s">
        <v>10</v>
      </c>
      <c r="K377" t="s">
        <v>19</v>
      </c>
      <c r="L377" t="s">
        <v>53</v>
      </c>
      <c r="M377" t="s">
        <v>32</v>
      </c>
      <c r="N377" t="s">
        <v>16</v>
      </c>
      <c r="O377" t="s">
        <v>18</v>
      </c>
      <c r="P377">
        <v>3</v>
      </c>
    </row>
    <row r="378" spans="1:16" x14ac:dyDescent="0.3">
      <c r="A378">
        <v>3850</v>
      </c>
      <c r="B378">
        <v>43835</v>
      </c>
      <c r="C378">
        <v>67</v>
      </c>
      <c r="D378">
        <v>19588</v>
      </c>
      <c r="E378" t="s">
        <v>14</v>
      </c>
      <c r="F378" t="s">
        <v>22</v>
      </c>
      <c r="G378" t="s">
        <v>31</v>
      </c>
      <c r="H378" t="s">
        <v>72</v>
      </c>
      <c r="I378" t="s">
        <v>9</v>
      </c>
      <c r="J378" t="s">
        <v>20</v>
      </c>
      <c r="K378" t="s">
        <v>26</v>
      </c>
      <c r="L378" t="s">
        <v>53</v>
      </c>
      <c r="M378" t="s">
        <v>63</v>
      </c>
      <c r="N378" t="s">
        <v>23</v>
      </c>
      <c r="O378" t="s">
        <v>18</v>
      </c>
      <c r="P378">
        <v>3</v>
      </c>
    </row>
    <row r="379" spans="1:16" x14ac:dyDescent="0.3">
      <c r="A379">
        <v>3854</v>
      </c>
      <c r="B379">
        <v>43622</v>
      </c>
      <c r="C379">
        <v>77</v>
      </c>
      <c r="D379">
        <v>15365</v>
      </c>
      <c r="E379" t="s">
        <v>14</v>
      </c>
      <c r="F379" t="s">
        <v>22</v>
      </c>
      <c r="G379" t="s">
        <v>31</v>
      </c>
      <c r="H379" t="s">
        <v>71</v>
      </c>
      <c r="I379" t="s">
        <v>9</v>
      </c>
      <c r="J379" t="s">
        <v>20</v>
      </c>
      <c r="K379" t="s">
        <v>26</v>
      </c>
      <c r="L379" t="s">
        <v>73</v>
      </c>
      <c r="M379" t="s">
        <v>68</v>
      </c>
      <c r="N379" t="s">
        <v>37</v>
      </c>
      <c r="O379" t="s">
        <v>18</v>
      </c>
      <c r="P379">
        <v>2</v>
      </c>
    </row>
    <row r="380" spans="1:16" x14ac:dyDescent="0.3">
      <c r="A380">
        <v>3855</v>
      </c>
      <c r="B380">
        <v>44341</v>
      </c>
      <c r="C380">
        <v>22</v>
      </c>
      <c r="D380">
        <v>36434</v>
      </c>
      <c r="E380" t="s">
        <v>14</v>
      </c>
      <c r="F380" t="s">
        <v>22</v>
      </c>
      <c r="G380" t="s">
        <v>17</v>
      </c>
      <c r="H380" t="s">
        <v>71</v>
      </c>
      <c r="I380" t="s">
        <v>9</v>
      </c>
      <c r="J380" t="s">
        <v>20</v>
      </c>
      <c r="K380" t="s">
        <v>26</v>
      </c>
      <c r="L380" t="s">
        <v>73</v>
      </c>
      <c r="M380" t="s">
        <v>62</v>
      </c>
      <c r="N380" t="s">
        <v>30</v>
      </c>
      <c r="O380" t="s">
        <v>18</v>
      </c>
      <c r="P380">
        <v>3</v>
      </c>
    </row>
    <row r="381" spans="1:16" x14ac:dyDescent="0.3">
      <c r="A381">
        <v>3856</v>
      </c>
      <c r="B381">
        <v>45002</v>
      </c>
      <c r="C381">
        <v>29</v>
      </c>
      <c r="D381">
        <v>34471</v>
      </c>
      <c r="E381" t="s">
        <v>14</v>
      </c>
      <c r="F381" t="s">
        <v>22</v>
      </c>
      <c r="G381" t="s">
        <v>40</v>
      </c>
      <c r="H381" t="s">
        <v>71</v>
      </c>
      <c r="I381" t="s">
        <v>9</v>
      </c>
      <c r="J381" t="s">
        <v>20</v>
      </c>
      <c r="K381" t="s">
        <v>11</v>
      </c>
      <c r="L381" t="s">
        <v>73</v>
      </c>
      <c r="M381" t="s">
        <v>59</v>
      </c>
      <c r="N381" t="s">
        <v>30</v>
      </c>
      <c r="O381" t="s">
        <v>65</v>
      </c>
      <c r="P381">
        <v>1</v>
      </c>
    </row>
    <row r="382" spans="1:16" x14ac:dyDescent="0.3">
      <c r="A382">
        <v>3857</v>
      </c>
      <c r="B382">
        <v>44836</v>
      </c>
      <c r="C382">
        <v>59</v>
      </c>
      <c r="D382">
        <v>23155</v>
      </c>
      <c r="E382" t="s">
        <v>14</v>
      </c>
      <c r="F382" t="s">
        <v>22</v>
      </c>
      <c r="G382" t="s">
        <v>17</v>
      </c>
      <c r="H382" t="s">
        <v>70</v>
      </c>
      <c r="I382" t="s">
        <v>9</v>
      </c>
      <c r="J382" t="s">
        <v>10</v>
      </c>
      <c r="K382" t="s">
        <v>26</v>
      </c>
      <c r="L382" t="s">
        <v>53</v>
      </c>
      <c r="M382" t="s">
        <v>55</v>
      </c>
      <c r="N382" t="s">
        <v>37</v>
      </c>
      <c r="O382" t="s">
        <v>65</v>
      </c>
      <c r="P382">
        <v>1</v>
      </c>
    </row>
    <row r="383" spans="1:16" x14ac:dyDescent="0.3">
      <c r="A383">
        <v>3858</v>
      </c>
      <c r="B383">
        <v>44583</v>
      </c>
      <c r="C383">
        <v>71</v>
      </c>
      <c r="D383">
        <v>18811</v>
      </c>
      <c r="E383" t="s">
        <v>14</v>
      </c>
      <c r="F383" t="s">
        <v>22</v>
      </c>
      <c r="G383" t="s">
        <v>34</v>
      </c>
      <c r="H383" t="s">
        <v>70</v>
      </c>
      <c r="I383" t="s">
        <v>9</v>
      </c>
      <c r="J383" t="s">
        <v>25</v>
      </c>
      <c r="K383" t="s">
        <v>26</v>
      </c>
      <c r="L383" t="s">
        <v>53</v>
      </c>
      <c r="M383" t="s">
        <v>42</v>
      </c>
      <c r="N383" t="s">
        <v>30</v>
      </c>
      <c r="O383" t="s">
        <v>18</v>
      </c>
      <c r="P383">
        <v>3</v>
      </c>
    </row>
    <row r="384" spans="1:16" x14ac:dyDescent="0.3">
      <c r="A384">
        <v>3859</v>
      </c>
      <c r="B384">
        <v>43798</v>
      </c>
      <c r="C384">
        <v>27</v>
      </c>
      <c r="D384">
        <v>33714</v>
      </c>
      <c r="E384" t="s">
        <v>14</v>
      </c>
      <c r="F384" t="s">
        <v>15</v>
      </c>
      <c r="G384" t="s">
        <v>34</v>
      </c>
      <c r="H384" t="s">
        <v>70</v>
      </c>
      <c r="I384" t="s">
        <v>9</v>
      </c>
      <c r="J384" t="s">
        <v>25</v>
      </c>
      <c r="K384" t="s">
        <v>26</v>
      </c>
      <c r="L384" t="s">
        <v>53</v>
      </c>
      <c r="M384" t="s">
        <v>55</v>
      </c>
      <c r="N384" t="s">
        <v>23</v>
      </c>
      <c r="O384" t="s">
        <v>65</v>
      </c>
      <c r="P384">
        <v>2</v>
      </c>
    </row>
    <row r="385" spans="1:16" x14ac:dyDescent="0.3">
      <c r="A385">
        <v>3860</v>
      </c>
      <c r="B385">
        <v>44013</v>
      </c>
      <c r="C385">
        <v>24</v>
      </c>
      <c r="D385">
        <v>35068</v>
      </c>
      <c r="E385" t="s">
        <v>14</v>
      </c>
      <c r="F385" t="s">
        <v>15</v>
      </c>
      <c r="G385" t="s">
        <v>31</v>
      </c>
      <c r="H385" t="s">
        <v>70</v>
      </c>
      <c r="I385" t="s">
        <v>9</v>
      </c>
      <c r="J385" t="s">
        <v>10</v>
      </c>
      <c r="K385" t="s">
        <v>26</v>
      </c>
      <c r="L385" t="s">
        <v>53</v>
      </c>
      <c r="M385" t="s">
        <v>60</v>
      </c>
      <c r="N385" t="s">
        <v>46</v>
      </c>
      <c r="O385" t="s">
        <v>18</v>
      </c>
      <c r="P385">
        <v>4</v>
      </c>
    </row>
    <row r="386" spans="1:16" x14ac:dyDescent="0.3">
      <c r="A386">
        <v>3861</v>
      </c>
      <c r="B386">
        <v>44644</v>
      </c>
      <c r="C386">
        <v>57</v>
      </c>
      <c r="D386">
        <v>23798</v>
      </c>
      <c r="E386" t="s">
        <v>14</v>
      </c>
      <c r="F386" t="s">
        <v>22</v>
      </c>
      <c r="G386" t="s">
        <v>17</v>
      </c>
      <c r="H386" t="s">
        <v>72</v>
      </c>
      <c r="I386" t="s">
        <v>9</v>
      </c>
      <c r="J386" t="s">
        <v>25</v>
      </c>
      <c r="K386" t="s">
        <v>11</v>
      </c>
      <c r="L386" t="s">
        <v>53</v>
      </c>
      <c r="M386" t="s">
        <v>32</v>
      </c>
      <c r="N386" t="s">
        <v>30</v>
      </c>
      <c r="O386" t="s">
        <v>65</v>
      </c>
      <c r="P386">
        <v>1</v>
      </c>
    </row>
    <row r="387" spans="1:16" x14ac:dyDescent="0.3">
      <c r="A387">
        <v>3863</v>
      </c>
      <c r="B387">
        <v>43623</v>
      </c>
      <c r="C387">
        <v>47</v>
      </c>
      <c r="D387">
        <v>26377</v>
      </c>
      <c r="E387" t="s">
        <v>14</v>
      </c>
      <c r="F387" t="s">
        <v>15</v>
      </c>
      <c r="G387" t="s">
        <v>31</v>
      </c>
      <c r="H387" t="s">
        <v>74</v>
      </c>
      <c r="I387" t="s">
        <v>9</v>
      </c>
      <c r="J387" t="s">
        <v>10</v>
      </c>
      <c r="K387" t="s">
        <v>19</v>
      </c>
      <c r="L387" t="s">
        <v>53</v>
      </c>
      <c r="M387" t="s">
        <v>21</v>
      </c>
      <c r="N387" t="s">
        <v>30</v>
      </c>
      <c r="O387" t="s">
        <v>65</v>
      </c>
      <c r="P387">
        <v>2</v>
      </c>
    </row>
    <row r="388" spans="1:16" x14ac:dyDescent="0.3">
      <c r="A388">
        <v>3865</v>
      </c>
      <c r="B388">
        <v>44103</v>
      </c>
      <c r="C388">
        <v>57</v>
      </c>
      <c r="D388">
        <v>23287</v>
      </c>
      <c r="E388" t="s">
        <v>14</v>
      </c>
      <c r="F388" t="s">
        <v>22</v>
      </c>
      <c r="G388" t="s">
        <v>31</v>
      </c>
      <c r="H388" t="s">
        <v>71</v>
      </c>
      <c r="I388" t="s">
        <v>9</v>
      </c>
      <c r="J388" t="s">
        <v>20</v>
      </c>
      <c r="K388" t="s">
        <v>11</v>
      </c>
      <c r="L388" t="s">
        <v>12</v>
      </c>
      <c r="M388" t="s">
        <v>76</v>
      </c>
      <c r="N388" t="s">
        <v>46</v>
      </c>
      <c r="O388" t="s">
        <v>56</v>
      </c>
      <c r="P388">
        <v>4</v>
      </c>
    </row>
    <row r="389" spans="1:16" x14ac:dyDescent="0.3">
      <c r="A389">
        <v>3866</v>
      </c>
      <c r="B389">
        <v>44078</v>
      </c>
      <c r="C389">
        <v>61</v>
      </c>
      <c r="D389">
        <v>21863</v>
      </c>
      <c r="E389" t="s">
        <v>14</v>
      </c>
      <c r="F389" t="s">
        <v>22</v>
      </c>
      <c r="G389" t="s">
        <v>40</v>
      </c>
      <c r="H389" t="s">
        <v>71</v>
      </c>
      <c r="I389" t="s">
        <v>9</v>
      </c>
      <c r="J389" t="s">
        <v>10</v>
      </c>
      <c r="K389" t="s">
        <v>19</v>
      </c>
      <c r="L389" t="s">
        <v>73</v>
      </c>
      <c r="M389" t="s">
        <v>35</v>
      </c>
      <c r="N389" t="s">
        <v>30</v>
      </c>
      <c r="O389" t="s">
        <v>18</v>
      </c>
      <c r="P389">
        <v>1</v>
      </c>
    </row>
    <row r="390" spans="1:16" x14ac:dyDescent="0.3">
      <c r="A390">
        <v>3867</v>
      </c>
      <c r="B390">
        <v>43338</v>
      </c>
      <c r="C390">
        <v>32</v>
      </c>
      <c r="D390">
        <v>31706</v>
      </c>
      <c r="E390" t="s">
        <v>14</v>
      </c>
      <c r="F390" t="s">
        <v>22</v>
      </c>
      <c r="G390" t="s">
        <v>17</v>
      </c>
      <c r="H390" t="s">
        <v>71</v>
      </c>
      <c r="I390" t="s">
        <v>9</v>
      </c>
      <c r="J390" t="s">
        <v>20</v>
      </c>
      <c r="K390" t="s">
        <v>26</v>
      </c>
      <c r="L390" t="s">
        <v>73</v>
      </c>
      <c r="M390" t="s">
        <v>60</v>
      </c>
      <c r="N390" t="s">
        <v>30</v>
      </c>
      <c r="O390" t="s">
        <v>18</v>
      </c>
      <c r="P390">
        <v>3</v>
      </c>
    </row>
    <row r="391" spans="1:16" x14ac:dyDescent="0.3">
      <c r="A391">
        <v>3868</v>
      </c>
      <c r="B391">
        <v>43694</v>
      </c>
      <c r="C391">
        <v>19</v>
      </c>
      <c r="D391">
        <v>36608</v>
      </c>
      <c r="E391" t="s">
        <v>14</v>
      </c>
      <c r="F391" t="s">
        <v>22</v>
      </c>
      <c r="G391" t="s">
        <v>17</v>
      </c>
      <c r="H391" t="s">
        <v>71</v>
      </c>
      <c r="I391" t="s">
        <v>9</v>
      </c>
      <c r="J391" t="s">
        <v>10</v>
      </c>
      <c r="K391" t="s">
        <v>19</v>
      </c>
      <c r="L391" t="s">
        <v>53</v>
      </c>
      <c r="M391" t="s">
        <v>13</v>
      </c>
      <c r="N391" t="s">
        <v>23</v>
      </c>
      <c r="O391" t="s">
        <v>18</v>
      </c>
      <c r="P391">
        <v>1</v>
      </c>
    </row>
    <row r="392" spans="1:16" x14ac:dyDescent="0.3">
      <c r="A392">
        <v>3869</v>
      </c>
      <c r="B392">
        <v>43733</v>
      </c>
      <c r="C392">
        <v>42</v>
      </c>
      <c r="D392">
        <v>28286</v>
      </c>
      <c r="E392" t="s">
        <v>14</v>
      </c>
      <c r="F392" t="s">
        <v>22</v>
      </c>
      <c r="G392" t="s">
        <v>40</v>
      </c>
      <c r="H392" t="s">
        <v>70</v>
      </c>
      <c r="I392" t="s">
        <v>9</v>
      </c>
      <c r="J392" t="s">
        <v>25</v>
      </c>
      <c r="K392" t="s">
        <v>19</v>
      </c>
      <c r="L392" t="s">
        <v>53</v>
      </c>
      <c r="M392" t="s">
        <v>35</v>
      </c>
      <c r="N392" t="s">
        <v>23</v>
      </c>
      <c r="O392" t="s">
        <v>18</v>
      </c>
      <c r="P392">
        <v>4</v>
      </c>
    </row>
    <row r="393" spans="1:16" x14ac:dyDescent="0.3">
      <c r="A393">
        <v>3870</v>
      </c>
      <c r="B393">
        <v>44996</v>
      </c>
      <c r="C393">
        <v>57</v>
      </c>
      <c r="D393">
        <v>24434</v>
      </c>
      <c r="E393" t="s">
        <v>14</v>
      </c>
      <c r="F393" t="s">
        <v>22</v>
      </c>
      <c r="G393" t="s">
        <v>31</v>
      </c>
      <c r="H393" t="s">
        <v>70</v>
      </c>
      <c r="I393" t="s">
        <v>9</v>
      </c>
      <c r="J393" t="s">
        <v>10</v>
      </c>
      <c r="K393" t="s">
        <v>26</v>
      </c>
      <c r="L393" t="s">
        <v>53</v>
      </c>
      <c r="M393" t="s">
        <v>54</v>
      </c>
      <c r="N393" t="s">
        <v>46</v>
      </c>
      <c r="O393" t="s">
        <v>18</v>
      </c>
      <c r="P393">
        <v>5</v>
      </c>
    </row>
    <row r="394" spans="1:16" x14ac:dyDescent="0.3">
      <c r="A394">
        <v>3871</v>
      </c>
      <c r="B394">
        <v>44910</v>
      </c>
      <c r="C394">
        <v>51</v>
      </c>
      <c r="D394">
        <v>26089</v>
      </c>
      <c r="E394" t="s">
        <v>14</v>
      </c>
      <c r="F394" t="s">
        <v>15</v>
      </c>
      <c r="G394" t="s">
        <v>17</v>
      </c>
      <c r="H394" t="s">
        <v>70</v>
      </c>
      <c r="I394" t="s">
        <v>9</v>
      </c>
      <c r="J394" t="s">
        <v>25</v>
      </c>
      <c r="K394" t="s">
        <v>26</v>
      </c>
      <c r="L394" t="s">
        <v>53</v>
      </c>
      <c r="M394" t="s">
        <v>32</v>
      </c>
      <c r="N394" t="s">
        <v>16</v>
      </c>
      <c r="O394" t="s">
        <v>18</v>
      </c>
      <c r="P394">
        <v>5</v>
      </c>
    </row>
    <row r="395" spans="1:16" x14ac:dyDescent="0.3">
      <c r="A395">
        <v>3872</v>
      </c>
      <c r="B395">
        <v>43322</v>
      </c>
      <c r="C395">
        <v>52</v>
      </c>
      <c r="D395">
        <v>24115</v>
      </c>
      <c r="E395" t="s">
        <v>14</v>
      </c>
      <c r="F395" t="s">
        <v>15</v>
      </c>
      <c r="G395" t="s">
        <v>31</v>
      </c>
      <c r="H395" t="s">
        <v>70</v>
      </c>
      <c r="I395" t="s">
        <v>9</v>
      </c>
      <c r="J395" t="s">
        <v>10</v>
      </c>
      <c r="K395" t="s">
        <v>26</v>
      </c>
      <c r="L395" t="s">
        <v>53</v>
      </c>
      <c r="M395" t="s">
        <v>42</v>
      </c>
      <c r="N395" t="s">
        <v>46</v>
      </c>
      <c r="O395" t="s">
        <v>18</v>
      </c>
      <c r="P395">
        <v>5</v>
      </c>
    </row>
    <row r="396" spans="1:16" x14ac:dyDescent="0.3">
      <c r="A396">
        <v>3873</v>
      </c>
      <c r="B396">
        <v>44624</v>
      </c>
      <c r="C396">
        <v>50</v>
      </c>
      <c r="D396">
        <v>26599</v>
      </c>
      <c r="E396" t="s">
        <v>14</v>
      </c>
      <c r="F396" t="s">
        <v>22</v>
      </c>
      <c r="G396" t="s">
        <v>17</v>
      </c>
      <c r="H396" t="s">
        <v>72</v>
      </c>
      <c r="I396" t="s">
        <v>9</v>
      </c>
      <c r="J396" t="s">
        <v>25</v>
      </c>
      <c r="K396" t="s">
        <v>26</v>
      </c>
      <c r="L396" t="s">
        <v>53</v>
      </c>
      <c r="M396" t="s">
        <v>44</v>
      </c>
      <c r="N396" t="s">
        <v>23</v>
      </c>
      <c r="O396" t="s">
        <v>18</v>
      </c>
      <c r="P396">
        <v>4</v>
      </c>
    </row>
    <row r="397" spans="1:16" x14ac:dyDescent="0.3">
      <c r="A397">
        <v>3874</v>
      </c>
      <c r="B397">
        <v>43984</v>
      </c>
      <c r="C397">
        <v>23</v>
      </c>
      <c r="D397">
        <v>35725</v>
      </c>
      <c r="E397" t="s">
        <v>36</v>
      </c>
      <c r="F397" t="s">
        <v>22</v>
      </c>
      <c r="G397" t="s">
        <v>34</v>
      </c>
      <c r="H397" t="s">
        <v>72</v>
      </c>
      <c r="I397" t="s">
        <v>9</v>
      </c>
      <c r="J397" t="s">
        <v>20</v>
      </c>
      <c r="K397" t="s">
        <v>11</v>
      </c>
      <c r="L397" t="s">
        <v>53</v>
      </c>
      <c r="M397" t="s">
        <v>32</v>
      </c>
      <c r="N397" t="s">
        <v>23</v>
      </c>
      <c r="O397" t="s">
        <v>18</v>
      </c>
      <c r="P397">
        <v>4</v>
      </c>
    </row>
    <row r="398" spans="1:16" x14ac:dyDescent="0.3">
      <c r="A398">
        <v>3875</v>
      </c>
      <c r="B398">
        <v>44376</v>
      </c>
      <c r="C398">
        <v>52</v>
      </c>
      <c r="D398">
        <v>25438</v>
      </c>
      <c r="E398" t="s">
        <v>36</v>
      </c>
      <c r="F398" t="s">
        <v>22</v>
      </c>
      <c r="G398" t="s">
        <v>40</v>
      </c>
      <c r="H398" t="s">
        <v>72</v>
      </c>
      <c r="I398" t="s">
        <v>9</v>
      </c>
      <c r="J398" t="s">
        <v>10</v>
      </c>
      <c r="K398" t="s">
        <v>19</v>
      </c>
      <c r="L398" t="s">
        <v>53</v>
      </c>
      <c r="M398" t="s">
        <v>69</v>
      </c>
      <c r="N398" t="s">
        <v>46</v>
      </c>
      <c r="O398" t="s">
        <v>18</v>
      </c>
      <c r="P398">
        <v>5</v>
      </c>
    </row>
    <row r="399" spans="1:16" x14ac:dyDescent="0.3">
      <c r="A399">
        <v>3876</v>
      </c>
      <c r="B399">
        <v>44493</v>
      </c>
      <c r="C399">
        <v>67</v>
      </c>
      <c r="D399">
        <v>19874</v>
      </c>
      <c r="E399" t="s">
        <v>14</v>
      </c>
      <c r="F399" t="s">
        <v>15</v>
      </c>
      <c r="G399" t="s">
        <v>31</v>
      </c>
      <c r="H399" t="s">
        <v>74</v>
      </c>
      <c r="I399" t="s">
        <v>9</v>
      </c>
      <c r="J399" t="s">
        <v>10</v>
      </c>
      <c r="K399" t="s">
        <v>11</v>
      </c>
      <c r="L399" t="s">
        <v>53</v>
      </c>
      <c r="M399" t="s">
        <v>32</v>
      </c>
      <c r="N399" t="s">
        <v>23</v>
      </c>
      <c r="O399" t="s">
        <v>65</v>
      </c>
      <c r="P399">
        <v>2</v>
      </c>
    </row>
    <row r="400" spans="1:16" x14ac:dyDescent="0.3">
      <c r="A400">
        <v>3877</v>
      </c>
      <c r="B400">
        <v>43395</v>
      </c>
      <c r="C400">
        <v>42</v>
      </c>
      <c r="D400">
        <v>27780</v>
      </c>
      <c r="E400" t="s">
        <v>14</v>
      </c>
      <c r="F400" t="s">
        <v>22</v>
      </c>
      <c r="G400" t="s">
        <v>31</v>
      </c>
      <c r="H400" t="s">
        <v>71</v>
      </c>
      <c r="I400" t="s">
        <v>9</v>
      </c>
      <c r="J400" t="s">
        <v>20</v>
      </c>
      <c r="K400" t="s">
        <v>19</v>
      </c>
      <c r="L400" t="s">
        <v>73</v>
      </c>
      <c r="M400" t="s">
        <v>32</v>
      </c>
      <c r="N400" t="s">
        <v>46</v>
      </c>
      <c r="O400" t="s">
        <v>65</v>
      </c>
      <c r="P400">
        <v>3</v>
      </c>
    </row>
    <row r="401" spans="1:16" x14ac:dyDescent="0.3">
      <c r="A401">
        <v>3878</v>
      </c>
      <c r="B401">
        <v>43351</v>
      </c>
      <c r="C401">
        <v>51</v>
      </c>
      <c r="D401">
        <v>24521</v>
      </c>
      <c r="E401" t="s">
        <v>14</v>
      </c>
      <c r="F401" t="s">
        <v>22</v>
      </c>
      <c r="G401" t="s">
        <v>40</v>
      </c>
      <c r="H401" t="s">
        <v>71</v>
      </c>
      <c r="I401" t="s">
        <v>9</v>
      </c>
      <c r="J401" t="s">
        <v>10</v>
      </c>
      <c r="K401" t="s">
        <v>26</v>
      </c>
      <c r="L401" t="s">
        <v>73</v>
      </c>
      <c r="M401" t="s">
        <v>42</v>
      </c>
      <c r="N401" t="s">
        <v>30</v>
      </c>
      <c r="O401" t="s">
        <v>18</v>
      </c>
      <c r="P401">
        <v>4</v>
      </c>
    </row>
    <row r="402" spans="1:16" x14ac:dyDescent="0.3">
      <c r="A402">
        <v>3879</v>
      </c>
      <c r="B402">
        <v>43504</v>
      </c>
      <c r="C402">
        <v>23</v>
      </c>
      <c r="D402">
        <v>35077</v>
      </c>
      <c r="E402" t="s">
        <v>14</v>
      </c>
      <c r="F402" t="s">
        <v>22</v>
      </c>
      <c r="G402" t="s">
        <v>34</v>
      </c>
      <c r="H402" t="s">
        <v>71</v>
      </c>
      <c r="I402" t="s">
        <v>9</v>
      </c>
      <c r="J402" t="s">
        <v>25</v>
      </c>
      <c r="K402" t="s">
        <v>11</v>
      </c>
      <c r="L402" t="s">
        <v>53</v>
      </c>
      <c r="M402" t="s">
        <v>35</v>
      </c>
      <c r="N402" t="s">
        <v>23</v>
      </c>
      <c r="O402" t="s">
        <v>18</v>
      </c>
      <c r="P402">
        <v>5</v>
      </c>
    </row>
    <row r="403" spans="1:16" x14ac:dyDescent="0.3">
      <c r="A403">
        <v>3880</v>
      </c>
      <c r="B403">
        <v>44284</v>
      </c>
      <c r="C403">
        <v>48</v>
      </c>
      <c r="D403">
        <v>26799</v>
      </c>
      <c r="E403" t="s">
        <v>14</v>
      </c>
      <c r="F403" t="s">
        <v>22</v>
      </c>
      <c r="G403" t="s">
        <v>31</v>
      </c>
      <c r="H403" t="s">
        <v>71</v>
      </c>
      <c r="I403" t="s">
        <v>9</v>
      </c>
      <c r="J403" t="s">
        <v>20</v>
      </c>
      <c r="K403" t="s">
        <v>26</v>
      </c>
      <c r="L403" t="s">
        <v>53</v>
      </c>
      <c r="M403" t="s">
        <v>32</v>
      </c>
      <c r="N403" t="s">
        <v>37</v>
      </c>
      <c r="O403" t="s">
        <v>18</v>
      </c>
      <c r="P403">
        <v>3</v>
      </c>
    </row>
    <row r="404" spans="1:16" x14ac:dyDescent="0.3">
      <c r="A404">
        <v>3881</v>
      </c>
      <c r="B404">
        <v>43635</v>
      </c>
      <c r="C404">
        <v>27</v>
      </c>
      <c r="D404">
        <v>33920</v>
      </c>
      <c r="E404" t="s">
        <v>14</v>
      </c>
      <c r="F404" t="s">
        <v>22</v>
      </c>
      <c r="G404" t="s">
        <v>40</v>
      </c>
      <c r="H404" t="s">
        <v>70</v>
      </c>
      <c r="I404" t="s">
        <v>9</v>
      </c>
      <c r="J404" t="s">
        <v>20</v>
      </c>
      <c r="K404" t="s">
        <v>26</v>
      </c>
      <c r="L404" t="s">
        <v>53</v>
      </c>
      <c r="M404" t="s">
        <v>35</v>
      </c>
      <c r="N404" t="s">
        <v>30</v>
      </c>
      <c r="O404" t="s">
        <v>18</v>
      </c>
      <c r="P404">
        <v>3</v>
      </c>
    </row>
    <row r="405" spans="1:16" x14ac:dyDescent="0.3">
      <c r="A405">
        <v>3882</v>
      </c>
      <c r="B405">
        <v>43495</v>
      </c>
      <c r="C405">
        <v>73</v>
      </c>
      <c r="D405">
        <v>16848</v>
      </c>
      <c r="E405" t="s">
        <v>14</v>
      </c>
      <c r="F405" t="s">
        <v>15</v>
      </c>
      <c r="G405" t="s">
        <v>34</v>
      </c>
      <c r="H405" t="s">
        <v>70</v>
      </c>
      <c r="I405" t="s">
        <v>9</v>
      </c>
      <c r="J405" t="s">
        <v>10</v>
      </c>
      <c r="K405" t="s">
        <v>11</v>
      </c>
      <c r="L405" t="s">
        <v>53</v>
      </c>
      <c r="M405" t="s">
        <v>61</v>
      </c>
      <c r="N405" t="s">
        <v>46</v>
      </c>
      <c r="O405" t="s">
        <v>18</v>
      </c>
      <c r="P405">
        <v>3</v>
      </c>
    </row>
    <row r="406" spans="1:16" x14ac:dyDescent="0.3">
      <c r="A406">
        <v>3883</v>
      </c>
      <c r="B406">
        <v>44687</v>
      </c>
      <c r="C406">
        <v>31</v>
      </c>
      <c r="D406">
        <v>33405</v>
      </c>
      <c r="E406" t="s">
        <v>14</v>
      </c>
      <c r="F406" t="s">
        <v>15</v>
      </c>
      <c r="G406" t="s">
        <v>17</v>
      </c>
      <c r="H406" t="s">
        <v>70</v>
      </c>
      <c r="I406" t="s">
        <v>9</v>
      </c>
      <c r="J406" t="s">
        <v>10</v>
      </c>
      <c r="K406" t="s">
        <v>26</v>
      </c>
      <c r="L406" t="s">
        <v>53</v>
      </c>
      <c r="M406" t="s">
        <v>35</v>
      </c>
      <c r="N406" t="s">
        <v>16</v>
      </c>
      <c r="O406" t="s">
        <v>18</v>
      </c>
      <c r="P406">
        <v>2</v>
      </c>
    </row>
    <row r="407" spans="1:16" x14ac:dyDescent="0.3">
      <c r="A407">
        <v>3884</v>
      </c>
      <c r="B407">
        <v>43498</v>
      </c>
      <c r="C407">
        <v>32</v>
      </c>
      <c r="D407">
        <v>31894</v>
      </c>
      <c r="E407" t="s">
        <v>14</v>
      </c>
      <c r="F407" t="s">
        <v>15</v>
      </c>
      <c r="G407" t="s">
        <v>17</v>
      </c>
      <c r="H407" t="s">
        <v>70</v>
      </c>
      <c r="I407" t="s">
        <v>9</v>
      </c>
      <c r="J407" t="s">
        <v>25</v>
      </c>
      <c r="K407" t="s">
        <v>26</v>
      </c>
      <c r="L407" t="s">
        <v>53</v>
      </c>
      <c r="M407" t="s">
        <v>42</v>
      </c>
      <c r="N407" t="s">
        <v>37</v>
      </c>
      <c r="O407" t="s">
        <v>18</v>
      </c>
      <c r="P407">
        <v>2</v>
      </c>
    </row>
    <row r="408" spans="1:16" x14ac:dyDescent="0.3">
      <c r="A408">
        <v>3885</v>
      </c>
      <c r="B408">
        <v>44538</v>
      </c>
      <c r="C408">
        <v>73</v>
      </c>
      <c r="D408">
        <v>17827</v>
      </c>
      <c r="E408" t="s">
        <v>36</v>
      </c>
      <c r="F408" t="s">
        <v>15</v>
      </c>
      <c r="G408" t="s">
        <v>31</v>
      </c>
      <c r="H408" t="s">
        <v>72</v>
      </c>
      <c r="I408" t="s">
        <v>9</v>
      </c>
      <c r="J408" t="s">
        <v>25</v>
      </c>
      <c r="K408" t="s">
        <v>26</v>
      </c>
      <c r="L408" t="s">
        <v>53</v>
      </c>
      <c r="M408" t="s">
        <v>42</v>
      </c>
      <c r="N408" t="s">
        <v>37</v>
      </c>
      <c r="O408" t="s">
        <v>18</v>
      </c>
      <c r="P408">
        <v>5</v>
      </c>
    </row>
    <row r="409" spans="1:16" x14ac:dyDescent="0.3">
      <c r="A409">
        <v>3886</v>
      </c>
      <c r="B409">
        <v>43385</v>
      </c>
      <c r="C409">
        <v>41</v>
      </c>
      <c r="D409">
        <v>28465</v>
      </c>
      <c r="E409" t="s">
        <v>36</v>
      </c>
      <c r="F409" t="s">
        <v>22</v>
      </c>
      <c r="G409" t="s">
        <v>31</v>
      </c>
      <c r="H409" t="s">
        <v>72</v>
      </c>
      <c r="I409" t="s">
        <v>9</v>
      </c>
      <c r="J409" t="s">
        <v>20</v>
      </c>
      <c r="K409" t="s">
        <v>26</v>
      </c>
      <c r="L409" t="s">
        <v>53</v>
      </c>
      <c r="M409" t="s">
        <v>61</v>
      </c>
      <c r="N409" t="s">
        <v>30</v>
      </c>
      <c r="O409" t="s">
        <v>18</v>
      </c>
      <c r="P409">
        <v>2</v>
      </c>
    </row>
    <row r="410" spans="1:16" x14ac:dyDescent="0.3">
      <c r="A410">
        <v>3889</v>
      </c>
      <c r="B410">
        <v>44809</v>
      </c>
      <c r="C410">
        <v>40</v>
      </c>
      <c r="D410">
        <v>30239</v>
      </c>
      <c r="E410" t="s">
        <v>14</v>
      </c>
      <c r="F410" t="s">
        <v>22</v>
      </c>
      <c r="G410" t="s">
        <v>31</v>
      </c>
      <c r="H410" t="s">
        <v>71</v>
      </c>
      <c r="I410" t="s">
        <v>9</v>
      </c>
      <c r="J410" t="s">
        <v>10</v>
      </c>
      <c r="K410" t="s">
        <v>26</v>
      </c>
      <c r="L410" t="s">
        <v>73</v>
      </c>
      <c r="M410" t="s">
        <v>32</v>
      </c>
      <c r="N410" t="s">
        <v>37</v>
      </c>
      <c r="O410" t="s">
        <v>18</v>
      </c>
      <c r="P410">
        <v>1</v>
      </c>
    </row>
    <row r="411" spans="1:16" x14ac:dyDescent="0.3">
      <c r="A411">
        <v>3890</v>
      </c>
      <c r="B411">
        <v>44761</v>
      </c>
      <c r="C411">
        <v>23</v>
      </c>
      <c r="D411">
        <v>36392</v>
      </c>
      <c r="E411" t="s">
        <v>14</v>
      </c>
      <c r="F411" t="s">
        <v>22</v>
      </c>
      <c r="G411" t="s">
        <v>40</v>
      </c>
      <c r="H411" t="s">
        <v>71</v>
      </c>
      <c r="I411" t="s">
        <v>9</v>
      </c>
      <c r="J411" t="s">
        <v>25</v>
      </c>
      <c r="K411" t="s">
        <v>26</v>
      </c>
      <c r="L411" t="s">
        <v>53</v>
      </c>
      <c r="M411" t="s">
        <v>32</v>
      </c>
      <c r="N411" t="s">
        <v>46</v>
      </c>
      <c r="O411" t="s">
        <v>18</v>
      </c>
      <c r="P411">
        <v>3</v>
      </c>
    </row>
    <row r="412" spans="1:16" x14ac:dyDescent="0.3">
      <c r="A412">
        <v>3891</v>
      </c>
      <c r="B412">
        <v>44707</v>
      </c>
      <c r="C412">
        <v>62</v>
      </c>
      <c r="D412">
        <v>22101</v>
      </c>
      <c r="E412" t="s">
        <v>14</v>
      </c>
      <c r="F412" t="s">
        <v>22</v>
      </c>
      <c r="G412" t="s">
        <v>31</v>
      </c>
      <c r="H412" t="s">
        <v>71</v>
      </c>
      <c r="I412" t="s">
        <v>9</v>
      </c>
      <c r="J412" t="s">
        <v>25</v>
      </c>
      <c r="K412" t="s">
        <v>11</v>
      </c>
      <c r="L412" t="s">
        <v>53</v>
      </c>
      <c r="M412" t="s">
        <v>42</v>
      </c>
      <c r="N412" t="s">
        <v>30</v>
      </c>
      <c r="O412" t="s">
        <v>18</v>
      </c>
      <c r="P412">
        <v>2</v>
      </c>
    </row>
    <row r="413" spans="1:16" x14ac:dyDescent="0.3">
      <c r="A413">
        <v>3892</v>
      </c>
      <c r="B413">
        <v>44865</v>
      </c>
      <c r="C413">
        <v>44</v>
      </c>
      <c r="D413">
        <v>28581</v>
      </c>
      <c r="E413" t="s">
        <v>14</v>
      </c>
      <c r="F413" t="s">
        <v>22</v>
      </c>
      <c r="G413" t="s">
        <v>40</v>
      </c>
      <c r="H413" t="s">
        <v>71</v>
      </c>
      <c r="I413" t="s">
        <v>9</v>
      </c>
      <c r="J413" t="s">
        <v>25</v>
      </c>
      <c r="K413" t="s">
        <v>19</v>
      </c>
      <c r="L413" t="s">
        <v>53</v>
      </c>
      <c r="M413" t="s">
        <v>42</v>
      </c>
      <c r="N413" t="s">
        <v>23</v>
      </c>
      <c r="O413" t="s">
        <v>18</v>
      </c>
      <c r="P413">
        <v>4</v>
      </c>
    </row>
    <row r="414" spans="1:16" x14ac:dyDescent="0.3">
      <c r="A414">
        <v>3893</v>
      </c>
      <c r="B414">
        <v>45007</v>
      </c>
      <c r="C414">
        <v>70</v>
      </c>
      <c r="D414">
        <v>19464</v>
      </c>
      <c r="E414" t="s">
        <v>14</v>
      </c>
      <c r="F414" t="s">
        <v>15</v>
      </c>
      <c r="G414" t="s">
        <v>34</v>
      </c>
      <c r="H414" t="s">
        <v>70</v>
      </c>
      <c r="I414" t="s">
        <v>9</v>
      </c>
      <c r="J414" t="s">
        <v>25</v>
      </c>
      <c r="K414" t="s">
        <v>26</v>
      </c>
      <c r="L414" t="s">
        <v>53</v>
      </c>
      <c r="M414" t="s">
        <v>32</v>
      </c>
      <c r="N414" t="s">
        <v>46</v>
      </c>
      <c r="O414" t="s">
        <v>18</v>
      </c>
      <c r="P414">
        <v>1</v>
      </c>
    </row>
    <row r="415" spans="1:16" x14ac:dyDescent="0.3">
      <c r="A415">
        <v>3894</v>
      </c>
      <c r="B415">
        <v>45075</v>
      </c>
      <c r="C415">
        <v>64</v>
      </c>
      <c r="D415">
        <v>21611</v>
      </c>
      <c r="E415" t="s">
        <v>14</v>
      </c>
      <c r="F415" t="s">
        <v>15</v>
      </c>
      <c r="G415" t="s">
        <v>34</v>
      </c>
      <c r="H415" t="s">
        <v>70</v>
      </c>
      <c r="I415" t="s">
        <v>9</v>
      </c>
      <c r="J415" t="s">
        <v>25</v>
      </c>
      <c r="K415" t="s">
        <v>19</v>
      </c>
      <c r="L415" t="s">
        <v>53</v>
      </c>
      <c r="M415" t="s">
        <v>21</v>
      </c>
      <c r="N415" t="s">
        <v>37</v>
      </c>
      <c r="O415" t="s">
        <v>18</v>
      </c>
      <c r="P415">
        <v>3</v>
      </c>
    </row>
    <row r="416" spans="1:16" x14ac:dyDescent="0.3">
      <c r="A416">
        <v>3895</v>
      </c>
      <c r="B416">
        <v>43884</v>
      </c>
      <c r="C416">
        <v>77</v>
      </c>
      <c r="D416">
        <v>15842</v>
      </c>
      <c r="E416" t="s">
        <v>14</v>
      </c>
      <c r="F416" t="s">
        <v>15</v>
      </c>
      <c r="G416" t="s">
        <v>31</v>
      </c>
      <c r="H416" t="s">
        <v>70</v>
      </c>
      <c r="I416" t="s">
        <v>9</v>
      </c>
      <c r="J416" t="s">
        <v>25</v>
      </c>
      <c r="K416" t="s">
        <v>11</v>
      </c>
      <c r="L416" t="s">
        <v>53</v>
      </c>
      <c r="M416" t="s">
        <v>49</v>
      </c>
      <c r="N416" t="s">
        <v>30</v>
      </c>
      <c r="O416" t="s">
        <v>18</v>
      </c>
      <c r="P416">
        <v>1</v>
      </c>
    </row>
    <row r="417" spans="1:16" x14ac:dyDescent="0.3">
      <c r="A417">
        <v>3896</v>
      </c>
      <c r="B417">
        <v>43690</v>
      </c>
      <c r="C417">
        <v>39</v>
      </c>
      <c r="D417">
        <v>29545</v>
      </c>
      <c r="E417" t="s">
        <v>14</v>
      </c>
      <c r="F417" t="s">
        <v>15</v>
      </c>
      <c r="G417" t="s">
        <v>17</v>
      </c>
      <c r="H417" t="s">
        <v>70</v>
      </c>
      <c r="I417" t="s">
        <v>9</v>
      </c>
      <c r="J417" t="s">
        <v>20</v>
      </c>
      <c r="K417" t="s">
        <v>26</v>
      </c>
      <c r="L417" t="s">
        <v>53</v>
      </c>
      <c r="M417" t="s">
        <v>42</v>
      </c>
      <c r="N417" t="s">
        <v>30</v>
      </c>
      <c r="O417" t="s">
        <v>18</v>
      </c>
      <c r="P417">
        <v>3</v>
      </c>
    </row>
    <row r="418" spans="1:16" x14ac:dyDescent="0.3">
      <c r="A418">
        <v>3897</v>
      </c>
      <c r="B418">
        <v>43549</v>
      </c>
      <c r="C418">
        <v>63</v>
      </c>
      <c r="D418">
        <v>20545</v>
      </c>
      <c r="E418" t="s">
        <v>36</v>
      </c>
      <c r="F418" t="s">
        <v>15</v>
      </c>
      <c r="G418" t="s">
        <v>34</v>
      </c>
      <c r="H418" t="s">
        <v>72</v>
      </c>
      <c r="I418" t="s">
        <v>9</v>
      </c>
      <c r="J418" t="s">
        <v>20</v>
      </c>
      <c r="K418" t="s">
        <v>19</v>
      </c>
      <c r="L418" t="s">
        <v>53</v>
      </c>
      <c r="M418" t="s">
        <v>21</v>
      </c>
      <c r="N418" t="s">
        <v>37</v>
      </c>
      <c r="O418" t="s">
        <v>18</v>
      </c>
      <c r="P418">
        <v>4</v>
      </c>
    </row>
    <row r="419" spans="1:16" x14ac:dyDescent="0.3">
      <c r="A419">
        <v>3900</v>
      </c>
      <c r="B419">
        <v>45093</v>
      </c>
      <c r="C419">
        <v>28</v>
      </c>
      <c r="D419">
        <v>34968</v>
      </c>
      <c r="E419" t="s">
        <v>14</v>
      </c>
      <c r="F419" t="s">
        <v>15</v>
      </c>
      <c r="G419" t="s">
        <v>31</v>
      </c>
      <c r="H419" t="s">
        <v>74</v>
      </c>
      <c r="I419" t="s">
        <v>9</v>
      </c>
      <c r="J419" t="s">
        <v>10</v>
      </c>
      <c r="K419" t="s">
        <v>11</v>
      </c>
      <c r="L419" t="s">
        <v>53</v>
      </c>
      <c r="M419" t="s">
        <v>35</v>
      </c>
      <c r="N419" t="s">
        <v>46</v>
      </c>
      <c r="O419" t="s">
        <v>18</v>
      </c>
      <c r="P419">
        <v>2</v>
      </c>
    </row>
    <row r="420" spans="1:16" x14ac:dyDescent="0.3">
      <c r="A420">
        <v>3901</v>
      </c>
      <c r="B420">
        <v>44365</v>
      </c>
      <c r="C420">
        <v>33</v>
      </c>
      <c r="D420">
        <v>32178</v>
      </c>
      <c r="E420" t="s">
        <v>14</v>
      </c>
      <c r="F420" t="s">
        <v>22</v>
      </c>
      <c r="G420" t="s">
        <v>31</v>
      </c>
      <c r="H420" t="s">
        <v>71</v>
      </c>
      <c r="I420" t="s">
        <v>9</v>
      </c>
      <c r="J420" t="s">
        <v>20</v>
      </c>
      <c r="K420" t="s">
        <v>19</v>
      </c>
      <c r="L420" t="s">
        <v>73</v>
      </c>
      <c r="M420" t="s">
        <v>57</v>
      </c>
      <c r="N420" t="s">
        <v>23</v>
      </c>
      <c r="O420" t="s">
        <v>18</v>
      </c>
      <c r="P420">
        <v>2</v>
      </c>
    </row>
    <row r="421" spans="1:16" x14ac:dyDescent="0.3">
      <c r="A421">
        <v>3902</v>
      </c>
      <c r="B421">
        <v>45068</v>
      </c>
      <c r="C421">
        <v>59</v>
      </c>
      <c r="D421">
        <v>23530</v>
      </c>
      <c r="E421" t="s">
        <v>14</v>
      </c>
      <c r="F421" t="s">
        <v>22</v>
      </c>
      <c r="G421" t="s">
        <v>31</v>
      </c>
      <c r="H421" t="s">
        <v>71</v>
      </c>
      <c r="I421" t="s">
        <v>9</v>
      </c>
      <c r="J421" t="s">
        <v>10</v>
      </c>
      <c r="K421" t="s">
        <v>26</v>
      </c>
      <c r="L421" t="s">
        <v>73</v>
      </c>
      <c r="M421" t="s">
        <v>59</v>
      </c>
      <c r="N421" t="s">
        <v>37</v>
      </c>
      <c r="O421" t="s">
        <v>18</v>
      </c>
      <c r="P421">
        <v>1</v>
      </c>
    </row>
    <row r="422" spans="1:16" x14ac:dyDescent="0.3">
      <c r="A422">
        <v>3903</v>
      </c>
      <c r="B422">
        <v>43599</v>
      </c>
      <c r="C422">
        <v>26</v>
      </c>
      <c r="D422">
        <v>34171</v>
      </c>
      <c r="E422" t="s">
        <v>14</v>
      </c>
      <c r="F422" t="s">
        <v>22</v>
      </c>
      <c r="G422" t="s">
        <v>31</v>
      </c>
      <c r="H422" t="s">
        <v>71</v>
      </c>
      <c r="I422" t="s">
        <v>9</v>
      </c>
      <c r="J422" t="s">
        <v>25</v>
      </c>
      <c r="K422" t="s">
        <v>19</v>
      </c>
      <c r="L422" t="s">
        <v>53</v>
      </c>
      <c r="M422" t="s">
        <v>35</v>
      </c>
      <c r="N422" t="s">
        <v>23</v>
      </c>
      <c r="O422" t="s">
        <v>18</v>
      </c>
      <c r="P422">
        <v>4</v>
      </c>
    </row>
    <row r="423" spans="1:16" x14ac:dyDescent="0.3">
      <c r="A423">
        <v>3904</v>
      </c>
      <c r="B423">
        <v>44192</v>
      </c>
      <c r="C423">
        <v>50</v>
      </c>
      <c r="D423">
        <v>25630</v>
      </c>
      <c r="E423" t="s">
        <v>14</v>
      </c>
      <c r="F423" t="s">
        <v>22</v>
      </c>
      <c r="G423" t="s">
        <v>17</v>
      </c>
      <c r="H423" t="s">
        <v>71</v>
      </c>
      <c r="I423" t="s">
        <v>9</v>
      </c>
      <c r="J423" t="s">
        <v>10</v>
      </c>
      <c r="K423" t="s">
        <v>19</v>
      </c>
      <c r="L423" t="s">
        <v>53</v>
      </c>
      <c r="M423" t="s">
        <v>42</v>
      </c>
      <c r="N423" t="s">
        <v>46</v>
      </c>
      <c r="O423" t="s">
        <v>18</v>
      </c>
      <c r="P423">
        <v>4</v>
      </c>
    </row>
    <row r="424" spans="1:16" x14ac:dyDescent="0.3">
      <c r="A424">
        <v>3905</v>
      </c>
      <c r="B424">
        <v>44047</v>
      </c>
      <c r="C424">
        <v>62</v>
      </c>
      <c r="D424">
        <v>21344</v>
      </c>
      <c r="E424" t="s">
        <v>14</v>
      </c>
      <c r="F424" t="s">
        <v>15</v>
      </c>
      <c r="G424" t="s">
        <v>17</v>
      </c>
      <c r="H424" t="s">
        <v>71</v>
      </c>
      <c r="I424" t="s">
        <v>9</v>
      </c>
      <c r="J424" t="s">
        <v>25</v>
      </c>
      <c r="K424" t="s">
        <v>19</v>
      </c>
      <c r="L424" t="s">
        <v>53</v>
      </c>
      <c r="M424" t="s">
        <v>67</v>
      </c>
      <c r="N424" t="s">
        <v>37</v>
      </c>
      <c r="O424" t="s">
        <v>18</v>
      </c>
      <c r="P424">
        <v>5</v>
      </c>
    </row>
    <row r="425" spans="1:16" x14ac:dyDescent="0.3">
      <c r="A425">
        <v>3906</v>
      </c>
      <c r="B425">
        <v>44068</v>
      </c>
      <c r="C425">
        <v>45</v>
      </c>
      <c r="D425">
        <v>27642</v>
      </c>
      <c r="E425" t="s">
        <v>14</v>
      </c>
      <c r="F425" t="s">
        <v>15</v>
      </c>
      <c r="G425" t="s">
        <v>34</v>
      </c>
      <c r="H425" t="s">
        <v>70</v>
      </c>
      <c r="I425" t="s">
        <v>9</v>
      </c>
      <c r="J425" t="s">
        <v>10</v>
      </c>
      <c r="K425" t="s">
        <v>11</v>
      </c>
      <c r="L425" t="s">
        <v>53</v>
      </c>
      <c r="M425" t="s">
        <v>59</v>
      </c>
      <c r="N425" t="s">
        <v>30</v>
      </c>
      <c r="O425" t="s">
        <v>18</v>
      </c>
      <c r="P425">
        <v>2</v>
      </c>
    </row>
    <row r="426" spans="1:16" x14ac:dyDescent="0.3">
      <c r="A426">
        <v>3907</v>
      </c>
      <c r="B426">
        <v>44616</v>
      </c>
      <c r="C426">
        <v>58</v>
      </c>
      <c r="D426">
        <v>23569</v>
      </c>
      <c r="E426" t="s">
        <v>14</v>
      </c>
      <c r="F426" t="s">
        <v>15</v>
      </c>
      <c r="G426" t="s">
        <v>34</v>
      </c>
      <c r="H426" t="s">
        <v>70</v>
      </c>
      <c r="I426" t="s">
        <v>9</v>
      </c>
      <c r="J426" t="s">
        <v>25</v>
      </c>
      <c r="K426" t="s">
        <v>19</v>
      </c>
      <c r="L426" t="s">
        <v>53</v>
      </c>
      <c r="M426" t="s">
        <v>42</v>
      </c>
      <c r="N426" t="s">
        <v>16</v>
      </c>
      <c r="O426" t="s">
        <v>18</v>
      </c>
      <c r="P426">
        <v>2</v>
      </c>
    </row>
    <row r="427" spans="1:16" x14ac:dyDescent="0.3">
      <c r="A427">
        <v>3908</v>
      </c>
      <c r="B427">
        <v>43683</v>
      </c>
      <c r="C427">
        <v>33</v>
      </c>
      <c r="D427">
        <v>31604</v>
      </c>
      <c r="E427" t="s">
        <v>14</v>
      </c>
      <c r="F427" t="s">
        <v>15</v>
      </c>
      <c r="G427" t="s">
        <v>34</v>
      </c>
      <c r="H427" t="s">
        <v>70</v>
      </c>
      <c r="I427" t="s">
        <v>9</v>
      </c>
      <c r="J427" t="s">
        <v>20</v>
      </c>
      <c r="K427" t="s">
        <v>11</v>
      </c>
      <c r="L427" t="s">
        <v>53</v>
      </c>
      <c r="M427" t="s">
        <v>49</v>
      </c>
      <c r="N427" t="s">
        <v>37</v>
      </c>
      <c r="O427" t="s">
        <v>56</v>
      </c>
      <c r="P427">
        <v>5</v>
      </c>
    </row>
    <row r="428" spans="1:16" x14ac:dyDescent="0.3">
      <c r="A428">
        <v>3909</v>
      </c>
      <c r="B428">
        <v>44409</v>
      </c>
      <c r="C428">
        <v>77</v>
      </c>
      <c r="D428">
        <v>16218</v>
      </c>
      <c r="E428" t="s">
        <v>14</v>
      </c>
      <c r="F428" t="s">
        <v>15</v>
      </c>
      <c r="G428" t="s">
        <v>34</v>
      </c>
      <c r="H428" t="s">
        <v>70</v>
      </c>
      <c r="I428" t="s">
        <v>9</v>
      </c>
      <c r="J428" t="s">
        <v>20</v>
      </c>
      <c r="K428" t="s">
        <v>11</v>
      </c>
      <c r="L428" t="s">
        <v>53</v>
      </c>
      <c r="M428" t="s">
        <v>38</v>
      </c>
      <c r="N428" t="s">
        <v>30</v>
      </c>
      <c r="O428" t="s">
        <v>56</v>
      </c>
      <c r="P428">
        <v>1</v>
      </c>
    </row>
    <row r="429" spans="1:16" x14ac:dyDescent="0.3">
      <c r="A429">
        <v>3910</v>
      </c>
      <c r="B429">
        <v>44755</v>
      </c>
      <c r="C429">
        <v>25</v>
      </c>
      <c r="D429">
        <v>35483</v>
      </c>
      <c r="E429" t="s">
        <v>14</v>
      </c>
      <c r="F429" t="s">
        <v>15</v>
      </c>
      <c r="G429" t="s">
        <v>17</v>
      </c>
      <c r="H429" t="s">
        <v>72</v>
      </c>
      <c r="I429" t="s">
        <v>9</v>
      </c>
      <c r="J429" t="s">
        <v>20</v>
      </c>
      <c r="K429" t="s">
        <v>19</v>
      </c>
      <c r="L429" t="s">
        <v>53</v>
      </c>
      <c r="M429" t="s">
        <v>61</v>
      </c>
      <c r="N429" t="s">
        <v>16</v>
      </c>
      <c r="O429" t="s">
        <v>56</v>
      </c>
      <c r="P429">
        <v>3</v>
      </c>
    </row>
    <row r="430" spans="1:16" x14ac:dyDescent="0.3">
      <c r="A430">
        <v>3911</v>
      </c>
      <c r="B430">
        <v>44344</v>
      </c>
      <c r="C430">
        <v>71</v>
      </c>
      <c r="D430">
        <v>18473</v>
      </c>
      <c r="E430" t="s">
        <v>36</v>
      </c>
      <c r="F430" t="s">
        <v>22</v>
      </c>
      <c r="G430" t="s">
        <v>17</v>
      </c>
      <c r="H430" t="s">
        <v>72</v>
      </c>
      <c r="I430" t="s">
        <v>9</v>
      </c>
      <c r="J430" t="s">
        <v>25</v>
      </c>
      <c r="K430" t="s">
        <v>19</v>
      </c>
      <c r="L430" t="s">
        <v>53</v>
      </c>
      <c r="M430" t="s">
        <v>49</v>
      </c>
      <c r="N430" t="s">
        <v>16</v>
      </c>
      <c r="O430" t="s">
        <v>18</v>
      </c>
      <c r="P430">
        <v>5</v>
      </c>
    </row>
    <row r="431" spans="1:16" x14ac:dyDescent="0.3">
      <c r="A431">
        <v>3914</v>
      </c>
      <c r="B431">
        <v>43865</v>
      </c>
      <c r="C431">
        <v>62</v>
      </c>
      <c r="D431">
        <v>21388</v>
      </c>
      <c r="E431" t="s">
        <v>14</v>
      </c>
      <c r="F431" t="s">
        <v>22</v>
      </c>
      <c r="G431" t="s">
        <v>31</v>
      </c>
      <c r="H431" t="s">
        <v>71</v>
      </c>
      <c r="I431" t="s">
        <v>9</v>
      </c>
      <c r="J431" t="s">
        <v>10</v>
      </c>
      <c r="K431" t="s">
        <v>11</v>
      </c>
      <c r="L431" t="s">
        <v>73</v>
      </c>
      <c r="M431" t="s">
        <v>42</v>
      </c>
      <c r="N431" t="s">
        <v>30</v>
      </c>
      <c r="O431" t="s">
        <v>41</v>
      </c>
      <c r="P431">
        <v>5</v>
      </c>
    </row>
    <row r="432" spans="1:16" x14ac:dyDescent="0.3">
      <c r="A432">
        <v>3915</v>
      </c>
      <c r="B432">
        <v>44801</v>
      </c>
      <c r="C432">
        <v>31</v>
      </c>
      <c r="D432">
        <v>33361</v>
      </c>
      <c r="E432" t="s">
        <v>14</v>
      </c>
      <c r="F432" t="s">
        <v>22</v>
      </c>
      <c r="G432" t="s">
        <v>17</v>
      </c>
      <c r="H432" t="s">
        <v>71</v>
      </c>
      <c r="I432" t="s">
        <v>9</v>
      </c>
      <c r="J432" t="s">
        <v>10</v>
      </c>
      <c r="K432" t="s">
        <v>26</v>
      </c>
      <c r="L432" t="s">
        <v>53</v>
      </c>
      <c r="M432" t="s">
        <v>35</v>
      </c>
      <c r="N432" t="s">
        <v>30</v>
      </c>
      <c r="O432" t="s">
        <v>18</v>
      </c>
      <c r="P432">
        <v>3</v>
      </c>
    </row>
    <row r="433" spans="1:16" x14ac:dyDescent="0.3">
      <c r="A433">
        <v>3916</v>
      </c>
      <c r="B433">
        <v>44739</v>
      </c>
      <c r="C433">
        <v>58</v>
      </c>
      <c r="D433">
        <v>23522</v>
      </c>
      <c r="E433" t="s">
        <v>14</v>
      </c>
      <c r="F433" t="s">
        <v>22</v>
      </c>
      <c r="G433" t="s">
        <v>17</v>
      </c>
      <c r="H433" t="s">
        <v>71</v>
      </c>
      <c r="I433" t="s">
        <v>9</v>
      </c>
      <c r="J433" t="s">
        <v>20</v>
      </c>
      <c r="K433" t="s">
        <v>11</v>
      </c>
      <c r="L433" t="s">
        <v>53</v>
      </c>
      <c r="M433" t="s">
        <v>54</v>
      </c>
      <c r="N433" t="s">
        <v>30</v>
      </c>
      <c r="O433" t="s">
        <v>18</v>
      </c>
      <c r="P433">
        <v>3</v>
      </c>
    </row>
    <row r="434" spans="1:16" x14ac:dyDescent="0.3">
      <c r="A434">
        <v>3917</v>
      </c>
      <c r="B434">
        <v>43818</v>
      </c>
      <c r="C434">
        <v>26</v>
      </c>
      <c r="D434">
        <v>34070</v>
      </c>
      <c r="E434" t="s">
        <v>14</v>
      </c>
      <c r="F434" t="s">
        <v>15</v>
      </c>
      <c r="G434" t="s">
        <v>17</v>
      </c>
      <c r="H434" t="s">
        <v>71</v>
      </c>
      <c r="I434" t="s">
        <v>9</v>
      </c>
      <c r="J434" t="s">
        <v>20</v>
      </c>
      <c r="K434" t="s">
        <v>11</v>
      </c>
      <c r="L434" t="s">
        <v>53</v>
      </c>
      <c r="M434" t="s">
        <v>32</v>
      </c>
      <c r="N434" t="s">
        <v>37</v>
      </c>
      <c r="O434" t="s">
        <v>41</v>
      </c>
      <c r="P434">
        <v>1</v>
      </c>
    </row>
    <row r="435" spans="1:16" x14ac:dyDescent="0.3">
      <c r="A435">
        <v>3918</v>
      </c>
      <c r="B435">
        <v>44098</v>
      </c>
      <c r="C435">
        <v>60</v>
      </c>
      <c r="D435">
        <v>22084</v>
      </c>
      <c r="E435" t="s">
        <v>14</v>
      </c>
      <c r="F435" t="s">
        <v>15</v>
      </c>
      <c r="G435" t="s">
        <v>17</v>
      </c>
      <c r="H435" t="s">
        <v>71</v>
      </c>
      <c r="I435" t="s">
        <v>9</v>
      </c>
      <c r="J435" t="s">
        <v>10</v>
      </c>
      <c r="K435" t="s">
        <v>19</v>
      </c>
      <c r="L435" t="s">
        <v>53</v>
      </c>
      <c r="M435" t="s">
        <v>35</v>
      </c>
      <c r="N435" t="s">
        <v>46</v>
      </c>
      <c r="O435" t="s">
        <v>18</v>
      </c>
      <c r="P435">
        <v>3</v>
      </c>
    </row>
    <row r="436" spans="1:16" x14ac:dyDescent="0.3">
      <c r="A436">
        <v>3919</v>
      </c>
      <c r="B436">
        <v>45113</v>
      </c>
      <c r="C436">
        <v>79</v>
      </c>
      <c r="D436">
        <v>16352</v>
      </c>
      <c r="E436" t="s">
        <v>14</v>
      </c>
      <c r="F436" t="s">
        <v>15</v>
      </c>
      <c r="G436" t="s">
        <v>40</v>
      </c>
      <c r="H436" t="s">
        <v>70</v>
      </c>
      <c r="I436" t="s">
        <v>9</v>
      </c>
      <c r="J436" t="s">
        <v>10</v>
      </c>
      <c r="K436" t="s">
        <v>11</v>
      </c>
      <c r="L436" t="s">
        <v>53</v>
      </c>
      <c r="M436" t="s">
        <v>35</v>
      </c>
      <c r="N436" t="s">
        <v>46</v>
      </c>
      <c r="O436" t="s">
        <v>18</v>
      </c>
      <c r="P436">
        <v>3</v>
      </c>
    </row>
    <row r="437" spans="1:16" x14ac:dyDescent="0.3">
      <c r="A437">
        <v>3920</v>
      </c>
      <c r="B437">
        <v>44297</v>
      </c>
      <c r="C437">
        <v>60</v>
      </c>
      <c r="D437">
        <v>22589</v>
      </c>
      <c r="E437" t="s">
        <v>14</v>
      </c>
      <c r="F437" t="s">
        <v>15</v>
      </c>
      <c r="G437" t="s">
        <v>40</v>
      </c>
      <c r="H437" t="s">
        <v>70</v>
      </c>
      <c r="I437" t="s">
        <v>9</v>
      </c>
      <c r="J437" t="s">
        <v>25</v>
      </c>
      <c r="K437" t="s">
        <v>19</v>
      </c>
      <c r="L437" t="s">
        <v>53</v>
      </c>
      <c r="M437" t="s">
        <v>35</v>
      </c>
      <c r="N437" t="s">
        <v>30</v>
      </c>
      <c r="O437" t="s">
        <v>18</v>
      </c>
      <c r="P437">
        <v>1</v>
      </c>
    </row>
    <row r="438" spans="1:16" x14ac:dyDescent="0.3">
      <c r="A438">
        <v>3921</v>
      </c>
      <c r="B438">
        <v>43873</v>
      </c>
      <c r="C438">
        <v>77</v>
      </c>
      <c r="D438">
        <v>16040</v>
      </c>
      <c r="E438" t="s">
        <v>14</v>
      </c>
      <c r="F438" t="s">
        <v>15</v>
      </c>
      <c r="G438" t="s">
        <v>34</v>
      </c>
      <c r="H438" t="s">
        <v>70</v>
      </c>
      <c r="I438" t="s">
        <v>9</v>
      </c>
      <c r="J438" t="s">
        <v>10</v>
      </c>
      <c r="K438" t="s">
        <v>19</v>
      </c>
      <c r="L438" t="s">
        <v>53</v>
      </c>
      <c r="M438" t="s">
        <v>49</v>
      </c>
      <c r="N438" t="s">
        <v>30</v>
      </c>
      <c r="O438" t="s">
        <v>18</v>
      </c>
      <c r="P438">
        <v>3</v>
      </c>
    </row>
    <row r="439" spans="1:16" x14ac:dyDescent="0.3">
      <c r="A439">
        <v>3922</v>
      </c>
      <c r="B439">
        <v>43459</v>
      </c>
      <c r="C439">
        <v>22</v>
      </c>
      <c r="D439">
        <v>35342</v>
      </c>
      <c r="E439" t="s">
        <v>14</v>
      </c>
      <c r="F439" t="s">
        <v>15</v>
      </c>
      <c r="G439" t="s">
        <v>17</v>
      </c>
      <c r="H439" t="s">
        <v>70</v>
      </c>
      <c r="I439" t="s">
        <v>9</v>
      </c>
      <c r="J439" t="s">
        <v>20</v>
      </c>
      <c r="K439" t="s">
        <v>19</v>
      </c>
      <c r="L439" t="s">
        <v>53</v>
      </c>
      <c r="M439" t="s">
        <v>32</v>
      </c>
      <c r="N439" t="s">
        <v>16</v>
      </c>
      <c r="O439" t="s">
        <v>18</v>
      </c>
      <c r="P439">
        <v>3</v>
      </c>
    </row>
    <row r="440" spans="1:16" x14ac:dyDescent="0.3">
      <c r="A440">
        <v>3923</v>
      </c>
      <c r="B440">
        <v>44555</v>
      </c>
      <c r="C440">
        <v>66</v>
      </c>
      <c r="D440">
        <v>20164</v>
      </c>
      <c r="E440" t="s">
        <v>14</v>
      </c>
      <c r="F440" t="s">
        <v>15</v>
      </c>
      <c r="G440" t="s">
        <v>31</v>
      </c>
      <c r="H440" t="s">
        <v>72</v>
      </c>
      <c r="I440" t="s">
        <v>9</v>
      </c>
      <c r="J440" t="s">
        <v>25</v>
      </c>
      <c r="K440" t="s">
        <v>11</v>
      </c>
      <c r="L440" t="s">
        <v>53</v>
      </c>
      <c r="M440" t="s">
        <v>21</v>
      </c>
      <c r="N440" t="s">
        <v>23</v>
      </c>
      <c r="O440" t="s">
        <v>41</v>
      </c>
      <c r="P440">
        <v>4</v>
      </c>
    </row>
    <row r="441" spans="1:16" x14ac:dyDescent="0.3">
      <c r="A441">
        <v>3924</v>
      </c>
      <c r="B441">
        <v>44338</v>
      </c>
      <c r="C441">
        <v>28</v>
      </c>
      <c r="D441">
        <v>34086</v>
      </c>
      <c r="E441" t="s">
        <v>36</v>
      </c>
      <c r="F441" t="s">
        <v>22</v>
      </c>
      <c r="G441" t="s">
        <v>17</v>
      </c>
      <c r="H441" t="s">
        <v>72</v>
      </c>
      <c r="I441" t="s">
        <v>9</v>
      </c>
      <c r="J441" t="s">
        <v>25</v>
      </c>
      <c r="K441" t="s">
        <v>26</v>
      </c>
      <c r="L441" t="s">
        <v>53</v>
      </c>
      <c r="M441" t="s">
        <v>32</v>
      </c>
      <c r="N441" t="s">
        <v>30</v>
      </c>
      <c r="O441" t="s">
        <v>18</v>
      </c>
      <c r="P441">
        <v>4</v>
      </c>
    </row>
    <row r="442" spans="1:16" x14ac:dyDescent="0.3">
      <c r="A442">
        <v>3926</v>
      </c>
      <c r="B442">
        <v>43523</v>
      </c>
      <c r="C442">
        <v>78</v>
      </c>
      <c r="D442">
        <v>15326</v>
      </c>
      <c r="E442" t="s">
        <v>14</v>
      </c>
      <c r="F442" t="s">
        <v>15</v>
      </c>
      <c r="G442" t="s">
        <v>31</v>
      </c>
      <c r="H442" t="s">
        <v>72</v>
      </c>
      <c r="I442" t="s">
        <v>9</v>
      </c>
      <c r="J442" t="s">
        <v>25</v>
      </c>
      <c r="K442" t="s">
        <v>11</v>
      </c>
      <c r="L442" t="s">
        <v>53</v>
      </c>
      <c r="M442" t="s">
        <v>61</v>
      </c>
      <c r="N442" t="s">
        <v>23</v>
      </c>
      <c r="O442" t="s">
        <v>56</v>
      </c>
      <c r="P442">
        <v>1</v>
      </c>
    </row>
    <row r="443" spans="1:16" x14ac:dyDescent="0.3">
      <c r="A443">
        <v>3927</v>
      </c>
      <c r="B443">
        <v>43891</v>
      </c>
      <c r="C443">
        <v>38</v>
      </c>
      <c r="D443">
        <v>30236</v>
      </c>
      <c r="E443" t="s">
        <v>14</v>
      </c>
      <c r="F443" t="s">
        <v>22</v>
      </c>
      <c r="G443" t="s">
        <v>31</v>
      </c>
      <c r="H443" t="s">
        <v>71</v>
      </c>
      <c r="I443" t="s">
        <v>9</v>
      </c>
      <c r="J443" t="s">
        <v>10</v>
      </c>
      <c r="K443" t="s">
        <v>11</v>
      </c>
      <c r="L443" t="s">
        <v>73</v>
      </c>
      <c r="M443" t="s">
        <v>21</v>
      </c>
      <c r="N443" t="s">
        <v>30</v>
      </c>
      <c r="O443" t="s">
        <v>18</v>
      </c>
      <c r="P443">
        <v>4</v>
      </c>
    </row>
    <row r="444" spans="1:16" x14ac:dyDescent="0.3">
      <c r="A444">
        <v>3928</v>
      </c>
      <c r="B444">
        <v>44223</v>
      </c>
      <c r="C444">
        <v>65</v>
      </c>
      <c r="D444">
        <v>20647</v>
      </c>
      <c r="E444" t="s">
        <v>14</v>
      </c>
      <c r="F444" t="s">
        <v>22</v>
      </c>
      <c r="G444" t="s">
        <v>17</v>
      </c>
      <c r="H444" t="s">
        <v>71</v>
      </c>
      <c r="I444" t="s">
        <v>9</v>
      </c>
      <c r="J444" t="s">
        <v>25</v>
      </c>
      <c r="K444" t="s">
        <v>19</v>
      </c>
      <c r="L444" t="s">
        <v>53</v>
      </c>
      <c r="M444" t="s">
        <v>32</v>
      </c>
      <c r="N444" t="s">
        <v>16</v>
      </c>
      <c r="O444" t="s">
        <v>18</v>
      </c>
      <c r="P444">
        <v>2</v>
      </c>
    </row>
    <row r="445" spans="1:16" x14ac:dyDescent="0.3">
      <c r="A445">
        <v>3929</v>
      </c>
      <c r="B445">
        <v>45095</v>
      </c>
      <c r="C445">
        <v>46</v>
      </c>
      <c r="D445">
        <v>28235</v>
      </c>
      <c r="E445" t="s">
        <v>14</v>
      </c>
      <c r="F445" t="s">
        <v>15</v>
      </c>
      <c r="G445" t="s">
        <v>34</v>
      </c>
      <c r="H445" t="s">
        <v>71</v>
      </c>
      <c r="I445" t="s">
        <v>9</v>
      </c>
      <c r="J445" t="s">
        <v>10</v>
      </c>
      <c r="K445" t="s">
        <v>11</v>
      </c>
      <c r="L445" t="s">
        <v>53</v>
      </c>
      <c r="M445" t="s">
        <v>59</v>
      </c>
      <c r="N445" t="s">
        <v>46</v>
      </c>
      <c r="O445" t="s">
        <v>18</v>
      </c>
      <c r="P445">
        <v>5</v>
      </c>
    </row>
    <row r="446" spans="1:16" x14ac:dyDescent="0.3">
      <c r="A446">
        <v>3930</v>
      </c>
      <c r="B446">
        <v>43793</v>
      </c>
      <c r="C446">
        <v>35</v>
      </c>
      <c r="D446">
        <v>30781</v>
      </c>
      <c r="E446" t="s">
        <v>14</v>
      </c>
      <c r="F446" t="s">
        <v>15</v>
      </c>
      <c r="G446" t="s">
        <v>34</v>
      </c>
      <c r="H446" t="s">
        <v>71</v>
      </c>
      <c r="I446" t="s">
        <v>9</v>
      </c>
      <c r="J446" t="s">
        <v>10</v>
      </c>
      <c r="K446" t="s">
        <v>19</v>
      </c>
      <c r="L446" t="s">
        <v>53</v>
      </c>
      <c r="M446" t="s">
        <v>32</v>
      </c>
      <c r="N446" t="s">
        <v>46</v>
      </c>
      <c r="O446" t="s">
        <v>18</v>
      </c>
      <c r="P446">
        <v>4</v>
      </c>
    </row>
    <row r="447" spans="1:16" x14ac:dyDescent="0.3">
      <c r="A447">
        <v>3931</v>
      </c>
      <c r="B447">
        <v>44463</v>
      </c>
      <c r="C447">
        <v>61</v>
      </c>
      <c r="D447">
        <v>22093</v>
      </c>
      <c r="E447" t="s">
        <v>14</v>
      </c>
      <c r="F447" t="s">
        <v>22</v>
      </c>
      <c r="G447" t="s">
        <v>17</v>
      </c>
      <c r="H447" t="s">
        <v>71</v>
      </c>
      <c r="I447" t="s">
        <v>9</v>
      </c>
      <c r="J447" t="s">
        <v>20</v>
      </c>
      <c r="K447" t="s">
        <v>19</v>
      </c>
      <c r="L447" t="s">
        <v>53</v>
      </c>
      <c r="M447" t="s">
        <v>42</v>
      </c>
      <c r="N447" t="s">
        <v>37</v>
      </c>
      <c r="O447" t="s">
        <v>18</v>
      </c>
      <c r="P447">
        <v>1</v>
      </c>
    </row>
    <row r="448" spans="1:16" x14ac:dyDescent="0.3">
      <c r="A448">
        <v>3932</v>
      </c>
      <c r="B448">
        <v>44790</v>
      </c>
      <c r="C448">
        <v>57</v>
      </c>
      <c r="D448">
        <v>23853</v>
      </c>
      <c r="E448" t="s">
        <v>14</v>
      </c>
      <c r="F448" t="s">
        <v>15</v>
      </c>
      <c r="G448" t="s">
        <v>31</v>
      </c>
      <c r="H448" t="s">
        <v>70</v>
      </c>
      <c r="I448" t="s">
        <v>9</v>
      </c>
      <c r="J448" t="s">
        <v>10</v>
      </c>
      <c r="K448" t="s">
        <v>26</v>
      </c>
      <c r="L448" t="s">
        <v>53</v>
      </c>
      <c r="M448" t="s">
        <v>38</v>
      </c>
      <c r="N448" t="s">
        <v>37</v>
      </c>
      <c r="O448" t="s">
        <v>18</v>
      </c>
      <c r="P448">
        <v>5</v>
      </c>
    </row>
    <row r="449" spans="1:16" x14ac:dyDescent="0.3">
      <c r="A449">
        <v>3933</v>
      </c>
      <c r="B449">
        <v>45034</v>
      </c>
      <c r="C449">
        <v>56</v>
      </c>
      <c r="D449">
        <v>24705</v>
      </c>
      <c r="E449" t="s">
        <v>14</v>
      </c>
      <c r="F449" t="s">
        <v>15</v>
      </c>
      <c r="G449" t="s">
        <v>34</v>
      </c>
      <c r="H449" t="s">
        <v>70</v>
      </c>
      <c r="I449" t="s">
        <v>9</v>
      </c>
      <c r="J449" t="s">
        <v>10</v>
      </c>
      <c r="K449" t="s">
        <v>19</v>
      </c>
      <c r="L449" t="s">
        <v>53</v>
      </c>
      <c r="M449" t="s">
        <v>42</v>
      </c>
      <c r="N449" t="s">
        <v>16</v>
      </c>
      <c r="O449" t="s">
        <v>18</v>
      </c>
      <c r="P449">
        <v>4</v>
      </c>
    </row>
    <row r="450" spans="1:16" x14ac:dyDescent="0.3">
      <c r="A450">
        <v>3934</v>
      </c>
      <c r="B450">
        <v>43936</v>
      </c>
      <c r="C450">
        <v>41</v>
      </c>
      <c r="D450">
        <v>28858</v>
      </c>
      <c r="E450" t="s">
        <v>14</v>
      </c>
      <c r="F450" t="s">
        <v>15</v>
      </c>
      <c r="G450" t="s">
        <v>17</v>
      </c>
      <c r="H450" t="s">
        <v>70</v>
      </c>
      <c r="I450" t="s">
        <v>9</v>
      </c>
      <c r="J450" t="s">
        <v>25</v>
      </c>
      <c r="K450" t="s">
        <v>11</v>
      </c>
      <c r="L450" t="s">
        <v>53</v>
      </c>
      <c r="M450" t="s">
        <v>44</v>
      </c>
      <c r="N450" t="s">
        <v>46</v>
      </c>
      <c r="O450" t="s">
        <v>18</v>
      </c>
      <c r="P450">
        <v>3</v>
      </c>
    </row>
    <row r="451" spans="1:16" x14ac:dyDescent="0.3">
      <c r="A451">
        <v>3935</v>
      </c>
      <c r="B451">
        <v>44190</v>
      </c>
      <c r="C451">
        <v>27</v>
      </c>
      <c r="D451">
        <v>34289</v>
      </c>
      <c r="E451" t="s">
        <v>14</v>
      </c>
      <c r="F451" t="s">
        <v>22</v>
      </c>
      <c r="G451" t="s">
        <v>17</v>
      </c>
      <c r="H451" t="s">
        <v>70</v>
      </c>
      <c r="I451" t="s">
        <v>9</v>
      </c>
      <c r="J451" t="s">
        <v>25</v>
      </c>
      <c r="K451" t="s">
        <v>11</v>
      </c>
      <c r="L451" t="s">
        <v>53</v>
      </c>
      <c r="M451" t="s">
        <v>21</v>
      </c>
      <c r="N451" t="s">
        <v>16</v>
      </c>
      <c r="O451" t="s">
        <v>18</v>
      </c>
      <c r="P451">
        <v>1</v>
      </c>
    </row>
    <row r="452" spans="1:16" x14ac:dyDescent="0.3">
      <c r="A452">
        <v>3936</v>
      </c>
      <c r="B452">
        <v>44763</v>
      </c>
      <c r="C452">
        <v>24</v>
      </c>
      <c r="D452">
        <v>35973</v>
      </c>
      <c r="E452" t="s">
        <v>36</v>
      </c>
      <c r="F452" t="s">
        <v>22</v>
      </c>
      <c r="G452" t="s">
        <v>17</v>
      </c>
      <c r="H452" t="s">
        <v>75</v>
      </c>
      <c r="I452" t="s">
        <v>66</v>
      </c>
      <c r="J452" t="s">
        <v>25</v>
      </c>
      <c r="K452" t="s">
        <v>26</v>
      </c>
      <c r="L452" t="s">
        <v>53</v>
      </c>
      <c r="M452" t="s">
        <v>28</v>
      </c>
      <c r="N452" t="s">
        <v>30</v>
      </c>
      <c r="O452" t="s">
        <v>18</v>
      </c>
      <c r="P452">
        <v>3</v>
      </c>
    </row>
    <row r="453" spans="1:16" x14ac:dyDescent="0.3">
      <c r="A453">
        <v>3937</v>
      </c>
      <c r="B453">
        <v>44869</v>
      </c>
      <c r="C453">
        <v>78</v>
      </c>
      <c r="D453">
        <v>16328</v>
      </c>
      <c r="E453" t="s">
        <v>14</v>
      </c>
      <c r="F453" t="s">
        <v>22</v>
      </c>
      <c r="G453" t="s">
        <v>17</v>
      </c>
      <c r="H453" t="s">
        <v>77</v>
      </c>
      <c r="I453" t="s">
        <v>9</v>
      </c>
      <c r="J453" t="s">
        <v>10</v>
      </c>
      <c r="K453" t="s">
        <v>11</v>
      </c>
      <c r="L453" t="s">
        <v>53</v>
      </c>
      <c r="M453" t="s">
        <v>35</v>
      </c>
      <c r="N453" t="s">
        <v>16</v>
      </c>
      <c r="O453" t="s">
        <v>18</v>
      </c>
      <c r="P453">
        <v>3</v>
      </c>
    </row>
    <row r="454" spans="1:16" x14ac:dyDescent="0.3">
      <c r="A454">
        <v>3938</v>
      </c>
      <c r="B454">
        <v>43941</v>
      </c>
      <c r="C454">
        <v>65</v>
      </c>
      <c r="D454">
        <v>20237</v>
      </c>
      <c r="E454" t="s">
        <v>14</v>
      </c>
      <c r="F454" t="s">
        <v>15</v>
      </c>
      <c r="G454" t="s">
        <v>34</v>
      </c>
      <c r="H454" t="s">
        <v>78</v>
      </c>
      <c r="I454" t="s">
        <v>9</v>
      </c>
      <c r="J454" t="s">
        <v>20</v>
      </c>
      <c r="K454" t="s">
        <v>26</v>
      </c>
      <c r="L454" t="s">
        <v>53</v>
      </c>
      <c r="M454" t="s">
        <v>35</v>
      </c>
      <c r="N454" t="s">
        <v>23</v>
      </c>
      <c r="O454" t="s">
        <v>18</v>
      </c>
      <c r="P454">
        <v>1</v>
      </c>
    </row>
    <row r="455" spans="1:16" x14ac:dyDescent="0.3">
      <c r="A455">
        <v>3939</v>
      </c>
      <c r="B455">
        <v>43713</v>
      </c>
      <c r="C455">
        <v>27</v>
      </c>
      <c r="D455">
        <v>33851</v>
      </c>
      <c r="E455" t="s">
        <v>45</v>
      </c>
      <c r="F455" t="s">
        <v>22</v>
      </c>
      <c r="G455" t="s">
        <v>34</v>
      </c>
      <c r="H455" t="s">
        <v>78</v>
      </c>
      <c r="I455" t="s">
        <v>9</v>
      </c>
      <c r="J455" t="s">
        <v>20</v>
      </c>
      <c r="K455" t="s">
        <v>19</v>
      </c>
      <c r="L455" t="s">
        <v>53</v>
      </c>
      <c r="M455" t="s">
        <v>32</v>
      </c>
      <c r="N455" t="s">
        <v>37</v>
      </c>
      <c r="O455" t="s">
        <v>18</v>
      </c>
      <c r="P455">
        <v>2</v>
      </c>
    </row>
    <row r="456" spans="1:16" x14ac:dyDescent="0.3">
      <c r="A456">
        <v>3940</v>
      </c>
      <c r="B456">
        <v>43688</v>
      </c>
      <c r="C456">
        <v>61</v>
      </c>
      <c r="D456">
        <v>21406</v>
      </c>
      <c r="E456" t="s">
        <v>14</v>
      </c>
      <c r="F456" t="s">
        <v>22</v>
      </c>
      <c r="G456" t="s">
        <v>40</v>
      </c>
      <c r="H456" t="s">
        <v>79</v>
      </c>
      <c r="I456" t="s">
        <v>9</v>
      </c>
      <c r="J456" t="s">
        <v>10</v>
      </c>
      <c r="K456" t="s">
        <v>26</v>
      </c>
      <c r="L456" t="s">
        <v>53</v>
      </c>
      <c r="M456" t="s">
        <v>32</v>
      </c>
      <c r="N456" t="s">
        <v>30</v>
      </c>
      <c r="O456" t="s">
        <v>18</v>
      </c>
      <c r="P456">
        <v>4</v>
      </c>
    </row>
    <row r="457" spans="1:16" x14ac:dyDescent="0.3">
      <c r="A457">
        <v>3941</v>
      </c>
      <c r="B457">
        <v>43408</v>
      </c>
      <c r="C457">
        <v>33</v>
      </c>
      <c r="D457">
        <v>31289</v>
      </c>
      <c r="E457" t="s">
        <v>14</v>
      </c>
      <c r="F457" t="s">
        <v>22</v>
      </c>
      <c r="G457" t="s">
        <v>34</v>
      </c>
      <c r="H457" t="s">
        <v>78</v>
      </c>
      <c r="I457" t="s">
        <v>9</v>
      </c>
      <c r="J457" t="s">
        <v>25</v>
      </c>
      <c r="K457" t="s">
        <v>26</v>
      </c>
      <c r="L457" t="s">
        <v>53</v>
      </c>
      <c r="M457" t="s">
        <v>35</v>
      </c>
      <c r="N457" t="s">
        <v>16</v>
      </c>
      <c r="O457" t="s">
        <v>18</v>
      </c>
      <c r="P457">
        <v>3</v>
      </c>
    </row>
    <row r="458" spans="1:16" x14ac:dyDescent="0.3">
      <c r="A458">
        <v>3942</v>
      </c>
      <c r="B458">
        <v>43408</v>
      </c>
      <c r="C458">
        <v>67</v>
      </c>
      <c r="D458">
        <v>18875</v>
      </c>
      <c r="E458" t="s">
        <v>14</v>
      </c>
      <c r="F458" t="s">
        <v>15</v>
      </c>
      <c r="G458" t="s">
        <v>34</v>
      </c>
      <c r="H458" t="s">
        <v>74</v>
      </c>
      <c r="I458" t="s">
        <v>66</v>
      </c>
      <c r="J458" t="s">
        <v>10</v>
      </c>
      <c r="K458" t="s">
        <v>26</v>
      </c>
      <c r="L458" t="s">
        <v>53</v>
      </c>
      <c r="M458" t="s">
        <v>60</v>
      </c>
      <c r="N458" t="s">
        <v>46</v>
      </c>
      <c r="O458" t="s">
        <v>65</v>
      </c>
      <c r="P458">
        <v>4</v>
      </c>
    </row>
    <row r="459" spans="1:16" x14ac:dyDescent="0.3">
      <c r="A459">
        <v>3943</v>
      </c>
      <c r="B459">
        <v>43673</v>
      </c>
      <c r="C459">
        <v>48</v>
      </c>
      <c r="D459">
        <v>26149</v>
      </c>
      <c r="E459" t="s">
        <v>14</v>
      </c>
      <c r="F459" t="s">
        <v>22</v>
      </c>
      <c r="G459" t="s">
        <v>31</v>
      </c>
      <c r="H459" t="s">
        <v>80</v>
      </c>
      <c r="I459" t="s">
        <v>66</v>
      </c>
      <c r="J459" t="s">
        <v>20</v>
      </c>
      <c r="K459" t="s">
        <v>19</v>
      </c>
      <c r="L459" t="s">
        <v>53</v>
      </c>
      <c r="M459" t="s">
        <v>38</v>
      </c>
      <c r="N459" t="s">
        <v>37</v>
      </c>
      <c r="O459" t="s">
        <v>18</v>
      </c>
      <c r="P459">
        <v>2</v>
      </c>
    </row>
    <row r="460" spans="1:16" x14ac:dyDescent="0.3">
      <c r="A460">
        <v>3944</v>
      </c>
      <c r="B460">
        <v>44186</v>
      </c>
      <c r="C460">
        <v>23</v>
      </c>
      <c r="D460">
        <v>35616</v>
      </c>
      <c r="E460" t="s">
        <v>14</v>
      </c>
      <c r="F460" t="s">
        <v>15</v>
      </c>
      <c r="G460" t="s">
        <v>31</v>
      </c>
      <c r="H460" t="s">
        <v>78</v>
      </c>
      <c r="I460" t="s">
        <v>9</v>
      </c>
      <c r="J460" t="s">
        <v>25</v>
      </c>
      <c r="K460" t="s">
        <v>19</v>
      </c>
      <c r="L460" t="s">
        <v>53</v>
      </c>
      <c r="M460" t="s">
        <v>28</v>
      </c>
      <c r="N460" t="s">
        <v>16</v>
      </c>
      <c r="O460" t="s">
        <v>18</v>
      </c>
      <c r="P460">
        <v>3</v>
      </c>
    </row>
    <row r="461" spans="1:16" x14ac:dyDescent="0.3">
      <c r="A461">
        <v>3945</v>
      </c>
      <c r="B461">
        <v>44767</v>
      </c>
      <c r="C461">
        <v>24</v>
      </c>
      <c r="D461">
        <v>35877</v>
      </c>
      <c r="E461" t="s">
        <v>14</v>
      </c>
      <c r="F461" t="s">
        <v>15</v>
      </c>
      <c r="G461" t="s">
        <v>31</v>
      </c>
      <c r="H461" t="s">
        <v>78</v>
      </c>
      <c r="I461" t="s">
        <v>9</v>
      </c>
      <c r="J461" t="s">
        <v>25</v>
      </c>
      <c r="K461" t="s">
        <v>11</v>
      </c>
      <c r="L461" t="s">
        <v>53</v>
      </c>
      <c r="M461" t="s">
        <v>42</v>
      </c>
      <c r="N461" t="s">
        <v>37</v>
      </c>
      <c r="O461" t="s">
        <v>65</v>
      </c>
      <c r="P461">
        <v>4</v>
      </c>
    </row>
    <row r="462" spans="1:16" x14ac:dyDescent="0.3">
      <c r="A462">
        <v>3946</v>
      </c>
      <c r="B462">
        <v>43631</v>
      </c>
      <c r="C462">
        <v>62</v>
      </c>
      <c r="D462">
        <v>21021</v>
      </c>
      <c r="E462" t="s">
        <v>14</v>
      </c>
      <c r="F462" t="s">
        <v>15</v>
      </c>
      <c r="G462" t="s">
        <v>34</v>
      </c>
      <c r="H462" t="s">
        <v>77</v>
      </c>
      <c r="I462" t="s">
        <v>9</v>
      </c>
      <c r="J462" t="s">
        <v>10</v>
      </c>
      <c r="K462" t="s">
        <v>19</v>
      </c>
      <c r="L462" t="s">
        <v>53</v>
      </c>
      <c r="M462" t="s">
        <v>58</v>
      </c>
      <c r="N462" t="s">
        <v>16</v>
      </c>
      <c r="O462" t="s">
        <v>18</v>
      </c>
      <c r="P462">
        <v>3</v>
      </c>
    </row>
    <row r="463" spans="1:16" x14ac:dyDescent="0.3">
      <c r="A463">
        <v>3947</v>
      </c>
      <c r="B463">
        <v>43925</v>
      </c>
      <c r="C463">
        <v>24</v>
      </c>
      <c r="D463">
        <v>35402</v>
      </c>
      <c r="E463" t="s">
        <v>14</v>
      </c>
      <c r="F463" t="s">
        <v>15</v>
      </c>
      <c r="G463" t="s">
        <v>34</v>
      </c>
      <c r="H463" t="s">
        <v>77</v>
      </c>
      <c r="I463" t="s">
        <v>66</v>
      </c>
      <c r="J463" t="s">
        <v>25</v>
      </c>
      <c r="K463" t="s">
        <v>26</v>
      </c>
      <c r="L463" t="s">
        <v>53</v>
      </c>
      <c r="M463" t="s">
        <v>35</v>
      </c>
      <c r="N463" t="s">
        <v>23</v>
      </c>
      <c r="O463" t="s">
        <v>18</v>
      </c>
      <c r="P463">
        <v>3</v>
      </c>
    </row>
    <row r="464" spans="1:16" x14ac:dyDescent="0.3">
      <c r="A464">
        <v>3948</v>
      </c>
      <c r="B464">
        <v>44960</v>
      </c>
      <c r="C464">
        <v>80</v>
      </c>
      <c r="D464">
        <v>16008</v>
      </c>
      <c r="E464" t="s">
        <v>14</v>
      </c>
      <c r="F464" t="s">
        <v>22</v>
      </c>
      <c r="G464" t="s">
        <v>34</v>
      </c>
      <c r="H464" t="s">
        <v>78</v>
      </c>
      <c r="I464" t="s">
        <v>66</v>
      </c>
      <c r="J464" t="s">
        <v>10</v>
      </c>
      <c r="K464" t="s">
        <v>11</v>
      </c>
      <c r="L464" t="s">
        <v>53</v>
      </c>
      <c r="M464" t="s">
        <v>21</v>
      </c>
      <c r="N464" t="s">
        <v>23</v>
      </c>
      <c r="O464" t="s">
        <v>18</v>
      </c>
      <c r="P464">
        <v>4</v>
      </c>
    </row>
    <row r="465" spans="1:16" x14ac:dyDescent="0.3">
      <c r="A465">
        <v>3950</v>
      </c>
      <c r="B465">
        <v>45119</v>
      </c>
      <c r="C465">
        <v>34</v>
      </c>
      <c r="D465">
        <v>32537</v>
      </c>
      <c r="E465" t="s">
        <v>14</v>
      </c>
      <c r="F465" t="s">
        <v>15</v>
      </c>
      <c r="G465" t="s">
        <v>17</v>
      </c>
      <c r="H465" t="s">
        <v>77</v>
      </c>
      <c r="I465" t="s">
        <v>9</v>
      </c>
      <c r="J465" t="s">
        <v>25</v>
      </c>
      <c r="K465" t="s">
        <v>19</v>
      </c>
      <c r="L465" t="s">
        <v>53</v>
      </c>
      <c r="M465" t="s">
        <v>55</v>
      </c>
      <c r="N465" t="s">
        <v>23</v>
      </c>
      <c r="O465" t="s">
        <v>18</v>
      </c>
      <c r="P465">
        <v>3</v>
      </c>
    </row>
    <row r="466" spans="1:16" x14ac:dyDescent="0.3">
      <c r="A466">
        <v>3951</v>
      </c>
      <c r="B466">
        <v>44311</v>
      </c>
      <c r="C466">
        <v>60</v>
      </c>
      <c r="D466">
        <v>22531</v>
      </c>
      <c r="E466" t="s">
        <v>14</v>
      </c>
      <c r="F466" t="s">
        <v>15</v>
      </c>
      <c r="G466" t="s">
        <v>40</v>
      </c>
      <c r="H466" t="s">
        <v>77</v>
      </c>
      <c r="I466" t="s">
        <v>66</v>
      </c>
      <c r="J466" t="s">
        <v>10</v>
      </c>
      <c r="K466" t="s">
        <v>19</v>
      </c>
      <c r="L466" t="s">
        <v>53</v>
      </c>
      <c r="M466" t="s">
        <v>59</v>
      </c>
      <c r="N466" t="s">
        <v>46</v>
      </c>
      <c r="O466" t="s">
        <v>18</v>
      </c>
      <c r="P466">
        <v>1</v>
      </c>
    </row>
    <row r="467" spans="1:16" x14ac:dyDescent="0.3">
      <c r="A467">
        <v>3952</v>
      </c>
      <c r="B467">
        <v>44268</v>
      </c>
      <c r="C467">
        <v>71</v>
      </c>
      <c r="D467">
        <v>18568</v>
      </c>
      <c r="E467" t="s">
        <v>14</v>
      </c>
      <c r="F467" t="s">
        <v>22</v>
      </c>
      <c r="G467" t="s">
        <v>31</v>
      </c>
      <c r="H467" t="s">
        <v>78</v>
      </c>
      <c r="I467" t="s">
        <v>9</v>
      </c>
      <c r="J467" t="s">
        <v>25</v>
      </c>
      <c r="K467" t="s">
        <v>19</v>
      </c>
      <c r="L467" t="s">
        <v>53</v>
      </c>
      <c r="M467" t="s">
        <v>13</v>
      </c>
      <c r="N467" t="s">
        <v>37</v>
      </c>
      <c r="O467" t="s">
        <v>18</v>
      </c>
      <c r="P467">
        <v>4</v>
      </c>
    </row>
    <row r="468" spans="1:16" x14ac:dyDescent="0.3">
      <c r="A468">
        <v>3953</v>
      </c>
      <c r="B468">
        <v>44424</v>
      </c>
      <c r="C468">
        <v>56</v>
      </c>
      <c r="D468">
        <v>23795</v>
      </c>
      <c r="E468" t="s">
        <v>14</v>
      </c>
      <c r="F468" t="s">
        <v>15</v>
      </c>
      <c r="G468" t="s">
        <v>34</v>
      </c>
      <c r="H468" t="s">
        <v>78</v>
      </c>
      <c r="I468" t="s">
        <v>9</v>
      </c>
      <c r="J468" t="s">
        <v>25</v>
      </c>
      <c r="K468" t="s">
        <v>26</v>
      </c>
      <c r="L468" t="s">
        <v>53</v>
      </c>
      <c r="M468" t="s">
        <v>38</v>
      </c>
      <c r="N468" t="s">
        <v>16</v>
      </c>
      <c r="O468" t="s">
        <v>18</v>
      </c>
      <c r="P468">
        <v>4</v>
      </c>
    </row>
    <row r="469" spans="1:16" x14ac:dyDescent="0.3">
      <c r="A469">
        <v>3954</v>
      </c>
      <c r="B469">
        <v>44487</v>
      </c>
      <c r="C469">
        <v>75</v>
      </c>
      <c r="D469">
        <v>17117</v>
      </c>
      <c r="E469" t="s">
        <v>14</v>
      </c>
      <c r="F469" t="s">
        <v>15</v>
      </c>
      <c r="G469" t="s">
        <v>34</v>
      </c>
      <c r="H469" t="s">
        <v>77</v>
      </c>
      <c r="I469" t="s">
        <v>9</v>
      </c>
      <c r="J469" t="s">
        <v>25</v>
      </c>
      <c r="K469" t="s">
        <v>26</v>
      </c>
      <c r="L469" t="s">
        <v>53</v>
      </c>
      <c r="M469" t="s">
        <v>32</v>
      </c>
      <c r="N469" t="s">
        <v>23</v>
      </c>
      <c r="O469" t="s">
        <v>18</v>
      </c>
      <c r="P469">
        <v>1</v>
      </c>
    </row>
    <row r="470" spans="1:16" x14ac:dyDescent="0.3">
      <c r="A470">
        <v>3955</v>
      </c>
      <c r="B470">
        <v>43877</v>
      </c>
      <c r="C470">
        <v>22</v>
      </c>
      <c r="D470">
        <v>36096</v>
      </c>
      <c r="E470" t="s">
        <v>14</v>
      </c>
      <c r="F470" t="s">
        <v>15</v>
      </c>
      <c r="G470" t="s">
        <v>34</v>
      </c>
      <c r="H470" t="s">
        <v>77</v>
      </c>
      <c r="I470" t="s">
        <v>9</v>
      </c>
      <c r="J470" t="s">
        <v>10</v>
      </c>
      <c r="K470" t="s">
        <v>11</v>
      </c>
      <c r="L470" t="s">
        <v>53</v>
      </c>
      <c r="M470" t="s">
        <v>54</v>
      </c>
      <c r="N470" t="s">
        <v>23</v>
      </c>
      <c r="O470" t="s">
        <v>18</v>
      </c>
      <c r="P470">
        <v>1</v>
      </c>
    </row>
    <row r="471" spans="1:16" x14ac:dyDescent="0.3">
      <c r="A471">
        <v>3956</v>
      </c>
      <c r="B471">
        <v>43684</v>
      </c>
      <c r="C471">
        <v>22</v>
      </c>
      <c r="D471">
        <v>35432</v>
      </c>
      <c r="E471" t="s">
        <v>45</v>
      </c>
      <c r="F471" t="s">
        <v>15</v>
      </c>
      <c r="G471" t="s">
        <v>17</v>
      </c>
      <c r="H471" t="s">
        <v>77</v>
      </c>
      <c r="I471" t="s">
        <v>9</v>
      </c>
      <c r="J471" t="s">
        <v>10</v>
      </c>
      <c r="K471" t="s">
        <v>19</v>
      </c>
      <c r="L471" t="s">
        <v>53</v>
      </c>
      <c r="M471" t="s">
        <v>28</v>
      </c>
      <c r="N471" t="s">
        <v>37</v>
      </c>
      <c r="O471" t="s">
        <v>18</v>
      </c>
      <c r="P471">
        <v>5</v>
      </c>
    </row>
    <row r="472" spans="1:16" x14ac:dyDescent="0.3">
      <c r="A472">
        <v>3957</v>
      </c>
      <c r="B472">
        <v>44564</v>
      </c>
      <c r="C472">
        <v>31</v>
      </c>
      <c r="D472">
        <v>33240</v>
      </c>
      <c r="E472" t="s">
        <v>45</v>
      </c>
      <c r="F472" t="s">
        <v>15</v>
      </c>
      <c r="G472" t="s">
        <v>40</v>
      </c>
      <c r="H472" t="s">
        <v>77</v>
      </c>
      <c r="I472" t="s">
        <v>9</v>
      </c>
      <c r="J472" t="s">
        <v>10</v>
      </c>
      <c r="K472" t="s">
        <v>11</v>
      </c>
      <c r="L472" t="s">
        <v>53</v>
      </c>
      <c r="M472" t="s">
        <v>35</v>
      </c>
      <c r="N472" t="s">
        <v>30</v>
      </c>
      <c r="O472" t="s">
        <v>18</v>
      </c>
      <c r="P472">
        <v>2</v>
      </c>
    </row>
    <row r="473" spans="1:16" x14ac:dyDescent="0.3">
      <c r="A473">
        <v>3958</v>
      </c>
      <c r="B473">
        <v>44096</v>
      </c>
      <c r="C473">
        <v>46</v>
      </c>
      <c r="D473">
        <v>27290</v>
      </c>
      <c r="E473" t="s">
        <v>45</v>
      </c>
      <c r="F473" t="s">
        <v>15</v>
      </c>
      <c r="G473" t="s">
        <v>34</v>
      </c>
      <c r="H473" t="s">
        <v>77</v>
      </c>
      <c r="I473" t="s">
        <v>9</v>
      </c>
      <c r="J473" t="s">
        <v>20</v>
      </c>
      <c r="K473" t="s">
        <v>11</v>
      </c>
      <c r="L473" t="s">
        <v>53</v>
      </c>
      <c r="M473" t="s">
        <v>35</v>
      </c>
      <c r="N473" t="s">
        <v>23</v>
      </c>
      <c r="O473" t="s">
        <v>65</v>
      </c>
      <c r="P473">
        <v>3</v>
      </c>
    </row>
    <row r="474" spans="1:16" x14ac:dyDescent="0.3">
      <c r="A474">
        <v>3959</v>
      </c>
      <c r="B474">
        <v>44876</v>
      </c>
      <c r="C474">
        <v>34</v>
      </c>
      <c r="D474">
        <v>32375</v>
      </c>
      <c r="E474" t="s">
        <v>45</v>
      </c>
      <c r="F474" t="s">
        <v>22</v>
      </c>
      <c r="G474" t="s">
        <v>31</v>
      </c>
      <c r="H474" t="s">
        <v>81</v>
      </c>
      <c r="I474" t="s">
        <v>66</v>
      </c>
      <c r="J474" t="s">
        <v>20</v>
      </c>
      <c r="K474" t="s">
        <v>19</v>
      </c>
      <c r="L474" t="s">
        <v>53</v>
      </c>
      <c r="M474" t="s">
        <v>32</v>
      </c>
      <c r="N474" t="s">
        <v>23</v>
      </c>
      <c r="O474" t="s">
        <v>18</v>
      </c>
      <c r="P474">
        <v>4</v>
      </c>
    </row>
    <row r="475" spans="1:16" x14ac:dyDescent="0.3">
      <c r="A475">
        <v>3960</v>
      </c>
      <c r="B475">
        <v>43323</v>
      </c>
      <c r="C475">
        <v>71</v>
      </c>
      <c r="D475">
        <v>17262</v>
      </c>
      <c r="E475" t="s">
        <v>45</v>
      </c>
      <c r="F475" t="s">
        <v>22</v>
      </c>
      <c r="G475" t="s">
        <v>34</v>
      </c>
      <c r="H475" t="s">
        <v>82</v>
      </c>
      <c r="I475" t="s">
        <v>9</v>
      </c>
      <c r="J475" t="s">
        <v>20</v>
      </c>
      <c r="K475" t="s">
        <v>19</v>
      </c>
      <c r="L475" t="s">
        <v>53</v>
      </c>
      <c r="M475" t="s">
        <v>35</v>
      </c>
      <c r="N475" t="s">
        <v>16</v>
      </c>
      <c r="O475" t="s">
        <v>18</v>
      </c>
      <c r="P475">
        <v>4</v>
      </c>
    </row>
    <row r="476" spans="1:16" x14ac:dyDescent="0.3">
      <c r="A476">
        <v>3961</v>
      </c>
      <c r="B476">
        <v>45016</v>
      </c>
      <c r="C476">
        <v>45</v>
      </c>
      <c r="D476">
        <v>28660</v>
      </c>
      <c r="E476" t="s">
        <v>14</v>
      </c>
      <c r="F476" t="s">
        <v>22</v>
      </c>
      <c r="G476" t="s">
        <v>40</v>
      </c>
      <c r="H476" t="s">
        <v>83</v>
      </c>
      <c r="I476" t="s">
        <v>9</v>
      </c>
      <c r="J476" t="s">
        <v>25</v>
      </c>
      <c r="K476" t="s">
        <v>19</v>
      </c>
      <c r="L476" t="s">
        <v>53</v>
      </c>
      <c r="M476" t="s">
        <v>21</v>
      </c>
      <c r="N476" t="s">
        <v>37</v>
      </c>
      <c r="O476" t="s">
        <v>18</v>
      </c>
      <c r="P476">
        <v>5</v>
      </c>
    </row>
    <row r="477" spans="1:16" x14ac:dyDescent="0.3">
      <c r="A477">
        <v>3962</v>
      </c>
      <c r="B477">
        <v>44265</v>
      </c>
      <c r="C477">
        <v>31</v>
      </c>
      <c r="D477">
        <v>33195</v>
      </c>
      <c r="E477" t="s">
        <v>14</v>
      </c>
      <c r="F477" t="s">
        <v>15</v>
      </c>
      <c r="G477" t="s">
        <v>40</v>
      </c>
      <c r="H477" t="s">
        <v>79</v>
      </c>
      <c r="I477" t="s">
        <v>9</v>
      </c>
      <c r="J477" t="s">
        <v>10</v>
      </c>
      <c r="K477" t="s">
        <v>26</v>
      </c>
      <c r="L477" t="s">
        <v>53</v>
      </c>
      <c r="M477" t="s">
        <v>21</v>
      </c>
      <c r="N477" t="s">
        <v>23</v>
      </c>
      <c r="O477" t="s">
        <v>18</v>
      </c>
      <c r="P477">
        <v>3</v>
      </c>
    </row>
    <row r="478" spans="1:16" x14ac:dyDescent="0.3">
      <c r="A478">
        <v>3963</v>
      </c>
      <c r="B478">
        <v>43707</v>
      </c>
      <c r="C478">
        <v>21</v>
      </c>
      <c r="D478">
        <v>35934</v>
      </c>
      <c r="E478" t="s">
        <v>14</v>
      </c>
      <c r="F478" t="s">
        <v>15</v>
      </c>
      <c r="G478" t="s">
        <v>17</v>
      </c>
      <c r="H478" t="s">
        <v>84</v>
      </c>
      <c r="I478" t="s">
        <v>9</v>
      </c>
      <c r="J478" t="s">
        <v>20</v>
      </c>
      <c r="K478" t="s">
        <v>26</v>
      </c>
      <c r="L478" t="s">
        <v>53</v>
      </c>
      <c r="M478" t="s">
        <v>35</v>
      </c>
      <c r="N478" t="s">
        <v>37</v>
      </c>
      <c r="O478" t="s">
        <v>18</v>
      </c>
      <c r="P478">
        <v>1</v>
      </c>
    </row>
    <row r="479" spans="1:16" x14ac:dyDescent="0.3">
      <c r="A479">
        <v>3965</v>
      </c>
      <c r="B479">
        <v>43943</v>
      </c>
      <c r="C479">
        <v>22</v>
      </c>
      <c r="D479">
        <v>36100</v>
      </c>
      <c r="E479" t="s">
        <v>14</v>
      </c>
      <c r="F479" t="s">
        <v>15</v>
      </c>
      <c r="G479" t="s">
        <v>34</v>
      </c>
      <c r="H479" t="s">
        <v>85</v>
      </c>
      <c r="I479" t="s">
        <v>9</v>
      </c>
      <c r="J479" t="s">
        <v>10</v>
      </c>
      <c r="K479" t="s">
        <v>26</v>
      </c>
      <c r="L479" t="s">
        <v>53</v>
      </c>
      <c r="M479" t="s">
        <v>32</v>
      </c>
      <c r="N479" t="s">
        <v>30</v>
      </c>
      <c r="O479" t="s">
        <v>18</v>
      </c>
      <c r="P479">
        <v>1</v>
      </c>
    </row>
    <row r="480" spans="1:16" x14ac:dyDescent="0.3">
      <c r="A480">
        <v>3967</v>
      </c>
      <c r="B480">
        <v>43437</v>
      </c>
      <c r="C480">
        <v>63</v>
      </c>
      <c r="D480">
        <v>20289</v>
      </c>
      <c r="E480" t="s">
        <v>14</v>
      </c>
      <c r="F480" t="s">
        <v>15</v>
      </c>
      <c r="G480" t="s">
        <v>34</v>
      </c>
      <c r="H480" t="s">
        <v>78</v>
      </c>
      <c r="I480" t="s">
        <v>9</v>
      </c>
      <c r="J480" t="s">
        <v>25</v>
      </c>
      <c r="K480" t="s">
        <v>19</v>
      </c>
      <c r="L480" t="s">
        <v>53</v>
      </c>
      <c r="M480" t="s">
        <v>13</v>
      </c>
      <c r="N480" t="s">
        <v>37</v>
      </c>
      <c r="O480" t="s">
        <v>18</v>
      </c>
      <c r="P480">
        <v>3</v>
      </c>
    </row>
    <row r="481" spans="1:16" x14ac:dyDescent="0.3">
      <c r="A481">
        <v>3968</v>
      </c>
      <c r="B481">
        <v>44247</v>
      </c>
      <c r="C481">
        <v>54</v>
      </c>
      <c r="D481">
        <v>24667</v>
      </c>
      <c r="E481" t="s">
        <v>14</v>
      </c>
      <c r="F481" t="s">
        <v>15</v>
      </c>
      <c r="G481" t="s">
        <v>34</v>
      </c>
      <c r="H481" t="s">
        <v>78</v>
      </c>
      <c r="I481" t="s">
        <v>9</v>
      </c>
      <c r="J481" t="s">
        <v>10</v>
      </c>
      <c r="K481" t="s">
        <v>26</v>
      </c>
      <c r="L481" t="s">
        <v>53</v>
      </c>
      <c r="M481" t="s">
        <v>42</v>
      </c>
      <c r="N481" t="s">
        <v>30</v>
      </c>
      <c r="O481" t="s">
        <v>18</v>
      </c>
      <c r="P481">
        <v>5</v>
      </c>
    </row>
    <row r="482" spans="1:16" x14ac:dyDescent="0.3">
      <c r="A482">
        <v>3969</v>
      </c>
      <c r="B482">
        <v>44213</v>
      </c>
      <c r="C482">
        <v>55</v>
      </c>
      <c r="D482">
        <v>24276</v>
      </c>
      <c r="E482" t="s">
        <v>14</v>
      </c>
      <c r="F482" t="s">
        <v>15</v>
      </c>
      <c r="G482" t="s">
        <v>40</v>
      </c>
      <c r="H482" t="s">
        <v>77</v>
      </c>
      <c r="I482" t="s">
        <v>9</v>
      </c>
      <c r="J482" t="s">
        <v>10</v>
      </c>
      <c r="K482" t="s">
        <v>19</v>
      </c>
      <c r="L482" t="s">
        <v>53</v>
      </c>
      <c r="M482" t="s">
        <v>21</v>
      </c>
      <c r="N482" t="s">
        <v>46</v>
      </c>
      <c r="O482" t="s">
        <v>41</v>
      </c>
      <c r="P482">
        <v>5</v>
      </c>
    </row>
    <row r="483" spans="1:16" x14ac:dyDescent="0.3">
      <c r="A483">
        <v>3970</v>
      </c>
      <c r="B483">
        <v>44108</v>
      </c>
      <c r="C483">
        <v>70</v>
      </c>
      <c r="D483">
        <v>18575</v>
      </c>
      <c r="E483" t="s">
        <v>14</v>
      </c>
      <c r="F483" t="s">
        <v>15</v>
      </c>
      <c r="G483" t="s">
        <v>34</v>
      </c>
      <c r="H483" t="s">
        <v>77</v>
      </c>
      <c r="I483" t="s">
        <v>9</v>
      </c>
      <c r="J483" t="s">
        <v>20</v>
      </c>
      <c r="K483" t="s">
        <v>26</v>
      </c>
      <c r="L483" t="s">
        <v>53</v>
      </c>
      <c r="M483" t="s">
        <v>35</v>
      </c>
      <c r="N483" t="s">
        <v>30</v>
      </c>
      <c r="O483" t="s">
        <v>41</v>
      </c>
      <c r="P483">
        <v>1</v>
      </c>
    </row>
    <row r="484" spans="1:16" x14ac:dyDescent="0.3">
      <c r="A484">
        <v>3971</v>
      </c>
      <c r="B484">
        <v>44225</v>
      </c>
      <c r="C484">
        <v>63</v>
      </c>
      <c r="D484">
        <v>21489</v>
      </c>
      <c r="E484" t="s">
        <v>45</v>
      </c>
      <c r="F484" t="s">
        <v>15</v>
      </c>
      <c r="G484" t="s">
        <v>17</v>
      </c>
      <c r="H484" t="s">
        <v>77</v>
      </c>
      <c r="I484" t="s">
        <v>9</v>
      </c>
      <c r="J484" t="s">
        <v>20</v>
      </c>
      <c r="K484" t="s">
        <v>19</v>
      </c>
      <c r="L484" t="s">
        <v>53</v>
      </c>
      <c r="M484" t="s">
        <v>32</v>
      </c>
      <c r="N484" t="s">
        <v>30</v>
      </c>
      <c r="O484" t="s">
        <v>18</v>
      </c>
      <c r="P484">
        <v>3</v>
      </c>
    </row>
    <row r="485" spans="1:16" x14ac:dyDescent="0.3">
      <c r="A485">
        <v>3972</v>
      </c>
      <c r="B485">
        <v>44768</v>
      </c>
      <c r="C485">
        <v>67</v>
      </c>
      <c r="D485">
        <v>20247</v>
      </c>
      <c r="E485" t="s">
        <v>45</v>
      </c>
      <c r="F485" t="s">
        <v>15</v>
      </c>
      <c r="G485" t="s">
        <v>40</v>
      </c>
      <c r="H485" t="s">
        <v>77</v>
      </c>
      <c r="I485" t="s">
        <v>9</v>
      </c>
      <c r="J485" t="s">
        <v>20</v>
      </c>
      <c r="K485" t="s">
        <v>26</v>
      </c>
      <c r="L485" t="s">
        <v>53</v>
      </c>
      <c r="M485" t="s">
        <v>32</v>
      </c>
      <c r="N485" t="s">
        <v>37</v>
      </c>
      <c r="O485" t="s">
        <v>18</v>
      </c>
      <c r="P485">
        <v>4</v>
      </c>
    </row>
    <row r="486" spans="1:16" x14ac:dyDescent="0.3">
      <c r="A486">
        <v>3973</v>
      </c>
      <c r="B486">
        <v>43364</v>
      </c>
      <c r="C486">
        <v>45</v>
      </c>
      <c r="D486">
        <v>26806</v>
      </c>
      <c r="E486" t="s">
        <v>45</v>
      </c>
      <c r="F486" t="s">
        <v>15</v>
      </c>
      <c r="G486" t="s">
        <v>31</v>
      </c>
      <c r="H486" t="s">
        <v>77</v>
      </c>
      <c r="I486" t="s">
        <v>66</v>
      </c>
      <c r="J486" t="s">
        <v>20</v>
      </c>
      <c r="K486" t="s">
        <v>11</v>
      </c>
      <c r="L486" t="s">
        <v>53</v>
      </c>
      <c r="M486" t="s">
        <v>35</v>
      </c>
      <c r="N486" t="s">
        <v>23</v>
      </c>
      <c r="O486" t="s">
        <v>41</v>
      </c>
      <c r="P486">
        <v>2</v>
      </c>
    </row>
    <row r="487" spans="1:16" x14ac:dyDescent="0.3">
      <c r="A487">
        <v>3974</v>
      </c>
      <c r="B487">
        <v>43459</v>
      </c>
      <c r="C487">
        <v>32</v>
      </c>
      <c r="D487">
        <v>31419</v>
      </c>
      <c r="E487" t="s">
        <v>45</v>
      </c>
      <c r="F487" t="s">
        <v>22</v>
      </c>
      <c r="G487" t="s">
        <v>34</v>
      </c>
      <c r="H487" t="s">
        <v>81</v>
      </c>
      <c r="I487" t="s">
        <v>66</v>
      </c>
      <c r="J487" t="s">
        <v>20</v>
      </c>
      <c r="K487" t="s">
        <v>11</v>
      </c>
      <c r="L487" t="s">
        <v>53</v>
      </c>
      <c r="M487" t="s">
        <v>38</v>
      </c>
      <c r="N487" t="s">
        <v>30</v>
      </c>
      <c r="O487" t="s">
        <v>41</v>
      </c>
      <c r="P487">
        <v>5</v>
      </c>
    </row>
    <row r="488" spans="1:16" x14ac:dyDescent="0.3">
      <c r="A488">
        <v>3975</v>
      </c>
      <c r="B488">
        <v>44138</v>
      </c>
      <c r="C488">
        <v>21</v>
      </c>
      <c r="D488">
        <v>36185</v>
      </c>
      <c r="E488" t="s">
        <v>45</v>
      </c>
      <c r="F488" t="s">
        <v>22</v>
      </c>
      <c r="G488" t="s">
        <v>31</v>
      </c>
      <c r="H488" t="s">
        <v>82</v>
      </c>
      <c r="I488" t="s">
        <v>66</v>
      </c>
      <c r="J488" t="s">
        <v>20</v>
      </c>
      <c r="K488" t="s">
        <v>26</v>
      </c>
      <c r="L488" t="s">
        <v>53</v>
      </c>
      <c r="M488" t="s">
        <v>35</v>
      </c>
      <c r="N488" t="s">
        <v>46</v>
      </c>
      <c r="O488" t="s">
        <v>18</v>
      </c>
      <c r="P488">
        <v>4</v>
      </c>
    </row>
    <row r="489" spans="1:16" x14ac:dyDescent="0.3">
      <c r="A489">
        <v>3976</v>
      </c>
      <c r="B489">
        <v>44491</v>
      </c>
      <c r="C489">
        <v>30</v>
      </c>
      <c r="D489">
        <v>33559</v>
      </c>
      <c r="E489" t="s">
        <v>14</v>
      </c>
      <c r="F489" t="s">
        <v>15</v>
      </c>
      <c r="G489" t="s">
        <v>40</v>
      </c>
      <c r="H489" t="s">
        <v>79</v>
      </c>
      <c r="I489" t="s">
        <v>9</v>
      </c>
      <c r="J489" t="s">
        <v>25</v>
      </c>
      <c r="K489" t="s">
        <v>11</v>
      </c>
      <c r="L489" t="s">
        <v>53</v>
      </c>
      <c r="M489" t="s">
        <v>35</v>
      </c>
      <c r="N489" t="s">
        <v>16</v>
      </c>
      <c r="O489" t="s">
        <v>18</v>
      </c>
      <c r="P489">
        <v>5</v>
      </c>
    </row>
    <row r="490" spans="1:16" x14ac:dyDescent="0.3">
      <c r="A490">
        <v>3977</v>
      </c>
      <c r="B490">
        <v>43339</v>
      </c>
      <c r="C490">
        <v>75</v>
      </c>
      <c r="D490">
        <v>15937</v>
      </c>
      <c r="E490" t="s">
        <v>14</v>
      </c>
      <c r="F490" t="s">
        <v>15</v>
      </c>
      <c r="G490" t="s">
        <v>40</v>
      </c>
      <c r="H490" t="s">
        <v>84</v>
      </c>
      <c r="I490" t="s">
        <v>9</v>
      </c>
      <c r="J490" t="s">
        <v>25</v>
      </c>
      <c r="K490" t="s">
        <v>19</v>
      </c>
      <c r="L490" t="s">
        <v>53</v>
      </c>
      <c r="M490" t="s">
        <v>59</v>
      </c>
      <c r="N490" t="s">
        <v>37</v>
      </c>
      <c r="O490" t="s">
        <v>18</v>
      </c>
      <c r="P490">
        <v>5</v>
      </c>
    </row>
    <row r="491" spans="1:16" x14ac:dyDescent="0.3">
      <c r="A491">
        <v>3978</v>
      </c>
      <c r="B491">
        <v>44024</v>
      </c>
      <c r="C491">
        <v>40</v>
      </c>
      <c r="D491">
        <v>29337</v>
      </c>
      <c r="E491" t="s">
        <v>14</v>
      </c>
      <c r="F491" t="s">
        <v>22</v>
      </c>
      <c r="G491" t="s">
        <v>17</v>
      </c>
      <c r="H491" t="s">
        <v>84</v>
      </c>
      <c r="I491" t="s">
        <v>9</v>
      </c>
      <c r="J491" t="s">
        <v>20</v>
      </c>
      <c r="K491" t="s">
        <v>26</v>
      </c>
      <c r="L491" t="s">
        <v>53</v>
      </c>
      <c r="M491" t="s">
        <v>32</v>
      </c>
      <c r="N491" t="s">
        <v>46</v>
      </c>
      <c r="O491" t="s">
        <v>18</v>
      </c>
      <c r="P491">
        <v>3</v>
      </c>
    </row>
    <row r="492" spans="1:16" x14ac:dyDescent="0.3">
      <c r="A492">
        <v>3980</v>
      </c>
      <c r="B492">
        <v>43962</v>
      </c>
      <c r="C492">
        <v>45</v>
      </c>
      <c r="D492">
        <v>27730</v>
      </c>
      <c r="E492" t="s">
        <v>14</v>
      </c>
      <c r="F492" t="s">
        <v>15</v>
      </c>
      <c r="G492" t="s">
        <v>34</v>
      </c>
      <c r="H492" t="s">
        <v>78</v>
      </c>
      <c r="I492" t="s">
        <v>9</v>
      </c>
      <c r="J492" t="s">
        <v>25</v>
      </c>
      <c r="K492" t="s">
        <v>11</v>
      </c>
      <c r="L492" t="s">
        <v>53</v>
      </c>
      <c r="M492" t="s">
        <v>54</v>
      </c>
      <c r="N492" t="s">
        <v>16</v>
      </c>
      <c r="O492" t="s">
        <v>41</v>
      </c>
      <c r="P492">
        <v>2</v>
      </c>
    </row>
    <row r="493" spans="1:16" x14ac:dyDescent="0.3">
      <c r="A493">
        <v>3981</v>
      </c>
      <c r="B493">
        <v>44036</v>
      </c>
      <c r="C493">
        <v>60</v>
      </c>
      <c r="D493">
        <v>21953</v>
      </c>
      <c r="E493" t="s">
        <v>14</v>
      </c>
      <c r="F493" t="s">
        <v>15</v>
      </c>
      <c r="G493" t="s">
        <v>40</v>
      </c>
      <c r="H493" t="s">
        <v>78</v>
      </c>
      <c r="I493" t="s">
        <v>9</v>
      </c>
      <c r="J493" t="s">
        <v>25</v>
      </c>
      <c r="K493" t="s">
        <v>19</v>
      </c>
      <c r="L493" t="s">
        <v>53</v>
      </c>
      <c r="M493" t="s">
        <v>35</v>
      </c>
      <c r="N493" t="s">
        <v>37</v>
      </c>
      <c r="O493" t="s">
        <v>18</v>
      </c>
      <c r="P493">
        <v>2</v>
      </c>
    </row>
    <row r="494" spans="1:16" x14ac:dyDescent="0.3">
      <c r="A494">
        <v>3982</v>
      </c>
      <c r="B494">
        <v>44782</v>
      </c>
      <c r="C494">
        <v>65</v>
      </c>
      <c r="D494">
        <v>20983</v>
      </c>
      <c r="E494" t="s">
        <v>14</v>
      </c>
      <c r="F494" t="s">
        <v>15</v>
      </c>
      <c r="G494" t="s">
        <v>34</v>
      </c>
      <c r="H494" t="s">
        <v>77</v>
      </c>
      <c r="I494" t="s">
        <v>9</v>
      </c>
      <c r="J494" t="s">
        <v>20</v>
      </c>
      <c r="K494" t="s">
        <v>26</v>
      </c>
      <c r="L494" t="s">
        <v>53</v>
      </c>
      <c r="M494" t="s">
        <v>21</v>
      </c>
      <c r="N494" t="s">
        <v>30</v>
      </c>
      <c r="O494" t="s">
        <v>56</v>
      </c>
      <c r="P494">
        <v>1</v>
      </c>
    </row>
    <row r="495" spans="1:16" x14ac:dyDescent="0.3">
      <c r="A495">
        <v>3983</v>
      </c>
      <c r="B495">
        <v>44724</v>
      </c>
      <c r="C495">
        <v>58</v>
      </c>
      <c r="D495">
        <v>23479</v>
      </c>
      <c r="E495" t="s">
        <v>14</v>
      </c>
      <c r="F495" t="s">
        <v>15</v>
      </c>
      <c r="G495" t="s">
        <v>34</v>
      </c>
      <c r="H495" t="s">
        <v>77</v>
      </c>
      <c r="I495" t="s">
        <v>9</v>
      </c>
      <c r="J495" t="s">
        <v>25</v>
      </c>
      <c r="K495" t="s">
        <v>19</v>
      </c>
      <c r="L495" t="s">
        <v>53</v>
      </c>
      <c r="M495" t="s">
        <v>35</v>
      </c>
      <c r="N495" t="s">
        <v>23</v>
      </c>
      <c r="O495" t="s">
        <v>41</v>
      </c>
      <c r="P495">
        <v>3</v>
      </c>
    </row>
    <row r="496" spans="1:16" x14ac:dyDescent="0.3">
      <c r="A496">
        <v>3984</v>
      </c>
      <c r="B496">
        <v>44602</v>
      </c>
      <c r="C496">
        <v>59</v>
      </c>
      <c r="D496">
        <v>23215</v>
      </c>
      <c r="E496" t="s">
        <v>45</v>
      </c>
      <c r="F496" t="s">
        <v>15</v>
      </c>
      <c r="G496" t="s">
        <v>31</v>
      </c>
      <c r="H496" t="s">
        <v>77</v>
      </c>
      <c r="I496" t="s">
        <v>9</v>
      </c>
      <c r="J496" t="s">
        <v>10</v>
      </c>
      <c r="K496" t="s">
        <v>26</v>
      </c>
      <c r="L496" t="s">
        <v>53</v>
      </c>
      <c r="M496" t="s">
        <v>59</v>
      </c>
      <c r="N496" t="s">
        <v>23</v>
      </c>
      <c r="O496" t="s">
        <v>18</v>
      </c>
      <c r="P496">
        <v>5</v>
      </c>
    </row>
    <row r="497" spans="1:16" x14ac:dyDescent="0.3">
      <c r="A497">
        <v>3985</v>
      </c>
      <c r="B497">
        <v>44939</v>
      </c>
      <c r="C497">
        <v>31</v>
      </c>
      <c r="D497">
        <v>33621</v>
      </c>
      <c r="E497" t="s">
        <v>45</v>
      </c>
      <c r="F497" t="s">
        <v>22</v>
      </c>
      <c r="G497" t="s">
        <v>17</v>
      </c>
      <c r="H497" t="s">
        <v>77</v>
      </c>
      <c r="I497" t="s">
        <v>66</v>
      </c>
      <c r="J497" t="s">
        <v>20</v>
      </c>
      <c r="K497" t="s">
        <v>19</v>
      </c>
      <c r="L497" t="s">
        <v>53</v>
      </c>
      <c r="M497" t="s">
        <v>62</v>
      </c>
      <c r="N497" t="s">
        <v>16</v>
      </c>
      <c r="O497" t="s">
        <v>18</v>
      </c>
      <c r="P497">
        <v>4</v>
      </c>
    </row>
    <row r="498" spans="1:16" x14ac:dyDescent="0.3">
      <c r="A498">
        <v>3986</v>
      </c>
      <c r="B498">
        <v>43900</v>
      </c>
      <c r="C498">
        <v>48</v>
      </c>
      <c r="D498">
        <v>26630</v>
      </c>
      <c r="E498" t="s">
        <v>45</v>
      </c>
      <c r="F498" t="s">
        <v>15</v>
      </c>
      <c r="G498" t="s">
        <v>34</v>
      </c>
      <c r="H498" t="s">
        <v>77</v>
      </c>
      <c r="I498" t="s">
        <v>9</v>
      </c>
      <c r="J498" t="s">
        <v>20</v>
      </c>
      <c r="K498" t="s">
        <v>19</v>
      </c>
      <c r="L498" t="s">
        <v>53</v>
      </c>
      <c r="M498" t="s">
        <v>60</v>
      </c>
      <c r="N498" t="s">
        <v>23</v>
      </c>
      <c r="O498" t="s">
        <v>18</v>
      </c>
      <c r="P498">
        <v>3</v>
      </c>
    </row>
    <row r="499" spans="1:16" x14ac:dyDescent="0.3">
      <c r="A499">
        <v>3987</v>
      </c>
      <c r="B499">
        <v>44617</v>
      </c>
      <c r="C499">
        <v>40</v>
      </c>
      <c r="D499">
        <v>30074</v>
      </c>
      <c r="E499" t="s">
        <v>45</v>
      </c>
      <c r="F499" t="s">
        <v>22</v>
      </c>
      <c r="G499" t="s">
        <v>17</v>
      </c>
      <c r="H499" t="s">
        <v>81</v>
      </c>
      <c r="I499" t="s">
        <v>66</v>
      </c>
      <c r="J499" t="s">
        <v>25</v>
      </c>
      <c r="K499" t="s">
        <v>19</v>
      </c>
      <c r="L499" t="s">
        <v>53</v>
      </c>
      <c r="M499" t="s">
        <v>60</v>
      </c>
      <c r="N499" t="s">
        <v>30</v>
      </c>
      <c r="O499" t="s">
        <v>41</v>
      </c>
      <c r="P499">
        <v>4</v>
      </c>
    </row>
    <row r="500" spans="1:16" x14ac:dyDescent="0.3">
      <c r="A500">
        <v>3989</v>
      </c>
      <c r="B500">
        <v>44753</v>
      </c>
      <c r="C500">
        <v>70</v>
      </c>
      <c r="D500">
        <v>19163</v>
      </c>
      <c r="E500" t="s">
        <v>14</v>
      </c>
      <c r="F500" t="s">
        <v>15</v>
      </c>
      <c r="G500" t="s">
        <v>17</v>
      </c>
      <c r="H500" t="s">
        <v>79</v>
      </c>
      <c r="I500" t="s">
        <v>9</v>
      </c>
      <c r="J500" t="s">
        <v>25</v>
      </c>
      <c r="K500" t="s">
        <v>11</v>
      </c>
      <c r="L500" t="s">
        <v>53</v>
      </c>
      <c r="M500" t="s">
        <v>32</v>
      </c>
      <c r="N500" t="s">
        <v>46</v>
      </c>
      <c r="O500" t="s">
        <v>18</v>
      </c>
      <c r="P500">
        <v>1</v>
      </c>
    </row>
    <row r="501" spans="1:16" x14ac:dyDescent="0.3">
      <c r="A501">
        <v>3991</v>
      </c>
      <c r="B501">
        <v>45026</v>
      </c>
      <c r="C501">
        <v>49</v>
      </c>
      <c r="D501">
        <v>27097</v>
      </c>
      <c r="E501" t="s">
        <v>14</v>
      </c>
      <c r="F501" t="s">
        <v>22</v>
      </c>
      <c r="G501" t="s">
        <v>31</v>
      </c>
      <c r="H501" t="s">
        <v>84</v>
      </c>
      <c r="I501" t="s">
        <v>9</v>
      </c>
      <c r="J501" t="s">
        <v>10</v>
      </c>
      <c r="K501" t="s">
        <v>26</v>
      </c>
      <c r="L501" t="s">
        <v>53</v>
      </c>
      <c r="M501" t="s">
        <v>54</v>
      </c>
      <c r="N501" t="s">
        <v>37</v>
      </c>
      <c r="O501" t="s">
        <v>18</v>
      </c>
      <c r="P501">
        <v>3</v>
      </c>
    </row>
    <row r="502" spans="1:16" x14ac:dyDescent="0.3">
      <c r="A502">
        <v>3992</v>
      </c>
      <c r="B502">
        <v>44903</v>
      </c>
      <c r="C502">
        <v>61</v>
      </c>
      <c r="D502">
        <v>22643</v>
      </c>
      <c r="E502" t="s">
        <v>14</v>
      </c>
      <c r="F502" t="s">
        <v>22</v>
      </c>
      <c r="G502" t="s">
        <v>34</v>
      </c>
      <c r="H502" t="s">
        <v>78</v>
      </c>
      <c r="I502" t="s">
        <v>9</v>
      </c>
      <c r="J502" t="s">
        <v>20</v>
      </c>
      <c r="K502" t="s">
        <v>19</v>
      </c>
      <c r="L502" t="s">
        <v>53</v>
      </c>
      <c r="M502" t="s">
        <v>38</v>
      </c>
      <c r="N502" t="s">
        <v>37</v>
      </c>
      <c r="O502" t="s">
        <v>18</v>
      </c>
      <c r="P502">
        <v>3</v>
      </c>
    </row>
    <row r="503" spans="1:16" x14ac:dyDescent="0.3">
      <c r="A503">
        <v>3993</v>
      </c>
      <c r="B503">
        <v>44734</v>
      </c>
      <c r="C503">
        <v>26</v>
      </c>
      <c r="D503">
        <v>35209</v>
      </c>
      <c r="E503" t="s">
        <v>14</v>
      </c>
      <c r="F503" t="s">
        <v>15</v>
      </c>
      <c r="G503" t="s">
        <v>34</v>
      </c>
      <c r="H503" t="s">
        <v>78</v>
      </c>
      <c r="I503" t="s">
        <v>9</v>
      </c>
      <c r="J503" t="s">
        <v>10</v>
      </c>
      <c r="K503" t="s">
        <v>11</v>
      </c>
      <c r="L503" t="s">
        <v>53</v>
      </c>
      <c r="M503" t="s">
        <v>35</v>
      </c>
      <c r="N503" t="s">
        <v>46</v>
      </c>
      <c r="O503" t="s">
        <v>18</v>
      </c>
      <c r="P503">
        <v>4</v>
      </c>
    </row>
    <row r="504" spans="1:16" x14ac:dyDescent="0.3">
      <c r="A504">
        <v>3994</v>
      </c>
      <c r="B504">
        <v>44826</v>
      </c>
      <c r="C504">
        <v>35</v>
      </c>
      <c r="D504">
        <v>31816</v>
      </c>
      <c r="E504" t="s">
        <v>14</v>
      </c>
      <c r="F504" t="s">
        <v>15</v>
      </c>
      <c r="G504" t="s">
        <v>31</v>
      </c>
      <c r="H504" t="s">
        <v>78</v>
      </c>
      <c r="I504" t="s">
        <v>9</v>
      </c>
      <c r="J504" t="s">
        <v>25</v>
      </c>
      <c r="K504" t="s">
        <v>19</v>
      </c>
      <c r="L504" t="s">
        <v>53</v>
      </c>
      <c r="M504" t="s">
        <v>35</v>
      </c>
      <c r="N504" t="s">
        <v>46</v>
      </c>
      <c r="O504" t="s">
        <v>18</v>
      </c>
      <c r="P504">
        <v>5</v>
      </c>
    </row>
    <row r="505" spans="1:16" x14ac:dyDescent="0.3">
      <c r="A505">
        <v>3995</v>
      </c>
      <c r="B505">
        <v>43661</v>
      </c>
      <c r="C505">
        <v>73</v>
      </c>
      <c r="D505">
        <v>17144</v>
      </c>
      <c r="E505" t="s">
        <v>14</v>
      </c>
      <c r="F505" t="s">
        <v>15</v>
      </c>
      <c r="G505" t="s">
        <v>17</v>
      </c>
      <c r="H505" t="s">
        <v>77</v>
      </c>
      <c r="I505" t="s">
        <v>9</v>
      </c>
      <c r="J505" t="s">
        <v>25</v>
      </c>
      <c r="K505" t="s">
        <v>19</v>
      </c>
      <c r="L505" t="s">
        <v>53</v>
      </c>
      <c r="M505" t="s">
        <v>59</v>
      </c>
      <c r="N505" t="s">
        <v>37</v>
      </c>
      <c r="O505" t="s">
        <v>41</v>
      </c>
      <c r="P505">
        <v>5</v>
      </c>
    </row>
    <row r="506" spans="1:16" x14ac:dyDescent="0.3">
      <c r="A506">
        <v>3996</v>
      </c>
      <c r="B506">
        <v>44440</v>
      </c>
      <c r="C506">
        <v>22</v>
      </c>
      <c r="D506">
        <v>36493</v>
      </c>
      <c r="E506" t="s">
        <v>14</v>
      </c>
      <c r="F506" t="s">
        <v>15</v>
      </c>
      <c r="G506" t="s">
        <v>17</v>
      </c>
      <c r="H506" t="s">
        <v>77</v>
      </c>
      <c r="I506" t="s">
        <v>9</v>
      </c>
      <c r="J506" t="s">
        <v>20</v>
      </c>
      <c r="K506" t="s">
        <v>11</v>
      </c>
      <c r="L506" t="s">
        <v>53</v>
      </c>
      <c r="M506" t="s">
        <v>60</v>
      </c>
      <c r="N506" t="s">
        <v>16</v>
      </c>
      <c r="O506" t="s">
        <v>18</v>
      </c>
      <c r="P506">
        <v>5</v>
      </c>
    </row>
    <row r="507" spans="1:16" x14ac:dyDescent="0.3">
      <c r="A507">
        <v>3997</v>
      </c>
      <c r="B507">
        <v>43662</v>
      </c>
      <c r="C507">
        <v>73</v>
      </c>
      <c r="D507">
        <v>17138</v>
      </c>
      <c r="E507" t="s">
        <v>45</v>
      </c>
      <c r="F507" t="s">
        <v>22</v>
      </c>
      <c r="G507" t="s">
        <v>31</v>
      </c>
      <c r="H507" t="s">
        <v>77</v>
      </c>
      <c r="I507" t="s">
        <v>9</v>
      </c>
      <c r="J507" t="s">
        <v>10</v>
      </c>
      <c r="K507" t="s">
        <v>19</v>
      </c>
      <c r="L507" t="s">
        <v>53</v>
      </c>
      <c r="M507" t="s">
        <v>42</v>
      </c>
      <c r="N507" t="s">
        <v>37</v>
      </c>
      <c r="O507" t="s">
        <v>56</v>
      </c>
      <c r="P507">
        <v>4</v>
      </c>
    </row>
    <row r="508" spans="1:16" x14ac:dyDescent="0.3">
      <c r="A508">
        <v>3998</v>
      </c>
      <c r="B508">
        <v>44554</v>
      </c>
      <c r="C508">
        <v>50</v>
      </c>
      <c r="D508">
        <v>25955</v>
      </c>
      <c r="E508" t="s">
        <v>45</v>
      </c>
      <c r="F508" t="s">
        <v>15</v>
      </c>
      <c r="G508" t="s">
        <v>34</v>
      </c>
      <c r="H508" t="s">
        <v>77</v>
      </c>
      <c r="I508" t="s">
        <v>66</v>
      </c>
      <c r="J508" t="s">
        <v>25</v>
      </c>
      <c r="K508" t="s">
        <v>26</v>
      </c>
      <c r="L508" t="s">
        <v>53</v>
      </c>
      <c r="M508" t="s">
        <v>63</v>
      </c>
      <c r="N508" t="s">
        <v>30</v>
      </c>
      <c r="O508" t="s">
        <v>18</v>
      </c>
      <c r="P508">
        <v>5</v>
      </c>
    </row>
    <row r="509" spans="1:16" x14ac:dyDescent="0.3">
      <c r="A509">
        <v>3999</v>
      </c>
      <c r="B509">
        <v>43572</v>
      </c>
      <c r="C509">
        <v>76</v>
      </c>
      <c r="D509">
        <v>15738</v>
      </c>
      <c r="E509" t="s">
        <v>45</v>
      </c>
      <c r="F509" t="s">
        <v>22</v>
      </c>
      <c r="G509" t="s">
        <v>31</v>
      </c>
      <c r="H509" t="s">
        <v>77</v>
      </c>
      <c r="I509" t="s">
        <v>66</v>
      </c>
      <c r="J509" t="s">
        <v>25</v>
      </c>
      <c r="K509" t="s">
        <v>26</v>
      </c>
      <c r="L509" t="s">
        <v>53</v>
      </c>
      <c r="M509" t="s">
        <v>42</v>
      </c>
      <c r="N509" t="s">
        <v>46</v>
      </c>
      <c r="O509" t="s">
        <v>41</v>
      </c>
      <c r="P509">
        <v>4</v>
      </c>
    </row>
    <row r="510" spans="1:16" x14ac:dyDescent="0.3">
      <c r="A510">
        <v>4000</v>
      </c>
      <c r="B510">
        <v>43764</v>
      </c>
      <c r="C510">
        <v>59</v>
      </c>
      <c r="D510">
        <v>22006</v>
      </c>
      <c r="E510" t="s">
        <v>45</v>
      </c>
      <c r="F510" t="s">
        <v>22</v>
      </c>
      <c r="G510" t="s">
        <v>40</v>
      </c>
      <c r="H510" t="s">
        <v>81</v>
      </c>
      <c r="I510" t="s">
        <v>66</v>
      </c>
      <c r="J510" t="s">
        <v>10</v>
      </c>
      <c r="K510" t="s">
        <v>11</v>
      </c>
      <c r="L510" t="s">
        <v>53</v>
      </c>
      <c r="M510" t="s">
        <v>35</v>
      </c>
      <c r="N510" t="s">
        <v>37</v>
      </c>
      <c r="O510" t="s">
        <v>18</v>
      </c>
      <c r="P510">
        <v>2</v>
      </c>
    </row>
    <row r="511" spans="1:16" x14ac:dyDescent="0.3">
      <c r="A511">
        <v>1001</v>
      </c>
      <c r="B511">
        <v>43706</v>
      </c>
      <c r="C511">
        <v>62</v>
      </c>
      <c r="D511">
        <v>21084</v>
      </c>
      <c r="E511" t="s">
        <v>14</v>
      </c>
      <c r="F511" t="s">
        <v>15</v>
      </c>
      <c r="G511" t="s">
        <v>34</v>
      </c>
      <c r="H511" t="s">
        <v>86</v>
      </c>
      <c r="I511" t="s">
        <v>9</v>
      </c>
      <c r="J511" t="s">
        <v>20</v>
      </c>
      <c r="K511" t="s">
        <v>19</v>
      </c>
      <c r="L511" t="s">
        <v>87</v>
      </c>
      <c r="M511" t="s">
        <v>42</v>
      </c>
      <c r="N511" t="s">
        <v>37</v>
      </c>
      <c r="O511" t="s">
        <v>18</v>
      </c>
      <c r="P511">
        <v>5</v>
      </c>
    </row>
    <row r="512" spans="1:16" x14ac:dyDescent="0.3">
      <c r="A512">
        <v>1002</v>
      </c>
      <c r="B512">
        <v>44907</v>
      </c>
      <c r="C512">
        <v>72</v>
      </c>
      <c r="D512">
        <v>18452</v>
      </c>
      <c r="E512" t="s">
        <v>14</v>
      </c>
      <c r="F512" t="s">
        <v>15</v>
      </c>
      <c r="G512" t="s">
        <v>17</v>
      </c>
      <c r="H512" t="s">
        <v>86</v>
      </c>
      <c r="I512" t="s">
        <v>9</v>
      </c>
      <c r="J512" t="s">
        <v>20</v>
      </c>
      <c r="K512" t="s">
        <v>19</v>
      </c>
      <c r="L512" t="s">
        <v>87</v>
      </c>
      <c r="M512" t="s">
        <v>60</v>
      </c>
      <c r="N512" t="s">
        <v>46</v>
      </c>
      <c r="O512" t="s">
        <v>18</v>
      </c>
      <c r="P512">
        <v>5</v>
      </c>
    </row>
    <row r="513" spans="1:16" x14ac:dyDescent="0.3">
      <c r="A513">
        <v>1003</v>
      </c>
      <c r="B513">
        <v>44993</v>
      </c>
      <c r="C513">
        <v>50</v>
      </c>
      <c r="D513">
        <v>26991</v>
      </c>
      <c r="E513" t="s">
        <v>14</v>
      </c>
      <c r="F513" t="s">
        <v>15</v>
      </c>
      <c r="G513" t="s">
        <v>34</v>
      </c>
      <c r="H513" t="s">
        <v>86</v>
      </c>
      <c r="I513" t="s">
        <v>9</v>
      </c>
      <c r="J513" t="s">
        <v>10</v>
      </c>
      <c r="K513" t="s">
        <v>19</v>
      </c>
      <c r="L513" t="s">
        <v>87</v>
      </c>
      <c r="M513" t="s">
        <v>35</v>
      </c>
      <c r="N513" t="s">
        <v>16</v>
      </c>
      <c r="O513" t="s">
        <v>18</v>
      </c>
      <c r="P513">
        <v>5</v>
      </c>
    </row>
    <row r="514" spans="1:16" x14ac:dyDescent="0.3">
      <c r="A514">
        <v>1004</v>
      </c>
      <c r="B514">
        <v>43980</v>
      </c>
      <c r="C514">
        <v>63</v>
      </c>
      <c r="D514">
        <v>20847</v>
      </c>
      <c r="E514" t="s">
        <v>14</v>
      </c>
      <c r="F514" t="s">
        <v>22</v>
      </c>
      <c r="G514" t="s">
        <v>31</v>
      </c>
      <c r="H514" t="s">
        <v>86</v>
      </c>
      <c r="I514" t="s">
        <v>9</v>
      </c>
      <c r="J514" t="s">
        <v>20</v>
      </c>
      <c r="K514" t="s">
        <v>11</v>
      </c>
      <c r="L514" t="s">
        <v>87</v>
      </c>
      <c r="M514" t="s">
        <v>54</v>
      </c>
      <c r="N514" t="s">
        <v>37</v>
      </c>
      <c r="O514" t="s">
        <v>18</v>
      </c>
      <c r="P514">
        <v>5</v>
      </c>
    </row>
    <row r="515" spans="1:16" x14ac:dyDescent="0.3">
      <c r="A515">
        <v>1005</v>
      </c>
      <c r="B515">
        <v>44820</v>
      </c>
      <c r="C515">
        <v>52</v>
      </c>
      <c r="D515">
        <v>25777</v>
      </c>
      <c r="E515" t="s">
        <v>14</v>
      </c>
      <c r="F515" t="s">
        <v>22</v>
      </c>
      <c r="G515" t="s">
        <v>40</v>
      </c>
      <c r="H515" t="s">
        <v>86</v>
      </c>
      <c r="I515" t="s">
        <v>9</v>
      </c>
      <c r="J515" t="s">
        <v>25</v>
      </c>
      <c r="K515" t="s">
        <v>26</v>
      </c>
      <c r="L515" t="s">
        <v>87</v>
      </c>
      <c r="M515" t="s">
        <v>35</v>
      </c>
      <c r="N515" t="s">
        <v>37</v>
      </c>
      <c r="O515" t="s">
        <v>18</v>
      </c>
      <c r="P515">
        <v>4</v>
      </c>
    </row>
    <row r="516" spans="1:16" x14ac:dyDescent="0.3">
      <c r="A516">
        <v>1006</v>
      </c>
      <c r="B516">
        <v>44423</v>
      </c>
      <c r="C516">
        <v>62</v>
      </c>
      <c r="D516">
        <v>21600</v>
      </c>
      <c r="E516" t="s">
        <v>14</v>
      </c>
      <c r="F516" t="s">
        <v>15</v>
      </c>
      <c r="G516" t="s">
        <v>17</v>
      </c>
      <c r="H516" t="s">
        <v>86</v>
      </c>
      <c r="I516" t="s">
        <v>9</v>
      </c>
      <c r="J516" t="s">
        <v>25</v>
      </c>
      <c r="K516" t="s">
        <v>11</v>
      </c>
      <c r="L516" t="s">
        <v>87</v>
      </c>
      <c r="M516" t="s">
        <v>42</v>
      </c>
      <c r="N516" t="s">
        <v>16</v>
      </c>
      <c r="O516" t="s">
        <v>18</v>
      </c>
      <c r="P516">
        <v>2</v>
      </c>
    </row>
    <row r="517" spans="1:16" x14ac:dyDescent="0.3">
      <c r="A517">
        <v>1007</v>
      </c>
      <c r="B517">
        <v>44129</v>
      </c>
      <c r="C517">
        <v>20</v>
      </c>
      <c r="D517">
        <v>36603</v>
      </c>
      <c r="E517" t="s">
        <v>14</v>
      </c>
      <c r="F517" t="s">
        <v>22</v>
      </c>
      <c r="G517" t="s">
        <v>17</v>
      </c>
      <c r="H517" t="s">
        <v>86</v>
      </c>
      <c r="I517" t="s">
        <v>66</v>
      </c>
      <c r="J517" t="s">
        <v>20</v>
      </c>
      <c r="K517" t="s">
        <v>19</v>
      </c>
      <c r="L517" t="s">
        <v>87</v>
      </c>
      <c r="M517" t="s">
        <v>32</v>
      </c>
      <c r="N517" t="s">
        <v>37</v>
      </c>
      <c r="O517" t="s">
        <v>18</v>
      </c>
      <c r="P517">
        <v>1</v>
      </c>
    </row>
    <row r="518" spans="1:16" x14ac:dyDescent="0.3">
      <c r="A518">
        <v>1008</v>
      </c>
      <c r="B518">
        <v>43705</v>
      </c>
      <c r="C518">
        <v>38</v>
      </c>
      <c r="D518">
        <v>29941</v>
      </c>
      <c r="E518" t="s">
        <v>14</v>
      </c>
      <c r="F518" t="s">
        <v>15</v>
      </c>
      <c r="G518" t="s">
        <v>34</v>
      </c>
      <c r="H518" t="s">
        <v>86</v>
      </c>
      <c r="I518" t="s">
        <v>9</v>
      </c>
      <c r="J518" t="s">
        <v>10</v>
      </c>
      <c r="K518" t="s">
        <v>26</v>
      </c>
      <c r="L518" t="s">
        <v>87</v>
      </c>
      <c r="M518" t="s">
        <v>32</v>
      </c>
      <c r="N518" t="s">
        <v>23</v>
      </c>
      <c r="O518" t="s">
        <v>18</v>
      </c>
      <c r="P518">
        <v>2</v>
      </c>
    </row>
    <row r="519" spans="1:16" x14ac:dyDescent="0.3">
      <c r="A519">
        <v>1009</v>
      </c>
      <c r="B519">
        <v>43629</v>
      </c>
      <c r="C519">
        <v>32</v>
      </c>
      <c r="D519">
        <v>31837</v>
      </c>
      <c r="E519" t="s">
        <v>14</v>
      </c>
      <c r="F519" t="s">
        <v>15</v>
      </c>
      <c r="G519" t="s">
        <v>31</v>
      </c>
      <c r="H519" t="s">
        <v>86</v>
      </c>
      <c r="I519" t="s">
        <v>9</v>
      </c>
      <c r="J519" t="s">
        <v>20</v>
      </c>
      <c r="K519" t="s">
        <v>11</v>
      </c>
      <c r="L519" t="s">
        <v>87</v>
      </c>
      <c r="M519" t="s">
        <v>32</v>
      </c>
      <c r="N519" t="s">
        <v>30</v>
      </c>
      <c r="O519" t="s">
        <v>18</v>
      </c>
      <c r="P519">
        <v>5</v>
      </c>
    </row>
    <row r="520" spans="1:16" x14ac:dyDescent="0.3">
      <c r="A520">
        <v>1010</v>
      </c>
      <c r="B520">
        <v>44208</v>
      </c>
      <c r="C520">
        <v>29</v>
      </c>
      <c r="D520">
        <v>33898</v>
      </c>
      <c r="E520" t="s">
        <v>14</v>
      </c>
      <c r="F520" t="s">
        <v>22</v>
      </c>
      <c r="G520" t="s">
        <v>40</v>
      </c>
      <c r="H520" t="s">
        <v>86</v>
      </c>
      <c r="I520" t="s">
        <v>66</v>
      </c>
      <c r="J520" t="s">
        <v>20</v>
      </c>
      <c r="K520" t="s">
        <v>11</v>
      </c>
      <c r="L520" t="s">
        <v>87</v>
      </c>
      <c r="M520" t="s">
        <v>35</v>
      </c>
      <c r="N520" t="s">
        <v>23</v>
      </c>
      <c r="O520" t="s">
        <v>18</v>
      </c>
      <c r="P520">
        <v>4</v>
      </c>
    </row>
    <row r="521" spans="1:16" x14ac:dyDescent="0.3">
      <c r="A521">
        <v>1011</v>
      </c>
      <c r="B521">
        <v>44599</v>
      </c>
      <c r="C521">
        <v>74</v>
      </c>
      <c r="D521">
        <v>17585</v>
      </c>
      <c r="E521" t="s">
        <v>14</v>
      </c>
      <c r="F521" t="s">
        <v>22</v>
      </c>
      <c r="G521" t="s">
        <v>34</v>
      </c>
      <c r="H521" t="s">
        <v>86</v>
      </c>
      <c r="I521" t="s">
        <v>66</v>
      </c>
      <c r="J521" t="s">
        <v>10</v>
      </c>
      <c r="K521" t="s">
        <v>19</v>
      </c>
      <c r="L521" t="s">
        <v>87</v>
      </c>
      <c r="M521" t="s">
        <v>32</v>
      </c>
      <c r="N521" t="s">
        <v>23</v>
      </c>
      <c r="O521" t="s">
        <v>18</v>
      </c>
      <c r="P521">
        <v>2</v>
      </c>
    </row>
    <row r="522" spans="1:16" x14ac:dyDescent="0.3">
      <c r="A522">
        <v>1012</v>
      </c>
      <c r="B522">
        <v>44144</v>
      </c>
      <c r="C522">
        <v>42</v>
      </c>
      <c r="D522">
        <v>28766</v>
      </c>
      <c r="E522" t="s">
        <v>14</v>
      </c>
      <c r="F522" t="s">
        <v>22</v>
      </c>
      <c r="G522" t="s">
        <v>31</v>
      </c>
      <c r="H522" t="s">
        <v>86</v>
      </c>
      <c r="I522" t="s">
        <v>66</v>
      </c>
      <c r="J522" t="s">
        <v>10</v>
      </c>
      <c r="K522" t="s">
        <v>19</v>
      </c>
      <c r="L522" t="s">
        <v>87</v>
      </c>
      <c r="M522" t="s">
        <v>38</v>
      </c>
      <c r="N522" t="s">
        <v>16</v>
      </c>
      <c r="O522" t="s">
        <v>18</v>
      </c>
      <c r="P522">
        <v>5</v>
      </c>
    </row>
    <row r="523" spans="1:16" x14ac:dyDescent="0.3">
      <c r="A523">
        <v>1013</v>
      </c>
      <c r="B523">
        <v>43964</v>
      </c>
      <c r="C523">
        <v>46</v>
      </c>
      <c r="D523">
        <v>27352</v>
      </c>
      <c r="E523" t="s">
        <v>14</v>
      </c>
      <c r="F523" t="s">
        <v>22</v>
      </c>
      <c r="G523" t="s">
        <v>31</v>
      </c>
      <c r="H523" t="s">
        <v>86</v>
      </c>
      <c r="I523" t="s">
        <v>9</v>
      </c>
      <c r="J523" t="s">
        <v>20</v>
      </c>
      <c r="K523" t="s">
        <v>26</v>
      </c>
      <c r="L523" t="s">
        <v>87</v>
      </c>
      <c r="M523" t="s">
        <v>42</v>
      </c>
      <c r="N523" t="s">
        <v>46</v>
      </c>
      <c r="O523" t="s">
        <v>18</v>
      </c>
      <c r="P523">
        <v>4</v>
      </c>
    </row>
    <row r="524" spans="1:16" x14ac:dyDescent="0.3">
      <c r="A524">
        <v>1014</v>
      </c>
      <c r="B524">
        <v>44926</v>
      </c>
      <c r="C524">
        <v>69</v>
      </c>
      <c r="D524">
        <v>19553</v>
      </c>
      <c r="E524" t="s">
        <v>14</v>
      </c>
      <c r="F524" t="s">
        <v>22</v>
      </c>
      <c r="G524" t="s">
        <v>31</v>
      </c>
      <c r="H524" t="s">
        <v>88</v>
      </c>
      <c r="I524" t="s">
        <v>9</v>
      </c>
      <c r="J524" t="s">
        <v>20</v>
      </c>
      <c r="K524" t="s">
        <v>19</v>
      </c>
      <c r="L524" t="s">
        <v>87</v>
      </c>
      <c r="M524" t="s">
        <v>60</v>
      </c>
      <c r="N524" t="s">
        <v>30</v>
      </c>
      <c r="O524" t="s">
        <v>18</v>
      </c>
      <c r="P524">
        <v>4</v>
      </c>
    </row>
    <row r="525" spans="1:16" x14ac:dyDescent="0.3">
      <c r="A525">
        <v>1015</v>
      </c>
      <c r="B525">
        <v>43437</v>
      </c>
      <c r="C525">
        <v>57</v>
      </c>
      <c r="D525">
        <v>22619</v>
      </c>
      <c r="E525" t="s">
        <v>14</v>
      </c>
      <c r="F525" t="s">
        <v>15</v>
      </c>
      <c r="G525" t="s">
        <v>34</v>
      </c>
      <c r="H525" t="s">
        <v>88</v>
      </c>
      <c r="I525" t="s">
        <v>9</v>
      </c>
      <c r="J525" t="s">
        <v>10</v>
      </c>
      <c r="K525" t="s">
        <v>19</v>
      </c>
      <c r="L525" t="s">
        <v>87</v>
      </c>
      <c r="M525" t="s">
        <v>62</v>
      </c>
      <c r="N525" t="s">
        <v>16</v>
      </c>
      <c r="O525" t="s">
        <v>18</v>
      </c>
      <c r="P525">
        <v>1</v>
      </c>
    </row>
    <row r="526" spans="1:16" x14ac:dyDescent="0.3">
      <c r="A526">
        <v>1016</v>
      </c>
      <c r="B526">
        <v>43882</v>
      </c>
      <c r="C526">
        <v>64</v>
      </c>
      <c r="D526">
        <v>20522</v>
      </c>
      <c r="E526" t="s">
        <v>14</v>
      </c>
      <c r="F526" t="s">
        <v>15</v>
      </c>
      <c r="G526" t="s">
        <v>31</v>
      </c>
      <c r="H526" t="s">
        <v>89</v>
      </c>
      <c r="I526" t="s">
        <v>9</v>
      </c>
      <c r="J526" t="s">
        <v>20</v>
      </c>
      <c r="K526" t="s">
        <v>26</v>
      </c>
      <c r="L526" t="s">
        <v>90</v>
      </c>
      <c r="M526" t="s">
        <v>58</v>
      </c>
      <c r="N526" t="s">
        <v>16</v>
      </c>
      <c r="O526" t="s">
        <v>18</v>
      </c>
      <c r="P526">
        <v>3</v>
      </c>
    </row>
    <row r="527" spans="1:16" x14ac:dyDescent="0.3">
      <c r="A527">
        <v>1017</v>
      </c>
      <c r="B527">
        <v>44081</v>
      </c>
      <c r="C527">
        <v>73</v>
      </c>
      <c r="D527">
        <v>17353</v>
      </c>
      <c r="E527" t="s">
        <v>14</v>
      </c>
      <c r="F527" t="s">
        <v>15</v>
      </c>
      <c r="G527" t="s">
        <v>31</v>
      </c>
      <c r="H527" t="s">
        <v>89</v>
      </c>
      <c r="I527" t="s">
        <v>9</v>
      </c>
      <c r="J527" t="s">
        <v>25</v>
      </c>
      <c r="K527" t="s">
        <v>26</v>
      </c>
      <c r="L527" t="s">
        <v>90</v>
      </c>
      <c r="M527" t="s">
        <v>35</v>
      </c>
      <c r="N527" t="s">
        <v>37</v>
      </c>
      <c r="O527" t="s">
        <v>18</v>
      </c>
      <c r="P527">
        <v>1</v>
      </c>
    </row>
    <row r="528" spans="1:16" x14ac:dyDescent="0.3">
      <c r="A528">
        <v>1018</v>
      </c>
      <c r="B528">
        <v>44001</v>
      </c>
      <c r="C528">
        <v>78</v>
      </c>
      <c r="D528">
        <v>15396</v>
      </c>
      <c r="E528" t="s">
        <v>14</v>
      </c>
      <c r="F528" t="s">
        <v>15</v>
      </c>
      <c r="G528" t="s">
        <v>34</v>
      </c>
      <c r="H528" t="s">
        <v>89</v>
      </c>
      <c r="I528" t="s">
        <v>9</v>
      </c>
      <c r="J528" t="s">
        <v>20</v>
      </c>
      <c r="K528" t="s">
        <v>19</v>
      </c>
      <c r="L528" t="s">
        <v>90</v>
      </c>
      <c r="M528" t="s">
        <v>32</v>
      </c>
      <c r="N528" t="s">
        <v>16</v>
      </c>
      <c r="O528" t="s">
        <v>18</v>
      </c>
      <c r="P528">
        <v>1</v>
      </c>
    </row>
    <row r="529" spans="1:16" x14ac:dyDescent="0.3">
      <c r="A529">
        <v>1019</v>
      </c>
      <c r="B529">
        <v>44848</v>
      </c>
      <c r="C529">
        <v>44</v>
      </c>
      <c r="D529">
        <v>28822</v>
      </c>
      <c r="E529" t="s">
        <v>14</v>
      </c>
      <c r="F529" t="s">
        <v>22</v>
      </c>
      <c r="G529" t="s">
        <v>17</v>
      </c>
      <c r="H529" t="s">
        <v>86</v>
      </c>
      <c r="I529" t="s">
        <v>66</v>
      </c>
      <c r="J529" t="s">
        <v>25</v>
      </c>
      <c r="K529" t="s">
        <v>19</v>
      </c>
      <c r="L529" t="s">
        <v>87</v>
      </c>
      <c r="M529" t="s">
        <v>55</v>
      </c>
      <c r="N529" t="s">
        <v>23</v>
      </c>
      <c r="O529" t="s">
        <v>18</v>
      </c>
      <c r="P529">
        <v>3</v>
      </c>
    </row>
    <row r="530" spans="1:16" x14ac:dyDescent="0.3">
      <c r="A530">
        <v>1020</v>
      </c>
      <c r="B530">
        <v>45097</v>
      </c>
      <c r="C530">
        <v>33</v>
      </c>
      <c r="D530">
        <v>33227</v>
      </c>
      <c r="E530" t="s">
        <v>14</v>
      </c>
      <c r="F530" t="s">
        <v>15</v>
      </c>
      <c r="G530" t="s">
        <v>17</v>
      </c>
      <c r="H530" t="s">
        <v>86</v>
      </c>
      <c r="I530" t="s">
        <v>66</v>
      </c>
      <c r="J530" t="s">
        <v>10</v>
      </c>
      <c r="K530" t="s">
        <v>11</v>
      </c>
      <c r="L530" t="s">
        <v>87</v>
      </c>
      <c r="M530" t="s">
        <v>35</v>
      </c>
      <c r="N530" t="s">
        <v>37</v>
      </c>
      <c r="O530" t="s">
        <v>18</v>
      </c>
      <c r="P530">
        <v>1</v>
      </c>
    </row>
    <row r="531" spans="1:16" x14ac:dyDescent="0.3">
      <c r="A531">
        <v>1021</v>
      </c>
      <c r="B531">
        <v>44144</v>
      </c>
      <c r="C531">
        <v>31</v>
      </c>
      <c r="D531">
        <v>32533</v>
      </c>
      <c r="E531" t="s">
        <v>14</v>
      </c>
      <c r="F531" t="s">
        <v>22</v>
      </c>
      <c r="G531" t="s">
        <v>31</v>
      </c>
      <c r="H531" t="s">
        <v>86</v>
      </c>
      <c r="I531" t="s">
        <v>66</v>
      </c>
      <c r="J531" t="s">
        <v>25</v>
      </c>
      <c r="K531" t="s">
        <v>11</v>
      </c>
      <c r="L531" t="s">
        <v>87</v>
      </c>
      <c r="M531" t="s">
        <v>38</v>
      </c>
      <c r="N531" t="s">
        <v>23</v>
      </c>
      <c r="O531" t="s">
        <v>18</v>
      </c>
      <c r="P531">
        <v>1</v>
      </c>
    </row>
    <row r="532" spans="1:16" x14ac:dyDescent="0.3">
      <c r="A532">
        <v>1022</v>
      </c>
      <c r="B532">
        <v>44823</v>
      </c>
      <c r="C532">
        <v>60</v>
      </c>
      <c r="D532">
        <v>22808</v>
      </c>
      <c r="E532" t="s">
        <v>14</v>
      </c>
      <c r="F532" t="s">
        <v>22</v>
      </c>
      <c r="G532" t="s">
        <v>40</v>
      </c>
      <c r="H532" t="s">
        <v>86</v>
      </c>
      <c r="I532" t="s">
        <v>9</v>
      </c>
      <c r="J532" t="s">
        <v>20</v>
      </c>
      <c r="K532" t="s">
        <v>19</v>
      </c>
      <c r="L532" t="s">
        <v>87</v>
      </c>
      <c r="M532" t="s">
        <v>35</v>
      </c>
      <c r="N532" t="s">
        <v>37</v>
      </c>
      <c r="O532" t="s">
        <v>18</v>
      </c>
      <c r="P532">
        <v>4</v>
      </c>
    </row>
    <row r="533" spans="1:16" x14ac:dyDescent="0.3">
      <c r="A533">
        <v>1023</v>
      </c>
      <c r="B533">
        <v>43413</v>
      </c>
      <c r="C533">
        <v>26</v>
      </c>
      <c r="D533">
        <v>33699</v>
      </c>
      <c r="E533" t="s">
        <v>14</v>
      </c>
      <c r="F533" t="s">
        <v>22</v>
      </c>
      <c r="G533" t="s">
        <v>40</v>
      </c>
      <c r="H533" t="s">
        <v>88</v>
      </c>
      <c r="I533" t="s">
        <v>9</v>
      </c>
      <c r="J533" t="s">
        <v>10</v>
      </c>
      <c r="K533" t="s">
        <v>11</v>
      </c>
      <c r="L533" t="s">
        <v>87</v>
      </c>
      <c r="M533" t="s">
        <v>32</v>
      </c>
      <c r="N533" t="s">
        <v>23</v>
      </c>
      <c r="O533" t="s">
        <v>18</v>
      </c>
      <c r="P533">
        <v>4</v>
      </c>
    </row>
    <row r="534" spans="1:16" x14ac:dyDescent="0.3">
      <c r="A534">
        <v>1024</v>
      </c>
      <c r="B534">
        <v>43464</v>
      </c>
      <c r="C534">
        <v>31</v>
      </c>
      <c r="D534">
        <v>31866</v>
      </c>
      <c r="E534" t="s">
        <v>14</v>
      </c>
      <c r="F534" t="s">
        <v>15</v>
      </c>
      <c r="G534" t="s">
        <v>40</v>
      </c>
      <c r="H534" t="s">
        <v>88</v>
      </c>
      <c r="I534" t="s">
        <v>9</v>
      </c>
      <c r="J534" t="s">
        <v>10</v>
      </c>
      <c r="K534" t="s">
        <v>19</v>
      </c>
      <c r="L534" t="s">
        <v>87</v>
      </c>
      <c r="M534" t="s">
        <v>55</v>
      </c>
      <c r="N534" t="s">
        <v>30</v>
      </c>
      <c r="O534" t="s">
        <v>18</v>
      </c>
      <c r="P534">
        <v>3</v>
      </c>
    </row>
    <row r="535" spans="1:16" x14ac:dyDescent="0.3">
      <c r="A535">
        <v>1025</v>
      </c>
      <c r="B535">
        <v>45057</v>
      </c>
      <c r="C535">
        <v>63</v>
      </c>
      <c r="D535">
        <v>22233</v>
      </c>
      <c r="E535" t="s">
        <v>14</v>
      </c>
      <c r="F535" t="s">
        <v>15</v>
      </c>
      <c r="G535" t="s">
        <v>40</v>
      </c>
      <c r="H535" t="s">
        <v>89</v>
      </c>
      <c r="I535" t="s">
        <v>9</v>
      </c>
      <c r="J535" t="s">
        <v>25</v>
      </c>
      <c r="K535" t="s">
        <v>19</v>
      </c>
      <c r="L535" t="s">
        <v>90</v>
      </c>
      <c r="M535" t="s">
        <v>35</v>
      </c>
      <c r="N535" t="s">
        <v>30</v>
      </c>
      <c r="O535" t="s">
        <v>18</v>
      </c>
      <c r="P535">
        <v>1</v>
      </c>
    </row>
    <row r="536" spans="1:16" x14ac:dyDescent="0.3">
      <c r="A536">
        <v>1026</v>
      </c>
      <c r="B536">
        <v>44868</v>
      </c>
      <c r="C536">
        <v>72</v>
      </c>
      <c r="D536">
        <v>18574</v>
      </c>
      <c r="E536" t="s">
        <v>14</v>
      </c>
      <c r="F536" t="s">
        <v>15</v>
      </c>
      <c r="G536" t="s">
        <v>17</v>
      </c>
      <c r="H536" t="s">
        <v>89</v>
      </c>
      <c r="I536" t="s">
        <v>9</v>
      </c>
      <c r="J536" t="s">
        <v>10</v>
      </c>
      <c r="K536" t="s">
        <v>19</v>
      </c>
      <c r="L536" t="s">
        <v>90</v>
      </c>
      <c r="M536" t="s">
        <v>42</v>
      </c>
      <c r="N536" t="s">
        <v>30</v>
      </c>
      <c r="O536" t="s">
        <v>18</v>
      </c>
      <c r="P536">
        <v>2</v>
      </c>
    </row>
    <row r="537" spans="1:16" x14ac:dyDescent="0.3">
      <c r="A537">
        <v>1027</v>
      </c>
      <c r="B537">
        <v>43996</v>
      </c>
      <c r="C537">
        <v>58</v>
      </c>
      <c r="D537">
        <v>23001</v>
      </c>
      <c r="E537" t="s">
        <v>14</v>
      </c>
      <c r="F537" t="s">
        <v>22</v>
      </c>
      <c r="G537" t="s">
        <v>31</v>
      </c>
      <c r="H537" t="s">
        <v>89</v>
      </c>
      <c r="I537" t="s">
        <v>9</v>
      </c>
      <c r="J537" t="s">
        <v>20</v>
      </c>
      <c r="K537" t="s">
        <v>19</v>
      </c>
      <c r="L537" t="s">
        <v>90</v>
      </c>
      <c r="M537" t="s">
        <v>32</v>
      </c>
      <c r="N537" t="s">
        <v>30</v>
      </c>
      <c r="O537" t="s">
        <v>18</v>
      </c>
      <c r="P537">
        <v>3</v>
      </c>
    </row>
    <row r="538" spans="1:16" x14ac:dyDescent="0.3">
      <c r="A538">
        <v>1028</v>
      </c>
      <c r="B538">
        <v>43753</v>
      </c>
      <c r="C538">
        <v>19</v>
      </c>
      <c r="D538">
        <v>36821</v>
      </c>
      <c r="E538" t="s">
        <v>14</v>
      </c>
      <c r="F538" t="s">
        <v>22</v>
      </c>
      <c r="G538" t="s">
        <v>31</v>
      </c>
      <c r="H538" t="s">
        <v>86</v>
      </c>
      <c r="I538" t="s">
        <v>66</v>
      </c>
      <c r="J538" t="s">
        <v>25</v>
      </c>
      <c r="K538" t="s">
        <v>11</v>
      </c>
      <c r="L538" t="s">
        <v>87</v>
      </c>
      <c r="M538" t="s">
        <v>32</v>
      </c>
      <c r="N538" t="s">
        <v>46</v>
      </c>
      <c r="O538" t="s">
        <v>18</v>
      </c>
      <c r="P538">
        <v>5</v>
      </c>
    </row>
    <row r="539" spans="1:16" x14ac:dyDescent="0.3">
      <c r="A539">
        <v>1029</v>
      </c>
      <c r="B539">
        <v>43949</v>
      </c>
      <c r="C539">
        <v>41</v>
      </c>
      <c r="D539">
        <v>29007</v>
      </c>
      <c r="E539" t="s">
        <v>14</v>
      </c>
      <c r="F539" t="s">
        <v>15</v>
      </c>
      <c r="G539" t="s">
        <v>40</v>
      </c>
      <c r="H539" t="s">
        <v>86</v>
      </c>
      <c r="I539" t="s">
        <v>9</v>
      </c>
      <c r="J539" t="s">
        <v>20</v>
      </c>
      <c r="K539" t="s">
        <v>26</v>
      </c>
      <c r="L539" t="s">
        <v>87</v>
      </c>
      <c r="M539" t="s">
        <v>35</v>
      </c>
      <c r="N539" t="s">
        <v>46</v>
      </c>
      <c r="O539" t="s">
        <v>18</v>
      </c>
      <c r="P539">
        <v>5</v>
      </c>
    </row>
    <row r="540" spans="1:16" x14ac:dyDescent="0.3">
      <c r="A540">
        <v>1030</v>
      </c>
      <c r="B540">
        <v>43767</v>
      </c>
      <c r="C540">
        <v>64</v>
      </c>
      <c r="D540">
        <v>20276</v>
      </c>
      <c r="E540" t="s">
        <v>14</v>
      </c>
      <c r="F540" t="s">
        <v>22</v>
      </c>
      <c r="G540" t="s">
        <v>31</v>
      </c>
      <c r="H540" t="s">
        <v>86</v>
      </c>
      <c r="I540" t="s">
        <v>9</v>
      </c>
      <c r="J540" t="s">
        <v>10</v>
      </c>
      <c r="K540" t="s">
        <v>11</v>
      </c>
      <c r="L540" t="s">
        <v>87</v>
      </c>
      <c r="M540" t="s">
        <v>35</v>
      </c>
      <c r="N540" t="s">
        <v>37</v>
      </c>
      <c r="O540" t="s">
        <v>18</v>
      </c>
      <c r="P540">
        <v>4</v>
      </c>
    </row>
    <row r="541" spans="1:16" x14ac:dyDescent="0.3">
      <c r="A541">
        <v>1031</v>
      </c>
      <c r="B541">
        <v>44314</v>
      </c>
      <c r="C541">
        <v>49</v>
      </c>
      <c r="D541">
        <v>26601</v>
      </c>
      <c r="E541" t="s">
        <v>14</v>
      </c>
      <c r="F541" t="s">
        <v>22</v>
      </c>
      <c r="G541" t="s">
        <v>17</v>
      </c>
      <c r="H541" t="s">
        <v>86</v>
      </c>
      <c r="I541" t="s">
        <v>9</v>
      </c>
      <c r="J541" t="s">
        <v>20</v>
      </c>
      <c r="K541" t="s">
        <v>26</v>
      </c>
      <c r="L541" t="s">
        <v>87</v>
      </c>
      <c r="M541" t="s">
        <v>32</v>
      </c>
      <c r="N541" t="s">
        <v>16</v>
      </c>
      <c r="O541" t="s">
        <v>18</v>
      </c>
      <c r="P541">
        <v>3</v>
      </c>
    </row>
    <row r="542" spans="1:16" x14ac:dyDescent="0.3">
      <c r="A542">
        <v>1032</v>
      </c>
      <c r="B542">
        <v>44670</v>
      </c>
      <c r="C542">
        <v>68</v>
      </c>
      <c r="D542">
        <v>19906</v>
      </c>
      <c r="E542" t="s">
        <v>14</v>
      </c>
      <c r="F542" t="s">
        <v>22</v>
      </c>
      <c r="G542" t="s">
        <v>17</v>
      </c>
      <c r="H542" t="s">
        <v>86</v>
      </c>
      <c r="I542" t="s">
        <v>9</v>
      </c>
      <c r="J542" t="s">
        <v>25</v>
      </c>
      <c r="K542" t="s">
        <v>11</v>
      </c>
      <c r="L542" t="s">
        <v>87</v>
      </c>
      <c r="M542" t="s">
        <v>21</v>
      </c>
      <c r="N542" t="s">
        <v>46</v>
      </c>
      <c r="O542" t="s">
        <v>18</v>
      </c>
      <c r="P542">
        <v>4</v>
      </c>
    </row>
    <row r="543" spans="1:16" x14ac:dyDescent="0.3">
      <c r="A543">
        <v>1033</v>
      </c>
      <c r="B543">
        <v>45013</v>
      </c>
      <c r="C543">
        <v>26</v>
      </c>
      <c r="D543">
        <v>35517</v>
      </c>
      <c r="E543" t="s">
        <v>14</v>
      </c>
      <c r="F543" t="s">
        <v>22</v>
      </c>
      <c r="G543" t="s">
        <v>31</v>
      </c>
      <c r="H543" t="s">
        <v>88</v>
      </c>
      <c r="I543" t="s">
        <v>9</v>
      </c>
      <c r="J543" t="s">
        <v>10</v>
      </c>
      <c r="K543" t="s">
        <v>26</v>
      </c>
      <c r="L543" t="s">
        <v>87</v>
      </c>
      <c r="M543" t="s">
        <v>35</v>
      </c>
      <c r="N543" t="s">
        <v>30</v>
      </c>
      <c r="O543" t="s">
        <v>18</v>
      </c>
      <c r="P543">
        <v>1</v>
      </c>
    </row>
    <row r="544" spans="1:16" x14ac:dyDescent="0.3">
      <c r="A544">
        <v>1034</v>
      </c>
      <c r="B544">
        <v>43591</v>
      </c>
      <c r="C544">
        <v>42</v>
      </c>
      <c r="D544">
        <v>28467</v>
      </c>
      <c r="E544" t="s">
        <v>14</v>
      </c>
      <c r="F544" t="s">
        <v>15</v>
      </c>
      <c r="G544" t="s">
        <v>31</v>
      </c>
      <c r="H544" t="s">
        <v>88</v>
      </c>
      <c r="I544" t="s">
        <v>9</v>
      </c>
      <c r="J544" t="s">
        <v>25</v>
      </c>
      <c r="K544" t="s">
        <v>11</v>
      </c>
      <c r="L544" t="s">
        <v>87</v>
      </c>
      <c r="M544" t="s">
        <v>54</v>
      </c>
      <c r="N544" t="s">
        <v>37</v>
      </c>
      <c r="O544" t="s">
        <v>18</v>
      </c>
      <c r="P544">
        <v>5</v>
      </c>
    </row>
    <row r="545" spans="1:16" x14ac:dyDescent="0.3">
      <c r="A545">
        <v>1035</v>
      </c>
      <c r="B545">
        <v>44117</v>
      </c>
      <c r="C545">
        <v>41</v>
      </c>
      <c r="D545">
        <v>28902</v>
      </c>
      <c r="E545" t="s">
        <v>14</v>
      </c>
      <c r="F545" t="s">
        <v>15</v>
      </c>
      <c r="G545" t="s">
        <v>40</v>
      </c>
      <c r="H545" t="s">
        <v>89</v>
      </c>
      <c r="I545" t="s">
        <v>9</v>
      </c>
      <c r="J545" t="s">
        <v>25</v>
      </c>
      <c r="K545" t="s">
        <v>19</v>
      </c>
      <c r="L545" t="s">
        <v>90</v>
      </c>
      <c r="M545" t="s">
        <v>69</v>
      </c>
      <c r="N545" t="s">
        <v>46</v>
      </c>
      <c r="O545" t="s">
        <v>18</v>
      </c>
      <c r="P545">
        <v>5</v>
      </c>
    </row>
    <row r="546" spans="1:16" x14ac:dyDescent="0.3">
      <c r="A546">
        <v>1036</v>
      </c>
      <c r="B546">
        <v>44383</v>
      </c>
      <c r="C546">
        <v>28</v>
      </c>
      <c r="D546">
        <v>34189</v>
      </c>
      <c r="E546" t="s">
        <v>14</v>
      </c>
      <c r="F546" t="s">
        <v>22</v>
      </c>
      <c r="G546" t="s">
        <v>31</v>
      </c>
      <c r="H546" t="s">
        <v>89</v>
      </c>
      <c r="I546" t="s">
        <v>9</v>
      </c>
      <c r="J546" t="s">
        <v>20</v>
      </c>
      <c r="K546" t="s">
        <v>19</v>
      </c>
      <c r="L546" t="s">
        <v>90</v>
      </c>
      <c r="M546" t="s">
        <v>35</v>
      </c>
      <c r="N546" t="s">
        <v>46</v>
      </c>
      <c r="O546" t="s">
        <v>18</v>
      </c>
      <c r="P546">
        <v>2</v>
      </c>
    </row>
    <row r="547" spans="1:16" x14ac:dyDescent="0.3">
      <c r="A547">
        <v>1037</v>
      </c>
      <c r="B547">
        <v>44098</v>
      </c>
      <c r="C547">
        <v>27</v>
      </c>
      <c r="D547">
        <v>34177</v>
      </c>
      <c r="E547" t="s">
        <v>14</v>
      </c>
      <c r="F547" t="s">
        <v>22</v>
      </c>
      <c r="G547" t="s">
        <v>17</v>
      </c>
      <c r="H547" t="s">
        <v>86</v>
      </c>
      <c r="I547" t="s">
        <v>66</v>
      </c>
      <c r="J547" t="s">
        <v>20</v>
      </c>
      <c r="K547" t="s">
        <v>11</v>
      </c>
      <c r="L547" t="s">
        <v>87</v>
      </c>
      <c r="M547" t="s">
        <v>55</v>
      </c>
      <c r="N547" t="s">
        <v>30</v>
      </c>
      <c r="O547" t="s">
        <v>18</v>
      </c>
      <c r="P547">
        <v>1</v>
      </c>
    </row>
    <row r="548" spans="1:16" x14ac:dyDescent="0.3">
      <c r="A548">
        <v>1038</v>
      </c>
      <c r="B548">
        <v>44944</v>
      </c>
      <c r="C548">
        <v>52</v>
      </c>
      <c r="D548">
        <v>26057</v>
      </c>
      <c r="E548" t="s">
        <v>14</v>
      </c>
      <c r="F548" t="s">
        <v>22</v>
      </c>
      <c r="G548" t="s">
        <v>34</v>
      </c>
      <c r="H548" t="s">
        <v>86</v>
      </c>
      <c r="I548" t="s">
        <v>9</v>
      </c>
      <c r="J548" t="s">
        <v>10</v>
      </c>
      <c r="K548" t="s">
        <v>26</v>
      </c>
      <c r="L548" t="s">
        <v>87</v>
      </c>
      <c r="M548" t="s">
        <v>35</v>
      </c>
      <c r="N548" t="s">
        <v>23</v>
      </c>
      <c r="O548" t="s">
        <v>18</v>
      </c>
      <c r="P548">
        <v>1</v>
      </c>
    </row>
    <row r="549" spans="1:16" x14ac:dyDescent="0.3">
      <c r="A549">
        <v>1039</v>
      </c>
      <c r="B549">
        <v>43699</v>
      </c>
      <c r="C549">
        <v>37</v>
      </c>
      <c r="D549">
        <v>30272</v>
      </c>
      <c r="E549" t="s">
        <v>14</v>
      </c>
      <c r="F549" t="s">
        <v>15</v>
      </c>
      <c r="G549" t="s">
        <v>17</v>
      </c>
      <c r="H549" t="s">
        <v>86</v>
      </c>
      <c r="I549" t="s">
        <v>66</v>
      </c>
      <c r="J549" t="s">
        <v>20</v>
      </c>
      <c r="K549" t="s">
        <v>26</v>
      </c>
      <c r="L549" t="s">
        <v>87</v>
      </c>
      <c r="M549" t="s">
        <v>13</v>
      </c>
      <c r="N549" t="s">
        <v>30</v>
      </c>
      <c r="O549" t="s">
        <v>18</v>
      </c>
      <c r="P549">
        <v>4</v>
      </c>
    </row>
    <row r="550" spans="1:16" x14ac:dyDescent="0.3">
      <c r="A550">
        <v>1040</v>
      </c>
      <c r="B550">
        <v>43671</v>
      </c>
      <c r="C550">
        <v>47</v>
      </c>
      <c r="D550">
        <v>26414</v>
      </c>
      <c r="E550" t="s">
        <v>14</v>
      </c>
      <c r="F550" t="s">
        <v>22</v>
      </c>
      <c r="G550" t="s">
        <v>40</v>
      </c>
      <c r="H550" t="s">
        <v>86</v>
      </c>
      <c r="I550" t="s">
        <v>66</v>
      </c>
      <c r="J550" t="s">
        <v>10</v>
      </c>
      <c r="K550" t="s">
        <v>19</v>
      </c>
      <c r="L550" t="s">
        <v>87</v>
      </c>
      <c r="M550" t="s">
        <v>35</v>
      </c>
      <c r="N550" t="s">
        <v>16</v>
      </c>
      <c r="O550" t="s">
        <v>18</v>
      </c>
      <c r="P550">
        <v>3</v>
      </c>
    </row>
    <row r="551" spans="1:16" x14ac:dyDescent="0.3">
      <c r="A551">
        <v>1041</v>
      </c>
      <c r="B551">
        <v>43780</v>
      </c>
      <c r="C551">
        <v>43</v>
      </c>
      <c r="D551">
        <v>28068</v>
      </c>
      <c r="E551" t="s">
        <v>14</v>
      </c>
      <c r="F551" t="s">
        <v>22</v>
      </c>
      <c r="G551" t="s">
        <v>31</v>
      </c>
      <c r="H551" t="s">
        <v>86</v>
      </c>
      <c r="I551" t="s">
        <v>66</v>
      </c>
      <c r="J551" t="s">
        <v>25</v>
      </c>
      <c r="K551" t="s">
        <v>19</v>
      </c>
      <c r="L551" t="s">
        <v>87</v>
      </c>
      <c r="M551" t="s">
        <v>42</v>
      </c>
      <c r="N551" t="s">
        <v>16</v>
      </c>
      <c r="O551" t="s">
        <v>18</v>
      </c>
      <c r="P551">
        <v>1</v>
      </c>
    </row>
    <row r="552" spans="1:16" x14ac:dyDescent="0.3">
      <c r="A552">
        <v>1042</v>
      </c>
      <c r="B552">
        <v>44758</v>
      </c>
      <c r="C552">
        <v>80</v>
      </c>
      <c r="D552">
        <v>15571</v>
      </c>
      <c r="E552" t="s">
        <v>14</v>
      </c>
      <c r="F552" t="s">
        <v>22</v>
      </c>
      <c r="G552" t="s">
        <v>17</v>
      </c>
      <c r="H552" t="s">
        <v>86</v>
      </c>
      <c r="I552" t="s">
        <v>9</v>
      </c>
      <c r="J552" t="s">
        <v>10</v>
      </c>
      <c r="K552" t="s">
        <v>26</v>
      </c>
      <c r="L552" t="s">
        <v>87</v>
      </c>
      <c r="M552" t="s">
        <v>35</v>
      </c>
      <c r="N552" t="s">
        <v>37</v>
      </c>
      <c r="O552" t="s">
        <v>18</v>
      </c>
      <c r="P552">
        <v>3</v>
      </c>
    </row>
    <row r="553" spans="1:16" x14ac:dyDescent="0.3">
      <c r="A553">
        <v>1043</v>
      </c>
      <c r="B553">
        <v>44914</v>
      </c>
      <c r="C553">
        <v>67</v>
      </c>
      <c r="D553">
        <v>20439</v>
      </c>
      <c r="E553" t="s">
        <v>14</v>
      </c>
      <c r="F553" t="s">
        <v>15</v>
      </c>
      <c r="G553" t="s">
        <v>34</v>
      </c>
      <c r="H553" t="s">
        <v>88</v>
      </c>
      <c r="I553" t="s">
        <v>9</v>
      </c>
      <c r="J553" t="s">
        <v>25</v>
      </c>
      <c r="K553" t="s">
        <v>11</v>
      </c>
      <c r="L553" t="s">
        <v>87</v>
      </c>
      <c r="M553" t="s">
        <v>49</v>
      </c>
      <c r="N553" t="s">
        <v>16</v>
      </c>
      <c r="O553" t="s">
        <v>18</v>
      </c>
      <c r="P553">
        <v>1</v>
      </c>
    </row>
    <row r="554" spans="1:16" x14ac:dyDescent="0.3">
      <c r="A554">
        <v>1044</v>
      </c>
      <c r="B554">
        <v>44089</v>
      </c>
      <c r="C554">
        <v>64</v>
      </c>
      <c r="D554">
        <v>20714</v>
      </c>
      <c r="E554" t="s">
        <v>14</v>
      </c>
      <c r="F554" t="s">
        <v>15</v>
      </c>
      <c r="G554" t="s">
        <v>40</v>
      </c>
      <c r="H554" t="s">
        <v>88</v>
      </c>
      <c r="I554" t="s">
        <v>9</v>
      </c>
      <c r="J554" t="s">
        <v>10</v>
      </c>
      <c r="K554" t="s">
        <v>19</v>
      </c>
      <c r="L554" t="s">
        <v>87</v>
      </c>
      <c r="M554" t="s">
        <v>35</v>
      </c>
      <c r="N554" t="s">
        <v>23</v>
      </c>
      <c r="O554" t="s">
        <v>18</v>
      </c>
      <c r="P554">
        <v>4</v>
      </c>
    </row>
    <row r="555" spans="1:16" x14ac:dyDescent="0.3">
      <c r="A555">
        <v>1045</v>
      </c>
      <c r="B555">
        <v>44108</v>
      </c>
      <c r="C555">
        <v>57</v>
      </c>
      <c r="D555">
        <v>23172</v>
      </c>
      <c r="E555" t="s">
        <v>14</v>
      </c>
      <c r="F555" t="s">
        <v>15</v>
      </c>
      <c r="G555" t="s">
        <v>31</v>
      </c>
      <c r="H555" t="s">
        <v>89</v>
      </c>
      <c r="I555" t="s">
        <v>9</v>
      </c>
      <c r="J555" t="s">
        <v>25</v>
      </c>
      <c r="K555" t="s">
        <v>11</v>
      </c>
      <c r="L555" t="s">
        <v>90</v>
      </c>
      <c r="M555" t="s">
        <v>60</v>
      </c>
      <c r="N555" t="s">
        <v>37</v>
      </c>
      <c r="O555" t="s">
        <v>18</v>
      </c>
      <c r="P555">
        <v>4</v>
      </c>
    </row>
    <row r="556" spans="1:16" x14ac:dyDescent="0.3">
      <c r="A556">
        <v>1046</v>
      </c>
      <c r="B556">
        <v>44674</v>
      </c>
      <c r="C556">
        <v>60</v>
      </c>
      <c r="D556">
        <v>22967</v>
      </c>
      <c r="E556" t="s">
        <v>14</v>
      </c>
      <c r="F556" t="s">
        <v>22</v>
      </c>
      <c r="G556" t="s">
        <v>31</v>
      </c>
      <c r="H556" t="s">
        <v>86</v>
      </c>
      <c r="I556" t="s">
        <v>66</v>
      </c>
      <c r="J556" t="s">
        <v>25</v>
      </c>
      <c r="K556" t="s">
        <v>19</v>
      </c>
      <c r="L556" t="s">
        <v>87</v>
      </c>
      <c r="M556" t="s">
        <v>69</v>
      </c>
      <c r="N556" t="s">
        <v>16</v>
      </c>
      <c r="O556" t="s">
        <v>18</v>
      </c>
      <c r="P556">
        <v>5</v>
      </c>
    </row>
    <row r="557" spans="1:16" x14ac:dyDescent="0.3">
      <c r="A557">
        <v>1047</v>
      </c>
      <c r="B557">
        <v>44527</v>
      </c>
      <c r="C557">
        <v>74</v>
      </c>
      <c r="D557">
        <v>17495</v>
      </c>
      <c r="E557" t="s">
        <v>14</v>
      </c>
      <c r="F557" t="s">
        <v>15</v>
      </c>
      <c r="G557" t="s">
        <v>31</v>
      </c>
      <c r="H557" t="s">
        <v>86</v>
      </c>
      <c r="I557" t="s">
        <v>9</v>
      </c>
      <c r="J557" t="s">
        <v>10</v>
      </c>
      <c r="K557" t="s">
        <v>19</v>
      </c>
      <c r="L557" t="s">
        <v>87</v>
      </c>
      <c r="M557" t="s">
        <v>35</v>
      </c>
      <c r="N557" t="s">
        <v>23</v>
      </c>
      <c r="O557" t="s">
        <v>18</v>
      </c>
      <c r="P557">
        <v>2</v>
      </c>
    </row>
    <row r="558" spans="1:16" x14ac:dyDescent="0.3">
      <c r="A558">
        <v>1048</v>
      </c>
      <c r="B558">
        <v>43798</v>
      </c>
      <c r="C558">
        <v>63</v>
      </c>
      <c r="D558">
        <v>20655</v>
      </c>
      <c r="E558" t="s">
        <v>14</v>
      </c>
      <c r="F558" t="s">
        <v>22</v>
      </c>
      <c r="G558" t="s">
        <v>17</v>
      </c>
      <c r="H558" t="s">
        <v>86</v>
      </c>
      <c r="I558" t="s">
        <v>9</v>
      </c>
      <c r="J558" t="s">
        <v>20</v>
      </c>
      <c r="K558" t="s">
        <v>19</v>
      </c>
      <c r="L558" t="s">
        <v>87</v>
      </c>
      <c r="M558" t="s">
        <v>32</v>
      </c>
      <c r="N558" t="s">
        <v>46</v>
      </c>
      <c r="O558" t="s">
        <v>18</v>
      </c>
      <c r="P558">
        <v>1</v>
      </c>
    </row>
    <row r="559" spans="1:16" x14ac:dyDescent="0.3">
      <c r="A559">
        <v>1049</v>
      </c>
      <c r="B559">
        <v>43615</v>
      </c>
      <c r="C559">
        <v>65</v>
      </c>
      <c r="D559">
        <v>19993</v>
      </c>
      <c r="E559" t="s">
        <v>14</v>
      </c>
      <c r="F559" t="s">
        <v>22</v>
      </c>
      <c r="G559" t="s">
        <v>34</v>
      </c>
      <c r="H559" t="s">
        <v>86</v>
      </c>
      <c r="I559" t="s">
        <v>66</v>
      </c>
      <c r="J559" t="s">
        <v>20</v>
      </c>
      <c r="K559" t="s">
        <v>26</v>
      </c>
      <c r="L559" t="s">
        <v>87</v>
      </c>
      <c r="M559" t="s">
        <v>35</v>
      </c>
      <c r="N559" t="s">
        <v>16</v>
      </c>
      <c r="O559" t="s">
        <v>18</v>
      </c>
      <c r="P559">
        <v>5</v>
      </c>
    </row>
    <row r="560" spans="1:16" x14ac:dyDescent="0.3">
      <c r="A560">
        <v>1050</v>
      </c>
      <c r="B560">
        <v>44158</v>
      </c>
      <c r="C560">
        <v>27</v>
      </c>
      <c r="D560">
        <v>34154</v>
      </c>
      <c r="E560" t="s">
        <v>14</v>
      </c>
      <c r="F560" t="s">
        <v>22</v>
      </c>
      <c r="G560" t="s">
        <v>17</v>
      </c>
      <c r="H560" t="s">
        <v>86</v>
      </c>
      <c r="I560" t="s">
        <v>9</v>
      </c>
      <c r="J560" t="s">
        <v>10</v>
      </c>
      <c r="K560" t="s">
        <v>26</v>
      </c>
      <c r="L560" t="s">
        <v>87</v>
      </c>
      <c r="M560" t="s">
        <v>13</v>
      </c>
      <c r="N560" t="s">
        <v>37</v>
      </c>
      <c r="O560" t="s">
        <v>18</v>
      </c>
      <c r="P560">
        <v>5</v>
      </c>
    </row>
    <row r="561" spans="1:16" x14ac:dyDescent="0.3">
      <c r="A561">
        <v>1051</v>
      </c>
      <c r="B561">
        <v>44659</v>
      </c>
      <c r="C561">
        <v>41</v>
      </c>
      <c r="D561">
        <v>29705</v>
      </c>
      <c r="E561" t="s">
        <v>14</v>
      </c>
      <c r="F561" t="s">
        <v>22</v>
      </c>
      <c r="G561" t="s">
        <v>40</v>
      </c>
      <c r="H561" t="s">
        <v>86</v>
      </c>
      <c r="I561" t="s">
        <v>9</v>
      </c>
      <c r="J561" t="s">
        <v>25</v>
      </c>
      <c r="K561" t="s">
        <v>11</v>
      </c>
      <c r="L561" t="s">
        <v>87</v>
      </c>
      <c r="M561" t="s">
        <v>35</v>
      </c>
      <c r="N561" t="s">
        <v>16</v>
      </c>
      <c r="O561" t="s">
        <v>18</v>
      </c>
      <c r="P561">
        <v>4</v>
      </c>
    </row>
    <row r="562" spans="1:16" x14ac:dyDescent="0.3">
      <c r="A562">
        <v>1052</v>
      </c>
      <c r="B562">
        <v>44252</v>
      </c>
      <c r="C562">
        <v>41</v>
      </c>
      <c r="D562">
        <v>29393</v>
      </c>
      <c r="E562" t="s">
        <v>14</v>
      </c>
      <c r="F562" t="s">
        <v>15</v>
      </c>
      <c r="G562" t="s">
        <v>31</v>
      </c>
      <c r="H562" t="s">
        <v>88</v>
      </c>
      <c r="I562" t="s">
        <v>9</v>
      </c>
      <c r="J562" t="s">
        <v>10</v>
      </c>
      <c r="K562" t="s">
        <v>26</v>
      </c>
      <c r="L562" t="s">
        <v>87</v>
      </c>
      <c r="M562" t="s">
        <v>32</v>
      </c>
      <c r="N562" t="s">
        <v>23</v>
      </c>
      <c r="O562" t="s">
        <v>18</v>
      </c>
      <c r="P562">
        <v>4</v>
      </c>
    </row>
    <row r="563" spans="1:16" x14ac:dyDescent="0.3">
      <c r="A563">
        <v>1053</v>
      </c>
      <c r="B563">
        <v>43537</v>
      </c>
      <c r="C563">
        <v>72</v>
      </c>
      <c r="D563">
        <v>17373</v>
      </c>
      <c r="E563" t="s">
        <v>14</v>
      </c>
      <c r="F563" t="s">
        <v>15</v>
      </c>
      <c r="G563" t="s">
        <v>40</v>
      </c>
      <c r="H563" t="s">
        <v>88</v>
      </c>
      <c r="I563" t="s">
        <v>9</v>
      </c>
      <c r="J563" t="s">
        <v>10</v>
      </c>
      <c r="K563" t="s">
        <v>11</v>
      </c>
      <c r="L563" t="s">
        <v>87</v>
      </c>
      <c r="M563" t="s">
        <v>54</v>
      </c>
      <c r="N563" t="s">
        <v>23</v>
      </c>
      <c r="O563" t="s">
        <v>18</v>
      </c>
      <c r="P563">
        <v>1</v>
      </c>
    </row>
    <row r="564" spans="1:16" x14ac:dyDescent="0.3">
      <c r="A564">
        <v>1054</v>
      </c>
      <c r="B564">
        <v>44969</v>
      </c>
      <c r="C564">
        <v>30</v>
      </c>
      <c r="D564">
        <v>34099</v>
      </c>
      <c r="E564" t="s">
        <v>14</v>
      </c>
      <c r="F564" t="s">
        <v>22</v>
      </c>
      <c r="G564" t="s">
        <v>31</v>
      </c>
      <c r="H564" t="s">
        <v>86</v>
      </c>
      <c r="I564" t="s">
        <v>9</v>
      </c>
      <c r="J564" t="s">
        <v>20</v>
      </c>
      <c r="K564" t="s">
        <v>19</v>
      </c>
      <c r="L564" t="s">
        <v>87</v>
      </c>
      <c r="M564" t="s">
        <v>42</v>
      </c>
      <c r="N564" t="s">
        <v>16</v>
      </c>
      <c r="O564" t="s">
        <v>18</v>
      </c>
      <c r="P564">
        <v>5</v>
      </c>
    </row>
    <row r="565" spans="1:16" x14ac:dyDescent="0.3">
      <c r="A565">
        <v>1055</v>
      </c>
      <c r="B565">
        <v>43351</v>
      </c>
      <c r="C565">
        <v>23</v>
      </c>
      <c r="D565">
        <v>35027</v>
      </c>
      <c r="E565" t="s">
        <v>14</v>
      </c>
      <c r="F565" t="s">
        <v>15</v>
      </c>
      <c r="G565" t="s">
        <v>17</v>
      </c>
      <c r="H565" t="s">
        <v>86</v>
      </c>
      <c r="I565" t="s">
        <v>9</v>
      </c>
      <c r="J565" t="s">
        <v>10</v>
      </c>
      <c r="K565" t="s">
        <v>11</v>
      </c>
      <c r="L565" t="s">
        <v>87</v>
      </c>
      <c r="M565" t="s">
        <v>35</v>
      </c>
      <c r="N565" t="s">
        <v>16</v>
      </c>
      <c r="O565" t="s">
        <v>18</v>
      </c>
      <c r="P565">
        <v>4</v>
      </c>
    </row>
    <row r="566" spans="1:16" x14ac:dyDescent="0.3">
      <c r="A566">
        <v>1056</v>
      </c>
      <c r="B566">
        <v>44518</v>
      </c>
      <c r="C566">
        <v>78</v>
      </c>
      <c r="D566">
        <v>15950</v>
      </c>
      <c r="E566" t="s">
        <v>14</v>
      </c>
      <c r="F566" t="s">
        <v>22</v>
      </c>
      <c r="G566" t="s">
        <v>17</v>
      </c>
      <c r="H566" t="s">
        <v>86</v>
      </c>
      <c r="I566" t="s">
        <v>9</v>
      </c>
      <c r="J566" t="s">
        <v>10</v>
      </c>
      <c r="K566" t="s">
        <v>11</v>
      </c>
      <c r="L566" t="s">
        <v>87</v>
      </c>
      <c r="M566" t="s">
        <v>59</v>
      </c>
      <c r="N566" t="s">
        <v>23</v>
      </c>
      <c r="O566" t="s">
        <v>18</v>
      </c>
      <c r="P566">
        <v>2</v>
      </c>
    </row>
    <row r="567" spans="1:16" x14ac:dyDescent="0.3">
      <c r="A567">
        <v>1057</v>
      </c>
      <c r="B567">
        <v>45108</v>
      </c>
      <c r="C567">
        <v>25</v>
      </c>
      <c r="D567">
        <v>36095</v>
      </c>
      <c r="E567" t="s">
        <v>14</v>
      </c>
      <c r="F567" t="s">
        <v>22</v>
      </c>
      <c r="G567" t="s">
        <v>17</v>
      </c>
      <c r="H567" t="s">
        <v>86</v>
      </c>
      <c r="I567" t="s">
        <v>9</v>
      </c>
      <c r="J567" t="s">
        <v>25</v>
      </c>
      <c r="K567" t="s">
        <v>19</v>
      </c>
      <c r="L567" t="s">
        <v>87</v>
      </c>
      <c r="M567" t="s">
        <v>59</v>
      </c>
      <c r="N567" t="s">
        <v>46</v>
      </c>
      <c r="O567" t="s">
        <v>18</v>
      </c>
      <c r="P567">
        <v>2</v>
      </c>
    </row>
    <row r="568" spans="1:16" x14ac:dyDescent="0.3">
      <c r="A568">
        <v>1058</v>
      </c>
      <c r="B568">
        <v>44669</v>
      </c>
      <c r="C568">
        <v>80</v>
      </c>
      <c r="D568">
        <v>15413</v>
      </c>
      <c r="E568" t="s">
        <v>14</v>
      </c>
      <c r="F568" t="s">
        <v>22</v>
      </c>
      <c r="G568" t="s">
        <v>34</v>
      </c>
      <c r="H568" t="s">
        <v>86</v>
      </c>
      <c r="I568" t="s">
        <v>9</v>
      </c>
      <c r="J568" t="s">
        <v>10</v>
      </c>
      <c r="K568" t="s">
        <v>11</v>
      </c>
      <c r="L568" t="s">
        <v>87</v>
      </c>
      <c r="M568" t="s">
        <v>67</v>
      </c>
      <c r="N568" t="s">
        <v>23</v>
      </c>
      <c r="O568" t="s">
        <v>18</v>
      </c>
      <c r="P568">
        <v>2</v>
      </c>
    </row>
    <row r="569" spans="1:16" x14ac:dyDescent="0.3">
      <c r="A569">
        <v>1059</v>
      </c>
      <c r="B569">
        <v>45045</v>
      </c>
      <c r="C569">
        <v>49</v>
      </c>
      <c r="D569">
        <v>27172</v>
      </c>
      <c r="E569" t="s">
        <v>14</v>
      </c>
      <c r="F569" t="s">
        <v>15</v>
      </c>
      <c r="G569" t="s">
        <v>17</v>
      </c>
      <c r="H569" t="s">
        <v>86</v>
      </c>
      <c r="I569" t="s">
        <v>9</v>
      </c>
      <c r="J569" t="s">
        <v>20</v>
      </c>
      <c r="K569" t="s">
        <v>11</v>
      </c>
      <c r="L569" t="s">
        <v>87</v>
      </c>
      <c r="M569" t="s">
        <v>42</v>
      </c>
      <c r="N569" t="s">
        <v>46</v>
      </c>
      <c r="O569" t="s">
        <v>18</v>
      </c>
      <c r="P569">
        <v>3</v>
      </c>
    </row>
    <row r="570" spans="1:16" x14ac:dyDescent="0.3">
      <c r="A570">
        <v>1060</v>
      </c>
      <c r="B570">
        <v>43383</v>
      </c>
      <c r="C570">
        <v>42</v>
      </c>
      <c r="D570">
        <v>27795</v>
      </c>
      <c r="E570" t="s">
        <v>14</v>
      </c>
      <c r="F570" t="s">
        <v>15</v>
      </c>
      <c r="G570" t="s">
        <v>31</v>
      </c>
      <c r="H570" t="s">
        <v>88</v>
      </c>
      <c r="I570" t="s">
        <v>9</v>
      </c>
      <c r="J570" t="s">
        <v>20</v>
      </c>
      <c r="K570" t="s">
        <v>26</v>
      </c>
      <c r="L570" t="s">
        <v>87</v>
      </c>
      <c r="M570" t="s">
        <v>32</v>
      </c>
      <c r="N570" t="s">
        <v>37</v>
      </c>
      <c r="O570" t="s">
        <v>18</v>
      </c>
      <c r="P570">
        <v>5</v>
      </c>
    </row>
    <row r="571" spans="1:16" x14ac:dyDescent="0.3">
      <c r="A571">
        <v>1061</v>
      </c>
      <c r="B571">
        <v>44885</v>
      </c>
      <c r="C571">
        <v>29</v>
      </c>
      <c r="D571">
        <v>34110</v>
      </c>
      <c r="E571" t="s">
        <v>14</v>
      </c>
      <c r="F571" t="s">
        <v>15</v>
      </c>
      <c r="G571" t="s">
        <v>31</v>
      </c>
      <c r="H571" t="s">
        <v>88</v>
      </c>
      <c r="I571" t="s">
        <v>9</v>
      </c>
      <c r="J571" t="s">
        <v>20</v>
      </c>
      <c r="K571" t="s">
        <v>11</v>
      </c>
      <c r="L571" t="s">
        <v>87</v>
      </c>
      <c r="M571" t="s">
        <v>28</v>
      </c>
      <c r="N571" t="s">
        <v>30</v>
      </c>
      <c r="O571" t="s">
        <v>18</v>
      </c>
      <c r="P571">
        <v>3</v>
      </c>
    </row>
    <row r="572" spans="1:16" x14ac:dyDescent="0.3">
      <c r="A572">
        <v>1062</v>
      </c>
      <c r="B572">
        <v>43603</v>
      </c>
      <c r="C572">
        <v>50</v>
      </c>
      <c r="D572">
        <v>25510</v>
      </c>
      <c r="E572" t="s">
        <v>14</v>
      </c>
      <c r="F572" t="s">
        <v>22</v>
      </c>
      <c r="G572" t="s">
        <v>34</v>
      </c>
      <c r="H572" t="s">
        <v>86</v>
      </c>
      <c r="I572" t="s">
        <v>66</v>
      </c>
      <c r="J572" t="s">
        <v>20</v>
      </c>
      <c r="K572" t="s">
        <v>19</v>
      </c>
      <c r="L572" t="s">
        <v>87</v>
      </c>
      <c r="M572" t="s">
        <v>42</v>
      </c>
      <c r="N572" t="s">
        <v>23</v>
      </c>
      <c r="O572" t="s">
        <v>18</v>
      </c>
      <c r="P572">
        <v>2</v>
      </c>
    </row>
    <row r="573" spans="1:16" x14ac:dyDescent="0.3">
      <c r="A573">
        <v>1063</v>
      </c>
      <c r="B573">
        <v>44369</v>
      </c>
      <c r="C573">
        <v>76</v>
      </c>
      <c r="D573">
        <v>16546</v>
      </c>
      <c r="E573" t="s">
        <v>14</v>
      </c>
      <c r="F573" t="s">
        <v>15</v>
      </c>
      <c r="G573" t="s">
        <v>31</v>
      </c>
      <c r="H573" t="s">
        <v>86</v>
      </c>
      <c r="I573" t="s">
        <v>9</v>
      </c>
      <c r="J573" t="s">
        <v>25</v>
      </c>
      <c r="K573" t="s">
        <v>26</v>
      </c>
      <c r="L573" t="s">
        <v>87</v>
      </c>
      <c r="M573" t="s">
        <v>21</v>
      </c>
      <c r="N573" t="s">
        <v>37</v>
      </c>
      <c r="O573" t="s">
        <v>18</v>
      </c>
      <c r="P573">
        <v>2</v>
      </c>
    </row>
    <row r="574" spans="1:16" x14ac:dyDescent="0.3">
      <c r="A574">
        <v>1064</v>
      </c>
      <c r="B574">
        <v>44650</v>
      </c>
      <c r="C574">
        <v>35</v>
      </c>
      <c r="D574">
        <v>31832</v>
      </c>
      <c r="E574" t="s">
        <v>14</v>
      </c>
      <c r="F574" t="s">
        <v>22</v>
      </c>
      <c r="G574" t="s">
        <v>40</v>
      </c>
      <c r="H574" t="s">
        <v>86</v>
      </c>
      <c r="I574" t="s">
        <v>66</v>
      </c>
      <c r="J574" t="s">
        <v>20</v>
      </c>
      <c r="K574" t="s">
        <v>19</v>
      </c>
      <c r="L574" t="s">
        <v>87</v>
      </c>
      <c r="M574" t="s">
        <v>35</v>
      </c>
      <c r="N574" t="s">
        <v>16</v>
      </c>
      <c r="O574" t="s">
        <v>18</v>
      </c>
      <c r="P574">
        <v>4</v>
      </c>
    </row>
    <row r="575" spans="1:16" x14ac:dyDescent="0.3">
      <c r="A575">
        <v>1065</v>
      </c>
      <c r="B575">
        <v>43340</v>
      </c>
      <c r="C575">
        <v>23</v>
      </c>
      <c r="D575">
        <v>34876</v>
      </c>
      <c r="E575" t="s">
        <v>14</v>
      </c>
      <c r="F575" t="s">
        <v>22</v>
      </c>
      <c r="G575" t="s">
        <v>17</v>
      </c>
      <c r="H575" t="s">
        <v>86</v>
      </c>
      <c r="I575" t="s">
        <v>9</v>
      </c>
      <c r="J575" t="s">
        <v>10</v>
      </c>
      <c r="K575" t="s">
        <v>11</v>
      </c>
      <c r="L575" t="s">
        <v>87</v>
      </c>
      <c r="M575" t="s">
        <v>42</v>
      </c>
      <c r="N575" t="s">
        <v>30</v>
      </c>
      <c r="O575" t="s">
        <v>18</v>
      </c>
      <c r="P575">
        <v>3</v>
      </c>
    </row>
    <row r="576" spans="1:16" x14ac:dyDescent="0.3">
      <c r="A576">
        <v>1066</v>
      </c>
      <c r="B576">
        <v>44557</v>
      </c>
      <c r="C576">
        <v>40</v>
      </c>
      <c r="D576">
        <v>29699</v>
      </c>
      <c r="E576" t="s">
        <v>14</v>
      </c>
      <c r="F576" t="s">
        <v>22</v>
      </c>
      <c r="G576" t="s">
        <v>31</v>
      </c>
      <c r="H576" t="s">
        <v>86</v>
      </c>
      <c r="I576" t="s">
        <v>9</v>
      </c>
      <c r="J576" t="s">
        <v>25</v>
      </c>
      <c r="K576" t="s">
        <v>11</v>
      </c>
      <c r="L576" t="s">
        <v>87</v>
      </c>
      <c r="M576" t="s">
        <v>60</v>
      </c>
      <c r="N576" t="s">
        <v>23</v>
      </c>
      <c r="O576" t="s">
        <v>18</v>
      </c>
      <c r="P576">
        <v>3</v>
      </c>
    </row>
    <row r="577" spans="1:16" x14ac:dyDescent="0.3">
      <c r="A577">
        <v>1067</v>
      </c>
      <c r="B577">
        <v>44149</v>
      </c>
      <c r="C577">
        <v>72</v>
      </c>
      <c r="D577">
        <v>17874</v>
      </c>
      <c r="E577" t="s">
        <v>14</v>
      </c>
      <c r="F577" t="s">
        <v>15</v>
      </c>
      <c r="G577" t="s">
        <v>34</v>
      </c>
      <c r="H577" t="s">
        <v>86</v>
      </c>
      <c r="I577" t="s">
        <v>9</v>
      </c>
      <c r="J577" t="s">
        <v>20</v>
      </c>
      <c r="K577" t="s">
        <v>19</v>
      </c>
      <c r="L577" t="s">
        <v>87</v>
      </c>
      <c r="M577" t="s">
        <v>35</v>
      </c>
      <c r="N577" t="s">
        <v>16</v>
      </c>
      <c r="O577" t="s">
        <v>18</v>
      </c>
      <c r="P577">
        <v>2</v>
      </c>
    </row>
    <row r="578" spans="1:16" x14ac:dyDescent="0.3">
      <c r="A578">
        <v>1068</v>
      </c>
      <c r="B578">
        <v>44470</v>
      </c>
      <c r="C578">
        <v>23</v>
      </c>
      <c r="D578">
        <v>36153</v>
      </c>
      <c r="E578" t="s">
        <v>14</v>
      </c>
      <c r="F578" t="s">
        <v>15</v>
      </c>
      <c r="G578" t="s">
        <v>17</v>
      </c>
      <c r="H578" t="s">
        <v>86</v>
      </c>
      <c r="I578" t="s">
        <v>9</v>
      </c>
      <c r="J578" t="s">
        <v>25</v>
      </c>
      <c r="K578" t="s">
        <v>26</v>
      </c>
      <c r="L578" t="s">
        <v>87</v>
      </c>
      <c r="M578" t="s">
        <v>59</v>
      </c>
      <c r="N578" t="s">
        <v>37</v>
      </c>
      <c r="O578" t="s">
        <v>18</v>
      </c>
      <c r="P578">
        <v>2</v>
      </c>
    </row>
    <row r="579" spans="1:16" x14ac:dyDescent="0.3">
      <c r="A579">
        <v>1069</v>
      </c>
      <c r="B579">
        <v>43386</v>
      </c>
      <c r="C579">
        <v>43</v>
      </c>
      <c r="D579">
        <v>27650</v>
      </c>
      <c r="E579" t="s">
        <v>14</v>
      </c>
      <c r="F579" t="s">
        <v>15</v>
      </c>
      <c r="G579" t="s">
        <v>17</v>
      </c>
      <c r="H579" t="s">
        <v>88</v>
      </c>
      <c r="I579" t="s">
        <v>9</v>
      </c>
      <c r="J579" t="s">
        <v>25</v>
      </c>
      <c r="K579" t="s">
        <v>26</v>
      </c>
      <c r="L579" t="s">
        <v>87</v>
      </c>
      <c r="M579" t="s">
        <v>32</v>
      </c>
      <c r="N579" t="s">
        <v>30</v>
      </c>
      <c r="O579" t="s">
        <v>18</v>
      </c>
      <c r="P579">
        <v>1</v>
      </c>
    </row>
    <row r="580" spans="1:16" x14ac:dyDescent="0.3">
      <c r="A580">
        <v>1070</v>
      </c>
      <c r="B580">
        <v>43449</v>
      </c>
      <c r="C580">
        <v>20</v>
      </c>
      <c r="D580">
        <v>36103</v>
      </c>
      <c r="E580" t="s">
        <v>14</v>
      </c>
      <c r="F580" t="s">
        <v>22</v>
      </c>
      <c r="G580" t="s">
        <v>34</v>
      </c>
      <c r="H580" t="s">
        <v>88</v>
      </c>
      <c r="I580" t="s">
        <v>9</v>
      </c>
      <c r="J580" t="s">
        <v>25</v>
      </c>
      <c r="K580" t="s">
        <v>11</v>
      </c>
      <c r="L580" t="s">
        <v>87</v>
      </c>
      <c r="M580" t="s">
        <v>28</v>
      </c>
      <c r="N580" t="s">
        <v>37</v>
      </c>
      <c r="O580" t="s">
        <v>18</v>
      </c>
      <c r="P580">
        <v>1</v>
      </c>
    </row>
    <row r="581" spans="1:16" x14ac:dyDescent="0.3">
      <c r="A581">
        <v>1071</v>
      </c>
      <c r="B581">
        <v>43552</v>
      </c>
      <c r="C581">
        <v>51</v>
      </c>
      <c r="D581">
        <v>25012</v>
      </c>
      <c r="E581" t="s">
        <v>14</v>
      </c>
      <c r="F581" t="s">
        <v>22</v>
      </c>
      <c r="G581" t="s">
        <v>34</v>
      </c>
      <c r="H581" t="s">
        <v>86</v>
      </c>
      <c r="I581" t="s">
        <v>66</v>
      </c>
      <c r="J581" t="s">
        <v>10</v>
      </c>
      <c r="K581" t="s">
        <v>19</v>
      </c>
      <c r="L581" t="s">
        <v>87</v>
      </c>
      <c r="M581" t="s">
        <v>35</v>
      </c>
      <c r="N581" t="s">
        <v>37</v>
      </c>
      <c r="O581" t="s">
        <v>18</v>
      </c>
      <c r="P581">
        <v>2</v>
      </c>
    </row>
    <row r="582" spans="1:16" x14ac:dyDescent="0.3">
      <c r="A582">
        <v>1072</v>
      </c>
      <c r="B582">
        <v>43461</v>
      </c>
      <c r="C582">
        <v>41</v>
      </c>
      <c r="D582">
        <v>28145</v>
      </c>
      <c r="E582" t="s">
        <v>14</v>
      </c>
      <c r="F582" t="s">
        <v>15</v>
      </c>
      <c r="G582" t="s">
        <v>17</v>
      </c>
      <c r="H582" t="s">
        <v>86</v>
      </c>
      <c r="I582" t="s">
        <v>9</v>
      </c>
      <c r="J582" t="s">
        <v>20</v>
      </c>
      <c r="K582" t="s">
        <v>11</v>
      </c>
      <c r="L582" t="s">
        <v>87</v>
      </c>
      <c r="M582" t="s">
        <v>35</v>
      </c>
      <c r="N582" t="s">
        <v>46</v>
      </c>
      <c r="O582" t="s">
        <v>18</v>
      </c>
      <c r="P582">
        <v>2</v>
      </c>
    </row>
    <row r="583" spans="1:16" x14ac:dyDescent="0.3">
      <c r="A583">
        <v>1073</v>
      </c>
      <c r="B583">
        <v>43596</v>
      </c>
      <c r="C583">
        <v>21</v>
      </c>
      <c r="D583">
        <v>36062</v>
      </c>
      <c r="E583" t="s">
        <v>14</v>
      </c>
      <c r="F583" t="s">
        <v>22</v>
      </c>
      <c r="G583" t="s">
        <v>31</v>
      </c>
      <c r="H583" t="s">
        <v>86</v>
      </c>
      <c r="I583" t="s">
        <v>9</v>
      </c>
      <c r="J583" t="s">
        <v>25</v>
      </c>
      <c r="K583" t="s">
        <v>19</v>
      </c>
      <c r="L583" t="s">
        <v>87</v>
      </c>
      <c r="M583" t="s">
        <v>35</v>
      </c>
      <c r="N583" t="s">
        <v>16</v>
      </c>
      <c r="O583" t="s">
        <v>18</v>
      </c>
      <c r="P583">
        <v>4</v>
      </c>
    </row>
    <row r="584" spans="1:16" x14ac:dyDescent="0.3">
      <c r="A584">
        <v>1074</v>
      </c>
      <c r="B584">
        <v>44246</v>
      </c>
      <c r="C584">
        <v>38</v>
      </c>
      <c r="D584">
        <v>30505</v>
      </c>
      <c r="E584" t="s">
        <v>14</v>
      </c>
      <c r="F584" t="s">
        <v>22</v>
      </c>
      <c r="G584" t="s">
        <v>40</v>
      </c>
      <c r="H584" t="s">
        <v>86</v>
      </c>
      <c r="I584" t="s">
        <v>66</v>
      </c>
      <c r="J584" t="s">
        <v>25</v>
      </c>
      <c r="K584" t="s">
        <v>19</v>
      </c>
      <c r="L584" t="s">
        <v>87</v>
      </c>
      <c r="M584" t="s">
        <v>32</v>
      </c>
      <c r="N584" t="s">
        <v>46</v>
      </c>
      <c r="O584" t="s">
        <v>18</v>
      </c>
      <c r="P584">
        <v>4</v>
      </c>
    </row>
    <row r="585" spans="1:16" x14ac:dyDescent="0.3">
      <c r="A585">
        <v>1075</v>
      </c>
      <c r="B585">
        <v>44870</v>
      </c>
      <c r="C585">
        <v>54</v>
      </c>
      <c r="D585">
        <v>24951</v>
      </c>
      <c r="E585" t="s">
        <v>14</v>
      </c>
      <c r="F585" t="s">
        <v>22</v>
      </c>
      <c r="G585" t="s">
        <v>34</v>
      </c>
      <c r="H585" t="s">
        <v>86</v>
      </c>
      <c r="I585" t="s">
        <v>9</v>
      </c>
      <c r="J585" t="s">
        <v>20</v>
      </c>
      <c r="K585" t="s">
        <v>26</v>
      </c>
      <c r="L585" t="s">
        <v>87</v>
      </c>
      <c r="M585" t="s">
        <v>42</v>
      </c>
      <c r="N585" t="s">
        <v>46</v>
      </c>
      <c r="O585" t="s">
        <v>18</v>
      </c>
      <c r="P585">
        <v>2</v>
      </c>
    </row>
    <row r="586" spans="1:16" x14ac:dyDescent="0.3">
      <c r="A586">
        <v>1076</v>
      </c>
      <c r="B586">
        <v>43912</v>
      </c>
      <c r="C586">
        <v>77</v>
      </c>
      <c r="D586">
        <v>15734</v>
      </c>
      <c r="E586" t="s">
        <v>14</v>
      </c>
      <c r="F586" t="s">
        <v>15</v>
      </c>
      <c r="G586" t="s">
        <v>17</v>
      </c>
      <c r="H586" t="s">
        <v>86</v>
      </c>
      <c r="I586" t="s">
        <v>9</v>
      </c>
      <c r="J586" t="s">
        <v>10</v>
      </c>
      <c r="K586" t="s">
        <v>11</v>
      </c>
      <c r="L586" t="s">
        <v>87</v>
      </c>
      <c r="M586" t="s">
        <v>38</v>
      </c>
      <c r="N586" t="s">
        <v>16</v>
      </c>
      <c r="O586" t="s">
        <v>18</v>
      </c>
      <c r="P586">
        <v>3</v>
      </c>
    </row>
    <row r="587" spans="1:16" x14ac:dyDescent="0.3">
      <c r="A587">
        <v>1077</v>
      </c>
      <c r="B587">
        <v>43498</v>
      </c>
      <c r="C587">
        <v>27</v>
      </c>
      <c r="D587">
        <v>33734</v>
      </c>
      <c r="E587" t="s">
        <v>14</v>
      </c>
      <c r="F587" t="s">
        <v>15</v>
      </c>
      <c r="G587" t="s">
        <v>31</v>
      </c>
      <c r="H587" t="s">
        <v>86</v>
      </c>
      <c r="I587" t="s">
        <v>9</v>
      </c>
      <c r="J587" t="s">
        <v>10</v>
      </c>
      <c r="K587" t="s">
        <v>26</v>
      </c>
      <c r="L587" t="s">
        <v>87</v>
      </c>
      <c r="M587" t="s">
        <v>61</v>
      </c>
      <c r="N587" t="s">
        <v>37</v>
      </c>
      <c r="O587" t="s">
        <v>18</v>
      </c>
      <c r="P587">
        <v>2</v>
      </c>
    </row>
    <row r="588" spans="1:16" x14ac:dyDescent="0.3">
      <c r="A588">
        <v>1078</v>
      </c>
      <c r="B588">
        <v>43885</v>
      </c>
      <c r="C588">
        <v>23</v>
      </c>
      <c r="D588">
        <v>35508</v>
      </c>
      <c r="E588" t="s">
        <v>14</v>
      </c>
      <c r="F588" t="s">
        <v>15</v>
      </c>
      <c r="G588" t="s">
        <v>40</v>
      </c>
      <c r="H588" t="s">
        <v>86</v>
      </c>
      <c r="I588" t="s">
        <v>9</v>
      </c>
      <c r="J588" t="s">
        <v>10</v>
      </c>
      <c r="K588" t="s">
        <v>11</v>
      </c>
      <c r="L588" t="s">
        <v>87</v>
      </c>
      <c r="M588" t="s">
        <v>21</v>
      </c>
      <c r="N588" t="s">
        <v>46</v>
      </c>
      <c r="O588" t="s">
        <v>18</v>
      </c>
      <c r="P588">
        <v>3</v>
      </c>
    </row>
    <row r="589" spans="1:16" x14ac:dyDescent="0.3">
      <c r="A589">
        <v>1079</v>
      </c>
      <c r="B589">
        <v>44293</v>
      </c>
      <c r="C589">
        <v>21</v>
      </c>
      <c r="D589">
        <v>36627</v>
      </c>
      <c r="E589" t="s">
        <v>14</v>
      </c>
      <c r="F589" t="s">
        <v>15</v>
      </c>
      <c r="G589" t="s">
        <v>40</v>
      </c>
      <c r="H589" t="s">
        <v>88</v>
      </c>
      <c r="I589" t="s">
        <v>9</v>
      </c>
      <c r="J589" t="s">
        <v>20</v>
      </c>
      <c r="K589" t="s">
        <v>26</v>
      </c>
      <c r="L589" t="s">
        <v>87</v>
      </c>
      <c r="M589" t="s">
        <v>57</v>
      </c>
      <c r="N589" t="s">
        <v>23</v>
      </c>
      <c r="O589" t="s">
        <v>18</v>
      </c>
      <c r="P589">
        <v>2</v>
      </c>
    </row>
    <row r="590" spans="1:16" x14ac:dyDescent="0.3">
      <c r="A590">
        <v>1080</v>
      </c>
      <c r="B590">
        <v>44149</v>
      </c>
      <c r="C590">
        <v>32</v>
      </c>
      <c r="D590">
        <v>32359</v>
      </c>
      <c r="E590" t="s">
        <v>14</v>
      </c>
      <c r="F590" t="s">
        <v>22</v>
      </c>
      <c r="G590" t="s">
        <v>17</v>
      </c>
      <c r="H590" t="s">
        <v>88</v>
      </c>
      <c r="I590" t="s">
        <v>9</v>
      </c>
      <c r="J590" t="s">
        <v>20</v>
      </c>
      <c r="K590" t="s">
        <v>11</v>
      </c>
      <c r="L590" t="s">
        <v>87</v>
      </c>
      <c r="M590" t="s">
        <v>55</v>
      </c>
      <c r="N590" t="s">
        <v>37</v>
      </c>
      <c r="O590" t="s">
        <v>18</v>
      </c>
      <c r="P590">
        <v>1</v>
      </c>
    </row>
    <row r="591" spans="1:16" x14ac:dyDescent="0.3">
      <c r="A591">
        <v>1081</v>
      </c>
      <c r="B591">
        <v>44578</v>
      </c>
      <c r="C591">
        <v>57</v>
      </c>
      <c r="D591">
        <v>23978</v>
      </c>
      <c r="E591" t="s">
        <v>14</v>
      </c>
      <c r="F591" t="s">
        <v>22</v>
      </c>
      <c r="G591" t="s">
        <v>40</v>
      </c>
      <c r="H591" t="s">
        <v>86</v>
      </c>
      <c r="I591" t="s">
        <v>66</v>
      </c>
      <c r="J591" t="s">
        <v>10</v>
      </c>
      <c r="K591" t="s">
        <v>26</v>
      </c>
      <c r="L591" t="s">
        <v>87</v>
      </c>
      <c r="M591" t="s">
        <v>32</v>
      </c>
      <c r="N591" t="s">
        <v>46</v>
      </c>
      <c r="O591" t="s">
        <v>18</v>
      </c>
      <c r="P591">
        <v>3</v>
      </c>
    </row>
    <row r="592" spans="1:16" x14ac:dyDescent="0.3">
      <c r="A592">
        <v>1082</v>
      </c>
      <c r="B592">
        <v>44441</v>
      </c>
      <c r="C592">
        <v>45</v>
      </c>
      <c r="D592">
        <v>27822</v>
      </c>
      <c r="E592" t="s">
        <v>14</v>
      </c>
      <c r="F592" t="s">
        <v>22</v>
      </c>
      <c r="G592" t="s">
        <v>34</v>
      </c>
      <c r="H592" t="s">
        <v>86</v>
      </c>
      <c r="I592" t="s">
        <v>9</v>
      </c>
      <c r="J592" t="s">
        <v>20</v>
      </c>
      <c r="K592" t="s">
        <v>26</v>
      </c>
      <c r="L592" t="s">
        <v>87</v>
      </c>
      <c r="M592" t="s">
        <v>32</v>
      </c>
      <c r="N592" t="s">
        <v>30</v>
      </c>
      <c r="O592" t="s">
        <v>18</v>
      </c>
      <c r="P592">
        <v>4</v>
      </c>
    </row>
    <row r="593" spans="1:16" x14ac:dyDescent="0.3">
      <c r="A593">
        <v>1083</v>
      </c>
      <c r="B593">
        <v>45137</v>
      </c>
      <c r="C593">
        <v>60</v>
      </c>
      <c r="D593">
        <v>23020</v>
      </c>
      <c r="E593" t="s">
        <v>14</v>
      </c>
      <c r="F593" t="s">
        <v>15</v>
      </c>
      <c r="G593" t="s">
        <v>40</v>
      </c>
      <c r="H593" t="s">
        <v>86</v>
      </c>
      <c r="I593" t="s">
        <v>9</v>
      </c>
      <c r="J593" t="s">
        <v>20</v>
      </c>
      <c r="K593" t="s">
        <v>19</v>
      </c>
      <c r="L593" t="s">
        <v>87</v>
      </c>
      <c r="M593" t="s">
        <v>21</v>
      </c>
      <c r="N593" t="s">
        <v>46</v>
      </c>
      <c r="O593" t="s">
        <v>18</v>
      </c>
      <c r="P593">
        <v>5</v>
      </c>
    </row>
    <row r="594" spans="1:16" x14ac:dyDescent="0.3">
      <c r="A594">
        <v>1084</v>
      </c>
      <c r="B594">
        <v>45104</v>
      </c>
      <c r="C594">
        <v>34</v>
      </c>
      <c r="D594">
        <v>32732</v>
      </c>
      <c r="E594" t="s">
        <v>14</v>
      </c>
      <c r="F594" t="s">
        <v>22</v>
      </c>
      <c r="G594" t="s">
        <v>31</v>
      </c>
      <c r="H594" t="s">
        <v>86</v>
      </c>
      <c r="I594" t="s">
        <v>9</v>
      </c>
      <c r="J594" t="s">
        <v>10</v>
      </c>
      <c r="K594" t="s">
        <v>11</v>
      </c>
      <c r="L594" t="s">
        <v>87</v>
      </c>
      <c r="M594" t="s">
        <v>44</v>
      </c>
      <c r="N594" t="s">
        <v>16</v>
      </c>
      <c r="O594" t="s">
        <v>18</v>
      </c>
      <c r="P594">
        <v>2</v>
      </c>
    </row>
    <row r="595" spans="1:16" x14ac:dyDescent="0.3">
      <c r="A595">
        <v>1085</v>
      </c>
      <c r="B595">
        <v>44647</v>
      </c>
      <c r="C595">
        <v>70</v>
      </c>
      <c r="D595">
        <v>19063</v>
      </c>
      <c r="E595" t="s">
        <v>14</v>
      </c>
      <c r="F595" t="s">
        <v>22</v>
      </c>
      <c r="G595" t="s">
        <v>40</v>
      </c>
      <c r="H595" t="s">
        <v>86</v>
      </c>
      <c r="I595" t="s">
        <v>9</v>
      </c>
      <c r="J595" t="s">
        <v>10</v>
      </c>
      <c r="K595" t="s">
        <v>26</v>
      </c>
      <c r="L595" t="s">
        <v>87</v>
      </c>
      <c r="M595" t="s">
        <v>32</v>
      </c>
      <c r="N595" t="s">
        <v>30</v>
      </c>
      <c r="O595" t="s">
        <v>18</v>
      </c>
      <c r="P595">
        <v>5</v>
      </c>
    </row>
    <row r="596" spans="1:16" x14ac:dyDescent="0.3">
      <c r="A596">
        <v>1086</v>
      </c>
      <c r="B596">
        <v>44785</v>
      </c>
      <c r="C596">
        <v>49</v>
      </c>
      <c r="D596">
        <v>26875</v>
      </c>
      <c r="E596" t="s">
        <v>14</v>
      </c>
      <c r="F596" t="s">
        <v>15</v>
      </c>
      <c r="G596" t="s">
        <v>31</v>
      </c>
      <c r="H596" t="s">
        <v>86</v>
      </c>
      <c r="I596" t="s">
        <v>9</v>
      </c>
      <c r="J596" t="s">
        <v>10</v>
      </c>
      <c r="K596" t="s">
        <v>19</v>
      </c>
      <c r="L596" t="s">
        <v>87</v>
      </c>
      <c r="M596" t="s">
        <v>35</v>
      </c>
      <c r="N596" t="s">
        <v>37</v>
      </c>
      <c r="O596" t="s">
        <v>18</v>
      </c>
      <c r="P596">
        <v>1</v>
      </c>
    </row>
    <row r="597" spans="1:16" x14ac:dyDescent="0.3">
      <c r="A597">
        <v>1087</v>
      </c>
      <c r="B597">
        <v>44750</v>
      </c>
      <c r="C597">
        <v>48</v>
      </c>
      <c r="D597">
        <v>27246</v>
      </c>
      <c r="E597" t="s">
        <v>14</v>
      </c>
      <c r="F597" t="s">
        <v>15</v>
      </c>
      <c r="G597" t="s">
        <v>34</v>
      </c>
      <c r="H597" t="s">
        <v>86</v>
      </c>
      <c r="I597" t="s">
        <v>9</v>
      </c>
      <c r="J597" t="s">
        <v>20</v>
      </c>
      <c r="K597" t="s">
        <v>19</v>
      </c>
      <c r="L597" t="s">
        <v>87</v>
      </c>
      <c r="M597" t="s">
        <v>35</v>
      </c>
      <c r="N597" t="s">
        <v>30</v>
      </c>
      <c r="O597" t="s">
        <v>18</v>
      </c>
      <c r="P597">
        <v>5</v>
      </c>
    </row>
    <row r="598" spans="1:16" x14ac:dyDescent="0.3">
      <c r="A598">
        <v>1088</v>
      </c>
      <c r="B598">
        <v>44058</v>
      </c>
      <c r="C598">
        <v>29</v>
      </c>
      <c r="D598">
        <v>33336</v>
      </c>
      <c r="E598" t="s">
        <v>14</v>
      </c>
      <c r="F598" t="s">
        <v>15</v>
      </c>
      <c r="G598" t="s">
        <v>17</v>
      </c>
      <c r="H598" t="s">
        <v>86</v>
      </c>
      <c r="I598" t="s">
        <v>9</v>
      </c>
      <c r="J598" t="s">
        <v>10</v>
      </c>
      <c r="K598" t="s">
        <v>26</v>
      </c>
      <c r="L598" t="s">
        <v>87</v>
      </c>
      <c r="M598" t="s">
        <v>32</v>
      </c>
      <c r="N598" t="s">
        <v>16</v>
      </c>
      <c r="O598" t="s">
        <v>18</v>
      </c>
      <c r="P598">
        <v>3</v>
      </c>
    </row>
    <row r="599" spans="1:16" x14ac:dyDescent="0.3">
      <c r="A599">
        <v>1089</v>
      </c>
      <c r="B599">
        <v>45073</v>
      </c>
      <c r="C599">
        <v>70</v>
      </c>
      <c r="D599">
        <v>19478</v>
      </c>
      <c r="E599" t="s">
        <v>14</v>
      </c>
      <c r="F599" t="s">
        <v>15</v>
      </c>
      <c r="G599" t="s">
        <v>34</v>
      </c>
      <c r="H599" t="s">
        <v>86</v>
      </c>
      <c r="I599" t="s">
        <v>9</v>
      </c>
      <c r="J599" t="s">
        <v>25</v>
      </c>
      <c r="K599" t="s">
        <v>19</v>
      </c>
      <c r="L599" t="s">
        <v>87</v>
      </c>
      <c r="M599" t="s">
        <v>59</v>
      </c>
      <c r="N599" t="s">
        <v>37</v>
      </c>
      <c r="O599" t="s">
        <v>18</v>
      </c>
      <c r="P599">
        <v>1</v>
      </c>
    </row>
    <row r="600" spans="1:16" x14ac:dyDescent="0.3">
      <c r="A600">
        <v>1090</v>
      </c>
      <c r="B600">
        <v>44928</v>
      </c>
      <c r="C600">
        <v>58</v>
      </c>
      <c r="D600">
        <v>23982</v>
      </c>
      <c r="E600" t="s">
        <v>14</v>
      </c>
      <c r="F600" t="s">
        <v>15</v>
      </c>
      <c r="G600" t="s">
        <v>40</v>
      </c>
      <c r="H600" t="s">
        <v>88</v>
      </c>
      <c r="I600" t="s">
        <v>9</v>
      </c>
      <c r="J600" t="s">
        <v>20</v>
      </c>
      <c r="K600" t="s">
        <v>11</v>
      </c>
      <c r="L600" t="s">
        <v>87</v>
      </c>
      <c r="M600" t="s">
        <v>35</v>
      </c>
      <c r="N600" t="s">
        <v>37</v>
      </c>
      <c r="O600" t="s">
        <v>18</v>
      </c>
      <c r="P600">
        <v>3</v>
      </c>
    </row>
    <row r="601" spans="1:16" x14ac:dyDescent="0.3">
      <c r="A601">
        <v>1091</v>
      </c>
      <c r="B601">
        <v>43420</v>
      </c>
      <c r="C601">
        <v>32</v>
      </c>
      <c r="D601">
        <v>31650</v>
      </c>
      <c r="E601" t="s">
        <v>14</v>
      </c>
      <c r="F601" t="s">
        <v>22</v>
      </c>
      <c r="G601" t="s">
        <v>31</v>
      </c>
      <c r="H601" t="s">
        <v>8</v>
      </c>
      <c r="I601" t="s">
        <v>9</v>
      </c>
      <c r="J601" t="s">
        <v>10</v>
      </c>
      <c r="K601" t="s">
        <v>26</v>
      </c>
      <c r="L601" t="s">
        <v>12</v>
      </c>
      <c r="M601" t="s">
        <v>28</v>
      </c>
      <c r="N601" t="s">
        <v>46</v>
      </c>
      <c r="O601" t="s">
        <v>18</v>
      </c>
      <c r="P601">
        <v>4</v>
      </c>
    </row>
    <row r="602" spans="1:16" x14ac:dyDescent="0.3">
      <c r="A602">
        <v>1092</v>
      </c>
      <c r="B602">
        <v>44754</v>
      </c>
      <c r="C602">
        <v>52</v>
      </c>
      <c r="D602">
        <v>25595</v>
      </c>
      <c r="E602" t="s">
        <v>14</v>
      </c>
      <c r="F602" t="s">
        <v>15</v>
      </c>
      <c r="G602" t="s">
        <v>40</v>
      </c>
      <c r="H602" t="s">
        <v>8</v>
      </c>
      <c r="I602" t="s">
        <v>9</v>
      </c>
      <c r="J602" t="s">
        <v>20</v>
      </c>
      <c r="K602" t="s">
        <v>11</v>
      </c>
      <c r="L602" t="s">
        <v>12</v>
      </c>
      <c r="M602" t="s">
        <v>35</v>
      </c>
      <c r="N602" t="s">
        <v>23</v>
      </c>
      <c r="O602" t="s">
        <v>18</v>
      </c>
      <c r="P602">
        <v>4</v>
      </c>
    </row>
    <row r="603" spans="1:16" x14ac:dyDescent="0.3">
      <c r="A603">
        <v>1093</v>
      </c>
      <c r="B603">
        <v>44911</v>
      </c>
      <c r="C603">
        <v>43</v>
      </c>
      <c r="D603">
        <v>28971</v>
      </c>
      <c r="E603" t="s">
        <v>14</v>
      </c>
      <c r="F603" t="s">
        <v>15</v>
      </c>
      <c r="G603" t="s">
        <v>17</v>
      </c>
      <c r="H603" t="s">
        <v>8</v>
      </c>
      <c r="I603" t="s">
        <v>9</v>
      </c>
      <c r="J603" t="s">
        <v>10</v>
      </c>
      <c r="K603" t="s">
        <v>26</v>
      </c>
      <c r="L603" t="s">
        <v>12</v>
      </c>
      <c r="M603" t="s">
        <v>42</v>
      </c>
      <c r="N603" t="s">
        <v>46</v>
      </c>
      <c r="O603" t="s">
        <v>18</v>
      </c>
      <c r="P603">
        <v>1</v>
      </c>
    </row>
    <row r="604" spans="1:16" x14ac:dyDescent="0.3">
      <c r="A604">
        <v>1094</v>
      </c>
      <c r="B604">
        <v>45054</v>
      </c>
      <c r="C604">
        <v>29</v>
      </c>
      <c r="D604">
        <v>34411</v>
      </c>
      <c r="E604" t="s">
        <v>14</v>
      </c>
      <c r="F604" t="s">
        <v>15</v>
      </c>
      <c r="G604" t="s">
        <v>31</v>
      </c>
      <c r="H604" t="s">
        <v>64</v>
      </c>
      <c r="I604" t="s">
        <v>9</v>
      </c>
      <c r="J604" t="s">
        <v>20</v>
      </c>
      <c r="K604" t="s">
        <v>19</v>
      </c>
      <c r="L604" t="s">
        <v>12</v>
      </c>
      <c r="M604" t="s">
        <v>35</v>
      </c>
      <c r="N604" t="s">
        <v>30</v>
      </c>
      <c r="O604" t="s">
        <v>18</v>
      </c>
      <c r="P604">
        <v>4</v>
      </c>
    </row>
    <row r="605" spans="1:16" x14ac:dyDescent="0.3">
      <c r="A605">
        <v>1095</v>
      </c>
      <c r="B605">
        <v>45023</v>
      </c>
      <c r="C605">
        <v>82</v>
      </c>
      <c r="D605">
        <v>15308</v>
      </c>
      <c r="E605" t="s">
        <v>14</v>
      </c>
      <c r="F605" t="s">
        <v>15</v>
      </c>
      <c r="G605" t="s">
        <v>40</v>
      </c>
      <c r="H605" t="s">
        <v>64</v>
      </c>
      <c r="I605" t="s">
        <v>9</v>
      </c>
      <c r="J605" t="s">
        <v>25</v>
      </c>
      <c r="K605" t="s">
        <v>19</v>
      </c>
      <c r="L605" t="s">
        <v>12</v>
      </c>
      <c r="M605" t="s">
        <v>42</v>
      </c>
      <c r="N605" t="s">
        <v>23</v>
      </c>
      <c r="O605" t="s">
        <v>18</v>
      </c>
      <c r="P605">
        <v>2</v>
      </c>
    </row>
    <row r="606" spans="1:16" x14ac:dyDescent="0.3">
      <c r="A606">
        <v>1096</v>
      </c>
      <c r="B606">
        <v>44607</v>
      </c>
      <c r="C606">
        <v>49</v>
      </c>
      <c r="D606">
        <v>26675</v>
      </c>
      <c r="E606" t="s">
        <v>14</v>
      </c>
      <c r="F606" t="s">
        <v>15</v>
      </c>
      <c r="G606" t="s">
        <v>34</v>
      </c>
      <c r="H606" t="s">
        <v>8</v>
      </c>
      <c r="I606" t="s">
        <v>9</v>
      </c>
      <c r="J606" t="s">
        <v>20</v>
      </c>
      <c r="K606" t="s">
        <v>11</v>
      </c>
      <c r="L606" t="s">
        <v>12</v>
      </c>
      <c r="M606" t="s">
        <v>58</v>
      </c>
      <c r="N606" t="s">
        <v>46</v>
      </c>
      <c r="O606" t="s">
        <v>18</v>
      </c>
      <c r="P606">
        <v>3</v>
      </c>
    </row>
    <row r="607" spans="1:16" x14ac:dyDescent="0.3">
      <c r="A607">
        <v>1097</v>
      </c>
      <c r="B607">
        <v>45124</v>
      </c>
      <c r="C607">
        <v>24</v>
      </c>
      <c r="D607">
        <v>36374</v>
      </c>
      <c r="E607" t="s">
        <v>14</v>
      </c>
      <c r="F607" t="s">
        <v>22</v>
      </c>
      <c r="G607" t="s">
        <v>40</v>
      </c>
      <c r="H607" t="s">
        <v>8</v>
      </c>
      <c r="I607" t="s">
        <v>9</v>
      </c>
      <c r="J607" t="s">
        <v>10</v>
      </c>
      <c r="K607" t="s">
        <v>26</v>
      </c>
      <c r="L607" t="s">
        <v>12</v>
      </c>
      <c r="M607" t="s">
        <v>35</v>
      </c>
      <c r="N607" t="s">
        <v>23</v>
      </c>
      <c r="O607" t="s">
        <v>18</v>
      </c>
      <c r="P607">
        <v>2</v>
      </c>
    </row>
    <row r="608" spans="1:16" x14ac:dyDescent="0.3">
      <c r="A608">
        <v>1098</v>
      </c>
      <c r="B608">
        <v>43588</v>
      </c>
      <c r="C608">
        <v>26</v>
      </c>
      <c r="D608">
        <v>33979</v>
      </c>
      <c r="E608" t="s">
        <v>14</v>
      </c>
      <c r="F608" t="s">
        <v>22</v>
      </c>
      <c r="G608" t="s">
        <v>17</v>
      </c>
      <c r="H608" t="s">
        <v>8</v>
      </c>
      <c r="I608" t="s">
        <v>66</v>
      </c>
      <c r="J608" t="s">
        <v>20</v>
      </c>
      <c r="K608" t="s">
        <v>19</v>
      </c>
      <c r="L608" t="s">
        <v>12</v>
      </c>
      <c r="M608" t="s">
        <v>38</v>
      </c>
      <c r="N608" t="s">
        <v>46</v>
      </c>
      <c r="O608" t="s">
        <v>18</v>
      </c>
      <c r="P608">
        <v>2</v>
      </c>
    </row>
    <row r="609" spans="1:16" x14ac:dyDescent="0.3">
      <c r="A609">
        <v>1099</v>
      </c>
      <c r="B609">
        <v>44645</v>
      </c>
      <c r="C609">
        <v>51</v>
      </c>
      <c r="D609">
        <v>26291</v>
      </c>
      <c r="E609" t="s">
        <v>14</v>
      </c>
      <c r="F609" t="s">
        <v>15</v>
      </c>
      <c r="G609" t="s">
        <v>31</v>
      </c>
      <c r="H609" t="s">
        <v>8</v>
      </c>
      <c r="I609" t="s">
        <v>9</v>
      </c>
      <c r="J609" t="s">
        <v>20</v>
      </c>
      <c r="K609" t="s">
        <v>19</v>
      </c>
      <c r="L609" t="s">
        <v>12</v>
      </c>
      <c r="M609" t="s">
        <v>35</v>
      </c>
      <c r="N609" t="s">
        <v>30</v>
      </c>
      <c r="O609" t="s">
        <v>18</v>
      </c>
      <c r="P609">
        <v>5</v>
      </c>
    </row>
    <row r="610" spans="1:16" x14ac:dyDescent="0.3">
      <c r="A610">
        <v>1100</v>
      </c>
      <c r="B610">
        <v>43928</v>
      </c>
      <c r="C610">
        <v>56</v>
      </c>
      <c r="D610">
        <v>23507</v>
      </c>
      <c r="E610" t="s">
        <v>14</v>
      </c>
      <c r="F610" t="s">
        <v>22</v>
      </c>
      <c r="G610" t="s">
        <v>40</v>
      </c>
      <c r="H610" t="s">
        <v>8</v>
      </c>
      <c r="I610" t="s">
        <v>9</v>
      </c>
      <c r="J610" t="s">
        <v>25</v>
      </c>
      <c r="K610" t="s">
        <v>11</v>
      </c>
      <c r="L610" t="s">
        <v>12</v>
      </c>
      <c r="M610" t="s">
        <v>35</v>
      </c>
      <c r="N610" t="s">
        <v>16</v>
      </c>
      <c r="O610" t="s">
        <v>18</v>
      </c>
      <c r="P610">
        <v>4</v>
      </c>
    </row>
    <row r="611" spans="1:16" x14ac:dyDescent="0.3">
      <c r="A611">
        <v>1101</v>
      </c>
      <c r="B611">
        <v>44265</v>
      </c>
      <c r="C611">
        <v>77</v>
      </c>
      <c r="D611">
        <v>16150</v>
      </c>
      <c r="E611" t="s">
        <v>14</v>
      </c>
      <c r="F611" t="s">
        <v>15</v>
      </c>
      <c r="G611" t="s">
        <v>17</v>
      </c>
      <c r="H611" t="s">
        <v>8</v>
      </c>
      <c r="I611" t="s">
        <v>9</v>
      </c>
      <c r="J611" t="s">
        <v>25</v>
      </c>
      <c r="K611" t="s">
        <v>19</v>
      </c>
      <c r="L611" t="s">
        <v>12</v>
      </c>
      <c r="M611" t="s">
        <v>42</v>
      </c>
      <c r="N611" t="s">
        <v>16</v>
      </c>
      <c r="O611" t="s">
        <v>18</v>
      </c>
      <c r="P611">
        <v>1</v>
      </c>
    </row>
    <row r="612" spans="1:16" x14ac:dyDescent="0.3">
      <c r="A612">
        <v>1102</v>
      </c>
      <c r="B612">
        <v>43681</v>
      </c>
      <c r="C612">
        <v>66</v>
      </c>
      <c r="D612">
        <v>19621</v>
      </c>
      <c r="E612" t="s">
        <v>14</v>
      </c>
      <c r="F612" t="s">
        <v>15</v>
      </c>
      <c r="G612" t="s">
        <v>31</v>
      </c>
      <c r="H612" t="s">
        <v>64</v>
      </c>
      <c r="I612" t="s">
        <v>9</v>
      </c>
      <c r="J612" t="s">
        <v>20</v>
      </c>
      <c r="K612" t="s">
        <v>19</v>
      </c>
      <c r="L612" t="s">
        <v>12</v>
      </c>
      <c r="M612" t="s">
        <v>32</v>
      </c>
      <c r="N612" t="s">
        <v>37</v>
      </c>
      <c r="O612" t="s">
        <v>18</v>
      </c>
      <c r="P612">
        <v>1</v>
      </c>
    </row>
    <row r="613" spans="1:16" x14ac:dyDescent="0.3">
      <c r="A613">
        <v>1103</v>
      </c>
      <c r="B613">
        <v>44297</v>
      </c>
      <c r="C613">
        <v>64</v>
      </c>
      <c r="D613">
        <v>20912</v>
      </c>
      <c r="E613" t="s">
        <v>14</v>
      </c>
      <c r="F613" t="s">
        <v>22</v>
      </c>
      <c r="G613" t="s">
        <v>17</v>
      </c>
      <c r="H613" t="s">
        <v>8</v>
      </c>
      <c r="I613" t="s">
        <v>66</v>
      </c>
      <c r="J613" t="s">
        <v>25</v>
      </c>
      <c r="K613" t="s">
        <v>11</v>
      </c>
      <c r="L613" t="s">
        <v>12</v>
      </c>
      <c r="M613" t="s">
        <v>49</v>
      </c>
      <c r="N613" t="s">
        <v>46</v>
      </c>
      <c r="O613" t="s">
        <v>18</v>
      </c>
      <c r="P613">
        <v>3</v>
      </c>
    </row>
    <row r="614" spans="1:16" x14ac:dyDescent="0.3">
      <c r="A614">
        <v>1104</v>
      </c>
      <c r="B614">
        <v>43632</v>
      </c>
      <c r="C614">
        <v>24</v>
      </c>
      <c r="D614">
        <v>34956</v>
      </c>
      <c r="E614" t="s">
        <v>14</v>
      </c>
      <c r="F614" t="s">
        <v>22</v>
      </c>
      <c r="G614" t="s">
        <v>40</v>
      </c>
      <c r="H614" t="s">
        <v>8</v>
      </c>
      <c r="I614" t="s">
        <v>9</v>
      </c>
      <c r="J614" t="s">
        <v>20</v>
      </c>
      <c r="K614" t="s">
        <v>11</v>
      </c>
      <c r="L614" t="s">
        <v>12</v>
      </c>
      <c r="M614" t="s">
        <v>38</v>
      </c>
      <c r="N614" t="s">
        <v>46</v>
      </c>
      <c r="O614" t="s">
        <v>18</v>
      </c>
      <c r="P614">
        <v>4</v>
      </c>
    </row>
    <row r="615" spans="1:16" x14ac:dyDescent="0.3">
      <c r="A615">
        <v>1105</v>
      </c>
      <c r="B615">
        <v>44112</v>
      </c>
      <c r="C615">
        <v>72</v>
      </c>
      <c r="D615">
        <v>17817</v>
      </c>
      <c r="E615" t="s">
        <v>14</v>
      </c>
      <c r="F615" t="s">
        <v>15</v>
      </c>
      <c r="G615" t="s">
        <v>31</v>
      </c>
      <c r="H615" t="s">
        <v>8</v>
      </c>
      <c r="I615" t="s">
        <v>66</v>
      </c>
      <c r="J615" t="s">
        <v>10</v>
      </c>
      <c r="K615" t="s">
        <v>19</v>
      </c>
      <c r="L615" t="s">
        <v>12</v>
      </c>
      <c r="M615" t="s">
        <v>32</v>
      </c>
      <c r="N615" t="s">
        <v>23</v>
      </c>
      <c r="O615" t="s">
        <v>18</v>
      </c>
      <c r="P615">
        <v>4</v>
      </c>
    </row>
    <row r="616" spans="1:16" x14ac:dyDescent="0.3">
      <c r="A616">
        <v>1106</v>
      </c>
      <c r="B616">
        <v>44426</v>
      </c>
      <c r="C616">
        <v>26</v>
      </c>
      <c r="D616">
        <v>34700</v>
      </c>
      <c r="E616" t="s">
        <v>14</v>
      </c>
      <c r="F616" t="s">
        <v>22</v>
      </c>
      <c r="G616" t="s">
        <v>31</v>
      </c>
      <c r="H616" t="s">
        <v>64</v>
      </c>
      <c r="I616" t="s">
        <v>9</v>
      </c>
      <c r="J616" t="s">
        <v>25</v>
      </c>
      <c r="K616" t="s">
        <v>26</v>
      </c>
      <c r="L616" t="s">
        <v>12</v>
      </c>
      <c r="M616" t="s">
        <v>21</v>
      </c>
      <c r="N616" t="s">
        <v>30</v>
      </c>
      <c r="O616" t="s">
        <v>18</v>
      </c>
      <c r="P616">
        <v>3</v>
      </c>
    </row>
    <row r="617" spans="1:16" x14ac:dyDescent="0.3">
      <c r="A617">
        <v>1107</v>
      </c>
      <c r="B617">
        <v>43906</v>
      </c>
      <c r="C617">
        <v>28</v>
      </c>
      <c r="D617">
        <v>33643</v>
      </c>
      <c r="E617" t="s">
        <v>14</v>
      </c>
      <c r="F617" t="s">
        <v>15</v>
      </c>
      <c r="G617" t="s">
        <v>31</v>
      </c>
      <c r="H617" t="s">
        <v>64</v>
      </c>
      <c r="I617" t="s">
        <v>9</v>
      </c>
      <c r="J617" t="s">
        <v>10</v>
      </c>
      <c r="K617" t="s">
        <v>19</v>
      </c>
      <c r="L617" t="s">
        <v>12</v>
      </c>
      <c r="M617" t="s">
        <v>59</v>
      </c>
      <c r="N617" t="s">
        <v>30</v>
      </c>
      <c r="O617" t="s">
        <v>18</v>
      </c>
      <c r="P617">
        <v>5</v>
      </c>
    </row>
    <row r="618" spans="1:16" x14ac:dyDescent="0.3">
      <c r="A618">
        <v>1108</v>
      </c>
      <c r="B618">
        <v>43489</v>
      </c>
      <c r="C618">
        <v>50</v>
      </c>
      <c r="D618">
        <v>25311</v>
      </c>
      <c r="E618" t="s">
        <v>14</v>
      </c>
      <c r="F618" t="s">
        <v>22</v>
      </c>
      <c r="G618" t="s">
        <v>34</v>
      </c>
      <c r="H618" t="s">
        <v>8</v>
      </c>
      <c r="I618" t="s">
        <v>9</v>
      </c>
      <c r="J618" t="s">
        <v>25</v>
      </c>
      <c r="K618" t="s">
        <v>19</v>
      </c>
      <c r="L618" t="s">
        <v>12</v>
      </c>
      <c r="M618" t="s">
        <v>32</v>
      </c>
      <c r="N618" t="s">
        <v>16</v>
      </c>
      <c r="O618" t="s">
        <v>18</v>
      </c>
      <c r="P618">
        <v>5</v>
      </c>
    </row>
    <row r="619" spans="1:16" x14ac:dyDescent="0.3">
      <c r="A619">
        <v>1109</v>
      </c>
      <c r="B619">
        <v>44723</v>
      </c>
      <c r="C619">
        <v>41</v>
      </c>
      <c r="D619">
        <v>29860</v>
      </c>
      <c r="E619" t="s">
        <v>14</v>
      </c>
      <c r="F619" t="s">
        <v>15</v>
      </c>
      <c r="G619" t="s">
        <v>40</v>
      </c>
      <c r="H619" t="s">
        <v>8</v>
      </c>
      <c r="I619" t="s">
        <v>66</v>
      </c>
      <c r="J619" t="s">
        <v>25</v>
      </c>
      <c r="K619" t="s">
        <v>11</v>
      </c>
      <c r="L619" t="s">
        <v>12</v>
      </c>
      <c r="M619" t="s">
        <v>35</v>
      </c>
      <c r="N619" t="s">
        <v>16</v>
      </c>
      <c r="O619" t="s">
        <v>18</v>
      </c>
      <c r="P619">
        <v>5</v>
      </c>
    </row>
    <row r="620" spans="1:16" x14ac:dyDescent="0.3">
      <c r="A620">
        <v>1110</v>
      </c>
      <c r="B620">
        <v>44744</v>
      </c>
      <c r="C620">
        <v>35</v>
      </c>
      <c r="D620">
        <v>31902</v>
      </c>
      <c r="E620" t="s">
        <v>14</v>
      </c>
      <c r="F620" t="s">
        <v>15</v>
      </c>
      <c r="G620" t="s">
        <v>31</v>
      </c>
      <c r="H620" t="s">
        <v>64</v>
      </c>
      <c r="I620" t="s">
        <v>9</v>
      </c>
      <c r="J620" t="s">
        <v>25</v>
      </c>
      <c r="K620" t="s">
        <v>26</v>
      </c>
      <c r="L620" t="s">
        <v>12</v>
      </c>
      <c r="M620" t="s">
        <v>32</v>
      </c>
      <c r="N620" t="s">
        <v>46</v>
      </c>
      <c r="O620" t="s">
        <v>18</v>
      </c>
      <c r="P620">
        <v>1</v>
      </c>
    </row>
    <row r="621" spans="1:16" x14ac:dyDescent="0.3">
      <c r="A621">
        <v>1111</v>
      </c>
      <c r="B621">
        <v>43716</v>
      </c>
      <c r="C621">
        <v>67</v>
      </c>
      <c r="D621">
        <v>19145</v>
      </c>
      <c r="E621" t="s">
        <v>14</v>
      </c>
      <c r="F621" t="s">
        <v>15</v>
      </c>
      <c r="G621" t="s">
        <v>17</v>
      </c>
      <c r="H621" t="s">
        <v>8</v>
      </c>
      <c r="I621" t="s">
        <v>66</v>
      </c>
      <c r="J621" t="s">
        <v>25</v>
      </c>
      <c r="K621" t="s">
        <v>19</v>
      </c>
      <c r="L621" t="s">
        <v>12</v>
      </c>
      <c r="M621" t="s">
        <v>49</v>
      </c>
      <c r="N621" t="s">
        <v>16</v>
      </c>
      <c r="O621" t="s">
        <v>18</v>
      </c>
      <c r="P621">
        <v>1</v>
      </c>
    </row>
    <row r="622" spans="1:16" x14ac:dyDescent="0.3">
      <c r="A622">
        <v>1112</v>
      </c>
      <c r="B622">
        <v>44752</v>
      </c>
      <c r="C622">
        <v>47</v>
      </c>
      <c r="D622">
        <v>27590</v>
      </c>
      <c r="E622" t="s">
        <v>14</v>
      </c>
      <c r="F622" t="s">
        <v>15</v>
      </c>
      <c r="G622" t="s">
        <v>31</v>
      </c>
      <c r="H622" t="s">
        <v>8</v>
      </c>
      <c r="I622" t="s">
        <v>9</v>
      </c>
      <c r="J622" t="s">
        <v>25</v>
      </c>
      <c r="K622" t="s">
        <v>19</v>
      </c>
      <c r="L622" t="s">
        <v>12</v>
      </c>
      <c r="M622" t="s">
        <v>42</v>
      </c>
      <c r="N622" t="s">
        <v>16</v>
      </c>
      <c r="O622" t="s">
        <v>18</v>
      </c>
      <c r="P622">
        <v>1</v>
      </c>
    </row>
    <row r="623" spans="1:16" x14ac:dyDescent="0.3">
      <c r="A623">
        <v>1113</v>
      </c>
      <c r="B623">
        <v>44675</v>
      </c>
      <c r="C623">
        <v>46</v>
      </c>
      <c r="D623">
        <v>28006</v>
      </c>
      <c r="E623" t="s">
        <v>14</v>
      </c>
      <c r="F623" t="s">
        <v>15</v>
      </c>
      <c r="G623" t="s">
        <v>40</v>
      </c>
      <c r="H623" t="s">
        <v>8</v>
      </c>
      <c r="I623" t="s">
        <v>9</v>
      </c>
      <c r="J623" t="s">
        <v>10</v>
      </c>
      <c r="K623" t="s">
        <v>26</v>
      </c>
      <c r="L623" t="s">
        <v>12</v>
      </c>
      <c r="M623" t="s">
        <v>32</v>
      </c>
      <c r="N623" t="s">
        <v>46</v>
      </c>
      <c r="O623" t="s">
        <v>18</v>
      </c>
      <c r="P623">
        <v>3</v>
      </c>
    </row>
    <row r="624" spans="1:16" x14ac:dyDescent="0.3">
      <c r="A624">
        <v>1114</v>
      </c>
      <c r="B624">
        <v>43921</v>
      </c>
      <c r="C624">
        <v>60</v>
      </c>
      <c r="D624">
        <v>22281</v>
      </c>
      <c r="E624" t="s">
        <v>14</v>
      </c>
      <c r="F624" t="s">
        <v>15</v>
      </c>
      <c r="G624" t="s">
        <v>17</v>
      </c>
      <c r="H624" t="s">
        <v>8</v>
      </c>
      <c r="I624" t="s">
        <v>9</v>
      </c>
      <c r="J624" t="s">
        <v>25</v>
      </c>
      <c r="K624" t="s">
        <v>11</v>
      </c>
      <c r="L624" t="s">
        <v>12</v>
      </c>
      <c r="M624" t="s">
        <v>32</v>
      </c>
      <c r="N624" t="s">
        <v>23</v>
      </c>
      <c r="O624" t="s">
        <v>18</v>
      </c>
      <c r="P624">
        <v>3</v>
      </c>
    </row>
    <row r="625" spans="1:16" x14ac:dyDescent="0.3">
      <c r="A625">
        <v>1115</v>
      </c>
      <c r="B625">
        <v>43547</v>
      </c>
      <c r="C625">
        <v>22</v>
      </c>
      <c r="D625">
        <v>35480</v>
      </c>
      <c r="E625" t="s">
        <v>14</v>
      </c>
      <c r="F625" t="s">
        <v>22</v>
      </c>
      <c r="G625" t="s">
        <v>17</v>
      </c>
      <c r="H625" t="s">
        <v>8</v>
      </c>
      <c r="I625" t="s">
        <v>9</v>
      </c>
      <c r="J625" t="s">
        <v>10</v>
      </c>
      <c r="K625" t="s">
        <v>19</v>
      </c>
      <c r="L625" t="s">
        <v>12</v>
      </c>
      <c r="M625" t="s">
        <v>35</v>
      </c>
      <c r="N625" t="s">
        <v>37</v>
      </c>
      <c r="O625" t="s">
        <v>18</v>
      </c>
      <c r="P625">
        <v>1</v>
      </c>
    </row>
    <row r="626" spans="1:16" x14ac:dyDescent="0.3">
      <c r="A626">
        <v>1116</v>
      </c>
      <c r="B626">
        <v>43533</v>
      </c>
      <c r="C626">
        <v>35</v>
      </c>
      <c r="D626">
        <v>30904</v>
      </c>
      <c r="E626" t="s">
        <v>14</v>
      </c>
      <c r="F626" t="s">
        <v>22</v>
      </c>
      <c r="G626" t="s">
        <v>40</v>
      </c>
      <c r="H626" t="s">
        <v>8</v>
      </c>
      <c r="I626" t="s">
        <v>66</v>
      </c>
      <c r="J626" t="s">
        <v>25</v>
      </c>
      <c r="K626" t="s">
        <v>19</v>
      </c>
      <c r="L626" t="s">
        <v>12</v>
      </c>
      <c r="M626" t="s">
        <v>35</v>
      </c>
      <c r="N626" t="s">
        <v>16</v>
      </c>
      <c r="O626" t="s">
        <v>18</v>
      </c>
      <c r="P626">
        <v>4</v>
      </c>
    </row>
    <row r="627" spans="1:16" x14ac:dyDescent="0.3">
      <c r="A627">
        <v>1117</v>
      </c>
      <c r="B627">
        <v>43517</v>
      </c>
      <c r="C627">
        <v>22</v>
      </c>
      <c r="D627">
        <v>35665</v>
      </c>
      <c r="E627" t="s">
        <v>14</v>
      </c>
      <c r="F627" t="s">
        <v>22</v>
      </c>
      <c r="G627" t="s">
        <v>40</v>
      </c>
      <c r="H627" t="s">
        <v>8</v>
      </c>
      <c r="I627" t="s">
        <v>66</v>
      </c>
      <c r="J627" t="s">
        <v>25</v>
      </c>
      <c r="K627" t="s">
        <v>11</v>
      </c>
      <c r="L627" t="s">
        <v>12</v>
      </c>
      <c r="M627" t="s">
        <v>32</v>
      </c>
      <c r="N627" t="s">
        <v>30</v>
      </c>
      <c r="O627" t="s">
        <v>18</v>
      </c>
      <c r="P627">
        <v>5</v>
      </c>
    </row>
    <row r="628" spans="1:16" x14ac:dyDescent="0.3">
      <c r="A628">
        <v>1118</v>
      </c>
      <c r="B628">
        <v>43742</v>
      </c>
      <c r="C628">
        <v>43</v>
      </c>
      <c r="D628">
        <v>27819</v>
      </c>
      <c r="E628" t="s">
        <v>14</v>
      </c>
      <c r="F628" t="s">
        <v>22</v>
      </c>
      <c r="G628" t="s">
        <v>40</v>
      </c>
      <c r="H628" t="s">
        <v>8</v>
      </c>
      <c r="I628" t="s">
        <v>9</v>
      </c>
      <c r="J628" t="s">
        <v>25</v>
      </c>
      <c r="K628" t="s">
        <v>26</v>
      </c>
      <c r="L628" t="s">
        <v>12</v>
      </c>
      <c r="M628" t="s">
        <v>42</v>
      </c>
      <c r="N628" t="s">
        <v>46</v>
      </c>
      <c r="O628" t="s">
        <v>18</v>
      </c>
      <c r="P628">
        <v>5</v>
      </c>
    </row>
    <row r="629" spans="1:16" x14ac:dyDescent="0.3">
      <c r="A629">
        <v>1119</v>
      </c>
      <c r="B629">
        <v>43793</v>
      </c>
      <c r="C629">
        <v>25</v>
      </c>
      <c r="D629">
        <v>34699</v>
      </c>
      <c r="E629" t="s">
        <v>14</v>
      </c>
      <c r="F629" t="s">
        <v>15</v>
      </c>
      <c r="G629" t="s">
        <v>31</v>
      </c>
      <c r="H629" t="s">
        <v>8</v>
      </c>
      <c r="I629" t="s">
        <v>9</v>
      </c>
      <c r="J629" t="s">
        <v>20</v>
      </c>
      <c r="K629" t="s">
        <v>11</v>
      </c>
      <c r="L629" t="s">
        <v>12</v>
      </c>
      <c r="M629" t="s">
        <v>35</v>
      </c>
      <c r="N629" t="s">
        <v>16</v>
      </c>
      <c r="O629" t="s">
        <v>18</v>
      </c>
      <c r="P629">
        <v>4</v>
      </c>
    </row>
    <row r="630" spans="1:16" x14ac:dyDescent="0.3">
      <c r="A630">
        <v>1120</v>
      </c>
      <c r="B630">
        <v>44060</v>
      </c>
      <c r="C630">
        <v>52</v>
      </c>
      <c r="D630">
        <v>25101</v>
      </c>
      <c r="E630" t="s">
        <v>14</v>
      </c>
      <c r="F630" t="s">
        <v>15</v>
      </c>
      <c r="G630" t="s">
        <v>40</v>
      </c>
      <c r="H630" t="s">
        <v>8</v>
      </c>
      <c r="I630" t="s">
        <v>9</v>
      </c>
      <c r="J630" t="s">
        <v>20</v>
      </c>
      <c r="K630" t="s">
        <v>26</v>
      </c>
      <c r="L630" t="s">
        <v>12</v>
      </c>
      <c r="M630" t="s">
        <v>62</v>
      </c>
      <c r="N630" t="s">
        <v>37</v>
      </c>
      <c r="O630" t="s">
        <v>18</v>
      </c>
      <c r="P630">
        <v>3</v>
      </c>
    </row>
    <row r="631" spans="1:16" x14ac:dyDescent="0.3">
      <c r="A631">
        <v>1121</v>
      </c>
      <c r="B631">
        <v>44271</v>
      </c>
      <c r="C631">
        <v>40</v>
      </c>
      <c r="D631">
        <v>29735</v>
      </c>
      <c r="E631" t="s">
        <v>14</v>
      </c>
      <c r="F631" t="s">
        <v>15</v>
      </c>
      <c r="G631" t="s">
        <v>17</v>
      </c>
      <c r="H631" t="s">
        <v>91</v>
      </c>
      <c r="I631" t="s">
        <v>9</v>
      </c>
      <c r="J631" t="s">
        <v>20</v>
      </c>
      <c r="K631" t="s">
        <v>11</v>
      </c>
      <c r="L631" t="s">
        <v>12</v>
      </c>
      <c r="M631" t="s">
        <v>21</v>
      </c>
      <c r="N631" t="s">
        <v>23</v>
      </c>
      <c r="O631" t="s">
        <v>18</v>
      </c>
      <c r="P631">
        <v>1</v>
      </c>
    </row>
    <row r="632" spans="1:16" x14ac:dyDescent="0.3">
      <c r="A632">
        <v>1122</v>
      </c>
      <c r="B632">
        <v>44516</v>
      </c>
      <c r="C632">
        <v>46</v>
      </c>
      <c r="D632">
        <v>27711</v>
      </c>
      <c r="E632" t="s">
        <v>14</v>
      </c>
      <c r="F632" t="s">
        <v>15</v>
      </c>
      <c r="G632" t="s">
        <v>34</v>
      </c>
      <c r="H632" t="s">
        <v>91</v>
      </c>
      <c r="I632" t="s">
        <v>9</v>
      </c>
      <c r="J632" t="s">
        <v>10</v>
      </c>
      <c r="K632" t="s">
        <v>11</v>
      </c>
      <c r="L632" t="s">
        <v>12</v>
      </c>
      <c r="M632" t="s">
        <v>32</v>
      </c>
      <c r="N632" t="s">
        <v>16</v>
      </c>
      <c r="O632" t="s">
        <v>18</v>
      </c>
      <c r="P632">
        <v>1</v>
      </c>
    </row>
    <row r="633" spans="1:16" x14ac:dyDescent="0.3">
      <c r="A633">
        <v>1123</v>
      </c>
      <c r="B633">
        <v>44684</v>
      </c>
      <c r="C633">
        <v>57</v>
      </c>
      <c r="D633">
        <v>24052</v>
      </c>
      <c r="E633" t="s">
        <v>14</v>
      </c>
      <c r="F633" t="s">
        <v>15</v>
      </c>
      <c r="G633" t="s">
        <v>34</v>
      </c>
      <c r="H633" t="s">
        <v>91</v>
      </c>
      <c r="I633" t="s">
        <v>9</v>
      </c>
      <c r="J633" t="s">
        <v>25</v>
      </c>
      <c r="K633" t="s">
        <v>26</v>
      </c>
      <c r="L633" t="s">
        <v>12</v>
      </c>
      <c r="M633" t="s">
        <v>35</v>
      </c>
      <c r="N633" t="s">
        <v>30</v>
      </c>
      <c r="O633" t="s">
        <v>18</v>
      </c>
      <c r="P633">
        <v>3</v>
      </c>
    </row>
    <row r="634" spans="1:16" x14ac:dyDescent="0.3">
      <c r="A634">
        <v>1124</v>
      </c>
      <c r="B634">
        <v>43823</v>
      </c>
      <c r="C634">
        <v>33</v>
      </c>
      <c r="D634">
        <v>31580</v>
      </c>
      <c r="E634" t="s">
        <v>14</v>
      </c>
      <c r="F634" t="s">
        <v>15</v>
      </c>
      <c r="G634" t="s">
        <v>34</v>
      </c>
      <c r="H634" t="s">
        <v>91</v>
      </c>
      <c r="I634" t="s">
        <v>9</v>
      </c>
      <c r="J634" t="s">
        <v>25</v>
      </c>
      <c r="K634" t="s">
        <v>19</v>
      </c>
      <c r="L634" t="s">
        <v>12</v>
      </c>
      <c r="M634" t="s">
        <v>42</v>
      </c>
      <c r="N634" t="s">
        <v>30</v>
      </c>
      <c r="O634" t="s">
        <v>18</v>
      </c>
      <c r="P634">
        <v>2</v>
      </c>
    </row>
    <row r="635" spans="1:16" x14ac:dyDescent="0.3">
      <c r="A635">
        <v>1125</v>
      </c>
      <c r="B635">
        <v>44490</v>
      </c>
      <c r="C635">
        <v>30</v>
      </c>
      <c r="D635">
        <v>33363</v>
      </c>
      <c r="E635" t="s">
        <v>14</v>
      </c>
      <c r="F635" t="s">
        <v>22</v>
      </c>
      <c r="G635" t="s">
        <v>34</v>
      </c>
      <c r="H635" t="s">
        <v>64</v>
      </c>
      <c r="I635" t="s">
        <v>9</v>
      </c>
      <c r="J635" t="s">
        <v>10</v>
      </c>
      <c r="K635" t="s">
        <v>26</v>
      </c>
      <c r="L635" t="s">
        <v>12</v>
      </c>
      <c r="M635" t="s">
        <v>21</v>
      </c>
      <c r="N635" t="s">
        <v>23</v>
      </c>
      <c r="O635" t="s">
        <v>18</v>
      </c>
      <c r="P635">
        <v>3</v>
      </c>
    </row>
    <row r="636" spans="1:16" x14ac:dyDescent="0.3">
      <c r="A636">
        <v>1126</v>
      </c>
      <c r="B636">
        <v>43351</v>
      </c>
      <c r="C636">
        <v>59</v>
      </c>
      <c r="D636">
        <v>21850</v>
      </c>
      <c r="E636" t="s">
        <v>14</v>
      </c>
      <c r="F636" t="s">
        <v>22</v>
      </c>
      <c r="G636" t="s">
        <v>40</v>
      </c>
      <c r="H636" t="s">
        <v>64</v>
      </c>
      <c r="I636" t="s">
        <v>66</v>
      </c>
      <c r="J636" t="s">
        <v>20</v>
      </c>
      <c r="K636" t="s">
        <v>11</v>
      </c>
      <c r="L636" t="s">
        <v>12</v>
      </c>
      <c r="M636" t="s">
        <v>42</v>
      </c>
      <c r="N636" t="s">
        <v>16</v>
      </c>
      <c r="O636" t="s">
        <v>18</v>
      </c>
      <c r="P636">
        <v>3</v>
      </c>
    </row>
    <row r="637" spans="1:16" x14ac:dyDescent="0.3">
      <c r="A637">
        <v>1127</v>
      </c>
      <c r="B637">
        <v>43522</v>
      </c>
      <c r="C637">
        <v>18</v>
      </c>
      <c r="D637">
        <v>36978</v>
      </c>
      <c r="E637" t="s">
        <v>14</v>
      </c>
      <c r="F637" t="s">
        <v>22</v>
      </c>
      <c r="G637" t="s">
        <v>34</v>
      </c>
      <c r="H637" t="s">
        <v>64</v>
      </c>
      <c r="I637" t="s">
        <v>9</v>
      </c>
      <c r="J637" t="s">
        <v>25</v>
      </c>
      <c r="K637" t="s">
        <v>19</v>
      </c>
      <c r="L637" t="s">
        <v>12</v>
      </c>
      <c r="M637" t="s">
        <v>32</v>
      </c>
      <c r="N637" t="s">
        <v>16</v>
      </c>
      <c r="O637" t="s">
        <v>18</v>
      </c>
      <c r="P637">
        <v>1</v>
      </c>
    </row>
    <row r="638" spans="1:16" x14ac:dyDescent="0.3">
      <c r="A638">
        <v>1128</v>
      </c>
      <c r="B638">
        <v>45037</v>
      </c>
      <c r="C638">
        <v>66</v>
      </c>
      <c r="D638">
        <v>20991</v>
      </c>
      <c r="E638" t="s">
        <v>14</v>
      </c>
      <c r="F638" t="s">
        <v>15</v>
      </c>
      <c r="G638" t="s">
        <v>34</v>
      </c>
      <c r="H638" t="s">
        <v>64</v>
      </c>
      <c r="I638" t="s">
        <v>9</v>
      </c>
      <c r="J638" t="s">
        <v>20</v>
      </c>
      <c r="K638" t="s">
        <v>26</v>
      </c>
      <c r="L638" t="s">
        <v>12</v>
      </c>
      <c r="M638" t="s">
        <v>32</v>
      </c>
      <c r="N638" t="s">
        <v>23</v>
      </c>
      <c r="O638" t="s">
        <v>18</v>
      </c>
      <c r="P638">
        <v>2</v>
      </c>
    </row>
    <row r="639" spans="1:16" x14ac:dyDescent="0.3">
      <c r="A639">
        <v>1129</v>
      </c>
      <c r="B639">
        <v>43727</v>
      </c>
      <c r="C639">
        <v>63</v>
      </c>
      <c r="D639">
        <v>20592</v>
      </c>
      <c r="E639" t="s">
        <v>14</v>
      </c>
      <c r="F639" t="s">
        <v>15</v>
      </c>
      <c r="G639" t="s">
        <v>34</v>
      </c>
      <c r="H639" t="s">
        <v>64</v>
      </c>
      <c r="I639" t="s">
        <v>66</v>
      </c>
      <c r="J639" t="s">
        <v>25</v>
      </c>
      <c r="K639" t="s">
        <v>26</v>
      </c>
      <c r="L639" t="s">
        <v>12</v>
      </c>
      <c r="M639" t="s">
        <v>35</v>
      </c>
      <c r="N639" t="s">
        <v>30</v>
      </c>
      <c r="O639" t="s">
        <v>18</v>
      </c>
      <c r="P639">
        <v>1</v>
      </c>
    </row>
    <row r="640" spans="1:16" x14ac:dyDescent="0.3">
      <c r="A640">
        <v>1130</v>
      </c>
      <c r="B640">
        <v>44188</v>
      </c>
      <c r="C640">
        <v>23</v>
      </c>
      <c r="D640">
        <v>35478</v>
      </c>
      <c r="E640" t="s">
        <v>14</v>
      </c>
      <c r="F640" t="s">
        <v>15</v>
      </c>
      <c r="G640" t="s">
        <v>40</v>
      </c>
      <c r="H640" t="s">
        <v>8</v>
      </c>
      <c r="I640" t="s">
        <v>9</v>
      </c>
      <c r="J640" t="s">
        <v>10</v>
      </c>
      <c r="K640" t="s">
        <v>19</v>
      </c>
      <c r="L640" t="s">
        <v>12</v>
      </c>
      <c r="M640" t="s">
        <v>68</v>
      </c>
      <c r="N640" t="s">
        <v>23</v>
      </c>
      <c r="O640" t="s">
        <v>18</v>
      </c>
      <c r="P640">
        <v>5</v>
      </c>
    </row>
    <row r="641" spans="1:16" x14ac:dyDescent="0.3">
      <c r="A641">
        <v>1131</v>
      </c>
      <c r="B641">
        <v>43553</v>
      </c>
      <c r="C641">
        <v>24</v>
      </c>
      <c r="D641">
        <v>34780</v>
      </c>
      <c r="E641" t="s">
        <v>14</v>
      </c>
      <c r="F641" t="s">
        <v>15</v>
      </c>
      <c r="G641" t="s">
        <v>31</v>
      </c>
      <c r="H641" t="s">
        <v>8</v>
      </c>
      <c r="I641" t="s">
        <v>9</v>
      </c>
      <c r="J641" t="s">
        <v>20</v>
      </c>
      <c r="K641" t="s">
        <v>26</v>
      </c>
      <c r="L641" t="s">
        <v>12</v>
      </c>
      <c r="M641" t="s">
        <v>49</v>
      </c>
      <c r="N641" t="s">
        <v>37</v>
      </c>
      <c r="O641" t="s">
        <v>18</v>
      </c>
      <c r="P641">
        <v>4</v>
      </c>
    </row>
    <row r="642" spans="1:16" x14ac:dyDescent="0.3">
      <c r="A642">
        <v>1132</v>
      </c>
      <c r="B642">
        <v>44331</v>
      </c>
      <c r="C642">
        <v>58</v>
      </c>
      <c r="D642">
        <v>23319</v>
      </c>
      <c r="E642" t="s">
        <v>14</v>
      </c>
      <c r="F642" t="s">
        <v>15</v>
      </c>
      <c r="G642" t="s">
        <v>17</v>
      </c>
      <c r="H642" t="s">
        <v>8</v>
      </c>
      <c r="I642" t="s">
        <v>66</v>
      </c>
      <c r="J642" t="s">
        <v>10</v>
      </c>
      <c r="K642" t="s">
        <v>26</v>
      </c>
      <c r="L642" t="s">
        <v>12</v>
      </c>
      <c r="M642" t="s">
        <v>21</v>
      </c>
      <c r="N642" t="s">
        <v>23</v>
      </c>
      <c r="O642" t="s">
        <v>18</v>
      </c>
      <c r="P642">
        <v>5</v>
      </c>
    </row>
    <row r="643" spans="1:16" x14ac:dyDescent="0.3">
      <c r="A643">
        <v>1133</v>
      </c>
      <c r="B643">
        <v>44634</v>
      </c>
      <c r="C643">
        <v>73</v>
      </c>
      <c r="D643">
        <v>18222</v>
      </c>
      <c r="E643" t="s">
        <v>14</v>
      </c>
      <c r="F643" t="s">
        <v>15</v>
      </c>
      <c r="G643" t="s">
        <v>34</v>
      </c>
      <c r="H643" t="s">
        <v>8</v>
      </c>
      <c r="I643" t="s">
        <v>66</v>
      </c>
      <c r="J643" t="s">
        <v>25</v>
      </c>
      <c r="K643" t="s">
        <v>26</v>
      </c>
      <c r="L643" t="s">
        <v>12</v>
      </c>
      <c r="M643" t="s">
        <v>21</v>
      </c>
      <c r="N643" t="s">
        <v>23</v>
      </c>
      <c r="O643" t="s">
        <v>18</v>
      </c>
      <c r="P643">
        <v>2</v>
      </c>
    </row>
    <row r="644" spans="1:16" x14ac:dyDescent="0.3">
      <c r="A644">
        <v>1134</v>
      </c>
      <c r="B644">
        <v>44536</v>
      </c>
      <c r="C644">
        <v>25</v>
      </c>
      <c r="D644">
        <v>35315</v>
      </c>
      <c r="E644" t="s">
        <v>14</v>
      </c>
      <c r="F644" t="s">
        <v>15</v>
      </c>
      <c r="G644" t="s">
        <v>31</v>
      </c>
      <c r="H644" t="s">
        <v>8</v>
      </c>
      <c r="I644" t="s">
        <v>66</v>
      </c>
      <c r="J644" t="s">
        <v>20</v>
      </c>
      <c r="K644" t="s">
        <v>11</v>
      </c>
      <c r="L644" t="s">
        <v>12</v>
      </c>
      <c r="M644" t="s">
        <v>32</v>
      </c>
      <c r="N644" t="s">
        <v>46</v>
      </c>
      <c r="O644" t="s">
        <v>18</v>
      </c>
      <c r="P644">
        <v>1</v>
      </c>
    </row>
    <row r="645" spans="1:16" x14ac:dyDescent="0.3">
      <c r="A645">
        <v>1135</v>
      </c>
      <c r="B645">
        <v>44496</v>
      </c>
      <c r="C645">
        <v>57</v>
      </c>
      <c r="D645">
        <v>23619</v>
      </c>
      <c r="E645" t="s">
        <v>14</v>
      </c>
      <c r="F645" t="s">
        <v>22</v>
      </c>
      <c r="G645" t="s">
        <v>17</v>
      </c>
      <c r="H645" t="s">
        <v>8</v>
      </c>
      <c r="I645" t="s">
        <v>9</v>
      </c>
      <c r="J645" t="s">
        <v>25</v>
      </c>
      <c r="K645" t="s">
        <v>19</v>
      </c>
      <c r="L645" t="s">
        <v>12</v>
      </c>
      <c r="M645" t="s">
        <v>42</v>
      </c>
      <c r="N645" t="s">
        <v>30</v>
      </c>
      <c r="O645" t="s">
        <v>18</v>
      </c>
      <c r="P645">
        <v>4</v>
      </c>
    </row>
    <row r="646" spans="1:16" x14ac:dyDescent="0.3">
      <c r="A646">
        <v>1136</v>
      </c>
      <c r="B646">
        <v>45017</v>
      </c>
      <c r="C646">
        <v>77</v>
      </c>
      <c r="D646">
        <v>16888</v>
      </c>
      <c r="E646" t="s">
        <v>14</v>
      </c>
      <c r="F646" t="s">
        <v>22</v>
      </c>
      <c r="G646" t="s">
        <v>40</v>
      </c>
      <c r="H646" t="s">
        <v>8</v>
      </c>
      <c r="I646" t="s">
        <v>9</v>
      </c>
      <c r="J646" t="s">
        <v>25</v>
      </c>
      <c r="K646" t="s">
        <v>19</v>
      </c>
      <c r="L646" t="s">
        <v>12</v>
      </c>
      <c r="M646" t="s">
        <v>35</v>
      </c>
      <c r="N646" t="s">
        <v>30</v>
      </c>
      <c r="O646" t="s">
        <v>18</v>
      </c>
      <c r="P646">
        <v>5</v>
      </c>
    </row>
    <row r="647" spans="1:16" x14ac:dyDescent="0.3">
      <c r="A647">
        <v>1137</v>
      </c>
      <c r="B647">
        <v>43614</v>
      </c>
      <c r="C647">
        <v>65</v>
      </c>
      <c r="D647">
        <v>19783</v>
      </c>
      <c r="E647" t="s">
        <v>14</v>
      </c>
      <c r="F647" t="s">
        <v>22</v>
      </c>
      <c r="G647" t="s">
        <v>31</v>
      </c>
      <c r="H647" t="s">
        <v>8</v>
      </c>
      <c r="I647" t="s">
        <v>9</v>
      </c>
      <c r="J647" t="s">
        <v>25</v>
      </c>
      <c r="K647" t="s">
        <v>11</v>
      </c>
      <c r="L647" t="s">
        <v>12</v>
      </c>
      <c r="M647" t="s">
        <v>35</v>
      </c>
      <c r="N647" t="s">
        <v>37</v>
      </c>
      <c r="O647" t="s">
        <v>18</v>
      </c>
      <c r="P647">
        <v>3</v>
      </c>
    </row>
    <row r="648" spans="1:16" x14ac:dyDescent="0.3">
      <c r="A648">
        <v>1138</v>
      </c>
      <c r="B648">
        <v>43658</v>
      </c>
      <c r="C648">
        <v>36</v>
      </c>
      <c r="D648">
        <v>30530</v>
      </c>
      <c r="E648" t="s">
        <v>14</v>
      </c>
      <c r="F648" t="s">
        <v>22</v>
      </c>
      <c r="G648" t="s">
        <v>40</v>
      </c>
      <c r="H648" t="s">
        <v>8</v>
      </c>
      <c r="I648" t="s">
        <v>9</v>
      </c>
      <c r="J648" t="s">
        <v>25</v>
      </c>
      <c r="K648" t="s">
        <v>26</v>
      </c>
      <c r="L648" t="s">
        <v>12</v>
      </c>
      <c r="M648" t="s">
        <v>38</v>
      </c>
      <c r="N648" t="s">
        <v>37</v>
      </c>
      <c r="O648" t="s">
        <v>18</v>
      </c>
      <c r="P648">
        <v>5</v>
      </c>
    </row>
    <row r="649" spans="1:16" x14ac:dyDescent="0.3">
      <c r="A649">
        <v>1139</v>
      </c>
      <c r="B649">
        <v>43322</v>
      </c>
      <c r="C649">
        <v>65</v>
      </c>
      <c r="D649">
        <v>19460</v>
      </c>
      <c r="E649" t="s">
        <v>14</v>
      </c>
      <c r="F649" t="s">
        <v>22</v>
      </c>
      <c r="G649" t="s">
        <v>34</v>
      </c>
      <c r="H649" t="s">
        <v>8</v>
      </c>
      <c r="I649" t="s">
        <v>9</v>
      </c>
      <c r="J649" t="s">
        <v>10</v>
      </c>
      <c r="K649" t="s">
        <v>19</v>
      </c>
      <c r="L649" t="s">
        <v>12</v>
      </c>
      <c r="M649" t="s">
        <v>49</v>
      </c>
      <c r="N649" t="s">
        <v>23</v>
      </c>
      <c r="O649" t="s">
        <v>18</v>
      </c>
      <c r="P649">
        <v>4</v>
      </c>
    </row>
    <row r="650" spans="1:16" x14ac:dyDescent="0.3">
      <c r="A650">
        <v>1140</v>
      </c>
      <c r="B650">
        <v>44468</v>
      </c>
      <c r="C650">
        <v>33</v>
      </c>
      <c r="D650">
        <v>32366</v>
      </c>
      <c r="E650" t="s">
        <v>14</v>
      </c>
      <c r="F650" t="s">
        <v>15</v>
      </c>
      <c r="G650" t="s">
        <v>31</v>
      </c>
      <c r="H650" t="s">
        <v>8</v>
      </c>
      <c r="I650" t="s">
        <v>9</v>
      </c>
      <c r="J650" t="s">
        <v>20</v>
      </c>
      <c r="K650" t="s">
        <v>11</v>
      </c>
      <c r="L650" t="s">
        <v>12</v>
      </c>
      <c r="M650" t="s">
        <v>42</v>
      </c>
      <c r="N650" t="s">
        <v>37</v>
      </c>
      <c r="O650" t="s">
        <v>18</v>
      </c>
      <c r="P650">
        <v>3</v>
      </c>
    </row>
    <row r="651" spans="1:16" x14ac:dyDescent="0.3">
      <c r="A651">
        <v>1141</v>
      </c>
      <c r="B651">
        <v>44413</v>
      </c>
      <c r="C651">
        <v>80</v>
      </c>
      <c r="D651">
        <v>15202</v>
      </c>
      <c r="E651" t="s">
        <v>14</v>
      </c>
      <c r="F651" t="s">
        <v>15</v>
      </c>
      <c r="G651" t="s">
        <v>40</v>
      </c>
      <c r="H651" t="s">
        <v>8</v>
      </c>
      <c r="I651" t="s">
        <v>9</v>
      </c>
      <c r="J651" t="s">
        <v>10</v>
      </c>
      <c r="K651" t="s">
        <v>19</v>
      </c>
      <c r="L651" t="s">
        <v>12</v>
      </c>
      <c r="M651" t="s">
        <v>35</v>
      </c>
      <c r="N651" t="s">
        <v>37</v>
      </c>
      <c r="O651" t="s">
        <v>18</v>
      </c>
      <c r="P651">
        <v>5</v>
      </c>
    </row>
    <row r="652" spans="1:16" x14ac:dyDescent="0.3">
      <c r="A652">
        <v>1142</v>
      </c>
      <c r="B652">
        <v>45140</v>
      </c>
      <c r="C652">
        <v>31</v>
      </c>
      <c r="D652">
        <v>33918</v>
      </c>
      <c r="E652" t="s">
        <v>14</v>
      </c>
      <c r="F652" t="s">
        <v>15</v>
      </c>
      <c r="G652" t="s">
        <v>34</v>
      </c>
      <c r="H652" t="s">
        <v>91</v>
      </c>
      <c r="I652" t="s">
        <v>9</v>
      </c>
      <c r="J652" t="s">
        <v>25</v>
      </c>
      <c r="K652" t="s">
        <v>26</v>
      </c>
      <c r="L652" t="s">
        <v>12</v>
      </c>
      <c r="M652" t="s">
        <v>54</v>
      </c>
      <c r="N652" t="s">
        <v>46</v>
      </c>
      <c r="O652" t="s">
        <v>18</v>
      </c>
      <c r="P652">
        <v>4</v>
      </c>
    </row>
    <row r="653" spans="1:16" x14ac:dyDescent="0.3">
      <c r="A653">
        <v>1143</v>
      </c>
      <c r="B653">
        <v>43345</v>
      </c>
      <c r="C653">
        <v>76</v>
      </c>
      <c r="D653">
        <v>15512</v>
      </c>
      <c r="E653" t="s">
        <v>14</v>
      </c>
      <c r="F653" t="s">
        <v>15</v>
      </c>
      <c r="G653" t="s">
        <v>17</v>
      </c>
      <c r="H653" t="s">
        <v>91</v>
      </c>
      <c r="I653" t="s">
        <v>9</v>
      </c>
      <c r="J653" t="s">
        <v>10</v>
      </c>
      <c r="K653" t="s">
        <v>19</v>
      </c>
      <c r="L653" t="s">
        <v>12</v>
      </c>
      <c r="M653" t="s">
        <v>35</v>
      </c>
      <c r="N653" t="s">
        <v>23</v>
      </c>
      <c r="O653" t="s">
        <v>18</v>
      </c>
      <c r="P653">
        <v>4</v>
      </c>
    </row>
    <row r="654" spans="1:16" x14ac:dyDescent="0.3">
      <c r="A654">
        <v>1144</v>
      </c>
      <c r="B654">
        <v>43751</v>
      </c>
      <c r="C654">
        <v>56</v>
      </c>
      <c r="D654">
        <v>23117</v>
      </c>
      <c r="E654" t="s">
        <v>14</v>
      </c>
      <c r="F654" t="s">
        <v>15</v>
      </c>
      <c r="G654" t="s">
        <v>31</v>
      </c>
      <c r="H654" t="s">
        <v>91</v>
      </c>
      <c r="I654" t="s">
        <v>9</v>
      </c>
      <c r="J654" t="s">
        <v>20</v>
      </c>
      <c r="K654" t="s">
        <v>26</v>
      </c>
      <c r="L654" t="s">
        <v>12</v>
      </c>
      <c r="M654" t="s">
        <v>59</v>
      </c>
      <c r="N654" t="s">
        <v>46</v>
      </c>
      <c r="O654" t="s">
        <v>18</v>
      </c>
      <c r="P654">
        <v>3</v>
      </c>
    </row>
    <row r="655" spans="1:16" x14ac:dyDescent="0.3">
      <c r="A655">
        <v>1145</v>
      </c>
      <c r="B655">
        <v>44098</v>
      </c>
      <c r="C655">
        <v>72</v>
      </c>
      <c r="D655">
        <v>17596</v>
      </c>
      <c r="E655" t="s">
        <v>14</v>
      </c>
      <c r="F655" t="s">
        <v>22</v>
      </c>
      <c r="G655" t="s">
        <v>34</v>
      </c>
      <c r="H655" t="s">
        <v>64</v>
      </c>
      <c r="I655" t="s">
        <v>9</v>
      </c>
      <c r="J655" t="s">
        <v>10</v>
      </c>
      <c r="K655" t="s">
        <v>26</v>
      </c>
      <c r="L655" t="s">
        <v>12</v>
      </c>
      <c r="M655" t="s">
        <v>58</v>
      </c>
      <c r="N655" t="s">
        <v>23</v>
      </c>
      <c r="O655" t="s">
        <v>18</v>
      </c>
      <c r="P655">
        <v>3</v>
      </c>
    </row>
    <row r="656" spans="1:16" x14ac:dyDescent="0.3">
      <c r="A656">
        <v>1146</v>
      </c>
      <c r="B656">
        <v>45144</v>
      </c>
      <c r="C656">
        <v>60</v>
      </c>
      <c r="D656">
        <v>23325</v>
      </c>
      <c r="E656" t="s">
        <v>14</v>
      </c>
      <c r="F656" t="s">
        <v>22</v>
      </c>
      <c r="G656" t="s">
        <v>40</v>
      </c>
      <c r="H656" t="s">
        <v>64</v>
      </c>
      <c r="I656" t="s">
        <v>9</v>
      </c>
      <c r="J656" t="s">
        <v>10</v>
      </c>
      <c r="K656" t="s">
        <v>11</v>
      </c>
      <c r="L656" t="s">
        <v>12</v>
      </c>
      <c r="M656" t="s">
        <v>35</v>
      </c>
      <c r="N656" t="s">
        <v>23</v>
      </c>
      <c r="O656" t="s">
        <v>18</v>
      </c>
      <c r="P656">
        <v>2</v>
      </c>
    </row>
    <row r="657" spans="1:16" x14ac:dyDescent="0.3">
      <c r="A657">
        <v>1147</v>
      </c>
      <c r="B657">
        <v>43627</v>
      </c>
      <c r="C657">
        <v>76</v>
      </c>
      <c r="D657">
        <v>15979</v>
      </c>
      <c r="E657" t="s">
        <v>14</v>
      </c>
      <c r="F657" t="s">
        <v>15</v>
      </c>
      <c r="G657" t="s">
        <v>31</v>
      </c>
      <c r="H657" t="s">
        <v>64</v>
      </c>
      <c r="I657" t="s">
        <v>66</v>
      </c>
      <c r="J657" t="s">
        <v>25</v>
      </c>
      <c r="K657" t="s">
        <v>26</v>
      </c>
      <c r="L657" t="s">
        <v>12</v>
      </c>
      <c r="M657" t="s">
        <v>32</v>
      </c>
      <c r="N657" t="s">
        <v>37</v>
      </c>
      <c r="O657" t="s">
        <v>18</v>
      </c>
      <c r="P657">
        <v>3</v>
      </c>
    </row>
    <row r="658" spans="1:16" x14ac:dyDescent="0.3">
      <c r="A658">
        <v>1148</v>
      </c>
      <c r="B658">
        <v>43510</v>
      </c>
      <c r="C658">
        <v>76</v>
      </c>
      <c r="D658">
        <v>15879</v>
      </c>
      <c r="E658" t="s">
        <v>14</v>
      </c>
      <c r="F658" t="s">
        <v>15</v>
      </c>
      <c r="G658" t="s">
        <v>34</v>
      </c>
      <c r="H658" t="s">
        <v>64</v>
      </c>
      <c r="I658" t="s">
        <v>9</v>
      </c>
      <c r="J658" t="s">
        <v>20</v>
      </c>
      <c r="K658" t="s">
        <v>19</v>
      </c>
      <c r="L658" t="s">
        <v>12</v>
      </c>
      <c r="M658" t="s">
        <v>59</v>
      </c>
      <c r="N658" t="s">
        <v>37</v>
      </c>
      <c r="O658" t="s">
        <v>18</v>
      </c>
      <c r="P658">
        <v>1</v>
      </c>
    </row>
    <row r="659" spans="1:16" x14ac:dyDescent="0.3">
      <c r="A659">
        <v>1149</v>
      </c>
      <c r="B659">
        <v>44637</v>
      </c>
      <c r="C659">
        <v>81</v>
      </c>
      <c r="D659">
        <v>15236</v>
      </c>
      <c r="E659" t="s">
        <v>14</v>
      </c>
      <c r="F659" t="s">
        <v>15</v>
      </c>
      <c r="G659" t="s">
        <v>34</v>
      </c>
      <c r="H659" t="s">
        <v>64</v>
      </c>
      <c r="I659" t="s">
        <v>9</v>
      </c>
      <c r="J659" t="s">
        <v>20</v>
      </c>
      <c r="K659" t="s">
        <v>11</v>
      </c>
      <c r="L659" t="s">
        <v>12</v>
      </c>
      <c r="M659" t="s">
        <v>35</v>
      </c>
      <c r="N659" t="s">
        <v>46</v>
      </c>
      <c r="O659" t="s">
        <v>18</v>
      </c>
      <c r="P659">
        <v>2</v>
      </c>
    </row>
    <row r="660" spans="1:16" x14ac:dyDescent="0.3">
      <c r="A660">
        <v>1150</v>
      </c>
      <c r="B660">
        <v>44048</v>
      </c>
      <c r="C660">
        <v>39</v>
      </c>
      <c r="D660">
        <v>29679</v>
      </c>
      <c r="E660" t="s">
        <v>14</v>
      </c>
      <c r="F660" t="s">
        <v>15</v>
      </c>
      <c r="G660" t="s">
        <v>31</v>
      </c>
      <c r="H660" t="s">
        <v>8</v>
      </c>
      <c r="I660" t="s">
        <v>9</v>
      </c>
      <c r="J660" t="s">
        <v>20</v>
      </c>
      <c r="K660" t="s">
        <v>19</v>
      </c>
      <c r="L660" t="s">
        <v>12</v>
      </c>
      <c r="M660" t="s">
        <v>21</v>
      </c>
      <c r="N660" t="s">
        <v>16</v>
      </c>
      <c r="O660" t="s">
        <v>18</v>
      </c>
      <c r="P660">
        <v>4</v>
      </c>
    </row>
    <row r="661" spans="1:16" x14ac:dyDescent="0.3">
      <c r="A661">
        <v>1151</v>
      </c>
      <c r="B661">
        <v>44796</v>
      </c>
      <c r="C661">
        <v>44</v>
      </c>
      <c r="D661">
        <v>28670</v>
      </c>
      <c r="E661" t="s">
        <v>14</v>
      </c>
      <c r="F661" t="s">
        <v>22</v>
      </c>
      <c r="G661" t="s">
        <v>17</v>
      </c>
      <c r="H661" t="s">
        <v>8</v>
      </c>
      <c r="I661" t="s">
        <v>9</v>
      </c>
      <c r="J661" t="s">
        <v>20</v>
      </c>
      <c r="K661" t="s">
        <v>19</v>
      </c>
      <c r="L661" t="s">
        <v>12</v>
      </c>
      <c r="M661" t="s">
        <v>35</v>
      </c>
      <c r="N661" t="s">
        <v>46</v>
      </c>
      <c r="O661" t="s">
        <v>18</v>
      </c>
      <c r="P661">
        <v>3</v>
      </c>
    </row>
    <row r="662" spans="1:16" x14ac:dyDescent="0.3">
      <c r="A662">
        <v>1152</v>
      </c>
      <c r="B662">
        <v>44938</v>
      </c>
      <c r="C662">
        <v>60</v>
      </c>
      <c r="D662">
        <v>23286</v>
      </c>
      <c r="E662" t="s">
        <v>14</v>
      </c>
      <c r="F662" t="s">
        <v>15</v>
      </c>
      <c r="G662" t="s">
        <v>40</v>
      </c>
      <c r="H662" t="s">
        <v>8</v>
      </c>
      <c r="I662" t="s">
        <v>9</v>
      </c>
      <c r="J662" t="s">
        <v>25</v>
      </c>
      <c r="K662" t="s">
        <v>19</v>
      </c>
      <c r="L662" t="s">
        <v>12</v>
      </c>
      <c r="M662" t="s">
        <v>42</v>
      </c>
      <c r="N662" t="s">
        <v>30</v>
      </c>
      <c r="O662" t="s">
        <v>18</v>
      </c>
      <c r="P662">
        <v>1</v>
      </c>
    </row>
    <row r="663" spans="1:16" x14ac:dyDescent="0.3">
      <c r="A663">
        <v>1153</v>
      </c>
      <c r="B663">
        <v>43935</v>
      </c>
      <c r="C663">
        <v>79</v>
      </c>
      <c r="D663">
        <v>15269</v>
      </c>
      <c r="E663" t="s">
        <v>14</v>
      </c>
      <c r="F663" t="s">
        <v>15</v>
      </c>
      <c r="G663" t="s">
        <v>40</v>
      </c>
      <c r="H663" t="s">
        <v>8</v>
      </c>
      <c r="I663" t="s">
        <v>66</v>
      </c>
      <c r="J663" t="s">
        <v>20</v>
      </c>
      <c r="K663" t="s">
        <v>19</v>
      </c>
      <c r="L663" t="s">
        <v>12</v>
      </c>
      <c r="M663" t="s">
        <v>35</v>
      </c>
      <c r="N663" t="s">
        <v>46</v>
      </c>
      <c r="O663" t="s">
        <v>18</v>
      </c>
      <c r="P663">
        <v>4</v>
      </c>
    </row>
    <row r="664" spans="1:16" x14ac:dyDescent="0.3">
      <c r="A664">
        <v>1154</v>
      </c>
      <c r="B664">
        <v>44466</v>
      </c>
      <c r="C664">
        <v>34</v>
      </c>
      <c r="D664">
        <v>32082</v>
      </c>
      <c r="E664" t="s">
        <v>14</v>
      </c>
      <c r="F664" t="s">
        <v>15</v>
      </c>
      <c r="G664" t="s">
        <v>34</v>
      </c>
      <c r="H664" t="s">
        <v>8</v>
      </c>
      <c r="I664" t="s">
        <v>66</v>
      </c>
      <c r="J664" t="s">
        <v>25</v>
      </c>
      <c r="K664" t="s">
        <v>11</v>
      </c>
      <c r="L664" t="s">
        <v>12</v>
      </c>
      <c r="M664" t="s">
        <v>35</v>
      </c>
      <c r="N664" t="s">
        <v>16</v>
      </c>
      <c r="O664" t="s">
        <v>18</v>
      </c>
      <c r="P664">
        <v>3</v>
      </c>
    </row>
    <row r="665" spans="1:16" x14ac:dyDescent="0.3">
      <c r="A665">
        <v>1155</v>
      </c>
      <c r="B665">
        <v>43421</v>
      </c>
      <c r="C665">
        <v>67</v>
      </c>
      <c r="D665">
        <v>18938</v>
      </c>
      <c r="E665" t="s">
        <v>14</v>
      </c>
      <c r="F665" t="s">
        <v>15</v>
      </c>
      <c r="G665" t="s">
        <v>34</v>
      </c>
      <c r="H665" t="s">
        <v>8</v>
      </c>
      <c r="I665" t="s">
        <v>66</v>
      </c>
      <c r="J665" t="s">
        <v>10</v>
      </c>
      <c r="K665" t="s">
        <v>19</v>
      </c>
      <c r="L665" t="s">
        <v>12</v>
      </c>
      <c r="M665" t="s">
        <v>13</v>
      </c>
      <c r="N665" t="s">
        <v>30</v>
      </c>
      <c r="O665" t="s">
        <v>18</v>
      </c>
      <c r="P665">
        <v>3</v>
      </c>
    </row>
    <row r="666" spans="1:16" x14ac:dyDescent="0.3">
      <c r="A666">
        <v>1156</v>
      </c>
      <c r="B666">
        <v>43668</v>
      </c>
      <c r="C666">
        <v>39</v>
      </c>
      <c r="D666">
        <v>29331</v>
      </c>
      <c r="E666" t="s">
        <v>14</v>
      </c>
      <c r="F666" t="s">
        <v>22</v>
      </c>
      <c r="G666" t="s">
        <v>34</v>
      </c>
      <c r="H666" t="s">
        <v>8</v>
      </c>
      <c r="I666" t="s">
        <v>66</v>
      </c>
      <c r="J666" t="s">
        <v>10</v>
      </c>
      <c r="K666" t="s">
        <v>19</v>
      </c>
      <c r="L666" t="s">
        <v>12</v>
      </c>
      <c r="M666" t="s">
        <v>67</v>
      </c>
      <c r="N666" t="s">
        <v>23</v>
      </c>
      <c r="O666" t="s">
        <v>18</v>
      </c>
      <c r="P666">
        <v>5</v>
      </c>
    </row>
    <row r="667" spans="1:16" x14ac:dyDescent="0.3">
      <c r="A667">
        <v>1157</v>
      </c>
      <c r="B667">
        <v>43506</v>
      </c>
      <c r="C667">
        <v>23</v>
      </c>
      <c r="D667">
        <v>35142</v>
      </c>
      <c r="E667" t="s">
        <v>14</v>
      </c>
      <c r="F667" t="s">
        <v>22</v>
      </c>
      <c r="G667" t="s">
        <v>34</v>
      </c>
      <c r="H667" t="s">
        <v>8</v>
      </c>
      <c r="I667" t="s">
        <v>9</v>
      </c>
      <c r="J667" t="s">
        <v>20</v>
      </c>
      <c r="K667" t="s">
        <v>19</v>
      </c>
      <c r="L667" t="s">
        <v>12</v>
      </c>
      <c r="M667" t="s">
        <v>59</v>
      </c>
      <c r="N667" t="s">
        <v>23</v>
      </c>
      <c r="O667" t="s">
        <v>18</v>
      </c>
      <c r="P667">
        <v>4</v>
      </c>
    </row>
    <row r="668" spans="1:16" x14ac:dyDescent="0.3">
      <c r="A668">
        <v>1158</v>
      </c>
      <c r="B668">
        <v>43426</v>
      </c>
      <c r="C668">
        <v>60</v>
      </c>
      <c r="D668">
        <v>21370</v>
      </c>
      <c r="E668" t="s">
        <v>14</v>
      </c>
      <c r="F668" t="s">
        <v>22</v>
      </c>
      <c r="G668" t="s">
        <v>17</v>
      </c>
      <c r="H668" t="s">
        <v>8</v>
      </c>
      <c r="I668" t="s">
        <v>66</v>
      </c>
      <c r="J668" t="s">
        <v>25</v>
      </c>
      <c r="K668" t="s">
        <v>19</v>
      </c>
      <c r="L668" t="s">
        <v>12</v>
      </c>
      <c r="M668" t="s">
        <v>35</v>
      </c>
      <c r="N668" t="s">
        <v>46</v>
      </c>
      <c r="O668" t="s">
        <v>18</v>
      </c>
      <c r="P668">
        <v>4</v>
      </c>
    </row>
    <row r="669" spans="1:16" x14ac:dyDescent="0.3">
      <c r="A669">
        <v>1159</v>
      </c>
      <c r="B669">
        <v>45039</v>
      </c>
      <c r="C669">
        <v>44</v>
      </c>
      <c r="D669">
        <v>29009</v>
      </c>
      <c r="E669" t="s">
        <v>14</v>
      </c>
      <c r="F669" t="s">
        <v>22</v>
      </c>
      <c r="G669" t="s">
        <v>40</v>
      </c>
      <c r="H669" t="s">
        <v>8</v>
      </c>
      <c r="I669" t="s">
        <v>9</v>
      </c>
      <c r="J669" t="s">
        <v>20</v>
      </c>
      <c r="K669" t="s">
        <v>19</v>
      </c>
      <c r="L669" t="s">
        <v>12</v>
      </c>
      <c r="M669" t="s">
        <v>49</v>
      </c>
      <c r="N669" t="s">
        <v>30</v>
      </c>
      <c r="O669" t="s">
        <v>18</v>
      </c>
      <c r="P669">
        <v>2</v>
      </c>
    </row>
    <row r="670" spans="1:16" x14ac:dyDescent="0.3">
      <c r="A670">
        <v>1160</v>
      </c>
      <c r="B670">
        <v>44921</v>
      </c>
      <c r="C670">
        <v>46</v>
      </c>
      <c r="D670">
        <v>28013</v>
      </c>
      <c r="E670" t="s">
        <v>14</v>
      </c>
      <c r="F670" t="s">
        <v>15</v>
      </c>
      <c r="G670" t="s">
        <v>31</v>
      </c>
      <c r="H670" t="s">
        <v>8</v>
      </c>
      <c r="I670" t="s">
        <v>9</v>
      </c>
      <c r="J670" t="s">
        <v>20</v>
      </c>
      <c r="K670" t="s">
        <v>26</v>
      </c>
      <c r="L670" t="s">
        <v>12</v>
      </c>
      <c r="M670" t="s">
        <v>32</v>
      </c>
      <c r="N670" t="s">
        <v>46</v>
      </c>
      <c r="O670" t="s">
        <v>18</v>
      </c>
      <c r="P670">
        <v>2</v>
      </c>
    </row>
    <row r="671" spans="1:16" x14ac:dyDescent="0.3">
      <c r="A671">
        <v>1161</v>
      </c>
      <c r="B671">
        <v>43996</v>
      </c>
      <c r="C671">
        <v>66</v>
      </c>
      <c r="D671">
        <v>19966</v>
      </c>
      <c r="E671" t="s">
        <v>14</v>
      </c>
      <c r="F671" t="s">
        <v>15</v>
      </c>
      <c r="G671" t="s">
        <v>17</v>
      </c>
      <c r="H671" t="s">
        <v>8</v>
      </c>
      <c r="I671" t="s">
        <v>9</v>
      </c>
      <c r="J671" t="s">
        <v>10</v>
      </c>
      <c r="K671" t="s">
        <v>26</v>
      </c>
      <c r="L671" t="s">
        <v>12</v>
      </c>
      <c r="M671" t="s">
        <v>63</v>
      </c>
      <c r="N671" t="s">
        <v>30</v>
      </c>
      <c r="O671" t="s">
        <v>18</v>
      </c>
      <c r="P671">
        <v>4</v>
      </c>
    </row>
    <row r="672" spans="1:16" x14ac:dyDescent="0.3">
      <c r="A672">
        <v>1162</v>
      </c>
      <c r="B672">
        <v>44649</v>
      </c>
      <c r="C672">
        <v>39</v>
      </c>
      <c r="D672">
        <v>30545</v>
      </c>
      <c r="E672" t="s">
        <v>14</v>
      </c>
      <c r="F672" t="s">
        <v>15</v>
      </c>
      <c r="G672" t="s">
        <v>17</v>
      </c>
      <c r="H672" t="s">
        <v>8</v>
      </c>
      <c r="I672" t="s">
        <v>9</v>
      </c>
      <c r="J672" t="s">
        <v>25</v>
      </c>
      <c r="K672" t="s">
        <v>11</v>
      </c>
      <c r="L672" t="s">
        <v>12</v>
      </c>
      <c r="M672" t="s">
        <v>32</v>
      </c>
      <c r="N672" t="s">
        <v>46</v>
      </c>
      <c r="O672" t="s">
        <v>18</v>
      </c>
      <c r="P672">
        <v>3</v>
      </c>
    </row>
    <row r="673" spans="1:16" x14ac:dyDescent="0.3">
      <c r="A673">
        <v>1163</v>
      </c>
      <c r="B673">
        <v>44913</v>
      </c>
      <c r="C673">
        <v>26</v>
      </c>
      <c r="D673">
        <v>35102</v>
      </c>
      <c r="E673" t="s">
        <v>14</v>
      </c>
      <c r="F673" t="s">
        <v>15</v>
      </c>
      <c r="G673" t="s">
        <v>40</v>
      </c>
      <c r="H673" t="s">
        <v>91</v>
      </c>
      <c r="I673" t="s">
        <v>9</v>
      </c>
      <c r="J673" t="s">
        <v>10</v>
      </c>
      <c r="K673" t="s">
        <v>19</v>
      </c>
      <c r="L673" t="s">
        <v>12</v>
      </c>
      <c r="M673" t="s">
        <v>54</v>
      </c>
      <c r="N673" t="s">
        <v>16</v>
      </c>
      <c r="O673" t="s">
        <v>18</v>
      </c>
      <c r="P673">
        <v>2</v>
      </c>
    </row>
    <row r="674" spans="1:16" x14ac:dyDescent="0.3">
      <c r="A674">
        <v>1164</v>
      </c>
      <c r="B674">
        <v>43545</v>
      </c>
      <c r="C674">
        <v>69</v>
      </c>
      <c r="D674">
        <v>18561</v>
      </c>
      <c r="E674" t="s">
        <v>14</v>
      </c>
      <c r="F674" t="s">
        <v>15</v>
      </c>
      <c r="G674" t="s">
        <v>34</v>
      </c>
      <c r="H674" t="s">
        <v>91</v>
      </c>
      <c r="I674" t="s">
        <v>9</v>
      </c>
      <c r="J674" t="s">
        <v>20</v>
      </c>
      <c r="K674" t="s">
        <v>19</v>
      </c>
      <c r="L674" t="s">
        <v>12</v>
      </c>
      <c r="M674" t="s">
        <v>28</v>
      </c>
      <c r="N674" t="s">
        <v>30</v>
      </c>
      <c r="O674" t="s">
        <v>18</v>
      </c>
      <c r="P674">
        <v>5</v>
      </c>
    </row>
    <row r="675" spans="1:16" x14ac:dyDescent="0.3">
      <c r="A675">
        <v>1165</v>
      </c>
      <c r="B675">
        <v>44235</v>
      </c>
      <c r="C675">
        <v>23</v>
      </c>
      <c r="D675">
        <v>36047</v>
      </c>
      <c r="E675" t="s">
        <v>14</v>
      </c>
      <c r="F675" t="s">
        <v>15</v>
      </c>
      <c r="G675" t="s">
        <v>17</v>
      </c>
      <c r="H675" t="s">
        <v>91</v>
      </c>
      <c r="I675" t="s">
        <v>9</v>
      </c>
      <c r="J675" t="s">
        <v>25</v>
      </c>
      <c r="K675" t="s">
        <v>11</v>
      </c>
      <c r="L675" t="s">
        <v>12</v>
      </c>
      <c r="M675" t="s">
        <v>35</v>
      </c>
      <c r="N675" t="s">
        <v>30</v>
      </c>
      <c r="O675" t="s">
        <v>18</v>
      </c>
      <c r="P675">
        <v>3</v>
      </c>
    </row>
    <row r="676" spans="1:16" x14ac:dyDescent="0.3">
      <c r="A676">
        <v>1166</v>
      </c>
      <c r="B676">
        <v>44718</v>
      </c>
      <c r="C676">
        <v>57</v>
      </c>
      <c r="D676">
        <v>23755</v>
      </c>
      <c r="E676" t="s">
        <v>14</v>
      </c>
      <c r="F676" t="s">
        <v>22</v>
      </c>
      <c r="G676" t="s">
        <v>34</v>
      </c>
      <c r="H676" t="s">
        <v>64</v>
      </c>
      <c r="I676" t="s">
        <v>9</v>
      </c>
      <c r="J676" t="s">
        <v>25</v>
      </c>
      <c r="K676" t="s">
        <v>19</v>
      </c>
      <c r="L676" t="s">
        <v>12</v>
      </c>
      <c r="M676" t="s">
        <v>35</v>
      </c>
      <c r="N676" t="s">
        <v>30</v>
      </c>
      <c r="O676" t="s">
        <v>18</v>
      </c>
      <c r="P676">
        <v>1</v>
      </c>
    </row>
    <row r="677" spans="1:16" x14ac:dyDescent="0.3">
      <c r="A677">
        <v>1167</v>
      </c>
      <c r="B677">
        <v>44501</v>
      </c>
      <c r="C677">
        <v>66</v>
      </c>
      <c r="D677">
        <v>20333</v>
      </c>
      <c r="E677" t="s">
        <v>14</v>
      </c>
      <c r="F677" t="s">
        <v>15</v>
      </c>
      <c r="G677" t="s">
        <v>31</v>
      </c>
      <c r="H677" t="s">
        <v>64</v>
      </c>
      <c r="I677" t="s">
        <v>9</v>
      </c>
      <c r="J677" t="s">
        <v>10</v>
      </c>
      <c r="K677" t="s">
        <v>26</v>
      </c>
      <c r="L677" t="s">
        <v>12</v>
      </c>
      <c r="M677" t="s">
        <v>35</v>
      </c>
      <c r="N677" t="s">
        <v>30</v>
      </c>
      <c r="O677" t="s">
        <v>18</v>
      </c>
      <c r="P677">
        <v>3</v>
      </c>
    </row>
    <row r="678" spans="1:16" x14ac:dyDescent="0.3">
      <c r="A678">
        <v>1168</v>
      </c>
      <c r="B678">
        <v>44945</v>
      </c>
      <c r="C678">
        <v>72</v>
      </c>
      <c r="D678">
        <v>18638</v>
      </c>
      <c r="E678" t="s">
        <v>14</v>
      </c>
      <c r="F678" t="s">
        <v>15</v>
      </c>
      <c r="G678" t="s">
        <v>34</v>
      </c>
      <c r="H678" t="s">
        <v>64</v>
      </c>
      <c r="I678" t="s">
        <v>9</v>
      </c>
      <c r="J678" t="s">
        <v>10</v>
      </c>
      <c r="K678" t="s">
        <v>19</v>
      </c>
      <c r="L678" t="s">
        <v>12</v>
      </c>
      <c r="M678" t="s">
        <v>35</v>
      </c>
      <c r="N678" t="s">
        <v>16</v>
      </c>
      <c r="O678" t="s">
        <v>18</v>
      </c>
      <c r="P678">
        <v>2</v>
      </c>
    </row>
    <row r="679" spans="1:16" x14ac:dyDescent="0.3">
      <c r="A679">
        <v>1169</v>
      </c>
      <c r="B679">
        <v>44042</v>
      </c>
      <c r="C679">
        <v>60</v>
      </c>
      <c r="D679">
        <v>22174</v>
      </c>
      <c r="E679" t="s">
        <v>14</v>
      </c>
      <c r="F679" t="s">
        <v>15</v>
      </c>
      <c r="G679" t="s">
        <v>31</v>
      </c>
      <c r="H679" t="s">
        <v>64</v>
      </c>
      <c r="I679" t="s">
        <v>9</v>
      </c>
      <c r="J679" t="s">
        <v>10</v>
      </c>
      <c r="K679" t="s">
        <v>26</v>
      </c>
      <c r="L679" t="s">
        <v>12</v>
      </c>
      <c r="M679" t="s">
        <v>35</v>
      </c>
      <c r="N679" t="s">
        <v>46</v>
      </c>
      <c r="O679" t="s">
        <v>18</v>
      </c>
      <c r="P679">
        <v>3</v>
      </c>
    </row>
    <row r="680" spans="1:16" x14ac:dyDescent="0.3">
      <c r="A680">
        <v>1170</v>
      </c>
      <c r="B680">
        <v>45123</v>
      </c>
      <c r="C680">
        <v>72</v>
      </c>
      <c r="D680">
        <v>18827</v>
      </c>
      <c r="E680" t="s">
        <v>14</v>
      </c>
      <c r="F680" t="s">
        <v>15</v>
      </c>
      <c r="G680" t="s">
        <v>31</v>
      </c>
      <c r="H680" t="s">
        <v>64</v>
      </c>
      <c r="I680" t="s">
        <v>9</v>
      </c>
      <c r="J680" t="s">
        <v>20</v>
      </c>
      <c r="K680" t="s">
        <v>11</v>
      </c>
      <c r="L680" t="s">
        <v>12</v>
      </c>
      <c r="M680" t="s">
        <v>69</v>
      </c>
      <c r="N680" t="s">
        <v>37</v>
      </c>
      <c r="O680" t="s">
        <v>18</v>
      </c>
      <c r="P680">
        <v>5</v>
      </c>
    </row>
    <row r="681" spans="1:16" x14ac:dyDescent="0.3">
      <c r="A681">
        <v>1171</v>
      </c>
      <c r="B681">
        <v>44728</v>
      </c>
      <c r="C681">
        <v>69</v>
      </c>
      <c r="D681">
        <v>19564</v>
      </c>
      <c r="E681" t="s">
        <v>14</v>
      </c>
      <c r="F681" t="s">
        <v>15</v>
      </c>
      <c r="G681" t="s">
        <v>31</v>
      </c>
      <c r="H681" t="s">
        <v>8</v>
      </c>
      <c r="I681" t="s">
        <v>9</v>
      </c>
      <c r="J681" t="s">
        <v>20</v>
      </c>
      <c r="K681" t="s">
        <v>19</v>
      </c>
      <c r="L681" t="s">
        <v>12</v>
      </c>
      <c r="M681" t="s">
        <v>35</v>
      </c>
      <c r="N681" t="s">
        <v>23</v>
      </c>
      <c r="O681" t="s">
        <v>18</v>
      </c>
      <c r="P681">
        <v>1</v>
      </c>
    </row>
    <row r="682" spans="1:16" x14ac:dyDescent="0.3">
      <c r="A682">
        <v>1172</v>
      </c>
      <c r="B682">
        <v>44360</v>
      </c>
      <c r="C682">
        <v>69</v>
      </c>
      <c r="D682">
        <v>19134</v>
      </c>
      <c r="E682" t="s">
        <v>14</v>
      </c>
      <c r="F682" t="s">
        <v>22</v>
      </c>
      <c r="G682" t="s">
        <v>34</v>
      </c>
      <c r="H682" t="s">
        <v>8</v>
      </c>
      <c r="I682" t="s">
        <v>66</v>
      </c>
      <c r="J682" t="s">
        <v>25</v>
      </c>
      <c r="K682" t="s">
        <v>11</v>
      </c>
      <c r="L682" t="s">
        <v>12</v>
      </c>
      <c r="M682" t="s">
        <v>42</v>
      </c>
      <c r="N682" t="s">
        <v>46</v>
      </c>
      <c r="O682" t="s">
        <v>18</v>
      </c>
      <c r="P682">
        <v>3</v>
      </c>
    </row>
    <row r="683" spans="1:16" x14ac:dyDescent="0.3">
      <c r="A683">
        <v>1173</v>
      </c>
      <c r="B683">
        <v>44149</v>
      </c>
      <c r="C683">
        <v>52</v>
      </c>
      <c r="D683">
        <v>24867</v>
      </c>
      <c r="E683" t="s">
        <v>14</v>
      </c>
      <c r="F683" t="s">
        <v>15</v>
      </c>
      <c r="G683" t="s">
        <v>17</v>
      </c>
      <c r="H683" t="s">
        <v>8</v>
      </c>
      <c r="I683" t="s">
        <v>66</v>
      </c>
      <c r="J683" t="s">
        <v>25</v>
      </c>
      <c r="K683" t="s">
        <v>11</v>
      </c>
      <c r="L683" t="s">
        <v>12</v>
      </c>
      <c r="M683" t="s">
        <v>92</v>
      </c>
      <c r="N683" t="s">
        <v>16</v>
      </c>
      <c r="O683" t="s">
        <v>18</v>
      </c>
      <c r="P683">
        <v>5</v>
      </c>
    </row>
    <row r="684" spans="1:16" x14ac:dyDescent="0.3">
      <c r="A684">
        <v>1174</v>
      </c>
      <c r="B684">
        <v>43998</v>
      </c>
      <c r="C684">
        <v>47</v>
      </c>
      <c r="D684">
        <v>27008</v>
      </c>
      <c r="E684" t="s">
        <v>14</v>
      </c>
      <c r="F684" t="s">
        <v>15</v>
      </c>
      <c r="G684" t="s">
        <v>17</v>
      </c>
      <c r="H684" t="s">
        <v>8</v>
      </c>
      <c r="I684" t="s">
        <v>66</v>
      </c>
      <c r="J684" t="s">
        <v>25</v>
      </c>
      <c r="K684" t="s">
        <v>11</v>
      </c>
      <c r="L684" t="s">
        <v>12</v>
      </c>
      <c r="M684" t="s">
        <v>35</v>
      </c>
      <c r="N684" t="s">
        <v>30</v>
      </c>
      <c r="O684" t="s">
        <v>18</v>
      </c>
      <c r="P684">
        <v>1</v>
      </c>
    </row>
    <row r="685" spans="1:16" x14ac:dyDescent="0.3">
      <c r="A685">
        <v>1175</v>
      </c>
      <c r="B685">
        <v>43454</v>
      </c>
      <c r="C685">
        <v>22</v>
      </c>
      <c r="D685">
        <v>35281</v>
      </c>
      <c r="E685" t="s">
        <v>14</v>
      </c>
      <c r="F685" t="s">
        <v>15</v>
      </c>
      <c r="G685" t="s">
        <v>40</v>
      </c>
      <c r="H685" t="s">
        <v>8</v>
      </c>
      <c r="I685" t="s">
        <v>66</v>
      </c>
      <c r="J685" t="s">
        <v>25</v>
      </c>
      <c r="K685" t="s">
        <v>19</v>
      </c>
      <c r="L685" t="s">
        <v>12</v>
      </c>
      <c r="M685" t="s">
        <v>60</v>
      </c>
      <c r="N685" t="s">
        <v>46</v>
      </c>
      <c r="O685" t="s">
        <v>18</v>
      </c>
      <c r="P685">
        <v>1</v>
      </c>
    </row>
    <row r="686" spans="1:16" x14ac:dyDescent="0.3">
      <c r="A686">
        <v>1176</v>
      </c>
      <c r="B686">
        <v>44863</v>
      </c>
      <c r="C686">
        <v>62</v>
      </c>
      <c r="D686">
        <v>22277</v>
      </c>
      <c r="E686" t="s">
        <v>14</v>
      </c>
      <c r="F686" t="s">
        <v>15</v>
      </c>
      <c r="G686" t="s">
        <v>34</v>
      </c>
      <c r="H686" t="s">
        <v>8</v>
      </c>
      <c r="I686" t="s">
        <v>9</v>
      </c>
      <c r="J686" t="s">
        <v>10</v>
      </c>
      <c r="K686" t="s">
        <v>19</v>
      </c>
      <c r="L686" t="s">
        <v>12</v>
      </c>
      <c r="M686" t="s">
        <v>42</v>
      </c>
      <c r="N686" t="s">
        <v>16</v>
      </c>
      <c r="O686" t="s">
        <v>18</v>
      </c>
      <c r="P686">
        <v>2</v>
      </c>
    </row>
    <row r="687" spans="1:16" x14ac:dyDescent="0.3">
      <c r="A687">
        <v>1177</v>
      </c>
      <c r="B687">
        <v>44032</v>
      </c>
      <c r="C687">
        <v>52</v>
      </c>
      <c r="D687">
        <v>25025</v>
      </c>
      <c r="E687" t="s">
        <v>14</v>
      </c>
      <c r="F687" t="s">
        <v>15</v>
      </c>
      <c r="G687" t="s">
        <v>34</v>
      </c>
      <c r="H687" t="s">
        <v>8</v>
      </c>
      <c r="I687" t="s">
        <v>9</v>
      </c>
      <c r="J687" t="s">
        <v>10</v>
      </c>
      <c r="K687" t="s">
        <v>19</v>
      </c>
      <c r="L687" t="s">
        <v>12</v>
      </c>
      <c r="M687" t="s">
        <v>21</v>
      </c>
      <c r="N687" t="s">
        <v>30</v>
      </c>
      <c r="O687" t="s">
        <v>18</v>
      </c>
      <c r="P687">
        <v>2</v>
      </c>
    </row>
    <row r="688" spans="1:16" x14ac:dyDescent="0.3">
      <c r="A688">
        <v>1178</v>
      </c>
      <c r="B688">
        <v>44472</v>
      </c>
      <c r="C688">
        <v>62</v>
      </c>
      <c r="D688">
        <v>21677</v>
      </c>
      <c r="E688" t="s">
        <v>14</v>
      </c>
      <c r="F688" t="s">
        <v>22</v>
      </c>
      <c r="G688" t="s">
        <v>31</v>
      </c>
      <c r="H688" t="s">
        <v>8</v>
      </c>
      <c r="I688" t="s">
        <v>66</v>
      </c>
      <c r="J688" t="s">
        <v>10</v>
      </c>
      <c r="K688" t="s">
        <v>11</v>
      </c>
      <c r="L688" t="s">
        <v>12</v>
      </c>
      <c r="M688" t="s">
        <v>35</v>
      </c>
      <c r="N688" t="s">
        <v>30</v>
      </c>
      <c r="O688" t="s">
        <v>18</v>
      </c>
      <c r="P688">
        <v>1</v>
      </c>
    </row>
    <row r="689" spans="1:16" x14ac:dyDescent="0.3">
      <c r="A689">
        <v>1179</v>
      </c>
      <c r="B689">
        <v>44758</v>
      </c>
      <c r="C689">
        <v>32</v>
      </c>
      <c r="D689">
        <v>33124</v>
      </c>
      <c r="E689" t="s">
        <v>14</v>
      </c>
      <c r="F689" t="s">
        <v>22</v>
      </c>
      <c r="G689" t="s">
        <v>40</v>
      </c>
      <c r="H689" t="s">
        <v>8</v>
      </c>
      <c r="I689" t="s">
        <v>9</v>
      </c>
      <c r="J689" t="s">
        <v>20</v>
      </c>
      <c r="K689" t="s">
        <v>19</v>
      </c>
      <c r="L689" t="s">
        <v>12</v>
      </c>
      <c r="M689" t="s">
        <v>21</v>
      </c>
      <c r="N689" t="s">
        <v>37</v>
      </c>
      <c r="O689" t="s">
        <v>18</v>
      </c>
      <c r="P689">
        <v>5</v>
      </c>
    </row>
    <row r="690" spans="1:16" x14ac:dyDescent="0.3">
      <c r="A690">
        <v>1180</v>
      </c>
      <c r="B690">
        <v>44012</v>
      </c>
      <c r="C690">
        <v>76</v>
      </c>
      <c r="D690">
        <v>16406</v>
      </c>
      <c r="E690" t="s">
        <v>14</v>
      </c>
      <c r="F690" t="s">
        <v>22</v>
      </c>
      <c r="G690" t="s">
        <v>31</v>
      </c>
      <c r="H690" t="s">
        <v>8</v>
      </c>
      <c r="I690" t="s">
        <v>9</v>
      </c>
      <c r="J690" t="s">
        <v>25</v>
      </c>
      <c r="K690" t="s">
        <v>26</v>
      </c>
      <c r="L690" t="s">
        <v>12</v>
      </c>
      <c r="M690" t="s">
        <v>69</v>
      </c>
      <c r="N690" t="s">
        <v>23</v>
      </c>
      <c r="O690" t="s">
        <v>18</v>
      </c>
      <c r="P690">
        <v>3</v>
      </c>
    </row>
    <row r="691" spans="1:16" x14ac:dyDescent="0.3">
      <c r="A691">
        <v>1181</v>
      </c>
      <c r="B691">
        <v>44360</v>
      </c>
      <c r="C691">
        <v>28</v>
      </c>
      <c r="D691">
        <v>34136</v>
      </c>
      <c r="E691" t="s">
        <v>14</v>
      </c>
      <c r="F691" t="s">
        <v>22</v>
      </c>
      <c r="G691" t="s">
        <v>34</v>
      </c>
      <c r="H691" t="s">
        <v>8</v>
      </c>
      <c r="I691" t="s">
        <v>9</v>
      </c>
      <c r="J691" t="s">
        <v>25</v>
      </c>
      <c r="K691" t="s">
        <v>11</v>
      </c>
      <c r="L691" t="s">
        <v>12</v>
      </c>
      <c r="M691" t="s">
        <v>59</v>
      </c>
      <c r="N691" t="s">
        <v>30</v>
      </c>
      <c r="O691" t="s">
        <v>18</v>
      </c>
      <c r="P691">
        <v>5</v>
      </c>
    </row>
    <row r="692" spans="1:16" x14ac:dyDescent="0.3">
      <c r="A692">
        <v>1182</v>
      </c>
      <c r="B692">
        <v>44194</v>
      </c>
      <c r="C692">
        <v>47</v>
      </c>
      <c r="D692">
        <v>27007</v>
      </c>
      <c r="E692" t="s">
        <v>14</v>
      </c>
      <c r="F692" t="s">
        <v>15</v>
      </c>
      <c r="G692" t="s">
        <v>40</v>
      </c>
      <c r="H692" t="s">
        <v>8</v>
      </c>
      <c r="I692" t="s">
        <v>9</v>
      </c>
      <c r="J692" t="s">
        <v>25</v>
      </c>
      <c r="K692" t="s">
        <v>11</v>
      </c>
      <c r="L692" t="s">
        <v>12</v>
      </c>
      <c r="M692" t="s">
        <v>49</v>
      </c>
      <c r="N692" t="s">
        <v>37</v>
      </c>
      <c r="O692" t="s">
        <v>18</v>
      </c>
      <c r="P692">
        <v>4</v>
      </c>
    </row>
    <row r="693" spans="1:16" x14ac:dyDescent="0.3">
      <c r="A693">
        <v>1183</v>
      </c>
      <c r="B693">
        <v>44595</v>
      </c>
      <c r="C693">
        <v>76</v>
      </c>
      <c r="D693">
        <v>17154</v>
      </c>
      <c r="E693" t="s">
        <v>14</v>
      </c>
      <c r="F693" t="s">
        <v>15</v>
      </c>
      <c r="G693" t="s">
        <v>34</v>
      </c>
      <c r="H693" t="s">
        <v>8</v>
      </c>
      <c r="I693" t="s">
        <v>9</v>
      </c>
      <c r="J693" t="s">
        <v>20</v>
      </c>
      <c r="K693" t="s">
        <v>19</v>
      </c>
      <c r="L693" t="s">
        <v>12</v>
      </c>
      <c r="M693" t="s">
        <v>60</v>
      </c>
      <c r="N693" t="s">
        <v>37</v>
      </c>
      <c r="O693" t="s">
        <v>18</v>
      </c>
      <c r="P693">
        <v>5</v>
      </c>
    </row>
    <row r="694" spans="1:16" x14ac:dyDescent="0.3">
      <c r="A694">
        <v>1184</v>
      </c>
      <c r="B694">
        <v>44571</v>
      </c>
      <c r="C694">
        <v>71</v>
      </c>
      <c r="D694">
        <v>18902</v>
      </c>
      <c r="E694" t="s">
        <v>14</v>
      </c>
      <c r="F694" t="s">
        <v>15</v>
      </c>
      <c r="G694" t="s">
        <v>40</v>
      </c>
      <c r="H694" t="s">
        <v>8</v>
      </c>
      <c r="I694" t="s">
        <v>9</v>
      </c>
      <c r="J694" t="s">
        <v>25</v>
      </c>
      <c r="K694" t="s">
        <v>26</v>
      </c>
      <c r="L694" t="s">
        <v>12</v>
      </c>
      <c r="M694" t="s">
        <v>59</v>
      </c>
      <c r="N694" t="s">
        <v>23</v>
      </c>
      <c r="O694" t="s">
        <v>18</v>
      </c>
      <c r="P694">
        <v>3</v>
      </c>
    </row>
    <row r="695" spans="1:16" x14ac:dyDescent="0.3">
      <c r="A695">
        <v>1185</v>
      </c>
      <c r="B695">
        <v>43447</v>
      </c>
      <c r="C695">
        <v>45</v>
      </c>
      <c r="D695">
        <v>26717</v>
      </c>
      <c r="E695" t="s">
        <v>14</v>
      </c>
      <c r="F695" t="s">
        <v>15</v>
      </c>
      <c r="G695" t="s">
        <v>17</v>
      </c>
      <c r="H695" t="s">
        <v>91</v>
      </c>
      <c r="I695" t="s">
        <v>9</v>
      </c>
      <c r="J695" t="s">
        <v>20</v>
      </c>
      <c r="K695" t="s">
        <v>19</v>
      </c>
      <c r="L695" t="s">
        <v>12</v>
      </c>
      <c r="M695" t="s">
        <v>55</v>
      </c>
      <c r="N695" t="s">
        <v>30</v>
      </c>
      <c r="O695" t="s">
        <v>18</v>
      </c>
      <c r="P695">
        <v>2</v>
      </c>
    </row>
    <row r="696" spans="1:16" x14ac:dyDescent="0.3">
      <c r="A696">
        <v>1186</v>
      </c>
      <c r="B696">
        <v>44258</v>
      </c>
      <c r="C696">
        <v>38</v>
      </c>
      <c r="D696">
        <v>30553</v>
      </c>
      <c r="E696" t="s">
        <v>14</v>
      </c>
      <c r="F696" t="s">
        <v>15</v>
      </c>
      <c r="G696" t="s">
        <v>31</v>
      </c>
      <c r="H696" t="s">
        <v>91</v>
      </c>
      <c r="I696" t="s">
        <v>9</v>
      </c>
      <c r="J696" t="s">
        <v>25</v>
      </c>
      <c r="K696" t="s">
        <v>19</v>
      </c>
      <c r="L696" t="s">
        <v>12</v>
      </c>
      <c r="M696" t="s">
        <v>49</v>
      </c>
      <c r="N696" t="s">
        <v>23</v>
      </c>
      <c r="O696" t="s">
        <v>18</v>
      </c>
      <c r="P696">
        <v>3</v>
      </c>
    </row>
    <row r="697" spans="1:16" x14ac:dyDescent="0.3">
      <c r="A697">
        <v>1187</v>
      </c>
      <c r="B697">
        <v>44381</v>
      </c>
      <c r="C697">
        <v>24</v>
      </c>
      <c r="D697">
        <v>35688</v>
      </c>
      <c r="E697" t="s">
        <v>14</v>
      </c>
      <c r="F697" t="s">
        <v>15</v>
      </c>
      <c r="G697" t="s">
        <v>31</v>
      </c>
      <c r="H697" t="s">
        <v>91</v>
      </c>
      <c r="I697" t="s">
        <v>9</v>
      </c>
      <c r="J697" t="s">
        <v>20</v>
      </c>
      <c r="K697" t="s">
        <v>19</v>
      </c>
      <c r="L697" t="s">
        <v>12</v>
      </c>
      <c r="M697" t="s">
        <v>21</v>
      </c>
      <c r="N697" t="s">
        <v>37</v>
      </c>
      <c r="O697" t="s">
        <v>18</v>
      </c>
      <c r="P697">
        <v>1</v>
      </c>
    </row>
    <row r="698" spans="1:16" x14ac:dyDescent="0.3">
      <c r="A698">
        <v>1188</v>
      </c>
      <c r="B698">
        <v>43867</v>
      </c>
      <c r="C698">
        <v>41</v>
      </c>
      <c r="D698">
        <v>29003</v>
      </c>
      <c r="E698" t="s">
        <v>14</v>
      </c>
      <c r="F698" t="s">
        <v>22</v>
      </c>
      <c r="G698" t="s">
        <v>40</v>
      </c>
      <c r="H698" t="s">
        <v>64</v>
      </c>
      <c r="I698" t="s">
        <v>66</v>
      </c>
      <c r="J698" t="s">
        <v>10</v>
      </c>
      <c r="K698" t="s">
        <v>26</v>
      </c>
      <c r="L698" t="s">
        <v>12</v>
      </c>
      <c r="M698" t="s">
        <v>28</v>
      </c>
      <c r="N698" t="s">
        <v>37</v>
      </c>
      <c r="O698" t="s">
        <v>18</v>
      </c>
      <c r="P698">
        <v>1</v>
      </c>
    </row>
    <row r="699" spans="1:16" x14ac:dyDescent="0.3">
      <c r="A699">
        <v>1189</v>
      </c>
      <c r="B699">
        <v>44010</v>
      </c>
      <c r="C699">
        <v>32</v>
      </c>
      <c r="D699">
        <v>32209</v>
      </c>
      <c r="E699" t="s">
        <v>14</v>
      </c>
      <c r="F699" t="s">
        <v>15</v>
      </c>
      <c r="G699" t="s">
        <v>34</v>
      </c>
      <c r="H699" t="s">
        <v>64</v>
      </c>
      <c r="I699" t="s">
        <v>66</v>
      </c>
      <c r="J699" t="s">
        <v>10</v>
      </c>
      <c r="K699" t="s">
        <v>11</v>
      </c>
      <c r="L699" t="s">
        <v>12</v>
      </c>
      <c r="M699" t="s">
        <v>38</v>
      </c>
      <c r="N699" t="s">
        <v>30</v>
      </c>
      <c r="O699" t="s">
        <v>18</v>
      </c>
      <c r="P699">
        <v>5</v>
      </c>
    </row>
    <row r="700" spans="1:16" x14ac:dyDescent="0.3">
      <c r="A700">
        <v>1190</v>
      </c>
      <c r="B700">
        <v>44187</v>
      </c>
      <c r="C700">
        <v>22</v>
      </c>
      <c r="D700">
        <v>35905</v>
      </c>
      <c r="E700" t="s">
        <v>14</v>
      </c>
      <c r="F700" t="s">
        <v>15</v>
      </c>
      <c r="G700" t="s">
        <v>34</v>
      </c>
      <c r="H700" t="s">
        <v>64</v>
      </c>
      <c r="I700" t="s">
        <v>66</v>
      </c>
      <c r="J700" t="s">
        <v>10</v>
      </c>
      <c r="K700" t="s">
        <v>26</v>
      </c>
      <c r="L700" t="s">
        <v>12</v>
      </c>
      <c r="M700" t="s">
        <v>57</v>
      </c>
      <c r="N700" t="s">
        <v>23</v>
      </c>
      <c r="O700" t="s">
        <v>18</v>
      </c>
      <c r="P700">
        <v>5</v>
      </c>
    </row>
    <row r="701" spans="1:16" x14ac:dyDescent="0.3">
      <c r="A701">
        <v>1191</v>
      </c>
      <c r="B701">
        <v>43793</v>
      </c>
      <c r="C701">
        <v>41</v>
      </c>
      <c r="D701">
        <v>28605</v>
      </c>
      <c r="E701" t="s">
        <v>14</v>
      </c>
      <c r="F701" t="s">
        <v>15</v>
      </c>
      <c r="G701" t="s">
        <v>40</v>
      </c>
      <c r="H701" t="s">
        <v>64</v>
      </c>
      <c r="I701" t="s">
        <v>9</v>
      </c>
      <c r="J701" t="s">
        <v>25</v>
      </c>
      <c r="K701" t="s">
        <v>26</v>
      </c>
      <c r="L701" t="s">
        <v>12</v>
      </c>
      <c r="M701" t="s">
        <v>59</v>
      </c>
      <c r="N701" t="s">
        <v>37</v>
      </c>
      <c r="O701" t="s">
        <v>18</v>
      </c>
      <c r="P701">
        <v>4</v>
      </c>
    </row>
    <row r="702" spans="1:16" x14ac:dyDescent="0.3">
      <c r="A702">
        <v>1192</v>
      </c>
      <c r="B702">
        <v>44827</v>
      </c>
      <c r="C702">
        <v>34</v>
      </c>
      <c r="D702">
        <v>32484</v>
      </c>
      <c r="E702" t="s">
        <v>14</v>
      </c>
      <c r="F702" t="s">
        <v>15</v>
      </c>
      <c r="G702" t="s">
        <v>31</v>
      </c>
      <c r="H702" t="s">
        <v>64</v>
      </c>
      <c r="I702" t="s">
        <v>9</v>
      </c>
      <c r="J702" t="s">
        <v>25</v>
      </c>
      <c r="K702" t="s">
        <v>11</v>
      </c>
      <c r="L702" t="s">
        <v>12</v>
      </c>
      <c r="M702" t="s">
        <v>32</v>
      </c>
      <c r="N702" t="s">
        <v>16</v>
      </c>
      <c r="O702" t="s">
        <v>18</v>
      </c>
      <c r="P702">
        <v>1</v>
      </c>
    </row>
    <row r="703" spans="1:16" x14ac:dyDescent="0.3">
      <c r="A703">
        <v>1193</v>
      </c>
      <c r="B703">
        <v>43867</v>
      </c>
      <c r="C703">
        <v>70</v>
      </c>
      <c r="D703">
        <v>18524</v>
      </c>
      <c r="E703" t="s">
        <v>14</v>
      </c>
      <c r="F703" t="s">
        <v>15</v>
      </c>
      <c r="G703" t="s">
        <v>34</v>
      </c>
      <c r="H703" t="s">
        <v>8</v>
      </c>
      <c r="I703" t="s">
        <v>66</v>
      </c>
      <c r="J703" t="s">
        <v>25</v>
      </c>
      <c r="K703" t="s">
        <v>26</v>
      </c>
      <c r="L703" t="s">
        <v>12</v>
      </c>
      <c r="M703" t="s">
        <v>21</v>
      </c>
      <c r="N703" t="s">
        <v>37</v>
      </c>
      <c r="O703" t="s">
        <v>18</v>
      </c>
      <c r="P703">
        <v>2</v>
      </c>
    </row>
    <row r="704" spans="1:16" x14ac:dyDescent="0.3">
      <c r="A704">
        <v>1194</v>
      </c>
      <c r="B704">
        <v>43479</v>
      </c>
      <c r="C704">
        <v>66</v>
      </c>
      <c r="D704">
        <v>19426</v>
      </c>
      <c r="E704" t="s">
        <v>14</v>
      </c>
      <c r="F704" t="s">
        <v>22</v>
      </c>
      <c r="G704" t="s">
        <v>17</v>
      </c>
      <c r="H704" t="s">
        <v>8</v>
      </c>
      <c r="I704" t="s">
        <v>66</v>
      </c>
      <c r="J704" t="s">
        <v>25</v>
      </c>
      <c r="K704" t="s">
        <v>11</v>
      </c>
      <c r="L704" t="s">
        <v>12</v>
      </c>
      <c r="M704" t="s">
        <v>35</v>
      </c>
      <c r="N704" t="s">
        <v>46</v>
      </c>
      <c r="O704" t="s">
        <v>18</v>
      </c>
      <c r="P704">
        <v>4</v>
      </c>
    </row>
    <row r="705" spans="1:16" x14ac:dyDescent="0.3">
      <c r="A705">
        <v>1196</v>
      </c>
      <c r="B705">
        <v>43533</v>
      </c>
      <c r="C705">
        <v>41</v>
      </c>
      <c r="D705">
        <v>28801</v>
      </c>
      <c r="E705" t="s">
        <v>14</v>
      </c>
      <c r="F705" t="s">
        <v>15</v>
      </c>
      <c r="G705" t="s">
        <v>34</v>
      </c>
      <c r="H705" t="s">
        <v>8</v>
      </c>
      <c r="I705" t="s">
        <v>9</v>
      </c>
      <c r="J705" t="s">
        <v>20</v>
      </c>
      <c r="K705" t="s">
        <v>11</v>
      </c>
      <c r="L705" t="s">
        <v>12</v>
      </c>
      <c r="M705" t="s">
        <v>38</v>
      </c>
      <c r="N705" t="s">
        <v>30</v>
      </c>
      <c r="O705" t="s">
        <v>18</v>
      </c>
      <c r="P705">
        <v>5</v>
      </c>
    </row>
    <row r="706" spans="1:16" x14ac:dyDescent="0.3">
      <c r="A706">
        <v>1197</v>
      </c>
      <c r="B706">
        <v>43995</v>
      </c>
      <c r="C706">
        <v>62</v>
      </c>
      <c r="D706">
        <v>21348</v>
      </c>
      <c r="E706" t="s">
        <v>14</v>
      </c>
      <c r="F706" t="s">
        <v>15</v>
      </c>
      <c r="G706" t="s">
        <v>40</v>
      </c>
      <c r="H706" t="s">
        <v>8</v>
      </c>
      <c r="I706" t="s">
        <v>9</v>
      </c>
      <c r="J706" t="s">
        <v>25</v>
      </c>
      <c r="K706" t="s">
        <v>26</v>
      </c>
      <c r="L706" t="s">
        <v>12</v>
      </c>
      <c r="M706" t="s">
        <v>93</v>
      </c>
      <c r="N706" t="s">
        <v>23</v>
      </c>
      <c r="O706" t="s">
        <v>18</v>
      </c>
      <c r="P706">
        <v>5</v>
      </c>
    </row>
    <row r="707" spans="1:16" x14ac:dyDescent="0.3">
      <c r="A707">
        <v>1198</v>
      </c>
      <c r="B707">
        <v>43487</v>
      </c>
      <c r="C707">
        <v>67</v>
      </c>
      <c r="D707">
        <v>19265</v>
      </c>
      <c r="E707" t="s">
        <v>14</v>
      </c>
      <c r="F707" t="s">
        <v>15</v>
      </c>
      <c r="G707" t="s">
        <v>34</v>
      </c>
      <c r="H707" t="s">
        <v>8</v>
      </c>
      <c r="I707" t="s">
        <v>9</v>
      </c>
      <c r="J707" t="s">
        <v>10</v>
      </c>
      <c r="K707" t="s">
        <v>26</v>
      </c>
      <c r="L707" t="s">
        <v>12</v>
      </c>
      <c r="M707" t="s">
        <v>35</v>
      </c>
      <c r="N707" t="s">
        <v>46</v>
      </c>
      <c r="O707" t="s">
        <v>18</v>
      </c>
      <c r="P707">
        <v>2</v>
      </c>
    </row>
    <row r="708" spans="1:16" x14ac:dyDescent="0.3">
      <c r="A708">
        <v>1199</v>
      </c>
      <c r="B708">
        <v>44177</v>
      </c>
      <c r="C708">
        <v>70</v>
      </c>
      <c r="D708">
        <v>18367</v>
      </c>
      <c r="E708" t="s">
        <v>14</v>
      </c>
      <c r="F708" t="s">
        <v>15</v>
      </c>
      <c r="G708" t="s">
        <v>17</v>
      </c>
      <c r="H708" t="s">
        <v>8</v>
      </c>
      <c r="I708" t="s">
        <v>9</v>
      </c>
      <c r="J708" t="s">
        <v>25</v>
      </c>
      <c r="K708" t="s">
        <v>26</v>
      </c>
      <c r="L708" t="s">
        <v>12</v>
      </c>
      <c r="M708" t="s">
        <v>35</v>
      </c>
      <c r="N708" t="s">
        <v>16</v>
      </c>
      <c r="O708" t="s">
        <v>18</v>
      </c>
      <c r="P708">
        <v>3</v>
      </c>
    </row>
    <row r="709" spans="1:16" x14ac:dyDescent="0.3">
      <c r="A709">
        <v>1200</v>
      </c>
      <c r="B709">
        <v>44678</v>
      </c>
      <c r="C709">
        <v>45</v>
      </c>
      <c r="D709">
        <v>28406</v>
      </c>
      <c r="E709" t="s">
        <v>14</v>
      </c>
      <c r="F709" t="s">
        <v>15</v>
      </c>
      <c r="G709" t="s">
        <v>34</v>
      </c>
      <c r="H709" t="s">
        <v>8</v>
      </c>
      <c r="I709" t="s">
        <v>9</v>
      </c>
      <c r="J709" t="s">
        <v>20</v>
      </c>
      <c r="K709" t="s">
        <v>19</v>
      </c>
      <c r="L709" t="s">
        <v>12</v>
      </c>
      <c r="M709" t="s">
        <v>32</v>
      </c>
      <c r="N709" t="s">
        <v>30</v>
      </c>
      <c r="O709" t="s">
        <v>18</v>
      </c>
      <c r="P709">
        <v>5</v>
      </c>
    </row>
    <row r="710" spans="1:16" x14ac:dyDescent="0.3">
      <c r="A710">
        <v>1201</v>
      </c>
      <c r="B710">
        <v>44662</v>
      </c>
      <c r="C710">
        <v>68</v>
      </c>
      <c r="D710">
        <v>19751</v>
      </c>
      <c r="E710" t="s">
        <v>14</v>
      </c>
      <c r="F710" t="s">
        <v>22</v>
      </c>
      <c r="G710" t="s">
        <v>40</v>
      </c>
      <c r="H710" t="s">
        <v>8</v>
      </c>
      <c r="I710" t="s">
        <v>66</v>
      </c>
      <c r="J710" t="s">
        <v>10</v>
      </c>
      <c r="K710" t="s">
        <v>19</v>
      </c>
      <c r="L710" t="s">
        <v>12</v>
      </c>
      <c r="M710" t="s">
        <v>32</v>
      </c>
      <c r="N710" t="s">
        <v>30</v>
      </c>
      <c r="O710" t="s">
        <v>18</v>
      </c>
      <c r="P710">
        <v>4</v>
      </c>
    </row>
    <row r="711" spans="1:16" x14ac:dyDescent="0.3">
      <c r="A711">
        <v>1202</v>
      </c>
      <c r="B711">
        <v>44805</v>
      </c>
      <c r="C711">
        <v>39</v>
      </c>
      <c r="D711">
        <v>30487</v>
      </c>
      <c r="E711" t="s">
        <v>14</v>
      </c>
      <c r="F711" t="s">
        <v>22</v>
      </c>
      <c r="G711" t="s">
        <v>17</v>
      </c>
      <c r="H711" t="s">
        <v>8</v>
      </c>
      <c r="I711" t="s">
        <v>66</v>
      </c>
      <c r="J711" t="s">
        <v>10</v>
      </c>
      <c r="K711" t="s">
        <v>26</v>
      </c>
      <c r="L711" t="s">
        <v>12</v>
      </c>
      <c r="M711" t="s">
        <v>59</v>
      </c>
      <c r="N711" t="s">
        <v>16</v>
      </c>
      <c r="O711" t="s">
        <v>18</v>
      </c>
      <c r="P711">
        <v>3</v>
      </c>
    </row>
    <row r="712" spans="1:16" x14ac:dyDescent="0.3">
      <c r="A712">
        <v>1203</v>
      </c>
      <c r="B712">
        <v>43351</v>
      </c>
      <c r="C712">
        <v>31</v>
      </c>
      <c r="D712">
        <v>31793</v>
      </c>
      <c r="E712" t="s">
        <v>14</v>
      </c>
      <c r="F712" t="s">
        <v>22</v>
      </c>
      <c r="G712" t="s">
        <v>40</v>
      </c>
      <c r="H712" t="s">
        <v>8</v>
      </c>
      <c r="I712" t="s">
        <v>9</v>
      </c>
      <c r="J712" t="s">
        <v>10</v>
      </c>
      <c r="K712" t="s">
        <v>19</v>
      </c>
      <c r="L712" t="s">
        <v>12</v>
      </c>
      <c r="M712" t="s">
        <v>42</v>
      </c>
      <c r="N712" t="s">
        <v>16</v>
      </c>
      <c r="O712" t="s">
        <v>18</v>
      </c>
      <c r="P712">
        <v>5</v>
      </c>
    </row>
    <row r="713" spans="1:16" x14ac:dyDescent="0.3">
      <c r="A713">
        <v>1204</v>
      </c>
      <c r="B713">
        <v>44889</v>
      </c>
      <c r="C713">
        <v>74</v>
      </c>
      <c r="D713">
        <v>17771</v>
      </c>
      <c r="E713" t="s">
        <v>14</v>
      </c>
      <c r="F713" t="s">
        <v>22</v>
      </c>
      <c r="G713" t="s">
        <v>34</v>
      </c>
      <c r="H713" t="s">
        <v>8</v>
      </c>
      <c r="I713" t="s">
        <v>9</v>
      </c>
      <c r="J713" t="s">
        <v>25</v>
      </c>
      <c r="K713" t="s">
        <v>26</v>
      </c>
      <c r="L713" t="s">
        <v>12</v>
      </c>
      <c r="M713" t="s">
        <v>28</v>
      </c>
      <c r="N713" t="s">
        <v>16</v>
      </c>
      <c r="O713" t="s">
        <v>18</v>
      </c>
      <c r="P713">
        <v>4</v>
      </c>
    </row>
    <row r="714" spans="1:16" x14ac:dyDescent="0.3">
      <c r="A714">
        <v>1205</v>
      </c>
      <c r="B714">
        <v>44035</v>
      </c>
      <c r="C714">
        <v>64</v>
      </c>
      <c r="D714">
        <v>20579</v>
      </c>
      <c r="E714" t="s">
        <v>14</v>
      </c>
      <c r="F714" t="s">
        <v>15</v>
      </c>
      <c r="G714" t="s">
        <v>31</v>
      </c>
      <c r="H714" t="s">
        <v>8</v>
      </c>
      <c r="I714" t="s">
        <v>9</v>
      </c>
      <c r="J714" t="s">
        <v>25</v>
      </c>
      <c r="K714" t="s">
        <v>11</v>
      </c>
      <c r="L714" t="s">
        <v>12</v>
      </c>
      <c r="M714" t="s">
        <v>63</v>
      </c>
      <c r="N714" t="s">
        <v>23</v>
      </c>
      <c r="O714" t="s">
        <v>18</v>
      </c>
      <c r="P714">
        <v>1</v>
      </c>
    </row>
    <row r="715" spans="1:16" x14ac:dyDescent="0.3">
      <c r="A715">
        <v>1206</v>
      </c>
      <c r="B715">
        <v>43462</v>
      </c>
      <c r="C715">
        <v>62</v>
      </c>
      <c r="D715">
        <v>20500</v>
      </c>
      <c r="E715" t="s">
        <v>14</v>
      </c>
      <c r="F715" t="s">
        <v>15</v>
      </c>
      <c r="G715" t="s">
        <v>40</v>
      </c>
      <c r="H715" t="s">
        <v>8</v>
      </c>
      <c r="I715" t="s">
        <v>9</v>
      </c>
      <c r="J715" t="s">
        <v>20</v>
      </c>
      <c r="K715" t="s">
        <v>11</v>
      </c>
      <c r="L715" t="s">
        <v>12</v>
      </c>
      <c r="M715" t="s">
        <v>42</v>
      </c>
      <c r="N715" t="s">
        <v>16</v>
      </c>
      <c r="O715" t="s">
        <v>18</v>
      </c>
      <c r="P715">
        <v>4</v>
      </c>
    </row>
    <row r="716" spans="1:16" x14ac:dyDescent="0.3">
      <c r="A716">
        <v>1207</v>
      </c>
      <c r="B716">
        <v>43739</v>
      </c>
      <c r="C716">
        <v>63</v>
      </c>
      <c r="D716">
        <v>20644</v>
      </c>
      <c r="E716" t="s">
        <v>14</v>
      </c>
      <c r="F716" t="s">
        <v>15</v>
      </c>
      <c r="G716" t="s">
        <v>40</v>
      </c>
      <c r="H716" t="s">
        <v>8</v>
      </c>
      <c r="I716" t="s">
        <v>9</v>
      </c>
      <c r="J716" t="s">
        <v>10</v>
      </c>
      <c r="K716" t="s">
        <v>26</v>
      </c>
      <c r="L716" t="s">
        <v>12</v>
      </c>
      <c r="M716" t="s">
        <v>59</v>
      </c>
      <c r="N716" t="s">
        <v>16</v>
      </c>
      <c r="O716" t="s">
        <v>18</v>
      </c>
      <c r="P716">
        <v>1</v>
      </c>
    </row>
    <row r="717" spans="1:16" x14ac:dyDescent="0.3">
      <c r="A717">
        <v>1208</v>
      </c>
      <c r="B717">
        <v>43694</v>
      </c>
      <c r="C717">
        <v>40</v>
      </c>
      <c r="D717">
        <v>29219</v>
      </c>
      <c r="E717" t="s">
        <v>14</v>
      </c>
      <c r="F717" t="s">
        <v>15</v>
      </c>
      <c r="G717" t="s">
        <v>31</v>
      </c>
      <c r="H717" t="s">
        <v>91</v>
      </c>
      <c r="I717" t="s">
        <v>9</v>
      </c>
      <c r="J717" t="s">
        <v>10</v>
      </c>
      <c r="K717" t="s">
        <v>19</v>
      </c>
      <c r="L717" t="s">
        <v>12</v>
      </c>
      <c r="M717" t="s">
        <v>59</v>
      </c>
      <c r="N717" t="s">
        <v>37</v>
      </c>
      <c r="O717" t="s">
        <v>18</v>
      </c>
      <c r="P717">
        <v>1</v>
      </c>
    </row>
    <row r="718" spans="1:16" x14ac:dyDescent="0.3">
      <c r="A718">
        <v>1209</v>
      </c>
      <c r="B718">
        <v>45077</v>
      </c>
      <c r="C718">
        <v>24</v>
      </c>
      <c r="D718">
        <v>36315</v>
      </c>
      <c r="E718" t="s">
        <v>14</v>
      </c>
      <c r="F718" t="s">
        <v>15</v>
      </c>
      <c r="G718" t="s">
        <v>34</v>
      </c>
      <c r="H718" t="s">
        <v>91</v>
      </c>
      <c r="I718" t="s">
        <v>9</v>
      </c>
      <c r="J718" t="s">
        <v>20</v>
      </c>
      <c r="K718" t="s">
        <v>19</v>
      </c>
      <c r="L718" t="s">
        <v>12</v>
      </c>
      <c r="M718" t="s">
        <v>59</v>
      </c>
      <c r="N718" t="s">
        <v>30</v>
      </c>
      <c r="O718" t="s">
        <v>18</v>
      </c>
      <c r="P718">
        <v>3</v>
      </c>
    </row>
    <row r="719" spans="1:16" x14ac:dyDescent="0.3">
      <c r="A719">
        <v>1210</v>
      </c>
      <c r="B719">
        <v>44173</v>
      </c>
      <c r="C719">
        <v>72</v>
      </c>
      <c r="D719">
        <v>17891</v>
      </c>
      <c r="E719" t="s">
        <v>14</v>
      </c>
      <c r="F719" t="s">
        <v>15</v>
      </c>
      <c r="G719" t="s">
        <v>40</v>
      </c>
      <c r="H719" t="s">
        <v>91</v>
      </c>
      <c r="I719" t="s">
        <v>9</v>
      </c>
      <c r="J719" t="s">
        <v>25</v>
      </c>
      <c r="K719" t="s">
        <v>26</v>
      </c>
      <c r="L719" t="s">
        <v>12</v>
      </c>
      <c r="M719" t="s">
        <v>35</v>
      </c>
      <c r="N719" t="s">
        <v>46</v>
      </c>
      <c r="O719" t="s">
        <v>18</v>
      </c>
      <c r="P719">
        <v>5</v>
      </c>
    </row>
    <row r="720" spans="1:16" x14ac:dyDescent="0.3">
      <c r="A720">
        <v>1211</v>
      </c>
      <c r="B720">
        <v>43409</v>
      </c>
      <c r="C720">
        <v>37</v>
      </c>
      <c r="D720">
        <v>29931</v>
      </c>
      <c r="E720" t="s">
        <v>14</v>
      </c>
      <c r="F720" t="s">
        <v>22</v>
      </c>
      <c r="G720" t="s">
        <v>17</v>
      </c>
      <c r="H720" t="s">
        <v>64</v>
      </c>
      <c r="I720" t="s">
        <v>66</v>
      </c>
      <c r="J720" t="s">
        <v>20</v>
      </c>
      <c r="K720" t="s">
        <v>26</v>
      </c>
      <c r="L720" t="s">
        <v>12</v>
      </c>
      <c r="M720" t="s">
        <v>35</v>
      </c>
      <c r="N720" t="s">
        <v>30</v>
      </c>
      <c r="O720" t="s">
        <v>18</v>
      </c>
      <c r="P720">
        <v>3</v>
      </c>
    </row>
    <row r="721" spans="1:16" x14ac:dyDescent="0.3">
      <c r="A721">
        <v>1212</v>
      </c>
      <c r="B721">
        <v>44069</v>
      </c>
      <c r="C721">
        <v>37</v>
      </c>
      <c r="D721">
        <v>30555</v>
      </c>
      <c r="E721" t="s">
        <v>14</v>
      </c>
      <c r="F721" t="s">
        <v>15</v>
      </c>
      <c r="G721" t="s">
        <v>31</v>
      </c>
      <c r="H721" t="s">
        <v>64</v>
      </c>
      <c r="I721" t="s">
        <v>66</v>
      </c>
      <c r="J721" t="s">
        <v>10</v>
      </c>
      <c r="K721" t="s">
        <v>11</v>
      </c>
      <c r="L721" t="s">
        <v>12</v>
      </c>
      <c r="M721" t="s">
        <v>42</v>
      </c>
      <c r="N721" t="s">
        <v>23</v>
      </c>
      <c r="O721" t="s">
        <v>18</v>
      </c>
      <c r="P721">
        <v>5</v>
      </c>
    </row>
    <row r="722" spans="1:16" x14ac:dyDescent="0.3">
      <c r="A722">
        <v>1213</v>
      </c>
      <c r="B722">
        <v>43884</v>
      </c>
      <c r="C722">
        <v>33</v>
      </c>
      <c r="D722">
        <v>31858</v>
      </c>
      <c r="E722" t="s">
        <v>14</v>
      </c>
      <c r="F722" t="s">
        <v>15</v>
      </c>
      <c r="G722" t="s">
        <v>34</v>
      </c>
      <c r="H722" t="s">
        <v>64</v>
      </c>
      <c r="I722" t="s">
        <v>9</v>
      </c>
      <c r="J722" t="s">
        <v>20</v>
      </c>
      <c r="K722" t="s">
        <v>19</v>
      </c>
      <c r="L722" t="s">
        <v>12</v>
      </c>
      <c r="M722" t="s">
        <v>54</v>
      </c>
      <c r="N722" t="s">
        <v>16</v>
      </c>
      <c r="O722" t="s">
        <v>18</v>
      </c>
      <c r="P722">
        <v>2</v>
      </c>
    </row>
    <row r="723" spans="1:16" x14ac:dyDescent="0.3">
      <c r="A723">
        <v>1214</v>
      </c>
      <c r="B723">
        <v>44604</v>
      </c>
      <c r="C723">
        <v>55</v>
      </c>
      <c r="D723">
        <v>24734</v>
      </c>
      <c r="E723" t="s">
        <v>14</v>
      </c>
      <c r="F723" t="s">
        <v>15</v>
      </c>
      <c r="G723" t="s">
        <v>40</v>
      </c>
      <c r="H723" t="s">
        <v>64</v>
      </c>
      <c r="I723" t="s">
        <v>9</v>
      </c>
      <c r="J723" t="s">
        <v>25</v>
      </c>
      <c r="K723" t="s">
        <v>26</v>
      </c>
      <c r="L723" t="s">
        <v>12</v>
      </c>
      <c r="M723" t="s">
        <v>49</v>
      </c>
      <c r="N723" t="s">
        <v>46</v>
      </c>
      <c r="O723" t="s">
        <v>18</v>
      </c>
      <c r="P723">
        <v>5</v>
      </c>
    </row>
    <row r="724" spans="1:16" x14ac:dyDescent="0.3">
      <c r="A724">
        <v>1215</v>
      </c>
      <c r="B724">
        <v>43874</v>
      </c>
      <c r="C724">
        <v>37</v>
      </c>
      <c r="D724">
        <v>30515</v>
      </c>
      <c r="E724" t="s">
        <v>14</v>
      </c>
      <c r="F724" t="s">
        <v>15</v>
      </c>
      <c r="G724" t="s">
        <v>17</v>
      </c>
      <c r="H724" t="s">
        <v>64</v>
      </c>
      <c r="I724" t="s">
        <v>9</v>
      </c>
      <c r="J724" t="s">
        <v>10</v>
      </c>
      <c r="K724" t="s">
        <v>11</v>
      </c>
      <c r="L724" t="s">
        <v>12</v>
      </c>
      <c r="M724" t="s">
        <v>21</v>
      </c>
      <c r="N724" t="s">
        <v>46</v>
      </c>
      <c r="O724" t="s">
        <v>18</v>
      </c>
      <c r="P724">
        <v>1</v>
      </c>
    </row>
    <row r="725" spans="1:16" x14ac:dyDescent="0.3">
      <c r="A725">
        <v>1216</v>
      </c>
      <c r="B725">
        <v>44972</v>
      </c>
      <c r="C725">
        <v>37</v>
      </c>
      <c r="D725">
        <v>31582</v>
      </c>
      <c r="E725" t="s">
        <v>14</v>
      </c>
      <c r="F725" t="s">
        <v>15</v>
      </c>
      <c r="G725" t="s">
        <v>31</v>
      </c>
      <c r="H725" t="s">
        <v>8</v>
      </c>
      <c r="I725" t="s">
        <v>66</v>
      </c>
      <c r="J725" t="s">
        <v>20</v>
      </c>
      <c r="K725" t="s">
        <v>26</v>
      </c>
      <c r="L725" t="s">
        <v>12</v>
      </c>
      <c r="M725" t="s">
        <v>32</v>
      </c>
      <c r="N725" t="s">
        <v>37</v>
      </c>
      <c r="O725" t="s">
        <v>18</v>
      </c>
      <c r="P725">
        <v>1</v>
      </c>
    </row>
    <row r="726" spans="1:16" x14ac:dyDescent="0.3">
      <c r="A726">
        <v>1217</v>
      </c>
      <c r="B726">
        <v>43802</v>
      </c>
      <c r="C726">
        <v>59</v>
      </c>
      <c r="D726">
        <v>22114</v>
      </c>
      <c r="E726" t="s">
        <v>14</v>
      </c>
      <c r="F726" t="s">
        <v>22</v>
      </c>
      <c r="G726" t="s">
        <v>31</v>
      </c>
      <c r="H726" t="s">
        <v>8</v>
      </c>
      <c r="I726" t="s">
        <v>66</v>
      </c>
      <c r="J726" t="s">
        <v>25</v>
      </c>
      <c r="K726" t="s">
        <v>26</v>
      </c>
      <c r="L726" t="s">
        <v>12</v>
      </c>
      <c r="M726" t="s">
        <v>59</v>
      </c>
      <c r="N726" t="s">
        <v>46</v>
      </c>
      <c r="O726" t="s">
        <v>18</v>
      </c>
      <c r="P726">
        <v>5</v>
      </c>
    </row>
    <row r="727" spans="1:16" x14ac:dyDescent="0.3">
      <c r="A727">
        <v>1218</v>
      </c>
      <c r="B727">
        <v>43465</v>
      </c>
      <c r="C727">
        <v>44</v>
      </c>
      <c r="D727">
        <v>27317</v>
      </c>
      <c r="E727" t="s">
        <v>14</v>
      </c>
      <c r="F727" t="s">
        <v>15</v>
      </c>
      <c r="G727" t="s">
        <v>34</v>
      </c>
      <c r="H727" t="s">
        <v>8</v>
      </c>
      <c r="I727" t="s">
        <v>9</v>
      </c>
      <c r="J727" t="s">
        <v>25</v>
      </c>
      <c r="K727" t="s">
        <v>26</v>
      </c>
      <c r="L727" t="s">
        <v>12</v>
      </c>
      <c r="M727" t="s">
        <v>32</v>
      </c>
      <c r="N727" t="s">
        <v>37</v>
      </c>
      <c r="O727" t="s">
        <v>18</v>
      </c>
      <c r="P727">
        <v>3</v>
      </c>
    </row>
    <row r="728" spans="1:16" x14ac:dyDescent="0.3">
      <c r="A728">
        <v>1219</v>
      </c>
      <c r="B728">
        <v>43846</v>
      </c>
      <c r="C728">
        <v>46</v>
      </c>
      <c r="D728">
        <v>27069</v>
      </c>
      <c r="E728" t="s">
        <v>14</v>
      </c>
      <c r="F728" t="s">
        <v>15</v>
      </c>
      <c r="G728" t="s">
        <v>34</v>
      </c>
      <c r="H728" t="s">
        <v>8</v>
      </c>
      <c r="I728" t="s">
        <v>66</v>
      </c>
      <c r="J728" t="s">
        <v>20</v>
      </c>
      <c r="K728" t="s">
        <v>26</v>
      </c>
      <c r="L728" t="s">
        <v>12</v>
      </c>
      <c r="M728" t="s">
        <v>42</v>
      </c>
      <c r="N728" t="s">
        <v>23</v>
      </c>
      <c r="O728" t="s">
        <v>18</v>
      </c>
      <c r="P728">
        <v>2</v>
      </c>
    </row>
    <row r="729" spans="1:16" x14ac:dyDescent="0.3">
      <c r="A729">
        <v>1220</v>
      </c>
      <c r="B729">
        <v>43424</v>
      </c>
      <c r="C729">
        <v>69</v>
      </c>
      <c r="D729">
        <v>18263</v>
      </c>
      <c r="E729" t="s">
        <v>14</v>
      </c>
      <c r="F729" t="s">
        <v>15</v>
      </c>
      <c r="G729" t="s">
        <v>31</v>
      </c>
      <c r="H729" t="s">
        <v>8</v>
      </c>
      <c r="I729" t="s">
        <v>66</v>
      </c>
      <c r="J729" t="s">
        <v>25</v>
      </c>
      <c r="K729" t="s">
        <v>11</v>
      </c>
      <c r="L729" t="s">
        <v>12</v>
      </c>
      <c r="M729" t="s">
        <v>44</v>
      </c>
      <c r="N729" t="s">
        <v>46</v>
      </c>
      <c r="O729" t="s">
        <v>18</v>
      </c>
      <c r="P729">
        <v>2</v>
      </c>
    </row>
    <row r="730" spans="1:16" x14ac:dyDescent="0.3">
      <c r="A730">
        <v>1221</v>
      </c>
      <c r="B730">
        <v>44876</v>
      </c>
      <c r="C730">
        <v>55</v>
      </c>
      <c r="D730">
        <v>24571</v>
      </c>
      <c r="E730" t="s">
        <v>14</v>
      </c>
      <c r="F730" t="s">
        <v>15</v>
      </c>
      <c r="G730" t="s">
        <v>31</v>
      </c>
      <c r="H730" t="s">
        <v>8</v>
      </c>
      <c r="I730" t="s">
        <v>66</v>
      </c>
      <c r="J730" t="s">
        <v>20</v>
      </c>
      <c r="K730" t="s">
        <v>19</v>
      </c>
      <c r="L730" t="s">
        <v>12</v>
      </c>
      <c r="M730" t="s">
        <v>63</v>
      </c>
      <c r="N730" t="s">
        <v>46</v>
      </c>
      <c r="O730" t="s">
        <v>18</v>
      </c>
      <c r="P730">
        <v>5</v>
      </c>
    </row>
    <row r="731" spans="1:16" x14ac:dyDescent="0.3">
      <c r="A731">
        <v>1222</v>
      </c>
      <c r="B731">
        <v>44183</v>
      </c>
      <c r="C731">
        <v>71</v>
      </c>
      <c r="D731">
        <v>18258</v>
      </c>
      <c r="E731" t="s">
        <v>14</v>
      </c>
      <c r="F731" t="s">
        <v>15</v>
      </c>
      <c r="G731" t="s">
        <v>17</v>
      </c>
      <c r="H731" t="s">
        <v>8</v>
      </c>
      <c r="I731" t="s">
        <v>66</v>
      </c>
      <c r="J731" t="s">
        <v>10</v>
      </c>
      <c r="K731" t="s">
        <v>19</v>
      </c>
      <c r="L731" t="s">
        <v>12</v>
      </c>
      <c r="M731" t="s">
        <v>62</v>
      </c>
      <c r="N731" t="s">
        <v>46</v>
      </c>
      <c r="O731" t="s">
        <v>18</v>
      </c>
      <c r="P731">
        <v>2</v>
      </c>
    </row>
    <row r="732" spans="1:16" x14ac:dyDescent="0.3">
      <c r="A732">
        <v>1223</v>
      </c>
      <c r="B732">
        <v>44222</v>
      </c>
      <c r="C732">
        <v>25</v>
      </c>
      <c r="D732">
        <v>35079</v>
      </c>
      <c r="E732" t="s">
        <v>14</v>
      </c>
      <c r="F732" t="s">
        <v>15</v>
      </c>
      <c r="G732" t="s">
        <v>17</v>
      </c>
      <c r="H732" t="s">
        <v>8</v>
      </c>
      <c r="I732" t="s">
        <v>9</v>
      </c>
      <c r="J732" t="s">
        <v>25</v>
      </c>
      <c r="K732" t="s">
        <v>11</v>
      </c>
      <c r="L732" t="s">
        <v>12</v>
      </c>
      <c r="M732" t="s">
        <v>42</v>
      </c>
      <c r="N732" t="s">
        <v>46</v>
      </c>
      <c r="O732" t="s">
        <v>18</v>
      </c>
      <c r="P732">
        <v>1</v>
      </c>
    </row>
    <row r="733" spans="1:16" x14ac:dyDescent="0.3">
      <c r="A733">
        <v>1224</v>
      </c>
      <c r="B733">
        <v>44526</v>
      </c>
      <c r="C733">
        <v>57</v>
      </c>
      <c r="D733">
        <v>23647</v>
      </c>
      <c r="E733" t="s">
        <v>14</v>
      </c>
      <c r="F733" t="s">
        <v>22</v>
      </c>
      <c r="G733" t="s">
        <v>34</v>
      </c>
      <c r="H733" t="s">
        <v>8</v>
      </c>
      <c r="I733" t="s">
        <v>66</v>
      </c>
      <c r="J733" t="s">
        <v>20</v>
      </c>
      <c r="K733" t="s">
        <v>26</v>
      </c>
      <c r="L733" t="s">
        <v>12</v>
      </c>
      <c r="M733" t="s">
        <v>59</v>
      </c>
      <c r="N733" t="s">
        <v>23</v>
      </c>
      <c r="O733" t="s">
        <v>18</v>
      </c>
      <c r="P733">
        <v>2</v>
      </c>
    </row>
    <row r="734" spans="1:16" x14ac:dyDescent="0.3">
      <c r="A734">
        <v>1225</v>
      </c>
      <c r="B734">
        <v>45061</v>
      </c>
      <c r="C734">
        <v>66</v>
      </c>
      <c r="D734">
        <v>20834</v>
      </c>
      <c r="E734" t="s">
        <v>14</v>
      </c>
      <c r="F734" t="s">
        <v>22</v>
      </c>
      <c r="G734" t="s">
        <v>34</v>
      </c>
      <c r="H734" t="s">
        <v>8</v>
      </c>
      <c r="I734" t="s">
        <v>9</v>
      </c>
      <c r="J734" t="s">
        <v>10</v>
      </c>
      <c r="K734" t="s">
        <v>11</v>
      </c>
      <c r="L734" t="s">
        <v>12</v>
      </c>
      <c r="M734" t="s">
        <v>13</v>
      </c>
      <c r="N734" t="s">
        <v>46</v>
      </c>
      <c r="O734" t="s">
        <v>18</v>
      </c>
      <c r="P734">
        <v>2</v>
      </c>
    </row>
    <row r="735" spans="1:16" x14ac:dyDescent="0.3">
      <c r="A735">
        <v>1226</v>
      </c>
      <c r="B735">
        <v>45097</v>
      </c>
      <c r="C735">
        <v>56</v>
      </c>
      <c r="D735">
        <v>24578</v>
      </c>
      <c r="E735" t="s">
        <v>14</v>
      </c>
      <c r="F735" t="s">
        <v>22</v>
      </c>
      <c r="G735" t="s">
        <v>40</v>
      </c>
      <c r="H735" t="s">
        <v>8</v>
      </c>
      <c r="I735" t="s">
        <v>9</v>
      </c>
      <c r="J735" t="s">
        <v>25</v>
      </c>
      <c r="K735" t="s">
        <v>19</v>
      </c>
      <c r="L735" t="s">
        <v>12</v>
      </c>
      <c r="M735" t="s">
        <v>35</v>
      </c>
      <c r="N735" t="s">
        <v>30</v>
      </c>
      <c r="O735" t="s">
        <v>18</v>
      </c>
      <c r="P735">
        <v>5</v>
      </c>
    </row>
    <row r="736" spans="1:16" x14ac:dyDescent="0.3">
      <c r="A736">
        <v>1227</v>
      </c>
      <c r="B736">
        <v>43699</v>
      </c>
      <c r="C736">
        <v>32</v>
      </c>
      <c r="D736">
        <v>31857</v>
      </c>
      <c r="E736" t="s">
        <v>14</v>
      </c>
      <c r="F736" t="s">
        <v>15</v>
      </c>
      <c r="G736" t="s">
        <v>40</v>
      </c>
      <c r="H736" t="s">
        <v>8</v>
      </c>
      <c r="I736" t="s">
        <v>9</v>
      </c>
      <c r="J736" t="s">
        <v>20</v>
      </c>
      <c r="K736" t="s">
        <v>11</v>
      </c>
      <c r="L736" t="s">
        <v>12</v>
      </c>
      <c r="M736" t="s">
        <v>67</v>
      </c>
      <c r="N736" t="s">
        <v>30</v>
      </c>
      <c r="O736" t="s">
        <v>18</v>
      </c>
      <c r="P736">
        <v>2</v>
      </c>
    </row>
    <row r="737" spans="1:16" x14ac:dyDescent="0.3">
      <c r="A737">
        <v>1228</v>
      </c>
      <c r="B737">
        <v>44438</v>
      </c>
      <c r="C737">
        <v>27</v>
      </c>
      <c r="D737">
        <v>34670</v>
      </c>
      <c r="E737" t="s">
        <v>14</v>
      </c>
      <c r="F737" t="s">
        <v>15</v>
      </c>
      <c r="G737" t="s">
        <v>17</v>
      </c>
      <c r="H737" t="s">
        <v>8</v>
      </c>
      <c r="I737" t="s">
        <v>9</v>
      </c>
      <c r="J737" t="s">
        <v>10</v>
      </c>
      <c r="K737" t="s">
        <v>26</v>
      </c>
      <c r="L737" t="s">
        <v>12</v>
      </c>
      <c r="M737" t="s">
        <v>55</v>
      </c>
      <c r="N737" t="s">
        <v>30</v>
      </c>
      <c r="O737" t="s">
        <v>18</v>
      </c>
      <c r="P737">
        <v>5</v>
      </c>
    </row>
    <row r="738" spans="1:16" x14ac:dyDescent="0.3">
      <c r="A738">
        <v>1229</v>
      </c>
      <c r="B738">
        <v>43857</v>
      </c>
      <c r="C738">
        <v>68</v>
      </c>
      <c r="D738">
        <v>19359</v>
      </c>
      <c r="E738" t="s">
        <v>14</v>
      </c>
      <c r="F738" t="s">
        <v>15</v>
      </c>
      <c r="G738" t="s">
        <v>31</v>
      </c>
      <c r="H738" t="s">
        <v>8</v>
      </c>
      <c r="I738" t="s">
        <v>9</v>
      </c>
      <c r="J738" t="s">
        <v>20</v>
      </c>
      <c r="K738" t="s">
        <v>26</v>
      </c>
      <c r="L738" t="s">
        <v>12</v>
      </c>
      <c r="M738" t="s">
        <v>35</v>
      </c>
      <c r="N738" t="s">
        <v>37</v>
      </c>
      <c r="O738" t="s">
        <v>18</v>
      </c>
      <c r="P738">
        <v>2</v>
      </c>
    </row>
    <row r="739" spans="1:16" x14ac:dyDescent="0.3">
      <c r="A739">
        <v>1230</v>
      </c>
      <c r="B739">
        <v>44624</v>
      </c>
      <c r="C739">
        <v>48</v>
      </c>
      <c r="D739">
        <v>27290</v>
      </c>
      <c r="E739" t="s">
        <v>14</v>
      </c>
      <c r="F739" t="s">
        <v>15</v>
      </c>
      <c r="G739" t="s">
        <v>17</v>
      </c>
      <c r="H739" t="s">
        <v>8</v>
      </c>
      <c r="I739" t="s">
        <v>9</v>
      </c>
      <c r="J739" t="s">
        <v>10</v>
      </c>
      <c r="K739" t="s">
        <v>11</v>
      </c>
      <c r="L739" t="s">
        <v>12</v>
      </c>
      <c r="M739" t="s">
        <v>59</v>
      </c>
      <c r="N739" t="s">
        <v>23</v>
      </c>
      <c r="O739" t="s">
        <v>18</v>
      </c>
      <c r="P739">
        <v>4</v>
      </c>
    </row>
    <row r="740" spans="1:16" x14ac:dyDescent="0.3">
      <c r="A740">
        <v>1231</v>
      </c>
      <c r="B740">
        <v>43897</v>
      </c>
      <c r="C740">
        <v>26</v>
      </c>
      <c r="D740">
        <v>34610</v>
      </c>
      <c r="E740" t="s">
        <v>14</v>
      </c>
      <c r="F740" t="s">
        <v>15</v>
      </c>
      <c r="G740" t="s">
        <v>34</v>
      </c>
      <c r="H740" t="s">
        <v>91</v>
      </c>
      <c r="I740" t="s">
        <v>9</v>
      </c>
      <c r="J740" t="s">
        <v>10</v>
      </c>
      <c r="K740" t="s">
        <v>26</v>
      </c>
      <c r="L740" t="s">
        <v>12</v>
      </c>
      <c r="M740" t="s">
        <v>61</v>
      </c>
      <c r="N740" t="s">
        <v>37</v>
      </c>
      <c r="O740" t="s">
        <v>18</v>
      </c>
      <c r="P740">
        <v>2</v>
      </c>
    </row>
    <row r="741" spans="1:16" x14ac:dyDescent="0.3">
      <c r="A741">
        <v>1232</v>
      </c>
      <c r="B741">
        <v>43909</v>
      </c>
      <c r="C741">
        <v>73</v>
      </c>
      <c r="D741">
        <v>17243</v>
      </c>
      <c r="E741" t="s">
        <v>14</v>
      </c>
      <c r="F741" t="s">
        <v>15</v>
      </c>
      <c r="G741" t="s">
        <v>31</v>
      </c>
      <c r="H741" t="s">
        <v>91</v>
      </c>
      <c r="I741" t="s">
        <v>9</v>
      </c>
      <c r="J741" t="s">
        <v>25</v>
      </c>
      <c r="K741" t="s">
        <v>26</v>
      </c>
      <c r="L741" t="s">
        <v>12</v>
      </c>
      <c r="M741" t="s">
        <v>62</v>
      </c>
      <c r="N741" t="s">
        <v>30</v>
      </c>
      <c r="O741" t="s">
        <v>18</v>
      </c>
      <c r="P741">
        <v>1</v>
      </c>
    </row>
    <row r="742" spans="1:16" x14ac:dyDescent="0.3">
      <c r="A742">
        <v>1233</v>
      </c>
      <c r="B742">
        <v>44765</v>
      </c>
      <c r="C742">
        <v>30</v>
      </c>
      <c r="D742">
        <v>33731</v>
      </c>
      <c r="E742" t="s">
        <v>14</v>
      </c>
      <c r="F742" t="s">
        <v>22</v>
      </c>
      <c r="G742" t="s">
        <v>40</v>
      </c>
      <c r="H742" t="s">
        <v>64</v>
      </c>
      <c r="I742" t="s">
        <v>9</v>
      </c>
      <c r="J742" t="s">
        <v>25</v>
      </c>
      <c r="K742" t="s">
        <v>19</v>
      </c>
      <c r="L742" t="s">
        <v>12</v>
      </c>
      <c r="M742" t="s">
        <v>59</v>
      </c>
      <c r="N742" t="s">
        <v>30</v>
      </c>
      <c r="O742" t="s">
        <v>18</v>
      </c>
      <c r="P742">
        <v>5</v>
      </c>
    </row>
    <row r="743" spans="1:16" x14ac:dyDescent="0.3">
      <c r="A743">
        <v>1234</v>
      </c>
      <c r="B743">
        <v>43756</v>
      </c>
      <c r="C743">
        <v>72</v>
      </c>
      <c r="D743">
        <v>17337</v>
      </c>
      <c r="E743" t="s">
        <v>14</v>
      </c>
      <c r="F743" t="s">
        <v>15</v>
      </c>
      <c r="G743" t="s">
        <v>40</v>
      </c>
      <c r="H743" t="s">
        <v>64</v>
      </c>
      <c r="I743" t="s">
        <v>66</v>
      </c>
      <c r="J743" t="s">
        <v>25</v>
      </c>
      <c r="K743" t="s">
        <v>19</v>
      </c>
      <c r="L743" t="s">
        <v>12</v>
      </c>
      <c r="M743" t="s">
        <v>76</v>
      </c>
      <c r="N743" t="s">
        <v>37</v>
      </c>
      <c r="O743" t="s">
        <v>18</v>
      </c>
      <c r="P743">
        <v>1</v>
      </c>
    </row>
    <row r="744" spans="1:16" x14ac:dyDescent="0.3">
      <c r="A744">
        <v>1235</v>
      </c>
      <c r="B744">
        <v>43935</v>
      </c>
      <c r="C744">
        <v>22</v>
      </c>
      <c r="D744">
        <v>35932</v>
      </c>
      <c r="E744" t="s">
        <v>14</v>
      </c>
      <c r="F744" t="s">
        <v>15</v>
      </c>
      <c r="G744" t="s">
        <v>17</v>
      </c>
      <c r="H744" t="s">
        <v>64</v>
      </c>
      <c r="I744" t="s">
        <v>9</v>
      </c>
      <c r="J744" t="s">
        <v>25</v>
      </c>
      <c r="K744" t="s">
        <v>26</v>
      </c>
      <c r="L744" t="s">
        <v>12</v>
      </c>
      <c r="M744" t="s">
        <v>32</v>
      </c>
      <c r="N744" t="s">
        <v>30</v>
      </c>
      <c r="O744" t="s">
        <v>18</v>
      </c>
      <c r="P744">
        <v>5</v>
      </c>
    </row>
    <row r="745" spans="1:16" x14ac:dyDescent="0.3">
      <c r="A745">
        <v>1236</v>
      </c>
      <c r="B745">
        <v>43429</v>
      </c>
      <c r="C745">
        <v>72</v>
      </c>
      <c r="D745">
        <v>17147</v>
      </c>
      <c r="E745" t="s">
        <v>14</v>
      </c>
      <c r="F745" t="s">
        <v>15</v>
      </c>
      <c r="G745" t="s">
        <v>34</v>
      </c>
      <c r="H745" t="s">
        <v>64</v>
      </c>
      <c r="I745" t="s">
        <v>66</v>
      </c>
      <c r="J745" t="s">
        <v>20</v>
      </c>
      <c r="K745" t="s">
        <v>26</v>
      </c>
      <c r="L745" t="s">
        <v>12</v>
      </c>
      <c r="M745" t="s">
        <v>35</v>
      </c>
      <c r="N745" t="s">
        <v>16</v>
      </c>
      <c r="O745" t="s">
        <v>18</v>
      </c>
      <c r="P745">
        <v>4</v>
      </c>
    </row>
    <row r="746" spans="1:16" x14ac:dyDescent="0.3">
      <c r="A746">
        <v>1237</v>
      </c>
      <c r="B746">
        <v>44278</v>
      </c>
      <c r="C746">
        <v>46</v>
      </c>
      <c r="D746">
        <v>27745</v>
      </c>
      <c r="E746" t="s">
        <v>14</v>
      </c>
      <c r="F746" t="s">
        <v>15</v>
      </c>
      <c r="G746" t="s">
        <v>40</v>
      </c>
      <c r="H746" t="s">
        <v>64</v>
      </c>
      <c r="I746" t="s">
        <v>66</v>
      </c>
      <c r="J746" t="s">
        <v>20</v>
      </c>
      <c r="K746" t="s">
        <v>19</v>
      </c>
      <c r="L746" t="s">
        <v>12</v>
      </c>
      <c r="M746" t="s">
        <v>63</v>
      </c>
      <c r="N746" t="s">
        <v>37</v>
      </c>
      <c r="O746" t="s">
        <v>18</v>
      </c>
      <c r="P746">
        <v>3</v>
      </c>
    </row>
    <row r="747" spans="1:16" x14ac:dyDescent="0.3">
      <c r="A747">
        <v>1238</v>
      </c>
      <c r="B747">
        <v>44131</v>
      </c>
      <c r="C747">
        <v>52</v>
      </c>
      <c r="D747">
        <v>25093</v>
      </c>
      <c r="E747" t="s">
        <v>14</v>
      </c>
      <c r="F747" t="s">
        <v>15</v>
      </c>
      <c r="G747" t="s">
        <v>31</v>
      </c>
      <c r="H747" t="s">
        <v>8</v>
      </c>
      <c r="I747" t="s">
        <v>66</v>
      </c>
      <c r="J747" t="s">
        <v>20</v>
      </c>
      <c r="K747" t="s">
        <v>26</v>
      </c>
      <c r="L747" t="s">
        <v>12</v>
      </c>
      <c r="M747" t="s">
        <v>42</v>
      </c>
      <c r="N747" t="s">
        <v>30</v>
      </c>
      <c r="O747" t="s">
        <v>18</v>
      </c>
      <c r="P747">
        <v>3</v>
      </c>
    </row>
    <row r="748" spans="1:16" x14ac:dyDescent="0.3">
      <c r="A748">
        <v>1239</v>
      </c>
      <c r="B748">
        <v>44723</v>
      </c>
      <c r="C748">
        <v>21</v>
      </c>
      <c r="D748">
        <v>37081</v>
      </c>
      <c r="E748" t="s">
        <v>14</v>
      </c>
      <c r="F748" t="s">
        <v>15</v>
      </c>
      <c r="G748" t="s">
        <v>31</v>
      </c>
      <c r="H748" t="s">
        <v>8</v>
      </c>
      <c r="I748" t="s">
        <v>66</v>
      </c>
      <c r="J748" t="s">
        <v>20</v>
      </c>
      <c r="K748" t="s">
        <v>11</v>
      </c>
      <c r="L748" t="s">
        <v>12</v>
      </c>
      <c r="M748" t="s">
        <v>49</v>
      </c>
      <c r="N748" t="s">
        <v>23</v>
      </c>
      <c r="O748" t="s">
        <v>18</v>
      </c>
      <c r="P748">
        <v>5</v>
      </c>
    </row>
    <row r="749" spans="1:16" x14ac:dyDescent="0.3">
      <c r="A749">
        <v>1240</v>
      </c>
      <c r="B749">
        <v>43909</v>
      </c>
      <c r="C749">
        <v>35</v>
      </c>
      <c r="D749">
        <v>31148</v>
      </c>
      <c r="E749" t="s">
        <v>14</v>
      </c>
      <c r="F749" t="s">
        <v>15</v>
      </c>
      <c r="G749" t="s">
        <v>31</v>
      </c>
      <c r="H749" t="s">
        <v>8</v>
      </c>
      <c r="I749" t="s">
        <v>9</v>
      </c>
      <c r="J749" t="s">
        <v>10</v>
      </c>
      <c r="K749" t="s">
        <v>26</v>
      </c>
      <c r="L749" t="s">
        <v>12</v>
      </c>
      <c r="M749" t="s">
        <v>92</v>
      </c>
      <c r="N749" t="s">
        <v>46</v>
      </c>
      <c r="O749" t="s">
        <v>18</v>
      </c>
      <c r="P749">
        <v>4</v>
      </c>
    </row>
    <row r="750" spans="1:16" x14ac:dyDescent="0.3">
      <c r="A750">
        <v>1241</v>
      </c>
      <c r="B750">
        <v>43776</v>
      </c>
      <c r="C750">
        <v>27</v>
      </c>
      <c r="D750">
        <v>33676</v>
      </c>
      <c r="E750" t="s">
        <v>14</v>
      </c>
      <c r="F750" t="s">
        <v>15</v>
      </c>
      <c r="G750" t="s">
        <v>34</v>
      </c>
      <c r="H750" t="s">
        <v>8</v>
      </c>
      <c r="I750" t="s">
        <v>66</v>
      </c>
      <c r="J750" t="s">
        <v>10</v>
      </c>
      <c r="K750" t="s">
        <v>26</v>
      </c>
      <c r="L750" t="s">
        <v>12</v>
      </c>
      <c r="M750" t="s">
        <v>35</v>
      </c>
      <c r="N750" t="s">
        <v>37</v>
      </c>
      <c r="O750" t="s">
        <v>18</v>
      </c>
      <c r="P750">
        <v>4</v>
      </c>
    </row>
    <row r="751" spans="1:16" x14ac:dyDescent="0.3">
      <c r="A751">
        <v>1242</v>
      </c>
      <c r="B751">
        <v>45040</v>
      </c>
      <c r="C751">
        <v>64</v>
      </c>
      <c r="D751">
        <v>21627</v>
      </c>
      <c r="E751" t="s">
        <v>14</v>
      </c>
      <c r="F751" t="s">
        <v>15</v>
      </c>
      <c r="G751" t="s">
        <v>34</v>
      </c>
      <c r="H751" t="s">
        <v>8</v>
      </c>
      <c r="I751" t="s">
        <v>9</v>
      </c>
      <c r="J751" t="s">
        <v>25</v>
      </c>
      <c r="K751" t="s">
        <v>11</v>
      </c>
      <c r="L751" t="s">
        <v>12</v>
      </c>
      <c r="M751" t="s">
        <v>59</v>
      </c>
      <c r="N751" t="s">
        <v>16</v>
      </c>
      <c r="O751" t="s">
        <v>18</v>
      </c>
      <c r="P751">
        <v>4</v>
      </c>
    </row>
    <row r="752" spans="1:16" x14ac:dyDescent="0.3">
      <c r="A752">
        <v>1243</v>
      </c>
      <c r="B752">
        <v>43986</v>
      </c>
      <c r="C752">
        <v>41</v>
      </c>
      <c r="D752">
        <v>28921</v>
      </c>
      <c r="E752" t="s">
        <v>14</v>
      </c>
      <c r="F752" t="s">
        <v>15</v>
      </c>
      <c r="G752" t="s">
        <v>17</v>
      </c>
      <c r="H752" t="s">
        <v>8</v>
      </c>
      <c r="I752" t="s">
        <v>9</v>
      </c>
      <c r="J752" t="s">
        <v>10</v>
      </c>
      <c r="K752" t="s">
        <v>19</v>
      </c>
      <c r="L752" t="s">
        <v>12</v>
      </c>
      <c r="M752" t="s">
        <v>32</v>
      </c>
      <c r="N752" t="s">
        <v>16</v>
      </c>
      <c r="O752" t="s">
        <v>18</v>
      </c>
      <c r="P752">
        <v>2</v>
      </c>
    </row>
    <row r="753" spans="1:16" x14ac:dyDescent="0.3">
      <c r="A753">
        <v>1244</v>
      </c>
      <c r="B753">
        <v>44704</v>
      </c>
      <c r="C753">
        <v>68</v>
      </c>
      <c r="D753">
        <v>19766</v>
      </c>
      <c r="E753" t="s">
        <v>14</v>
      </c>
      <c r="F753" t="s">
        <v>22</v>
      </c>
      <c r="G753" t="s">
        <v>34</v>
      </c>
      <c r="H753" t="s">
        <v>8</v>
      </c>
      <c r="I753" t="s">
        <v>9</v>
      </c>
      <c r="J753" t="s">
        <v>20</v>
      </c>
      <c r="K753" t="s">
        <v>19</v>
      </c>
      <c r="L753" t="s">
        <v>12</v>
      </c>
      <c r="M753" t="s">
        <v>92</v>
      </c>
      <c r="N753" t="s">
        <v>46</v>
      </c>
      <c r="O753" t="s">
        <v>18</v>
      </c>
      <c r="P753">
        <v>3</v>
      </c>
    </row>
    <row r="754" spans="1:16" x14ac:dyDescent="0.3">
      <c r="A754">
        <v>1245</v>
      </c>
      <c r="B754">
        <v>43602</v>
      </c>
      <c r="C754">
        <v>58</v>
      </c>
      <c r="D754">
        <v>22315</v>
      </c>
      <c r="E754" t="s">
        <v>14</v>
      </c>
      <c r="F754" t="s">
        <v>22</v>
      </c>
      <c r="G754" t="s">
        <v>17</v>
      </c>
      <c r="H754" t="s">
        <v>8</v>
      </c>
      <c r="I754" t="s">
        <v>9</v>
      </c>
      <c r="J754" t="s">
        <v>25</v>
      </c>
      <c r="K754" t="s">
        <v>26</v>
      </c>
      <c r="L754" t="s">
        <v>12</v>
      </c>
      <c r="M754" t="s">
        <v>42</v>
      </c>
      <c r="N754" t="s">
        <v>16</v>
      </c>
      <c r="O754" t="s">
        <v>18</v>
      </c>
      <c r="P754">
        <v>5</v>
      </c>
    </row>
    <row r="755" spans="1:16" x14ac:dyDescent="0.3">
      <c r="A755">
        <v>1246</v>
      </c>
      <c r="B755">
        <v>43371</v>
      </c>
      <c r="C755">
        <v>75</v>
      </c>
      <c r="D755">
        <v>16024</v>
      </c>
      <c r="E755" t="s">
        <v>14</v>
      </c>
      <c r="F755" t="s">
        <v>22</v>
      </c>
      <c r="G755" t="s">
        <v>17</v>
      </c>
      <c r="H755" t="s">
        <v>8</v>
      </c>
      <c r="I755" t="s">
        <v>66</v>
      </c>
      <c r="J755" t="s">
        <v>20</v>
      </c>
      <c r="K755" t="s">
        <v>26</v>
      </c>
      <c r="L755" t="s">
        <v>12</v>
      </c>
      <c r="M755" t="s">
        <v>35</v>
      </c>
      <c r="N755" t="s">
        <v>37</v>
      </c>
      <c r="O755" t="s">
        <v>18</v>
      </c>
      <c r="P755">
        <v>3</v>
      </c>
    </row>
    <row r="756" spans="1:16" x14ac:dyDescent="0.3">
      <c r="A756">
        <v>1247</v>
      </c>
      <c r="B756">
        <v>43528</v>
      </c>
      <c r="C756">
        <v>47</v>
      </c>
      <c r="D756">
        <v>26384</v>
      </c>
      <c r="E756" t="s">
        <v>14</v>
      </c>
      <c r="F756" t="s">
        <v>15</v>
      </c>
      <c r="G756" t="s">
        <v>31</v>
      </c>
      <c r="H756" t="s">
        <v>8</v>
      </c>
      <c r="I756" t="s">
        <v>9</v>
      </c>
      <c r="J756" t="s">
        <v>20</v>
      </c>
      <c r="K756" t="s">
        <v>11</v>
      </c>
      <c r="L756" t="s">
        <v>12</v>
      </c>
      <c r="M756" t="s">
        <v>61</v>
      </c>
      <c r="N756" t="s">
        <v>30</v>
      </c>
      <c r="O756" t="s">
        <v>18</v>
      </c>
      <c r="P756">
        <v>4</v>
      </c>
    </row>
    <row r="757" spans="1:16" x14ac:dyDescent="0.3">
      <c r="A757">
        <v>1248</v>
      </c>
      <c r="B757">
        <v>44284</v>
      </c>
      <c r="C757">
        <v>33</v>
      </c>
      <c r="D757">
        <v>32395</v>
      </c>
      <c r="E757" t="s">
        <v>14</v>
      </c>
      <c r="F757" t="s">
        <v>15</v>
      </c>
      <c r="G757" t="s">
        <v>40</v>
      </c>
      <c r="H757" t="s">
        <v>8</v>
      </c>
      <c r="I757" t="s">
        <v>9</v>
      </c>
      <c r="J757" t="s">
        <v>20</v>
      </c>
      <c r="K757" t="s">
        <v>26</v>
      </c>
      <c r="L757" t="s">
        <v>12</v>
      </c>
      <c r="M757" t="s">
        <v>69</v>
      </c>
      <c r="N757" t="s">
        <v>16</v>
      </c>
      <c r="O757" t="s">
        <v>18</v>
      </c>
      <c r="P757">
        <v>3</v>
      </c>
    </row>
    <row r="758" spans="1:16" x14ac:dyDescent="0.3">
      <c r="A758">
        <v>1249</v>
      </c>
      <c r="B758">
        <v>43653</v>
      </c>
      <c r="C758">
        <v>23</v>
      </c>
      <c r="D758">
        <v>35399</v>
      </c>
      <c r="E758" t="s">
        <v>14</v>
      </c>
      <c r="F758" t="s">
        <v>15</v>
      </c>
      <c r="G758" t="s">
        <v>40</v>
      </c>
      <c r="H758" t="s">
        <v>8</v>
      </c>
      <c r="I758" t="s">
        <v>9</v>
      </c>
      <c r="J758" t="s">
        <v>25</v>
      </c>
      <c r="K758" t="s">
        <v>19</v>
      </c>
      <c r="L758" t="s">
        <v>12</v>
      </c>
      <c r="M758" t="s">
        <v>35</v>
      </c>
      <c r="N758" t="s">
        <v>46</v>
      </c>
      <c r="O758" t="s">
        <v>18</v>
      </c>
      <c r="P758">
        <v>4</v>
      </c>
    </row>
    <row r="759" spans="1:16" x14ac:dyDescent="0.3">
      <c r="A759">
        <v>1250</v>
      </c>
      <c r="B759">
        <v>43349</v>
      </c>
      <c r="C759">
        <v>28</v>
      </c>
      <c r="D759">
        <v>33215</v>
      </c>
      <c r="E759" t="s">
        <v>14</v>
      </c>
      <c r="F759" t="s">
        <v>15</v>
      </c>
      <c r="G759" t="s">
        <v>17</v>
      </c>
      <c r="H759" t="s">
        <v>8</v>
      </c>
      <c r="I759" t="s">
        <v>9</v>
      </c>
      <c r="J759" t="s">
        <v>10</v>
      </c>
      <c r="K759" t="s">
        <v>26</v>
      </c>
      <c r="L759" t="s">
        <v>12</v>
      </c>
      <c r="M759" t="s">
        <v>28</v>
      </c>
      <c r="N759" t="s">
        <v>37</v>
      </c>
      <c r="O759" t="s">
        <v>18</v>
      </c>
      <c r="P759">
        <v>5</v>
      </c>
    </row>
    <row r="760" spans="1:16" x14ac:dyDescent="0.3">
      <c r="A760">
        <v>1251</v>
      </c>
      <c r="B760">
        <v>43368</v>
      </c>
      <c r="C760">
        <v>70</v>
      </c>
      <c r="D760">
        <v>17597</v>
      </c>
      <c r="E760" t="s">
        <v>14</v>
      </c>
      <c r="F760" t="s">
        <v>15</v>
      </c>
      <c r="G760" t="s">
        <v>34</v>
      </c>
      <c r="H760" t="s">
        <v>8</v>
      </c>
      <c r="I760" t="s">
        <v>9</v>
      </c>
      <c r="J760" t="s">
        <v>20</v>
      </c>
      <c r="K760" t="s">
        <v>19</v>
      </c>
      <c r="L760" t="s">
        <v>12</v>
      </c>
      <c r="M760" t="s">
        <v>49</v>
      </c>
      <c r="N760" t="s">
        <v>46</v>
      </c>
      <c r="O760" t="s">
        <v>18</v>
      </c>
      <c r="P760">
        <v>5</v>
      </c>
    </row>
    <row r="761" spans="1:16" x14ac:dyDescent="0.3">
      <c r="A761">
        <v>1252</v>
      </c>
      <c r="B761">
        <v>44631</v>
      </c>
      <c r="C761">
        <v>40</v>
      </c>
      <c r="D761">
        <v>30003</v>
      </c>
      <c r="E761" t="s">
        <v>14</v>
      </c>
      <c r="F761" t="s">
        <v>15</v>
      </c>
      <c r="G761" t="s">
        <v>40</v>
      </c>
      <c r="H761" t="s">
        <v>91</v>
      </c>
      <c r="I761" t="s">
        <v>9</v>
      </c>
      <c r="J761" t="s">
        <v>20</v>
      </c>
      <c r="K761" t="s">
        <v>19</v>
      </c>
      <c r="L761" t="s">
        <v>12</v>
      </c>
      <c r="M761" t="s">
        <v>54</v>
      </c>
      <c r="N761" t="s">
        <v>46</v>
      </c>
      <c r="O761" t="s">
        <v>18</v>
      </c>
      <c r="P761">
        <v>3</v>
      </c>
    </row>
    <row r="762" spans="1:16" x14ac:dyDescent="0.3">
      <c r="A762">
        <v>1253</v>
      </c>
      <c r="B762">
        <v>44025</v>
      </c>
      <c r="C762">
        <v>49</v>
      </c>
      <c r="D762">
        <v>26068</v>
      </c>
      <c r="E762" t="s">
        <v>14</v>
      </c>
      <c r="F762" t="s">
        <v>15</v>
      </c>
      <c r="G762" t="s">
        <v>40</v>
      </c>
      <c r="H762" t="s">
        <v>91</v>
      </c>
      <c r="I762" t="s">
        <v>9</v>
      </c>
      <c r="J762" t="s">
        <v>20</v>
      </c>
      <c r="K762" t="s">
        <v>19</v>
      </c>
      <c r="L762" t="s">
        <v>12</v>
      </c>
      <c r="M762" t="s">
        <v>54</v>
      </c>
      <c r="N762" t="s">
        <v>46</v>
      </c>
      <c r="O762" t="s">
        <v>18</v>
      </c>
      <c r="P762">
        <v>4</v>
      </c>
    </row>
    <row r="763" spans="1:16" x14ac:dyDescent="0.3">
      <c r="A763">
        <v>1254</v>
      </c>
      <c r="B763">
        <v>44004</v>
      </c>
      <c r="C763">
        <v>70</v>
      </c>
      <c r="D763">
        <v>18421</v>
      </c>
      <c r="E763" t="s">
        <v>14</v>
      </c>
      <c r="F763" t="s">
        <v>15</v>
      </c>
      <c r="G763" t="s">
        <v>34</v>
      </c>
      <c r="H763" t="s">
        <v>64</v>
      </c>
      <c r="I763" t="s">
        <v>9</v>
      </c>
      <c r="J763" t="s">
        <v>10</v>
      </c>
      <c r="K763" t="s">
        <v>26</v>
      </c>
      <c r="L763" t="s">
        <v>12</v>
      </c>
      <c r="M763" t="s">
        <v>32</v>
      </c>
      <c r="N763" t="s">
        <v>16</v>
      </c>
      <c r="O763" t="s">
        <v>18</v>
      </c>
      <c r="P763">
        <v>1</v>
      </c>
    </row>
    <row r="764" spans="1:16" x14ac:dyDescent="0.3">
      <c r="A764">
        <v>1255</v>
      </c>
      <c r="B764">
        <v>43738</v>
      </c>
      <c r="C764">
        <v>35</v>
      </c>
      <c r="D764">
        <v>31010</v>
      </c>
      <c r="E764" t="s">
        <v>14</v>
      </c>
      <c r="F764" t="s">
        <v>15</v>
      </c>
      <c r="G764" t="s">
        <v>34</v>
      </c>
      <c r="H764" t="s">
        <v>64</v>
      </c>
      <c r="I764" t="s">
        <v>66</v>
      </c>
      <c r="J764" t="s">
        <v>25</v>
      </c>
      <c r="K764" t="s">
        <v>19</v>
      </c>
      <c r="L764" t="s">
        <v>12</v>
      </c>
      <c r="M764" t="s">
        <v>32</v>
      </c>
      <c r="N764" t="s">
        <v>37</v>
      </c>
      <c r="O764" t="s">
        <v>18</v>
      </c>
      <c r="P764">
        <v>1</v>
      </c>
    </row>
    <row r="765" spans="1:16" x14ac:dyDescent="0.3">
      <c r="A765">
        <v>1256</v>
      </c>
      <c r="B765">
        <v>43838</v>
      </c>
      <c r="C765">
        <v>29</v>
      </c>
      <c r="D765">
        <v>33464</v>
      </c>
      <c r="E765" t="s">
        <v>14</v>
      </c>
      <c r="F765" t="s">
        <v>15</v>
      </c>
      <c r="G765" t="s">
        <v>17</v>
      </c>
      <c r="H765" t="s">
        <v>64</v>
      </c>
      <c r="I765" t="s">
        <v>9</v>
      </c>
      <c r="J765" t="s">
        <v>10</v>
      </c>
      <c r="K765" t="s">
        <v>19</v>
      </c>
      <c r="L765" t="s">
        <v>12</v>
      </c>
      <c r="M765" t="s">
        <v>59</v>
      </c>
      <c r="N765" t="s">
        <v>16</v>
      </c>
      <c r="O765" t="s">
        <v>18</v>
      </c>
      <c r="P765">
        <v>4</v>
      </c>
    </row>
    <row r="766" spans="1:16" x14ac:dyDescent="0.3">
      <c r="A766">
        <v>1257</v>
      </c>
      <c r="B766">
        <v>44485</v>
      </c>
      <c r="C766">
        <v>43</v>
      </c>
      <c r="D766">
        <v>28801</v>
      </c>
      <c r="E766" t="s">
        <v>14</v>
      </c>
      <c r="F766" t="s">
        <v>15</v>
      </c>
      <c r="G766" t="s">
        <v>40</v>
      </c>
      <c r="H766" t="s">
        <v>64</v>
      </c>
      <c r="I766" t="s">
        <v>9</v>
      </c>
      <c r="J766" t="s">
        <v>25</v>
      </c>
      <c r="K766" t="s">
        <v>26</v>
      </c>
      <c r="L766" t="s">
        <v>12</v>
      </c>
      <c r="M766" t="s">
        <v>42</v>
      </c>
      <c r="N766" t="s">
        <v>46</v>
      </c>
      <c r="O766" t="s">
        <v>18</v>
      </c>
      <c r="P766">
        <v>1</v>
      </c>
    </row>
    <row r="767" spans="1:16" x14ac:dyDescent="0.3">
      <c r="A767">
        <v>1258</v>
      </c>
      <c r="B767">
        <v>44741</v>
      </c>
      <c r="C767">
        <v>45</v>
      </c>
      <c r="D767">
        <v>28414</v>
      </c>
      <c r="E767" t="s">
        <v>14</v>
      </c>
      <c r="F767" t="s">
        <v>15</v>
      </c>
      <c r="G767" t="s">
        <v>17</v>
      </c>
      <c r="H767" t="s">
        <v>64</v>
      </c>
      <c r="I767" t="s">
        <v>9</v>
      </c>
      <c r="J767" t="s">
        <v>25</v>
      </c>
      <c r="K767" t="s">
        <v>11</v>
      </c>
      <c r="L767" t="s">
        <v>12</v>
      </c>
      <c r="M767" t="s">
        <v>21</v>
      </c>
      <c r="N767" t="s">
        <v>30</v>
      </c>
      <c r="O767" t="s">
        <v>18</v>
      </c>
      <c r="P767">
        <v>5</v>
      </c>
    </row>
    <row r="768" spans="1:16" x14ac:dyDescent="0.3">
      <c r="A768">
        <v>1259</v>
      </c>
      <c r="B768">
        <v>44682</v>
      </c>
      <c r="C768">
        <v>66</v>
      </c>
      <c r="D768">
        <v>20650</v>
      </c>
      <c r="E768" t="s">
        <v>14</v>
      </c>
      <c r="F768" t="s">
        <v>22</v>
      </c>
      <c r="G768" t="s">
        <v>31</v>
      </c>
      <c r="H768" t="s">
        <v>8</v>
      </c>
      <c r="I768" t="s">
        <v>66</v>
      </c>
      <c r="J768" t="s">
        <v>25</v>
      </c>
      <c r="K768" t="s">
        <v>19</v>
      </c>
      <c r="L768" t="s">
        <v>12</v>
      </c>
      <c r="M768" t="s">
        <v>32</v>
      </c>
      <c r="N768" t="s">
        <v>16</v>
      </c>
      <c r="O768" t="s">
        <v>18</v>
      </c>
      <c r="P768">
        <v>3</v>
      </c>
    </row>
    <row r="769" spans="1:16" x14ac:dyDescent="0.3">
      <c r="A769">
        <v>1260</v>
      </c>
      <c r="B769">
        <v>43328</v>
      </c>
      <c r="C769">
        <v>61</v>
      </c>
      <c r="D769">
        <v>20989</v>
      </c>
      <c r="E769" t="s">
        <v>14</v>
      </c>
      <c r="F769" t="s">
        <v>15</v>
      </c>
      <c r="G769" t="s">
        <v>34</v>
      </c>
      <c r="H769" t="s">
        <v>8</v>
      </c>
      <c r="I769" t="s">
        <v>9</v>
      </c>
      <c r="J769" t="s">
        <v>25</v>
      </c>
      <c r="K769" t="s">
        <v>26</v>
      </c>
      <c r="L769" t="s">
        <v>12</v>
      </c>
      <c r="M769" t="s">
        <v>54</v>
      </c>
      <c r="N769" t="s">
        <v>46</v>
      </c>
      <c r="O769" t="s">
        <v>18</v>
      </c>
      <c r="P769">
        <v>2</v>
      </c>
    </row>
    <row r="770" spans="1:16" x14ac:dyDescent="0.3">
      <c r="A770">
        <v>1261</v>
      </c>
      <c r="B770">
        <v>43826</v>
      </c>
      <c r="C770">
        <v>60</v>
      </c>
      <c r="D770">
        <v>21820</v>
      </c>
      <c r="E770" t="s">
        <v>14</v>
      </c>
      <c r="F770" t="s">
        <v>15</v>
      </c>
      <c r="G770" t="s">
        <v>34</v>
      </c>
      <c r="H770" t="s">
        <v>8</v>
      </c>
      <c r="I770" t="s">
        <v>9</v>
      </c>
      <c r="J770" t="s">
        <v>20</v>
      </c>
      <c r="K770" t="s">
        <v>11</v>
      </c>
      <c r="L770" t="s">
        <v>12</v>
      </c>
      <c r="M770" t="s">
        <v>35</v>
      </c>
      <c r="N770" t="s">
        <v>23</v>
      </c>
      <c r="O770" t="s">
        <v>18</v>
      </c>
      <c r="P770">
        <v>5</v>
      </c>
    </row>
    <row r="771" spans="1:16" x14ac:dyDescent="0.3">
      <c r="A771">
        <v>1262</v>
      </c>
      <c r="B771">
        <v>44378</v>
      </c>
      <c r="C771">
        <v>44</v>
      </c>
      <c r="D771">
        <v>28200</v>
      </c>
      <c r="E771" t="s">
        <v>14</v>
      </c>
      <c r="F771" t="s">
        <v>15</v>
      </c>
      <c r="G771" t="s">
        <v>17</v>
      </c>
      <c r="H771" t="s">
        <v>8</v>
      </c>
      <c r="I771" t="s">
        <v>66</v>
      </c>
      <c r="J771" t="s">
        <v>20</v>
      </c>
      <c r="K771" t="s">
        <v>19</v>
      </c>
      <c r="L771" t="s">
        <v>12</v>
      </c>
      <c r="M771" t="s">
        <v>42</v>
      </c>
      <c r="N771" t="s">
        <v>23</v>
      </c>
      <c r="O771" t="s">
        <v>18</v>
      </c>
      <c r="P771">
        <v>4</v>
      </c>
    </row>
    <row r="772" spans="1:16" x14ac:dyDescent="0.3">
      <c r="A772">
        <v>1263</v>
      </c>
      <c r="B772">
        <v>44854</v>
      </c>
      <c r="C772">
        <v>70</v>
      </c>
      <c r="D772">
        <v>19312</v>
      </c>
      <c r="E772" t="s">
        <v>14</v>
      </c>
      <c r="F772" t="s">
        <v>15</v>
      </c>
      <c r="G772" t="s">
        <v>40</v>
      </c>
      <c r="H772" t="s">
        <v>8</v>
      </c>
      <c r="I772" t="s">
        <v>9</v>
      </c>
      <c r="J772" t="s">
        <v>25</v>
      </c>
      <c r="K772" t="s">
        <v>26</v>
      </c>
      <c r="L772" t="s">
        <v>12</v>
      </c>
      <c r="M772" t="s">
        <v>58</v>
      </c>
      <c r="N772" t="s">
        <v>23</v>
      </c>
      <c r="O772" t="s">
        <v>18</v>
      </c>
      <c r="P772">
        <v>5</v>
      </c>
    </row>
    <row r="773" spans="1:16" x14ac:dyDescent="0.3">
      <c r="A773">
        <v>1264</v>
      </c>
      <c r="B773">
        <v>43511</v>
      </c>
      <c r="C773">
        <v>21</v>
      </c>
      <c r="D773">
        <v>36091</v>
      </c>
      <c r="E773" t="s">
        <v>14</v>
      </c>
      <c r="F773" t="s">
        <v>15</v>
      </c>
      <c r="G773" t="s">
        <v>34</v>
      </c>
      <c r="H773" t="s">
        <v>8</v>
      </c>
      <c r="I773" t="s">
        <v>9</v>
      </c>
      <c r="J773" t="s">
        <v>25</v>
      </c>
      <c r="K773" t="s">
        <v>11</v>
      </c>
      <c r="L773" t="s">
        <v>12</v>
      </c>
      <c r="M773" t="s">
        <v>35</v>
      </c>
      <c r="N773" t="s">
        <v>23</v>
      </c>
      <c r="O773" t="s">
        <v>18</v>
      </c>
      <c r="P773">
        <v>5</v>
      </c>
    </row>
    <row r="774" spans="1:16" x14ac:dyDescent="0.3">
      <c r="A774">
        <v>1265</v>
      </c>
      <c r="B774">
        <v>44578</v>
      </c>
      <c r="C774">
        <v>46</v>
      </c>
      <c r="D774">
        <v>27908</v>
      </c>
      <c r="E774" t="s">
        <v>14</v>
      </c>
      <c r="F774" t="s">
        <v>22</v>
      </c>
      <c r="G774" t="s">
        <v>17</v>
      </c>
      <c r="H774" t="s">
        <v>8</v>
      </c>
      <c r="I774" t="s">
        <v>66</v>
      </c>
      <c r="J774" t="s">
        <v>20</v>
      </c>
      <c r="K774" t="s">
        <v>11</v>
      </c>
      <c r="L774" t="s">
        <v>12</v>
      </c>
      <c r="M774" t="s">
        <v>35</v>
      </c>
      <c r="N774" t="s">
        <v>37</v>
      </c>
      <c r="O774" t="s">
        <v>18</v>
      </c>
      <c r="P774">
        <v>2</v>
      </c>
    </row>
    <row r="775" spans="1:16" x14ac:dyDescent="0.3">
      <c r="A775">
        <v>1266</v>
      </c>
      <c r="B775">
        <v>44514</v>
      </c>
      <c r="C775">
        <v>50</v>
      </c>
      <c r="D775">
        <v>26027</v>
      </c>
      <c r="E775" t="s">
        <v>14</v>
      </c>
      <c r="F775" t="s">
        <v>22</v>
      </c>
      <c r="G775" t="s">
        <v>40</v>
      </c>
      <c r="H775" t="s">
        <v>8</v>
      </c>
      <c r="I775" t="s">
        <v>66</v>
      </c>
      <c r="J775" t="s">
        <v>25</v>
      </c>
      <c r="K775" t="s">
        <v>19</v>
      </c>
      <c r="L775" t="s">
        <v>12</v>
      </c>
      <c r="M775" t="s">
        <v>54</v>
      </c>
      <c r="N775" t="s">
        <v>23</v>
      </c>
      <c r="O775" t="s">
        <v>18</v>
      </c>
      <c r="P775">
        <v>3</v>
      </c>
    </row>
    <row r="776" spans="1:16" x14ac:dyDescent="0.3">
      <c r="A776">
        <v>1267</v>
      </c>
      <c r="B776">
        <v>44149</v>
      </c>
      <c r="C776">
        <v>49</v>
      </c>
      <c r="D776">
        <v>26187</v>
      </c>
      <c r="E776" t="s">
        <v>14</v>
      </c>
      <c r="F776" t="s">
        <v>15</v>
      </c>
      <c r="G776" t="s">
        <v>40</v>
      </c>
      <c r="H776" t="s">
        <v>8</v>
      </c>
      <c r="I776" t="s">
        <v>9</v>
      </c>
      <c r="J776" t="s">
        <v>20</v>
      </c>
      <c r="K776" t="s">
        <v>11</v>
      </c>
      <c r="L776" t="s">
        <v>12</v>
      </c>
      <c r="M776" t="s">
        <v>32</v>
      </c>
      <c r="N776" t="s">
        <v>16</v>
      </c>
      <c r="O776" t="s">
        <v>18</v>
      </c>
      <c r="P776">
        <v>1</v>
      </c>
    </row>
    <row r="777" spans="1:16" x14ac:dyDescent="0.3">
      <c r="A777">
        <v>1268</v>
      </c>
      <c r="B777">
        <v>44982</v>
      </c>
      <c r="C777">
        <v>62</v>
      </c>
      <c r="D777">
        <v>22641</v>
      </c>
      <c r="E777" t="s">
        <v>14</v>
      </c>
      <c r="F777" t="s">
        <v>15</v>
      </c>
      <c r="G777" t="s">
        <v>31</v>
      </c>
      <c r="H777" t="s">
        <v>8</v>
      </c>
      <c r="I777" t="s">
        <v>9</v>
      </c>
      <c r="J777" t="s">
        <v>20</v>
      </c>
      <c r="K777" t="s">
        <v>19</v>
      </c>
      <c r="L777" t="s">
        <v>12</v>
      </c>
      <c r="M777" t="s">
        <v>32</v>
      </c>
      <c r="N777" t="s">
        <v>30</v>
      </c>
      <c r="O777" t="s">
        <v>18</v>
      </c>
      <c r="P777">
        <v>1</v>
      </c>
    </row>
    <row r="778" spans="1:16" x14ac:dyDescent="0.3">
      <c r="A778">
        <v>1269</v>
      </c>
      <c r="B778">
        <v>44796</v>
      </c>
      <c r="C778">
        <v>57</v>
      </c>
      <c r="D778">
        <v>23860</v>
      </c>
      <c r="E778" t="s">
        <v>14</v>
      </c>
      <c r="F778" t="s">
        <v>15</v>
      </c>
      <c r="G778" t="s">
        <v>40</v>
      </c>
      <c r="H778" t="s">
        <v>8</v>
      </c>
      <c r="I778" t="s">
        <v>9</v>
      </c>
      <c r="J778" t="s">
        <v>10</v>
      </c>
      <c r="K778" t="s">
        <v>19</v>
      </c>
      <c r="L778" t="s">
        <v>12</v>
      </c>
      <c r="M778" t="s">
        <v>63</v>
      </c>
      <c r="N778" t="s">
        <v>37</v>
      </c>
      <c r="O778" t="s">
        <v>18</v>
      </c>
      <c r="P778">
        <v>2</v>
      </c>
    </row>
    <row r="779" spans="1:16" x14ac:dyDescent="0.3">
      <c r="A779">
        <v>1270</v>
      </c>
      <c r="B779">
        <v>43586</v>
      </c>
      <c r="C779">
        <v>52</v>
      </c>
      <c r="D779">
        <v>24762</v>
      </c>
      <c r="E779" t="s">
        <v>14</v>
      </c>
      <c r="F779" t="s">
        <v>15</v>
      </c>
      <c r="G779" t="s">
        <v>34</v>
      </c>
      <c r="H779" t="s">
        <v>8</v>
      </c>
      <c r="I779" t="s">
        <v>9</v>
      </c>
      <c r="J779" t="s">
        <v>20</v>
      </c>
      <c r="K779" t="s">
        <v>11</v>
      </c>
      <c r="L779" t="s">
        <v>12</v>
      </c>
      <c r="M779" t="s">
        <v>35</v>
      </c>
      <c r="N779" t="s">
        <v>23</v>
      </c>
      <c r="O779" t="s">
        <v>18</v>
      </c>
      <c r="P779">
        <v>5</v>
      </c>
    </row>
    <row r="780" spans="1:16" x14ac:dyDescent="0.3">
      <c r="A780">
        <v>1271</v>
      </c>
      <c r="B780">
        <v>43947</v>
      </c>
      <c r="C780">
        <v>69</v>
      </c>
      <c r="D780">
        <v>18948</v>
      </c>
      <c r="E780" t="s">
        <v>14</v>
      </c>
      <c r="F780" t="s">
        <v>15</v>
      </c>
      <c r="G780" t="s">
        <v>17</v>
      </c>
      <c r="H780" t="s">
        <v>8</v>
      </c>
      <c r="I780" t="s">
        <v>9</v>
      </c>
      <c r="J780" t="s">
        <v>25</v>
      </c>
      <c r="K780" t="s">
        <v>19</v>
      </c>
      <c r="L780" t="s">
        <v>12</v>
      </c>
      <c r="M780" t="s">
        <v>28</v>
      </c>
      <c r="N780" t="s">
        <v>46</v>
      </c>
      <c r="O780" t="s">
        <v>18</v>
      </c>
      <c r="P780">
        <v>1</v>
      </c>
    </row>
    <row r="781" spans="1:16" x14ac:dyDescent="0.3">
      <c r="A781">
        <v>1272</v>
      </c>
      <c r="B781">
        <v>44235</v>
      </c>
      <c r="C781">
        <v>50</v>
      </c>
      <c r="D781">
        <v>26080</v>
      </c>
      <c r="E781" t="s">
        <v>14</v>
      </c>
      <c r="F781" t="s">
        <v>15</v>
      </c>
      <c r="G781" t="s">
        <v>31</v>
      </c>
      <c r="H781" t="s">
        <v>8</v>
      </c>
      <c r="I781" t="s">
        <v>9</v>
      </c>
      <c r="J781" t="s">
        <v>25</v>
      </c>
      <c r="K781" t="s">
        <v>11</v>
      </c>
      <c r="L781" t="s">
        <v>12</v>
      </c>
      <c r="M781" t="s">
        <v>38</v>
      </c>
      <c r="N781" t="s">
        <v>37</v>
      </c>
      <c r="O781" t="s">
        <v>18</v>
      </c>
      <c r="P781">
        <v>2</v>
      </c>
    </row>
    <row r="782" spans="1:16" x14ac:dyDescent="0.3">
      <c r="A782">
        <v>1273</v>
      </c>
      <c r="B782">
        <v>44133</v>
      </c>
      <c r="C782">
        <v>63</v>
      </c>
      <c r="D782">
        <v>20893</v>
      </c>
      <c r="E782" t="s">
        <v>14</v>
      </c>
      <c r="F782" t="s">
        <v>15</v>
      </c>
      <c r="G782" t="s">
        <v>31</v>
      </c>
      <c r="H782" t="s">
        <v>91</v>
      </c>
      <c r="I782" t="s">
        <v>9</v>
      </c>
      <c r="J782" t="s">
        <v>10</v>
      </c>
      <c r="K782" t="s">
        <v>19</v>
      </c>
      <c r="L782" t="s">
        <v>12</v>
      </c>
      <c r="M782" t="s">
        <v>28</v>
      </c>
      <c r="N782" t="s">
        <v>46</v>
      </c>
      <c r="O782" t="s">
        <v>18</v>
      </c>
      <c r="P782">
        <v>4</v>
      </c>
    </row>
    <row r="783" spans="1:16" x14ac:dyDescent="0.3">
      <c r="A783">
        <v>1274</v>
      </c>
      <c r="B783">
        <v>44887</v>
      </c>
      <c r="C783">
        <v>47</v>
      </c>
      <c r="D783">
        <v>27704</v>
      </c>
      <c r="E783" t="s">
        <v>14</v>
      </c>
      <c r="F783" t="s">
        <v>15</v>
      </c>
      <c r="G783" t="s">
        <v>31</v>
      </c>
      <c r="H783" t="s">
        <v>91</v>
      </c>
      <c r="I783" t="s">
        <v>9</v>
      </c>
      <c r="J783" t="s">
        <v>10</v>
      </c>
      <c r="K783" t="s">
        <v>19</v>
      </c>
      <c r="L783" t="s">
        <v>12</v>
      </c>
      <c r="M783" t="s">
        <v>42</v>
      </c>
      <c r="N783" t="s">
        <v>37</v>
      </c>
      <c r="O783" t="s">
        <v>18</v>
      </c>
      <c r="P783">
        <v>1</v>
      </c>
    </row>
    <row r="784" spans="1:16" x14ac:dyDescent="0.3">
      <c r="A784">
        <v>1275</v>
      </c>
      <c r="B784">
        <v>44845</v>
      </c>
      <c r="C784">
        <v>40</v>
      </c>
      <c r="D784">
        <v>30121</v>
      </c>
      <c r="E784" t="s">
        <v>14</v>
      </c>
      <c r="F784" t="s">
        <v>15</v>
      </c>
      <c r="G784" t="s">
        <v>31</v>
      </c>
      <c r="H784" t="s">
        <v>64</v>
      </c>
      <c r="I784" t="s">
        <v>9</v>
      </c>
      <c r="J784" t="s">
        <v>25</v>
      </c>
      <c r="K784" t="s">
        <v>26</v>
      </c>
      <c r="L784" t="s">
        <v>12</v>
      </c>
      <c r="M784" t="s">
        <v>21</v>
      </c>
      <c r="N784" t="s">
        <v>30</v>
      </c>
      <c r="O784" t="s">
        <v>18</v>
      </c>
      <c r="P784">
        <v>5</v>
      </c>
    </row>
    <row r="785" spans="1:16" x14ac:dyDescent="0.3">
      <c r="A785">
        <v>1276</v>
      </c>
      <c r="B785">
        <v>43827</v>
      </c>
      <c r="C785">
        <v>41</v>
      </c>
      <c r="D785">
        <v>28601</v>
      </c>
      <c r="E785" t="s">
        <v>14</v>
      </c>
      <c r="F785" t="s">
        <v>15</v>
      </c>
      <c r="G785" t="s">
        <v>34</v>
      </c>
      <c r="H785" t="s">
        <v>64</v>
      </c>
      <c r="I785" t="s">
        <v>9</v>
      </c>
      <c r="J785" t="s">
        <v>25</v>
      </c>
      <c r="K785" t="s">
        <v>19</v>
      </c>
      <c r="L785" t="s">
        <v>12</v>
      </c>
      <c r="M785" t="s">
        <v>28</v>
      </c>
      <c r="N785" t="s">
        <v>16</v>
      </c>
      <c r="O785" t="s">
        <v>18</v>
      </c>
      <c r="P785">
        <v>4</v>
      </c>
    </row>
    <row r="786" spans="1:16" x14ac:dyDescent="0.3">
      <c r="A786">
        <v>1277</v>
      </c>
      <c r="B786">
        <v>43566</v>
      </c>
      <c r="C786">
        <v>35</v>
      </c>
      <c r="D786">
        <v>30812</v>
      </c>
      <c r="E786" t="s">
        <v>14</v>
      </c>
      <c r="F786" t="s">
        <v>15</v>
      </c>
      <c r="G786" t="s">
        <v>31</v>
      </c>
      <c r="H786" t="s">
        <v>64</v>
      </c>
      <c r="I786" t="s">
        <v>9</v>
      </c>
      <c r="J786" t="s">
        <v>25</v>
      </c>
      <c r="K786" t="s">
        <v>11</v>
      </c>
      <c r="L786" t="s">
        <v>12</v>
      </c>
      <c r="M786" t="s">
        <v>49</v>
      </c>
      <c r="N786" t="s">
        <v>30</v>
      </c>
      <c r="O786" t="s">
        <v>18</v>
      </c>
      <c r="P786">
        <v>3</v>
      </c>
    </row>
    <row r="787" spans="1:16" x14ac:dyDescent="0.3">
      <c r="A787">
        <v>1278</v>
      </c>
      <c r="B787">
        <v>44130</v>
      </c>
      <c r="C787">
        <v>65</v>
      </c>
      <c r="D787">
        <v>20314</v>
      </c>
      <c r="E787" t="s">
        <v>14</v>
      </c>
      <c r="F787" t="s">
        <v>15</v>
      </c>
      <c r="G787" t="s">
        <v>40</v>
      </c>
      <c r="H787" t="s">
        <v>64</v>
      </c>
      <c r="I787" t="s">
        <v>9</v>
      </c>
      <c r="J787" t="s">
        <v>25</v>
      </c>
      <c r="K787" t="s">
        <v>19</v>
      </c>
      <c r="L787" t="s">
        <v>12</v>
      </c>
      <c r="M787" t="s">
        <v>35</v>
      </c>
      <c r="N787" t="s">
        <v>16</v>
      </c>
      <c r="O787" t="s">
        <v>18</v>
      </c>
      <c r="P787">
        <v>4</v>
      </c>
    </row>
    <row r="788" spans="1:16" x14ac:dyDescent="0.3">
      <c r="A788">
        <v>1279</v>
      </c>
      <c r="B788">
        <v>44386</v>
      </c>
      <c r="C788">
        <v>27</v>
      </c>
      <c r="D788">
        <v>34531</v>
      </c>
      <c r="E788" t="s">
        <v>14</v>
      </c>
      <c r="F788" t="s">
        <v>15</v>
      </c>
      <c r="G788" t="s">
        <v>34</v>
      </c>
      <c r="H788" t="s">
        <v>64</v>
      </c>
      <c r="I788" t="s">
        <v>66</v>
      </c>
      <c r="J788" t="s">
        <v>20</v>
      </c>
      <c r="K788" t="s">
        <v>26</v>
      </c>
      <c r="L788" t="s">
        <v>12</v>
      </c>
      <c r="M788" t="s">
        <v>35</v>
      </c>
      <c r="N788" t="s">
        <v>16</v>
      </c>
      <c r="O788" t="s">
        <v>18</v>
      </c>
      <c r="P788">
        <v>3</v>
      </c>
    </row>
    <row r="789" spans="1:16" x14ac:dyDescent="0.3">
      <c r="A789">
        <v>1280</v>
      </c>
      <c r="B789">
        <v>44573</v>
      </c>
      <c r="C789">
        <v>78</v>
      </c>
      <c r="D789">
        <v>16181</v>
      </c>
      <c r="E789" t="s">
        <v>14</v>
      </c>
      <c r="F789" t="s">
        <v>22</v>
      </c>
      <c r="G789" t="s">
        <v>31</v>
      </c>
      <c r="H789" t="s">
        <v>8</v>
      </c>
      <c r="I789" t="s">
        <v>9</v>
      </c>
      <c r="J789" t="s">
        <v>25</v>
      </c>
      <c r="K789" t="s">
        <v>11</v>
      </c>
      <c r="L789" t="s">
        <v>12</v>
      </c>
      <c r="M789" t="s">
        <v>28</v>
      </c>
      <c r="N789" t="s">
        <v>37</v>
      </c>
      <c r="O789" t="s">
        <v>18</v>
      </c>
      <c r="P789">
        <v>2</v>
      </c>
    </row>
    <row r="790" spans="1:16" x14ac:dyDescent="0.3">
      <c r="A790">
        <v>1281</v>
      </c>
      <c r="B790">
        <v>44050</v>
      </c>
      <c r="C790">
        <v>52</v>
      </c>
      <c r="D790">
        <v>25191</v>
      </c>
      <c r="E790" t="s">
        <v>14</v>
      </c>
      <c r="F790" t="s">
        <v>15</v>
      </c>
      <c r="G790" t="s">
        <v>17</v>
      </c>
      <c r="H790" t="s">
        <v>8</v>
      </c>
      <c r="I790" t="s">
        <v>66</v>
      </c>
      <c r="J790" t="s">
        <v>20</v>
      </c>
      <c r="K790" t="s">
        <v>19</v>
      </c>
      <c r="L790" t="s">
        <v>12</v>
      </c>
      <c r="M790" t="s">
        <v>13</v>
      </c>
      <c r="N790" t="s">
        <v>16</v>
      </c>
      <c r="O790" t="s">
        <v>18</v>
      </c>
      <c r="P790">
        <v>2</v>
      </c>
    </row>
    <row r="791" spans="1:16" x14ac:dyDescent="0.3">
      <c r="A791">
        <v>1282</v>
      </c>
      <c r="B791">
        <v>44296</v>
      </c>
      <c r="C791">
        <v>41</v>
      </c>
      <c r="D791">
        <v>29583</v>
      </c>
      <c r="E791" t="s">
        <v>14</v>
      </c>
      <c r="F791" t="s">
        <v>15</v>
      </c>
      <c r="G791" t="s">
        <v>17</v>
      </c>
      <c r="H791" t="s">
        <v>8</v>
      </c>
      <c r="I791" t="s">
        <v>66</v>
      </c>
      <c r="J791" t="s">
        <v>20</v>
      </c>
      <c r="K791" t="s">
        <v>19</v>
      </c>
      <c r="L791" t="s">
        <v>12</v>
      </c>
      <c r="M791" t="s">
        <v>60</v>
      </c>
      <c r="N791" t="s">
        <v>37</v>
      </c>
      <c r="O791" t="s">
        <v>18</v>
      </c>
      <c r="P791">
        <v>3</v>
      </c>
    </row>
    <row r="792" spans="1:16" x14ac:dyDescent="0.3">
      <c r="A792">
        <v>1283</v>
      </c>
      <c r="B792">
        <v>44207</v>
      </c>
      <c r="C792">
        <v>21</v>
      </c>
      <c r="D792">
        <v>36574</v>
      </c>
      <c r="E792" t="s">
        <v>14</v>
      </c>
      <c r="F792" t="s">
        <v>15</v>
      </c>
      <c r="G792" t="s">
        <v>34</v>
      </c>
      <c r="H792" t="s">
        <v>8</v>
      </c>
      <c r="I792" t="s">
        <v>9</v>
      </c>
      <c r="J792" t="s">
        <v>25</v>
      </c>
      <c r="K792" t="s">
        <v>11</v>
      </c>
      <c r="L792" t="s">
        <v>12</v>
      </c>
      <c r="M792" t="s">
        <v>38</v>
      </c>
      <c r="N792" t="s">
        <v>46</v>
      </c>
      <c r="O792" t="s">
        <v>18</v>
      </c>
      <c r="P792">
        <v>1</v>
      </c>
    </row>
    <row r="793" spans="1:16" x14ac:dyDescent="0.3">
      <c r="A793">
        <v>1284</v>
      </c>
      <c r="B793">
        <v>43807</v>
      </c>
      <c r="C793">
        <v>34</v>
      </c>
      <c r="D793">
        <v>31075</v>
      </c>
      <c r="E793" t="s">
        <v>14</v>
      </c>
      <c r="F793" t="s">
        <v>15</v>
      </c>
      <c r="G793" t="s">
        <v>34</v>
      </c>
      <c r="H793" t="s">
        <v>8</v>
      </c>
      <c r="I793" t="s">
        <v>9</v>
      </c>
      <c r="J793" t="s">
        <v>10</v>
      </c>
      <c r="K793" t="s">
        <v>26</v>
      </c>
      <c r="L793" t="s">
        <v>12</v>
      </c>
      <c r="M793" t="s">
        <v>38</v>
      </c>
      <c r="N793" t="s">
        <v>30</v>
      </c>
      <c r="O793" t="s">
        <v>18</v>
      </c>
      <c r="P793">
        <v>1</v>
      </c>
    </row>
    <row r="794" spans="1:16" x14ac:dyDescent="0.3">
      <c r="A794">
        <v>1285</v>
      </c>
      <c r="B794">
        <v>44465</v>
      </c>
      <c r="C794">
        <v>27</v>
      </c>
      <c r="D794">
        <v>34536</v>
      </c>
      <c r="E794" t="s">
        <v>14</v>
      </c>
      <c r="F794" t="s">
        <v>22</v>
      </c>
      <c r="G794" t="s">
        <v>17</v>
      </c>
      <c r="H794" t="s">
        <v>8</v>
      </c>
      <c r="I794" t="s">
        <v>9</v>
      </c>
      <c r="J794" t="s">
        <v>20</v>
      </c>
      <c r="K794" t="s">
        <v>11</v>
      </c>
      <c r="L794" t="s">
        <v>12</v>
      </c>
      <c r="M794" t="s">
        <v>38</v>
      </c>
      <c r="N794" t="s">
        <v>23</v>
      </c>
      <c r="O794" t="s">
        <v>18</v>
      </c>
      <c r="P794">
        <v>2</v>
      </c>
    </row>
    <row r="795" spans="1:16" x14ac:dyDescent="0.3">
      <c r="A795">
        <v>1286</v>
      </c>
      <c r="B795">
        <v>44448</v>
      </c>
      <c r="C795">
        <v>22</v>
      </c>
      <c r="D795">
        <v>36305</v>
      </c>
      <c r="E795" t="s">
        <v>14</v>
      </c>
      <c r="F795" t="s">
        <v>22</v>
      </c>
      <c r="G795" t="s">
        <v>40</v>
      </c>
      <c r="H795" t="s">
        <v>8</v>
      </c>
      <c r="I795" t="s">
        <v>66</v>
      </c>
      <c r="J795" t="s">
        <v>25</v>
      </c>
      <c r="K795" t="s">
        <v>26</v>
      </c>
      <c r="L795" t="s">
        <v>12</v>
      </c>
      <c r="M795" t="s">
        <v>35</v>
      </c>
      <c r="N795" t="s">
        <v>46</v>
      </c>
      <c r="O795" t="s">
        <v>18</v>
      </c>
      <c r="P795">
        <v>5</v>
      </c>
    </row>
    <row r="796" spans="1:16" x14ac:dyDescent="0.3">
      <c r="A796">
        <v>1287</v>
      </c>
      <c r="B796">
        <v>44093</v>
      </c>
      <c r="C796">
        <v>77</v>
      </c>
      <c r="D796">
        <v>15967</v>
      </c>
      <c r="E796" t="s">
        <v>14</v>
      </c>
      <c r="F796" t="s">
        <v>15</v>
      </c>
      <c r="G796" t="s">
        <v>17</v>
      </c>
      <c r="H796" t="s">
        <v>8</v>
      </c>
      <c r="I796" t="s">
        <v>66</v>
      </c>
      <c r="J796" t="s">
        <v>25</v>
      </c>
      <c r="K796" t="s">
        <v>19</v>
      </c>
      <c r="L796" t="s">
        <v>12</v>
      </c>
      <c r="M796" t="s">
        <v>32</v>
      </c>
      <c r="N796" t="s">
        <v>37</v>
      </c>
      <c r="O796" t="s">
        <v>18</v>
      </c>
      <c r="P796">
        <v>5</v>
      </c>
    </row>
    <row r="797" spans="1:16" x14ac:dyDescent="0.3">
      <c r="A797">
        <v>1288</v>
      </c>
      <c r="B797">
        <v>44572</v>
      </c>
      <c r="C797">
        <v>24</v>
      </c>
      <c r="D797">
        <v>35944</v>
      </c>
      <c r="E797" t="s">
        <v>14</v>
      </c>
      <c r="F797" t="s">
        <v>15</v>
      </c>
      <c r="G797" t="s">
        <v>31</v>
      </c>
      <c r="H797" t="s">
        <v>8</v>
      </c>
      <c r="I797" t="s">
        <v>9</v>
      </c>
      <c r="J797" t="s">
        <v>25</v>
      </c>
      <c r="K797" t="s">
        <v>11</v>
      </c>
      <c r="L797" t="s">
        <v>12</v>
      </c>
      <c r="M797" t="s">
        <v>21</v>
      </c>
      <c r="N797" t="s">
        <v>23</v>
      </c>
      <c r="O797" t="s">
        <v>18</v>
      </c>
      <c r="P797">
        <v>4</v>
      </c>
    </row>
    <row r="798" spans="1:16" x14ac:dyDescent="0.3">
      <c r="A798">
        <v>1289</v>
      </c>
      <c r="B798">
        <v>43664</v>
      </c>
      <c r="C798">
        <v>77</v>
      </c>
      <c r="D798">
        <v>15523</v>
      </c>
      <c r="E798" t="s">
        <v>14</v>
      </c>
      <c r="F798" t="s">
        <v>15</v>
      </c>
      <c r="G798" t="s">
        <v>31</v>
      </c>
      <c r="H798" t="s">
        <v>8</v>
      </c>
      <c r="I798" t="s">
        <v>9</v>
      </c>
      <c r="J798" t="s">
        <v>25</v>
      </c>
      <c r="K798" t="s">
        <v>11</v>
      </c>
      <c r="L798" t="s">
        <v>12</v>
      </c>
      <c r="M798" t="s">
        <v>32</v>
      </c>
      <c r="N798" t="s">
        <v>30</v>
      </c>
      <c r="O798" t="s">
        <v>18</v>
      </c>
      <c r="P798">
        <v>3</v>
      </c>
    </row>
    <row r="799" spans="1:16" x14ac:dyDescent="0.3">
      <c r="A799">
        <v>1290</v>
      </c>
      <c r="B799">
        <v>44299</v>
      </c>
      <c r="C799">
        <v>25</v>
      </c>
      <c r="D799">
        <v>35199</v>
      </c>
      <c r="E799" t="s">
        <v>14</v>
      </c>
      <c r="F799" t="s">
        <v>15</v>
      </c>
      <c r="G799" t="s">
        <v>34</v>
      </c>
      <c r="H799" t="s">
        <v>8</v>
      </c>
      <c r="I799" t="s">
        <v>9</v>
      </c>
      <c r="J799" t="s">
        <v>25</v>
      </c>
      <c r="K799" t="s">
        <v>19</v>
      </c>
      <c r="L799" t="s">
        <v>12</v>
      </c>
      <c r="M799" t="s">
        <v>28</v>
      </c>
      <c r="N799" t="s">
        <v>16</v>
      </c>
      <c r="O799" t="s">
        <v>18</v>
      </c>
      <c r="P799">
        <v>4</v>
      </c>
    </row>
    <row r="800" spans="1:16" x14ac:dyDescent="0.3">
      <c r="A800">
        <v>1291</v>
      </c>
      <c r="B800">
        <v>45094</v>
      </c>
      <c r="C800">
        <v>35</v>
      </c>
      <c r="D800">
        <v>32214</v>
      </c>
      <c r="E800" t="s">
        <v>14</v>
      </c>
      <c r="F800" t="s">
        <v>15</v>
      </c>
      <c r="G800" t="s">
        <v>40</v>
      </c>
      <c r="H800" t="s">
        <v>8</v>
      </c>
      <c r="I800" t="s">
        <v>9</v>
      </c>
      <c r="J800" t="s">
        <v>10</v>
      </c>
      <c r="K800" t="s">
        <v>26</v>
      </c>
      <c r="L800" t="s">
        <v>12</v>
      </c>
      <c r="M800" t="s">
        <v>42</v>
      </c>
      <c r="N800" t="s">
        <v>37</v>
      </c>
      <c r="O800" t="s">
        <v>18</v>
      </c>
      <c r="P800">
        <v>4</v>
      </c>
    </row>
    <row r="801" spans="1:16" x14ac:dyDescent="0.3">
      <c r="A801">
        <v>1292</v>
      </c>
      <c r="B801">
        <v>43400</v>
      </c>
      <c r="C801">
        <v>75</v>
      </c>
      <c r="D801">
        <v>15884</v>
      </c>
      <c r="E801" t="s">
        <v>14</v>
      </c>
      <c r="F801" t="s">
        <v>15</v>
      </c>
      <c r="G801" t="s">
        <v>40</v>
      </c>
      <c r="H801" t="s">
        <v>8</v>
      </c>
      <c r="I801" t="s">
        <v>9</v>
      </c>
      <c r="J801" t="s">
        <v>25</v>
      </c>
      <c r="K801" t="s">
        <v>19</v>
      </c>
      <c r="L801" t="s">
        <v>12</v>
      </c>
      <c r="M801" t="s">
        <v>42</v>
      </c>
      <c r="N801" t="s">
        <v>16</v>
      </c>
      <c r="O801" t="s">
        <v>18</v>
      </c>
      <c r="P801">
        <v>4</v>
      </c>
    </row>
    <row r="802" spans="1:16" x14ac:dyDescent="0.3">
      <c r="A802">
        <v>1293</v>
      </c>
      <c r="B802">
        <v>44348</v>
      </c>
      <c r="C802">
        <v>28</v>
      </c>
      <c r="D802">
        <v>34263</v>
      </c>
      <c r="E802" t="s">
        <v>14</v>
      </c>
      <c r="F802" t="s">
        <v>15</v>
      </c>
      <c r="G802" t="s">
        <v>31</v>
      </c>
      <c r="H802" t="s">
        <v>8</v>
      </c>
      <c r="I802" t="s">
        <v>9</v>
      </c>
      <c r="J802" t="s">
        <v>10</v>
      </c>
      <c r="K802" t="s">
        <v>26</v>
      </c>
      <c r="L802" t="s">
        <v>12</v>
      </c>
      <c r="M802" t="s">
        <v>59</v>
      </c>
      <c r="N802" t="s">
        <v>46</v>
      </c>
      <c r="O802" t="s">
        <v>18</v>
      </c>
      <c r="P802">
        <v>3</v>
      </c>
    </row>
    <row r="803" spans="1:16" x14ac:dyDescent="0.3">
      <c r="A803">
        <v>1294</v>
      </c>
      <c r="B803">
        <v>45023</v>
      </c>
      <c r="C803">
        <v>53</v>
      </c>
      <c r="D803">
        <v>25839</v>
      </c>
      <c r="E803" t="s">
        <v>14</v>
      </c>
      <c r="F803" t="s">
        <v>15</v>
      </c>
      <c r="G803" t="s">
        <v>31</v>
      </c>
      <c r="H803" t="s">
        <v>91</v>
      </c>
      <c r="I803" t="s">
        <v>9</v>
      </c>
      <c r="J803" t="s">
        <v>20</v>
      </c>
      <c r="K803" t="s">
        <v>26</v>
      </c>
      <c r="L803" t="s">
        <v>12</v>
      </c>
      <c r="M803" t="s">
        <v>59</v>
      </c>
      <c r="N803" t="s">
        <v>23</v>
      </c>
      <c r="O803" t="s">
        <v>18</v>
      </c>
      <c r="P803">
        <v>4</v>
      </c>
    </row>
    <row r="804" spans="1:16" x14ac:dyDescent="0.3">
      <c r="A804">
        <v>1295</v>
      </c>
      <c r="B804">
        <v>44360</v>
      </c>
      <c r="C804">
        <v>51</v>
      </c>
      <c r="D804">
        <v>25865</v>
      </c>
      <c r="E804" t="s">
        <v>14</v>
      </c>
      <c r="F804" t="s">
        <v>15</v>
      </c>
      <c r="G804" t="s">
        <v>34</v>
      </c>
      <c r="H804" t="s">
        <v>64</v>
      </c>
      <c r="I804" t="s">
        <v>9</v>
      </c>
      <c r="J804" t="s">
        <v>25</v>
      </c>
      <c r="K804" t="s">
        <v>19</v>
      </c>
      <c r="L804" t="s">
        <v>12</v>
      </c>
      <c r="M804" t="s">
        <v>32</v>
      </c>
      <c r="N804" t="s">
        <v>30</v>
      </c>
      <c r="O804" t="s">
        <v>18</v>
      </c>
      <c r="P804">
        <v>3</v>
      </c>
    </row>
    <row r="805" spans="1:16" x14ac:dyDescent="0.3">
      <c r="A805">
        <v>1296</v>
      </c>
      <c r="B805">
        <v>43537</v>
      </c>
      <c r="C805">
        <v>34</v>
      </c>
      <c r="D805">
        <v>31074</v>
      </c>
      <c r="E805" t="s">
        <v>14</v>
      </c>
      <c r="F805" t="s">
        <v>15</v>
      </c>
      <c r="G805" t="s">
        <v>17</v>
      </c>
      <c r="H805" t="s">
        <v>64</v>
      </c>
      <c r="I805" t="s">
        <v>66</v>
      </c>
      <c r="J805" t="s">
        <v>25</v>
      </c>
      <c r="K805" t="s">
        <v>26</v>
      </c>
      <c r="L805" t="s">
        <v>12</v>
      </c>
      <c r="M805" t="s">
        <v>35</v>
      </c>
      <c r="N805" t="s">
        <v>46</v>
      </c>
      <c r="O805" t="s">
        <v>18</v>
      </c>
      <c r="P805">
        <v>1</v>
      </c>
    </row>
    <row r="806" spans="1:16" x14ac:dyDescent="0.3">
      <c r="A806">
        <v>1297</v>
      </c>
      <c r="B806">
        <v>43609</v>
      </c>
      <c r="C806">
        <v>51</v>
      </c>
      <c r="D806">
        <v>25058</v>
      </c>
      <c r="E806" t="s">
        <v>14</v>
      </c>
      <c r="F806" t="s">
        <v>15</v>
      </c>
      <c r="G806" t="s">
        <v>34</v>
      </c>
      <c r="H806" t="s">
        <v>64</v>
      </c>
      <c r="I806" t="s">
        <v>66</v>
      </c>
      <c r="J806" t="s">
        <v>20</v>
      </c>
      <c r="K806" t="s">
        <v>19</v>
      </c>
      <c r="L806" t="s">
        <v>12</v>
      </c>
      <c r="M806" t="s">
        <v>92</v>
      </c>
      <c r="N806" t="s">
        <v>30</v>
      </c>
      <c r="O806" t="s">
        <v>18</v>
      </c>
      <c r="P806">
        <v>4</v>
      </c>
    </row>
    <row r="807" spans="1:16" x14ac:dyDescent="0.3">
      <c r="A807">
        <v>1298</v>
      </c>
      <c r="B807">
        <v>44982</v>
      </c>
      <c r="C807">
        <v>40</v>
      </c>
      <c r="D807">
        <v>30385</v>
      </c>
      <c r="E807" t="s">
        <v>14</v>
      </c>
      <c r="F807" t="s">
        <v>15</v>
      </c>
      <c r="G807" t="s">
        <v>34</v>
      </c>
      <c r="H807" t="s">
        <v>64</v>
      </c>
      <c r="I807" t="s">
        <v>9</v>
      </c>
      <c r="J807" t="s">
        <v>20</v>
      </c>
      <c r="K807" t="s">
        <v>26</v>
      </c>
      <c r="L807" t="s">
        <v>12</v>
      </c>
      <c r="M807" t="s">
        <v>32</v>
      </c>
      <c r="N807" t="s">
        <v>37</v>
      </c>
      <c r="O807" t="s">
        <v>18</v>
      </c>
      <c r="P807">
        <v>2</v>
      </c>
    </row>
    <row r="808" spans="1:16" x14ac:dyDescent="0.3">
      <c r="A808">
        <v>1299</v>
      </c>
      <c r="B808">
        <v>43914</v>
      </c>
      <c r="C808">
        <v>67</v>
      </c>
      <c r="D808">
        <v>19642</v>
      </c>
      <c r="E808" t="s">
        <v>14</v>
      </c>
      <c r="F808" t="s">
        <v>15</v>
      </c>
      <c r="G808" t="s">
        <v>17</v>
      </c>
      <c r="H808" t="s">
        <v>64</v>
      </c>
      <c r="I808" t="s">
        <v>9</v>
      </c>
      <c r="J808" t="s">
        <v>10</v>
      </c>
      <c r="K808" t="s">
        <v>26</v>
      </c>
      <c r="L808" t="s">
        <v>12</v>
      </c>
      <c r="M808" t="s">
        <v>21</v>
      </c>
      <c r="N808" t="s">
        <v>46</v>
      </c>
      <c r="O808" t="s">
        <v>18</v>
      </c>
      <c r="P808">
        <v>2</v>
      </c>
    </row>
    <row r="809" spans="1:16" x14ac:dyDescent="0.3">
      <c r="A809">
        <v>1300</v>
      </c>
      <c r="B809">
        <v>44359</v>
      </c>
      <c r="C809">
        <v>54</v>
      </c>
      <c r="D809">
        <v>24720</v>
      </c>
      <c r="E809" t="s">
        <v>14</v>
      </c>
      <c r="F809" t="s">
        <v>15</v>
      </c>
      <c r="G809" t="s">
        <v>34</v>
      </c>
      <c r="H809" t="s">
        <v>64</v>
      </c>
      <c r="I809" t="s">
        <v>9</v>
      </c>
      <c r="J809" t="s">
        <v>10</v>
      </c>
      <c r="K809" t="s">
        <v>26</v>
      </c>
      <c r="L809" t="s">
        <v>12</v>
      </c>
      <c r="M809" t="s">
        <v>35</v>
      </c>
      <c r="N809" t="s">
        <v>37</v>
      </c>
      <c r="O809" t="s">
        <v>18</v>
      </c>
      <c r="P809">
        <v>3</v>
      </c>
    </row>
    <row r="810" spans="1:16" x14ac:dyDescent="0.3">
      <c r="A810">
        <v>1301</v>
      </c>
      <c r="B810">
        <v>43546</v>
      </c>
      <c r="C810">
        <v>69</v>
      </c>
      <c r="D810">
        <v>18350</v>
      </c>
      <c r="E810" t="s">
        <v>14</v>
      </c>
      <c r="F810" t="s">
        <v>15</v>
      </c>
      <c r="G810" t="s">
        <v>17</v>
      </c>
      <c r="H810" t="s">
        <v>8</v>
      </c>
      <c r="I810" t="s">
        <v>66</v>
      </c>
      <c r="J810" t="s">
        <v>20</v>
      </c>
      <c r="K810" t="s">
        <v>26</v>
      </c>
      <c r="L810" t="s">
        <v>12</v>
      </c>
      <c r="M810" t="s">
        <v>35</v>
      </c>
      <c r="N810" t="s">
        <v>46</v>
      </c>
      <c r="O810" t="s">
        <v>18</v>
      </c>
      <c r="P810">
        <v>4</v>
      </c>
    </row>
    <row r="811" spans="1:16" x14ac:dyDescent="0.3">
      <c r="A811">
        <v>1302</v>
      </c>
      <c r="B811">
        <v>44263</v>
      </c>
      <c r="C811">
        <v>21</v>
      </c>
      <c r="D811">
        <v>36709</v>
      </c>
      <c r="E811" t="s">
        <v>14</v>
      </c>
      <c r="F811" t="s">
        <v>15</v>
      </c>
      <c r="G811" t="s">
        <v>34</v>
      </c>
      <c r="H811" t="s">
        <v>8</v>
      </c>
      <c r="I811" t="s">
        <v>66</v>
      </c>
      <c r="J811" t="s">
        <v>25</v>
      </c>
      <c r="K811" t="s">
        <v>19</v>
      </c>
      <c r="L811" t="s">
        <v>12</v>
      </c>
      <c r="M811" t="s">
        <v>35</v>
      </c>
      <c r="N811" t="s">
        <v>30</v>
      </c>
      <c r="O811" t="s">
        <v>18</v>
      </c>
      <c r="P811">
        <v>2</v>
      </c>
    </row>
    <row r="812" spans="1:16" x14ac:dyDescent="0.3">
      <c r="A812">
        <v>1303</v>
      </c>
      <c r="B812">
        <v>43966</v>
      </c>
      <c r="C812">
        <v>63</v>
      </c>
      <c r="D812">
        <v>20852</v>
      </c>
      <c r="E812" t="s">
        <v>14</v>
      </c>
      <c r="F812" t="s">
        <v>15</v>
      </c>
      <c r="G812" t="s">
        <v>31</v>
      </c>
      <c r="H812" t="s">
        <v>8</v>
      </c>
      <c r="I812" t="s">
        <v>9</v>
      </c>
      <c r="J812" t="s">
        <v>10</v>
      </c>
      <c r="K812" t="s">
        <v>19</v>
      </c>
      <c r="L812" t="s">
        <v>12</v>
      </c>
      <c r="M812" t="s">
        <v>13</v>
      </c>
      <c r="N812" t="s">
        <v>23</v>
      </c>
      <c r="O812" t="s">
        <v>18</v>
      </c>
      <c r="P812">
        <v>3</v>
      </c>
    </row>
    <row r="813" spans="1:16" x14ac:dyDescent="0.3">
      <c r="A813">
        <v>1304</v>
      </c>
      <c r="B813">
        <v>44950</v>
      </c>
      <c r="C813">
        <v>27</v>
      </c>
      <c r="D813">
        <v>35108</v>
      </c>
      <c r="E813" t="s">
        <v>14</v>
      </c>
      <c r="F813" t="s">
        <v>15</v>
      </c>
      <c r="G813" t="s">
        <v>17</v>
      </c>
      <c r="H813" t="s">
        <v>8</v>
      </c>
      <c r="I813" t="s">
        <v>9</v>
      </c>
      <c r="J813" t="s">
        <v>25</v>
      </c>
      <c r="K813" t="s">
        <v>26</v>
      </c>
      <c r="L813" t="s">
        <v>12</v>
      </c>
      <c r="M813" t="s">
        <v>93</v>
      </c>
      <c r="N813" t="s">
        <v>46</v>
      </c>
      <c r="O813" t="s">
        <v>18</v>
      </c>
      <c r="P813">
        <v>5</v>
      </c>
    </row>
    <row r="814" spans="1:16" x14ac:dyDescent="0.3">
      <c r="A814">
        <v>1305</v>
      </c>
      <c r="B814">
        <v>44202</v>
      </c>
      <c r="C814">
        <v>23</v>
      </c>
      <c r="D814">
        <v>36113</v>
      </c>
      <c r="E814" t="s">
        <v>14</v>
      </c>
      <c r="F814" t="s">
        <v>22</v>
      </c>
      <c r="G814" t="s">
        <v>34</v>
      </c>
      <c r="H814" t="s">
        <v>8</v>
      </c>
      <c r="I814" t="s">
        <v>66</v>
      </c>
      <c r="J814" t="s">
        <v>25</v>
      </c>
      <c r="K814" t="s">
        <v>26</v>
      </c>
      <c r="L814" t="s">
        <v>12</v>
      </c>
      <c r="M814" t="s">
        <v>35</v>
      </c>
      <c r="N814" t="s">
        <v>16</v>
      </c>
      <c r="O814" t="s">
        <v>18</v>
      </c>
      <c r="P814">
        <v>5</v>
      </c>
    </row>
    <row r="815" spans="1:16" x14ac:dyDescent="0.3">
      <c r="A815">
        <v>1306</v>
      </c>
      <c r="B815">
        <v>44302</v>
      </c>
      <c r="C815">
        <v>24</v>
      </c>
      <c r="D815">
        <v>35649</v>
      </c>
      <c r="E815" t="s">
        <v>14</v>
      </c>
      <c r="F815" t="s">
        <v>22</v>
      </c>
      <c r="G815" t="s">
        <v>31</v>
      </c>
      <c r="H815" t="s">
        <v>8</v>
      </c>
      <c r="I815" t="s">
        <v>9</v>
      </c>
      <c r="J815" t="s">
        <v>20</v>
      </c>
      <c r="K815" t="s">
        <v>26</v>
      </c>
      <c r="L815" t="s">
        <v>12</v>
      </c>
      <c r="M815" t="s">
        <v>54</v>
      </c>
      <c r="N815" t="s">
        <v>23</v>
      </c>
      <c r="O815" t="s">
        <v>18</v>
      </c>
      <c r="P815">
        <v>3</v>
      </c>
    </row>
    <row r="816" spans="1:16" x14ac:dyDescent="0.3">
      <c r="A816">
        <v>1307</v>
      </c>
      <c r="B816">
        <v>44461</v>
      </c>
      <c r="C816">
        <v>40</v>
      </c>
      <c r="D816">
        <v>29641</v>
      </c>
      <c r="E816" t="s">
        <v>14</v>
      </c>
      <c r="F816" t="s">
        <v>22</v>
      </c>
      <c r="G816" t="s">
        <v>34</v>
      </c>
      <c r="H816" t="s">
        <v>8</v>
      </c>
      <c r="I816" t="s">
        <v>66</v>
      </c>
      <c r="J816" t="s">
        <v>10</v>
      </c>
      <c r="K816" t="s">
        <v>19</v>
      </c>
      <c r="L816" t="s">
        <v>12</v>
      </c>
      <c r="M816" t="s">
        <v>42</v>
      </c>
      <c r="N816" t="s">
        <v>37</v>
      </c>
      <c r="O816" t="s">
        <v>18</v>
      </c>
      <c r="P816">
        <v>5</v>
      </c>
    </row>
    <row r="817" spans="1:16" x14ac:dyDescent="0.3">
      <c r="A817">
        <v>1308</v>
      </c>
      <c r="B817">
        <v>44740</v>
      </c>
      <c r="C817">
        <v>42</v>
      </c>
      <c r="D817">
        <v>29497</v>
      </c>
      <c r="E817" t="s">
        <v>14</v>
      </c>
      <c r="F817" t="s">
        <v>15</v>
      </c>
      <c r="G817" t="s">
        <v>40</v>
      </c>
      <c r="H817" t="s">
        <v>8</v>
      </c>
      <c r="I817" t="s">
        <v>9</v>
      </c>
      <c r="J817" t="s">
        <v>25</v>
      </c>
      <c r="K817" t="s">
        <v>11</v>
      </c>
      <c r="L817" t="s">
        <v>12</v>
      </c>
      <c r="M817" t="s">
        <v>54</v>
      </c>
      <c r="N817" t="s">
        <v>46</v>
      </c>
      <c r="O817" t="s">
        <v>18</v>
      </c>
      <c r="P817">
        <v>5</v>
      </c>
    </row>
    <row r="818" spans="1:16" x14ac:dyDescent="0.3">
      <c r="A818">
        <v>1309</v>
      </c>
      <c r="B818">
        <v>44060</v>
      </c>
      <c r="C818">
        <v>40</v>
      </c>
      <c r="D818">
        <v>29356</v>
      </c>
      <c r="E818" t="s">
        <v>14</v>
      </c>
      <c r="F818" t="s">
        <v>15</v>
      </c>
      <c r="G818" t="s">
        <v>17</v>
      </c>
      <c r="H818" t="s">
        <v>8</v>
      </c>
      <c r="I818" t="s">
        <v>9</v>
      </c>
      <c r="J818" t="s">
        <v>20</v>
      </c>
      <c r="K818" t="s">
        <v>11</v>
      </c>
      <c r="L818" t="s">
        <v>12</v>
      </c>
      <c r="M818" t="s">
        <v>35</v>
      </c>
      <c r="N818" t="s">
        <v>30</v>
      </c>
      <c r="O818" t="s">
        <v>18</v>
      </c>
      <c r="P818">
        <v>1</v>
      </c>
    </row>
    <row r="819" spans="1:16" x14ac:dyDescent="0.3">
      <c r="A819">
        <v>1310</v>
      </c>
      <c r="B819">
        <v>45019</v>
      </c>
      <c r="C819">
        <v>35</v>
      </c>
      <c r="D819">
        <v>32184</v>
      </c>
      <c r="E819" t="s">
        <v>14</v>
      </c>
      <c r="F819" t="s">
        <v>15</v>
      </c>
      <c r="G819" t="s">
        <v>31</v>
      </c>
      <c r="H819" t="s">
        <v>8</v>
      </c>
      <c r="I819" t="s">
        <v>9</v>
      </c>
      <c r="J819" t="s">
        <v>20</v>
      </c>
      <c r="K819" t="s">
        <v>26</v>
      </c>
      <c r="L819" t="s">
        <v>12</v>
      </c>
      <c r="M819" t="s">
        <v>32</v>
      </c>
      <c r="N819" t="s">
        <v>46</v>
      </c>
      <c r="O819" t="s">
        <v>18</v>
      </c>
      <c r="P819">
        <v>4</v>
      </c>
    </row>
    <row r="820" spans="1:16" x14ac:dyDescent="0.3">
      <c r="A820">
        <v>1311</v>
      </c>
      <c r="B820">
        <v>45072</v>
      </c>
      <c r="C820">
        <v>36</v>
      </c>
      <c r="D820">
        <v>31830</v>
      </c>
      <c r="E820" t="s">
        <v>14</v>
      </c>
      <c r="F820" t="s">
        <v>22</v>
      </c>
      <c r="G820" t="s">
        <v>31</v>
      </c>
      <c r="H820" t="s">
        <v>8</v>
      </c>
      <c r="I820" t="s">
        <v>9</v>
      </c>
      <c r="J820" t="s">
        <v>25</v>
      </c>
      <c r="K820" t="s">
        <v>11</v>
      </c>
      <c r="L820" t="s">
        <v>12</v>
      </c>
      <c r="M820" t="s">
        <v>42</v>
      </c>
      <c r="N820" t="s">
        <v>46</v>
      </c>
      <c r="O820" t="s">
        <v>18</v>
      </c>
      <c r="P820">
        <v>2</v>
      </c>
    </row>
    <row r="821" spans="1:16" x14ac:dyDescent="0.3">
      <c r="A821">
        <v>1312</v>
      </c>
      <c r="B821">
        <v>44296</v>
      </c>
      <c r="C821">
        <v>24</v>
      </c>
      <c r="D821">
        <v>35651</v>
      </c>
      <c r="E821" t="s">
        <v>14</v>
      </c>
      <c r="F821" t="s">
        <v>15</v>
      </c>
      <c r="G821" t="s">
        <v>17</v>
      </c>
      <c r="H821" t="s">
        <v>8</v>
      </c>
      <c r="I821" t="s">
        <v>9</v>
      </c>
      <c r="J821" t="s">
        <v>25</v>
      </c>
      <c r="K821" t="s">
        <v>26</v>
      </c>
      <c r="L821" t="s">
        <v>12</v>
      </c>
      <c r="M821" t="s">
        <v>38</v>
      </c>
      <c r="N821" t="s">
        <v>37</v>
      </c>
      <c r="O821" t="s">
        <v>18</v>
      </c>
      <c r="P821">
        <v>5</v>
      </c>
    </row>
    <row r="822" spans="1:16" x14ac:dyDescent="0.3">
      <c r="A822">
        <v>1313</v>
      </c>
      <c r="B822">
        <v>45034</v>
      </c>
      <c r="C822">
        <v>66</v>
      </c>
      <c r="D822">
        <v>21158</v>
      </c>
      <c r="E822" t="s">
        <v>14</v>
      </c>
      <c r="F822" t="s">
        <v>15</v>
      </c>
      <c r="G822" t="s">
        <v>31</v>
      </c>
      <c r="H822" t="s">
        <v>8</v>
      </c>
      <c r="I822" t="s">
        <v>9</v>
      </c>
      <c r="J822" t="s">
        <v>10</v>
      </c>
      <c r="K822" t="s">
        <v>11</v>
      </c>
      <c r="L822" t="s">
        <v>12</v>
      </c>
      <c r="M822" t="s">
        <v>35</v>
      </c>
      <c r="N822" t="s">
        <v>23</v>
      </c>
      <c r="O822" t="s">
        <v>18</v>
      </c>
      <c r="P822">
        <v>4</v>
      </c>
    </row>
    <row r="823" spans="1:16" x14ac:dyDescent="0.3">
      <c r="A823">
        <v>1314</v>
      </c>
      <c r="B823">
        <v>44482</v>
      </c>
      <c r="C823">
        <v>25</v>
      </c>
      <c r="D823">
        <v>35307</v>
      </c>
      <c r="E823" t="s">
        <v>14</v>
      </c>
      <c r="F823" t="s">
        <v>15</v>
      </c>
      <c r="G823" t="s">
        <v>40</v>
      </c>
      <c r="H823" t="s">
        <v>8</v>
      </c>
      <c r="I823" t="s">
        <v>9</v>
      </c>
      <c r="J823" t="s">
        <v>10</v>
      </c>
      <c r="K823" t="s">
        <v>11</v>
      </c>
      <c r="L823" t="s">
        <v>12</v>
      </c>
      <c r="M823" t="s">
        <v>32</v>
      </c>
      <c r="N823" t="s">
        <v>16</v>
      </c>
      <c r="O823" t="s">
        <v>18</v>
      </c>
      <c r="P823">
        <v>5</v>
      </c>
    </row>
    <row r="824" spans="1:16" x14ac:dyDescent="0.3">
      <c r="A824">
        <v>1315</v>
      </c>
      <c r="B824">
        <v>44114</v>
      </c>
      <c r="C824">
        <v>64</v>
      </c>
      <c r="D824">
        <v>20810</v>
      </c>
      <c r="E824" t="s">
        <v>14</v>
      </c>
      <c r="F824" t="s">
        <v>15</v>
      </c>
      <c r="G824" t="s">
        <v>17</v>
      </c>
      <c r="H824" t="s">
        <v>84</v>
      </c>
      <c r="I824" t="s">
        <v>9</v>
      </c>
      <c r="J824" t="s">
        <v>20</v>
      </c>
      <c r="K824" t="s">
        <v>19</v>
      </c>
      <c r="L824" t="s">
        <v>90</v>
      </c>
      <c r="M824" t="s">
        <v>49</v>
      </c>
      <c r="N824" t="s">
        <v>46</v>
      </c>
      <c r="O824" t="s">
        <v>18</v>
      </c>
      <c r="P824">
        <v>1</v>
      </c>
    </row>
    <row r="825" spans="1:16" x14ac:dyDescent="0.3">
      <c r="A825">
        <v>1316</v>
      </c>
      <c r="B825">
        <v>43485</v>
      </c>
      <c r="C825">
        <v>64</v>
      </c>
      <c r="D825">
        <v>20386</v>
      </c>
      <c r="E825" t="s">
        <v>14</v>
      </c>
      <c r="F825" t="s">
        <v>15</v>
      </c>
      <c r="G825" t="s">
        <v>31</v>
      </c>
      <c r="H825" t="s">
        <v>94</v>
      </c>
      <c r="I825" t="s">
        <v>9</v>
      </c>
      <c r="J825" t="s">
        <v>20</v>
      </c>
      <c r="K825" t="s">
        <v>19</v>
      </c>
      <c r="L825" t="s">
        <v>73</v>
      </c>
      <c r="M825" t="s">
        <v>21</v>
      </c>
      <c r="N825" t="s">
        <v>46</v>
      </c>
      <c r="O825" t="s">
        <v>18</v>
      </c>
      <c r="P825">
        <v>4</v>
      </c>
    </row>
    <row r="826" spans="1:16" x14ac:dyDescent="0.3">
      <c r="A826">
        <v>1317</v>
      </c>
      <c r="B826">
        <v>44325</v>
      </c>
      <c r="C826">
        <v>71</v>
      </c>
      <c r="D826">
        <v>18590</v>
      </c>
      <c r="E826" t="s">
        <v>14</v>
      </c>
      <c r="F826" t="s">
        <v>15</v>
      </c>
      <c r="G826" t="s">
        <v>17</v>
      </c>
      <c r="H826" t="s">
        <v>84</v>
      </c>
      <c r="I826" t="s">
        <v>9</v>
      </c>
      <c r="J826" t="s">
        <v>25</v>
      </c>
      <c r="K826" t="s">
        <v>19</v>
      </c>
      <c r="L826" t="s">
        <v>90</v>
      </c>
      <c r="M826" t="s">
        <v>21</v>
      </c>
      <c r="N826" t="s">
        <v>37</v>
      </c>
      <c r="O826" t="s">
        <v>18</v>
      </c>
      <c r="P826">
        <v>2</v>
      </c>
    </row>
    <row r="827" spans="1:16" x14ac:dyDescent="0.3">
      <c r="A827">
        <v>1318</v>
      </c>
      <c r="B827">
        <v>45136</v>
      </c>
      <c r="C827">
        <v>39</v>
      </c>
      <c r="D827">
        <v>30816</v>
      </c>
      <c r="E827" t="s">
        <v>14</v>
      </c>
      <c r="F827" t="s">
        <v>15</v>
      </c>
      <c r="G827" t="s">
        <v>40</v>
      </c>
      <c r="H827" t="s">
        <v>95</v>
      </c>
      <c r="I827" t="s">
        <v>9</v>
      </c>
      <c r="J827" t="s">
        <v>10</v>
      </c>
      <c r="K827" t="s">
        <v>26</v>
      </c>
      <c r="L827" t="s">
        <v>90</v>
      </c>
      <c r="M827" t="s">
        <v>35</v>
      </c>
      <c r="N827" t="s">
        <v>16</v>
      </c>
      <c r="O827" t="s">
        <v>18</v>
      </c>
      <c r="P827">
        <v>4</v>
      </c>
    </row>
    <row r="828" spans="1:16" x14ac:dyDescent="0.3">
      <c r="A828">
        <v>1319</v>
      </c>
      <c r="B828">
        <v>43701</v>
      </c>
      <c r="C828">
        <v>55</v>
      </c>
      <c r="D828">
        <v>23581</v>
      </c>
      <c r="E828" t="s">
        <v>14</v>
      </c>
      <c r="F828" t="s">
        <v>22</v>
      </c>
      <c r="G828" t="s">
        <v>34</v>
      </c>
      <c r="H828" t="s">
        <v>96</v>
      </c>
      <c r="I828" t="s">
        <v>9</v>
      </c>
      <c r="J828" t="s">
        <v>20</v>
      </c>
      <c r="K828" t="s">
        <v>11</v>
      </c>
      <c r="L828" t="s">
        <v>90</v>
      </c>
      <c r="M828" t="s">
        <v>13</v>
      </c>
      <c r="N828" t="s">
        <v>46</v>
      </c>
      <c r="O828" t="s">
        <v>18</v>
      </c>
      <c r="P828">
        <v>2</v>
      </c>
    </row>
    <row r="829" spans="1:16" x14ac:dyDescent="0.3">
      <c r="A829">
        <v>1320</v>
      </c>
      <c r="B829">
        <v>43459</v>
      </c>
      <c r="C829">
        <v>35</v>
      </c>
      <c r="D829">
        <v>30565</v>
      </c>
      <c r="E829" t="s">
        <v>14</v>
      </c>
      <c r="F829" t="s">
        <v>15</v>
      </c>
      <c r="G829" t="s">
        <v>17</v>
      </c>
      <c r="H829" t="s">
        <v>95</v>
      </c>
      <c r="I829" t="s">
        <v>9</v>
      </c>
      <c r="J829" t="s">
        <v>20</v>
      </c>
      <c r="K829" t="s">
        <v>26</v>
      </c>
      <c r="L829" t="s">
        <v>90</v>
      </c>
      <c r="M829" t="s">
        <v>59</v>
      </c>
      <c r="N829" t="s">
        <v>16</v>
      </c>
      <c r="O829" t="s">
        <v>18</v>
      </c>
      <c r="P829">
        <v>1</v>
      </c>
    </row>
    <row r="830" spans="1:16" x14ac:dyDescent="0.3">
      <c r="A830">
        <v>1321</v>
      </c>
      <c r="B830">
        <v>44343</v>
      </c>
      <c r="C830">
        <v>63</v>
      </c>
      <c r="D830">
        <v>21260</v>
      </c>
      <c r="E830" t="s">
        <v>14</v>
      </c>
      <c r="F830" t="s">
        <v>22</v>
      </c>
      <c r="G830" t="s">
        <v>31</v>
      </c>
      <c r="H830" t="s">
        <v>96</v>
      </c>
      <c r="I830" t="s">
        <v>9</v>
      </c>
      <c r="J830" t="s">
        <v>10</v>
      </c>
      <c r="K830" t="s">
        <v>19</v>
      </c>
      <c r="L830" t="s">
        <v>90</v>
      </c>
      <c r="M830" t="s">
        <v>54</v>
      </c>
      <c r="N830" t="s">
        <v>37</v>
      </c>
      <c r="O830" t="s">
        <v>18</v>
      </c>
      <c r="P830">
        <v>5</v>
      </c>
    </row>
    <row r="831" spans="1:16" x14ac:dyDescent="0.3">
      <c r="A831">
        <v>1322</v>
      </c>
      <c r="B831">
        <v>44959</v>
      </c>
      <c r="C831">
        <v>38</v>
      </c>
      <c r="D831">
        <v>31185</v>
      </c>
      <c r="E831" t="s">
        <v>14</v>
      </c>
      <c r="F831" t="s">
        <v>15</v>
      </c>
      <c r="G831" t="s">
        <v>17</v>
      </c>
      <c r="H831" t="s">
        <v>96</v>
      </c>
      <c r="I831" t="s">
        <v>9</v>
      </c>
      <c r="J831" t="s">
        <v>25</v>
      </c>
      <c r="K831" t="s">
        <v>26</v>
      </c>
      <c r="L831" t="s">
        <v>90</v>
      </c>
      <c r="M831" t="s">
        <v>44</v>
      </c>
      <c r="N831" t="s">
        <v>23</v>
      </c>
      <c r="O831" t="s">
        <v>18</v>
      </c>
      <c r="P831">
        <v>5</v>
      </c>
    </row>
    <row r="832" spans="1:16" x14ac:dyDescent="0.3">
      <c r="A832">
        <v>1323</v>
      </c>
      <c r="B832">
        <v>44901</v>
      </c>
      <c r="C832">
        <v>69</v>
      </c>
      <c r="D832">
        <v>19437</v>
      </c>
      <c r="E832" t="s">
        <v>14</v>
      </c>
      <c r="F832" t="s">
        <v>15</v>
      </c>
      <c r="G832" t="s">
        <v>40</v>
      </c>
      <c r="H832" t="s">
        <v>95</v>
      </c>
      <c r="I832" t="s">
        <v>9</v>
      </c>
      <c r="J832" t="s">
        <v>25</v>
      </c>
      <c r="K832" t="s">
        <v>26</v>
      </c>
      <c r="L832" t="s">
        <v>90</v>
      </c>
      <c r="M832" t="s">
        <v>21</v>
      </c>
      <c r="N832" t="s">
        <v>37</v>
      </c>
      <c r="O832" t="s">
        <v>18</v>
      </c>
      <c r="P832">
        <v>1</v>
      </c>
    </row>
    <row r="833" spans="1:16" x14ac:dyDescent="0.3">
      <c r="A833">
        <v>1324</v>
      </c>
      <c r="B833">
        <v>44400</v>
      </c>
      <c r="C833">
        <v>35</v>
      </c>
      <c r="D833">
        <v>31713</v>
      </c>
      <c r="E833" t="s">
        <v>14</v>
      </c>
      <c r="F833" t="s">
        <v>15</v>
      </c>
      <c r="G833" t="s">
        <v>31</v>
      </c>
      <c r="H833" t="s">
        <v>96</v>
      </c>
      <c r="I833" t="s">
        <v>9</v>
      </c>
      <c r="J833" t="s">
        <v>20</v>
      </c>
      <c r="K833" t="s">
        <v>19</v>
      </c>
      <c r="L833" t="s">
        <v>90</v>
      </c>
      <c r="M833" t="s">
        <v>32</v>
      </c>
      <c r="N833" t="s">
        <v>23</v>
      </c>
      <c r="O833" t="s">
        <v>18</v>
      </c>
      <c r="P833">
        <v>3</v>
      </c>
    </row>
    <row r="834" spans="1:16" x14ac:dyDescent="0.3">
      <c r="A834">
        <v>1325</v>
      </c>
      <c r="B834">
        <v>43785</v>
      </c>
      <c r="C834">
        <v>37</v>
      </c>
      <c r="D834">
        <v>30073</v>
      </c>
      <c r="E834" t="s">
        <v>14</v>
      </c>
      <c r="F834" t="s">
        <v>15</v>
      </c>
      <c r="G834" t="s">
        <v>40</v>
      </c>
      <c r="H834" t="s">
        <v>96</v>
      </c>
      <c r="I834" t="s">
        <v>9</v>
      </c>
      <c r="J834" t="s">
        <v>10</v>
      </c>
      <c r="K834" t="s">
        <v>26</v>
      </c>
      <c r="L834" t="s">
        <v>90</v>
      </c>
      <c r="M834" t="s">
        <v>42</v>
      </c>
      <c r="N834" t="s">
        <v>37</v>
      </c>
      <c r="O834" t="s">
        <v>18</v>
      </c>
      <c r="P834">
        <v>5</v>
      </c>
    </row>
    <row r="835" spans="1:16" x14ac:dyDescent="0.3">
      <c r="A835">
        <v>1326</v>
      </c>
      <c r="B835">
        <v>43898</v>
      </c>
      <c r="C835">
        <v>43</v>
      </c>
      <c r="D835">
        <v>28446</v>
      </c>
      <c r="E835" t="s">
        <v>14</v>
      </c>
      <c r="F835" t="s">
        <v>22</v>
      </c>
      <c r="G835" t="s">
        <v>17</v>
      </c>
      <c r="H835" t="s">
        <v>72</v>
      </c>
      <c r="I835" t="s">
        <v>9</v>
      </c>
      <c r="J835" t="s">
        <v>25</v>
      </c>
      <c r="K835" t="s">
        <v>19</v>
      </c>
      <c r="L835" t="s">
        <v>90</v>
      </c>
      <c r="M835" t="s">
        <v>38</v>
      </c>
      <c r="N835" t="s">
        <v>16</v>
      </c>
      <c r="O835" t="s">
        <v>18</v>
      </c>
      <c r="P835">
        <v>3</v>
      </c>
    </row>
    <row r="836" spans="1:16" x14ac:dyDescent="0.3">
      <c r="A836">
        <v>1327</v>
      </c>
      <c r="B836">
        <v>43479</v>
      </c>
      <c r="C836">
        <v>59</v>
      </c>
      <c r="D836">
        <v>21966</v>
      </c>
      <c r="E836" t="s">
        <v>14</v>
      </c>
      <c r="F836" t="s">
        <v>22</v>
      </c>
      <c r="G836" t="s">
        <v>31</v>
      </c>
      <c r="H836" t="s">
        <v>72</v>
      </c>
      <c r="I836" t="s">
        <v>9</v>
      </c>
      <c r="J836" t="s">
        <v>20</v>
      </c>
      <c r="K836" t="s">
        <v>26</v>
      </c>
      <c r="L836" t="s">
        <v>90</v>
      </c>
      <c r="M836" t="s">
        <v>42</v>
      </c>
      <c r="N836" t="s">
        <v>16</v>
      </c>
      <c r="O836" t="s">
        <v>18</v>
      </c>
      <c r="P836">
        <v>3</v>
      </c>
    </row>
    <row r="837" spans="1:16" x14ac:dyDescent="0.3">
      <c r="A837">
        <v>1328</v>
      </c>
      <c r="B837">
        <v>43890</v>
      </c>
      <c r="C837">
        <v>45</v>
      </c>
      <c r="D837">
        <v>27752</v>
      </c>
      <c r="E837" t="s">
        <v>14</v>
      </c>
      <c r="F837" t="s">
        <v>22</v>
      </c>
      <c r="G837" t="s">
        <v>31</v>
      </c>
      <c r="H837" t="s">
        <v>72</v>
      </c>
      <c r="I837" t="s">
        <v>9</v>
      </c>
      <c r="J837" t="s">
        <v>20</v>
      </c>
      <c r="K837" t="s">
        <v>11</v>
      </c>
      <c r="L837" t="s">
        <v>53</v>
      </c>
      <c r="M837" t="s">
        <v>44</v>
      </c>
      <c r="N837" t="s">
        <v>46</v>
      </c>
      <c r="O837" t="s">
        <v>18</v>
      </c>
      <c r="P837">
        <v>4</v>
      </c>
    </row>
    <row r="838" spans="1:16" x14ac:dyDescent="0.3">
      <c r="A838">
        <v>1329</v>
      </c>
      <c r="B838">
        <v>44890</v>
      </c>
      <c r="C838">
        <v>64</v>
      </c>
      <c r="D838">
        <v>21490</v>
      </c>
      <c r="E838" t="s">
        <v>14</v>
      </c>
      <c r="F838" t="s">
        <v>22</v>
      </c>
      <c r="G838" t="s">
        <v>17</v>
      </c>
      <c r="H838" t="s">
        <v>86</v>
      </c>
      <c r="I838" t="s">
        <v>9</v>
      </c>
      <c r="J838" t="s">
        <v>10</v>
      </c>
      <c r="K838" t="s">
        <v>26</v>
      </c>
      <c r="L838" t="s">
        <v>87</v>
      </c>
      <c r="M838" t="s">
        <v>35</v>
      </c>
      <c r="N838" t="s">
        <v>37</v>
      </c>
      <c r="O838" t="s">
        <v>18</v>
      </c>
      <c r="P838">
        <v>2</v>
      </c>
    </row>
    <row r="839" spans="1:16" x14ac:dyDescent="0.3">
      <c r="A839">
        <v>1330</v>
      </c>
      <c r="B839">
        <v>44819</v>
      </c>
      <c r="C839">
        <v>32</v>
      </c>
      <c r="D839">
        <v>32933</v>
      </c>
      <c r="E839" t="s">
        <v>14</v>
      </c>
      <c r="F839" t="s">
        <v>15</v>
      </c>
      <c r="G839" t="s">
        <v>40</v>
      </c>
      <c r="H839" t="s">
        <v>96</v>
      </c>
      <c r="I839" t="s">
        <v>9</v>
      </c>
      <c r="J839" t="s">
        <v>25</v>
      </c>
      <c r="K839" t="s">
        <v>19</v>
      </c>
      <c r="L839" t="s">
        <v>90</v>
      </c>
      <c r="M839" t="s">
        <v>32</v>
      </c>
      <c r="N839" t="s">
        <v>16</v>
      </c>
      <c r="O839" t="s">
        <v>18</v>
      </c>
      <c r="P839">
        <v>5</v>
      </c>
    </row>
    <row r="840" spans="1:16" x14ac:dyDescent="0.3">
      <c r="A840">
        <v>1331</v>
      </c>
      <c r="B840">
        <v>44419</v>
      </c>
      <c r="C840">
        <v>75</v>
      </c>
      <c r="D840">
        <v>17095</v>
      </c>
      <c r="E840" t="s">
        <v>14</v>
      </c>
      <c r="F840" t="s">
        <v>15</v>
      </c>
      <c r="G840" t="s">
        <v>17</v>
      </c>
      <c r="H840" t="s">
        <v>96</v>
      </c>
      <c r="I840" t="s">
        <v>9</v>
      </c>
      <c r="J840" t="s">
        <v>25</v>
      </c>
      <c r="K840" t="s">
        <v>11</v>
      </c>
      <c r="L840" t="s">
        <v>90</v>
      </c>
      <c r="M840" t="s">
        <v>62</v>
      </c>
      <c r="N840" t="s">
        <v>37</v>
      </c>
      <c r="O840" t="s">
        <v>18</v>
      </c>
      <c r="P840">
        <v>2</v>
      </c>
    </row>
    <row r="841" spans="1:16" x14ac:dyDescent="0.3">
      <c r="A841">
        <v>1332</v>
      </c>
      <c r="B841">
        <v>45141</v>
      </c>
      <c r="C841">
        <v>77</v>
      </c>
      <c r="D841">
        <v>17097</v>
      </c>
      <c r="E841" t="s">
        <v>14</v>
      </c>
      <c r="F841" t="s">
        <v>22</v>
      </c>
      <c r="G841" t="s">
        <v>40</v>
      </c>
      <c r="H841" t="s">
        <v>72</v>
      </c>
      <c r="I841" t="s">
        <v>9</v>
      </c>
      <c r="J841" t="s">
        <v>10</v>
      </c>
      <c r="K841" t="s">
        <v>26</v>
      </c>
      <c r="L841" t="s">
        <v>90</v>
      </c>
      <c r="M841" t="s">
        <v>59</v>
      </c>
      <c r="N841" t="s">
        <v>23</v>
      </c>
      <c r="O841" t="s">
        <v>18</v>
      </c>
      <c r="P841">
        <v>2</v>
      </c>
    </row>
    <row r="842" spans="1:16" x14ac:dyDescent="0.3">
      <c r="A842">
        <v>1333</v>
      </c>
      <c r="B842">
        <v>44634</v>
      </c>
      <c r="C842">
        <v>44</v>
      </c>
      <c r="D842">
        <v>28595</v>
      </c>
      <c r="E842" t="s">
        <v>14</v>
      </c>
      <c r="F842" t="s">
        <v>22</v>
      </c>
      <c r="G842" t="s">
        <v>40</v>
      </c>
      <c r="H842" t="s">
        <v>72</v>
      </c>
      <c r="I842" t="s">
        <v>9</v>
      </c>
      <c r="J842" t="s">
        <v>20</v>
      </c>
      <c r="K842" t="s">
        <v>19</v>
      </c>
      <c r="L842" t="s">
        <v>53</v>
      </c>
      <c r="M842" t="s">
        <v>35</v>
      </c>
      <c r="N842" t="s">
        <v>37</v>
      </c>
      <c r="O842" t="s">
        <v>18</v>
      </c>
      <c r="P842">
        <v>4</v>
      </c>
    </row>
    <row r="843" spans="1:16" x14ac:dyDescent="0.3">
      <c r="A843">
        <v>1334</v>
      </c>
      <c r="B843">
        <v>44075</v>
      </c>
      <c r="C843">
        <v>68</v>
      </c>
      <c r="D843">
        <v>19260</v>
      </c>
      <c r="E843" t="s">
        <v>14</v>
      </c>
      <c r="F843" t="s">
        <v>22</v>
      </c>
      <c r="G843" t="s">
        <v>17</v>
      </c>
      <c r="H843" t="s">
        <v>72</v>
      </c>
      <c r="I843" t="s">
        <v>9</v>
      </c>
      <c r="J843" t="s">
        <v>25</v>
      </c>
      <c r="K843" t="s">
        <v>26</v>
      </c>
      <c r="L843" t="s">
        <v>53</v>
      </c>
      <c r="M843" t="s">
        <v>69</v>
      </c>
      <c r="N843" t="s">
        <v>30</v>
      </c>
      <c r="O843" t="s">
        <v>18</v>
      </c>
      <c r="P843">
        <v>3</v>
      </c>
    </row>
    <row r="844" spans="1:16" x14ac:dyDescent="0.3">
      <c r="A844">
        <v>1335</v>
      </c>
      <c r="B844">
        <v>44500</v>
      </c>
      <c r="C844">
        <v>74</v>
      </c>
      <c r="D844">
        <v>17495</v>
      </c>
      <c r="E844" t="s">
        <v>14</v>
      </c>
      <c r="F844" t="s">
        <v>15</v>
      </c>
      <c r="G844" t="s">
        <v>40</v>
      </c>
      <c r="H844" t="s">
        <v>86</v>
      </c>
      <c r="I844" t="s">
        <v>9</v>
      </c>
      <c r="J844" t="s">
        <v>10</v>
      </c>
      <c r="K844" t="s">
        <v>19</v>
      </c>
      <c r="L844" t="s">
        <v>87</v>
      </c>
      <c r="M844" t="s">
        <v>32</v>
      </c>
      <c r="N844" t="s">
        <v>16</v>
      </c>
      <c r="O844" t="s">
        <v>18</v>
      </c>
      <c r="P844">
        <v>5</v>
      </c>
    </row>
    <row r="845" spans="1:16" x14ac:dyDescent="0.3">
      <c r="A845">
        <v>1336</v>
      </c>
      <c r="B845">
        <v>43887</v>
      </c>
      <c r="C845">
        <v>73</v>
      </c>
      <c r="D845">
        <v>17362</v>
      </c>
      <c r="E845" t="s">
        <v>14</v>
      </c>
      <c r="F845" t="s">
        <v>15</v>
      </c>
      <c r="G845" t="s">
        <v>34</v>
      </c>
      <c r="H845" t="s">
        <v>96</v>
      </c>
      <c r="I845" t="s">
        <v>9</v>
      </c>
      <c r="J845" t="s">
        <v>25</v>
      </c>
      <c r="K845" t="s">
        <v>19</v>
      </c>
      <c r="L845" t="s">
        <v>90</v>
      </c>
      <c r="M845" t="s">
        <v>35</v>
      </c>
      <c r="N845" t="s">
        <v>37</v>
      </c>
      <c r="O845" t="s">
        <v>18</v>
      </c>
      <c r="P845">
        <v>1</v>
      </c>
    </row>
    <row r="846" spans="1:16" x14ac:dyDescent="0.3">
      <c r="A846">
        <v>1337</v>
      </c>
      <c r="B846">
        <v>43322</v>
      </c>
      <c r="C846">
        <v>65</v>
      </c>
      <c r="D846">
        <v>19448</v>
      </c>
      <c r="E846" t="s">
        <v>14</v>
      </c>
      <c r="F846" t="s">
        <v>15</v>
      </c>
      <c r="G846" t="s">
        <v>31</v>
      </c>
      <c r="H846" t="s">
        <v>96</v>
      </c>
      <c r="I846" t="s">
        <v>9</v>
      </c>
      <c r="J846" t="s">
        <v>25</v>
      </c>
      <c r="K846" t="s">
        <v>19</v>
      </c>
      <c r="L846" t="s">
        <v>90</v>
      </c>
      <c r="M846" t="s">
        <v>32</v>
      </c>
      <c r="N846" t="s">
        <v>16</v>
      </c>
      <c r="O846" t="s">
        <v>18</v>
      </c>
      <c r="P846">
        <v>3</v>
      </c>
    </row>
    <row r="847" spans="1:16" x14ac:dyDescent="0.3">
      <c r="A847">
        <v>1338</v>
      </c>
      <c r="B847">
        <v>44104</v>
      </c>
      <c r="C847">
        <v>32</v>
      </c>
      <c r="D847">
        <v>32216</v>
      </c>
      <c r="E847" t="s">
        <v>14</v>
      </c>
      <c r="F847" t="s">
        <v>22</v>
      </c>
      <c r="G847" t="s">
        <v>17</v>
      </c>
      <c r="H847" t="s">
        <v>72</v>
      </c>
      <c r="I847" t="s">
        <v>9</v>
      </c>
      <c r="J847" t="s">
        <v>10</v>
      </c>
      <c r="K847" t="s">
        <v>11</v>
      </c>
      <c r="L847" t="s">
        <v>90</v>
      </c>
      <c r="M847" t="s">
        <v>58</v>
      </c>
      <c r="N847" t="s">
        <v>30</v>
      </c>
      <c r="O847" t="s">
        <v>18</v>
      </c>
      <c r="P847">
        <v>1</v>
      </c>
    </row>
    <row r="848" spans="1:16" x14ac:dyDescent="0.3">
      <c r="A848">
        <v>1339</v>
      </c>
      <c r="B848">
        <v>44287</v>
      </c>
      <c r="C848">
        <v>40</v>
      </c>
      <c r="D848">
        <v>29909</v>
      </c>
      <c r="E848" t="s">
        <v>14</v>
      </c>
      <c r="F848" t="s">
        <v>22</v>
      </c>
      <c r="G848" t="s">
        <v>17</v>
      </c>
      <c r="H848" t="s">
        <v>72</v>
      </c>
      <c r="I848" t="s">
        <v>9</v>
      </c>
      <c r="J848" t="s">
        <v>10</v>
      </c>
      <c r="K848" t="s">
        <v>26</v>
      </c>
      <c r="L848" t="s">
        <v>53</v>
      </c>
      <c r="M848" t="s">
        <v>59</v>
      </c>
      <c r="N848" t="s">
        <v>23</v>
      </c>
      <c r="O848" t="s">
        <v>18</v>
      </c>
      <c r="P848">
        <v>3</v>
      </c>
    </row>
    <row r="849" spans="1:16" x14ac:dyDescent="0.3">
      <c r="A849">
        <v>1340</v>
      </c>
      <c r="B849">
        <v>44276</v>
      </c>
      <c r="C849">
        <v>76</v>
      </c>
      <c r="D849">
        <v>16518</v>
      </c>
      <c r="E849" t="s">
        <v>14</v>
      </c>
      <c r="F849" t="s">
        <v>22</v>
      </c>
      <c r="G849" t="s">
        <v>40</v>
      </c>
      <c r="H849" t="s">
        <v>72</v>
      </c>
      <c r="I849" t="s">
        <v>9</v>
      </c>
      <c r="J849" t="s">
        <v>25</v>
      </c>
      <c r="K849" t="s">
        <v>26</v>
      </c>
      <c r="L849" t="s">
        <v>53</v>
      </c>
      <c r="M849" t="s">
        <v>38</v>
      </c>
      <c r="N849" t="s">
        <v>16</v>
      </c>
      <c r="O849" t="s">
        <v>18</v>
      </c>
      <c r="P849">
        <v>4</v>
      </c>
    </row>
    <row r="850" spans="1:16" x14ac:dyDescent="0.3">
      <c r="A850">
        <v>1341</v>
      </c>
      <c r="B850">
        <v>44503</v>
      </c>
      <c r="C850">
        <v>42</v>
      </c>
      <c r="D850">
        <v>28908</v>
      </c>
      <c r="E850" t="s">
        <v>14</v>
      </c>
      <c r="F850" t="s">
        <v>15</v>
      </c>
      <c r="G850" t="s">
        <v>31</v>
      </c>
      <c r="H850" t="s">
        <v>85</v>
      </c>
      <c r="I850" t="s">
        <v>9</v>
      </c>
      <c r="J850" t="s">
        <v>20</v>
      </c>
      <c r="K850" t="s">
        <v>11</v>
      </c>
      <c r="L850" t="s">
        <v>87</v>
      </c>
      <c r="M850" t="s">
        <v>42</v>
      </c>
      <c r="N850" t="s">
        <v>23</v>
      </c>
      <c r="O850" t="s">
        <v>18</v>
      </c>
      <c r="P850">
        <v>3</v>
      </c>
    </row>
    <row r="851" spans="1:16" x14ac:dyDescent="0.3">
      <c r="A851">
        <v>1342</v>
      </c>
      <c r="B851">
        <v>43638</v>
      </c>
      <c r="C851">
        <v>34</v>
      </c>
      <c r="D851">
        <v>31228</v>
      </c>
      <c r="E851" t="s">
        <v>14</v>
      </c>
      <c r="F851" t="s">
        <v>15</v>
      </c>
      <c r="G851" t="s">
        <v>31</v>
      </c>
      <c r="H851" t="s">
        <v>96</v>
      </c>
      <c r="I851" t="s">
        <v>9</v>
      </c>
      <c r="J851" t="s">
        <v>25</v>
      </c>
      <c r="K851" t="s">
        <v>26</v>
      </c>
      <c r="L851" t="s">
        <v>90</v>
      </c>
      <c r="M851" t="s">
        <v>21</v>
      </c>
      <c r="N851" t="s">
        <v>46</v>
      </c>
      <c r="O851" t="s">
        <v>18</v>
      </c>
      <c r="P851">
        <v>2</v>
      </c>
    </row>
    <row r="852" spans="1:16" x14ac:dyDescent="0.3">
      <c r="A852">
        <v>1343</v>
      </c>
      <c r="B852">
        <v>43781</v>
      </c>
      <c r="C852">
        <v>61</v>
      </c>
      <c r="D852">
        <v>21336</v>
      </c>
      <c r="E852" t="s">
        <v>14</v>
      </c>
      <c r="F852" t="s">
        <v>15</v>
      </c>
      <c r="G852" t="s">
        <v>34</v>
      </c>
      <c r="H852" t="s">
        <v>96</v>
      </c>
      <c r="I852" t="s">
        <v>9</v>
      </c>
      <c r="J852" t="s">
        <v>10</v>
      </c>
      <c r="K852" t="s">
        <v>26</v>
      </c>
      <c r="L852" t="s">
        <v>90</v>
      </c>
      <c r="M852" t="s">
        <v>58</v>
      </c>
      <c r="N852" t="s">
        <v>16</v>
      </c>
      <c r="O852" t="s">
        <v>18</v>
      </c>
      <c r="P852">
        <v>2</v>
      </c>
    </row>
    <row r="853" spans="1:16" x14ac:dyDescent="0.3">
      <c r="A853">
        <v>1344</v>
      </c>
      <c r="B853">
        <v>44824</v>
      </c>
      <c r="C853">
        <v>42</v>
      </c>
      <c r="D853">
        <v>29576</v>
      </c>
      <c r="E853" t="s">
        <v>14</v>
      </c>
      <c r="F853" t="s">
        <v>22</v>
      </c>
      <c r="G853" t="s">
        <v>31</v>
      </c>
      <c r="H853" t="s">
        <v>96</v>
      </c>
      <c r="I853" t="s">
        <v>9</v>
      </c>
      <c r="J853" t="s">
        <v>20</v>
      </c>
      <c r="K853" t="s">
        <v>19</v>
      </c>
      <c r="L853" t="s">
        <v>90</v>
      </c>
      <c r="M853" t="s">
        <v>32</v>
      </c>
      <c r="N853" t="s">
        <v>16</v>
      </c>
      <c r="O853" t="s">
        <v>18</v>
      </c>
      <c r="P853">
        <v>4</v>
      </c>
    </row>
    <row r="854" spans="1:16" x14ac:dyDescent="0.3">
      <c r="A854">
        <v>1345</v>
      </c>
      <c r="B854">
        <v>44953</v>
      </c>
      <c r="C854">
        <v>45</v>
      </c>
      <c r="D854">
        <v>28623</v>
      </c>
      <c r="E854" t="s">
        <v>14</v>
      </c>
      <c r="F854" t="s">
        <v>22</v>
      </c>
      <c r="G854" t="s">
        <v>31</v>
      </c>
      <c r="H854" t="s">
        <v>72</v>
      </c>
      <c r="I854" t="s">
        <v>9</v>
      </c>
      <c r="J854" t="s">
        <v>25</v>
      </c>
      <c r="K854" t="s">
        <v>19</v>
      </c>
      <c r="L854" t="s">
        <v>90</v>
      </c>
      <c r="M854" t="s">
        <v>55</v>
      </c>
      <c r="N854" t="s">
        <v>30</v>
      </c>
      <c r="O854" t="s">
        <v>18</v>
      </c>
      <c r="P854">
        <v>4</v>
      </c>
    </row>
    <row r="855" spans="1:16" x14ac:dyDescent="0.3">
      <c r="A855">
        <v>1346</v>
      </c>
      <c r="B855">
        <v>44248</v>
      </c>
      <c r="C855">
        <v>73</v>
      </c>
      <c r="D855">
        <v>17789</v>
      </c>
      <c r="E855" t="s">
        <v>14</v>
      </c>
      <c r="F855" t="s">
        <v>22</v>
      </c>
      <c r="G855" t="s">
        <v>40</v>
      </c>
      <c r="H855" t="s">
        <v>72</v>
      </c>
      <c r="I855" t="s">
        <v>9</v>
      </c>
      <c r="J855" t="s">
        <v>10</v>
      </c>
      <c r="K855" t="s">
        <v>11</v>
      </c>
      <c r="L855" t="s">
        <v>53</v>
      </c>
      <c r="M855" t="s">
        <v>35</v>
      </c>
      <c r="N855" t="s">
        <v>16</v>
      </c>
      <c r="O855" t="s">
        <v>18</v>
      </c>
      <c r="P855">
        <v>2</v>
      </c>
    </row>
    <row r="856" spans="1:16" x14ac:dyDescent="0.3">
      <c r="A856">
        <v>1347</v>
      </c>
      <c r="B856">
        <v>44624</v>
      </c>
      <c r="C856">
        <v>27</v>
      </c>
      <c r="D856">
        <v>34779</v>
      </c>
      <c r="E856" t="s">
        <v>14</v>
      </c>
      <c r="F856" t="s">
        <v>22</v>
      </c>
      <c r="G856" t="s">
        <v>34</v>
      </c>
      <c r="H856" t="s">
        <v>72</v>
      </c>
      <c r="I856" t="s">
        <v>9</v>
      </c>
      <c r="J856" t="s">
        <v>20</v>
      </c>
      <c r="K856" t="s">
        <v>26</v>
      </c>
      <c r="L856" t="s">
        <v>53</v>
      </c>
      <c r="M856" t="s">
        <v>32</v>
      </c>
      <c r="N856" t="s">
        <v>23</v>
      </c>
      <c r="O856" t="s">
        <v>18</v>
      </c>
      <c r="P856">
        <v>3</v>
      </c>
    </row>
    <row r="857" spans="1:16" x14ac:dyDescent="0.3">
      <c r="A857">
        <v>1349</v>
      </c>
      <c r="B857">
        <v>44410</v>
      </c>
      <c r="C857">
        <v>72</v>
      </c>
      <c r="D857">
        <v>18229</v>
      </c>
      <c r="E857" t="s">
        <v>14</v>
      </c>
      <c r="F857" t="s">
        <v>15</v>
      </c>
      <c r="G857" t="s">
        <v>40</v>
      </c>
      <c r="H857" t="s">
        <v>96</v>
      </c>
      <c r="I857" t="s">
        <v>9</v>
      </c>
      <c r="J857" t="s">
        <v>25</v>
      </c>
      <c r="K857" t="s">
        <v>26</v>
      </c>
      <c r="L857" t="s">
        <v>90</v>
      </c>
      <c r="M857" t="s">
        <v>93</v>
      </c>
      <c r="N857" t="s">
        <v>16</v>
      </c>
      <c r="O857" t="s">
        <v>18</v>
      </c>
      <c r="P857">
        <v>2</v>
      </c>
    </row>
    <row r="858" spans="1:16" x14ac:dyDescent="0.3">
      <c r="A858">
        <v>1350</v>
      </c>
      <c r="B858">
        <v>44624</v>
      </c>
      <c r="C858">
        <v>54</v>
      </c>
      <c r="D858">
        <v>25144</v>
      </c>
      <c r="E858" t="s">
        <v>14</v>
      </c>
      <c r="F858" t="s">
        <v>15</v>
      </c>
      <c r="G858" t="s">
        <v>40</v>
      </c>
      <c r="H858" t="s">
        <v>96</v>
      </c>
      <c r="I858" t="s">
        <v>9</v>
      </c>
      <c r="J858" t="s">
        <v>20</v>
      </c>
      <c r="K858" t="s">
        <v>26</v>
      </c>
      <c r="L858" t="s">
        <v>90</v>
      </c>
      <c r="M858" t="s">
        <v>35</v>
      </c>
      <c r="N858" t="s">
        <v>37</v>
      </c>
      <c r="O858" t="s">
        <v>18</v>
      </c>
      <c r="P858">
        <v>4</v>
      </c>
    </row>
    <row r="859" spans="1:16" x14ac:dyDescent="0.3">
      <c r="A859">
        <v>1351</v>
      </c>
      <c r="B859">
        <v>44283</v>
      </c>
      <c r="C859">
        <v>23</v>
      </c>
      <c r="D859">
        <v>35859</v>
      </c>
      <c r="E859" t="s">
        <v>14</v>
      </c>
      <c r="F859" t="s">
        <v>22</v>
      </c>
      <c r="G859" t="s">
        <v>40</v>
      </c>
      <c r="H859" t="s">
        <v>96</v>
      </c>
      <c r="I859" t="s">
        <v>9</v>
      </c>
      <c r="J859" t="s">
        <v>10</v>
      </c>
      <c r="K859" t="s">
        <v>11</v>
      </c>
      <c r="L859" t="s">
        <v>90</v>
      </c>
      <c r="M859" t="s">
        <v>35</v>
      </c>
      <c r="N859" t="s">
        <v>16</v>
      </c>
      <c r="O859" t="s">
        <v>18</v>
      </c>
      <c r="P859">
        <v>1</v>
      </c>
    </row>
    <row r="860" spans="1:16" x14ac:dyDescent="0.3">
      <c r="A860">
        <v>1352</v>
      </c>
      <c r="B860">
        <v>43320</v>
      </c>
      <c r="C860">
        <v>44</v>
      </c>
      <c r="D860">
        <v>27198</v>
      </c>
      <c r="E860" t="s">
        <v>14</v>
      </c>
      <c r="F860" t="s">
        <v>22</v>
      </c>
      <c r="G860" t="s">
        <v>40</v>
      </c>
      <c r="H860" t="s">
        <v>72</v>
      </c>
      <c r="I860" t="s">
        <v>9</v>
      </c>
      <c r="J860" t="s">
        <v>10</v>
      </c>
      <c r="K860" t="s">
        <v>26</v>
      </c>
      <c r="L860" t="s">
        <v>90</v>
      </c>
      <c r="M860" t="s">
        <v>35</v>
      </c>
      <c r="N860" t="s">
        <v>30</v>
      </c>
      <c r="O860" t="s">
        <v>18</v>
      </c>
      <c r="P860">
        <v>2</v>
      </c>
    </row>
    <row r="861" spans="1:16" x14ac:dyDescent="0.3">
      <c r="A861">
        <v>1353</v>
      </c>
      <c r="B861">
        <v>44089</v>
      </c>
      <c r="C861">
        <v>74</v>
      </c>
      <c r="D861">
        <v>16865</v>
      </c>
      <c r="E861" t="s">
        <v>14</v>
      </c>
      <c r="F861" t="s">
        <v>22</v>
      </c>
      <c r="G861" t="s">
        <v>31</v>
      </c>
      <c r="H861" t="s">
        <v>72</v>
      </c>
      <c r="I861" t="s">
        <v>9</v>
      </c>
      <c r="J861" t="s">
        <v>20</v>
      </c>
      <c r="K861" t="s">
        <v>19</v>
      </c>
      <c r="L861" t="s">
        <v>53</v>
      </c>
      <c r="M861" t="s">
        <v>35</v>
      </c>
      <c r="N861" t="s">
        <v>16</v>
      </c>
      <c r="O861" t="s">
        <v>18</v>
      </c>
      <c r="P861">
        <v>1</v>
      </c>
    </row>
    <row r="862" spans="1:16" x14ac:dyDescent="0.3">
      <c r="A862">
        <v>1355</v>
      </c>
      <c r="B862">
        <v>44363</v>
      </c>
      <c r="C862">
        <v>76</v>
      </c>
      <c r="D862">
        <v>16577</v>
      </c>
      <c r="E862" t="s">
        <v>14</v>
      </c>
      <c r="F862" t="s">
        <v>15</v>
      </c>
      <c r="G862" t="s">
        <v>31</v>
      </c>
      <c r="H862" t="s">
        <v>95</v>
      </c>
      <c r="I862" t="s">
        <v>9</v>
      </c>
      <c r="J862" t="s">
        <v>25</v>
      </c>
      <c r="K862" t="s">
        <v>26</v>
      </c>
      <c r="L862" t="s">
        <v>90</v>
      </c>
      <c r="M862" t="s">
        <v>32</v>
      </c>
      <c r="N862" t="s">
        <v>23</v>
      </c>
      <c r="O862" t="s">
        <v>18</v>
      </c>
      <c r="P862">
        <v>2</v>
      </c>
    </row>
    <row r="863" spans="1:16" x14ac:dyDescent="0.3">
      <c r="A863">
        <v>1356</v>
      </c>
      <c r="B863">
        <v>45005</v>
      </c>
      <c r="C863">
        <v>35</v>
      </c>
      <c r="D863">
        <v>32306</v>
      </c>
      <c r="E863" t="s">
        <v>14</v>
      </c>
      <c r="F863" t="s">
        <v>15</v>
      </c>
      <c r="G863" t="s">
        <v>34</v>
      </c>
      <c r="H863" t="s">
        <v>96</v>
      </c>
      <c r="I863" t="s">
        <v>9</v>
      </c>
      <c r="J863" t="s">
        <v>20</v>
      </c>
      <c r="K863" t="s">
        <v>19</v>
      </c>
      <c r="L863" t="s">
        <v>90</v>
      </c>
      <c r="M863" t="s">
        <v>42</v>
      </c>
      <c r="N863" t="s">
        <v>23</v>
      </c>
      <c r="O863" t="s">
        <v>18</v>
      </c>
      <c r="P863">
        <v>1</v>
      </c>
    </row>
    <row r="864" spans="1:16" x14ac:dyDescent="0.3">
      <c r="A864">
        <v>1357</v>
      </c>
      <c r="B864">
        <v>43350</v>
      </c>
      <c r="C864">
        <v>46</v>
      </c>
      <c r="D864">
        <v>26484</v>
      </c>
      <c r="E864" t="s">
        <v>14</v>
      </c>
      <c r="F864" t="s">
        <v>22</v>
      </c>
      <c r="G864" t="s">
        <v>40</v>
      </c>
      <c r="H864" t="s">
        <v>96</v>
      </c>
      <c r="I864" t="s">
        <v>9</v>
      </c>
      <c r="J864" t="s">
        <v>25</v>
      </c>
      <c r="K864" t="s">
        <v>11</v>
      </c>
      <c r="L864" t="s">
        <v>90</v>
      </c>
      <c r="M864" t="s">
        <v>42</v>
      </c>
      <c r="N864" t="s">
        <v>37</v>
      </c>
      <c r="O864" t="s">
        <v>18</v>
      </c>
      <c r="P864">
        <v>4</v>
      </c>
    </row>
    <row r="865" spans="1:16" x14ac:dyDescent="0.3">
      <c r="A865">
        <v>1358</v>
      </c>
      <c r="B865">
        <v>43412</v>
      </c>
      <c r="C865">
        <v>22</v>
      </c>
      <c r="D865">
        <v>35153</v>
      </c>
      <c r="E865" t="s">
        <v>14</v>
      </c>
      <c r="F865" t="s">
        <v>22</v>
      </c>
      <c r="G865" t="s">
        <v>34</v>
      </c>
      <c r="H865" t="s">
        <v>96</v>
      </c>
      <c r="I865" t="s">
        <v>9</v>
      </c>
      <c r="J865" t="s">
        <v>20</v>
      </c>
      <c r="K865" t="s">
        <v>26</v>
      </c>
      <c r="L865" t="s">
        <v>90</v>
      </c>
      <c r="M865" t="s">
        <v>35</v>
      </c>
      <c r="N865" t="s">
        <v>37</v>
      </c>
      <c r="O865" t="s">
        <v>18</v>
      </c>
      <c r="P865">
        <v>2</v>
      </c>
    </row>
    <row r="866" spans="1:16" x14ac:dyDescent="0.3">
      <c r="A866">
        <v>1359</v>
      </c>
      <c r="B866">
        <v>43491</v>
      </c>
      <c r="C866">
        <v>21</v>
      </c>
      <c r="D866">
        <v>35873</v>
      </c>
      <c r="E866" t="s">
        <v>14</v>
      </c>
      <c r="F866" t="s">
        <v>22</v>
      </c>
      <c r="G866" t="s">
        <v>34</v>
      </c>
      <c r="H866" t="s">
        <v>72</v>
      </c>
      <c r="I866" t="s">
        <v>9</v>
      </c>
      <c r="J866" t="s">
        <v>25</v>
      </c>
      <c r="K866" t="s">
        <v>19</v>
      </c>
      <c r="L866" t="s">
        <v>90</v>
      </c>
      <c r="M866" t="s">
        <v>60</v>
      </c>
      <c r="N866" t="s">
        <v>46</v>
      </c>
      <c r="O866" t="s">
        <v>18</v>
      </c>
      <c r="P866">
        <v>5</v>
      </c>
    </row>
    <row r="867" spans="1:16" x14ac:dyDescent="0.3">
      <c r="A867">
        <v>1360</v>
      </c>
      <c r="B867">
        <v>44438</v>
      </c>
      <c r="C867">
        <v>57</v>
      </c>
      <c r="D867">
        <v>23645</v>
      </c>
      <c r="E867" t="s">
        <v>14</v>
      </c>
      <c r="F867" t="s">
        <v>22</v>
      </c>
      <c r="G867" t="s">
        <v>40</v>
      </c>
      <c r="H867" t="s">
        <v>72</v>
      </c>
      <c r="I867" t="s">
        <v>9</v>
      </c>
      <c r="J867" t="s">
        <v>10</v>
      </c>
      <c r="K867" t="s">
        <v>26</v>
      </c>
      <c r="L867" t="s">
        <v>53</v>
      </c>
      <c r="M867" t="s">
        <v>35</v>
      </c>
      <c r="N867" t="s">
        <v>46</v>
      </c>
      <c r="O867" t="s">
        <v>65</v>
      </c>
      <c r="P867">
        <v>2</v>
      </c>
    </row>
    <row r="868" spans="1:16" x14ac:dyDescent="0.3">
      <c r="A868">
        <v>1362</v>
      </c>
      <c r="B868">
        <v>43779</v>
      </c>
      <c r="C868">
        <v>36</v>
      </c>
      <c r="D868">
        <v>30600</v>
      </c>
      <c r="E868" t="s">
        <v>14</v>
      </c>
      <c r="F868" t="s">
        <v>15</v>
      </c>
      <c r="G868" t="s">
        <v>17</v>
      </c>
      <c r="H868" t="s">
        <v>95</v>
      </c>
      <c r="I868" t="s">
        <v>9</v>
      </c>
      <c r="J868" t="s">
        <v>25</v>
      </c>
      <c r="K868" t="s">
        <v>11</v>
      </c>
      <c r="L868" t="s">
        <v>90</v>
      </c>
      <c r="M868" t="s">
        <v>32</v>
      </c>
      <c r="N868" t="s">
        <v>46</v>
      </c>
      <c r="O868" t="s">
        <v>41</v>
      </c>
      <c r="P868">
        <v>2</v>
      </c>
    </row>
    <row r="869" spans="1:16" x14ac:dyDescent="0.3">
      <c r="A869">
        <v>1363</v>
      </c>
      <c r="B869">
        <v>45135</v>
      </c>
      <c r="C869">
        <v>41</v>
      </c>
      <c r="D869">
        <v>30062</v>
      </c>
      <c r="E869" t="s">
        <v>14</v>
      </c>
      <c r="F869" t="s">
        <v>15</v>
      </c>
      <c r="G869" t="s">
        <v>40</v>
      </c>
      <c r="H869" t="s">
        <v>96</v>
      </c>
      <c r="I869" t="s">
        <v>9</v>
      </c>
      <c r="J869" t="s">
        <v>25</v>
      </c>
      <c r="K869" t="s">
        <v>19</v>
      </c>
      <c r="L869" t="s">
        <v>90</v>
      </c>
      <c r="M869" t="s">
        <v>32</v>
      </c>
      <c r="N869" t="s">
        <v>46</v>
      </c>
      <c r="O869" t="s">
        <v>65</v>
      </c>
      <c r="P869">
        <v>2</v>
      </c>
    </row>
    <row r="870" spans="1:16" x14ac:dyDescent="0.3">
      <c r="A870">
        <v>1364</v>
      </c>
      <c r="B870">
        <v>43558</v>
      </c>
      <c r="C870">
        <v>46</v>
      </c>
      <c r="D870">
        <v>26684</v>
      </c>
      <c r="E870" t="s">
        <v>14</v>
      </c>
      <c r="F870" t="s">
        <v>22</v>
      </c>
      <c r="G870" t="s">
        <v>40</v>
      </c>
      <c r="H870" t="s">
        <v>96</v>
      </c>
      <c r="I870" t="s">
        <v>9</v>
      </c>
      <c r="J870" t="s">
        <v>10</v>
      </c>
      <c r="K870" t="s">
        <v>11</v>
      </c>
      <c r="L870" t="s">
        <v>90</v>
      </c>
      <c r="M870" t="s">
        <v>13</v>
      </c>
      <c r="N870" t="s">
        <v>16</v>
      </c>
      <c r="O870" t="s">
        <v>41</v>
      </c>
      <c r="P870">
        <v>2</v>
      </c>
    </row>
    <row r="871" spans="1:16" x14ac:dyDescent="0.3">
      <c r="A871">
        <v>1365</v>
      </c>
      <c r="B871">
        <v>43670</v>
      </c>
      <c r="C871">
        <v>37</v>
      </c>
      <c r="D871">
        <v>30145</v>
      </c>
      <c r="E871" t="s">
        <v>14</v>
      </c>
      <c r="F871" t="s">
        <v>22</v>
      </c>
      <c r="G871" t="s">
        <v>17</v>
      </c>
      <c r="H871" t="s">
        <v>96</v>
      </c>
      <c r="I871" t="s">
        <v>9</v>
      </c>
      <c r="J871" t="s">
        <v>10</v>
      </c>
      <c r="K871" t="s">
        <v>11</v>
      </c>
      <c r="L871" t="s">
        <v>90</v>
      </c>
      <c r="M871" t="s">
        <v>35</v>
      </c>
      <c r="N871" t="s">
        <v>23</v>
      </c>
      <c r="O871" t="s">
        <v>41</v>
      </c>
      <c r="P871">
        <v>1</v>
      </c>
    </row>
    <row r="872" spans="1:16" x14ac:dyDescent="0.3">
      <c r="A872">
        <v>1366</v>
      </c>
      <c r="B872">
        <v>44680</v>
      </c>
      <c r="C872">
        <v>72</v>
      </c>
      <c r="D872">
        <v>18278</v>
      </c>
      <c r="E872" t="s">
        <v>14</v>
      </c>
      <c r="F872" t="s">
        <v>22</v>
      </c>
      <c r="G872" t="s">
        <v>31</v>
      </c>
      <c r="H872" t="s">
        <v>72</v>
      </c>
      <c r="I872" t="s">
        <v>9</v>
      </c>
      <c r="J872" t="s">
        <v>10</v>
      </c>
      <c r="K872" t="s">
        <v>26</v>
      </c>
      <c r="L872" t="s">
        <v>53</v>
      </c>
      <c r="M872" t="s">
        <v>32</v>
      </c>
      <c r="N872" t="s">
        <v>37</v>
      </c>
      <c r="O872" t="s">
        <v>41</v>
      </c>
      <c r="P872">
        <v>4</v>
      </c>
    </row>
    <row r="873" spans="1:16" x14ac:dyDescent="0.3">
      <c r="A873">
        <v>1367</v>
      </c>
      <c r="B873">
        <v>44110</v>
      </c>
      <c r="C873">
        <v>30</v>
      </c>
      <c r="D873">
        <v>33097</v>
      </c>
      <c r="E873" t="s">
        <v>14</v>
      </c>
      <c r="F873" t="s">
        <v>15</v>
      </c>
      <c r="G873" t="s">
        <v>40</v>
      </c>
      <c r="H873" t="s">
        <v>72</v>
      </c>
      <c r="I873" t="s">
        <v>9</v>
      </c>
      <c r="J873" t="s">
        <v>20</v>
      </c>
      <c r="K873" t="s">
        <v>26</v>
      </c>
      <c r="L873" t="s">
        <v>53</v>
      </c>
      <c r="M873" t="s">
        <v>44</v>
      </c>
      <c r="N873" t="s">
        <v>16</v>
      </c>
      <c r="O873" t="s">
        <v>41</v>
      </c>
      <c r="P873">
        <v>4</v>
      </c>
    </row>
    <row r="874" spans="1:16" x14ac:dyDescent="0.3">
      <c r="A874">
        <v>1368</v>
      </c>
      <c r="B874">
        <v>43925</v>
      </c>
      <c r="C874">
        <v>27</v>
      </c>
      <c r="D874">
        <v>34207</v>
      </c>
      <c r="E874" t="s">
        <v>14</v>
      </c>
      <c r="F874" t="s">
        <v>15</v>
      </c>
      <c r="G874" t="s">
        <v>17</v>
      </c>
      <c r="H874" t="s">
        <v>84</v>
      </c>
      <c r="I874" t="s">
        <v>9</v>
      </c>
      <c r="J874" t="s">
        <v>20</v>
      </c>
      <c r="K874" t="s">
        <v>11</v>
      </c>
      <c r="L874" t="s">
        <v>90</v>
      </c>
      <c r="M874" t="s">
        <v>28</v>
      </c>
      <c r="N874" t="s">
        <v>16</v>
      </c>
      <c r="O874" t="s">
        <v>41</v>
      </c>
      <c r="P874">
        <v>2</v>
      </c>
    </row>
    <row r="875" spans="1:16" x14ac:dyDescent="0.3">
      <c r="A875">
        <v>1369</v>
      </c>
      <c r="B875">
        <v>44281</v>
      </c>
      <c r="C875">
        <v>47</v>
      </c>
      <c r="D875">
        <v>27112</v>
      </c>
      <c r="E875" t="s">
        <v>14</v>
      </c>
      <c r="F875" t="s">
        <v>15</v>
      </c>
      <c r="G875" t="s">
        <v>34</v>
      </c>
      <c r="H875" t="s">
        <v>95</v>
      </c>
      <c r="I875" t="s">
        <v>9</v>
      </c>
      <c r="J875" t="s">
        <v>10</v>
      </c>
      <c r="K875" t="s">
        <v>11</v>
      </c>
      <c r="L875" t="s">
        <v>27</v>
      </c>
      <c r="M875" t="s">
        <v>21</v>
      </c>
      <c r="N875" t="s">
        <v>37</v>
      </c>
      <c r="O875" t="s">
        <v>41</v>
      </c>
      <c r="P875">
        <v>4</v>
      </c>
    </row>
    <row r="876" spans="1:16" x14ac:dyDescent="0.3">
      <c r="A876">
        <v>1370</v>
      </c>
      <c r="B876">
        <v>44700</v>
      </c>
      <c r="C876">
        <v>30</v>
      </c>
      <c r="D876">
        <v>33951</v>
      </c>
      <c r="E876" t="s">
        <v>14</v>
      </c>
      <c r="F876" t="s">
        <v>15</v>
      </c>
      <c r="G876" t="s">
        <v>34</v>
      </c>
      <c r="H876" t="s">
        <v>95</v>
      </c>
      <c r="I876" t="s">
        <v>9</v>
      </c>
      <c r="J876" t="s">
        <v>20</v>
      </c>
      <c r="K876" t="s">
        <v>19</v>
      </c>
      <c r="L876" t="s">
        <v>90</v>
      </c>
      <c r="M876" t="s">
        <v>32</v>
      </c>
      <c r="N876" t="s">
        <v>37</v>
      </c>
      <c r="O876" t="s">
        <v>41</v>
      </c>
      <c r="P876">
        <v>2</v>
      </c>
    </row>
    <row r="877" spans="1:16" x14ac:dyDescent="0.3">
      <c r="A877">
        <v>1371</v>
      </c>
      <c r="B877">
        <v>44436</v>
      </c>
      <c r="C877">
        <v>64</v>
      </c>
      <c r="D877">
        <v>20947</v>
      </c>
      <c r="E877" t="s">
        <v>14</v>
      </c>
      <c r="F877" t="s">
        <v>15</v>
      </c>
      <c r="G877" t="s">
        <v>34</v>
      </c>
      <c r="H877" t="s">
        <v>96</v>
      </c>
      <c r="I877" t="s">
        <v>9</v>
      </c>
      <c r="J877" t="s">
        <v>10</v>
      </c>
      <c r="K877" t="s">
        <v>19</v>
      </c>
      <c r="L877" t="s">
        <v>90</v>
      </c>
      <c r="M877" t="s">
        <v>35</v>
      </c>
      <c r="N877" t="s">
        <v>37</v>
      </c>
      <c r="O877" t="s">
        <v>41</v>
      </c>
      <c r="P877">
        <v>1</v>
      </c>
    </row>
    <row r="878" spans="1:16" x14ac:dyDescent="0.3">
      <c r="A878">
        <v>1372</v>
      </c>
      <c r="B878">
        <v>44889</v>
      </c>
      <c r="C878">
        <v>31</v>
      </c>
      <c r="D878">
        <v>33469</v>
      </c>
      <c r="E878" t="s">
        <v>14</v>
      </c>
      <c r="F878" t="s">
        <v>22</v>
      </c>
      <c r="G878" t="s">
        <v>31</v>
      </c>
      <c r="H878" t="s">
        <v>96</v>
      </c>
      <c r="I878" t="s">
        <v>9</v>
      </c>
      <c r="J878" t="s">
        <v>10</v>
      </c>
      <c r="K878" t="s">
        <v>19</v>
      </c>
      <c r="L878" t="s">
        <v>90</v>
      </c>
      <c r="M878" t="s">
        <v>21</v>
      </c>
      <c r="N878" t="s">
        <v>16</v>
      </c>
      <c r="O878" t="s">
        <v>41</v>
      </c>
      <c r="P878">
        <v>1</v>
      </c>
    </row>
    <row r="879" spans="1:16" x14ac:dyDescent="0.3">
      <c r="A879">
        <v>1373</v>
      </c>
      <c r="B879">
        <v>44573</v>
      </c>
      <c r="C879">
        <v>36</v>
      </c>
      <c r="D879">
        <v>31522</v>
      </c>
      <c r="E879" t="s">
        <v>14</v>
      </c>
      <c r="F879" t="s">
        <v>22</v>
      </c>
      <c r="G879" t="s">
        <v>40</v>
      </c>
      <c r="H879" t="s">
        <v>96</v>
      </c>
      <c r="I879" t="s">
        <v>9</v>
      </c>
      <c r="J879" t="s">
        <v>10</v>
      </c>
      <c r="K879" t="s">
        <v>19</v>
      </c>
      <c r="L879" t="s">
        <v>90</v>
      </c>
      <c r="M879" t="s">
        <v>35</v>
      </c>
      <c r="N879" t="s">
        <v>30</v>
      </c>
      <c r="O879" t="s">
        <v>41</v>
      </c>
      <c r="P879">
        <v>2</v>
      </c>
    </row>
    <row r="880" spans="1:16" x14ac:dyDescent="0.3">
      <c r="A880">
        <v>1374</v>
      </c>
      <c r="B880">
        <v>43653</v>
      </c>
      <c r="C880">
        <v>77</v>
      </c>
      <c r="D880">
        <v>15596</v>
      </c>
      <c r="E880" t="s">
        <v>14</v>
      </c>
      <c r="F880" t="s">
        <v>15</v>
      </c>
      <c r="G880" t="s">
        <v>34</v>
      </c>
      <c r="H880" t="s">
        <v>72</v>
      </c>
      <c r="I880" t="s">
        <v>9</v>
      </c>
      <c r="J880" t="s">
        <v>20</v>
      </c>
      <c r="K880" t="s">
        <v>26</v>
      </c>
      <c r="L880" t="s">
        <v>53</v>
      </c>
      <c r="M880" t="s">
        <v>21</v>
      </c>
      <c r="N880" t="s">
        <v>16</v>
      </c>
      <c r="O880" t="s">
        <v>41</v>
      </c>
      <c r="P880">
        <v>5</v>
      </c>
    </row>
    <row r="881" spans="1:16" x14ac:dyDescent="0.3">
      <c r="A881">
        <v>1375</v>
      </c>
      <c r="B881">
        <v>44391</v>
      </c>
      <c r="C881">
        <v>22</v>
      </c>
      <c r="D881">
        <v>36348</v>
      </c>
      <c r="E881" t="s">
        <v>14</v>
      </c>
      <c r="F881" t="s">
        <v>15</v>
      </c>
      <c r="G881" t="s">
        <v>40</v>
      </c>
      <c r="H881" t="s">
        <v>84</v>
      </c>
      <c r="I881" t="s">
        <v>9</v>
      </c>
      <c r="J881" t="s">
        <v>10</v>
      </c>
      <c r="K881" t="s">
        <v>26</v>
      </c>
      <c r="L881" t="s">
        <v>90</v>
      </c>
      <c r="M881" t="s">
        <v>68</v>
      </c>
      <c r="N881" t="s">
        <v>46</v>
      </c>
      <c r="O881" t="s">
        <v>41</v>
      </c>
      <c r="P881">
        <v>3</v>
      </c>
    </row>
    <row r="882" spans="1:16" x14ac:dyDescent="0.3">
      <c r="A882">
        <v>1376</v>
      </c>
      <c r="B882">
        <v>43802</v>
      </c>
      <c r="C882">
        <v>61</v>
      </c>
      <c r="D882">
        <v>21527</v>
      </c>
      <c r="E882" t="s">
        <v>14</v>
      </c>
      <c r="F882" t="s">
        <v>15</v>
      </c>
      <c r="G882" t="s">
        <v>31</v>
      </c>
      <c r="H882" t="s">
        <v>95</v>
      </c>
      <c r="I882" t="s">
        <v>9</v>
      </c>
      <c r="J882" t="s">
        <v>25</v>
      </c>
      <c r="K882" t="s">
        <v>26</v>
      </c>
      <c r="L882" t="s">
        <v>27</v>
      </c>
      <c r="M882" t="s">
        <v>35</v>
      </c>
      <c r="N882" t="s">
        <v>30</v>
      </c>
      <c r="O882" t="s">
        <v>41</v>
      </c>
      <c r="P882">
        <v>3</v>
      </c>
    </row>
    <row r="883" spans="1:16" x14ac:dyDescent="0.3">
      <c r="A883">
        <v>1377</v>
      </c>
      <c r="B883">
        <v>44258</v>
      </c>
      <c r="C883">
        <v>53</v>
      </c>
      <c r="D883">
        <v>24976</v>
      </c>
      <c r="E883" t="s">
        <v>14</v>
      </c>
      <c r="F883" t="s">
        <v>15</v>
      </c>
      <c r="G883" t="s">
        <v>40</v>
      </c>
      <c r="H883" t="s">
        <v>95</v>
      </c>
      <c r="I883" t="s">
        <v>9</v>
      </c>
      <c r="J883" t="s">
        <v>20</v>
      </c>
      <c r="K883" t="s">
        <v>19</v>
      </c>
      <c r="L883" t="s">
        <v>90</v>
      </c>
      <c r="M883" t="s">
        <v>32</v>
      </c>
      <c r="N883" t="s">
        <v>16</v>
      </c>
      <c r="O883" t="s">
        <v>41</v>
      </c>
      <c r="P883">
        <v>5</v>
      </c>
    </row>
    <row r="884" spans="1:16" x14ac:dyDescent="0.3">
      <c r="A884">
        <v>1378</v>
      </c>
      <c r="B884">
        <v>44725</v>
      </c>
      <c r="C884">
        <v>47</v>
      </c>
      <c r="D884">
        <v>27459</v>
      </c>
      <c r="E884" t="s">
        <v>14</v>
      </c>
      <c r="F884" t="s">
        <v>15</v>
      </c>
      <c r="G884" t="s">
        <v>34</v>
      </c>
      <c r="H884" t="s">
        <v>96</v>
      </c>
      <c r="I884" t="s">
        <v>9</v>
      </c>
      <c r="J884" t="s">
        <v>25</v>
      </c>
      <c r="K884" t="s">
        <v>11</v>
      </c>
      <c r="L884" t="s">
        <v>90</v>
      </c>
      <c r="M884" t="s">
        <v>55</v>
      </c>
      <c r="N884" t="s">
        <v>16</v>
      </c>
      <c r="O884" t="s">
        <v>65</v>
      </c>
      <c r="P884">
        <v>4</v>
      </c>
    </row>
    <row r="885" spans="1:16" x14ac:dyDescent="0.3">
      <c r="A885">
        <v>1379</v>
      </c>
      <c r="B885">
        <v>44949</v>
      </c>
      <c r="C885">
        <v>39</v>
      </c>
      <c r="D885">
        <v>30976</v>
      </c>
      <c r="E885" t="s">
        <v>14</v>
      </c>
      <c r="F885" t="s">
        <v>22</v>
      </c>
      <c r="G885" t="s">
        <v>17</v>
      </c>
      <c r="H885" t="s">
        <v>96</v>
      </c>
      <c r="I885" t="s">
        <v>9</v>
      </c>
      <c r="J885" t="s">
        <v>20</v>
      </c>
      <c r="K885" t="s">
        <v>19</v>
      </c>
      <c r="L885" t="s">
        <v>90</v>
      </c>
      <c r="M885" t="s">
        <v>28</v>
      </c>
      <c r="N885" t="s">
        <v>16</v>
      </c>
      <c r="O885" t="s">
        <v>41</v>
      </c>
      <c r="P885">
        <v>2</v>
      </c>
    </row>
    <row r="886" spans="1:16" x14ac:dyDescent="0.3">
      <c r="A886">
        <v>1380</v>
      </c>
      <c r="B886">
        <v>44080</v>
      </c>
      <c r="C886">
        <v>67</v>
      </c>
      <c r="D886">
        <v>19483</v>
      </c>
      <c r="E886" t="s">
        <v>14</v>
      </c>
      <c r="F886" t="s">
        <v>22</v>
      </c>
      <c r="G886" t="s">
        <v>31</v>
      </c>
      <c r="H886" t="s">
        <v>96</v>
      </c>
      <c r="I886" t="s">
        <v>9</v>
      </c>
      <c r="J886" t="s">
        <v>20</v>
      </c>
      <c r="K886" t="s">
        <v>19</v>
      </c>
      <c r="L886" t="s">
        <v>90</v>
      </c>
      <c r="M886" t="s">
        <v>35</v>
      </c>
      <c r="N886" t="s">
        <v>23</v>
      </c>
      <c r="O886" t="s">
        <v>41</v>
      </c>
      <c r="P886">
        <v>1</v>
      </c>
    </row>
    <row r="887" spans="1:16" x14ac:dyDescent="0.3">
      <c r="A887">
        <v>1381</v>
      </c>
      <c r="B887">
        <v>44851</v>
      </c>
      <c r="C887">
        <v>22</v>
      </c>
      <c r="D887">
        <v>36831</v>
      </c>
      <c r="E887" t="s">
        <v>14</v>
      </c>
      <c r="F887" t="s">
        <v>15</v>
      </c>
      <c r="G887" t="s">
        <v>31</v>
      </c>
      <c r="H887" t="s">
        <v>72</v>
      </c>
      <c r="I887" t="s">
        <v>9</v>
      </c>
      <c r="J887" t="s">
        <v>25</v>
      </c>
      <c r="K887" t="s">
        <v>19</v>
      </c>
      <c r="L887" t="s">
        <v>53</v>
      </c>
      <c r="M887" t="s">
        <v>21</v>
      </c>
      <c r="N887" t="s">
        <v>30</v>
      </c>
      <c r="O887" t="s">
        <v>65</v>
      </c>
      <c r="P887">
        <v>2</v>
      </c>
    </row>
    <row r="888" spans="1:16" x14ac:dyDescent="0.3">
      <c r="A888">
        <v>1382</v>
      </c>
      <c r="B888">
        <v>43623</v>
      </c>
      <c r="C888">
        <v>51</v>
      </c>
      <c r="D888">
        <v>24913</v>
      </c>
      <c r="E888" t="s">
        <v>14</v>
      </c>
      <c r="F888" t="s">
        <v>15</v>
      </c>
      <c r="G888" t="s">
        <v>17</v>
      </c>
      <c r="H888" t="s">
        <v>84</v>
      </c>
      <c r="I888" t="s">
        <v>9</v>
      </c>
      <c r="J888" t="s">
        <v>25</v>
      </c>
      <c r="K888" t="s">
        <v>26</v>
      </c>
      <c r="L888" t="s">
        <v>90</v>
      </c>
      <c r="M888" t="s">
        <v>35</v>
      </c>
      <c r="N888" t="s">
        <v>16</v>
      </c>
      <c r="O888" t="s">
        <v>41</v>
      </c>
      <c r="P888">
        <v>1</v>
      </c>
    </row>
    <row r="889" spans="1:16" x14ac:dyDescent="0.3">
      <c r="A889">
        <v>1383</v>
      </c>
      <c r="B889">
        <v>44589</v>
      </c>
      <c r="C889">
        <v>28</v>
      </c>
      <c r="D889">
        <v>34617</v>
      </c>
      <c r="E889" t="s">
        <v>14</v>
      </c>
      <c r="F889" t="s">
        <v>15</v>
      </c>
      <c r="G889" t="s">
        <v>40</v>
      </c>
      <c r="H889" t="s">
        <v>84</v>
      </c>
      <c r="I889" t="s">
        <v>9</v>
      </c>
      <c r="J889" t="s">
        <v>10</v>
      </c>
      <c r="K889" t="s">
        <v>11</v>
      </c>
      <c r="L889" t="s">
        <v>90</v>
      </c>
      <c r="M889" t="s">
        <v>32</v>
      </c>
      <c r="N889" t="s">
        <v>23</v>
      </c>
      <c r="O889" t="s">
        <v>41</v>
      </c>
      <c r="P889">
        <v>1</v>
      </c>
    </row>
    <row r="890" spans="1:16" x14ac:dyDescent="0.3">
      <c r="A890">
        <v>1384</v>
      </c>
      <c r="B890">
        <v>44013</v>
      </c>
      <c r="C890">
        <v>64</v>
      </c>
      <c r="D890">
        <v>20526</v>
      </c>
      <c r="E890" t="s">
        <v>14</v>
      </c>
      <c r="F890" t="s">
        <v>15</v>
      </c>
      <c r="G890" t="s">
        <v>31</v>
      </c>
      <c r="H890" t="s">
        <v>95</v>
      </c>
      <c r="I890" t="s">
        <v>9</v>
      </c>
      <c r="J890" t="s">
        <v>20</v>
      </c>
      <c r="K890" t="s">
        <v>26</v>
      </c>
      <c r="L890" t="s">
        <v>90</v>
      </c>
      <c r="M890" t="s">
        <v>35</v>
      </c>
      <c r="N890" t="s">
        <v>30</v>
      </c>
      <c r="O890" t="s">
        <v>65</v>
      </c>
      <c r="P890">
        <v>3</v>
      </c>
    </row>
    <row r="891" spans="1:16" x14ac:dyDescent="0.3">
      <c r="A891">
        <v>1385</v>
      </c>
      <c r="B891">
        <v>43981</v>
      </c>
      <c r="C891">
        <v>54</v>
      </c>
      <c r="D891">
        <v>24236</v>
      </c>
      <c r="E891" t="s">
        <v>14</v>
      </c>
      <c r="F891" t="s">
        <v>15</v>
      </c>
      <c r="G891" t="s">
        <v>40</v>
      </c>
      <c r="H891" t="s">
        <v>95</v>
      </c>
      <c r="I891" t="s">
        <v>9</v>
      </c>
      <c r="J891" t="s">
        <v>25</v>
      </c>
      <c r="K891" t="s">
        <v>11</v>
      </c>
      <c r="L891" t="s">
        <v>90</v>
      </c>
      <c r="M891" t="s">
        <v>35</v>
      </c>
      <c r="N891" t="s">
        <v>23</v>
      </c>
      <c r="O891" t="s">
        <v>65</v>
      </c>
      <c r="P891">
        <v>1</v>
      </c>
    </row>
    <row r="892" spans="1:16" x14ac:dyDescent="0.3">
      <c r="A892">
        <v>1386</v>
      </c>
      <c r="B892">
        <v>43743</v>
      </c>
      <c r="C892">
        <v>43</v>
      </c>
      <c r="D892">
        <v>27991</v>
      </c>
      <c r="E892" t="s">
        <v>14</v>
      </c>
      <c r="F892" t="s">
        <v>15</v>
      </c>
      <c r="G892" t="s">
        <v>34</v>
      </c>
      <c r="H892" t="s">
        <v>96</v>
      </c>
      <c r="I892" t="s">
        <v>9</v>
      </c>
      <c r="J892" t="s">
        <v>10</v>
      </c>
      <c r="K892" t="s">
        <v>11</v>
      </c>
      <c r="L892" t="s">
        <v>90</v>
      </c>
      <c r="M892" t="s">
        <v>32</v>
      </c>
      <c r="N892" t="s">
        <v>16</v>
      </c>
      <c r="O892" t="s">
        <v>41</v>
      </c>
      <c r="P892">
        <v>4</v>
      </c>
    </row>
    <row r="893" spans="1:16" x14ac:dyDescent="0.3">
      <c r="A893">
        <v>1387</v>
      </c>
      <c r="B893">
        <v>44506</v>
      </c>
      <c r="C893">
        <v>70</v>
      </c>
      <c r="D893">
        <v>18867</v>
      </c>
      <c r="E893" t="s">
        <v>14</v>
      </c>
      <c r="F893" t="s">
        <v>22</v>
      </c>
      <c r="G893" t="s">
        <v>40</v>
      </c>
      <c r="H893" t="s">
        <v>96</v>
      </c>
      <c r="I893" t="s">
        <v>9</v>
      </c>
      <c r="J893" t="s">
        <v>10</v>
      </c>
      <c r="K893" t="s">
        <v>26</v>
      </c>
      <c r="L893" t="s">
        <v>90</v>
      </c>
      <c r="M893" t="s">
        <v>32</v>
      </c>
      <c r="N893" t="s">
        <v>23</v>
      </c>
      <c r="O893" t="s">
        <v>65</v>
      </c>
      <c r="P893">
        <v>1</v>
      </c>
    </row>
    <row r="894" spans="1:16" x14ac:dyDescent="0.3">
      <c r="A894">
        <v>1388</v>
      </c>
      <c r="B894">
        <v>43594</v>
      </c>
      <c r="C894">
        <v>49</v>
      </c>
      <c r="D894">
        <v>25925</v>
      </c>
      <c r="E894" t="s">
        <v>14</v>
      </c>
      <c r="F894" t="s">
        <v>15</v>
      </c>
      <c r="G894" t="s">
        <v>31</v>
      </c>
      <c r="H894" t="s">
        <v>96</v>
      </c>
      <c r="I894" t="s">
        <v>9</v>
      </c>
      <c r="J894" t="s">
        <v>20</v>
      </c>
      <c r="K894" t="s">
        <v>26</v>
      </c>
      <c r="L894" t="s">
        <v>90</v>
      </c>
      <c r="M894" t="s">
        <v>35</v>
      </c>
      <c r="N894" t="s">
        <v>37</v>
      </c>
      <c r="O894" t="s">
        <v>41</v>
      </c>
      <c r="P894">
        <v>2</v>
      </c>
    </row>
    <row r="895" spans="1:16" x14ac:dyDescent="0.3">
      <c r="A895">
        <v>1389</v>
      </c>
      <c r="B895">
        <v>43766</v>
      </c>
      <c r="C895">
        <v>57</v>
      </c>
      <c r="D895">
        <v>22961</v>
      </c>
      <c r="E895" t="s">
        <v>14</v>
      </c>
      <c r="F895" t="s">
        <v>22</v>
      </c>
      <c r="G895" t="s">
        <v>17</v>
      </c>
      <c r="H895" t="s">
        <v>64</v>
      </c>
      <c r="I895" t="s">
        <v>9</v>
      </c>
      <c r="J895" t="s">
        <v>20</v>
      </c>
      <c r="K895" t="s">
        <v>19</v>
      </c>
      <c r="L895" t="s">
        <v>12</v>
      </c>
      <c r="M895" t="s">
        <v>92</v>
      </c>
      <c r="N895" t="s">
        <v>23</v>
      </c>
      <c r="O895" t="s">
        <v>41</v>
      </c>
      <c r="P895">
        <v>4</v>
      </c>
    </row>
    <row r="896" spans="1:16" x14ac:dyDescent="0.3">
      <c r="A896">
        <v>1390</v>
      </c>
      <c r="B896">
        <v>43476</v>
      </c>
      <c r="C896">
        <v>64</v>
      </c>
      <c r="D896">
        <v>20444</v>
      </c>
      <c r="E896" t="s">
        <v>14</v>
      </c>
      <c r="F896" t="s">
        <v>22</v>
      </c>
      <c r="G896" t="s">
        <v>34</v>
      </c>
      <c r="H896" t="s">
        <v>8</v>
      </c>
      <c r="I896" t="s">
        <v>9</v>
      </c>
      <c r="J896" t="s">
        <v>10</v>
      </c>
      <c r="K896" t="s">
        <v>11</v>
      </c>
      <c r="L896" t="s">
        <v>12</v>
      </c>
      <c r="M896" t="s">
        <v>32</v>
      </c>
      <c r="N896" t="s">
        <v>46</v>
      </c>
      <c r="O896" t="s">
        <v>41</v>
      </c>
      <c r="P896">
        <v>3</v>
      </c>
    </row>
    <row r="897" spans="1:16" x14ac:dyDescent="0.3">
      <c r="A897">
        <v>1391</v>
      </c>
      <c r="B897">
        <v>43923</v>
      </c>
      <c r="C897">
        <v>79</v>
      </c>
      <c r="D897">
        <v>15298</v>
      </c>
      <c r="E897" t="s">
        <v>14</v>
      </c>
      <c r="F897" t="s">
        <v>15</v>
      </c>
      <c r="G897" t="s">
        <v>31</v>
      </c>
      <c r="H897" t="s">
        <v>8</v>
      </c>
      <c r="I897" t="s">
        <v>9</v>
      </c>
      <c r="J897" t="s">
        <v>10</v>
      </c>
      <c r="K897" t="s">
        <v>19</v>
      </c>
      <c r="L897" t="s">
        <v>12</v>
      </c>
      <c r="M897" t="s">
        <v>61</v>
      </c>
      <c r="N897" t="s">
        <v>30</v>
      </c>
      <c r="O897" t="s">
        <v>56</v>
      </c>
      <c r="P897">
        <v>1</v>
      </c>
    </row>
    <row r="898" spans="1:16" x14ac:dyDescent="0.3">
      <c r="A898">
        <v>1392</v>
      </c>
      <c r="B898">
        <v>43623</v>
      </c>
      <c r="C898">
        <v>64</v>
      </c>
      <c r="D898">
        <v>20145</v>
      </c>
      <c r="E898" t="s">
        <v>14</v>
      </c>
      <c r="F898" t="s">
        <v>15</v>
      </c>
      <c r="G898" t="s">
        <v>17</v>
      </c>
      <c r="H898" t="s">
        <v>8</v>
      </c>
      <c r="I898" t="s">
        <v>9</v>
      </c>
      <c r="J898" t="s">
        <v>20</v>
      </c>
      <c r="K898" t="s">
        <v>19</v>
      </c>
      <c r="L898" t="s">
        <v>12</v>
      </c>
      <c r="M898" t="s">
        <v>35</v>
      </c>
      <c r="N898" t="s">
        <v>23</v>
      </c>
      <c r="O898" t="s">
        <v>41</v>
      </c>
      <c r="P898">
        <v>4</v>
      </c>
    </row>
    <row r="899" spans="1:16" x14ac:dyDescent="0.3">
      <c r="A899">
        <v>1393</v>
      </c>
      <c r="B899">
        <v>44522</v>
      </c>
      <c r="C899">
        <v>74</v>
      </c>
      <c r="D899">
        <v>17246</v>
      </c>
      <c r="E899" t="s">
        <v>14</v>
      </c>
      <c r="F899" t="s">
        <v>15</v>
      </c>
      <c r="G899" t="s">
        <v>31</v>
      </c>
      <c r="H899" t="s">
        <v>8</v>
      </c>
      <c r="I899" t="s">
        <v>9</v>
      </c>
      <c r="J899" t="s">
        <v>20</v>
      </c>
      <c r="K899" t="s">
        <v>11</v>
      </c>
      <c r="L899" t="s">
        <v>12</v>
      </c>
      <c r="M899" t="s">
        <v>32</v>
      </c>
      <c r="N899" t="s">
        <v>30</v>
      </c>
      <c r="O899" t="s">
        <v>41</v>
      </c>
      <c r="P899">
        <v>4</v>
      </c>
    </row>
    <row r="900" spans="1:16" x14ac:dyDescent="0.3">
      <c r="A900">
        <v>1394</v>
      </c>
      <c r="B900">
        <v>43484</v>
      </c>
      <c r="C900">
        <v>76</v>
      </c>
      <c r="D900">
        <v>15839</v>
      </c>
      <c r="E900" t="s">
        <v>14</v>
      </c>
      <c r="F900" t="s">
        <v>22</v>
      </c>
      <c r="G900" t="s">
        <v>34</v>
      </c>
      <c r="H900" t="s">
        <v>8</v>
      </c>
      <c r="I900" t="s">
        <v>9</v>
      </c>
      <c r="J900" t="s">
        <v>25</v>
      </c>
      <c r="K900" t="s">
        <v>19</v>
      </c>
      <c r="L900" t="s">
        <v>12</v>
      </c>
      <c r="M900" t="s">
        <v>35</v>
      </c>
      <c r="N900" t="s">
        <v>37</v>
      </c>
      <c r="O900" t="s">
        <v>41</v>
      </c>
      <c r="P900">
        <v>2</v>
      </c>
    </row>
    <row r="901" spans="1:16" x14ac:dyDescent="0.3">
      <c r="A901">
        <v>1395</v>
      </c>
      <c r="B901">
        <v>44547</v>
      </c>
      <c r="C901">
        <v>61</v>
      </c>
      <c r="D901">
        <v>22234</v>
      </c>
      <c r="E901" t="s">
        <v>14</v>
      </c>
      <c r="F901" t="s">
        <v>22</v>
      </c>
      <c r="G901" t="s">
        <v>40</v>
      </c>
      <c r="H901" t="s">
        <v>64</v>
      </c>
      <c r="I901" t="s">
        <v>66</v>
      </c>
      <c r="J901" t="s">
        <v>25</v>
      </c>
      <c r="K901" t="s">
        <v>11</v>
      </c>
      <c r="L901" t="s">
        <v>12</v>
      </c>
      <c r="M901" t="s">
        <v>32</v>
      </c>
      <c r="N901" t="s">
        <v>37</v>
      </c>
      <c r="O901" t="s">
        <v>41</v>
      </c>
      <c r="P901">
        <v>1</v>
      </c>
    </row>
    <row r="902" spans="1:16" x14ac:dyDescent="0.3">
      <c r="A902">
        <v>1396</v>
      </c>
      <c r="B902">
        <v>43589</v>
      </c>
      <c r="C902">
        <v>63</v>
      </c>
      <c r="D902">
        <v>20705</v>
      </c>
      <c r="E902" t="s">
        <v>14</v>
      </c>
      <c r="F902" t="s">
        <v>15</v>
      </c>
      <c r="G902" t="s">
        <v>34</v>
      </c>
      <c r="H902" t="s">
        <v>8</v>
      </c>
      <c r="I902" t="s">
        <v>9</v>
      </c>
      <c r="J902" t="s">
        <v>20</v>
      </c>
      <c r="K902" t="s">
        <v>19</v>
      </c>
      <c r="L902" t="s">
        <v>12</v>
      </c>
      <c r="M902" t="s">
        <v>38</v>
      </c>
      <c r="N902" t="s">
        <v>23</v>
      </c>
      <c r="O902" t="s">
        <v>41</v>
      </c>
      <c r="P902">
        <v>1</v>
      </c>
    </row>
    <row r="903" spans="1:16" x14ac:dyDescent="0.3">
      <c r="A903">
        <v>1397</v>
      </c>
      <c r="B903">
        <v>43459</v>
      </c>
      <c r="C903">
        <v>37</v>
      </c>
      <c r="D903">
        <v>29643</v>
      </c>
      <c r="E903" t="s">
        <v>14</v>
      </c>
      <c r="F903" t="s">
        <v>22</v>
      </c>
      <c r="G903" t="s">
        <v>31</v>
      </c>
      <c r="H903" t="s">
        <v>8</v>
      </c>
      <c r="I903" t="s">
        <v>9</v>
      </c>
      <c r="J903" t="s">
        <v>10</v>
      </c>
      <c r="K903" t="s">
        <v>19</v>
      </c>
      <c r="L903" t="s">
        <v>12</v>
      </c>
      <c r="M903" t="s">
        <v>32</v>
      </c>
      <c r="N903" t="s">
        <v>30</v>
      </c>
      <c r="O903" t="s">
        <v>41</v>
      </c>
      <c r="P903">
        <v>2</v>
      </c>
    </row>
    <row r="904" spans="1:16" x14ac:dyDescent="0.3">
      <c r="A904">
        <v>1398</v>
      </c>
      <c r="B904">
        <v>44199</v>
      </c>
      <c r="C904">
        <v>49</v>
      </c>
      <c r="D904">
        <v>26645</v>
      </c>
      <c r="E904" t="s">
        <v>14</v>
      </c>
      <c r="F904" t="s">
        <v>15</v>
      </c>
      <c r="G904" t="s">
        <v>31</v>
      </c>
      <c r="H904" t="s">
        <v>8</v>
      </c>
      <c r="I904" t="s">
        <v>9</v>
      </c>
      <c r="J904" t="s">
        <v>20</v>
      </c>
      <c r="K904" t="s">
        <v>11</v>
      </c>
      <c r="L904" t="s">
        <v>12</v>
      </c>
      <c r="M904" t="s">
        <v>49</v>
      </c>
      <c r="N904" t="s">
        <v>16</v>
      </c>
      <c r="O904" t="s">
        <v>56</v>
      </c>
      <c r="P904">
        <v>1</v>
      </c>
    </row>
    <row r="905" spans="1:16" x14ac:dyDescent="0.3">
      <c r="A905">
        <v>1399</v>
      </c>
      <c r="B905">
        <v>45092</v>
      </c>
      <c r="C905">
        <v>46</v>
      </c>
      <c r="D905">
        <v>28474</v>
      </c>
      <c r="E905" t="s">
        <v>14</v>
      </c>
      <c r="F905" t="s">
        <v>15</v>
      </c>
      <c r="G905" t="s">
        <v>17</v>
      </c>
      <c r="H905" t="s">
        <v>8</v>
      </c>
      <c r="I905" t="s">
        <v>9</v>
      </c>
      <c r="J905" t="s">
        <v>20</v>
      </c>
      <c r="K905" t="s">
        <v>11</v>
      </c>
      <c r="L905" t="s">
        <v>12</v>
      </c>
      <c r="M905" t="s">
        <v>32</v>
      </c>
      <c r="N905" t="s">
        <v>30</v>
      </c>
      <c r="O905" t="s">
        <v>56</v>
      </c>
      <c r="P905">
        <v>4</v>
      </c>
    </row>
    <row r="906" spans="1:16" x14ac:dyDescent="0.3">
      <c r="A906">
        <v>1400</v>
      </c>
      <c r="B906">
        <v>43341</v>
      </c>
      <c r="C906">
        <v>63</v>
      </c>
      <c r="D906">
        <v>20182</v>
      </c>
      <c r="E906" t="s">
        <v>14</v>
      </c>
      <c r="F906" t="s">
        <v>15</v>
      </c>
      <c r="G906" t="s">
        <v>40</v>
      </c>
      <c r="H906" t="s">
        <v>64</v>
      </c>
      <c r="I906" t="s">
        <v>9</v>
      </c>
      <c r="J906" t="s">
        <v>25</v>
      </c>
      <c r="K906" t="s">
        <v>26</v>
      </c>
      <c r="L906" t="s">
        <v>12</v>
      </c>
      <c r="M906" t="s">
        <v>35</v>
      </c>
      <c r="N906" t="s">
        <v>16</v>
      </c>
      <c r="O906" t="s">
        <v>41</v>
      </c>
      <c r="P906">
        <v>3</v>
      </c>
    </row>
    <row r="907" spans="1:16" x14ac:dyDescent="0.3">
      <c r="A907">
        <v>1401</v>
      </c>
      <c r="B907">
        <v>43469</v>
      </c>
      <c r="C907">
        <v>52</v>
      </c>
      <c r="D907">
        <v>24701</v>
      </c>
      <c r="E907" t="s">
        <v>14</v>
      </c>
      <c r="F907" t="s">
        <v>22</v>
      </c>
      <c r="G907" t="s">
        <v>31</v>
      </c>
      <c r="H907" t="s">
        <v>8</v>
      </c>
      <c r="I907" t="s">
        <v>9</v>
      </c>
      <c r="J907" t="s">
        <v>10</v>
      </c>
      <c r="K907" t="s">
        <v>26</v>
      </c>
      <c r="L907" t="s">
        <v>12</v>
      </c>
      <c r="M907" t="s">
        <v>49</v>
      </c>
      <c r="N907" t="s">
        <v>16</v>
      </c>
      <c r="O907" t="s">
        <v>41</v>
      </c>
      <c r="P907">
        <v>5</v>
      </c>
    </row>
    <row r="908" spans="1:16" x14ac:dyDescent="0.3">
      <c r="A908">
        <v>1402</v>
      </c>
      <c r="B908">
        <v>44449</v>
      </c>
      <c r="C908">
        <v>33</v>
      </c>
      <c r="D908">
        <v>32428</v>
      </c>
      <c r="E908" t="s">
        <v>14</v>
      </c>
      <c r="F908" t="s">
        <v>15</v>
      </c>
      <c r="G908" t="s">
        <v>40</v>
      </c>
      <c r="H908" t="s">
        <v>8</v>
      </c>
      <c r="I908" t="s">
        <v>9</v>
      </c>
      <c r="J908" t="s">
        <v>25</v>
      </c>
      <c r="K908" t="s">
        <v>26</v>
      </c>
      <c r="L908" t="s">
        <v>12</v>
      </c>
      <c r="M908" t="s">
        <v>28</v>
      </c>
      <c r="N908" t="s">
        <v>16</v>
      </c>
      <c r="O908" t="s">
        <v>41</v>
      </c>
      <c r="P908">
        <v>4</v>
      </c>
    </row>
    <row r="909" spans="1:16" x14ac:dyDescent="0.3">
      <c r="A909">
        <v>1403</v>
      </c>
      <c r="B909">
        <v>44385</v>
      </c>
      <c r="C909">
        <v>77</v>
      </c>
      <c r="D909">
        <v>16415</v>
      </c>
      <c r="E909" t="s">
        <v>14</v>
      </c>
      <c r="F909" t="s">
        <v>15</v>
      </c>
      <c r="G909" t="s">
        <v>17</v>
      </c>
      <c r="H909" t="s">
        <v>8</v>
      </c>
      <c r="I909" t="s">
        <v>9</v>
      </c>
      <c r="J909" t="s">
        <v>25</v>
      </c>
      <c r="K909" t="s">
        <v>26</v>
      </c>
      <c r="L909" t="s">
        <v>12</v>
      </c>
      <c r="M909" t="s">
        <v>35</v>
      </c>
      <c r="N909" t="s">
        <v>16</v>
      </c>
      <c r="O909" t="s">
        <v>41</v>
      </c>
      <c r="P909">
        <v>3</v>
      </c>
    </row>
    <row r="910" spans="1:16" x14ac:dyDescent="0.3">
      <c r="A910">
        <v>1404</v>
      </c>
      <c r="B910">
        <v>43405</v>
      </c>
      <c r="C910">
        <v>40</v>
      </c>
      <c r="D910">
        <v>28830</v>
      </c>
      <c r="E910" t="s">
        <v>14</v>
      </c>
      <c r="F910" t="s">
        <v>22</v>
      </c>
      <c r="G910" t="s">
        <v>31</v>
      </c>
      <c r="H910" t="s">
        <v>64</v>
      </c>
      <c r="I910" t="s">
        <v>66</v>
      </c>
      <c r="J910" t="s">
        <v>10</v>
      </c>
      <c r="K910" t="s">
        <v>26</v>
      </c>
      <c r="L910" t="s">
        <v>12</v>
      </c>
      <c r="M910" t="s">
        <v>13</v>
      </c>
      <c r="N910" t="s">
        <v>23</v>
      </c>
      <c r="O910" t="s">
        <v>41</v>
      </c>
      <c r="P910">
        <v>2</v>
      </c>
    </row>
    <row r="911" spans="1:16" x14ac:dyDescent="0.3">
      <c r="A911">
        <v>1405</v>
      </c>
      <c r="B911">
        <v>43442</v>
      </c>
      <c r="C911">
        <v>41</v>
      </c>
      <c r="D911">
        <v>28214</v>
      </c>
      <c r="E911" t="s">
        <v>14</v>
      </c>
      <c r="F911" t="s">
        <v>15</v>
      </c>
      <c r="G911" t="s">
        <v>31</v>
      </c>
      <c r="H911" t="s">
        <v>64</v>
      </c>
      <c r="I911" t="s">
        <v>9</v>
      </c>
      <c r="J911" t="s">
        <v>20</v>
      </c>
      <c r="K911" t="s">
        <v>19</v>
      </c>
      <c r="L911" t="s">
        <v>12</v>
      </c>
      <c r="M911" t="s">
        <v>35</v>
      </c>
      <c r="N911" t="s">
        <v>30</v>
      </c>
      <c r="O911" t="s">
        <v>41</v>
      </c>
      <c r="P911">
        <v>3</v>
      </c>
    </row>
    <row r="912" spans="1:16" x14ac:dyDescent="0.3">
      <c r="A912">
        <v>1406</v>
      </c>
      <c r="B912">
        <v>44859</v>
      </c>
      <c r="C912">
        <v>40</v>
      </c>
      <c r="D912">
        <v>30265</v>
      </c>
      <c r="E912" t="s">
        <v>14</v>
      </c>
      <c r="F912" t="s">
        <v>15</v>
      </c>
      <c r="G912" t="s">
        <v>31</v>
      </c>
      <c r="H912" t="s">
        <v>64</v>
      </c>
      <c r="I912" t="s">
        <v>9</v>
      </c>
      <c r="J912" t="s">
        <v>20</v>
      </c>
      <c r="K912" t="s">
        <v>19</v>
      </c>
      <c r="L912" t="s">
        <v>12</v>
      </c>
      <c r="M912" t="s">
        <v>32</v>
      </c>
      <c r="N912" t="s">
        <v>46</v>
      </c>
      <c r="O912" t="s">
        <v>41</v>
      </c>
      <c r="P912">
        <v>1</v>
      </c>
    </row>
    <row r="913" spans="1:16" x14ac:dyDescent="0.3">
      <c r="A913">
        <v>1407</v>
      </c>
      <c r="B913">
        <v>45020</v>
      </c>
      <c r="C913">
        <v>40</v>
      </c>
      <c r="D913">
        <v>30405</v>
      </c>
      <c r="E913" t="s">
        <v>14</v>
      </c>
      <c r="F913" t="s">
        <v>22</v>
      </c>
      <c r="G913" t="s">
        <v>34</v>
      </c>
      <c r="H913" t="s">
        <v>8</v>
      </c>
      <c r="I913" t="s">
        <v>9</v>
      </c>
      <c r="J913" t="s">
        <v>25</v>
      </c>
      <c r="K913" t="s">
        <v>26</v>
      </c>
      <c r="L913" t="s">
        <v>12</v>
      </c>
      <c r="M913" t="s">
        <v>28</v>
      </c>
      <c r="N913" t="s">
        <v>23</v>
      </c>
      <c r="O913" t="s">
        <v>41</v>
      </c>
      <c r="P913">
        <v>3</v>
      </c>
    </row>
    <row r="914" spans="1:16" x14ac:dyDescent="0.3">
      <c r="A914">
        <v>1408</v>
      </c>
      <c r="B914">
        <v>44272</v>
      </c>
      <c r="C914">
        <v>41</v>
      </c>
      <c r="D914">
        <v>29558</v>
      </c>
      <c r="E914" t="s">
        <v>14</v>
      </c>
      <c r="F914" t="s">
        <v>15</v>
      </c>
      <c r="G914" t="s">
        <v>31</v>
      </c>
      <c r="H914" t="s">
        <v>8</v>
      </c>
      <c r="I914" t="s">
        <v>9</v>
      </c>
      <c r="J914" t="s">
        <v>10</v>
      </c>
      <c r="K914" t="s">
        <v>26</v>
      </c>
      <c r="L914" t="s">
        <v>12</v>
      </c>
      <c r="M914" t="s">
        <v>35</v>
      </c>
      <c r="N914" t="s">
        <v>30</v>
      </c>
      <c r="O914" t="s">
        <v>41</v>
      </c>
      <c r="P914">
        <v>3</v>
      </c>
    </row>
    <row r="915" spans="1:16" x14ac:dyDescent="0.3">
      <c r="A915">
        <v>1409</v>
      </c>
      <c r="B915">
        <v>43535</v>
      </c>
      <c r="C915">
        <v>38</v>
      </c>
      <c r="D915">
        <v>29678</v>
      </c>
      <c r="E915" t="s">
        <v>14</v>
      </c>
      <c r="F915" t="s">
        <v>15</v>
      </c>
      <c r="G915" t="s">
        <v>17</v>
      </c>
      <c r="H915" t="s">
        <v>8</v>
      </c>
      <c r="I915" t="s">
        <v>66</v>
      </c>
      <c r="J915" t="s">
        <v>25</v>
      </c>
      <c r="K915" t="s">
        <v>19</v>
      </c>
      <c r="L915" t="s">
        <v>12</v>
      </c>
      <c r="M915" t="s">
        <v>32</v>
      </c>
      <c r="N915" t="s">
        <v>30</v>
      </c>
      <c r="O915" t="s">
        <v>41</v>
      </c>
      <c r="P915">
        <v>2</v>
      </c>
    </row>
    <row r="916" spans="1:16" x14ac:dyDescent="0.3">
      <c r="A916">
        <v>1410</v>
      </c>
      <c r="B916">
        <v>44617</v>
      </c>
      <c r="C916">
        <v>77</v>
      </c>
      <c r="D916">
        <v>16657</v>
      </c>
      <c r="E916" t="s">
        <v>14</v>
      </c>
      <c r="F916" t="s">
        <v>15</v>
      </c>
      <c r="G916" t="s">
        <v>17</v>
      </c>
      <c r="H916" t="s">
        <v>8</v>
      </c>
      <c r="I916" t="s">
        <v>9</v>
      </c>
      <c r="J916" t="s">
        <v>10</v>
      </c>
      <c r="K916" t="s">
        <v>11</v>
      </c>
      <c r="L916" t="s">
        <v>12</v>
      </c>
      <c r="M916" t="s">
        <v>59</v>
      </c>
      <c r="N916" t="s">
        <v>16</v>
      </c>
      <c r="O916" t="s">
        <v>41</v>
      </c>
      <c r="P916">
        <v>2</v>
      </c>
    </row>
    <row r="917" spans="1:16" x14ac:dyDescent="0.3">
      <c r="A917">
        <v>1411</v>
      </c>
      <c r="B917">
        <v>43648</v>
      </c>
      <c r="C917">
        <v>39</v>
      </c>
      <c r="D917">
        <v>29367</v>
      </c>
      <c r="E917" t="s">
        <v>14</v>
      </c>
      <c r="F917" t="s">
        <v>15</v>
      </c>
      <c r="G917" t="s">
        <v>34</v>
      </c>
      <c r="H917" t="s">
        <v>8</v>
      </c>
      <c r="I917" t="s">
        <v>9</v>
      </c>
      <c r="J917" t="s">
        <v>20</v>
      </c>
      <c r="K917" t="s">
        <v>11</v>
      </c>
      <c r="L917" t="s">
        <v>12</v>
      </c>
      <c r="M917" t="s">
        <v>21</v>
      </c>
      <c r="N917" t="s">
        <v>23</v>
      </c>
      <c r="O917" t="s">
        <v>41</v>
      </c>
      <c r="P917">
        <v>4</v>
      </c>
    </row>
    <row r="918" spans="1:16" x14ac:dyDescent="0.3">
      <c r="A918">
        <v>1412</v>
      </c>
      <c r="B918">
        <v>43636</v>
      </c>
      <c r="C918">
        <v>37</v>
      </c>
      <c r="D918">
        <v>30213</v>
      </c>
      <c r="E918" t="s">
        <v>14</v>
      </c>
      <c r="F918" t="s">
        <v>15</v>
      </c>
      <c r="G918" t="s">
        <v>17</v>
      </c>
      <c r="H918" t="s">
        <v>8</v>
      </c>
      <c r="I918" t="s">
        <v>9</v>
      </c>
      <c r="J918" t="s">
        <v>20</v>
      </c>
      <c r="K918" t="s">
        <v>26</v>
      </c>
      <c r="L918" t="s">
        <v>12</v>
      </c>
      <c r="M918" t="s">
        <v>35</v>
      </c>
      <c r="N918" t="s">
        <v>16</v>
      </c>
      <c r="O918" t="s">
        <v>41</v>
      </c>
      <c r="P918">
        <v>3</v>
      </c>
    </row>
    <row r="919" spans="1:16" x14ac:dyDescent="0.3">
      <c r="A919">
        <v>1413</v>
      </c>
      <c r="B919">
        <v>43735</v>
      </c>
      <c r="C919">
        <v>76</v>
      </c>
      <c r="D919">
        <v>15777</v>
      </c>
      <c r="E919" t="s">
        <v>14</v>
      </c>
      <c r="F919" t="s">
        <v>22</v>
      </c>
      <c r="G919" t="s">
        <v>17</v>
      </c>
      <c r="H919" t="s">
        <v>8</v>
      </c>
      <c r="I919" t="s">
        <v>9</v>
      </c>
      <c r="J919" t="s">
        <v>20</v>
      </c>
      <c r="K919" t="s">
        <v>19</v>
      </c>
      <c r="L919" t="s">
        <v>12</v>
      </c>
      <c r="M919" t="s">
        <v>13</v>
      </c>
      <c r="N919" t="s">
        <v>37</v>
      </c>
      <c r="O919" t="s">
        <v>56</v>
      </c>
      <c r="P919">
        <v>3</v>
      </c>
    </row>
    <row r="920" spans="1:16" x14ac:dyDescent="0.3">
      <c r="A920">
        <v>1414</v>
      </c>
      <c r="B920">
        <v>44880</v>
      </c>
      <c r="C920">
        <v>56</v>
      </c>
      <c r="D920">
        <v>24261</v>
      </c>
      <c r="E920" t="s">
        <v>14</v>
      </c>
      <c r="F920" t="s">
        <v>22</v>
      </c>
      <c r="G920" t="s">
        <v>34</v>
      </c>
      <c r="H920" t="s">
        <v>8</v>
      </c>
      <c r="I920" t="s">
        <v>9</v>
      </c>
      <c r="J920" t="s">
        <v>10</v>
      </c>
      <c r="K920" t="s">
        <v>11</v>
      </c>
      <c r="L920" t="s">
        <v>12</v>
      </c>
      <c r="M920" t="s">
        <v>21</v>
      </c>
      <c r="N920" t="s">
        <v>46</v>
      </c>
      <c r="O920" t="s">
        <v>41</v>
      </c>
      <c r="P920">
        <v>4</v>
      </c>
    </row>
    <row r="921" spans="1:16" x14ac:dyDescent="0.3">
      <c r="A921">
        <v>1415</v>
      </c>
      <c r="B921">
        <v>44065</v>
      </c>
      <c r="C921">
        <v>43</v>
      </c>
      <c r="D921">
        <v>28351</v>
      </c>
      <c r="E921" t="s">
        <v>14</v>
      </c>
      <c r="F921" t="s">
        <v>22</v>
      </c>
      <c r="G921" t="s">
        <v>40</v>
      </c>
      <c r="H921" t="s">
        <v>8</v>
      </c>
      <c r="I921" t="s">
        <v>9</v>
      </c>
      <c r="J921" t="s">
        <v>20</v>
      </c>
      <c r="K921" t="s">
        <v>19</v>
      </c>
      <c r="L921" t="s">
        <v>12</v>
      </c>
      <c r="M921" t="s">
        <v>35</v>
      </c>
      <c r="N921" t="s">
        <v>46</v>
      </c>
      <c r="O921" t="s">
        <v>41</v>
      </c>
      <c r="P921">
        <v>2</v>
      </c>
    </row>
    <row r="922" spans="1:16" x14ac:dyDescent="0.3">
      <c r="A922">
        <v>1416</v>
      </c>
      <c r="B922">
        <v>43930</v>
      </c>
      <c r="C922">
        <v>67</v>
      </c>
      <c r="D922">
        <v>19614</v>
      </c>
      <c r="E922" t="s">
        <v>14</v>
      </c>
      <c r="F922" t="s">
        <v>22</v>
      </c>
      <c r="G922" t="s">
        <v>17</v>
      </c>
      <c r="H922" t="s">
        <v>8</v>
      </c>
      <c r="I922" t="s">
        <v>9</v>
      </c>
      <c r="J922" t="s">
        <v>20</v>
      </c>
      <c r="K922" t="s">
        <v>26</v>
      </c>
      <c r="L922" t="s">
        <v>12</v>
      </c>
      <c r="M922" t="s">
        <v>35</v>
      </c>
      <c r="N922" t="s">
        <v>46</v>
      </c>
      <c r="O922" t="s">
        <v>41</v>
      </c>
      <c r="P922">
        <v>4</v>
      </c>
    </row>
    <row r="923" spans="1:16" x14ac:dyDescent="0.3">
      <c r="A923">
        <v>1417</v>
      </c>
      <c r="B923">
        <v>44285</v>
      </c>
      <c r="C923">
        <v>72</v>
      </c>
      <c r="D923">
        <v>17931</v>
      </c>
      <c r="E923" t="s">
        <v>14</v>
      </c>
      <c r="F923" t="s">
        <v>15</v>
      </c>
      <c r="G923" t="s">
        <v>31</v>
      </c>
      <c r="H923" t="s">
        <v>8</v>
      </c>
      <c r="I923" t="s">
        <v>9</v>
      </c>
      <c r="J923" t="s">
        <v>25</v>
      </c>
      <c r="K923" t="s">
        <v>11</v>
      </c>
      <c r="L923" t="s">
        <v>12</v>
      </c>
      <c r="M923" t="s">
        <v>21</v>
      </c>
      <c r="N923" t="s">
        <v>30</v>
      </c>
      <c r="O923" t="s">
        <v>41</v>
      </c>
      <c r="P923">
        <v>5</v>
      </c>
    </row>
    <row r="924" spans="1:16" x14ac:dyDescent="0.3">
      <c r="A924">
        <v>1418</v>
      </c>
      <c r="B924">
        <v>43369</v>
      </c>
      <c r="C924">
        <v>18</v>
      </c>
      <c r="D924">
        <v>36890</v>
      </c>
      <c r="E924" t="s">
        <v>14</v>
      </c>
      <c r="F924" t="s">
        <v>15</v>
      </c>
      <c r="G924" t="s">
        <v>34</v>
      </c>
      <c r="H924" t="s">
        <v>8</v>
      </c>
      <c r="I924" t="s">
        <v>9</v>
      </c>
      <c r="J924" t="s">
        <v>20</v>
      </c>
      <c r="K924" t="s">
        <v>11</v>
      </c>
      <c r="L924" t="s">
        <v>12</v>
      </c>
      <c r="M924" t="s">
        <v>59</v>
      </c>
      <c r="N924" t="s">
        <v>30</v>
      </c>
      <c r="O924" t="s">
        <v>56</v>
      </c>
      <c r="P924">
        <v>1</v>
      </c>
    </row>
    <row r="925" spans="1:16" x14ac:dyDescent="0.3">
      <c r="A925">
        <v>1419</v>
      </c>
      <c r="B925">
        <v>45068</v>
      </c>
      <c r="C925">
        <v>39</v>
      </c>
      <c r="D925">
        <v>30692</v>
      </c>
      <c r="E925" t="s">
        <v>14</v>
      </c>
      <c r="F925" t="s">
        <v>15</v>
      </c>
      <c r="G925" t="s">
        <v>40</v>
      </c>
      <c r="H925" t="s">
        <v>8</v>
      </c>
      <c r="I925" t="s">
        <v>9</v>
      </c>
      <c r="J925" t="s">
        <v>10</v>
      </c>
      <c r="K925" t="s">
        <v>11</v>
      </c>
      <c r="L925" t="s">
        <v>12</v>
      </c>
      <c r="M925" t="s">
        <v>35</v>
      </c>
      <c r="N925" t="s">
        <v>30</v>
      </c>
      <c r="O925" t="s">
        <v>41</v>
      </c>
      <c r="P925">
        <v>2</v>
      </c>
    </row>
    <row r="926" spans="1:16" x14ac:dyDescent="0.3">
      <c r="A926">
        <v>1420</v>
      </c>
      <c r="B926">
        <v>44351</v>
      </c>
      <c r="C926">
        <v>71</v>
      </c>
      <c r="D926">
        <v>18626</v>
      </c>
      <c r="E926" t="s">
        <v>14</v>
      </c>
      <c r="F926" t="s">
        <v>15</v>
      </c>
      <c r="G926" t="s">
        <v>40</v>
      </c>
      <c r="H926" t="s">
        <v>8</v>
      </c>
      <c r="I926" t="s">
        <v>9</v>
      </c>
      <c r="J926" t="s">
        <v>10</v>
      </c>
      <c r="K926" t="s">
        <v>26</v>
      </c>
      <c r="L926" t="s">
        <v>12</v>
      </c>
      <c r="M926" t="s">
        <v>54</v>
      </c>
      <c r="N926" t="s">
        <v>16</v>
      </c>
      <c r="O926" t="s">
        <v>41</v>
      </c>
      <c r="P926">
        <v>2</v>
      </c>
    </row>
    <row r="927" spans="1:16" x14ac:dyDescent="0.3">
      <c r="A927">
        <v>1421</v>
      </c>
      <c r="B927">
        <v>43760</v>
      </c>
      <c r="C927">
        <v>71</v>
      </c>
      <c r="D927">
        <v>17867</v>
      </c>
      <c r="E927" t="s">
        <v>14</v>
      </c>
      <c r="F927" t="s">
        <v>15</v>
      </c>
      <c r="G927" t="s">
        <v>34</v>
      </c>
      <c r="H927" t="s">
        <v>8</v>
      </c>
      <c r="I927" t="s">
        <v>9</v>
      </c>
      <c r="J927" t="s">
        <v>10</v>
      </c>
      <c r="K927" t="s">
        <v>11</v>
      </c>
      <c r="L927" t="s">
        <v>12</v>
      </c>
      <c r="M927" t="s">
        <v>32</v>
      </c>
      <c r="N927" t="s">
        <v>30</v>
      </c>
      <c r="O927" t="s">
        <v>41</v>
      </c>
      <c r="P927">
        <v>5</v>
      </c>
    </row>
    <row r="928" spans="1:16" x14ac:dyDescent="0.3">
      <c r="A928">
        <v>1423</v>
      </c>
      <c r="B928">
        <v>44737</v>
      </c>
      <c r="C928">
        <v>30</v>
      </c>
      <c r="D928">
        <v>33675</v>
      </c>
      <c r="E928" t="s">
        <v>14</v>
      </c>
      <c r="F928" t="s">
        <v>15</v>
      </c>
      <c r="G928" t="s">
        <v>31</v>
      </c>
      <c r="H928" t="s">
        <v>8</v>
      </c>
      <c r="I928" t="s">
        <v>9</v>
      </c>
      <c r="J928" t="s">
        <v>25</v>
      </c>
      <c r="K928" t="s">
        <v>19</v>
      </c>
      <c r="L928" t="s">
        <v>12</v>
      </c>
      <c r="M928" t="s">
        <v>21</v>
      </c>
      <c r="N928" t="s">
        <v>16</v>
      </c>
      <c r="O928" t="s">
        <v>56</v>
      </c>
      <c r="P928">
        <v>5</v>
      </c>
    </row>
    <row r="929" spans="1:16" x14ac:dyDescent="0.3">
      <c r="A929">
        <v>1425</v>
      </c>
      <c r="B929">
        <v>43681</v>
      </c>
      <c r="C929">
        <v>77</v>
      </c>
      <c r="D929">
        <v>15513</v>
      </c>
      <c r="E929" t="s">
        <v>14</v>
      </c>
      <c r="F929" t="s">
        <v>15</v>
      </c>
      <c r="G929" t="s">
        <v>31</v>
      </c>
      <c r="H929" t="s">
        <v>8</v>
      </c>
      <c r="I929" t="s">
        <v>9</v>
      </c>
      <c r="J929" t="s">
        <v>20</v>
      </c>
      <c r="K929" t="s">
        <v>26</v>
      </c>
      <c r="L929" t="s">
        <v>12</v>
      </c>
      <c r="M929" t="s">
        <v>35</v>
      </c>
      <c r="N929" t="s">
        <v>37</v>
      </c>
      <c r="O929" t="s">
        <v>56</v>
      </c>
      <c r="P929">
        <v>3</v>
      </c>
    </row>
    <row r="930" spans="1:16" x14ac:dyDescent="0.3">
      <c r="A930">
        <v>1426</v>
      </c>
      <c r="B930">
        <v>44628</v>
      </c>
      <c r="C930">
        <v>22</v>
      </c>
      <c r="D930">
        <v>36726</v>
      </c>
      <c r="E930" t="s">
        <v>14</v>
      </c>
      <c r="F930" t="s">
        <v>15</v>
      </c>
      <c r="G930" t="s">
        <v>17</v>
      </c>
      <c r="H930" t="s">
        <v>8</v>
      </c>
      <c r="I930" t="s">
        <v>66</v>
      </c>
      <c r="J930" t="s">
        <v>25</v>
      </c>
      <c r="K930" t="s">
        <v>19</v>
      </c>
      <c r="L930" t="s">
        <v>12</v>
      </c>
      <c r="M930" t="s">
        <v>32</v>
      </c>
      <c r="N930" t="s">
        <v>23</v>
      </c>
      <c r="O930" t="s">
        <v>41</v>
      </c>
      <c r="P930">
        <v>5</v>
      </c>
    </row>
    <row r="931" spans="1:16" x14ac:dyDescent="0.3">
      <c r="A931">
        <v>1427</v>
      </c>
      <c r="B931">
        <v>43518</v>
      </c>
      <c r="C931">
        <v>66</v>
      </c>
      <c r="D931">
        <v>19488</v>
      </c>
      <c r="E931" t="s">
        <v>14</v>
      </c>
      <c r="F931" t="s">
        <v>22</v>
      </c>
      <c r="G931" t="s">
        <v>40</v>
      </c>
      <c r="H931" t="s">
        <v>64</v>
      </c>
      <c r="I931" t="s">
        <v>9</v>
      </c>
      <c r="J931" t="s">
        <v>25</v>
      </c>
      <c r="K931" t="s">
        <v>19</v>
      </c>
      <c r="L931" t="s">
        <v>12</v>
      </c>
      <c r="M931" t="s">
        <v>42</v>
      </c>
      <c r="N931" t="s">
        <v>46</v>
      </c>
      <c r="O931" t="s">
        <v>56</v>
      </c>
      <c r="P931">
        <v>2</v>
      </c>
    </row>
    <row r="932" spans="1:16" x14ac:dyDescent="0.3">
      <c r="A932">
        <v>1428</v>
      </c>
      <c r="B932">
        <v>44903</v>
      </c>
      <c r="C932">
        <v>52</v>
      </c>
      <c r="D932">
        <v>25625</v>
      </c>
      <c r="E932" t="s">
        <v>14</v>
      </c>
      <c r="F932" t="s">
        <v>22</v>
      </c>
      <c r="G932" t="s">
        <v>40</v>
      </c>
      <c r="H932" t="s">
        <v>64</v>
      </c>
      <c r="I932" t="s">
        <v>9</v>
      </c>
      <c r="J932" t="s">
        <v>25</v>
      </c>
      <c r="K932" t="s">
        <v>11</v>
      </c>
      <c r="L932" t="s">
        <v>12</v>
      </c>
      <c r="M932" t="s">
        <v>44</v>
      </c>
      <c r="N932" t="s">
        <v>16</v>
      </c>
      <c r="O932" t="s">
        <v>41</v>
      </c>
      <c r="P932">
        <v>5</v>
      </c>
    </row>
    <row r="933" spans="1:16" x14ac:dyDescent="0.3">
      <c r="A933">
        <v>1429</v>
      </c>
      <c r="B933">
        <v>43791</v>
      </c>
      <c r="C933">
        <v>75</v>
      </c>
      <c r="D933">
        <v>16317</v>
      </c>
      <c r="E933" t="s">
        <v>14</v>
      </c>
      <c r="F933" t="s">
        <v>15</v>
      </c>
      <c r="G933" t="s">
        <v>40</v>
      </c>
      <c r="H933" t="s">
        <v>64</v>
      </c>
      <c r="I933" t="s">
        <v>66</v>
      </c>
      <c r="J933" t="s">
        <v>10</v>
      </c>
      <c r="K933" t="s">
        <v>26</v>
      </c>
      <c r="L933" t="s">
        <v>12</v>
      </c>
      <c r="M933" t="s">
        <v>35</v>
      </c>
      <c r="N933" t="s">
        <v>23</v>
      </c>
      <c r="O933" t="s">
        <v>41</v>
      </c>
      <c r="P933">
        <v>4</v>
      </c>
    </row>
    <row r="934" spans="1:16" x14ac:dyDescent="0.3">
      <c r="A934">
        <v>1430</v>
      </c>
      <c r="B934">
        <v>44970</v>
      </c>
      <c r="C934">
        <v>64</v>
      </c>
      <c r="D934">
        <v>21569</v>
      </c>
      <c r="E934" t="s">
        <v>14</v>
      </c>
      <c r="F934" t="s">
        <v>15</v>
      </c>
      <c r="G934" t="s">
        <v>31</v>
      </c>
      <c r="H934" t="s">
        <v>64</v>
      </c>
      <c r="I934" t="s">
        <v>66</v>
      </c>
      <c r="J934" t="s">
        <v>20</v>
      </c>
      <c r="K934" t="s">
        <v>19</v>
      </c>
      <c r="L934" t="s">
        <v>12</v>
      </c>
      <c r="M934" t="s">
        <v>63</v>
      </c>
      <c r="N934" t="s">
        <v>46</v>
      </c>
      <c r="O934" t="s">
        <v>56</v>
      </c>
      <c r="P934">
        <v>2</v>
      </c>
    </row>
    <row r="935" spans="1:16" x14ac:dyDescent="0.3">
      <c r="A935">
        <v>1431</v>
      </c>
      <c r="B935">
        <v>43539</v>
      </c>
      <c r="C935">
        <v>68</v>
      </c>
      <c r="D935">
        <v>18932</v>
      </c>
      <c r="E935" t="s">
        <v>14</v>
      </c>
      <c r="F935" t="s">
        <v>15</v>
      </c>
      <c r="G935" t="s">
        <v>17</v>
      </c>
      <c r="H935" t="s">
        <v>64</v>
      </c>
      <c r="I935" t="s">
        <v>9</v>
      </c>
      <c r="J935" t="s">
        <v>25</v>
      </c>
      <c r="K935" t="s">
        <v>26</v>
      </c>
      <c r="L935" t="s">
        <v>12</v>
      </c>
      <c r="M935" t="s">
        <v>35</v>
      </c>
      <c r="N935" t="s">
        <v>37</v>
      </c>
      <c r="O935" t="s">
        <v>41</v>
      </c>
      <c r="P935">
        <v>1</v>
      </c>
    </row>
    <row r="936" spans="1:16" x14ac:dyDescent="0.3">
      <c r="A936">
        <v>1432</v>
      </c>
      <c r="B936">
        <v>43664</v>
      </c>
      <c r="C936">
        <v>28</v>
      </c>
      <c r="D936">
        <v>33448</v>
      </c>
      <c r="E936" t="s">
        <v>14</v>
      </c>
      <c r="F936" t="s">
        <v>22</v>
      </c>
      <c r="G936" t="s">
        <v>34</v>
      </c>
      <c r="H936" t="s">
        <v>64</v>
      </c>
      <c r="I936" t="s">
        <v>9</v>
      </c>
      <c r="J936" t="s">
        <v>10</v>
      </c>
      <c r="K936" t="s">
        <v>19</v>
      </c>
      <c r="L936" t="s">
        <v>12</v>
      </c>
      <c r="M936" t="s">
        <v>54</v>
      </c>
      <c r="N936" t="s">
        <v>16</v>
      </c>
      <c r="O936" t="s">
        <v>41</v>
      </c>
      <c r="P936">
        <v>3</v>
      </c>
    </row>
    <row r="937" spans="1:16" x14ac:dyDescent="0.3">
      <c r="A937">
        <v>1433</v>
      </c>
      <c r="B937">
        <v>44295</v>
      </c>
      <c r="C937">
        <v>26</v>
      </c>
      <c r="D937">
        <v>34936</v>
      </c>
      <c r="E937" t="s">
        <v>14</v>
      </c>
      <c r="F937" t="s">
        <v>15</v>
      </c>
      <c r="G937" t="s">
        <v>17</v>
      </c>
      <c r="H937" t="s">
        <v>8</v>
      </c>
      <c r="I937" t="s">
        <v>9</v>
      </c>
      <c r="J937" t="s">
        <v>20</v>
      </c>
      <c r="K937" t="s">
        <v>11</v>
      </c>
      <c r="L937" t="s">
        <v>12</v>
      </c>
      <c r="M937" t="s">
        <v>32</v>
      </c>
      <c r="N937" t="s">
        <v>16</v>
      </c>
      <c r="O937" t="s">
        <v>56</v>
      </c>
      <c r="P937">
        <v>1</v>
      </c>
    </row>
    <row r="938" spans="1:16" x14ac:dyDescent="0.3">
      <c r="A938">
        <v>1434</v>
      </c>
      <c r="B938">
        <v>43464</v>
      </c>
      <c r="C938">
        <v>32</v>
      </c>
      <c r="D938">
        <v>31774</v>
      </c>
      <c r="E938" t="s">
        <v>14</v>
      </c>
      <c r="F938" t="s">
        <v>15</v>
      </c>
      <c r="G938" t="s">
        <v>40</v>
      </c>
      <c r="H938" t="s">
        <v>8</v>
      </c>
      <c r="I938" t="s">
        <v>9</v>
      </c>
      <c r="J938" t="s">
        <v>20</v>
      </c>
      <c r="K938" t="s">
        <v>11</v>
      </c>
      <c r="L938" t="s">
        <v>12</v>
      </c>
      <c r="M938" t="s">
        <v>49</v>
      </c>
      <c r="N938" t="s">
        <v>16</v>
      </c>
      <c r="O938" t="s">
        <v>41</v>
      </c>
      <c r="P938">
        <v>2</v>
      </c>
    </row>
    <row r="939" spans="1:16" x14ac:dyDescent="0.3">
      <c r="A939">
        <v>1435</v>
      </c>
      <c r="B939">
        <v>44407</v>
      </c>
      <c r="C939">
        <v>23</v>
      </c>
      <c r="D939">
        <v>36128</v>
      </c>
      <c r="E939" t="s">
        <v>14</v>
      </c>
      <c r="F939" t="s">
        <v>15</v>
      </c>
      <c r="G939" t="s">
        <v>31</v>
      </c>
      <c r="H939" t="s">
        <v>8</v>
      </c>
      <c r="I939" t="s">
        <v>9</v>
      </c>
      <c r="J939" t="s">
        <v>10</v>
      </c>
      <c r="K939" t="s">
        <v>11</v>
      </c>
      <c r="L939" t="s">
        <v>12</v>
      </c>
      <c r="M939" t="s">
        <v>35</v>
      </c>
      <c r="N939" t="s">
        <v>23</v>
      </c>
      <c r="O939" t="s">
        <v>41</v>
      </c>
      <c r="P939">
        <v>2</v>
      </c>
    </row>
    <row r="940" spans="1:16" x14ac:dyDescent="0.3">
      <c r="A940">
        <v>1436</v>
      </c>
      <c r="B940">
        <v>44862</v>
      </c>
      <c r="C940">
        <v>33</v>
      </c>
      <c r="D940">
        <v>32655</v>
      </c>
      <c r="E940" t="s">
        <v>14</v>
      </c>
      <c r="F940" t="s">
        <v>22</v>
      </c>
      <c r="G940" t="s">
        <v>34</v>
      </c>
      <c r="H940" t="s">
        <v>8</v>
      </c>
      <c r="I940" t="s">
        <v>9</v>
      </c>
      <c r="J940" t="s">
        <v>25</v>
      </c>
      <c r="K940" t="s">
        <v>11</v>
      </c>
      <c r="L940" t="s">
        <v>12</v>
      </c>
      <c r="M940" t="s">
        <v>35</v>
      </c>
      <c r="N940" t="s">
        <v>23</v>
      </c>
      <c r="O940" t="s">
        <v>56</v>
      </c>
      <c r="P940">
        <v>2</v>
      </c>
    </row>
    <row r="941" spans="1:16" x14ac:dyDescent="0.3">
      <c r="A941">
        <v>1437</v>
      </c>
      <c r="B941">
        <v>44133</v>
      </c>
      <c r="C941">
        <v>24</v>
      </c>
      <c r="D941">
        <v>35241</v>
      </c>
      <c r="E941" t="s">
        <v>14</v>
      </c>
      <c r="F941" t="s">
        <v>22</v>
      </c>
      <c r="G941" t="s">
        <v>31</v>
      </c>
      <c r="H941" t="s">
        <v>8</v>
      </c>
      <c r="I941" t="s">
        <v>9</v>
      </c>
      <c r="J941" t="s">
        <v>10</v>
      </c>
      <c r="K941" t="s">
        <v>11</v>
      </c>
      <c r="L941" t="s">
        <v>12</v>
      </c>
      <c r="M941" t="s">
        <v>54</v>
      </c>
      <c r="N941" t="s">
        <v>46</v>
      </c>
      <c r="O941" t="s">
        <v>41</v>
      </c>
      <c r="P941">
        <v>5</v>
      </c>
    </row>
    <row r="942" spans="1:16" x14ac:dyDescent="0.3">
      <c r="A942">
        <v>1438</v>
      </c>
      <c r="B942">
        <v>45002</v>
      </c>
      <c r="C942">
        <v>46</v>
      </c>
      <c r="D942">
        <v>28475</v>
      </c>
      <c r="E942" t="s">
        <v>14</v>
      </c>
      <c r="F942" t="s">
        <v>22</v>
      </c>
      <c r="G942" t="s">
        <v>34</v>
      </c>
      <c r="H942" t="s">
        <v>8</v>
      </c>
      <c r="I942" t="s">
        <v>9</v>
      </c>
      <c r="J942" t="s">
        <v>10</v>
      </c>
      <c r="K942" t="s">
        <v>26</v>
      </c>
      <c r="L942" t="s">
        <v>12</v>
      </c>
      <c r="M942" t="s">
        <v>35</v>
      </c>
      <c r="N942" t="s">
        <v>46</v>
      </c>
      <c r="O942" t="s">
        <v>41</v>
      </c>
      <c r="P942">
        <v>4</v>
      </c>
    </row>
    <row r="943" spans="1:16" x14ac:dyDescent="0.3">
      <c r="A943">
        <v>1439</v>
      </c>
      <c r="B943">
        <v>44762</v>
      </c>
      <c r="C943">
        <v>34</v>
      </c>
      <c r="D943">
        <v>32166</v>
      </c>
      <c r="E943" t="s">
        <v>14</v>
      </c>
      <c r="F943" t="s">
        <v>15</v>
      </c>
      <c r="G943" t="s">
        <v>17</v>
      </c>
      <c r="H943" t="s">
        <v>8</v>
      </c>
      <c r="I943" t="s">
        <v>9</v>
      </c>
      <c r="J943" t="s">
        <v>25</v>
      </c>
      <c r="K943" t="s">
        <v>19</v>
      </c>
      <c r="L943" t="s">
        <v>12</v>
      </c>
      <c r="M943" t="s">
        <v>32</v>
      </c>
      <c r="N943" t="s">
        <v>46</v>
      </c>
      <c r="O943" t="s">
        <v>56</v>
      </c>
      <c r="P943">
        <v>1</v>
      </c>
    </row>
    <row r="944" spans="1:16" x14ac:dyDescent="0.3">
      <c r="A944">
        <v>1440</v>
      </c>
      <c r="B944">
        <v>45142</v>
      </c>
      <c r="C944">
        <v>26</v>
      </c>
      <c r="D944">
        <v>35482</v>
      </c>
      <c r="E944" t="s">
        <v>14</v>
      </c>
      <c r="F944" t="s">
        <v>15</v>
      </c>
      <c r="G944" t="s">
        <v>31</v>
      </c>
      <c r="H944" t="s">
        <v>8</v>
      </c>
      <c r="I944" t="s">
        <v>9</v>
      </c>
      <c r="J944" t="s">
        <v>20</v>
      </c>
      <c r="K944" t="s">
        <v>19</v>
      </c>
      <c r="L944" t="s">
        <v>12</v>
      </c>
      <c r="M944" t="s">
        <v>35</v>
      </c>
      <c r="N944" t="s">
        <v>23</v>
      </c>
      <c r="O944" t="s">
        <v>56</v>
      </c>
      <c r="P944">
        <v>1</v>
      </c>
    </row>
    <row r="945" spans="1:16" x14ac:dyDescent="0.3">
      <c r="A945">
        <v>1441</v>
      </c>
      <c r="B945">
        <v>44526</v>
      </c>
      <c r="C945">
        <v>39</v>
      </c>
      <c r="D945">
        <v>30026</v>
      </c>
      <c r="E945" t="s">
        <v>14</v>
      </c>
      <c r="F945" t="s">
        <v>15</v>
      </c>
      <c r="G945" t="s">
        <v>34</v>
      </c>
      <c r="H945" t="s">
        <v>8</v>
      </c>
      <c r="I945" t="s">
        <v>9</v>
      </c>
      <c r="J945" t="s">
        <v>10</v>
      </c>
      <c r="K945" t="s">
        <v>19</v>
      </c>
      <c r="L945" t="s">
        <v>12</v>
      </c>
      <c r="M945" t="s">
        <v>35</v>
      </c>
      <c r="N945" t="s">
        <v>23</v>
      </c>
      <c r="O945" t="s">
        <v>56</v>
      </c>
      <c r="P945">
        <v>1</v>
      </c>
    </row>
    <row r="946" spans="1:16" x14ac:dyDescent="0.3">
      <c r="A946">
        <v>1442</v>
      </c>
      <c r="B946">
        <v>43370</v>
      </c>
      <c r="C946">
        <v>25</v>
      </c>
      <c r="D946">
        <v>34160</v>
      </c>
      <c r="E946" t="s">
        <v>14</v>
      </c>
      <c r="F946" t="s">
        <v>15</v>
      </c>
      <c r="G946" t="s">
        <v>31</v>
      </c>
      <c r="H946" t="s">
        <v>8</v>
      </c>
      <c r="I946" t="s">
        <v>9</v>
      </c>
      <c r="J946" t="s">
        <v>25</v>
      </c>
      <c r="K946" t="s">
        <v>19</v>
      </c>
      <c r="L946" t="s">
        <v>12</v>
      </c>
      <c r="M946" t="s">
        <v>93</v>
      </c>
      <c r="N946" t="s">
        <v>37</v>
      </c>
      <c r="O946" t="s">
        <v>56</v>
      </c>
      <c r="P946">
        <v>4</v>
      </c>
    </row>
    <row r="947" spans="1:16" x14ac:dyDescent="0.3">
      <c r="A947">
        <v>1443</v>
      </c>
      <c r="B947">
        <v>43681</v>
      </c>
      <c r="C947">
        <v>59</v>
      </c>
      <c r="D947">
        <v>21971</v>
      </c>
      <c r="E947" t="s">
        <v>14</v>
      </c>
      <c r="F947" t="s">
        <v>15</v>
      </c>
      <c r="G947" t="s">
        <v>40</v>
      </c>
      <c r="H947" t="s">
        <v>8</v>
      </c>
      <c r="I947" t="s">
        <v>9</v>
      </c>
      <c r="J947" t="s">
        <v>10</v>
      </c>
      <c r="K947" t="s">
        <v>11</v>
      </c>
      <c r="L947" t="s">
        <v>12</v>
      </c>
      <c r="M947" t="s">
        <v>35</v>
      </c>
      <c r="N947" t="s">
        <v>16</v>
      </c>
      <c r="O947" t="s">
        <v>56</v>
      </c>
      <c r="P947">
        <v>2</v>
      </c>
    </row>
    <row r="948" spans="1:16" x14ac:dyDescent="0.3">
      <c r="A948">
        <v>1444</v>
      </c>
      <c r="B948">
        <v>43741</v>
      </c>
      <c r="C948">
        <v>47</v>
      </c>
      <c r="D948">
        <v>26350</v>
      </c>
      <c r="E948" t="s">
        <v>14</v>
      </c>
      <c r="F948" t="s">
        <v>15</v>
      </c>
      <c r="G948" t="s">
        <v>40</v>
      </c>
      <c r="H948" t="s">
        <v>8</v>
      </c>
      <c r="I948" t="s">
        <v>9</v>
      </c>
      <c r="J948" t="s">
        <v>10</v>
      </c>
      <c r="K948" t="s">
        <v>11</v>
      </c>
      <c r="L948" t="s">
        <v>12</v>
      </c>
      <c r="M948" t="s">
        <v>32</v>
      </c>
      <c r="N948" t="s">
        <v>16</v>
      </c>
      <c r="O948" t="s">
        <v>56</v>
      </c>
      <c r="P948">
        <v>5</v>
      </c>
    </row>
    <row r="949" spans="1:16" x14ac:dyDescent="0.3">
      <c r="A949">
        <v>1448</v>
      </c>
      <c r="B949">
        <v>44087</v>
      </c>
      <c r="C949">
        <v>44</v>
      </c>
      <c r="D949">
        <v>27985</v>
      </c>
      <c r="E949" t="s">
        <v>14</v>
      </c>
      <c r="F949" t="s">
        <v>15</v>
      </c>
      <c r="G949" t="s">
        <v>31</v>
      </c>
      <c r="H949" t="s">
        <v>8</v>
      </c>
      <c r="I949" t="s">
        <v>9</v>
      </c>
      <c r="J949" t="s">
        <v>20</v>
      </c>
      <c r="K949" t="s">
        <v>19</v>
      </c>
      <c r="L949" t="s">
        <v>12</v>
      </c>
      <c r="M949" t="s">
        <v>32</v>
      </c>
      <c r="N949" t="s">
        <v>30</v>
      </c>
      <c r="O949" t="s">
        <v>56</v>
      </c>
      <c r="P949">
        <v>1</v>
      </c>
    </row>
    <row r="950" spans="1:16" x14ac:dyDescent="0.3">
      <c r="A950">
        <v>1449</v>
      </c>
      <c r="B950">
        <v>44880</v>
      </c>
      <c r="C950">
        <v>57</v>
      </c>
      <c r="D950">
        <v>23999</v>
      </c>
      <c r="E950" t="s">
        <v>14</v>
      </c>
      <c r="F950" t="s">
        <v>22</v>
      </c>
      <c r="G950" t="s">
        <v>40</v>
      </c>
      <c r="H950" t="s">
        <v>64</v>
      </c>
      <c r="I950" t="s">
        <v>9</v>
      </c>
      <c r="J950" t="s">
        <v>20</v>
      </c>
      <c r="K950" t="s">
        <v>26</v>
      </c>
      <c r="L950" t="s">
        <v>12</v>
      </c>
      <c r="M950" t="s">
        <v>28</v>
      </c>
      <c r="N950" t="s">
        <v>30</v>
      </c>
      <c r="O950" t="s">
        <v>56</v>
      </c>
      <c r="P950">
        <v>2</v>
      </c>
    </row>
    <row r="951" spans="1:16" x14ac:dyDescent="0.3">
      <c r="A951">
        <v>1450</v>
      </c>
      <c r="B951">
        <v>43868</v>
      </c>
      <c r="C951">
        <v>62</v>
      </c>
      <c r="D951">
        <v>21236</v>
      </c>
      <c r="E951" t="s">
        <v>14</v>
      </c>
      <c r="F951" t="s">
        <v>22</v>
      </c>
      <c r="G951" t="s">
        <v>31</v>
      </c>
      <c r="H951" t="s">
        <v>64</v>
      </c>
      <c r="I951" t="s">
        <v>66</v>
      </c>
      <c r="J951" t="s">
        <v>25</v>
      </c>
      <c r="K951" t="s">
        <v>11</v>
      </c>
      <c r="L951" t="s">
        <v>12</v>
      </c>
      <c r="M951" t="s">
        <v>35</v>
      </c>
      <c r="N951" t="s">
        <v>16</v>
      </c>
      <c r="O951" t="s">
        <v>56</v>
      </c>
      <c r="P951">
        <v>1</v>
      </c>
    </row>
    <row r="952" spans="1:16" x14ac:dyDescent="0.3">
      <c r="A952">
        <v>1451</v>
      </c>
      <c r="B952">
        <v>44926</v>
      </c>
      <c r="C952">
        <v>78</v>
      </c>
      <c r="D952">
        <v>16426</v>
      </c>
      <c r="E952" t="s">
        <v>14</v>
      </c>
      <c r="F952" t="s">
        <v>15</v>
      </c>
      <c r="G952" t="s">
        <v>17</v>
      </c>
      <c r="H952" t="s">
        <v>64</v>
      </c>
      <c r="I952" t="s">
        <v>9</v>
      </c>
      <c r="J952" t="s">
        <v>20</v>
      </c>
      <c r="K952" t="s">
        <v>19</v>
      </c>
      <c r="L952" t="s">
        <v>12</v>
      </c>
      <c r="M952" t="s">
        <v>49</v>
      </c>
      <c r="N952" t="s">
        <v>23</v>
      </c>
      <c r="O952" t="s">
        <v>56</v>
      </c>
      <c r="P952">
        <v>3</v>
      </c>
    </row>
    <row r="953" spans="1:16" x14ac:dyDescent="0.3">
      <c r="A953">
        <v>1452</v>
      </c>
      <c r="B953">
        <v>43550</v>
      </c>
      <c r="C953">
        <v>66</v>
      </c>
      <c r="D953">
        <v>19447</v>
      </c>
      <c r="E953" t="s">
        <v>14</v>
      </c>
      <c r="F953" t="s">
        <v>15</v>
      </c>
      <c r="G953" t="s">
        <v>31</v>
      </c>
      <c r="H953" t="s">
        <v>64</v>
      </c>
      <c r="I953" t="s">
        <v>9</v>
      </c>
      <c r="J953" t="s">
        <v>25</v>
      </c>
      <c r="K953" t="s">
        <v>26</v>
      </c>
      <c r="L953" t="s">
        <v>12</v>
      </c>
      <c r="M953" t="s">
        <v>35</v>
      </c>
      <c r="N953" t="s">
        <v>16</v>
      </c>
      <c r="O953" t="s">
        <v>56</v>
      </c>
      <c r="P953">
        <v>4</v>
      </c>
    </row>
    <row r="954" spans="1:16" x14ac:dyDescent="0.3">
      <c r="A954">
        <v>1453</v>
      </c>
      <c r="B954">
        <v>45007</v>
      </c>
      <c r="C954">
        <v>33</v>
      </c>
      <c r="D954">
        <v>33105</v>
      </c>
      <c r="E954" t="s">
        <v>14</v>
      </c>
      <c r="F954" t="s">
        <v>22</v>
      </c>
      <c r="G954" t="s">
        <v>31</v>
      </c>
      <c r="H954" t="s">
        <v>64</v>
      </c>
      <c r="I954" t="s">
        <v>9</v>
      </c>
      <c r="J954" t="s">
        <v>25</v>
      </c>
      <c r="K954" t="s">
        <v>11</v>
      </c>
      <c r="L954" t="s">
        <v>12</v>
      </c>
      <c r="M954" t="s">
        <v>42</v>
      </c>
      <c r="N954" t="s">
        <v>37</v>
      </c>
      <c r="O954" t="s">
        <v>56</v>
      </c>
      <c r="P954">
        <v>5</v>
      </c>
    </row>
    <row r="955" spans="1:16" x14ac:dyDescent="0.3">
      <c r="A955">
        <v>1454</v>
      </c>
      <c r="B955">
        <v>44918</v>
      </c>
      <c r="C955">
        <v>45</v>
      </c>
      <c r="D955">
        <v>28196</v>
      </c>
      <c r="E955" t="s">
        <v>14</v>
      </c>
      <c r="F955" t="s">
        <v>22</v>
      </c>
      <c r="G955" t="s">
        <v>34</v>
      </c>
      <c r="H955" t="s">
        <v>64</v>
      </c>
      <c r="I955" t="s">
        <v>66</v>
      </c>
      <c r="J955" t="s">
        <v>25</v>
      </c>
      <c r="K955" t="s">
        <v>11</v>
      </c>
      <c r="L955" t="s">
        <v>12</v>
      </c>
      <c r="M955" t="s">
        <v>32</v>
      </c>
      <c r="N955" t="s">
        <v>23</v>
      </c>
      <c r="O955" t="s">
        <v>56</v>
      </c>
      <c r="P955">
        <v>2</v>
      </c>
    </row>
    <row r="956" spans="1:16" x14ac:dyDescent="0.3">
      <c r="A956">
        <v>1455</v>
      </c>
      <c r="B956">
        <v>43826</v>
      </c>
      <c r="C956">
        <v>24</v>
      </c>
      <c r="D956">
        <v>34777</v>
      </c>
      <c r="E956" t="s">
        <v>14</v>
      </c>
      <c r="F956" t="s">
        <v>15</v>
      </c>
      <c r="G956" t="s">
        <v>17</v>
      </c>
      <c r="H956" t="s">
        <v>8</v>
      </c>
      <c r="I956" t="s">
        <v>9</v>
      </c>
      <c r="J956" t="s">
        <v>10</v>
      </c>
      <c r="K956" t="s">
        <v>11</v>
      </c>
      <c r="L956" t="s">
        <v>12</v>
      </c>
      <c r="M956" t="s">
        <v>28</v>
      </c>
      <c r="N956" t="s">
        <v>30</v>
      </c>
      <c r="O956" t="s">
        <v>56</v>
      </c>
      <c r="P956">
        <v>2</v>
      </c>
    </row>
    <row r="957" spans="1:16" x14ac:dyDescent="0.3">
      <c r="A957">
        <v>1456</v>
      </c>
      <c r="B957">
        <v>43641</v>
      </c>
      <c r="C957">
        <v>63</v>
      </c>
      <c r="D957">
        <v>20736</v>
      </c>
      <c r="E957" t="s">
        <v>14</v>
      </c>
      <c r="F957" t="s">
        <v>15</v>
      </c>
      <c r="G957" t="s">
        <v>34</v>
      </c>
      <c r="H957" t="s">
        <v>8</v>
      </c>
      <c r="I957" t="s">
        <v>9</v>
      </c>
      <c r="J957" t="s">
        <v>25</v>
      </c>
      <c r="K957" t="s">
        <v>26</v>
      </c>
      <c r="L957" t="s">
        <v>12</v>
      </c>
      <c r="M957" t="s">
        <v>42</v>
      </c>
      <c r="N957" t="s">
        <v>23</v>
      </c>
      <c r="O957" t="s">
        <v>41</v>
      </c>
      <c r="P957">
        <v>1</v>
      </c>
    </row>
    <row r="958" spans="1:16" x14ac:dyDescent="0.3">
      <c r="A958">
        <v>1457</v>
      </c>
      <c r="B958">
        <v>43427</v>
      </c>
      <c r="C958">
        <v>41</v>
      </c>
      <c r="D958">
        <v>28340</v>
      </c>
      <c r="E958" t="s">
        <v>14</v>
      </c>
      <c r="F958" t="s">
        <v>15</v>
      </c>
      <c r="G958" t="s">
        <v>34</v>
      </c>
      <c r="H958" t="s">
        <v>8</v>
      </c>
      <c r="I958" t="s">
        <v>9</v>
      </c>
      <c r="J958" t="s">
        <v>10</v>
      </c>
      <c r="K958" t="s">
        <v>19</v>
      </c>
      <c r="L958" t="s">
        <v>12</v>
      </c>
      <c r="M958" t="s">
        <v>35</v>
      </c>
      <c r="N958" t="s">
        <v>30</v>
      </c>
      <c r="O958" t="s">
        <v>41</v>
      </c>
      <c r="P958">
        <v>1</v>
      </c>
    </row>
    <row r="959" spans="1:16" x14ac:dyDescent="0.3">
      <c r="A959">
        <v>1458</v>
      </c>
      <c r="B959">
        <v>44213</v>
      </c>
      <c r="C959">
        <v>27</v>
      </c>
      <c r="D959">
        <v>34412</v>
      </c>
      <c r="E959" t="s">
        <v>14</v>
      </c>
      <c r="F959" t="s">
        <v>15</v>
      </c>
      <c r="G959" t="s">
        <v>31</v>
      </c>
      <c r="H959" t="s">
        <v>8</v>
      </c>
      <c r="I959" t="s">
        <v>9</v>
      </c>
      <c r="J959" t="s">
        <v>25</v>
      </c>
      <c r="K959" t="s">
        <v>19</v>
      </c>
      <c r="L959" t="s">
        <v>12</v>
      </c>
      <c r="M959" t="s">
        <v>59</v>
      </c>
      <c r="N959" t="s">
        <v>23</v>
      </c>
      <c r="O959" t="s">
        <v>41</v>
      </c>
      <c r="P959">
        <v>2</v>
      </c>
    </row>
    <row r="960" spans="1:16" x14ac:dyDescent="0.3">
      <c r="A960">
        <v>1459</v>
      </c>
      <c r="B960">
        <v>44447</v>
      </c>
      <c r="C960">
        <v>75</v>
      </c>
      <c r="D960">
        <v>17026</v>
      </c>
      <c r="E960" t="s">
        <v>14</v>
      </c>
      <c r="F960" t="s">
        <v>22</v>
      </c>
      <c r="G960" t="s">
        <v>31</v>
      </c>
      <c r="H960" t="s">
        <v>8</v>
      </c>
      <c r="I960" t="s">
        <v>9</v>
      </c>
      <c r="J960" t="s">
        <v>10</v>
      </c>
      <c r="K960" t="s">
        <v>11</v>
      </c>
      <c r="L960" t="s">
        <v>12</v>
      </c>
      <c r="M960" t="s">
        <v>42</v>
      </c>
      <c r="N960" t="s">
        <v>37</v>
      </c>
      <c r="O960" t="s">
        <v>41</v>
      </c>
      <c r="P960">
        <v>2</v>
      </c>
    </row>
    <row r="961" spans="1:16" x14ac:dyDescent="0.3">
      <c r="A961">
        <v>1460</v>
      </c>
      <c r="B961">
        <v>44251</v>
      </c>
      <c r="C961">
        <v>66</v>
      </c>
      <c r="D961">
        <v>20238</v>
      </c>
      <c r="E961" t="s">
        <v>14</v>
      </c>
      <c r="F961" t="s">
        <v>22</v>
      </c>
      <c r="G961" t="s">
        <v>40</v>
      </c>
      <c r="H961" t="s">
        <v>8</v>
      </c>
      <c r="I961" t="s">
        <v>9</v>
      </c>
      <c r="J961" t="s">
        <v>25</v>
      </c>
      <c r="K961" t="s">
        <v>19</v>
      </c>
      <c r="L961" t="s">
        <v>12</v>
      </c>
      <c r="M961" t="s">
        <v>59</v>
      </c>
      <c r="N961" t="s">
        <v>30</v>
      </c>
      <c r="O961" t="s">
        <v>41</v>
      </c>
      <c r="P961">
        <v>3</v>
      </c>
    </row>
    <row r="962" spans="1:16" x14ac:dyDescent="0.3">
      <c r="A962">
        <v>1461</v>
      </c>
      <c r="B962">
        <v>43567</v>
      </c>
      <c r="C962">
        <v>18</v>
      </c>
      <c r="D962">
        <v>36953</v>
      </c>
      <c r="E962" t="s">
        <v>14</v>
      </c>
      <c r="F962" t="s">
        <v>15</v>
      </c>
      <c r="G962" t="s">
        <v>17</v>
      </c>
      <c r="H962" t="s">
        <v>8</v>
      </c>
      <c r="I962" t="s">
        <v>9</v>
      </c>
      <c r="J962" t="s">
        <v>25</v>
      </c>
      <c r="K962" t="s">
        <v>11</v>
      </c>
      <c r="L962" t="s">
        <v>12</v>
      </c>
      <c r="M962" t="s">
        <v>54</v>
      </c>
      <c r="N962" t="s">
        <v>46</v>
      </c>
      <c r="O962" t="s">
        <v>41</v>
      </c>
      <c r="P962">
        <v>1</v>
      </c>
    </row>
    <row r="963" spans="1:16" x14ac:dyDescent="0.3">
      <c r="A963">
        <v>1462</v>
      </c>
      <c r="B963">
        <v>45120</v>
      </c>
      <c r="C963">
        <v>63</v>
      </c>
      <c r="D963">
        <v>21982</v>
      </c>
      <c r="E963" t="s">
        <v>14</v>
      </c>
      <c r="F963" t="s">
        <v>15</v>
      </c>
      <c r="G963" t="s">
        <v>17</v>
      </c>
      <c r="H963" t="s">
        <v>8</v>
      </c>
      <c r="I963" t="s">
        <v>9</v>
      </c>
      <c r="J963" t="s">
        <v>10</v>
      </c>
      <c r="K963" t="s">
        <v>11</v>
      </c>
      <c r="L963" t="s">
        <v>12</v>
      </c>
      <c r="M963" t="s">
        <v>55</v>
      </c>
      <c r="N963" t="s">
        <v>30</v>
      </c>
      <c r="O963" t="s">
        <v>41</v>
      </c>
      <c r="P963">
        <v>5</v>
      </c>
    </row>
    <row r="964" spans="1:16" x14ac:dyDescent="0.3">
      <c r="A964">
        <v>1463</v>
      </c>
      <c r="B964">
        <v>44109</v>
      </c>
      <c r="C964">
        <v>45</v>
      </c>
      <c r="D964">
        <v>27726</v>
      </c>
      <c r="E964" t="s">
        <v>14</v>
      </c>
      <c r="F964" t="s">
        <v>15</v>
      </c>
      <c r="G964" t="s">
        <v>40</v>
      </c>
      <c r="H964" t="s">
        <v>8</v>
      </c>
      <c r="I964" t="s">
        <v>9</v>
      </c>
      <c r="J964" t="s">
        <v>10</v>
      </c>
      <c r="K964" t="s">
        <v>11</v>
      </c>
      <c r="L964" t="s">
        <v>12</v>
      </c>
      <c r="M964" t="s">
        <v>35</v>
      </c>
      <c r="N964" t="s">
        <v>23</v>
      </c>
      <c r="O964" t="s">
        <v>41</v>
      </c>
      <c r="P964">
        <v>4</v>
      </c>
    </row>
    <row r="965" spans="1:16" x14ac:dyDescent="0.3">
      <c r="A965">
        <v>1464</v>
      </c>
      <c r="B965">
        <v>43492</v>
      </c>
      <c r="C965">
        <v>62</v>
      </c>
      <c r="D965">
        <v>21094</v>
      </c>
      <c r="E965" t="s">
        <v>14</v>
      </c>
      <c r="F965" t="s">
        <v>15</v>
      </c>
      <c r="G965" t="s">
        <v>34</v>
      </c>
      <c r="H965" t="s">
        <v>8</v>
      </c>
      <c r="I965" t="s">
        <v>9</v>
      </c>
      <c r="J965" t="s">
        <v>20</v>
      </c>
      <c r="K965" t="s">
        <v>11</v>
      </c>
      <c r="L965" t="s">
        <v>12</v>
      </c>
      <c r="M965" t="s">
        <v>28</v>
      </c>
      <c r="N965" t="s">
        <v>46</v>
      </c>
      <c r="O965" t="s">
        <v>41</v>
      </c>
      <c r="P965">
        <v>5</v>
      </c>
    </row>
    <row r="966" spans="1:16" x14ac:dyDescent="0.3">
      <c r="A966">
        <v>1465</v>
      </c>
      <c r="B966">
        <v>44182</v>
      </c>
      <c r="C966">
        <v>62</v>
      </c>
      <c r="D966">
        <v>21358</v>
      </c>
      <c r="E966" t="s">
        <v>14</v>
      </c>
      <c r="F966" t="s">
        <v>15</v>
      </c>
      <c r="G966" t="s">
        <v>31</v>
      </c>
      <c r="H966" t="s">
        <v>8</v>
      </c>
      <c r="I966" t="s">
        <v>9</v>
      </c>
      <c r="J966" t="s">
        <v>20</v>
      </c>
      <c r="K966" t="s">
        <v>19</v>
      </c>
      <c r="L966" t="s">
        <v>12</v>
      </c>
      <c r="M966" t="s">
        <v>68</v>
      </c>
      <c r="N966" t="s">
        <v>30</v>
      </c>
      <c r="O966" t="s">
        <v>41</v>
      </c>
      <c r="P966">
        <v>1</v>
      </c>
    </row>
    <row r="967" spans="1:16" x14ac:dyDescent="0.3">
      <c r="A967">
        <v>1466</v>
      </c>
      <c r="B967">
        <v>44259</v>
      </c>
      <c r="C967">
        <v>32</v>
      </c>
      <c r="D967">
        <v>32575</v>
      </c>
      <c r="E967" t="s">
        <v>14</v>
      </c>
      <c r="F967" t="s">
        <v>15</v>
      </c>
      <c r="G967" t="s">
        <v>17</v>
      </c>
      <c r="H967" t="s">
        <v>8</v>
      </c>
      <c r="I967" t="s">
        <v>9</v>
      </c>
      <c r="J967" t="s">
        <v>25</v>
      </c>
      <c r="K967" t="s">
        <v>19</v>
      </c>
      <c r="L967" t="s">
        <v>12</v>
      </c>
      <c r="M967" t="s">
        <v>67</v>
      </c>
      <c r="N967" t="s">
        <v>16</v>
      </c>
      <c r="O967" t="s">
        <v>41</v>
      </c>
      <c r="P967">
        <v>4</v>
      </c>
    </row>
    <row r="968" spans="1:16" x14ac:dyDescent="0.3">
      <c r="A968">
        <v>1467</v>
      </c>
      <c r="B968">
        <v>45015</v>
      </c>
      <c r="C968">
        <v>34</v>
      </c>
      <c r="D968">
        <v>32614</v>
      </c>
      <c r="E968" t="s">
        <v>14</v>
      </c>
      <c r="F968" t="s">
        <v>15</v>
      </c>
      <c r="G968" t="s">
        <v>34</v>
      </c>
      <c r="H968" t="s">
        <v>8</v>
      </c>
      <c r="I968" t="s">
        <v>9</v>
      </c>
      <c r="J968" t="s">
        <v>25</v>
      </c>
      <c r="K968" t="s">
        <v>19</v>
      </c>
      <c r="L968" t="s">
        <v>12</v>
      </c>
      <c r="M968" t="s">
        <v>62</v>
      </c>
      <c r="N968" t="s">
        <v>37</v>
      </c>
      <c r="O968" t="s">
        <v>18</v>
      </c>
      <c r="P968">
        <v>4</v>
      </c>
    </row>
    <row r="969" spans="1:16" x14ac:dyDescent="0.3">
      <c r="A969">
        <v>1468</v>
      </c>
      <c r="B969">
        <v>43461</v>
      </c>
      <c r="C969">
        <v>53</v>
      </c>
      <c r="D969">
        <v>23984</v>
      </c>
      <c r="E969" t="s">
        <v>14</v>
      </c>
      <c r="F969" t="s">
        <v>15</v>
      </c>
      <c r="G969" t="s">
        <v>40</v>
      </c>
      <c r="H969" t="s">
        <v>8</v>
      </c>
      <c r="I969" t="s">
        <v>9</v>
      </c>
      <c r="J969" t="s">
        <v>10</v>
      </c>
      <c r="K969" t="s">
        <v>19</v>
      </c>
      <c r="L969" t="s">
        <v>12</v>
      </c>
      <c r="M969" t="s">
        <v>35</v>
      </c>
      <c r="N969" t="s">
        <v>23</v>
      </c>
      <c r="O969" t="s">
        <v>41</v>
      </c>
      <c r="P969">
        <v>1</v>
      </c>
    </row>
    <row r="970" spans="1:16" x14ac:dyDescent="0.3">
      <c r="A970">
        <v>1469</v>
      </c>
      <c r="B970">
        <v>44459</v>
      </c>
      <c r="C970">
        <v>45</v>
      </c>
      <c r="D970">
        <v>27989</v>
      </c>
      <c r="E970" t="s">
        <v>14</v>
      </c>
      <c r="F970" t="s">
        <v>15</v>
      </c>
      <c r="G970" t="s">
        <v>34</v>
      </c>
      <c r="H970" t="s">
        <v>8</v>
      </c>
      <c r="I970" t="s">
        <v>9</v>
      </c>
      <c r="J970" t="s">
        <v>25</v>
      </c>
      <c r="K970" t="s">
        <v>26</v>
      </c>
      <c r="L970" t="s">
        <v>12</v>
      </c>
      <c r="M970" t="s">
        <v>35</v>
      </c>
      <c r="N970" t="s">
        <v>46</v>
      </c>
      <c r="O970" t="s">
        <v>41</v>
      </c>
      <c r="P970">
        <v>2</v>
      </c>
    </row>
    <row r="971" spans="1:16" x14ac:dyDescent="0.3">
      <c r="A971">
        <v>1470</v>
      </c>
      <c r="B971">
        <v>44965</v>
      </c>
      <c r="C971">
        <v>28</v>
      </c>
      <c r="D971">
        <v>34962</v>
      </c>
      <c r="E971" t="s">
        <v>14</v>
      </c>
      <c r="F971" t="s">
        <v>15</v>
      </c>
      <c r="G971" t="s">
        <v>34</v>
      </c>
      <c r="H971" t="s">
        <v>8</v>
      </c>
      <c r="I971" t="s">
        <v>9</v>
      </c>
      <c r="J971" t="s">
        <v>20</v>
      </c>
      <c r="K971" t="s">
        <v>26</v>
      </c>
      <c r="L971" t="s">
        <v>12</v>
      </c>
      <c r="M971" t="s">
        <v>28</v>
      </c>
      <c r="N971" t="s">
        <v>46</v>
      </c>
      <c r="O971" t="s">
        <v>41</v>
      </c>
      <c r="P971">
        <v>4</v>
      </c>
    </row>
    <row r="972" spans="1:16" x14ac:dyDescent="0.3">
      <c r="A972">
        <v>1471</v>
      </c>
      <c r="B972">
        <v>43754</v>
      </c>
      <c r="C972">
        <v>59</v>
      </c>
      <c r="D972">
        <v>22015</v>
      </c>
      <c r="E972" t="s">
        <v>14</v>
      </c>
      <c r="F972" t="s">
        <v>22</v>
      </c>
      <c r="G972" t="s">
        <v>40</v>
      </c>
      <c r="H972" t="s">
        <v>64</v>
      </c>
      <c r="I972" t="s">
        <v>66</v>
      </c>
      <c r="J972" t="s">
        <v>25</v>
      </c>
      <c r="K972" t="s">
        <v>26</v>
      </c>
      <c r="L972" t="s">
        <v>12</v>
      </c>
      <c r="M972" t="s">
        <v>35</v>
      </c>
      <c r="N972" t="s">
        <v>16</v>
      </c>
      <c r="O972" t="s">
        <v>41</v>
      </c>
      <c r="P972">
        <v>4</v>
      </c>
    </row>
    <row r="973" spans="1:16" x14ac:dyDescent="0.3">
      <c r="A973">
        <v>1472</v>
      </c>
      <c r="B973">
        <v>44439</v>
      </c>
      <c r="C973">
        <v>49</v>
      </c>
      <c r="D973">
        <v>26403</v>
      </c>
      <c r="E973" t="s">
        <v>14</v>
      </c>
      <c r="F973" t="s">
        <v>22</v>
      </c>
      <c r="G973" t="s">
        <v>31</v>
      </c>
      <c r="H973" t="s">
        <v>64</v>
      </c>
      <c r="I973" t="s">
        <v>9</v>
      </c>
      <c r="J973" t="s">
        <v>10</v>
      </c>
      <c r="K973" t="s">
        <v>11</v>
      </c>
      <c r="L973" t="s">
        <v>12</v>
      </c>
      <c r="M973" t="s">
        <v>54</v>
      </c>
      <c r="N973" t="s">
        <v>30</v>
      </c>
      <c r="O973" t="s">
        <v>41</v>
      </c>
      <c r="P973">
        <v>4</v>
      </c>
    </row>
    <row r="974" spans="1:16" x14ac:dyDescent="0.3">
      <c r="A974">
        <v>1473</v>
      </c>
      <c r="B974">
        <v>44099</v>
      </c>
      <c r="C974">
        <v>78</v>
      </c>
      <c r="D974">
        <v>15620</v>
      </c>
      <c r="E974" t="s">
        <v>14</v>
      </c>
      <c r="F974" t="s">
        <v>15</v>
      </c>
      <c r="G974" t="s">
        <v>40</v>
      </c>
      <c r="H974" t="s">
        <v>64</v>
      </c>
      <c r="I974" t="s">
        <v>9</v>
      </c>
      <c r="J974" t="s">
        <v>10</v>
      </c>
      <c r="K974" t="s">
        <v>26</v>
      </c>
      <c r="L974" t="s">
        <v>12</v>
      </c>
      <c r="M974" t="s">
        <v>35</v>
      </c>
      <c r="N974" t="s">
        <v>37</v>
      </c>
      <c r="O974" t="s">
        <v>41</v>
      </c>
      <c r="P974">
        <v>2</v>
      </c>
    </row>
    <row r="975" spans="1:16" x14ac:dyDescent="0.3">
      <c r="A975">
        <v>1474</v>
      </c>
      <c r="B975">
        <v>44958</v>
      </c>
      <c r="C975">
        <v>81</v>
      </c>
      <c r="D975">
        <v>15535</v>
      </c>
      <c r="E975" t="s">
        <v>14</v>
      </c>
      <c r="F975" t="s">
        <v>15</v>
      </c>
      <c r="G975" t="s">
        <v>34</v>
      </c>
      <c r="H975" t="s">
        <v>64</v>
      </c>
      <c r="I975" t="s">
        <v>66</v>
      </c>
      <c r="J975" t="s">
        <v>25</v>
      </c>
      <c r="K975" t="s">
        <v>11</v>
      </c>
      <c r="L975" t="s">
        <v>12</v>
      </c>
      <c r="M975" t="s">
        <v>42</v>
      </c>
      <c r="N975" t="s">
        <v>23</v>
      </c>
      <c r="O975" t="s">
        <v>41</v>
      </c>
      <c r="P975">
        <v>1</v>
      </c>
    </row>
    <row r="976" spans="1:16" x14ac:dyDescent="0.3">
      <c r="A976">
        <v>1475</v>
      </c>
      <c r="B976">
        <v>44943</v>
      </c>
      <c r="C976">
        <v>30</v>
      </c>
      <c r="D976">
        <v>34200</v>
      </c>
      <c r="E976" t="s">
        <v>14</v>
      </c>
      <c r="F976" t="s">
        <v>22</v>
      </c>
      <c r="G976" t="s">
        <v>34</v>
      </c>
      <c r="H976" t="s">
        <v>64</v>
      </c>
      <c r="I976" t="s">
        <v>9</v>
      </c>
      <c r="J976" t="s">
        <v>25</v>
      </c>
      <c r="K976" t="s">
        <v>19</v>
      </c>
      <c r="L976" t="s">
        <v>12</v>
      </c>
      <c r="M976" t="s">
        <v>59</v>
      </c>
      <c r="N976" t="s">
        <v>30</v>
      </c>
      <c r="O976" t="s">
        <v>41</v>
      </c>
      <c r="P976">
        <v>3</v>
      </c>
    </row>
    <row r="977" spans="1:16" x14ac:dyDescent="0.3">
      <c r="A977">
        <v>1476</v>
      </c>
      <c r="B977">
        <v>43806</v>
      </c>
      <c r="C977">
        <v>57</v>
      </c>
      <c r="D977">
        <v>22957</v>
      </c>
      <c r="E977" t="s">
        <v>14</v>
      </c>
      <c r="F977" t="s">
        <v>22</v>
      </c>
      <c r="G977" t="s">
        <v>40</v>
      </c>
      <c r="H977" t="s">
        <v>64</v>
      </c>
      <c r="I977" t="s">
        <v>66</v>
      </c>
      <c r="J977" t="s">
        <v>10</v>
      </c>
      <c r="K977" t="s">
        <v>11</v>
      </c>
      <c r="L977" t="s">
        <v>12</v>
      </c>
      <c r="M977" t="s">
        <v>35</v>
      </c>
      <c r="N977" t="s">
        <v>30</v>
      </c>
      <c r="O977" t="s">
        <v>65</v>
      </c>
      <c r="P977">
        <v>4</v>
      </c>
    </row>
    <row r="978" spans="1:16" x14ac:dyDescent="0.3">
      <c r="A978">
        <v>1477</v>
      </c>
      <c r="B978">
        <v>43425</v>
      </c>
      <c r="C978">
        <v>55</v>
      </c>
      <c r="D978">
        <v>23266</v>
      </c>
      <c r="E978" t="s">
        <v>14</v>
      </c>
      <c r="F978" t="s">
        <v>15</v>
      </c>
      <c r="G978" t="s">
        <v>34</v>
      </c>
      <c r="H978" t="s">
        <v>8</v>
      </c>
      <c r="I978" t="s">
        <v>9</v>
      </c>
      <c r="J978" t="s">
        <v>10</v>
      </c>
      <c r="K978" t="s">
        <v>26</v>
      </c>
      <c r="L978" t="s">
        <v>12</v>
      </c>
      <c r="M978" t="s">
        <v>59</v>
      </c>
      <c r="N978" t="s">
        <v>46</v>
      </c>
      <c r="O978" t="s">
        <v>41</v>
      </c>
      <c r="P978">
        <v>5</v>
      </c>
    </row>
    <row r="979" spans="1:16" x14ac:dyDescent="0.3">
      <c r="A979">
        <v>1478</v>
      </c>
      <c r="B979">
        <v>44242</v>
      </c>
      <c r="C979">
        <v>68</v>
      </c>
      <c r="D979">
        <v>19623</v>
      </c>
      <c r="E979" t="s">
        <v>14</v>
      </c>
      <c r="F979" t="s">
        <v>15</v>
      </c>
      <c r="G979" t="s">
        <v>40</v>
      </c>
      <c r="H979" t="s">
        <v>8</v>
      </c>
      <c r="I979" t="s">
        <v>9</v>
      </c>
      <c r="J979" t="s">
        <v>20</v>
      </c>
      <c r="K979" t="s">
        <v>26</v>
      </c>
      <c r="L979" t="s">
        <v>12</v>
      </c>
      <c r="M979" t="s">
        <v>35</v>
      </c>
      <c r="N979" t="s">
        <v>30</v>
      </c>
      <c r="O979" t="s">
        <v>41</v>
      </c>
      <c r="P979">
        <v>1</v>
      </c>
    </row>
    <row r="980" spans="1:16" x14ac:dyDescent="0.3">
      <c r="A980">
        <v>1479</v>
      </c>
      <c r="B980">
        <v>44202</v>
      </c>
      <c r="C980">
        <v>70</v>
      </c>
      <c r="D980">
        <v>18966</v>
      </c>
      <c r="E980" t="s">
        <v>14</v>
      </c>
      <c r="F980" t="s">
        <v>15</v>
      </c>
      <c r="G980" t="s">
        <v>34</v>
      </c>
      <c r="H980" t="s">
        <v>8</v>
      </c>
      <c r="I980" t="s">
        <v>9</v>
      </c>
      <c r="J980" t="s">
        <v>20</v>
      </c>
      <c r="K980" t="s">
        <v>26</v>
      </c>
      <c r="L980" t="s">
        <v>12</v>
      </c>
      <c r="M980" t="s">
        <v>54</v>
      </c>
      <c r="N980" t="s">
        <v>16</v>
      </c>
      <c r="O980" t="s">
        <v>41</v>
      </c>
      <c r="P980">
        <v>4</v>
      </c>
    </row>
    <row r="981" spans="1:16" x14ac:dyDescent="0.3">
      <c r="A981">
        <v>1480</v>
      </c>
      <c r="B981">
        <v>43483</v>
      </c>
      <c r="C981">
        <v>25</v>
      </c>
      <c r="D981">
        <v>34451</v>
      </c>
      <c r="E981" t="s">
        <v>14</v>
      </c>
      <c r="F981" t="s">
        <v>22</v>
      </c>
      <c r="G981" t="s">
        <v>34</v>
      </c>
      <c r="H981" t="s">
        <v>8</v>
      </c>
      <c r="I981" t="s">
        <v>9</v>
      </c>
      <c r="J981" t="s">
        <v>20</v>
      </c>
      <c r="K981" t="s">
        <v>26</v>
      </c>
      <c r="L981" t="s">
        <v>12</v>
      </c>
      <c r="M981" t="s">
        <v>58</v>
      </c>
      <c r="N981" t="s">
        <v>37</v>
      </c>
      <c r="O981" t="s">
        <v>56</v>
      </c>
      <c r="P981">
        <v>1</v>
      </c>
    </row>
    <row r="982" spans="1:16" x14ac:dyDescent="0.3">
      <c r="A982">
        <v>1481</v>
      </c>
      <c r="B982">
        <v>45000</v>
      </c>
      <c r="C982">
        <v>23</v>
      </c>
      <c r="D982">
        <v>36716</v>
      </c>
      <c r="E982" t="s">
        <v>14</v>
      </c>
      <c r="F982" t="s">
        <v>22</v>
      </c>
      <c r="G982" t="s">
        <v>31</v>
      </c>
      <c r="H982" t="s">
        <v>8</v>
      </c>
      <c r="I982" t="s">
        <v>9</v>
      </c>
      <c r="J982" t="s">
        <v>25</v>
      </c>
      <c r="K982" t="s">
        <v>19</v>
      </c>
      <c r="L982" t="s">
        <v>12</v>
      </c>
      <c r="M982" t="s">
        <v>35</v>
      </c>
      <c r="N982" t="s">
        <v>46</v>
      </c>
      <c r="O982" t="s">
        <v>41</v>
      </c>
      <c r="P982">
        <v>5</v>
      </c>
    </row>
    <row r="983" spans="1:16" x14ac:dyDescent="0.3">
      <c r="A983">
        <v>1482</v>
      </c>
      <c r="B983">
        <v>43780</v>
      </c>
      <c r="C983">
        <v>67</v>
      </c>
      <c r="D983">
        <v>19026</v>
      </c>
      <c r="E983" t="s">
        <v>14</v>
      </c>
      <c r="F983" t="s">
        <v>15</v>
      </c>
      <c r="G983" t="s">
        <v>17</v>
      </c>
      <c r="H983" t="s">
        <v>8</v>
      </c>
      <c r="I983" t="s">
        <v>9</v>
      </c>
      <c r="J983" t="s">
        <v>10</v>
      </c>
      <c r="K983" t="s">
        <v>11</v>
      </c>
      <c r="L983" t="s">
        <v>12</v>
      </c>
      <c r="M983" t="s">
        <v>13</v>
      </c>
      <c r="N983" t="s">
        <v>46</v>
      </c>
      <c r="O983" t="s">
        <v>41</v>
      </c>
      <c r="P983">
        <v>1</v>
      </c>
    </row>
    <row r="984" spans="1:16" x14ac:dyDescent="0.3">
      <c r="A984">
        <v>1483</v>
      </c>
      <c r="B984">
        <v>44794</v>
      </c>
      <c r="C984">
        <v>61</v>
      </c>
      <c r="D984">
        <v>22569</v>
      </c>
      <c r="E984" t="s">
        <v>14</v>
      </c>
      <c r="F984" t="s">
        <v>15</v>
      </c>
      <c r="G984" t="s">
        <v>31</v>
      </c>
      <c r="H984" t="s">
        <v>8</v>
      </c>
      <c r="I984" t="s">
        <v>9</v>
      </c>
      <c r="J984" t="s">
        <v>25</v>
      </c>
      <c r="K984" t="s">
        <v>19</v>
      </c>
      <c r="L984" t="s">
        <v>12</v>
      </c>
      <c r="M984" t="s">
        <v>58</v>
      </c>
      <c r="N984" t="s">
        <v>23</v>
      </c>
      <c r="O984" t="s">
        <v>41</v>
      </c>
      <c r="P984">
        <v>5</v>
      </c>
    </row>
    <row r="985" spans="1:16" x14ac:dyDescent="0.3">
      <c r="A985">
        <v>1484</v>
      </c>
      <c r="B985">
        <v>43956</v>
      </c>
      <c r="C985">
        <v>29</v>
      </c>
      <c r="D985">
        <v>33421</v>
      </c>
      <c r="E985" t="s">
        <v>14</v>
      </c>
      <c r="F985" t="s">
        <v>15</v>
      </c>
      <c r="G985" t="s">
        <v>34</v>
      </c>
      <c r="H985" t="s">
        <v>8</v>
      </c>
      <c r="I985" t="s">
        <v>9</v>
      </c>
      <c r="J985" t="s">
        <v>25</v>
      </c>
      <c r="K985" t="s">
        <v>26</v>
      </c>
      <c r="L985" t="s">
        <v>12</v>
      </c>
      <c r="M985" t="s">
        <v>32</v>
      </c>
      <c r="N985" t="s">
        <v>23</v>
      </c>
      <c r="O985" t="s">
        <v>41</v>
      </c>
      <c r="P985">
        <v>2</v>
      </c>
    </row>
    <row r="986" spans="1:16" x14ac:dyDescent="0.3">
      <c r="A986">
        <v>1485</v>
      </c>
      <c r="B986">
        <v>44260</v>
      </c>
      <c r="C986">
        <v>50</v>
      </c>
      <c r="D986">
        <v>26283</v>
      </c>
      <c r="E986" t="s">
        <v>14</v>
      </c>
      <c r="F986" t="s">
        <v>15</v>
      </c>
      <c r="G986" t="s">
        <v>34</v>
      </c>
      <c r="H986" t="s">
        <v>8</v>
      </c>
      <c r="I986" t="s">
        <v>9</v>
      </c>
      <c r="J986" t="s">
        <v>10</v>
      </c>
      <c r="K986" t="s">
        <v>19</v>
      </c>
      <c r="L986" t="s">
        <v>12</v>
      </c>
      <c r="M986" t="s">
        <v>21</v>
      </c>
      <c r="N986" t="s">
        <v>46</v>
      </c>
      <c r="O986" t="s">
        <v>41</v>
      </c>
      <c r="P986">
        <v>2</v>
      </c>
    </row>
    <row r="987" spans="1:16" x14ac:dyDescent="0.3">
      <c r="A987">
        <v>1486</v>
      </c>
      <c r="B987">
        <v>43531</v>
      </c>
      <c r="C987">
        <v>20</v>
      </c>
      <c r="D987">
        <v>36293</v>
      </c>
      <c r="E987" t="s">
        <v>14</v>
      </c>
      <c r="F987" t="s">
        <v>15</v>
      </c>
      <c r="G987" t="s">
        <v>40</v>
      </c>
      <c r="H987" t="s">
        <v>8</v>
      </c>
      <c r="I987" t="s">
        <v>9</v>
      </c>
      <c r="J987" t="s">
        <v>20</v>
      </c>
      <c r="K987" t="s">
        <v>19</v>
      </c>
      <c r="L987" t="s">
        <v>12</v>
      </c>
      <c r="M987" t="s">
        <v>42</v>
      </c>
      <c r="N987" t="s">
        <v>23</v>
      </c>
      <c r="O987" t="s">
        <v>18</v>
      </c>
      <c r="P987">
        <v>5</v>
      </c>
    </row>
    <row r="988" spans="1:16" x14ac:dyDescent="0.3">
      <c r="A988">
        <v>1487</v>
      </c>
      <c r="B988">
        <v>44689</v>
      </c>
      <c r="C988">
        <v>51</v>
      </c>
      <c r="D988">
        <v>26173</v>
      </c>
      <c r="E988" t="s">
        <v>14</v>
      </c>
      <c r="F988" t="s">
        <v>15</v>
      </c>
      <c r="G988" t="s">
        <v>17</v>
      </c>
      <c r="H988" t="s">
        <v>8</v>
      </c>
      <c r="I988" t="s">
        <v>9</v>
      </c>
      <c r="J988" t="s">
        <v>25</v>
      </c>
      <c r="K988" t="s">
        <v>26</v>
      </c>
      <c r="L988" t="s">
        <v>12</v>
      </c>
      <c r="M988" t="s">
        <v>32</v>
      </c>
      <c r="N988" t="s">
        <v>46</v>
      </c>
      <c r="O988" t="s">
        <v>18</v>
      </c>
      <c r="P988">
        <v>4</v>
      </c>
    </row>
    <row r="989" spans="1:16" x14ac:dyDescent="0.3">
      <c r="A989">
        <v>1489</v>
      </c>
      <c r="B989">
        <v>44166</v>
      </c>
      <c r="C989">
        <v>76</v>
      </c>
      <c r="D989">
        <v>16303</v>
      </c>
      <c r="E989" t="s">
        <v>14</v>
      </c>
      <c r="F989" t="s">
        <v>15</v>
      </c>
      <c r="G989" t="s">
        <v>17</v>
      </c>
      <c r="H989" t="s">
        <v>8</v>
      </c>
      <c r="I989" t="s">
        <v>9</v>
      </c>
      <c r="J989" t="s">
        <v>10</v>
      </c>
      <c r="K989" t="s">
        <v>19</v>
      </c>
      <c r="L989" t="s">
        <v>12</v>
      </c>
      <c r="M989" t="s">
        <v>55</v>
      </c>
      <c r="N989" t="s">
        <v>16</v>
      </c>
      <c r="O989" t="s">
        <v>18</v>
      </c>
      <c r="P989">
        <v>5</v>
      </c>
    </row>
    <row r="990" spans="1:16" x14ac:dyDescent="0.3">
      <c r="A990">
        <v>1490</v>
      </c>
      <c r="B990">
        <v>43690</v>
      </c>
      <c r="C990">
        <v>49</v>
      </c>
      <c r="D990">
        <v>25650</v>
      </c>
      <c r="E990" t="s">
        <v>14</v>
      </c>
      <c r="F990" t="s">
        <v>15</v>
      </c>
      <c r="G990" t="s">
        <v>17</v>
      </c>
      <c r="H990" t="s">
        <v>8</v>
      </c>
      <c r="I990" t="s">
        <v>9</v>
      </c>
      <c r="J990" t="s">
        <v>10</v>
      </c>
      <c r="K990" t="s">
        <v>19</v>
      </c>
      <c r="L990" t="s">
        <v>12</v>
      </c>
      <c r="M990" t="s">
        <v>42</v>
      </c>
      <c r="N990" t="s">
        <v>16</v>
      </c>
      <c r="O990" t="s">
        <v>56</v>
      </c>
      <c r="P990">
        <v>3</v>
      </c>
    </row>
    <row r="991" spans="1:16" x14ac:dyDescent="0.3">
      <c r="A991">
        <v>1491</v>
      </c>
      <c r="B991">
        <v>43899</v>
      </c>
      <c r="C991">
        <v>38</v>
      </c>
      <c r="D991">
        <v>30009</v>
      </c>
      <c r="E991" t="s">
        <v>14</v>
      </c>
      <c r="F991" t="s">
        <v>15</v>
      </c>
      <c r="G991" t="s">
        <v>34</v>
      </c>
      <c r="H991" t="s">
        <v>8</v>
      </c>
      <c r="I991" t="s">
        <v>9</v>
      </c>
      <c r="J991" t="s">
        <v>20</v>
      </c>
      <c r="K991" t="s">
        <v>11</v>
      </c>
      <c r="L991" t="s">
        <v>12</v>
      </c>
      <c r="M991" t="s">
        <v>54</v>
      </c>
      <c r="N991" t="s">
        <v>23</v>
      </c>
      <c r="O991" t="s">
        <v>41</v>
      </c>
      <c r="P991">
        <v>3</v>
      </c>
    </row>
    <row r="992" spans="1:16" x14ac:dyDescent="0.3">
      <c r="A992">
        <v>1492</v>
      </c>
      <c r="B992">
        <v>43957</v>
      </c>
      <c r="C992">
        <v>65</v>
      </c>
      <c r="D992">
        <v>20431</v>
      </c>
      <c r="E992" t="s">
        <v>14</v>
      </c>
      <c r="F992" t="s">
        <v>22</v>
      </c>
      <c r="G992" t="s">
        <v>40</v>
      </c>
      <c r="H992" t="s">
        <v>64</v>
      </c>
      <c r="I992" t="s">
        <v>9</v>
      </c>
      <c r="J992" t="s">
        <v>25</v>
      </c>
      <c r="K992" t="s">
        <v>26</v>
      </c>
      <c r="L992" t="s">
        <v>12</v>
      </c>
      <c r="M992" t="s">
        <v>42</v>
      </c>
      <c r="N992" t="s">
        <v>30</v>
      </c>
      <c r="O992" t="s">
        <v>41</v>
      </c>
      <c r="P992">
        <v>5</v>
      </c>
    </row>
    <row r="993" spans="1:16" x14ac:dyDescent="0.3">
      <c r="A993">
        <v>1493</v>
      </c>
      <c r="B993">
        <v>44776</v>
      </c>
      <c r="C993">
        <v>42</v>
      </c>
      <c r="D993">
        <v>29421</v>
      </c>
      <c r="E993" t="s">
        <v>14</v>
      </c>
      <c r="F993" t="s">
        <v>22</v>
      </c>
      <c r="G993" t="s">
        <v>34</v>
      </c>
      <c r="H993" t="s">
        <v>64</v>
      </c>
      <c r="I993" t="s">
        <v>9</v>
      </c>
      <c r="J993" t="s">
        <v>25</v>
      </c>
      <c r="K993" t="s">
        <v>26</v>
      </c>
      <c r="L993" t="s">
        <v>12</v>
      </c>
      <c r="M993" t="s">
        <v>35</v>
      </c>
      <c r="N993" t="s">
        <v>37</v>
      </c>
      <c r="O993" t="s">
        <v>18</v>
      </c>
      <c r="P993">
        <v>2</v>
      </c>
    </row>
    <row r="994" spans="1:16" x14ac:dyDescent="0.3">
      <c r="A994">
        <v>1494</v>
      </c>
      <c r="B994">
        <v>43386</v>
      </c>
      <c r="C994">
        <v>69</v>
      </c>
      <c r="D994">
        <v>17969</v>
      </c>
      <c r="E994" t="s">
        <v>14</v>
      </c>
      <c r="F994" t="s">
        <v>15</v>
      </c>
      <c r="G994" t="s">
        <v>40</v>
      </c>
      <c r="H994" t="s">
        <v>64</v>
      </c>
      <c r="I994" t="s">
        <v>66</v>
      </c>
      <c r="J994" t="s">
        <v>10</v>
      </c>
      <c r="K994" t="s">
        <v>26</v>
      </c>
      <c r="L994" t="s">
        <v>12</v>
      </c>
      <c r="M994" t="s">
        <v>49</v>
      </c>
      <c r="N994" t="s">
        <v>23</v>
      </c>
      <c r="O994" t="s">
        <v>18</v>
      </c>
      <c r="P994">
        <v>5</v>
      </c>
    </row>
    <row r="995" spans="1:16" x14ac:dyDescent="0.3">
      <c r="A995">
        <v>1495</v>
      </c>
      <c r="B995">
        <v>44381</v>
      </c>
      <c r="C995">
        <v>50</v>
      </c>
      <c r="D995">
        <v>25944</v>
      </c>
      <c r="E995" t="s">
        <v>14</v>
      </c>
      <c r="F995" t="s">
        <v>22</v>
      </c>
      <c r="G995" t="s">
        <v>31</v>
      </c>
      <c r="H995" t="s">
        <v>64</v>
      </c>
      <c r="I995" t="s">
        <v>9</v>
      </c>
      <c r="J995" t="s">
        <v>20</v>
      </c>
      <c r="K995" t="s">
        <v>19</v>
      </c>
      <c r="L995" t="s">
        <v>12</v>
      </c>
      <c r="M995" t="s">
        <v>32</v>
      </c>
      <c r="N995" t="s">
        <v>23</v>
      </c>
      <c r="O995" t="s">
        <v>18</v>
      </c>
      <c r="P995">
        <v>3</v>
      </c>
    </row>
    <row r="996" spans="1:16" x14ac:dyDescent="0.3">
      <c r="A996">
        <v>1496</v>
      </c>
      <c r="B996">
        <v>43585</v>
      </c>
      <c r="C996">
        <v>69</v>
      </c>
      <c r="D996">
        <v>18561</v>
      </c>
      <c r="E996" t="s">
        <v>14</v>
      </c>
      <c r="F996" t="s">
        <v>22</v>
      </c>
      <c r="G996" t="s">
        <v>17</v>
      </c>
      <c r="H996" t="s">
        <v>64</v>
      </c>
      <c r="I996" t="s">
        <v>9</v>
      </c>
      <c r="J996" t="s">
        <v>20</v>
      </c>
      <c r="K996" t="s">
        <v>19</v>
      </c>
      <c r="L996" t="s">
        <v>12</v>
      </c>
      <c r="M996" t="s">
        <v>49</v>
      </c>
      <c r="N996" t="s">
        <v>16</v>
      </c>
      <c r="O996" t="s">
        <v>18</v>
      </c>
      <c r="P996">
        <v>3</v>
      </c>
    </row>
    <row r="997" spans="1:16" x14ac:dyDescent="0.3">
      <c r="A997">
        <v>1497</v>
      </c>
      <c r="B997">
        <v>44138</v>
      </c>
      <c r="C997">
        <v>25</v>
      </c>
      <c r="D997">
        <v>35044</v>
      </c>
      <c r="E997" t="s">
        <v>14</v>
      </c>
      <c r="F997" t="s">
        <v>22</v>
      </c>
      <c r="G997" t="s">
        <v>17</v>
      </c>
      <c r="H997" t="s">
        <v>64</v>
      </c>
      <c r="I997" t="s">
        <v>9</v>
      </c>
      <c r="J997" t="s">
        <v>10</v>
      </c>
      <c r="K997" t="s">
        <v>11</v>
      </c>
      <c r="L997" t="s">
        <v>12</v>
      </c>
      <c r="M997" t="s">
        <v>42</v>
      </c>
      <c r="N997" t="s">
        <v>37</v>
      </c>
      <c r="O997" t="s">
        <v>56</v>
      </c>
      <c r="P997">
        <v>4</v>
      </c>
    </row>
    <row r="998" spans="1:16" x14ac:dyDescent="0.3">
      <c r="A998">
        <v>1498</v>
      </c>
      <c r="B998">
        <v>44788</v>
      </c>
      <c r="C998">
        <v>78</v>
      </c>
      <c r="D998">
        <v>16155</v>
      </c>
      <c r="E998" t="s">
        <v>14</v>
      </c>
      <c r="F998" t="s">
        <v>15</v>
      </c>
      <c r="G998" t="s">
        <v>34</v>
      </c>
      <c r="H998" t="s">
        <v>8</v>
      </c>
      <c r="I998" t="s">
        <v>9</v>
      </c>
      <c r="J998" t="s">
        <v>25</v>
      </c>
      <c r="K998" t="s">
        <v>26</v>
      </c>
      <c r="L998" t="s">
        <v>12</v>
      </c>
      <c r="M998" t="s">
        <v>42</v>
      </c>
      <c r="N998" t="s">
        <v>37</v>
      </c>
      <c r="O998" t="s">
        <v>41</v>
      </c>
      <c r="P998">
        <v>5</v>
      </c>
    </row>
    <row r="999" spans="1:16" x14ac:dyDescent="0.3">
      <c r="A999">
        <v>1499</v>
      </c>
      <c r="B999">
        <v>44618</v>
      </c>
      <c r="C999">
        <v>47</v>
      </c>
      <c r="D999">
        <v>27511</v>
      </c>
      <c r="E999" t="s">
        <v>14</v>
      </c>
      <c r="F999" t="s">
        <v>15</v>
      </c>
      <c r="G999" t="s">
        <v>34</v>
      </c>
      <c r="H999" t="s">
        <v>8</v>
      </c>
      <c r="I999" t="s">
        <v>9</v>
      </c>
      <c r="J999" t="s">
        <v>10</v>
      </c>
      <c r="K999" t="s">
        <v>19</v>
      </c>
      <c r="L999" t="s">
        <v>12</v>
      </c>
      <c r="M999" t="s">
        <v>32</v>
      </c>
      <c r="N999" t="s">
        <v>30</v>
      </c>
      <c r="O999" t="s">
        <v>18</v>
      </c>
      <c r="P999">
        <v>2</v>
      </c>
    </row>
    <row r="1000" spans="1:16" x14ac:dyDescent="0.3">
      <c r="A1000">
        <v>1500</v>
      </c>
      <c r="B1000">
        <v>43598</v>
      </c>
      <c r="C1000">
        <v>34</v>
      </c>
      <c r="D1000">
        <v>31080</v>
      </c>
      <c r="E1000" t="s">
        <v>14</v>
      </c>
      <c r="F1000" t="s">
        <v>15</v>
      </c>
      <c r="G1000" t="s">
        <v>40</v>
      </c>
      <c r="H1000" t="s">
        <v>8</v>
      </c>
      <c r="I1000" t="s">
        <v>9</v>
      </c>
      <c r="J1000" t="s">
        <v>20</v>
      </c>
      <c r="K1000" t="s">
        <v>26</v>
      </c>
      <c r="L1000" t="s">
        <v>12</v>
      </c>
      <c r="M1000" t="s">
        <v>35</v>
      </c>
      <c r="N1000" t="s">
        <v>23</v>
      </c>
      <c r="O1000" t="s">
        <v>18</v>
      </c>
      <c r="P1000">
        <v>4</v>
      </c>
    </row>
    <row r="1001" spans="1:16" x14ac:dyDescent="0.3">
      <c r="A1001">
        <v>1501</v>
      </c>
      <c r="B1001">
        <v>44493</v>
      </c>
      <c r="C1001">
        <v>22</v>
      </c>
      <c r="D1001">
        <v>36434</v>
      </c>
      <c r="E1001" t="s">
        <v>14</v>
      </c>
      <c r="F1001" t="s">
        <v>22</v>
      </c>
      <c r="G1001" t="s">
        <v>17</v>
      </c>
      <c r="H1001" t="s">
        <v>8</v>
      </c>
      <c r="I1001" t="s">
        <v>9</v>
      </c>
      <c r="J1001" t="s">
        <v>10</v>
      </c>
      <c r="K1001" t="s">
        <v>19</v>
      </c>
      <c r="L1001" t="s">
        <v>12</v>
      </c>
      <c r="M1001" t="s">
        <v>35</v>
      </c>
      <c r="N1001" t="s">
        <v>23</v>
      </c>
      <c r="O1001" t="s">
        <v>18</v>
      </c>
      <c r="P1001">
        <v>4</v>
      </c>
    </row>
    <row r="1002" spans="1:16" x14ac:dyDescent="0.3">
      <c r="A1002">
        <v>1502</v>
      </c>
      <c r="B1002">
        <v>44326</v>
      </c>
      <c r="C1002">
        <v>35</v>
      </c>
      <c r="D1002">
        <v>31761</v>
      </c>
      <c r="E1002" t="s">
        <v>14</v>
      </c>
      <c r="F1002" t="s">
        <v>22</v>
      </c>
      <c r="G1002" t="s">
        <v>40</v>
      </c>
      <c r="H1002" t="s">
        <v>8</v>
      </c>
      <c r="I1002" t="s">
        <v>9</v>
      </c>
      <c r="J1002" t="s">
        <v>25</v>
      </c>
      <c r="K1002" t="s">
        <v>26</v>
      </c>
      <c r="L1002" t="s">
        <v>12</v>
      </c>
      <c r="M1002" t="s">
        <v>38</v>
      </c>
      <c r="N1002" t="s">
        <v>16</v>
      </c>
      <c r="O1002" t="s">
        <v>18</v>
      </c>
      <c r="P1002">
        <v>3</v>
      </c>
    </row>
    <row r="1003" spans="1:16" x14ac:dyDescent="0.3">
      <c r="A1003">
        <v>1503</v>
      </c>
      <c r="B1003">
        <v>44360</v>
      </c>
      <c r="C1003">
        <v>36</v>
      </c>
      <c r="D1003">
        <v>31158</v>
      </c>
      <c r="E1003" t="s">
        <v>14</v>
      </c>
      <c r="F1003" t="s">
        <v>15</v>
      </c>
      <c r="G1003" t="s">
        <v>31</v>
      </c>
      <c r="H1003" t="s">
        <v>8</v>
      </c>
      <c r="I1003" t="s">
        <v>9</v>
      </c>
      <c r="J1003" t="s">
        <v>10</v>
      </c>
      <c r="K1003" t="s">
        <v>19</v>
      </c>
      <c r="L1003" t="s">
        <v>12</v>
      </c>
      <c r="M1003" t="s">
        <v>28</v>
      </c>
      <c r="N1003" t="s">
        <v>37</v>
      </c>
      <c r="O1003" t="s">
        <v>18</v>
      </c>
      <c r="P1003">
        <v>2</v>
      </c>
    </row>
    <row r="1004" spans="1:16" x14ac:dyDescent="0.3">
      <c r="A1004">
        <v>1504</v>
      </c>
      <c r="B1004">
        <v>43773</v>
      </c>
      <c r="C1004">
        <v>48</v>
      </c>
      <c r="D1004">
        <v>26168</v>
      </c>
      <c r="E1004" t="s">
        <v>14</v>
      </c>
      <c r="F1004" t="s">
        <v>15</v>
      </c>
      <c r="G1004" t="s">
        <v>34</v>
      </c>
      <c r="H1004" t="s">
        <v>8</v>
      </c>
      <c r="I1004" t="s">
        <v>9</v>
      </c>
      <c r="J1004" t="s">
        <v>25</v>
      </c>
      <c r="K1004" t="s">
        <v>11</v>
      </c>
      <c r="L1004" t="s">
        <v>12</v>
      </c>
      <c r="M1004" t="s">
        <v>42</v>
      </c>
      <c r="N1004" t="s">
        <v>30</v>
      </c>
      <c r="O1004" t="s">
        <v>56</v>
      </c>
      <c r="P1004">
        <v>3</v>
      </c>
    </row>
    <row r="1005" spans="1:16" x14ac:dyDescent="0.3">
      <c r="A1005">
        <v>1505</v>
      </c>
      <c r="B1005">
        <v>43859</v>
      </c>
      <c r="C1005">
        <v>78</v>
      </c>
      <c r="D1005">
        <v>15570</v>
      </c>
      <c r="E1005" t="s">
        <v>14</v>
      </c>
      <c r="F1005" t="s">
        <v>15</v>
      </c>
      <c r="G1005" t="s">
        <v>17</v>
      </c>
      <c r="H1005" t="s">
        <v>8</v>
      </c>
      <c r="I1005" t="s">
        <v>9</v>
      </c>
      <c r="J1005" t="s">
        <v>25</v>
      </c>
      <c r="K1005" t="s">
        <v>19</v>
      </c>
      <c r="L1005" t="s">
        <v>12</v>
      </c>
      <c r="M1005" t="s">
        <v>59</v>
      </c>
      <c r="N1005" t="s">
        <v>30</v>
      </c>
      <c r="O1005" t="s">
        <v>41</v>
      </c>
      <c r="P1005">
        <v>5</v>
      </c>
    </row>
    <row r="1006" spans="1:16" x14ac:dyDescent="0.3">
      <c r="A1006">
        <v>1506</v>
      </c>
      <c r="B1006">
        <v>43348</v>
      </c>
      <c r="C1006">
        <v>46</v>
      </c>
      <c r="D1006">
        <v>26468</v>
      </c>
      <c r="E1006" t="s">
        <v>14</v>
      </c>
      <c r="F1006" t="s">
        <v>15</v>
      </c>
      <c r="G1006" t="s">
        <v>31</v>
      </c>
      <c r="H1006" t="s">
        <v>8</v>
      </c>
      <c r="I1006" t="s">
        <v>9</v>
      </c>
      <c r="J1006" t="s">
        <v>20</v>
      </c>
      <c r="K1006" t="s">
        <v>26</v>
      </c>
      <c r="L1006" t="s">
        <v>12</v>
      </c>
      <c r="M1006" t="s">
        <v>42</v>
      </c>
      <c r="N1006" t="s">
        <v>23</v>
      </c>
      <c r="O1006" t="s">
        <v>41</v>
      </c>
      <c r="P1006">
        <v>3</v>
      </c>
    </row>
    <row r="1007" spans="1:16" x14ac:dyDescent="0.3">
      <c r="A1007">
        <v>1507</v>
      </c>
      <c r="B1007">
        <v>44398</v>
      </c>
      <c r="C1007">
        <v>25</v>
      </c>
      <c r="D1007">
        <v>35292</v>
      </c>
      <c r="E1007" t="s">
        <v>14</v>
      </c>
      <c r="F1007" t="s">
        <v>15</v>
      </c>
      <c r="G1007" t="s">
        <v>17</v>
      </c>
      <c r="H1007" t="s">
        <v>8</v>
      </c>
      <c r="I1007" t="s">
        <v>9</v>
      </c>
      <c r="J1007" t="s">
        <v>25</v>
      </c>
      <c r="K1007" t="s">
        <v>11</v>
      </c>
      <c r="L1007" t="s">
        <v>12</v>
      </c>
      <c r="M1007" t="s">
        <v>28</v>
      </c>
      <c r="N1007" t="s">
        <v>37</v>
      </c>
      <c r="O1007" t="s">
        <v>18</v>
      </c>
      <c r="P1007">
        <v>2</v>
      </c>
    </row>
    <row r="1008" spans="1:16" x14ac:dyDescent="0.3">
      <c r="A1008">
        <v>1508</v>
      </c>
      <c r="B1008">
        <v>45066</v>
      </c>
      <c r="C1008">
        <v>59</v>
      </c>
      <c r="D1008">
        <v>23736</v>
      </c>
      <c r="E1008" t="s">
        <v>14</v>
      </c>
      <c r="F1008" t="s">
        <v>15</v>
      </c>
      <c r="G1008" t="s">
        <v>31</v>
      </c>
      <c r="H1008" t="s">
        <v>8</v>
      </c>
      <c r="I1008" t="s">
        <v>9</v>
      </c>
      <c r="J1008" t="s">
        <v>20</v>
      </c>
      <c r="K1008" t="s">
        <v>26</v>
      </c>
      <c r="L1008" t="s">
        <v>12</v>
      </c>
      <c r="M1008" t="s">
        <v>32</v>
      </c>
      <c r="N1008" t="s">
        <v>16</v>
      </c>
      <c r="O1008" t="s">
        <v>18</v>
      </c>
      <c r="P1008">
        <v>3</v>
      </c>
    </row>
    <row r="1009" spans="1:16" x14ac:dyDescent="0.3">
      <c r="A1009">
        <v>1509</v>
      </c>
      <c r="B1009">
        <v>44697</v>
      </c>
      <c r="C1009">
        <v>62</v>
      </c>
      <c r="D1009">
        <v>21939</v>
      </c>
      <c r="E1009" t="s">
        <v>14</v>
      </c>
      <c r="F1009" t="s">
        <v>15</v>
      </c>
      <c r="G1009" t="s">
        <v>31</v>
      </c>
      <c r="H1009" t="s">
        <v>8</v>
      </c>
      <c r="I1009" t="s">
        <v>9</v>
      </c>
      <c r="J1009" t="s">
        <v>25</v>
      </c>
      <c r="K1009" t="s">
        <v>11</v>
      </c>
      <c r="L1009" t="s">
        <v>12</v>
      </c>
      <c r="M1009" t="s">
        <v>28</v>
      </c>
      <c r="N1009" t="s">
        <v>30</v>
      </c>
      <c r="O1009" t="s">
        <v>18</v>
      </c>
      <c r="P1009">
        <v>1</v>
      </c>
    </row>
    <row r="1010" spans="1:16" x14ac:dyDescent="0.3">
      <c r="A1010">
        <v>1510</v>
      </c>
      <c r="B1010">
        <v>44270</v>
      </c>
      <c r="C1010">
        <v>41</v>
      </c>
      <c r="D1010">
        <v>29480</v>
      </c>
      <c r="E1010" t="s">
        <v>14</v>
      </c>
      <c r="F1010" t="s">
        <v>15</v>
      </c>
      <c r="G1010" t="s">
        <v>34</v>
      </c>
      <c r="H1010" t="s">
        <v>8</v>
      </c>
      <c r="I1010" t="s">
        <v>9</v>
      </c>
      <c r="J1010" t="s">
        <v>10</v>
      </c>
      <c r="K1010" t="s">
        <v>11</v>
      </c>
      <c r="L1010" t="s">
        <v>12</v>
      </c>
      <c r="M1010" t="s">
        <v>28</v>
      </c>
      <c r="N1010" t="s">
        <v>37</v>
      </c>
      <c r="O1010" t="s">
        <v>18</v>
      </c>
      <c r="P1010">
        <v>3</v>
      </c>
    </row>
    <row r="1011" spans="1:16" x14ac:dyDescent="0.3">
      <c r="A1011">
        <v>1513</v>
      </c>
      <c r="B1011">
        <v>43820</v>
      </c>
      <c r="C1011">
        <v>26</v>
      </c>
      <c r="D1011">
        <v>34245</v>
      </c>
      <c r="E1011" t="s">
        <v>14</v>
      </c>
      <c r="F1011" t="s">
        <v>22</v>
      </c>
      <c r="G1011" t="s">
        <v>17</v>
      </c>
      <c r="H1011" t="s">
        <v>64</v>
      </c>
      <c r="I1011" t="s">
        <v>9</v>
      </c>
      <c r="J1011" t="s">
        <v>10</v>
      </c>
      <c r="K1011" t="s">
        <v>11</v>
      </c>
      <c r="L1011" t="s">
        <v>12</v>
      </c>
      <c r="M1011" t="s">
        <v>38</v>
      </c>
      <c r="N1011" t="s">
        <v>30</v>
      </c>
      <c r="O1011" t="s">
        <v>18</v>
      </c>
      <c r="P1011">
        <v>3</v>
      </c>
    </row>
    <row r="1012" spans="1:16" x14ac:dyDescent="0.3">
      <c r="A1012">
        <v>1514</v>
      </c>
      <c r="B1012">
        <v>44757</v>
      </c>
      <c r="C1012">
        <v>39</v>
      </c>
      <c r="D1012">
        <v>30655</v>
      </c>
      <c r="E1012" t="s">
        <v>14</v>
      </c>
      <c r="F1012" t="s">
        <v>22</v>
      </c>
      <c r="G1012" t="s">
        <v>17</v>
      </c>
      <c r="H1012" t="s">
        <v>64</v>
      </c>
      <c r="I1012" t="s">
        <v>9</v>
      </c>
      <c r="J1012" t="s">
        <v>10</v>
      </c>
      <c r="K1012" t="s">
        <v>11</v>
      </c>
      <c r="L1012" t="s">
        <v>12</v>
      </c>
      <c r="M1012" t="s">
        <v>49</v>
      </c>
      <c r="N1012" t="s">
        <v>23</v>
      </c>
      <c r="O1012" t="s">
        <v>18</v>
      </c>
      <c r="P1012">
        <v>3</v>
      </c>
    </row>
    <row r="1013" spans="1:16" x14ac:dyDescent="0.3">
      <c r="A1013">
        <v>1515</v>
      </c>
      <c r="B1013">
        <v>43369</v>
      </c>
      <c r="C1013">
        <v>21</v>
      </c>
      <c r="D1013">
        <v>35538</v>
      </c>
      <c r="E1013" t="s">
        <v>14</v>
      </c>
      <c r="F1013" t="s">
        <v>15</v>
      </c>
      <c r="G1013" t="s">
        <v>34</v>
      </c>
      <c r="H1013" t="s">
        <v>64</v>
      </c>
      <c r="I1013" t="s">
        <v>9</v>
      </c>
      <c r="J1013" t="s">
        <v>25</v>
      </c>
      <c r="K1013" t="s">
        <v>26</v>
      </c>
      <c r="L1013" t="s">
        <v>12</v>
      </c>
      <c r="M1013" t="s">
        <v>32</v>
      </c>
      <c r="N1013" t="s">
        <v>30</v>
      </c>
      <c r="O1013" t="s">
        <v>18</v>
      </c>
      <c r="P1013">
        <v>3</v>
      </c>
    </row>
    <row r="1014" spans="1:16" x14ac:dyDescent="0.3">
      <c r="A1014">
        <v>1516</v>
      </c>
      <c r="B1014">
        <v>44850</v>
      </c>
      <c r="C1014">
        <v>79</v>
      </c>
      <c r="D1014">
        <v>15862</v>
      </c>
      <c r="E1014" t="s">
        <v>14</v>
      </c>
      <c r="F1014" t="s">
        <v>22</v>
      </c>
      <c r="G1014" t="s">
        <v>17</v>
      </c>
      <c r="H1014" t="s">
        <v>64</v>
      </c>
      <c r="I1014" t="s">
        <v>9</v>
      </c>
      <c r="J1014" t="s">
        <v>10</v>
      </c>
      <c r="K1014" t="s">
        <v>26</v>
      </c>
      <c r="L1014" t="s">
        <v>12</v>
      </c>
      <c r="M1014" t="s">
        <v>38</v>
      </c>
      <c r="N1014" t="s">
        <v>23</v>
      </c>
      <c r="O1014" t="s">
        <v>18</v>
      </c>
      <c r="P1014">
        <v>5</v>
      </c>
    </row>
    <row r="1015" spans="1:16" x14ac:dyDescent="0.3">
      <c r="A1015">
        <v>1517</v>
      </c>
      <c r="B1015">
        <v>44532</v>
      </c>
      <c r="C1015">
        <v>35</v>
      </c>
      <c r="D1015">
        <v>31476</v>
      </c>
      <c r="E1015" t="s">
        <v>14</v>
      </c>
      <c r="F1015" t="s">
        <v>22</v>
      </c>
      <c r="G1015" t="s">
        <v>34</v>
      </c>
      <c r="H1015" t="s">
        <v>64</v>
      </c>
      <c r="I1015" t="s">
        <v>9</v>
      </c>
      <c r="J1015" t="s">
        <v>25</v>
      </c>
      <c r="K1015" t="s">
        <v>11</v>
      </c>
      <c r="L1015" t="s">
        <v>12</v>
      </c>
      <c r="M1015" t="s">
        <v>49</v>
      </c>
      <c r="N1015" t="s">
        <v>16</v>
      </c>
      <c r="O1015" t="s">
        <v>18</v>
      </c>
      <c r="P1015">
        <v>5</v>
      </c>
    </row>
    <row r="1016" spans="1:16" x14ac:dyDescent="0.3">
      <c r="A1016">
        <v>1518</v>
      </c>
      <c r="B1016">
        <v>43531</v>
      </c>
      <c r="C1016">
        <v>44</v>
      </c>
      <c r="D1016">
        <v>27724</v>
      </c>
      <c r="E1016" t="s">
        <v>14</v>
      </c>
      <c r="F1016" t="s">
        <v>22</v>
      </c>
      <c r="G1016" t="s">
        <v>40</v>
      </c>
      <c r="H1016" t="s">
        <v>64</v>
      </c>
      <c r="I1016" t="s">
        <v>66</v>
      </c>
      <c r="J1016" t="s">
        <v>25</v>
      </c>
      <c r="K1016" t="s">
        <v>26</v>
      </c>
      <c r="L1016" t="s">
        <v>12</v>
      </c>
      <c r="M1016" t="s">
        <v>55</v>
      </c>
      <c r="N1016" t="s">
        <v>16</v>
      </c>
      <c r="O1016" t="s">
        <v>18</v>
      </c>
      <c r="P1016">
        <v>4</v>
      </c>
    </row>
    <row r="1017" spans="1:16" x14ac:dyDescent="0.3">
      <c r="A1017">
        <v>1519</v>
      </c>
      <c r="B1017">
        <v>45048</v>
      </c>
      <c r="C1017">
        <v>52</v>
      </c>
      <c r="D1017">
        <v>26040</v>
      </c>
      <c r="E1017" t="s">
        <v>14</v>
      </c>
      <c r="F1017" t="s">
        <v>15</v>
      </c>
      <c r="G1017" t="s">
        <v>31</v>
      </c>
      <c r="H1017" t="s">
        <v>8</v>
      </c>
      <c r="I1017" t="s">
        <v>9</v>
      </c>
      <c r="J1017" t="s">
        <v>20</v>
      </c>
      <c r="K1017" t="s">
        <v>26</v>
      </c>
      <c r="L1017" t="s">
        <v>12</v>
      </c>
      <c r="M1017" t="s">
        <v>54</v>
      </c>
      <c r="N1017" t="s">
        <v>46</v>
      </c>
      <c r="O1017" t="s">
        <v>18</v>
      </c>
      <c r="P1017">
        <v>3</v>
      </c>
    </row>
    <row r="1018" spans="1:16" x14ac:dyDescent="0.3">
      <c r="A1018">
        <v>1520</v>
      </c>
      <c r="B1018">
        <v>44067</v>
      </c>
      <c r="C1018">
        <v>44</v>
      </c>
      <c r="D1018">
        <v>27945</v>
      </c>
      <c r="E1018" t="s">
        <v>14</v>
      </c>
      <c r="F1018" t="s">
        <v>15</v>
      </c>
      <c r="G1018" t="s">
        <v>40</v>
      </c>
      <c r="H1018" t="s">
        <v>8</v>
      </c>
      <c r="I1018" t="s">
        <v>9</v>
      </c>
      <c r="J1018" t="s">
        <v>25</v>
      </c>
      <c r="K1018" t="s">
        <v>19</v>
      </c>
      <c r="L1018" t="s">
        <v>12</v>
      </c>
      <c r="M1018" t="s">
        <v>76</v>
      </c>
      <c r="N1018" t="s">
        <v>16</v>
      </c>
      <c r="O1018" t="s">
        <v>18</v>
      </c>
      <c r="P1018">
        <v>2</v>
      </c>
    </row>
    <row r="1019" spans="1:16" x14ac:dyDescent="0.3">
      <c r="A1019">
        <v>1521</v>
      </c>
      <c r="B1019">
        <v>44173</v>
      </c>
      <c r="C1019">
        <v>30</v>
      </c>
      <c r="D1019">
        <v>32978</v>
      </c>
      <c r="E1019" t="s">
        <v>14</v>
      </c>
      <c r="F1019" t="s">
        <v>22</v>
      </c>
      <c r="G1019" t="s">
        <v>31</v>
      </c>
      <c r="H1019" t="s">
        <v>8</v>
      </c>
      <c r="I1019" t="s">
        <v>9</v>
      </c>
      <c r="J1019" t="s">
        <v>10</v>
      </c>
      <c r="K1019" t="s">
        <v>26</v>
      </c>
      <c r="L1019" t="s">
        <v>12</v>
      </c>
      <c r="M1019" t="s">
        <v>59</v>
      </c>
      <c r="N1019" t="s">
        <v>37</v>
      </c>
      <c r="O1019" t="s">
        <v>56</v>
      </c>
      <c r="P1019">
        <v>1</v>
      </c>
    </row>
    <row r="1020" spans="1:16" x14ac:dyDescent="0.3">
      <c r="A1020">
        <v>1522</v>
      </c>
      <c r="B1020">
        <v>44242</v>
      </c>
      <c r="C1020">
        <v>78</v>
      </c>
      <c r="D1020">
        <v>15942</v>
      </c>
      <c r="E1020" t="s">
        <v>14</v>
      </c>
      <c r="F1020" t="s">
        <v>22</v>
      </c>
      <c r="G1020" t="s">
        <v>34</v>
      </c>
      <c r="H1020" t="s">
        <v>8</v>
      </c>
      <c r="I1020" t="s">
        <v>9</v>
      </c>
      <c r="J1020" t="s">
        <v>25</v>
      </c>
      <c r="K1020" t="s">
        <v>26</v>
      </c>
      <c r="L1020" t="s">
        <v>12</v>
      </c>
      <c r="M1020" t="s">
        <v>35</v>
      </c>
      <c r="N1020" t="s">
        <v>23</v>
      </c>
      <c r="O1020" t="s">
        <v>18</v>
      </c>
      <c r="P1020">
        <v>4</v>
      </c>
    </row>
    <row r="1021" spans="1:16" x14ac:dyDescent="0.3">
      <c r="A1021">
        <v>1523</v>
      </c>
      <c r="B1021">
        <v>44089</v>
      </c>
      <c r="C1021">
        <v>49</v>
      </c>
      <c r="D1021">
        <v>26083</v>
      </c>
      <c r="E1021" t="s">
        <v>14</v>
      </c>
      <c r="F1021" t="s">
        <v>22</v>
      </c>
      <c r="G1021" t="s">
        <v>34</v>
      </c>
      <c r="H1021" t="s">
        <v>8</v>
      </c>
      <c r="I1021" t="s">
        <v>9</v>
      </c>
      <c r="J1021" t="s">
        <v>10</v>
      </c>
      <c r="K1021" t="s">
        <v>26</v>
      </c>
      <c r="L1021" t="s">
        <v>12</v>
      </c>
      <c r="M1021" t="s">
        <v>62</v>
      </c>
      <c r="N1021" t="s">
        <v>30</v>
      </c>
      <c r="O1021" t="s">
        <v>18</v>
      </c>
      <c r="P1021">
        <v>4</v>
      </c>
    </row>
    <row r="1022" spans="1:16" x14ac:dyDescent="0.3">
      <c r="A1022">
        <v>1524</v>
      </c>
      <c r="B1022">
        <v>45001</v>
      </c>
      <c r="C1022">
        <v>48</v>
      </c>
      <c r="D1022">
        <v>27527</v>
      </c>
      <c r="E1022" t="s">
        <v>14</v>
      </c>
      <c r="F1022" t="s">
        <v>15</v>
      </c>
      <c r="G1022" t="s">
        <v>31</v>
      </c>
      <c r="H1022" t="s">
        <v>8</v>
      </c>
      <c r="I1022" t="s">
        <v>9</v>
      </c>
      <c r="J1022" t="s">
        <v>25</v>
      </c>
      <c r="K1022" t="s">
        <v>19</v>
      </c>
      <c r="L1022" t="s">
        <v>12</v>
      </c>
      <c r="M1022" t="s">
        <v>42</v>
      </c>
      <c r="N1022" t="s">
        <v>30</v>
      </c>
      <c r="O1022" t="s">
        <v>18</v>
      </c>
      <c r="P1022">
        <v>1</v>
      </c>
    </row>
    <row r="1023" spans="1:16" x14ac:dyDescent="0.3">
      <c r="A1023">
        <v>1525</v>
      </c>
      <c r="B1023">
        <v>44514</v>
      </c>
      <c r="C1023">
        <v>74</v>
      </c>
      <c r="D1023">
        <v>17271</v>
      </c>
      <c r="E1023" t="s">
        <v>14</v>
      </c>
      <c r="F1023" t="s">
        <v>15</v>
      </c>
      <c r="G1023" t="s">
        <v>17</v>
      </c>
      <c r="H1023" t="s">
        <v>8</v>
      </c>
      <c r="I1023" t="s">
        <v>9</v>
      </c>
      <c r="J1023" t="s">
        <v>25</v>
      </c>
      <c r="K1023" t="s">
        <v>26</v>
      </c>
      <c r="L1023" t="s">
        <v>12</v>
      </c>
      <c r="M1023" t="s">
        <v>32</v>
      </c>
      <c r="N1023" t="s">
        <v>46</v>
      </c>
      <c r="O1023" t="s">
        <v>56</v>
      </c>
      <c r="P1023">
        <v>4</v>
      </c>
    </row>
    <row r="1024" spans="1:16" x14ac:dyDescent="0.3">
      <c r="A1024">
        <v>1526</v>
      </c>
      <c r="B1024">
        <v>44309</v>
      </c>
      <c r="C1024">
        <v>34</v>
      </c>
      <c r="D1024">
        <v>31871</v>
      </c>
      <c r="E1024" t="s">
        <v>14</v>
      </c>
      <c r="F1024" t="s">
        <v>15</v>
      </c>
      <c r="G1024" t="s">
        <v>40</v>
      </c>
      <c r="H1024" t="s">
        <v>8</v>
      </c>
      <c r="I1024" t="s">
        <v>9</v>
      </c>
      <c r="J1024" t="s">
        <v>10</v>
      </c>
      <c r="K1024" t="s">
        <v>26</v>
      </c>
      <c r="L1024" t="s">
        <v>12</v>
      </c>
      <c r="M1024" t="s">
        <v>35</v>
      </c>
      <c r="N1024" t="s">
        <v>30</v>
      </c>
      <c r="O1024" t="s">
        <v>18</v>
      </c>
      <c r="P1024">
        <v>3</v>
      </c>
    </row>
    <row r="1025" spans="1:16" x14ac:dyDescent="0.3">
      <c r="A1025">
        <v>1527</v>
      </c>
      <c r="B1025">
        <v>44717</v>
      </c>
      <c r="C1025">
        <v>42</v>
      </c>
      <c r="D1025">
        <v>29293</v>
      </c>
      <c r="E1025" t="s">
        <v>14</v>
      </c>
      <c r="F1025" t="s">
        <v>15</v>
      </c>
      <c r="G1025" t="s">
        <v>17</v>
      </c>
      <c r="H1025" t="s">
        <v>8</v>
      </c>
      <c r="I1025" t="s">
        <v>9</v>
      </c>
      <c r="J1025" t="s">
        <v>20</v>
      </c>
      <c r="K1025" t="s">
        <v>19</v>
      </c>
      <c r="L1025" t="s">
        <v>12</v>
      </c>
      <c r="M1025" t="s">
        <v>42</v>
      </c>
      <c r="N1025" t="s">
        <v>46</v>
      </c>
      <c r="O1025" t="s">
        <v>18</v>
      </c>
      <c r="P1025">
        <v>1</v>
      </c>
    </row>
    <row r="1026" spans="1:16" x14ac:dyDescent="0.3">
      <c r="A1026">
        <v>1528</v>
      </c>
      <c r="B1026">
        <v>44884</v>
      </c>
      <c r="C1026">
        <v>69</v>
      </c>
      <c r="D1026">
        <v>19690</v>
      </c>
      <c r="E1026" t="s">
        <v>14</v>
      </c>
      <c r="F1026" t="s">
        <v>15</v>
      </c>
      <c r="G1026" t="s">
        <v>17</v>
      </c>
      <c r="H1026" t="s">
        <v>8</v>
      </c>
      <c r="I1026" t="s">
        <v>9</v>
      </c>
      <c r="J1026" t="s">
        <v>20</v>
      </c>
      <c r="K1026" t="s">
        <v>19</v>
      </c>
      <c r="L1026" t="s">
        <v>12</v>
      </c>
      <c r="M1026" t="s">
        <v>35</v>
      </c>
      <c r="N1026" t="s">
        <v>46</v>
      </c>
      <c r="O1026" t="s">
        <v>18</v>
      </c>
      <c r="P1026">
        <v>5</v>
      </c>
    </row>
    <row r="1027" spans="1:16" x14ac:dyDescent="0.3">
      <c r="A1027">
        <v>1529</v>
      </c>
      <c r="B1027">
        <v>45030</v>
      </c>
      <c r="C1027">
        <v>49</v>
      </c>
      <c r="D1027">
        <v>27237</v>
      </c>
      <c r="E1027" t="s">
        <v>14</v>
      </c>
      <c r="F1027" t="s">
        <v>15</v>
      </c>
      <c r="G1027" t="s">
        <v>34</v>
      </c>
      <c r="H1027" t="s">
        <v>8</v>
      </c>
      <c r="I1027" t="s">
        <v>9</v>
      </c>
      <c r="J1027" t="s">
        <v>25</v>
      </c>
      <c r="K1027" t="s">
        <v>11</v>
      </c>
      <c r="L1027" t="s">
        <v>12</v>
      </c>
      <c r="M1027" t="s">
        <v>35</v>
      </c>
      <c r="N1027" t="s">
        <v>23</v>
      </c>
      <c r="O1027" t="s">
        <v>18</v>
      </c>
      <c r="P1027">
        <v>1</v>
      </c>
    </row>
    <row r="1028" spans="1:16" x14ac:dyDescent="0.3">
      <c r="A1028">
        <v>1530</v>
      </c>
      <c r="B1028">
        <v>44908</v>
      </c>
      <c r="C1028">
        <v>22</v>
      </c>
      <c r="D1028">
        <v>36558</v>
      </c>
      <c r="E1028" t="s">
        <v>14</v>
      </c>
      <c r="F1028" t="s">
        <v>15</v>
      </c>
      <c r="G1028" t="s">
        <v>31</v>
      </c>
      <c r="H1028" t="s">
        <v>8</v>
      </c>
      <c r="I1028" t="s">
        <v>9</v>
      </c>
      <c r="J1028" t="s">
        <v>10</v>
      </c>
      <c r="K1028" t="s">
        <v>26</v>
      </c>
      <c r="L1028" t="s">
        <v>12</v>
      </c>
      <c r="M1028" t="s">
        <v>35</v>
      </c>
      <c r="N1028" t="s">
        <v>30</v>
      </c>
      <c r="O1028" t="s">
        <v>18</v>
      </c>
      <c r="P1028">
        <v>2</v>
      </c>
    </row>
    <row r="1029" spans="1:16" x14ac:dyDescent="0.3">
      <c r="A1029">
        <v>1534</v>
      </c>
      <c r="B1029">
        <v>44619</v>
      </c>
      <c r="C1029">
        <v>58</v>
      </c>
      <c r="D1029">
        <v>23691</v>
      </c>
      <c r="E1029" t="s">
        <v>14</v>
      </c>
      <c r="F1029" t="s">
        <v>22</v>
      </c>
      <c r="G1029" t="s">
        <v>34</v>
      </c>
      <c r="H1029" t="s">
        <v>64</v>
      </c>
      <c r="I1029" t="s">
        <v>9</v>
      </c>
      <c r="J1029" t="s">
        <v>25</v>
      </c>
      <c r="K1029" t="s">
        <v>26</v>
      </c>
      <c r="L1029" t="s">
        <v>12</v>
      </c>
      <c r="M1029" t="s">
        <v>35</v>
      </c>
      <c r="N1029" t="s">
        <v>16</v>
      </c>
      <c r="O1029" t="s">
        <v>18</v>
      </c>
      <c r="P1029">
        <v>1</v>
      </c>
    </row>
    <row r="1030" spans="1:16" x14ac:dyDescent="0.3">
      <c r="A1030">
        <v>1535</v>
      </c>
      <c r="B1030">
        <v>44324</v>
      </c>
      <c r="C1030">
        <v>21</v>
      </c>
      <c r="D1030">
        <v>36841</v>
      </c>
      <c r="E1030" t="s">
        <v>14</v>
      </c>
      <c r="F1030" t="s">
        <v>15</v>
      </c>
      <c r="G1030" t="s">
        <v>17</v>
      </c>
      <c r="H1030" t="s">
        <v>64</v>
      </c>
      <c r="I1030" t="s">
        <v>9</v>
      </c>
      <c r="J1030" t="s">
        <v>10</v>
      </c>
      <c r="K1030" t="s">
        <v>26</v>
      </c>
      <c r="L1030" t="s">
        <v>12</v>
      </c>
      <c r="M1030" t="s">
        <v>32</v>
      </c>
      <c r="N1030" t="s">
        <v>37</v>
      </c>
      <c r="O1030" t="s">
        <v>18</v>
      </c>
      <c r="P1030">
        <v>2</v>
      </c>
    </row>
    <row r="1031" spans="1:16" x14ac:dyDescent="0.3">
      <c r="A1031">
        <v>1536</v>
      </c>
      <c r="B1031">
        <v>44922</v>
      </c>
      <c r="C1031">
        <v>67</v>
      </c>
      <c r="D1031">
        <v>20442</v>
      </c>
      <c r="E1031" t="s">
        <v>14</v>
      </c>
      <c r="F1031" t="s">
        <v>15</v>
      </c>
      <c r="G1031" t="s">
        <v>31</v>
      </c>
      <c r="H1031" t="s">
        <v>64</v>
      </c>
      <c r="I1031" t="s">
        <v>9</v>
      </c>
      <c r="J1031" t="s">
        <v>10</v>
      </c>
      <c r="K1031" t="s">
        <v>11</v>
      </c>
      <c r="L1031" t="s">
        <v>12</v>
      </c>
      <c r="M1031" t="s">
        <v>32</v>
      </c>
      <c r="N1031" t="s">
        <v>46</v>
      </c>
      <c r="O1031" t="s">
        <v>18</v>
      </c>
      <c r="P1031">
        <v>3</v>
      </c>
    </row>
    <row r="1032" spans="1:16" x14ac:dyDescent="0.3">
      <c r="A1032">
        <v>1537</v>
      </c>
      <c r="B1032">
        <v>44059</v>
      </c>
      <c r="C1032">
        <v>70</v>
      </c>
      <c r="D1032">
        <v>18275</v>
      </c>
      <c r="E1032" t="s">
        <v>14</v>
      </c>
      <c r="F1032" t="s">
        <v>22</v>
      </c>
      <c r="G1032" t="s">
        <v>40</v>
      </c>
      <c r="H1032" t="s">
        <v>64</v>
      </c>
      <c r="I1032" t="s">
        <v>9</v>
      </c>
      <c r="J1032" t="s">
        <v>10</v>
      </c>
      <c r="K1032" t="s">
        <v>26</v>
      </c>
      <c r="L1032" t="s">
        <v>12</v>
      </c>
      <c r="M1032" t="s">
        <v>54</v>
      </c>
      <c r="N1032" t="s">
        <v>23</v>
      </c>
      <c r="O1032" t="s">
        <v>18</v>
      </c>
      <c r="P1032">
        <v>2</v>
      </c>
    </row>
    <row r="1033" spans="1:16" x14ac:dyDescent="0.3">
      <c r="A1033">
        <v>1538</v>
      </c>
      <c r="B1033">
        <v>44946</v>
      </c>
      <c r="C1033">
        <v>22</v>
      </c>
      <c r="D1033">
        <v>36909</v>
      </c>
      <c r="E1033" t="s">
        <v>14</v>
      </c>
      <c r="F1033" t="s">
        <v>22</v>
      </c>
      <c r="G1033" t="s">
        <v>17</v>
      </c>
      <c r="H1033" t="s">
        <v>64</v>
      </c>
      <c r="I1033" t="s">
        <v>9</v>
      </c>
      <c r="J1033" t="s">
        <v>10</v>
      </c>
      <c r="K1033" t="s">
        <v>26</v>
      </c>
      <c r="L1033" t="s">
        <v>12</v>
      </c>
      <c r="M1033" t="s">
        <v>49</v>
      </c>
      <c r="N1033" t="s">
        <v>16</v>
      </c>
      <c r="O1033" t="s">
        <v>18</v>
      </c>
      <c r="P1033">
        <v>4</v>
      </c>
    </row>
    <row r="1034" spans="1:16" x14ac:dyDescent="0.3">
      <c r="A1034">
        <v>1539</v>
      </c>
      <c r="B1034">
        <v>44193</v>
      </c>
      <c r="C1034">
        <v>59</v>
      </c>
      <c r="D1034">
        <v>22342</v>
      </c>
      <c r="E1034" t="s">
        <v>14</v>
      </c>
      <c r="F1034" t="s">
        <v>22</v>
      </c>
      <c r="G1034" t="s">
        <v>17</v>
      </c>
      <c r="H1034" t="s">
        <v>64</v>
      </c>
      <c r="I1034" t="s">
        <v>66</v>
      </c>
      <c r="J1034" t="s">
        <v>20</v>
      </c>
      <c r="K1034" t="s">
        <v>19</v>
      </c>
      <c r="L1034" t="s">
        <v>12</v>
      </c>
      <c r="M1034" t="s">
        <v>54</v>
      </c>
      <c r="N1034" t="s">
        <v>23</v>
      </c>
      <c r="O1034" t="s">
        <v>18</v>
      </c>
      <c r="P1034">
        <v>4</v>
      </c>
    </row>
    <row r="1035" spans="1:16" x14ac:dyDescent="0.3">
      <c r="A1035">
        <v>1540</v>
      </c>
      <c r="B1035">
        <v>44245</v>
      </c>
      <c r="C1035">
        <v>54</v>
      </c>
      <c r="D1035">
        <v>24522</v>
      </c>
      <c r="E1035" t="s">
        <v>14</v>
      </c>
      <c r="F1035" t="s">
        <v>15</v>
      </c>
      <c r="G1035" t="s">
        <v>17</v>
      </c>
      <c r="H1035" t="s">
        <v>8</v>
      </c>
      <c r="I1035" t="s">
        <v>9</v>
      </c>
      <c r="J1035" t="s">
        <v>10</v>
      </c>
      <c r="K1035" t="s">
        <v>11</v>
      </c>
      <c r="L1035" t="s">
        <v>12</v>
      </c>
      <c r="M1035" t="s">
        <v>68</v>
      </c>
      <c r="N1035" t="s">
        <v>37</v>
      </c>
      <c r="O1035" t="s">
        <v>18</v>
      </c>
      <c r="P1035">
        <v>4</v>
      </c>
    </row>
    <row r="1036" spans="1:16" x14ac:dyDescent="0.3">
      <c r="A1036">
        <v>1541</v>
      </c>
      <c r="B1036">
        <v>44212</v>
      </c>
      <c r="C1036">
        <v>49</v>
      </c>
      <c r="D1036">
        <v>26646</v>
      </c>
      <c r="E1036" t="s">
        <v>14</v>
      </c>
      <c r="F1036" t="s">
        <v>15</v>
      </c>
      <c r="G1036" t="s">
        <v>17</v>
      </c>
      <c r="H1036" t="s">
        <v>8</v>
      </c>
      <c r="I1036" t="s">
        <v>9</v>
      </c>
      <c r="J1036" t="s">
        <v>20</v>
      </c>
      <c r="K1036" t="s">
        <v>11</v>
      </c>
      <c r="L1036" t="s">
        <v>12</v>
      </c>
      <c r="M1036" t="s">
        <v>28</v>
      </c>
      <c r="N1036" t="s">
        <v>37</v>
      </c>
      <c r="O1036" t="s">
        <v>18</v>
      </c>
      <c r="P1036">
        <v>4</v>
      </c>
    </row>
    <row r="1037" spans="1:16" x14ac:dyDescent="0.3">
      <c r="A1037">
        <v>1542</v>
      </c>
      <c r="B1037">
        <v>44658</v>
      </c>
      <c r="C1037">
        <v>30</v>
      </c>
      <c r="D1037">
        <v>33949</v>
      </c>
      <c r="E1037" t="s">
        <v>14</v>
      </c>
      <c r="F1037" t="s">
        <v>22</v>
      </c>
      <c r="G1037" t="s">
        <v>34</v>
      </c>
      <c r="H1037" t="s">
        <v>8</v>
      </c>
      <c r="I1037" t="s">
        <v>9</v>
      </c>
      <c r="J1037" t="s">
        <v>25</v>
      </c>
      <c r="K1037" t="s">
        <v>19</v>
      </c>
      <c r="L1037" t="s">
        <v>12</v>
      </c>
      <c r="M1037" t="s">
        <v>49</v>
      </c>
      <c r="N1037" t="s">
        <v>16</v>
      </c>
      <c r="O1037" t="s">
        <v>18</v>
      </c>
      <c r="P1037">
        <v>4</v>
      </c>
    </row>
    <row r="1038" spans="1:16" x14ac:dyDescent="0.3">
      <c r="A1038">
        <v>1543</v>
      </c>
      <c r="B1038">
        <v>43657</v>
      </c>
      <c r="C1038">
        <v>58</v>
      </c>
      <c r="D1038">
        <v>22478</v>
      </c>
      <c r="E1038" t="s">
        <v>14</v>
      </c>
      <c r="F1038" t="s">
        <v>22</v>
      </c>
      <c r="G1038" t="s">
        <v>34</v>
      </c>
      <c r="H1038" t="s">
        <v>8</v>
      </c>
      <c r="I1038" t="s">
        <v>9</v>
      </c>
      <c r="J1038" t="s">
        <v>20</v>
      </c>
      <c r="K1038" t="s">
        <v>19</v>
      </c>
      <c r="L1038" t="s">
        <v>12</v>
      </c>
      <c r="M1038" t="s">
        <v>35</v>
      </c>
      <c r="N1038" t="s">
        <v>37</v>
      </c>
      <c r="O1038" t="s">
        <v>18</v>
      </c>
      <c r="P1038">
        <v>1</v>
      </c>
    </row>
    <row r="1039" spans="1:16" x14ac:dyDescent="0.3">
      <c r="A1039">
        <v>1544</v>
      </c>
      <c r="B1039">
        <v>44052</v>
      </c>
      <c r="C1039">
        <v>26</v>
      </c>
      <c r="D1039">
        <v>34472</v>
      </c>
      <c r="E1039" t="s">
        <v>14</v>
      </c>
      <c r="F1039" t="s">
        <v>15</v>
      </c>
      <c r="G1039" t="s">
        <v>34</v>
      </c>
      <c r="H1039" t="s">
        <v>8</v>
      </c>
      <c r="I1039" t="s">
        <v>9</v>
      </c>
      <c r="J1039" t="s">
        <v>20</v>
      </c>
      <c r="K1039" t="s">
        <v>11</v>
      </c>
      <c r="L1039" t="s">
        <v>12</v>
      </c>
      <c r="M1039" t="s">
        <v>38</v>
      </c>
      <c r="N1039" t="s">
        <v>30</v>
      </c>
      <c r="O1039" t="s">
        <v>18</v>
      </c>
      <c r="P1039">
        <v>1</v>
      </c>
    </row>
    <row r="1040" spans="1:16" x14ac:dyDescent="0.3">
      <c r="A1040">
        <v>1545</v>
      </c>
      <c r="B1040">
        <v>43363</v>
      </c>
      <c r="C1040">
        <v>61</v>
      </c>
      <c r="D1040">
        <v>20948</v>
      </c>
      <c r="E1040" t="s">
        <v>14</v>
      </c>
      <c r="F1040" t="s">
        <v>15</v>
      </c>
      <c r="G1040" t="s">
        <v>34</v>
      </c>
      <c r="H1040" t="s">
        <v>8</v>
      </c>
      <c r="I1040" t="s">
        <v>9</v>
      </c>
      <c r="J1040" t="s">
        <v>10</v>
      </c>
      <c r="K1040" t="s">
        <v>19</v>
      </c>
      <c r="L1040" t="s">
        <v>12</v>
      </c>
      <c r="M1040" t="s">
        <v>35</v>
      </c>
      <c r="N1040" t="s">
        <v>23</v>
      </c>
      <c r="O1040" t="s">
        <v>18</v>
      </c>
      <c r="P1040">
        <v>4</v>
      </c>
    </row>
    <row r="1041" spans="1:16" x14ac:dyDescent="0.3">
      <c r="A1041">
        <v>1546</v>
      </c>
      <c r="B1041">
        <v>43851</v>
      </c>
      <c r="C1041">
        <v>68</v>
      </c>
      <c r="D1041">
        <v>19219</v>
      </c>
      <c r="E1041" t="s">
        <v>14</v>
      </c>
      <c r="F1041" t="s">
        <v>15</v>
      </c>
      <c r="G1041" t="s">
        <v>17</v>
      </c>
      <c r="H1041" t="s">
        <v>8</v>
      </c>
      <c r="I1041" t="s">
        <v>9</v>
      </c>
      <c r="J1041" t="s">
        <v>20</v>
      </c>
      <c r="K1041" t="s">
        <v>26</v>
      </c>
      <c r="L1041" t="s">
        <v>12</v>
      </c>
      <c r="M1041" t="s">
        <v>49</v>
      </c>
      <c r="N1041" t="s">
        <v>23</v>
      </c>
      <c r="O1041" t="s">
        <v>18</v>
      </c>
      <c r="P1041">
        <v>1</v>
      </c>
    </row>
    <row r="1042" spans="1:16" x14ac:dyDescent="0.3">
      <c r="A1042">
        <v>1547</v>
      </c>
      <c r="B1042">
        <v>44609</v>
      </c>
      <c r="C1042">
        <v>29</v>
      </c>
      <c r="D1042">
        <v>34328</v>
      </c>
      <c r="E1042" t="s">
        <v>14</v>
      </c>
      <c r="F1042" t="s">
        <v>15</v>
      </c>
      <c r="G1042" t="s">
        <v>17</v>
      </c>
      <c r="H1042" t="s">
        <v>8</v>
      </c>
      <c r="I1042" t="s">
        <v>9</v>
      </c>
      <c r="J1042" t="s">
        <v>10</v>
      </c>
      <c r="K1042" t="s">
        <v>26</v>
      </c>
      <c r="L1042" t="s">
        <v>12</v>
      </c>
      <c r="M1042" t="s">
        <v>68</v>
      </c>
      <c r="N1042" t="s">
        <v>23</v>
      </c>
      <c r="O1042" t="s">
        <v>18</v>
      </c>
      <c r="P1042">
        <v>4</v>
      </c>
    </row>
    <row r="1043" spans="1:16" x14ac:dyDescent="0.3">
      <c r="A1043">
        <v>1548</v>
      </c>
      <c r="B1043">
        <v>43627</v>
      </c>
      <c r="C1043">
        <v>55</v>
      </c>
      <c r="D1043">
        <v>23590</v>
      </c>
      <c r="E1043" t="s">
        <v>14</v>
      </c>
      <c r="F1043" t="s">
        <v>22</v>
      </c>
      <c r="G1043" t="s">
        <v>17</v>
      </c>
      <c r="H1043" t="s">
        <v>8</v>
      </c>
      <c r="I1043" t="s">
        <v>9</v>
      </c>
      <c r="J1043" t="s">
        <v>20</v>
      </c>
      <c r="K1043" t="s">
        <v>19</v>
      </c>
      <c r="L1043" t="s">
        <v>12</v>
      </c>
      <c r="M1043" t="s">
        <v>42</v>
      </c>
      <c r="N1043" t="s">
        <v>46</v>
      </c>
      <c r="O1043" t="s">
        <v>56</v>
      </c>
      <c r="P1043">
        <v>4</v>
      </c>
    </row>
    <row r="1044" spans="1:16" x14ac:dyDescent="0.3">
      <c r="A1044">
        <v>1549</v>
      </c>
      <c r="B1044">
        <v>44686</v>
      </c>
      <c r="C1044">
        <v>29</v>
      </c>
      <c r="D1044">
        <v>33985</v>
      </c>
      <c r="E1044" t="s">
        <v>14</v>
      </c>
      <c r="F1044" t="s">
        <v>15</v>
      </c>
      <c r="G1044" t="s">
        <v>34</v>
      </c>
      <c r="H1044" t="s">
        <v>8</v>
      </c>
      <c r="I1044" t="s">
        <v>9</v>
      </c>
      <c r="J1044" t="s">
        <v>20</v>
      </c>
      <c r="K1044" t="s">
        <v>11</v>
      </c>
      <c r="L1044" t="s">
        <v>12</v>
      </c>
      <c r="M1044" t="s">
        <v>44</v>
      </c>
      <c r="N1044" t="s">
        <v>30</v>
      </c>
      <c r="O1044" t="s">
        <v>18</v>
      </c>
      <c r="P1044">
        <v>3</v>
      </c>
    </row>
    <row r="1045" spans="1:16" x14ac:dyDescent="0.3">
      <c r="A1045">
        <v>1550</v>
      </c>
      <c r="B1045">
        <v>43362</v>
      </c>
      <c r="C1045">
        <v>57</v>
      </c>
      <c r="D1045">
        <v>22508</v>
      </c>
      <c r="E1045" t="s">
        <v>14</v>
      </c>
      <c r="F1045" t="s">
        <v>15</v>
      </c>
      <c r="G1045" t="s">
        <v>17</v>
      </c>
      <c r="H1045" t="s">
        <v>8</v>
      </c>
      <c r="I1045" t="s">
        <v>9</v>
      </c>
      <c r="J1045" t="s">
        <v>25</v>
      </c>
      <c r="K1045" t="s">
        <v>19</v>
      </c>
      <c r="L1045" t="s">
        <v>12</v>
      </c>
      <c r="M1045" t="s">
        <v>35</v>
      </c>
      <c r="N1045" t="s">
        <v>37</v>
      </c>
      <c r="O1045" t="s">
        <v>18</v>
      </c>
      <c r="P1045">
        <v>3</v>
      </c>
    </row>
    <row r="1046" spans="1:16" x14ac:dyDescent="0.3">
      <c r="A1046">
        <v>1553</v>
      </c>
      <c r="B1046">
        <v>44912</v>
      </c>
      <c r="C1046">
        <v>62</v>
      </c>
      <c r="D1046">
        <v>22193</v>
      </c>
      <c r="E1046" t="s">
        <v>14</v>
      </c>
      <c r="F1046" t="s">
        <v>15</v>
      </c>
      <c r="G1046" t="s">
        <v>31</v>
      </c>
      <c r="H1046" t="s">
        <v>8</v>
      </c>
      <c r="I1046" t="s">
        <v>9</v>
      </c>
      <c r="J1046" t="s">
        <v>20</v>
      </c>
      <c r="K1046" t="s">
        <v>11</v>
      </c>
      <c r="L1046" t="s">
        <v>12</v>
      </c>
      <c r="M1046" t="s">
        <v>35</v>
      </c>
      <c r="N1046" t="s">
        <v>30</v>
      </c>
      <c r="O1046" t="s">
        <v>18</v>
      </c>
      <c r="P1046">
        <v>1</v>
      </c>
    </row>
    <row r="1047" spans="1:16" x14ac:dyDescent="0.3">
      <c r="A1047">
        <v>1555</v>
      </c>
      <c r="B1047">
        <v>43551</v>
      </c>
      <c r="C1047">
        <v>53</v>
      </c>
      <c r="D1047">
        <v>24223</v>
      </c>
      <c r="E1047" t="s">
        <v>14</v>
      </c>
      <c r="F1047" t="s">
        <v>15</v>
      </c>
      <c r="G1047" t="s">
        <v>40</v>
      </c>
      <c r="H1047" t="s">
        <v>64</v>
      </c>
      <c r="I1047" t="s">
        <v>9</v>
      </c>
      <c r="J1047" t="s">
        <v>20</v>
      </c>
      <c r="K1047" t="s">
        <v>19</v>
      </c>
      <c r="L1047" t="s">
        <v>12</v>
      </c>
      <c r="M1047" t="s">
        <v>35</v>
      </c>
      <c r="N1047" t="s">
        <v>23</v>
      </c>
      <c r="O1047" t="s">
        <v>18</v>
      </c>
      <c r="P1047">
        <v>1</v>
      </c>
    </row>
    <row r="1048" spans="1:16" x14ac:dyDescent="0.3">
      <c r="A1048">
        <v>1556</v>
      </c>
      <c r="B1048">
        <v>45054</v>
      </c>
      <c r="C1048">
        <v>30</v>
      </c>
      <c r="D1048">
        <v>34011</v>
      </c>
      <c r="E1048" t="s">
        <v>14</v>
      </c>
      <c r="F1048" t="s">
        <v>15</v>
      </c>
      <c r="G1048" t="s">
        <v>17</v>
      </c>
      <c r="H1048" t="s">
        <v>64</v>
      </c>
      <c r="I1048" t="s">
        <v>9</v>
      </c>
      <c r="J1048" t="s">
        <v>25</v>
      </c>
      <c r="K1048" t="s">
        <v>26</v>
      </c>
      <c r="L1048" t="s">
        <v>12</v>
      </c>
      <c r="M1048" t="s">
        <v>54</v>
      </c>
      <c r="N1048" t="s">
        <v>46</v>
      </c>
      <c r="O1048" t="s">
        <v>18</v>
      </c>
      <c r="P1048">
        <v>5</v>
      </c>
    </row>
    <row r="1049" spans="1:16" x14ac:dyDescent="0.3">
      <c r="A1049">
        <v>1557</v>
      </c>
      <c r="B1049">
        <v>43446</v>
      </c>
      <c r="C1049">
        <v>27</v>
      </c>
      <c r="D1049">
        <v>33405</v>
      </c>
      <c r="E1049" t="s">
        <v>14</v>
      </c>
      <c r="F1049" t="s">
        <v>22</v>
      </c>
      <c r="G1049" t="s">
        <v>40</v>
      </c>
      <c r="H1049" t="s">
        <v>64</v>
      </c>
      <c r="I1049" t="s">
        <v>66</v>
      </c>
      <c r="J1049" t="s">
        <v>20</v>
      </c>
      <c r="K1049" t="s">
        <v>26</v>
      </c>
      <c r="L1049" t="s">
        <v>12</v>
      </c>
      <c r="M1049" t="s">
        <v>54</v>
      </c>
      <c r="N1049" t="s">
        <v>23</v>
      </c>
      <c r="O1049" t="s">
        <v>18</v>
      </c>
      <c r="P1049">
        <v>1</v>
      </c>
    </row>
    <row r="1050" spans="1:16" x14ac:dyDescent="0.3">
      <c r="A1050">
        <v>1558</v>
      </c>
      <c r="B1050">
        <v>44068</v>
      </c>
      <c r="C1050">
        <v>39</v>
      </c>
      <c r="D1050">
        <v>29641</v>
      </c>
      <c r="E1050" t="s">
        <v>14</v>
      </c>
      <c r="F1050" t="s">
        <v>22</v>
      </c>
      <c r="G1050" t="s">
        <v>34</v>
      </c>
      <c r="H1050" t="s">
        <v>64</v>
      </c>
      <c r="I1050" t="s">
        <v>9</v>
      </c>
      <c r="J1050" t="s">
        <v>20</v>
      </c>
      <c r="K1050" t="s">
        <v>19</v>
      </c>
      <c r="L1050" t="s">
        <v>12</v>
      </c>
      <c r="M1050" t="s">
        <v>35</v>
      </c>
      <c r="N1050" t="s">
        <v>37</v>
      </c>
      <c r="O1050" t="s">
        <v>18</v>
      </c>
      <c r="P1050">
        <v>5</v>
      </c>
    </row>
    <row r="1051" spans="1:16" x14ac:dyDescent="0.3">
      <c r="A1051">
        <v>1559</v>
      </c>
      <c r="B1051">
        <v>44673</v>
      </c>
      <c r="C1051">
        <v>57</v>
      </c>
      <c r="D1051">
        <v>24078</v>
      </c>
      <c r="E1051" t="s">
        <v>14</v>
      </c>
      <c r="F1051" t="s">
        <v>22</v>
      </c>
      <c r="G1051" t="s">
        <v>40</v>
      </c>
      <c r="H1051" t="s">
        <v>64</v>
      </c>
      <c r="I1051" t="s">
        <v>66</v>
      </c>
      <c r="J1051" t="s">
        <v>25</v>
      </c>
      <c r="K1051" t="s">
        <v>26</v>
      </c>
      <c r="L1051" t="s">
        <v>12</v>
      </c>
      <c r="M1051" t="s">
        <v>54</v>
      </c>
      <c r="N1051" t="s">
        <v>30</v>
      </c>
      <c r="O1051" t="s">
        <v>18</v>
      </c>
      <c r="P1051">
        <v>1</v>
      </c>
    </row>
    <row r="1052" spans="1:16" x14ac:dyDescent="0.3">
      <c r="A1052">
        <v>1560</v>
      </c>
      <c r="B1052">
        <v>44550</v>
      </c>
      <c r="C1052">
        <v>74</v>
      </c>
      <c r="D1052">
        <v>17418</v>
      </c>
      <c r="E1052" t="s">
        <v>14</v>
      </c>
      <c r="F1052" t="s">
        <v>22</v>
      </c>
      <c r="G1052" t="s">
        <v>40</v>
      </c>
      <c r="H1052" t="s">
        <v>64</v>
      </c>
      <c r="I1052" t="s">
        <v>66</v>
      </c>
      <c r="J1052" t="s">
        <v>25</v>
      </c>
      <c r="K1052" t="s">
        <v>19</v>
      </c>
      <c r="L1052" t="s">
        <v>12</v>
      </c>
      <c r="M1052" t="s">
        <v>32</v>
      </c>
      <c r="N1052" t="s">
        <v>30</v>
      </c>
      <c r="O1052" t="s">
        <v>18</v>
      </c>
      <c r="P1052">
        <v>2</v>
      </c>
    </row>
    <row r="1053" spans="1:16" x14ac:dyDescent="0.3">
      <c r="A1053">
        <v>1561</v>
      </c>
      <c r="B1053">
        <v>44239</v>
      </c>
      <c r="C1053">
        <v>65</v>
      </c>
      <c r="D1053">
        <v>20604</v>
      </c>
      <c r="E1053" t="s">
        <v>14</v>
      </c>
      <c r="F1053" t="s">
        <v>15</v>
      </c>
      <c r="G1053" t="s">
        <v>31</v>
      </c>
      <c r="H1053" t="s">
        <v>8</v>
      </c>
      <c r="I1053" t="s">
        <v>9</v>
      </c>
      <c r="J1053" t="s">
        <v>10</v>
      </c>
      <c r="K1053" t="s">
        <v>11</v>
      </c>
      <c r="L1053" t="s">
        <v>12</v>
      </c>
      <c r="M1053" t="s">
        <v>32</v>
      </c>
      <c r="N1053" t="s">
        <v>23</v>
      </c>
      <c r="O1053" t="s">
        <v>18</v>
      </c>
      <c r="P1053">
        <v>1</v>
      </c>
    </row>
    <row r="1054" spans="1:16" x14ac:dyDescent="0.3">
      <c r="A1054">
        <v>1562</v>
      </c>
      <c r="B1054">
        <v>44103</v>
      </c>
      <c r="C1054">
        <v>76</v>
      </c>
      <c r="D1054">
        <v>16140</v>
      </c>
      <c r="E1054" t="s">
        <v>14</v>
      </c>
      <c r="F1054" t="s">
        <v>15</v>
      </c>
      <c r="G1054" t="s">
        <v>31</v>
      </c>
      <c r="H1054" t="s">
        <v>8</v>
      </c>
      <c r="I1054" t="s">
        <v>9</v>
      </c>
      <c r="J1054" t="s">
        <v>25</v>
      </c>
      <c r="K1054" t="s">
        <v>26</v>
      </c>
      <c r="L1054" t="s">
        <v>12</v>
      </c>
      <c r="M1054" t="s">
        <v>28</v>
      </c>
      <c r="N1054" t="s">
        <v>37</v>
      </c>
      <c r="O1054" t="s">
        <v>18</v>
      </c>
      <c r="P1054">
        <v>2</v>
      </c>
    </row>
    <row r="1055" spans="1:16" x14ac:dyDescent="0.3">
      <c r="A1055">
        <v>1563</v>
      </c>
      <c r="B1055">
        <v>44814</v>
      </c>
      <c r="C1055">
        <v>62</v>
      </c>
      <c r="D1055">
        <v>22246</v>
      </c>
      <c r="E1055" t="s">
        <v>14</v>
      </c>
      <c r="F1055" t="s">
        <v>15</v>
      </c>
      <c r="G1055" t="s">
        <v>17</v>
      </c>
      <c r="H1055" t="s">
        <v>8</v>
      </c>
      <c r="I1055" t="s">
        <v>9</v>
      </c>
      <c r="J1055" t="s">
        <v>10</v>
      </c>
      <c r="K1055" t="s">
        <v>11</v>
      </c>
      <c r="L1055" t="s">
        <v>12</v>
      </c>
      <c r="M1055" t="s">
        <v>35</v>
      </c>
      <c r="N1055" t="s">
        <v>37</v>
      </c>
      <c r="O1055" t="s">
        <v>18</v>
      </c>
      <c r="P1055">
        <v>4</v>
      </c>
    </row>
    <row r="1056" spans="1:16" x14ac:dyDescent="0.3">
      <c r="A1056">
        <v>1564</v>
      </c>
      <c r="B1056">
        <v>44996</v>
      </c>
      <c r="C1056">
        <v>32</v>
      </c>
      <c r="D1056">
        <v>33301</v>
      </c>
      <c r="E1056" t="s">
        <v>14</v>
      </c>
      <c r="F1056" t="s">
        <v>22</v>
      </c>
      <c r="G1056" t="s">
        <v>17</v>
      </c>
      <c r="H1056" t="s">
        <v>8</v>
      </c>
      <c r="I1056" t="s">
        <v>9</v>
      </c>
      <c r="J1056" t="s">
        <v>10</v>
      </c>
      <c r="K1056" t="s">
        <v>19</v>
      </c>
      <c r="L1056" t="s">
        <v>12</v>
      </c>
      <c r="M1056" t="s">
        <v>32</v>
      </c>
      <c r="N1056" t="s">
        <v>30</v>
      </c>
      <c r="O1056" t="s">
        <v>41</v>
      </c>
      <c r="P1056">
        <v>1</v>
      </c>
    </row>
    <row r="1057" spans="1:16" x14ac:dyDescent="0.3">
      <c r="A1057">
        <v>1565</v>
      </c>
      <c r="B1057">
        <v>44679</v>
      </c>
      <c r="C1057">
        <v>62</v>
      </c>
      <c r="D1057">
        <v>22182</v>
      </c>
      <c r="E1057" t="s">
        <v>14</v>
      </c>
      <c r="F1057" t="s">
        <v>22</v>
      </c>
      <c r="G1057" t="s">
        <v>17</v>
      </c>
      <c r="H1057" t="s">
        <v>8</v>
      </c>
      <c r="I1057" t="s">
        <v>9</v>
      </c>
      <c r="J1057" t="s">
        <v>25</v>
      </c>
      <c r="K1057" t="s">
        <v>11</v>
      </c>
      <c r="L1057" t="s">
        <v>12</v>
      </c>
      <c r="M1057" t="s">
        <v>35</v>
      </c>
      <c r="N1057" t="s">
        <v>46</v>
      </c>
      <c r="O1057" t="s">
        <v>18</v>
      </c>
      <c r="P1057">
        <v>4</v>
      </c>
    </row>
    <row r="1058" spans="1:16" x14ac:dyDescent="0.3">
      <c r="A1058">
        <v>1566</v>
      </c>
      <c r="B1058">
        <v>44640</v>
      </c>
      <c r="C1058">
        <v>60</v>
      </c>
      <c r="D1058">
        <v>23004</v>
      </c>
      <c r="E1058" t="s">
        <v>14</v>
      </c>
      <c r="F1058" t="s">
        <v>15</v>
      </c>
      <c r="G1058" t="s">
        <v>40</v>
      </c>
      <c r="H1058" t="s">
        <v>8</v>
      </c>
      <c r="I1058" t="s">
        <v>9</v>
      </c>
      <c r="J1058" t="s">
        <v>25</v>
      </c>
      <c r="K1058" t="s">
        <v>26</v>
      </c>
      <c r="L1058" t="s">
        <v>12</v>
      </c>
      <c r="M1058" t="s">
        <v>63</v>
      </c>
      <c r="N1058" t="s">
        <v>23</v>
      </c>
      <c r="O1058" t="s">
        <v>41</v>
      </c>
      <c r="P1058">
        <v>4</v>
      </c>
    </row>
    <row r="1059" spans="1:16" x14ac:dyDescent="0.3">
      <c r="A1059">
        <v>1567</v>
      </c>
      <c r="B1059">
        <v>44624</v>
      </c>
      <c r="C1059">
        <v>44</v>
      </c>
      <c r="D1059">
        <v>28823</v>
      </c>
      <c r="E1059" t="s">
        <v>14</v>
      </c>
      <c r="F1059" t="s">
        <v>15</v>
      </c>
      <c r="G1059" t="s">
        <v>31</v>
      </c>
      <c r="H1059" t="s">
        <v>8</v>
      </c>
      <c r="I1059" t="s">
        <v>9</v>
      </c>
      <c r="J1059" t="s">
        <v>10</v>
      </c>
      <c r="K1059" t="s">
        <v>11</v>
      </c>
      <c r="L1059" t="s">
        <v>12</v>
      </c>
      <c r="M1059" t="s">
        <v>35</v>
      </c>
      <c r="N1059" t="s">
        <v>46</v>
      </c>
      <c r="O1059" t="s">
        <v>18</v>
      </c>
      <c r="P1059">
        <v>2</v>
      </c>
    </row>
    <row r="1060" spans="1:16" x14ac:dyDescent="0.3">
      <c r="A1060">
        <v>1568</v>
      </c>
      <c r="B1060">
        <v>44958</v>
      </c>
      <c r="C1060">
        <v>28</v>
      </c>
      <c r="D1060">
        <v>34773</v>
      </c>
      <c r="E1060" t="s">
        <v>14</v>
      </c>
      <c r="F1060" t="s">
        <v>15</v>
      </c>
      <c r="G1060" t="s">
        <v>40</v>
      </c>
      <c r="H1060" t="s">
        <v>8</v>
      </c>
      <c r="I1060" t="s">
        <v>9</v>
      </c>
      <c r="J1060" t="s">
        <v>20</v>
      </c>
      <c r="K1060" t="s">
        <v>26</v>
      </c>
      <c r="L1060" t="s">
        <v>12</v>
      </c>
      <c r="M1060" t="s">
        <v>63</v>
      </c>
      <c r="N1060" t="s">
        <v>46</v>
      </c>
      <c r="O1060" t="s">
        <v>18</v>
      </c>
      <c r="P1060">
        <v>2</v>
      </c>
    </row>
    <row r="1061" spans="1:16" x14ac:dyDescent="0.3">
      <c r="A1061">
        <v>1569</v>
      </c>
      <c r="B1061">
        <v>44232</v>
      </c>
      <c r="C1061">
        <v>46</v>
      </c>
      <c r="D1061">
        <v>27449</v>
      </c>
      <c r="E1061" t="s">
        <v>14</v>
      </c>
      <c r="F1061" t="s">
        <v>22</v>
      </c>
      <c r="G1061" t="s">
        <v>17</v>
      </c>
      <c r="H1061" t="s">
        <v>8</v>
      </c>
      <c r="I1061" t="s">
        <v>9</v>
      </c>
      <c r="J1061" t="s">
        <v>20</v>
      </c>
      <c r="K1061" t="s">
        <v>11</v>
      </c>
      <c r="L1061" t="s">
        <v>12</v>
      </c>
      <c r="M1061" t="s">
        <v>42</v>
      </c>
      <c r="N1061" t="s">
        <v>37</v>
      </c>
      <c r="O1061" t="s">
        <v>18</v>
      </c>
      <c r="P1061">
        <v>3</v>
      </c>
    </row>
    <row r="1062" spans="1:16" x14ac:dyDescent="0.3">
      <c r="A1062">
        <v>1570</v>
      </c>
      <c r="B1062">
        <v>44888</v>
      </c>
      <c r="C1062">
        <v>30</v>
      </c>
      <c r="D1062">
        <v>33604</v>
      </c>
      <c r="E1062" t="s">
        <v>14</v>
      </c>
      <c r="F1062" t="s">
        <v>22</v>
      </c>
      <c r="G1062" t="s">
        <v>31</v>
      </c>
      <c r="H1062" t="s">
        <v>8</v>
      </c>
      <c r="I1062" t="s">
        <v>9</v>
      </c>
      <c r="J1062" t="s">
        <v>10</v>
      </c>
      <c r="K1062" t="s">
        <v>11</v>
      </c>
      <c r="L1062" t="s">
        <v>12</v>
      </c>
      <c r="M1062" t="s">
        <v>32</v>
      </c>
      <c r="N1062" t="s">
        <v>46</v>
      </c>
      <c r="O1062" t="s">
        <v>18</v>
      </c>
      <c r="P1062">
        <v>4</v>
      </c>
    </row>
    <row r="1063" spans="1:16" x14ac:dyDescent="0.3">
      <c r="A1063">
        <v>1571</v>
      </c>
      <c r="B1063">
        <v>44340</v>
      </c>
      <c r="C1063">
        <v>35</v>
      </c>
      <c r="D1063">
        <v>31667</v>
      </c>
      <c r="E1063" t="s">
        <v>14</v>
      </c>
      <c r="F1063" t="s">
        <v>15</v>
      </c>
      <c r="G1063" t="s">
        <v>40</v>
      </c>
      <c r="H1063" t="s">
        <v>8</v>
      </c>
      <c r="I1063" t="s">
        <v>9</v>
      </c>
      <c r="J1063" t="s">
        <v>20</v>
      </c>
      <c r="K1063" t="s">
        <v>19</v>
      </c>
      <c r="L1063" t="s">
        <v>12</v>
      </c>
      <c r="M1063" t="s">
        <v>63</v>
      </c>
      <c r="N1063" t="s">
        <v>23</v>
      </c>
      <c r="O1063" t="s">
        <v>41</v>
      </c>
      <c r="P1063">
        <v>2</v>
      </c>
    </row>
    <row r="1064" spans="1:16" x14ac:dyDescent="0.3">
      <c r="A1064">
        <v>1572</v>
      </c>
      <c r="B1064">
        <v>44467</v>
      </c>
      <c r="C1064">
        <v>70</v>
      </c>
      <c r="D1064">
        <v>18726</v>
      </c>
      <c r="E1064" t="s">
        <v>14</v>
      </c>
      <c r="F1064" t="s">
        <v>15</v>
      </c>
      <c r="G1064" t="s">
        <v>34</v>
      </c>
      <c r="H1064" t="s">
        <v>8</v>
      </c>
      <c r="I1064" t="s">
        <v>9</v>
      </c>
      <c r="J1064" t="s">
        <v>20</v>
      </c>
      <c r="K1064" t="s">
        <v>11</v>
      </c>
      <c r="L1064" t="s">
        <v>12</v>
      </c>
      <c r="M1064" t="s">
        <v>55</v>
      </c>
      <c r="N1064" t="s">
        <v>37</v>
      </c>
      <c r="O1064" t="s">
        <v>18</v>
      </c>
      <c r="P1064">
        <v>4</v>
      </c>
    </row>
    <row r="1065" spans="1:16" x14ac:dyDescent="0.3">
      <c r="A1065">
        <v>1573</v>
      </c>
      <c r="B1065">
        <v>44272</v>
      </c>
      <c r="C1065">
        <v>36</v>
      </c>
      <c r="D1065">
        <v>31066</v>
      </c>
      <c r="E1065" t="s">
        <v>14</v>
      </c>
      <c r="F1065" t="s">
        <v>15</v>
      </c>
      <c r="G1065" t="s">
        <v>17</v>
      </c>
      <c r="H1065" t="s">
        <v>8</v>
      </c>
      <c r="I1065" t="s">
        <v>9</v>
      </c>
      <c r="J1065" t="s">
        <v>10</v>
      </c>
      <c r="K1065" t="s">
        <v>19</v>
      </c>
      <c r="L1065" t="s">
        <v>12</v>
      </c>
      <c r="M1065" t="s">
        <v>58</v>
      </c>
      <c r="N1065" t="s">
        <v>30</v>
      </c>
      <c r="O1065" t="s">
        <v>18</v>
      </c>
      <c r="P1065">
        <v>1</v>
      </c>
    </row>
    <row r="1066" spans="1:16" x14ac:dyDescent="0.3">
      <c r="A1066">
        <v>1576</v>
      </c>
      <c r="B1066">
        <v>43780</v>
      </c>
      <c r="C1066">
        <v>74</v>
      </c>
      <c r="D1066">
        <v>16700</v>
      </c>
      <c r="E1066" t="s">
        <v>14</v>
      </c>
      <c r="F1066" t="s">
        <v>22</v>
      </c>
      <c r="G1066" t="s">
        <v>34</v>
      </c>
      <c r="H1066" t="s">
        <v>8</v>
      </c>
      <c r="I1066" t="s">
        <v>66</v>
      </c>
      <c r="J1066" t="s">
        <v>25</v>
      </c>
      <c r="K1066" t="s">
        <v>11</v>
      </c>
      <c r="L1066" t="s">
        <v>12</v>
      </c>
      <c r="M1066" t="s">
        <v>21</v>
      </c>
      <c r="N1066" t="s">
        <v>37</v>
      </c>
      <c r="O1066" t="s">
        <v>56</v>
      </c>
      <c r="P1066">
        <v>2</v>
      </c>
    </row>
    <row r="1067" spans="1:16" x14ac:dyDescent="0.3">
      <c r="A1067">
        <v>1577</v>
      </c>
      <c r="B1067">
        <v>44180</v>
      </c>
      <c r="C1067">
        <v>57</v>
      </c>
      <c r="D1067">
        <v>23114</v>
      </c>
      <c r="E1067" t="s">
        <v>14</v>
      </c>
      <c r="F1067" t="s">
        <v>15</v>
      </c>
      <c r="G1067" t="s">
        <v>17</v>
      </c>
      <c r="H1067" t="s">
        <v>64</v>
      </c>
      <c r="I1067" t="s">
        <v>9</v>
      </c>
      <c r="J1067" t="s">
        <v>25</v>
      </c>
      <c r="K1067" t="s">
        <v>26</v>
      </c>
      <c r="L1067" t="s">
        <v>12</v>
      </c>
      <c r="M1067" t="s">
        <v>13</v>
      </c>
      <c r="N1067" t="s">
        <v>37</v>
      </c>
      <c r="O1067" t="s">
        <v>18</v>
      </c>
      <c r="P1067">
        <v>2</v>
      </c>
    </row>
    <row r="1068" spans="1:16" x14ac:dyDescent="0.3">
      <c r="A1068">
        <v>1578</v>
      </c>
      <c r="B1068">
        <v>44322</v>
      </c>
      <c r="C1068">
        <v>41</v>
      </c>
      <c r="D1068">
        <v>29453</v>
      </c>
      <c r="E1068" t="s">
        <v>14</v>
      </c>
      <c r="F1068" t="s">
        <v>22</v>
      </c>
      <c r="G1068" t="s">
        <v>34</v>
      </c>
      <c r="H1068" t="s">
        <v>64</v>
      </c>
      <c r="I1068" t="s">
        <v>66</v>
      </c>
      <c r="J1068" t="s">
        <v>20</v>
      </c>
      <c r="K1068" t="s">
        <v>26</v>
      </c>
      <c r="L1068" t="s">
        <v>12</v>
      </c>
      <c r="M1068" t="s">
        <v>35</v>
      </c>
      <c r="N1068" t="s">
        <v>23</v>
      </c>
      <c r="O1068" t="s">
        <v>56</v>
      </c>
      <c r="P1068">
        <v>5</v>
      </c>
    </row>
    <row r="1069" spans="1:16" x14ac:dyDescent="0.3">
      <c r="A1069">
        <v>1579</v>
      </c>
      <c r="B1069">
        <v>44385</v>
      </c>
      <c r="C1069">
        <v>27</v>
      </c>
      <c r="D1069">
        <v>34607</v>
      </c>
      <c r="E1069" t="s">
        <v>14</v>
      </c>
      <c r="F1069" t="s">
        <v>22</v>
      </c>
      <c r="G1069" t="s">
        <v>40</v>
      </c>
      <c r="H1069" t="s">
        <v>64</v>
      </c>
      <c r="I1069" t="s">
        <v>9</v>
      </c>
      <c r="J1069" t="s">
        <v>20</v>
      </c>
      <c r="K1069" t="s">
        <v>19</v>
      </c>
      <c r="L1069" t="s">
        <v>12</v>
      </c>
      <c r="M1069" t="s">
        <v>32</v>
      </c>
      <c r="N1069" t="s">
        <v>16</v>
      </c>
      <c r="O1069" t="s">
        <v>18</v>
      </c>
      <c r="P1069">
        <v>3</v>
      </c>
    </row>
    <row r="1070" spans="1:16" x14ac:dyDescent="0.3">
      <c r="A1070">
        <v>1580</v>
      </c>
      <c r="B1070">
        <v>45020</v>
      </c>
      <c r="C1070">
        <v>51</v>
      </c>
      <c r="D1070">
        <v>26399</v>
      </c>
      <c r="E1070" t="s">
        <v>14</v>
      </c>
      <c r="F1070" t="s">
        <v>22</v>
      </c>
      <c r="G1070" t="s">
        <v>31</v>
      </c>
      <c r="H1070" t="s">
        <v>64</v>
      </c>
      <c r="I1070" t="s">
        <v>9</v>
      </c>
      <c r="J1070" t="s">
        <v>20</v>
      </c>
      <c r="K1070" t="s">
        <v>19</v>
      </c>
      <c r="L1070" t="s">
        <v>12</v>
      </c>
      <c r="M1070" t="s">
        <v>13</v>
      </c>
      <c r="N1070" t="s">
        <v>46</v>
      </c>
      <c r="O1070" t="s">
        <v>56</v>
      </c>
      <c r="P1070">
        <v>1</v>
      </c>
    </row>
    <row r="1071" spans="1:16" x14ac:dyDescent="0.3">
      <c r="A1071">
        <v>1581</v>
      </c>
      <c r="B1071">
        <v>44778</v>
      </c>
      <c r="C1071">
        <v>72</v>
      </c>
      <c r="D1071">
        <v>18468</v>
      </c>
      <c r="E1071" t="s">
        <v>14</v>
      </c>
      <c r="F1071" t="s">
        <v>22</v>
      </c>
      <c r="G1071" t="s">
        <v>31</v>
      </c>
      <c r="H1071" t="s">
        <v>64</v>
      </c>
      <c r="I1071" t="s">
        <v>66</v>
      </c>
      <c r="J1071" t="s">
        <v>25</v>
      </c>
      <c r="K1071" t="s">
        <v>11</v>
      </c>
      <c r="L1071" t="s">
        <v>12</v>
      </c>
      <c r="M1071" t="s">
        <v>32</v>
      </c>
      <c r="N1071" t="s">
        <v>46</v>
      </c>
      <c r="O1071" t="s">
        <v>18</v>
      </c>
      <c r="P1071">
        <v>3</v>
      </c>
    </row>
    <row r="1072" spans="1:16" x14ac:dyDescent="0.3">
      <c r="A1072">
        <v>1582</v>
      </c>
      <c r="B1072">
        <v>43927</v>
      </c>
      <c r="C1072">
        <v>25</v>
      </c>
      <c r="D1072">
        <v>34790</v>
      </c>
      <c r="E1072" t="s">
        <v>14</v>
      </c>
      <c r="F1072" t="s">
        <v>15</v>
      </c>
      <c r="G1072" t="s">
        <v>31</v>
      </c>
      <c r="H1072" t="s">
        <v>64</v>
      </c>
      <c r="I1072" t="s">
        <v>66</v>
      </c>
      <c r="J1072" t="s">
        <v>20</v>
      </c>
      <c r="K1072" t="s">
        <v>11</v>
      </c>
      <c r="L1072" t="s">
        <v>12</v>
      </c>
      <c r="M1072" t="s">
        <v>35</v>
      </c>
      <c r="N1072" t="s">
        <v>30</v>
      </c>
      <c r="O1072" t="s">
        <v>56</v>
      </c>
      <c r="P1072">
        <v>1</v>
      </c>
    </row>
    <row r="1073" spans="1:16" x14ac:dyDescent="0.3">
      <c r="A1073">
        <v>1583</v>
      </c>
      <c r="B1073">
        <v>44987</v>
      </c>
      <c r="C1073">
        <v>50</v>
      </c>
      <c r="D1073">
        <v>26846</v>
      </c>
      <c r="E1073" t="s">
        <v>14</v>
      </c>
      <c r="F1073" t="s">
        <v>15</v>
      </c>
      <c r="G1073" t="s">
        <v>17</v>
      </c>
      <c r="H1073" t="s">
        <v>8</v>
      </c>
      <c r="I1073" t="s">
        <v>66</v>
      </c>
      <c r="J1073" t="s">
        <v>25</v>
      </c>
      <c r="K1073" t="s">
        <v>26</v>
      </c>
      <c r="L1073" t="s">
        <v>12</v>
      </c>
      <c r="M1073" t="s">
        <v>54</v>
      </c>
      <c r="N1073" t="s">
        <v>30</v>
      </c>
      <c r="O1073" t="s">
        <v>18</v>
      </c>
      <c r="P1073">
        <v>3</v>
      </c>
    </row>
    <row r="1074" spans="1:16" x14ac:dyDescent="0.3">
      <c r="A1074">
        <v>1584</v>
      </c>
      <c r="B1074">
        <v>43930</v>
      </c>
      <c r="C1074">
        <v>77</v>
      </c>
      <c r="D1074">
        <v>15997</v>
      </c>
      <c r="E1074" t="s">
        <v>14</v>
      </c>
      <c r="F1074" t="s">
        <v>15</v>
      </c>
      <c r="G1074" t="s">
        <v>34</v>
      </c>
      <c r="H1074" t="s">
        <v>8</v>
      </c>
      <c r="I1074" t="s">
        <v>9</v>
      </c>
      <c r="J1074" t="s">
        <v>10</v>
      </c>
      <c r="K1074" t="s">
        <v>26</v>
      </c>
      <c r="L1074" t="s">
        <v>12</v>
      </c>
      <c r="M1074" t="s">
        <v>55</v>
      </c>
      <c r="N1074" t="s">
        <v>16</v>
      </c>
      <c r="O1074" t="s">
        <v>18</v>
      </c>
      <c r="P1074">
        <v>1</v>
      </c>
    </row>
    <row r="1075" spans="1:16" x14ac:dyDescent="0.3">
      <c r="A1075">
        <v>1585</v>
      </c>
      <c r="B1075">
        <v>44821</v>
      </c>
      <c r="C1075">
        <v>66</v>
      </c>
      <c r="D1075">
        <v>20579</v>
      </c>
      <c r="E1075" t="s">
        <v>14</v>
      </c>
      <c r="F1075" t="s">
        <v>15</v>
      </c>
      <c r="G1075" t="s">
        <v>31</v>
      </c>
      <c r="H1075" t="s">
        <v>8</v>
      </c>
      <c r="I1075" t="s">
        <v>9</v>
      </c>
      <c r="J1075" t="s">
        <v>20</v>
      </c>
      <c r="K1075" t="s">
        <v>19</v>
      </c>
      <c r="L1075" t="s">
        <v>12</v>
      </c>
      <c r="M1075" t="s">
        <v>49</v>
      </c>
      <c r="N1075" t="s">
        <v>37</v>
      </c>
      <c r="O1075" t="s">
        <v>18</v>
      </c>
      <c r="P1075">
        <v>4</v>
      </c>
    </row>
    <row r="1076" spans="1:16" x14ac:dyDescent="0.3">
      <c r="A1076">
        <v>1586</v>
      </c>
      <c r="B1076">
        <v>44576</v>
      </c>
      <c r="C1076">
        <v>49</v>
      </c>
      <c r="D1076">
        <v>26669</v>
      </c>
      <c r="E1076" t="s">
        <v>14</v>
      </c>
      <c r="F1076" t="s">
        <v>15</v>
      </c>
      <c r="G1076" t="s">
        <v>17</v>
      </c>
      <c r="H1076" t="s">
        <v>8</v>
      </c>
      <c r="I1076" t="s">
        <v>9</v>
      </c>
      <c r="J1076" t="s">
        <v>25</v>
      </c>
      <c r="K1076" t="s">
        <v>11</v>
      </c>
      <c r="L1076" t="s">
        <v>12</v>
      </c>
      <c r="M1076" t="s">
        <v>32</v>
      </c>
      <c r="N1076" t="s">
        <v>23</v>
      </c>
      <c r="O1076" t="s">
        <v>18</v>
      </c>
      <c r="P1076">
        <v>3</v>
      </c>
    </row>
    <row r="1077" spans="1:16" x14ac:dyDescent="0.3">
      <c r="A1077">
        <v>1587</v>
      </c>
      <c r="B1077">
        <v>44704</v>
      </c>
      <c r="C1077">
        <v>38</v>
      </c>
      <c r="D1077">
        <v>31028</v>
      </c>
      <c r="E1077" t="s">
        <v>14</v>
      </c>
      <c r="F1077" t="s">
        <v>22</v>
      </c>
      <c r="G1077" t="s">
        <v>40</v>
      </c>
      <c r="H1077" t="s">
        <v>8</v>
      </c>
      <c r="I1077" t="s">
        <v>9</v>
      </c>
      <c r="J1077" t="s">
        <v>20</v>
      </c>
      <c r="K1077" t="s">
        <v>11</v>
      </c>
      <c r="L1077" t="s">
        <v>12</v>
      </c>
      <c r="M1077" t="s">
        <v>49</v>
      </c>
      <c r="N1077" t="s">
        <v>30</v>
      </c>
      <c r="O1077" t="s">
        <v>18</v>
      </c>
      <c r="P1077">
        <v>5</v>
      </c>
    </row>
    <row r="1078" spans="1:16" x14ac:dyDescent="0.3">
      <c r="A1078">
        <v>1588</v>
      </c>
      <c r="B1078">
        <v>44392</v>
      </c>
      <c r="C1078">
        <v>75</v>
      </c>
      <c r="D1078">
        <v>16851</v>
      </c>
      <c r="E1078" t="s">
        <v>14</v>
      </c>
      <c r="F1078" t="s">
        <v>22</v>
      </c>
      <c r="G1078" t="s">
        <v>17</v>
      </c>
      <c r="H1078" t="s">
        <v>8</v>
      </c>
      <c r="I1078" t="s">
        <v>9</v>
      </c>
      <c r="J1078" t="s">
        <v>25</v>
      </c>
      <c r="K1078" t="s">
        <v>19</v>
      </c>
      <c r="L1078" t="s">
        <v>12</v>
      </c>
      <c r="M1078" t="s">
        <v>49</v>
      </c>
      <c r="N1078" t="s">
        <v>23</v>
      </c>
      <c r="O1078" t="s">
        <v>18</v>
      </c>
      <c r="P1078">
        <v>5</v>
      </c>
    </row>
    <row r="1079" spans="1:16" x14ac:dyDescent="0.3">
      <c r="A1079">
        <v>1589</v>
      </c>
      <c r="B1079">
        <v>44071</v>
      </c>
      <c r="C1079">
        <v>24</v>
      </c>
      <c r="D1079">
        <v>35248</v>
      </c>
      <c r="E1079" t="s">
        <v>14</v>
      </c>
      <c r="F1079" t="s">
        <v>15</v>
      </c>
      <c r="G1079" t="s">
        <v>34</v>
      </c>
      <c r="H1079" t="s">
        <v>8</v>
      </c>
      <c r="I1079" t="s">
        <v>9</v>
      </c>
      <c r="J1079" t="s">
        <v>10</v>
      </c>
      <c r="K1079" t="s">
        <v>19</v>
      </c>
      <c r="L1079" t="s">
        <v>12</v>
      </c>
      <c r="M1079" t="s">
        <v>35</v>
      </c>
      <c r="N1079" t="s">
        <v>16</v>
      </c>
      <c r="O1079" t="s">
        <v>18</v>
      </c>
      <c r="P1079">
        <v>1</v>
      </c>
    </row>
    <row r="1080" spans="1:16" x14ac:dyDescent="0.3">
      <c r="A1080">
        <v>1590</v>
      </c>
      <c r="B1080">
        <v>44448</v>
      </c>
      <c r="C1080">
        <v>38</v>
      </c>
      <c r="D1080">
        <v>30568</v>
      </c>
      <c r="E1080" t="s">
        <v>14</v>
      </c>
      <c r="F1080" t="s">
        <v>22</v>
      </c>
      <c r="G1080" t="s">
        <v>31</v>
      </c>
      <c r="H1080" t="s">
        <v>8</v>
      </c>
      <c r="I1080" t="s">
        <v>9</v>
      </c>
      <c r="J1080" t="s">
        <v>20</v>
      </c>
      <c r="K1080" t="s">
        <v>19</v>
      </c>
      <c r="L1080" t="s">
        <v>12</v>
      </c>
      <c r="M1080" t="s">
        <v>59</v>
      </c>
      <c r="N1080" t="s">
        <v>37</v>
      </c>
      <c r="O1080" t="s">
        <v>18</v>
      </c>
      <c r="P1080">
        <v>1</v>
      </c>
    </row>
    <row r="1081" spans="1:16" x14ac:dyDescent="0.3">
      <c r="A1081">
        <v>1591</v>
      </c>
      <c r="B1081">
        <v>44967</v>
      </c>
      <c r="C1081">
        <v>66</v>
      </c>
      <c r="D1081">
        <v>21113</v>
      </c>
      <c r="E1081" t="s">
        <v>14</v>
      </c>
      <c r="F1081" t="s">
        <v>15</v>
      </c>
      <c r="G1081" t="s">
        <v>40</v>
      </c>
      <c r="H1081" t="s">
        <v>8</v>
      </c>
      <c r="I1081" t="s">
        <v>9</v>
      </c>
      <c r="J1081" t="s">
        <v>10</v>
      </c>
      <c r="K1081" t="s">
        <v>19</v>
      </c>
      <c r="L1081" t="s">
        <v>12</v>
      </c>
      <c r="M1081" t="s">
        <v>32</v>
      </c>
      <c r="N1081" t="s">
        <v>46</v>
      </c>
      <c r="O1081" t="s">
        <v>18</v>
      </c>
      <c r="P1081">
        <v>3</v>
      </c>
    </row>
    <row r="1082" spans="1:16" x14ac:dyDescent="0.3">
      <c r="A1082">
        <v>1592</v>
      </c>
      <c r="B1082">
        <v>43996</v>
      </c>
      <c r="C1082">
        <v>39</v>
      </c>
      <c r="D1082">
        <v>29813</v>
      </c>
      <c r="E1082" t="s">
        <v>14</v>
      </c>
      <c r="F1082" t="s">
        <v>22</v>
      </c>
      <c r="G1082" t="s">
        <v>31</v>
      </c>
      <c r="H1082" t="s">
        <v>8</v>
      </c>
      <c r="I1082" t="s">
        <v>9</v>
      </c>
      <c r="J1082" t="s">
        <v>25</v>
      </c>
      <c r="K1082" t="s">
        <v>19</v>
      </c>
      <c r="L1082" t="s">
        <v>12</v>
      </c>
      <c r="M1082" t="s">
        <v>42</v>
      </c>
      <c r="N1082" t="s">
        <v>30</v>
      </c>
      <c r="O1082" t="s">
        <v>41</v>
      </c>
      <c r="P1082">
        <v>1</v>
      </c>
    </row>
    <row r="1083" spans="1:16" x14ac:dyDescent="0.3">
      <c r="A1083">
        <v>1593</v>
      </c>
      <c r="B1083">
        <v>44170</v>
      </c>
      <c r="C1083">
        <v>36</v>
      </c>
      <c r="D1083">
        <v>31004</v>
      </c>
      <c r="E1083" t="s">
        <v>14</v>
      </c>
      <c r="F1083" t="s">
        <v>22</v>
      </c>
      <c r="G1083" t="s">
        <v>17</v>
      </c>
      <c r="H1083" t="s">
        <v>8</v>
      </c>
      <c r="I1083" t="s">
        <v>9</v>
      </c>
      <c r="J1083" t="s">
        <v>20</v>
      </c>
      <c r="K1083" t="s">
        <v>26</v>
      </c>
      <c r="L1083" t="s">
        <v>12</v>
      </c>
      <c r="M1083" t="s">
        <v>60</v>
      </c>
      <c r="N1083" t="s">
        <v>46</v>
      </c>
      <c r="O1083" t="s">
        <v>41</v>
      </c>
      <c r="P1083">
        <v>4</v>
      </c>
    </row>
    <row r="1084" spans="1:16" x14ac:dyDescent="0.3">
      <c r="A1084">
        <v>1594</v>
      </c>
      <c r="B1084">
        <v>44758</v>
      </c>
      <c r="C1084">
        <v>54</v>
      </c>
      <c r="D1084">
        <v>24958</v>
      </c>
      <c r="E1084" t="s">
        <v>14</v>
      </c>
      <c r="F1084" t="s">
        <v>15</v>
      </c>
      <c r="G1084" t="s">
        <v>31</v>
      </c>
      <c r="H1084" t="s">
        <v>8</v>
      </c>
      <c r="I1084" t="s">
        <v>9</v>
      </c>
      <c r="J1084" t="s">
        <v>20</v>
      </c>
      <c r="K1084" t="s">
        <v>26</v>
      </c>
      <c r="L1084" t="s">
        <v>12</v>
      </c>
      <c r="M1084" t="s">
        <v>21</v>
      </c>
      <c r="N1084" t="s">
        <v>37</v>
      </c>
      <c r="O1084" t="s">
        <v>41</v>
      </c>
      <c r="P1084">
        <v>1</v>
      </c>
    </row>
    <row r="1085" spans="1:16" x14ac:dyDescent="0.3">
      <c r="A1085">
        <v>1595</v>
      </c>
      <c r="B1085">
        <v>45086</v>
      </c>
      <c r="C1085">
        <v>54</v>
      </c>
      <c r="D1085">
        <v>25457</v>
      </c>
      <c r="E1085" t="s">
        <v>14</v>
      </c>
      <c r="F1085" t="s">
        <v>15</v>
      </c>
      <c r="G1085" t="s">
        <v>34</v>
      </c>
      <c r="H1085" t="s">
        <v>8</v>
      </c>
      <c r="I1085" t="s">
        <v>9</v>
      </c>
      <c r="J1085" t="s">
        <v>20</v>
      </c>
      <c r="K1085" t="s">
        <v>19</v>
      </c>
      <c r="L1085" t="s">
        <v>12</v>
      </c>
      <c r="M1085" t="s">
        <v>38</v>
      </c>
      <c r="N1085" t="s">
        <v>37</v>
      </c>
      <c r="O1085" t="s">
        <v>41</v>
      </c>
      <c r="P1085">
        <v>4</v>
      </c>
    </row>
    <row r="1086" spans="1:16" x14ac:dyDescent="0.3">
      <c r="A1086">
        <v>1599</v>
      </c>
      <c r="B1086">
        <v>44699</v>
      </c>
      <c r="C1086">
        <v>47</v>
      </c>
      <c r="D1086">
        <v>27711</v>
      </c>
      <c r="E1086" t="s">
        <v>14</v>
      </c>
      <c r="F1086" t="s">
        <v>22</v>
      </c>
      <c r="G1086" t="s">
        <v>40</v>
      </c>
      <c r="H1086" t="s">
        <v>64</v>
      </c>
      <c r="I1086" t="s">
        <v>66</v>
      </c>
      <c r="J1086" t="s">
        <v>25</v>
      </c>
      <c r="K1086" t="s">
        <v>11</v>
      </c>
      <c r="L1086" t="s">
        <v>12</v>
      </c>
      <c r="M1086" t="s">
        <v>35</v>
      </c>
      <c r="N1086" t="s">
        <v>16</v>
      </c>
      <c r="O1086" t="s">
        <v>41</v>
      </c>
      <c r="P1086">
        <v>5</v>
      </c>
    </row>
    <row r="1087" spans="1:16" x14ac:dyDescent="0.3">
      <c r="A1087">
        <v>1600</v>
      </c>
      <c r="B1087">
        <v>43410</v>
      </c>
      <c r="C1087">
        <v>25</v>
      </c>
      <c r="D1087">
        <v>34108</v>
      </c>
      <c r="E1087" t="s">
        <v>14</v>
      </c>
      <c r="F1087" t="s">
        <v>15</v>
      </c>
      <c r="G1087" t="s">
        <v>34</v>
      </c>
      <c r="H1087" t="s">
        <v>64</v>
      </c>
      <c r="I1087" t="s">
        <v>9</v>
      </c>
      <c r="J1087" t="s">
        <v>10</v>
      </c>
      <c r="K1087" t="s">
        <v>19</v>
      </c>
      <c r="L1087" t="s">
        <v>12</v>
      </c>
      <c r="M1087" t="s">
        <v>32</v>
      </c>
      <c r="N1087" t="s">
        <v>23</v>
      </c>
      <c r="O1087" t="s">
        <v>41</v>
      </c>
      <c r="P1087">
        <v>3</v>
      </c>
    </row>
    <row r="1088" spans="1:16" x14ac:dyDescent="0.3">
      <c r="A1088">
        <v>1601</v>
      </c>
      <c r="B1088">
        <v>44649</v>
      </c>
      <c r="C1088">
        <v>32</v>
      </c>
      <c r="D1088">
        <v>33154</v>
      </c>
      <c r="E1088" t="s">
        <v>14</v>
      </c>
      <c r="F1088" t="s">
        <v>22</v>
      </c>
      <c r="G1088" t="s">
        <v>31</v>
      </c>
      <c r="H1088" t="s">
        <v>64</v>
      </c>
      <c r="I1088" t="s">
        <v>9</v>
      </c>
      <c r="J1088" t="s">
        <v>20</v>
      </c>
      <c r="K1088" t="s">
        <v>11</v>
      </c>
      <c r="L1088" t="s">
        <v>12</v>
      </c>
      <c r="M1088" t="s">
        <v>42</v>
      </c>
      <c r="N1088" t="s">
        <v>46</v>
      </c>
      <c r="O1088" t="s">
        <v>41</v>
      </c>
      <c r="P1088">
        <v>2</v>
      </c>
    </row>
    <row r="1089" spans="1:16" x14ac:dyDescent="0.3">
      <c r="A1089">
        <v>1602</v>
      </c>
      <c r="B1089">
        <v>44504</v>
      </c>
      <c r="C1089">
        <v>21</v>
      </c>
      <c r="D1089">
        <v>36809</v>
      </c>
      <c r="E1089" t="s">
        <v>14</v>
      </c>
      <c r="F1089" t="s">
        <v>15</v>
      </c>
      <c r="G1089" t="s">
        <v>34</v>
      </c>
      <c r="H1089" t="s">
        <v>64</v>
      </c>
      <c r="I1089" t="s">
        <v>9</v>
      </c>
      <c r="J1089" t="s">
        <v>25</v>
      </c>
      <c r="K1089" t="s">
        <v>19</v>
      </c>
      <c r="L1089" t="s">
        <v>12</v>
      </c>
      <c r="M1089" t="s">
        <v>32</v>
      </c>
      <c r="N1089" t="s">
        <v>46</v>
      </c>
      <c r="O1089" t="s">
        <v>41</v>
      </c>
      <c r="P1089">
        <v>1</v>
      </c>
    </row>
    <row r="1090" spans="1:16" x14ac:dyDescent="0.3">
      <c r="A1090">
        <v>1603</v>
      </c>
      <c r="B1090">
        <v>45043</v>
      </c>
      <c r="C1090">
        <v>55</v>
      </c>
      <c r="D1090">
        <v>25197</v>
      </c>
      <c r="E1090" t="s">
        <v>14</v>
      </c>
      <c r="F1090" t="s">
        <v>22</v>
      </c>
      <c r="G1090" t="s">
        <v>31</v>
      </c>
      <c r="H1090" t="s">
        <v>64</v>
      </c>
      <c r="I1090" t="s">
        <v>9</v>
      </c>
      <c r="J1090" t="s">
        <v>20</v>
      </c>
      <c r="K1090" t="s">
        <v>26</v>
      </c>
      <c r="L1090" t="s">
        <v>12</v>
      </c>
      <c r="M1090" t="s">
        <v>32</v>
      </c>
      <c r="N1090" t="s">
        <v>16</v>
      </c>
      <c r="O1090" t="s">
        <v>41</v>
      </c>
      <c r="P1090">
        <v>5</v>
      </c>
    </row>
    <row r="1091" spans="1:16" x14ac:dyDescent="0.3">
      <c r="A1091">
        <v>1604</v>
      </c>
      <c r="B1091">
        <v>43898</v>
      </c>
      <c r="C1091">
        <v>44</v>
      </c>
      <c r="D1091">
        <v>28052</v>
      </c>
      <c r="E1091" t="s">
        <v>14</v>
      </c>
      <c r="F1091" t="s">
        <v>22</v>
      </c>
      <c r="G1091" t="s">
        <v>34</v>
      </c>
      <c r="H1091" t="s">
        <v>64</v>
      </c>
      <c r="I1091" t="s">
        <v>9</v>
      </c>
      <c r="J1091" t="s">
        <v>25</v>
      </c>
      <c r="K1091" t="s">
        <v>26</v>
      </c>
      <c r="L1091" t="s">
        <v>12</v>
      </c>
      <c r="M1091" t="s">
        <v>32</v>
      </c>
      <c r="N1091" t="s">
        <v>46</v>
      </c>
      <c r="O1091" t="s">
        <v>41</v>
      </c>
      <c r="P1091">
        <v>5</v>
      </c>
    </row>
    <row r="1092" spans="1:16" x14ac:dyDescent="0.3">
      <c r="A1092">
        <v>1605</v>
      </c>
      <c r="B1092">
        <v>43582</v>
      </c>
      <c r="C1092">
        <v>63</v>
      </c>
      <c r="D1092">
        <v>20748</v>
      </c>
      <c r="E1092" t="s">
        <v>14</v>
      </c>
      <c r="F1092" t="s">
        <v>15</v>
      </c>
      <c r="G1092" t="s">
        <v>31</v>
      </c>
      <c r="H1092" t="s">
        <v>8</v>
      </c>
      <c r="I1092" t="s">
        <v>66</v>
      </c>
      <c r="J1092" t="s">
        <v>25</v>
      </c>
      <c r="K1092" t="s">
        <v>26</v>
      </c>
      <c r="L1092" t="s">
        <v>12</v>
      </c>
      <c r="M1092" t="s">
        <v>35</v>
      </c>
      <c r="N1092" t="s">
        <v>37</v>
      </c>
      <c r="O1092" t="s">
        <v>41</v>
      </c>
      <c r="P1092">
        <v>3</v>
      </c>
    </row>
    <row r="1093" spans="1:16" x14ac:dyDescent="0.3">
      <c r="A1093">
        <v>1606</v>
      </c>
      <c r="B1093">
        <v>43596</v>
      </c>
      <c r="C1093">
        <v>75</v>
      </c>
      <c r="D1093">
        <v>16137</v>
      </c>
      <c r="E1093" t="s">
        <v>14</v>
      </c>
      <c r="F1093" t="s">
        <v>15</v>
      </c>
      <c r="G1093" t="s">
        <v>40</v>
      </c>
      <c r="H1093" t="s">
        <v>8</v>
      </c>
      <c r="I1093" t="s">
        <v>9</v>
      </c>
      <c r="J1093" t="s">
        <v>25</v>
      </c>
      <c r="K1093" t="s">
        <v>11</v>
      </c>
      <c r="L1093" t="s">
        <v>12</v>
      </c>
      <c r="M1093" t="s">
        <v>35</v>
      </c>
      <c r="N1093" t="s">
        <v>16</v>
      </c>
      <c r="O1093" t="s">
        <v>41</v>
      </c>
      <c r="P1093">
        <v>4</v>
      </c>
    </row>
    <row r="1094" spans="1:16" x14ac:dyDescent="0.3">
      <c r="A1094">
        <v>1607</v>
      </c>
      <c r="B1094">
        <v>44264</v>
      </c>
      <c r="C1094">
        <v>34</v>
      </c>
      <c r="D1094">
        <v>32121</v>
      </c>
      <c r="E1094" t="s">
        <v>14</v>
      </c>
      <c r="F1094" t="s">
        <v>15</v>
      </c>
      <c r="G1094" t="s">
        <v>34</v>
      </c>
      <c r="H1094" t="s">
        <v>8</v>
      </c>
      <c r="I1094" t="s">
        <v>9</v>
      </c>
      <c r="J1094" t="s">
        <v>10</v>
      </c>
      <c r="K1094" t="s">
        <v>11</v>
      </c>
      <c r="L1094" t="s">
        <v>12</v>
      </c>
      <c r="M1094" t="s">
        <v>58</v>
      </c>
      <c r="N1094" t="s">
        <v>23</v>
      </c>
      <c r="O1094" t="s">
        <v>56</v>
      </c>
      <c r="P1094">
        <v>5</v>
      </c>
    </row>
    <row r="1095" spans="1:16" x14ac:dyDescent="0.3">
      <c r="A1095">
        <v>1608</v>
      </c>
      <c r="B1095">
        <v>44140</v>
      </c>
      <c r="C1095">
        <v>23</v>
      </c>
      <c r="D1095">
        <v>35485</v>
      </c>
      <c r="E1095" t="s">
        <v>14</v>
      </c>
      <c r="F1095" t="s">
        <v>15</v>
      </c>
      <c r="G1095" t="s">
        <v>17</v>
      </c>
      <c r="H1095" t="s">
        <v>8</v>
      </c>
      <c r="I1095" t="s">
        <v>9</v>
      </c>
      <c r="J1095" t="s">
        <v>20</v>
      </c>
      <c r="K1095" t="s">
        <v>19</v>
      </c>
      <c r="L1095" t="s">
        <v>12</v>
      </c>
      <c r="M1095" t="s">
        <v>35</v>
      </c>
      <c r="N1095" t="s">
        <v>16</v>
      </c>
      <c r="O1095" t="s">
        <v>65</v>
      </c>
      <c r="P1095">
        <v>4</v>
      </c>
    </row>
    <row r="1096" spans="1:16" x14ac:dyDescent="0.3">
      <c r="A1096">
        <v>1609</v>
      </c>
      <c r="B1096">
        <v>43355</v>
      </c>
      <c r="C1096">
        <v>65</v>
      </c>
      <c r="D1096">
        <v>19689</v>
      </c>
      <c r="E1096" t="s">
        <v>14</v>
      </c>
      <c r="F1096" t="s">
        <v>22</v>
      </c>
      <c r="G1096" t="s">
        <v>34</v>
      </c>
      <c r="H1096" t="s">
        <v>8</v>
      </c>
      <c r="I1096" t="s">
        <v>9</v>
      </c>
      <c r="J1096" t="s">
        <v>10</v>
      </c>
      <c r="K1096" t="s">
        <v>19</v>
      </c>
      <c r="L1096" t="s">
        <v>12</v>
      </c>
      <c r="M1096" t="s">
        <v>38</v>
      </c>
      <c r="N1096" t="s">
        <v>37</v>
      </c>
      <c r="O1096" t="s">
        <v>65</v>
      </c>
      <c r="P1096">
        <v>5</v>
      </c>
    </row>
    <row r="1097" spans="1:16" x14ac:dyDescent="0.3">
      <c r="A1097">
        <v>1610</v>
      </c>
      <c r="B1097">
        <v>43778</v>
      </c>
      <c r="C1097">
        <v>33</v>
      </c>
      <c r="D1097">
        <v>31440</v>
      </c>
      <c r="E1097" t="s">
        <v>14</v>
      </c>
      <c r="F1097" t="s">
        <v>15</v>
      </c>
      <c r="G1097" t="s">
        <v>31</v>
      </c>
      <c r="H1097" t="s">
        <v>8</v>
      </c>
      <c r="I1097" t="s">
        <v>9</v>
      </c>
      <c r="J1097" t="s">
        <v>20</v>
      </c>
      <c r="K1097" t="s">
        <v>26</v>
      </c>
      <c r="L1097" t="s">
        <v>12</v>
      </c>
      <c r="M1097" t="s">
        <v>32</v>
      </c>
      <c r="N1097" t="s">
        <v>16</v>
      </c>
      <c r="O1097" t="s">
        <v>56</v>
      </c>
      <c r="P1097">
        <v>5</v>
      </c>
    </row>
    <row r="1098" spans="1:16" x14ac:dyDescent="0.3">
      <c r="A1098">
        <v>1611</v>
      </c>
      <c r="B1098">
        <v>43433</v>
      </c>
      <c r="C1098">
        <v>56</v>
      </c>
      <c r="D1098">
        <v>22671</v>
      </c>
      <c r="E1098" t="s">
        <v>14</v>
      </c>
      <c r="F1098" t="s">
        <v>15</v>
      </c>
      <c r="G1098" t="s">
        <v>17</v>
      </c>
      <c r="H1098" t="s">
        <v>8</v>
      </c>
      <c r="I1098" t="s">
        <v>9</v>
      </c>
      <c r="J1098" t="s">
        <v>25</v>
      </c>
      <c r="K1098" t="s">
        <v>11</v>
      </c>
      <c r="L1098" t="s">
        <v>12</v>
      </c>
      <c r="M1098" t="s">
        <v>54</v>
      </c>
      <c r="N1098" t="s">
        <v>23</v>
      </c>
      <c r="O1098" t="s">
        <v>56</v>
      </c>
      <c r="P1098">
        <v>2</v>
      </c>
    </row>
    <row r="1099" spans="1:16" x14ac:dyDescent="0.3">
      <c r="A1099">
        <v>1612</v>
      </c>
      <c r="B1099">
        <v>44745</v>
      </c>
      <c r="C1099">
        <v>29</v>
      </c>
      <c r="D1099">
        <v>34117</v>
      </c>
      <c r="E1099" t="s">
        <v>14</v>
      </c>
      <c r="F1099" t="s">
        <v>22</v>
      </c>
      <c r="G1099" t="s">
        <v>31</v>
      </c>
      <c r="H1099" t="s">
        <v>8</v>
      </c>
      <c r="I1099" t="s">
        <v>9</v>
      </c>
      <c r="J1099" t="s">
        <v>20</v>
      </c>
      <c r="K1099" t="s">
        <v>26</v>
      </c>
      <c r="L1099" t="s">
        <v>12</v>
      </c>
      <c r="M1099" t="s">
        <v>28</v>
      </c>
      <c r="N1099" t="s">
        <v>16</v>
      </c>
      <c r="O1099" t="s">
        <v>56</v>
      </c>
      <c r="P1099">
        <v>5</v>
      </c>
    </row>
    <row r="1100" spans="1:16" x14ac:dyDescent="0.3">
      <c r="A1100">
        <v>1613</v>
      </c>
      <c r="B1100">
        <v>43734</v>
      </c>
      <c r="C1100">
        <v>24</v>
      </c>
      <c r="D1100">
        <v>34883</v>
      </c>
      <c r="E1100" t="s">
        <v>14</v>
      </c>
      <c r="F1100" t="s">
        <v>15</v>
      </c>
      <c r="G1100" t="s">
        <v>31</v>
      </c>
      <c r="H1100" t="s">
        <v>8</v>
      </c>
      <c r="I1100" t="s">
        <v>9</v>
      </c>
      <c r="J1100" t="s">
        <v>10</v>
      </c>
      <c r="K1100" t="s">
        <v>11</v>
      </c>
      <c r="L1100" t="s">
        <v>12</v>
      </c>
      <c r="M1100" t="s">
        <v>35</v>
      </c>
      <c r="N1100" t="s">
        <v>30</v>
      </c>
      <c r="O1100" t="s">
        <v>41</v>
      </c>
      <c r="P1100">
        <v>2</v>
      </c>
    </row>
    <row r="1101" spans="1:16" x14ac:dyDescent="0.3">
      <c r="A1101">
        <v>1614</v>
      </c>
      <c r="B1101">
        <v>44918</v>
      </c>
      <c r="C1101">
        <v>71</v>
      </c>
      <c r="D1101">
        <v>18706</v>
      </c>
      <c r="E1101" t="s">
        <v>14</v>
      </c>
      <c r="F1101" t="s">
        <v>22</v>
      </c>
      <c r="G1101" t="s">
        <v>40</v>
      </c>
      <c r="H1101" t="s">
        <v>8</v>
      </c>
      <c r="I1101" t="s">
        <v>9</v>
      </c>
      <c r="J1101" t="s">
        <v>20</v>
      </c>
      <c r="K1101" t="s">
        <v>26</v>
      </c>
      <c r="L1101" t="s">
        <v>12</v>
      </c>
      <c r="M1101" t="s">
        <v>35</v>
      </c>
      <c r="N1101" t="s">
        <v>46</v>
      </c>
      <c r="O1101" t="s">
        <v>56</v>
      </c>
      <c r="P1101">
        <v>4</v>
      </c>
    </row>
    <row r="1102" spans="1:16" x14ac:dyDescent="0.3">
      <c r="A1102">
        <v>1615</v>
      </c>
      <c r="B1102">
        <v>44945</v>
      </c>
      <c r="C1102">
        <v>63</v>
      </c>
      <c r="D1102">
        <v>21931</v>
      </c>
      <c r="E1102" t="s">
        <v>14</v>
      </c>
      <c r="F1102" t="s">
        <v>22</v>
      </c>
      <c r="G1102" t="s">
        <v>34</v>
      </c>
      <c r="H1102" t="s">
        <v>8</v>
      </c>
      <c r="I1102" t="s">
        <v>9</v>
      </c>
      <c r="J1102" t="s">
        <v>20</v>
      </c>
      <c r="K1102" t="s">
        <v>11</v>
      </c>
      <c r="L1102" t="s">
        <v>12</v>
      </c>
      <c r="M1102" t="s">
        <v>32</v>
      </c>
      <c r="N1102" t="s">
        <v>16</v>
      </c>
      <c r="O1102" t="s">
        <v>41</v>
      </c>
      <c r="P1102">
        <v>1</v>
      </c>
    </row>
    <row r="1103" spans="1:16" x14ac:dyDescent="0.3">
      <c r="A1103">
        <v>1616</v>
      </c>
      <c r="B1103">
        <v>43374</v>
      </c>
      <c r="C1103">
        <v>27</v>
      </c>
      <c r="D1103">
        <v>33392</v>
      </c>
      <c r="E1103" t="s">
        <v>14</v>
      </c>
      <c r="F1103" t="s">
        <v>15</v>
      </c>
      <c r="G1103" t="s">
        <v>40</v>
      </c>
      <c r="H1103" t="s">
        <v>8</v>
      </c>
      <c r="I1103" t="s">
        <v>9</v>
      </c>
      <c r="J1103" t="s">
        <v>25</v>
      </c>
      <c r="K1103" t="s">
        <v>19</v>
      </c>
      <c r="L1103" t="s">
        <v>12</v>
      </c>
      <c r="M1103" t="s">
        <v>35</v>
      </c>
      <c r="N1103" t="s">
        <v>37</v>
      </c>
      <c r="O1103" t="s">
        <v>56</v>
      </c>
      <c r="P1103">
        <v>4</v>
      </c>
    </row>
    <row r="1104" spans="1:16" x14ac:dyDescent="0.3">
      <c r="A1104">
        <v>1617</v>
      </c>
      <c r="B1104">
        <v>44610</v>
      </c>
      <c r="C1104">
        <v>31</v>
      </c>
      <c r="D1104">
        <v>33599</v>
      </c>
      <c r="E1104" t="s">
        <v>14</v>
      </c>
      <c r="F1104" t="s">
        <v>15</v>
      </c>
      <c r="G1104" t="s">
        <v>40</v>
      </c>
      <c r="H1104" t="s">
        <v>8</v>
      </c>
      <c r="I1104" t="s">
        <v>9</v>
      </c>
      <c r="J1104" t="s">
        <v>25</v>
      </c>
      <c r="K1104" t="s">
        <v>26</v>
      </c>
      <c r="L1104" t="s">
        <v>12</v>
      </c>
      <c r="M1104" t="s">
        <v>21</v>
      </c>
      <c r="N1104" t="s">
        <v>37</v>
      </c>
      <c r="O1104" t="s">
        <v>56</v>
      </c>
      <c r="P1104">
        <v>1</v>
      </c>
    </row>
    <row r="1105" spans="1:16" x14ac:dyDescent="0.3">
      <c r="A1105">
        <v>1618</v>
      </c>
      <c r="B1105">
        <v>44539</v>
      </c>
      <c r="C1105">
        <v>44</v>
      </c>
      <c r="D1105">
        <v>28292</v>
      </c>
      <c r="E1105" t="s">
        <v>14</v>
      </c>
      <c r="F1105" t="s">
        <v>22</v>
      </c>
      <c r="G1105" t="s">
        <v>17</v>
      </c>
      <c r="H1105" t="s">
        <v>8</v>
      </c>
      <c r="I1105" t="s">
        <v>9</v>
      </c>
      <c r="J1105" t="s">
        <v>25</v>
      </c>
      <c r="K1105" t="s">
        <v>26</v>
      </c>
      <c r="L1105" t="s">
        <v>12</v>
      </c>
      <c r="M1105" t="s">
        <v>35</v>
      </c>
      <c r="N1105" t="s">
        <v>16</v>
      </c>
      <c r="O1105" t="s">
        <v>56</v>
      </c>
      <c r="P1105">
        <v>5</v>
      </c>
    </row>
    <row r="1106" spans="1:16" x14ac:dyDescent="0.3">
      <c r="A1106">
        <v>1620</v>
      </c>
      <c r="B1106">
        <v>43978</v>
      </c>
      <c r="C1106">
        <v>53</v>
      </c>
      <c r="D1106">
        <v>24535</v>
      </c>
      <c r="E1106" t="s">
        <v>14</v>
      </c>
      <c r="F1106" t="s">
        <v>22</v>
      </c>
      <c r="G1106" t="s">
        <v>31</v>
      </c>
      <c r="H1106" t="s">
        <v>8</v>
      </c>
      <c r="I1106" t="s">
        <v>9</v>
      </c>
      <c r="J1106" t="s">
        <v>10</v>
      </c>
      <c r="K1106" t="s">
        <v>19</v>
      </c>
      <c r="L1106" t="s">
        <v>12</v>
      </c>
      <c r="M1106" t="s">
        <v>44</v>
      </c>
      <c r="N1106" t="s">
        <v>46</v>
      </c>
      <c r="O1106" t="s">
        <v>56</v>
      </c>
      <c r="P1106">
        <v>3</v>
      </c>
    </row>
    <row r="1107" spans="1:16" x14ac:dyDescent="0.3">
      <c r="A1107">
        <v>1621</v>
      </c>
      <c r="B1107">
        <v>44460</v>
      </c>
      <c r="C1107">
        <v>46</v>
      </c>
      <c r="D1107">
        <v>27737</v>
      </c>
      <c r="E1107" t="s">
        <v>14</v>
      </c>
      <c r="F1107" t="s">
        <v>22</v>
      </c>
      <c r="G1107" t="s">
        <v>40</v>
      </c>
      <c r="H1107" t="s">
        <v>97</v>
      </c>
      <c r="I1107" t="s">
        <v>9</v>
      </c>
      <c r="J1107" t="s">
        <v>25</v>
      </c>
      <c r="K1107" t="s">
        <v>26</v>
      </c>
      <c r="L1107" t="s">
        <v>53</v>
      </c>
      <c r="M1107" t="s">
        <v>35</v>
      </c>
      <c r="N1107" t="s">
        <v>30</v>
      </c>
      <c r="O1107" t="s">
        <v>56</v>
      </c>
      <c r="P1107">
        <v>1</v>
      </c>
    </row>
    <row r="1108" spans="1:16" x14ac:dyDescent="0.3">
      <c r="A1108">
        <v>1622</v>
      </c>
      <c r="B1108">
        <v>44438</v>
      </c>
      <c r="C1108">
        <v>79</v>
      </c>
      <c r="D1108">
        <v>15362</v>
      </c>
      <c r="E1108" t="s">
        <v>14</v>
      </c>
      <c r="F1108" t="s">
        <v>22</v>
      </c>
      <c r="G1108" t="s">
        <v>31</v>
      </c>
      <c r="H1108" t="s">
        <v>97</v>
      </c>
      <c r="I1108" t="s">
        <v>9</v>
      </c>
      <c r="J1108" t="s">
        <v>10</v>
      </c>
      <c r="K1108" t="s">
        <v>19</v>
      </c>
      <c r="L1108" t="s">
        <v>53</v>
      </c>
      <c r="M1108" t="s">
        <v>21</v>
      </c>
      <c r="N1108" t="s">
        <v>46</v>
      </c>
      <c r="O1108" t="s">
        <v>56</v>
      </c>
      <c r="P1108">
        <v>5</v>
      </c>
    </row>
    <row r="1109" spans="1:16" x14ac:dyDescent="0.3">
      <c r="A1109">
        <v>1623</v>
      </c>
      <c r="B1109">
        <v>45096</v>
      </c>
      <c r="C1109">
        <v>22</v>
      </c>
      <c r="D1109">
        <v>37059</v>
      </c>
      <c r="E1109" t="s">
        <v>14</v>
      </c>
      <c r="F1109" t="s">
        <v>22</v>
      </c>
      <c r="G1109" t="s">
        <v>40</v>
      </c>
      <c r="H1109" t="s">
        <v>97</v>
      </c>
      <c r="I1109" t="s">
        <v>9</v>
      </c>
      <c r="J1109" t="s">
        <v>25</v>
      </c>
      <c r="K1109" t="s">
        <v>11</v>
      </c>
      <c r="L1109" t="s">
        <v>53</v>
      </c>
      <c r="M1109" t="s">
        <v>13</v>
      </c>
      <c r="N1109" t="s">
        <v>30</v>
      </c>
      <c r="O1109" t="s">
        <v>56</v>
      </c>
      <c r="P1109">
        <v>2</v>
      </c>
    </row>
    <row r="1110" spans="1:16" x14ac:dyDescent="0.3">
      <c r="A1110">
        <v>1624</v>
      </c>
      <c r="B1110">
        <v>45058</v>
      </c>
      <c r="C1110">
        <v>27</v>
      </c>
      <c r="D1110">
        <v>35360</v>
      </c>
      <c r="E1110" t="s">
        <v>14</v>
      </c>
      <c r="F1110" t="s">
        <v>22</v>
      </c>
      <c r="G1110" t="s">
        <v>17</v>
      </c>
      <c r="H1110" t="s">
        <v>89</v>
      </c>
      <c r="I1110" t="s">
        <v>9</v>
      </c>
      <c r="J1110" t="s">
        <v>25</v>
      </c>
      <c r="K1110" t="s">
        <v>19</v>
      </c>
      <c r="L1110" t="s">
        <v>53</v>
      </c>
      <c r="M1110" t="s">
        <v>35</v>
      </c>
      <c r="N1110" t="s">
        <v>16</v>
      </c>
      <c r="O1110" t="s">
        <v>56</v>
      </c>
      <c r="P1110">
        <v>1</v>
      </c>
    </row>
    <row r="1111" spans="1:16" x14ac:dyDescent="0.3">
      <c r="A1111">
        <v>1625</v>
      </c>
      <c r="B1111">
        <v>44717</v>
      </c>
      <c r="C1111">
        <v>45</v>
      </c>
      <c r="D1111">
        <v>28384</v>
      </c>
      <c r="E1111" t="s">
        <v>14</v>
      </c>
      <c r="F1111" t="s">
        <v>22</v>
      </c>
      <c r="G1111" t="s">
        <v>31</v>
      </c>
      <c r="H1111" t="s">
        <v>89</v>
      </c>
      <c r="I1111" t="s">
        <v>9</v>
      </c>
      <c r="J1111" t="s">
        <v>20</v>
      </c>
      <c r="K1111" t="s">
        <v>26</v>
      </c>
      <c r="L1111" t="s">
        <v>53</v>
      </c>
      <c r="M1111" t="s">
        <v>58</v>
      </c>
      <c r="N1111" t="s">
        <v>30</v>
      </c>
      <c r="O1111" t="s">
        <v>41</v>
      </c>
      <c r="P1111">
        <v>2</v>
      </c>
    </row>
    <row r="1112" spans="1:16" x14ac:dyDescent="0.3">
      <c r="A1112">
        <v>1626</v>
      </c>
      <c r="B1112">
        <v>44091</v>
      </c>
      <c r="C1112">
        <v>73</v>
      </c>
      <c r="D1112">
        <v>17299</v>
      </c>
      <c r="E1112" t="s">
        <v>14</v>
      </c>
      <c r="F1112" t="s">
        <v>15</v>
      </c>
      <c r="G1112" t="s">
        <v>34</v>
      </c>
      <c r="H1112" t="s">
        <v>81</v>
      </c>
      <c r="I1112" t="s">
        <v>9</v>
      </c>
      <c r="J1112" t="s">
        <v>25</v>
      </c>
      <c r="K1112" t="s">
        <v>26</v>
      </c>
      <c r="L1112" t="s">
        <v>53</v>
      </c>
      <c r="M1112" t="s">
        <v>32</v>
      </c>
      <c r="N1112" t="s">
        <v>30</v>
      </c>
      <c r="O1112" t="s">
        <v>56</v>
      </c>
      <c r="P1112">
        <v>4</v>
      </c>
    </row>
    <row r="1113" spans="1:16" x14ac:dyDescent="0.3">
      <c r="A1113">
        <v>1627</v>
      </c>
      <c r="B1113">
        <v>45061</v>
      </c>
      <c r="C1113">
        <v>57</v>
      </c>
      <c r="D1113">
        <v>24121</v>
      </c>
      <c r="E1113" t="s">
        <v>14</v>
      </c>
      <c r="F1113" t="s">
        <v>15</v>
      </c>
      <c r="G1113" t="s">
        <v>40</v>
      </c>
      <c r="H1113" t="s">
        <v>97</v>
      </c>
      <c r="I1113" t="s">
        <v>9</v>
      </c>
      <c r="J1113" t="s">
        <v>25</v>
      </c>
      <c r="K1113" t="s">
        <v>11</v>
      </c>
      <c r="L1113" t="s">
        <v>53</v>
      </c>
      <c r="M1113" t="s">
        <v>35</v>
      </c>
      <c r="N1113" t="s">
        <v>30</v>
      </c>
      <c r="O1113" t="s">
        <v>41</v>
      </c>
      <c r="P1113">
        <v>4</v>
      </c>
    </row>
    <row r="1114" spans="1:16" x14ac:dyDescent="0.3">
      <c r="A1114">
        <v>1628</v>
      </c>
      <c r="B1114">
        <v>43449</v>
      </c>
      <c r="C1114">
        <v>44</v>
      </c>
      <c r="D1114">
        <v>27131</v>
      </c>
      <c r="E1114" t="s">
        <v>14</v>
      </c>
      <c r="F1114" t="s">
        <v>15</v>
      </c>
      <c r="G1114" t="s">
        <v>31</v>
      </c>
      <c r="H1114" t="s">
        <v>89</v>
      </c>
      <c r="I1114" t="s">
        <v>9</v>
      </c>
      <c r="J1114" t="s">
        <v>20</v>
      </c>
      <c r="K1114" t="s">
        <v>19</v>
      </c>
      <c r="L1114" t="s">
        <v>53</v>
      </c>
      <c r="M1114" t="s">
        <v>60</v>
      </c>
      <c r="N1114" t="s">
        <v>46</v>
      </c>
      <c r="O1114" t="s">
        <v>56</v>
      </c>
      <c r="P1114">
        <v>4</v>
      </c>
    </row>
    <row r="1115" spans="1:16" x14ac:dyDescent="0.3">
      <c r="A1115">
        <v>1629</v>
      </c>
      <c r="B1115">
        <v>43775</v>
      </c>
      <c r="C1115">
        <v>73</v>
      </c>
      <c r="D1115">
        <v>16806</v>
      </c>
      <c r="E1115" t="s">
        <v>14</v>
      </c>
      <c r="F1115" t="s">
        <v>15</v>
      </c>
      <c r="G1115" t="s">
        <v>34</v>
      </c>
      <c r="H1115" t="s">
        <v>97</v>
      </c>
      <c r="I1115" t="s">
        <v>66</v>
      </c>
      <c r="J1115" t="s">
        <v>20</v>
      </c>
      <c r="K1115" t="s">
        <v>26</v>
      </c>
      <c r="L1115" t="s">
        <v>53</v>
      </c>
      <c r="M1115" t="s">
        <v>35</v>
      </c>
      <c r="N1115" t="s">
        <v>23</v>
      </c>
      <c r="O1115" t="s">
        <v>18</v>
      </c>
      <c r="P1115">
        <v>2</v>
      </c>
    </row>
    <row r="1116" spans="1:16" x14ac:dyDescent="0.3">
      <c r="A1116">
        <v>1630</v>
      </c>
      <c r="B1116">
        <v>44311</v>
      </c>
      <c r="C1116">
        <v>77</v>
      </c>
      <c r="D1116">
        <v>16107</v>
      </c>
      <c r="E1116" t="s">
        <v>14</v>
      </c>
      <c r="F1116" t="s">
        <v>15</v>
      </c>
      <c r="G1116" t="s">
        <v>31</v>
      </c>
      <c r="H1116" t="s">
        <v>97</v>
      </c>
      <c r="I1116" t="s">
        <v>66</v>
      </c>
      <c r="J1116" t="s">
        <v>10</v>
      </c>
      <c r="K1116" t="s">
        <v>11</v>
      </c>
      <c r="L1116" t="s">
        <v>53</v>
      </c>
      <c r="M1116" t="s">
        <v>32</v>
      </c>
      <c r="N1116" t="s">
        <v>30</v>
      </c>
      <c r="O1116" t="s">
        <v>18</v>
      </c>
      <c r="P1116">
        <v>3</v>
      </c>
    </row>
    <row r="1117" spans="1:16" x14ac:dyDescent="0.3">
      <c r="A1117">
        <v>1631</v>
      </c>
      <c r="B1117">
        <v>45094</v>
      </c>
      <c r="C1117">
        <v>37</v>
      </c>
      <c r="D1117">
        <v>31709</v>
      </c>
      <c r="E1117" t="s">
        <v>14</v>
      </c>
      <c r="F1117" t="s">
        <v>15</v>
      </c>
      <c r="G1117" t="s">
        <v>17</v>
      </c>
      <c r="H1117" t="s">
        <v>97</v>
      </c>
      <c r="I1117" t="s">
        <v>66</v>
      </c>
      <c r="J1117" t="s">
        <v>25</v>
      </c>
      <c r="K1117" t="s">
        <v>11</v>
      </c>
      <c r="L1117" t="s">
        <v>53</v>
      </c>
      <c r="M1117" t="s">
        <v>44</v>
      </c>
      <c r="N1117" t="s">
        <v>16</v>
      </c>
      <c r="O1117" t="s">
        <v>18</v>
      </c>
      <c r="P1117">
        <v>4</v>
      </c>
    </row>
    <row r="1118" spans="1:16" x14ac:dyDescent="0.3">
      <c r="A1118">
        <v>1632</v>
      </c>
      <c r="B1118">
        <v>44575</v>
      </c>
      <c r="C1118">
        <v>52</v>
      </c>
      <c r="D1118">
        <v>25786</v>
      </c>
      <c r="E1118" t="s">
        <v>14</v>
      </c>
      <c r="F1118" t="s">
        <v>15</v>
      </c>
      <c r="G1118" t="s">
        <v>17</v>
      </c>
      <c r="H1118" t="s">
        <v>97</v>
      </c>
      <c r="I1118" t="s">
        <v>9</v>
      </c>
      <c r="J1118" t="s">
        <v>25</v>
      </c>
      <c r="K1118" t="s">
        <v>11</v>
      </c>
      <c r="L1118" t="s">
        <v>53</v>
      </c>
      <c r="M1118" t="s">
        <v>35</v>
      </c>
      <c r="N1118" t="s">
        <v>37</v>
      </c>
      <c r="O1118" t="s">
        <v>18</v>
      </c>
      <c r="P1118">
        <v>4</v>
      </c>
    </row>
    <row r="1119" spans="1:16" x14ac:dyDescent="0.3">
      <c r="A1119">
        <v>1633</v>
      </c>
      <c r="B1119">
        <v>43395</v>
      </c>
      <c r="C1119">
        <v>24</v>
      </c>
      <c r="D1119">
        <v>34459</v>
      </c>
      <c r="E1119" t="s">
        <v>14</v>
      </c>
      <c r="F1119" t="s">
        <v>15</v>
      </c>
      <c r="G1119" t="s">
        <v>17</v>
      </c>
      <c r="H1119" t="s">
        <v>24</v>
      </c>
      <c r="I1119" t="s">
        <v>9</v>
      </c>
      <c r="J1119" t="s">
        <v>10</v>
      </c>
      <c r="K1119" t="s">
        <v>26</v>
      </c>
      <c r="L1119" t="s">
        <v>53</v>
      </c>
      <c r="M1119" t="s">
        <v>35</v>
      </c>
      <c r="N1119" t="s">
        <v>37</v>
      </c>
      <c r="O1119" t="s">
        <v>18</v>
      </c>
      <c r="P1119">
        <v>3</v>
      </c>
    </row>
    <row r="1120" spans="1:16" x14ac:dyDescent="0.3">
      <c r="A1120">
        <v>1634</v>
      </c>
      <c r="B1120">
        <v>44486</v>
      </c>
      <c r="C1120">
        <v>47</v>
      </c>
      <c r="D1120">
        <v>27232</v>
      </c>
      <c r="E1120" t="s">
        <v>14</v>
      </c>
      <c r="F1120" t="s">
        <v>22</v>
      </c>
      <c r="G1120" t="s">
        <v>40</v>
      </c>
      <c r="H1120" t="s">
        <v>24</v>
      </c>
      <c r="I1120" t="s">
        <v>9</v>
      </c>
      <c r="J1120" t="s">
        <v>10</v>
      </c>
      <c r="K1120" t="s">
        <v>11</v>
      </c>
      <c r="L1120" t="s">
        <v>53</v>
      </c>
      <c r="M1120" t="s">
        <v>13</v>
      </c>
      <c r="N1120" t="s">
        <v>37</v>
      </c>
      <c r="O1120" t="s">
        <v>18</v>
      </c>
      <c r="P1120">
        <v>3</v>
      </c>
    </row>
    <row r="1121" spans="1:16" x14ac:dyDescent="0.3">
      <c r="A1121">
        <v>1635</v>
      </c>
      <c r="B1121">
        <v>44488</v>
      </c>
      <c r="C1121">
        <v>33</v>
      </c>
      <c r="D1121">
        <v>32412</v>
      </c>
      <c r="E1121" t="s">
        <v>14</v>
      </c>
      <c r="F1121" t="s">
        <v>22</v>
      </c>
      <c r="G1121" t="s">
        <v>31</v>
      </c>
      <c r="H1121" t="s">
        <v>24</v>
      </c>
      <c r="I1121" t="s">
        <v>9</v>
      </c>
      <c r="J1121" t="s">
        <v>25</v>
      </c>
      <c r="K1121" t="s">
        <v>11</v>
      </c>
      <c r="L1121" t="s">
        <v>53</v>
      </c>
      <c r="M1121" t="s">
        <v>93</v>
      </c>
      <c r="N1121" t="s">
        <v>23</v>
      </c>
      <c r="O1121" t="s">
        <v>18</v>
      </c>
      <c r="P1121">
        <v>4</v>
      </c>
    </row>
    <row r="1122" spans="1:16" x14ac:dyDescent="0.3">
      <c r="A1122">
        <v>1636</v>
      </c>
      <c r="B1122">
        <v>43389</v>
      </c>
      <c r="C1122">
        <v>20</v>
      </c>
      <c r="D1122">
        <v>36106</v>
      </c>
      <c r="E1122" t="s">
        <v>14</v>
      </c>
      <c r="F1122" t="s">
        <v>22</v>
      </c>
      <c r="G1122" t="s">
        <v>31</v>
      </c>
      <c r="H1122" t="s">
        <v>98</v>
      </c>
      <c r="I1122" t="s">
        <v>9</v>
      </c>
      <c r="J1122" t="s">
        <v>10</v>
      </c>
      <c r="K1122" t="s">
        <v>26</v>
      </c>
      <c r="L1122" t="s">
        <v>90</v>
      </c>
      <c r="M1122" t="s">
        <v>21</v>
      </c>
      <c r="N1122" t="s">
        <v>16</v>
      </c>
      <c r="O1122" t="s">
        <v>18</v>
      </c>
      <c r="P1122">
        <v>5</v>
      </c>
    </row>
    <row r="1123" spans="1:16" x14ac:dyDescent="0.3">
      <c r="A1123">
        <v>1637</v>
      </c>
      <c r="B1123">
        <v>43947</v>
      </c>
      <c r="C1123">
        <v>34</v>
      </c>
      <c r="D1123">
        <v>31430</v>
      </c>
      <c r="E1123" t="s">
        <v>14</v>
      </c>
      <c r="F1123" t="s">
        <v>22</v>
      </c>
      <c r="G1123" t="s">
        <v>40</v>
      </c>
      <c r="H1123" t="s">
        <v>98</v>
      </c>
      <c r="I1123" t="s">
        <v>9</v>
      </c>
      <c r="J1123" t="s">
        <v>25</v>
      </c>
      <c r="K1123" t="s">
        <v>11</v>
      </c>
      <c r="L1123" t="s">
        <v>90</v>
      </c>
      <c r="M1123" t="s">
        <v>32</v>
      </c>
      <c r="N1123" t="s">
        <v>37</v>
      </c>
      <c r="O1123" t="s">
        <v>18</v>
      </c>
      <c r="P1123">
        <v>1</v>
      </c>
    </row>
    <row r="1124" spans="1:16" x14ac:dyDescent="0.3">
      <c r="A1124">
        <v>1638</v>
      </c>
      <c r="B1124">
        <v>43852</v>
      </c>
      <c r="C1124">
        <v>26</v>
      </c>
      <c r="D1124">
        <v>34535</v>
      </c>
      <c r="E1124" t="s">
        <v>14</v>
      </c>
      <c r="F1124" t="s">
        <v>22</v>
      </c>
      <c r="G1124" t="s">
        <v>40</v>
      </c>
      <c r="H1124" t="s">
        <v>98</v>
      </c>
      <c r="I1124" t="s">
        <v>9</v>
      </c>
      <c r="J1124" t="s">
        <v>25</v>
      </c>
      <c r="K1124" t="s">
        <v>26</v>
      </c>
      <c r="L1124" t="s">
        <v>27</v>
      </c>
      <c r="M1124" t="s">
        <v>13</v>
      </c>
      <c r="N1124" t="s">
        <v>46</v>
      </c>
      <c r="O1124" t="s">
        <v>18</v>
      </c>
      <c r="P1124">
        <v>4</v>
      </c>
    </row>
    <row r="1125" spans="1:16" x14ac:dyDescent="0.3">
      <c r="A1125">
        <v>1639</v>
      </c>
      <c r="B1125">
        <v>44650</v>
      </c>
      <c r="C1125">
        <v>64</v>
      </c>
      <c r="D1125">
        <v>21195</v>
      </c>
      <c r="E1125" t="s">
        <v>14</v>
      </c>
      <c r="F1125" t="s">
        <v>22</v>
      </c>
      <c r="G1125" t="s">
        <v>34</v>
      </c>
      <c r="H1125" t="s">
        <v>83</v>
      </c>
      <c r="I1125" t="s">
        <v>66</v>
      </c>
      <c r="J1125" t="s">
        <v>25</v>
      </c>
      <c r="K1125" t="s">
        <v>19</v>
      </c>
      <c r="L1125" t="s">
        <v>53</v>
      </c>
      <c r="M1125" t="s">
        <v>35</v>
      </c>
      <c r="N1125" t="s">
        <v>37</v>
      </c>
      <c r="O1125" t="s">
        <v>18</v>
      </c>
      <c r="P1125">
        <v>2</v>
      </c>
    </row>
    <row r="1126" spans="1:16" x14ac:dyDescent="0.3">
      <c r="A1126">
        <v>1640</v>
      </c>
      <c r="B1126">
        <v>44345</v>
      </c>
      <c r="C1126">
        <v>60</v>
      </c>
      <c r="D1126">
        <v>22523</v>
      </c>
      <c r="E1126" t="s">
        <v>14</v>
      </c>
      <c r="F1126" t="s">
        <v>15</v>
      </c>
      <c r="G1126" t="s">
        <v>40</v>
      </c>
      <c r="H1126" t="s">
        <v>97</v>
      </c>
      <c r="I1126" t="s">
        <v>66</v>
      </c>
      <c r="J1126" t="s">
        <v>10</v>
      </c>
      <c r="K1126" t="s">
        <v>19</v>
      </c>
      <c r="L1126" t="s">
        <v>53</v>
      </c>
      <c r="M1126" t="s">
        <v>42</v>
      </c>
      <c r="N1126" t="s">
        <v>23</v>
      </c>
      <c r="O1126" t="s">
        <v>18</v>
      </c>
      <c r="P1126">
        <v>4</v>
      </c>
    </row>
    <row r="1127" spans="1:16" x14ac:dyDescent="0.3">
      <c r="A1127">
        <v>1641</v>
      </c>
      <c r="B1127">
        <v>44994</v>
      </c>
      <c r="C1127">
        <v>34</v>
      </c>
      <c r="D1127">
        <v>32787</v>
      </c>
      <c r="E1127" t="s">
        <v>14</v>
      </c>
      <c r="F1127" t="s">
        <v>15</v>
      </c>
      <c r="G1127" t="s">
        <v>34</v>
      </c>
      <c r="H1127" t="s">
        <v>97</v>
      </c>
      <c r="I1127" t="s">
        <v>66</v>
      </c>
      <c r="J1127" t="s">
        <v>20</v>
      </c>
      <c r="K1127" t="s">
        <v>11</v>
      </c>
      <c r="L1127" t="s">
        <v>53</v>
      </c>
      <c r="M1127" t="s">
        <v>35</v>
      </c>
      <c r="N1127" t="s">
        <v>30</v>
      </c>
      <c r="O1127" t="s">
        <v>18</v>
      </c>
      <c r="P1127">
        <v>4</v>
      </c>
    </row>
    <row r="1128" spans="1:16" x14ac:dyDescent="0.3">
      <c r="A1128">
        <v>1642</v>
      </c>
      <c r="B1128">
        <v>43791</v>
      </c>
      <c r="C1128">
        <v>73</v>
      </c>
      <c r="D1128">
        <v>17068</v>
      </c>
      <c r="E1128" t="s">
        <v>14</v>
      </c>
      <c r="F1128" t="s">
        <v>15</v>
      </c>
      <c r="G1128" t="s">
        <v>31</v>
      </c>
      <c r="H1128" t="s">
        <v>97</v>
      </c>
      <c r="I1128" t="s">
        <v>66</v>
      </c>
      <c r="J1128" t="s">
        <v>10</v>
      </c>
      <c r="K1128" t="s">
        <v>19</v>
      </c>
      <c r="L1128" t="s">
        <v>53</v>
      </c>
      <c r="M1128" t="s">
        <v>59</v>
      </c>
      <c r="N1128" t="s">
        <v>37</v>
      </c>
      <c r="O1128" t="s">
        <v>18</v>
      </c>
      <c r="P1128">
        <v>2</v>
      </c>
    </row>
    <row r="1129" spans="1:16" x14ac:dyDescent="0.3">
      <c r="A1129">
        <v>1643</v>
      </c>
      <c r="B1129">
        <v>43562</v>
      </c>
      <c r="C1129">
        <v>38</v>
      </c>
      <c r="D1129">
        <v>29725</v>
      </c>
      <c r="E1129" t="s">
        <v>14</v>
      </c>
      <c r="F1129" t="s">
        <v>22</v>
      </c>
      <c r="G1129" t="s">
        <v>17</v>
      </c>
      <c r="H1129" t="s">
        <v>24</v>
      </c>
      <c r="I1129" t="s">
        <v>9</v>
      </c>
      <c r="J1129" t="s">
        <v>25</v>
      </c>
      <c r="K1129" t="s">
        <v>19</v>
      </c>
      <c r="L1129" t="s">
        <v>53</v>
      </c>
      <c r="M1129" t="s">
        <v>21</v>
      </c>
      <c r="N1129" t="s">
        <v>30</v>
      </c>
      <c r="O1129" t="s">
        <v>18</v>
      </c>
      <c r="P1129">
        <v>3</v>
      </c>
    </row>
    <row r="1130" spans="1:16" x14ac:dyDescent="0.3">
      <c r="A1130">
        <v>1644</v>
      </c>
      <c r="B1130">
        <v>45008</v>
      </c>
      <c r="C1130">
        <v>23</v>
      </c>
      <c r="D1130">
        <v>36804</v>
      </c>
      <c r="E1130" t="s">
        <v>14</v>
      </c>
      <c r="F1130" t="s">
        <v>22</v>
      </c>
      <c r="G1130" t="s">
        <v>17</v>
      </c>
      <c r="H1130" t="s">
        <v>24</v>
      </c>
      <c r="I1130" t="s">
        <v>9</v>
      </c>
      <c r="J1130" t="s">
        <v>10</v>
      </c>
      <c r="K1130" t="s">
        <v>11</v>
      </c>
      <c r="L1130" t="s">
        <v>53</v>
      </c>
      <c r="M1130" t="s">
        <v>21</v>
      </c>
      <c r="N1130" t="s">
        <v>30</v>
      </c>
      <c r="O1130" t="s">
        <v>18</v>
      </c>
      <c r="P1130">
        <v>1</v>
      </c>
    </row>
    <row r="1131" spans="1:16" x14ac:dyDescent="0.3">
      <c r="A1131">
        <v>1645</v>
      </c>
      <c r="B1131">
        <v>44245</v>
      </c>
      <c r="C1131">
        <v>46</v>
      </c>
      <c r="D1131">
        <v>27747</v>
      </c>
      <c r="E1131" t="s">
        <v>14</v>
      </c>
      <c r="F1131" t="s">
        <v>22</v>
      </c>
      <c r="G1131" t="s">
        <v>17</v>
      </c>
      <c r="H1131" t="s">
        <v>24</v>
      </c>
      <c r="I1131" t="s">
        <v>9</v>
      </c>
      <c r="J1131" t="s">
        <v>20</v>
      </c>
      <c r="K1131" t="s">
        <v>19</v>
      </c>
      <c r="L1131" t="s">
        <v>53</v>
      </c>
      <c r="M1131" t="s">
        <v>55</v>
      </c>
      <c r="N1131" t="s">
        <v>23</v>
      </c>
      <c r="O1131" t="s">
        <v>18</v>
      </c>
      <c r="P1131">
        <v>5</v>
      </c>
    </row>
    <row r="1132" spans="1:16" x14ac:dyDescent="0.3">
      <c r="A1132">
        <v>1646</v>
      </c>
      <c r="B1132">
        <v>43560</v>
      </c>
      <c r="C1132">
        <v>32</v>
      </c>
      <c r="D1132">
        <v>31945</v>
      </c>
      <c r="E1132" t="s">
        <v>14</v>
      </c>
      <c r="F1132" t="s">
        <v>22</v>
      </c>
      <c r="G1132" t="s">
        <v>40</v>
      </c>
      <c r="H1132" t="s">
        <v>98</v>
      </c>
      <c r="I1132" t="s">
        <v>9</v>
      </c>
      <c r="J1132" t="s">
        <v>10</v>
      </c>
      <c r="K1132" t="s">
        <v>11</v>
      </c>
      <c r="L1132" t="s">
        <v>90</v>
      </c>
      <c r="M1132" t="s">
        <v>28</v>
      </c>
      <c r="N1132" t="s">
        <v>37</v>
      </c>
      <c r="O1132" t="s">
        <v>18</v>
      </c>
      <c r="P1132">
        <v>2</v>
      </c>
    </row>
    <row r="1133" spans="1:16" x14ac:dyDescent="0.3">
      <c r="A1133">
        <v>1647</v>
      </c>
      <c r="B1133">
        <v>43761</v>
      </c>
      <c r="C1133">
        <v>33</v>
      </c>
      <c r="D1133">
        <v>31446</v>
      </c>
      <c r="E1133" t="s">
        <v>14</v>
      </c>
      <c r="F1133" t="s">
        <v>22</v>
      </c>
      <c r="G1133" t="s">
        <v>17</v>
      </c>
      <c r="H1133" t="s">
        <v>98</v>
      </c>
      <c r="I1133" t="s">
        <v>9</v>
      </c>
      <c r="J1133" t="s">
        <v>10</v>
      </c>
      <c r="K1133" t="s">
        <v>26</v>
      </c>
      <c r="L1133" t="s">
        <v>53</v>
      </c>
      <c r="M1133" t="s">
        <v>60</v>
      </c>
      <c r="N1133" t="s">
        <v>37</v>
      </c>
      <c r="O1133" t="s">
        <v>18</v>
      </c>
      <c r="P1133">
        <v>2</v>
      </c>
    </row>
    <row r="1134" spans="1:16" x14ac:dyDescent="0.3">
      <c r="A1134">
        <v>1648</v>
      </c>
      <c r="B1134">
        <v>44330</v>
      </c>
      <c r="C1134">
        <v>44</v>
      </c>
      <c r="D1134">
        <v>28356</v>
      </c>
      <c r="E1134" t="s">
        <v>14</v>
      </c>
      <c r="F1134" t="s">
        <v>22</v>
      </c>
      <c r="G1134" t="s">
        <v>31</v>
      </c>
      <c r="H1134" t="s">
        <v>98</v>
      </c>
      <c r="I1134" t="s">
        <v>9</v>
      </c>
      <c r="J1134" t="s">
        <v>20</v>
      </c>
      <c r="K1134" t="s">
        <v>11</v>
      </c>
      <c r="L1134" t="s">
        <v>27</v>
      </c>
      <c r="M1134" t="s">
        <v>21</v>
      </c>
      <c r="N1134" t="s">
        <v>16</v>
      </c>
      <c r="O1134" t="s">
        <v>18</v>
      </c>
      <c r="P1134">
        <v>4</v>
      </c>
    </row>
    <row r="1135" spans="1:16" x14ac:dyDescent="0.3">
      <c r="A1135">
        <v>1649</v>
      </c>
      <c r="B1135">
        <v>43543</v>
      </c>
      <c r="C1135">
        <v>55</v>
      </c>
      <c r="D1135">
        <v>23446</v>
      </c>
      <c r="E1135" t="s">
        <v>45</v>
      </c>
      <c r="F1135" t="s">
        <v>22</v>
      </c>
      <c r="G1135" t="s">
        <v>31</v>
      </c>
      <c r="H1135" t="s">
        <v>82</v>
      </c>
      <c r="I1135" t="s">
        <v>9</v>
      </c>
      <c r="J1135" t="s">
        <v>25</v>
      </c>
      <c r="K1135" t="s">
        <v>19</v>
      </c>
      <c r="L1135" t="s">
        <v>53</v>
      </c>
      <c r="M1135" t="s">
        <v>59</v>
      </c>
      <c r="N1135" t="s">
        <v>16</v>
      </c>
      <c r="O1135" t="s">
        <v>18</v>
      </c>
      <c r="P1135">
        <v>1</v>
      </c>
    </row>
    <row r="1136" spans="1:16" x14ac:dyDescent="0.3">
      <c r="A1136">
        <v>1650</v>
      </c>
      <c r="B1136">
        <v>43593</v>
      </c>
      <c r="C1136">
        <v>73</v>
      </c>
      <c r="D1136">
        <v>16860</v>
      </c>
      <c r="E1136" t="s">
        <v>14</v>
      </c>
      <c r="F1136" t="s">
        <v>22</v>
      </c>
      <c r="G1136" t="s">
        <v>17</v>
      </c>
      <c r="H1136" t="s">
        <v>83</v>
      </c>
      <c r="I1136" t="s">
        <v>66</v>
      </c>
      <c r="J1136" t="s">
        <v>20</v>
      </c>
      <c r="K1136" t="s">
        <v>11</v>
      </c>
      <c r="L1136" t="s">
        <v>53</v>
      </c>
      <c r="M1136" t="s">
        <v>42</v>
      </c>
      <c r="N1136" t="s">
        <v>46</v>
      </c>
      <c r="O1136" t="s">
        <v>18</v>
      </c>
      <c r="P1136">
        <v>1</v>
      </c>
    </row>
    <row r="1137" spans="1:16" x14ac:dyDescent="0.3">
      <c r="A1137">
        <v>1651</v>
      </c>
      <c r="B1137">
        <v>43743</v>
      </c>
      <c r="C1137">
        <v>26</v>
      </c>
      <c r="D1137">
        <v>33992</v>
      </c>
      <c r="E1137" t="s">
        <v>14</v>
      </c>
      <c r="F1137" t="s">
        <v>15</v>
      </c>
      <c r="G1137" t="s">
        <v>17</v>
      </c>
      <c r="H1137" t="s">
        <v>97</v>
      </c>
      <c r="I1137" t="s">
        <v>66</v>
      </c>
      <c r="J1137" t="s">
        <v>20</v>
      </c>
      <c r="K1137" t="s">
        <v>19</v>
      </c>
      <c r="L1137" t="s">
        <v>53</v>
      </c>
      <c r="M1137" t="s">
        <v>21</v>
      </c>
      <c r="N1137" t="s">
        <v>37</v>
      </c>
      <c r="O1137" t="s">
        <v>18</v>
      </c>
      <c r="P1137">
        <v>4</v>
      </c>
    </row>
    <row r="1138" spans="1:16" x14ac:dyDescent="0.3">
      <c r="A1138">
        <v>1652</v>
      </c>
      <c r="B1138">
        <v>44529</v>
      </c>
      <c r="C1138">
        <v>36</v>
      </c>
      <c r="D1138">
        <v>31199</v>
      </c>
      <c r="E1138" t="s">
        <v>14</v>
      </c>
      <c r="F1138" t="s">
        <v>15</v>
      </c>
      <c r="G1138" t="s">
        <v>31</v>
      </c>
      <c r="H1138" t="s">
        <v>97</v>
      </c>
      <c r="I1138" t="s">
        <v>66</v>
      </c>
      <c r="J1138" t="s">
        <v>25</v>
      </c>
      <c r="K1138" t="s">
        <v>11</v>
      </c>
      <c r="L1138" t="s">
        <v>53</v>
      </c>
      <c r="M1138" t="s">
        <v>35</v>
      </c>
      <c r="N1138" t="s">
        <v>16</v>
      </c>
      <c r="O1138" t="s">
        <v>18</v>
      </c>
      <c r="P1138">
        <v>4</v>
      </c>
    </row>
    <row r="1139" spans="1:16" x14ac:dyDescent="0.3">
      <c r="A1139">
        <v>1653</v>
      </c>
      <c r="B1139">
        <v>43410</v>
      </c>
      <c r="C1139">
        <v>61</v>
      </c>
      <c r="D1139">
        <v>20827</v>
      </c>
      <c r="E1139" t="s">
        <v>14</v>
      </c>
      <c r="F1139" t="s">
        <v>22</v>
      </c>
      <c r="G1139" t="s">
        <v>34</v>
      </c>
      <c r="H1139" t="s">
        <v>24</v>
      </c>
      <c r="I1139" t="s">
        <v>9</v>
      </c>
      <c r="J1139" t="s">
        <v>20</v>
      </c>
      <c r="K1139" t="s">
        <v>26</v>
      </c>
      <c r="L1139" t="s">
        <v>53</v>
      </c>
      <c r="M1139" t="s">
        <v>35</v>
      </c>
      <c r="N1139" t="s">
        <v>23</v>
      </c>
      <c r="O1139" t="s">
        <v>18</v>
      </c>
      <c r="P1139">
        <v>4</v>
      </c>
    </row>
    <row r="1140" spans="1:16" x14ac:dyDescent="0.3">
      <c r="A1140">
        <v>1654</v>
      </c>
      <c r="B1140">
        <v>44404</v>
      </c>
      <c r="C1140">
        <v>22</v>
      </c>
      <c r="D1140">
        <v>36513</v>
      </c>
      <c r="E1140" t="s">
        <v>14</v>
      </c>
      <c r="F1140" t="s">
        <v>22</v>
      </c>
      <c r="G1140" t="s">
        <v>40</v>
      </c>
      <c r="H1140" t="s">
        <v>24</v>
      </c>
      <c r="I1140" t="s">
        <v>9</v>
      </c>
      <c r="J1140" t="s">
        <v>25</v>
      </c>
      <c r="K1140" t="s">
        <v>26</v>
      </c>
      <c r="L1140" t="s">
        <v>53</v>
      </c>
      <c r="M1140" t="s">
        <v>42</v>
      </c>
      <c r="N1140" t="s">
        <v>37</v>
      </c>
      <c r="O1140" t="s">
        <v>18</v>
      </c>
      <c r="P1140">
        <v>3</v>
      </c>
    </row>
    <row r="1141" spans="1:16" x14ac:dyDescent="0.3">
      <c r="A1141">
        <v>1655</v>
      </c>
      <c r="B1141">
        <v>45125</v>
      </c>
      <c r="C1141">
        <v>81</v>
      </c>
      <c r="D1141">
        <v>15585</v>
      </c>
      <c r="E1141" t="s">
        <v>14</v>
      </c>
      <c r="F1141" t="s">
        <v>22</v>
      </c>
      <c r="G1141" t="s">
        <v>34</v>
      </c>
      <c r="H1141" t="s">
        <v>24</v>
      </c>
      <c r="I1141" t="s">
        <v>9</v>
      </c>
      <c r="J1141" t="s">
        <v>20</v>
      </c>
      <c r="K1141" t="s">
        <v>19</v>
      </c>
      <c r="L1141" t="s">
        <v>53</v>
      </c>
      <c r="M1141" t="s">
        <v>59</v>
      </c>
      <c r="N1141" t="s">
        <v>37</v>
      </c>
      <c r="O1141" t="s">
        <v>18</v>
      </c>
      <c r="P1141">
        <v>1</v>
      </c>
    </row>
    <row r="1142" spans="1:16" x14ac:dyDescent="0.3">
      <c r="A1142">
        <v>1656</v>
      </c>
      <c r="B1142">
        <v>44808</v>
      </c>
      <c r="C1142">
        <v>37</v>
      </c>
      <c r="D1142">
        <v>31187</v>
      </c>
      <c r="E1142" t="s">
        <v>14</v>
      </c>
      <c r="F1142" t="s">
        <v>22</v>
      </c>
      <c r="G1142" t="s">
        <v>31</v>
      </c>
      <c r="H1142" t="s">
        <v>89</v>
      </c>
      <c r="I1142" t="s">
        <v>9</v>
      </c>
      <c r="J1142" t="s">
        <v>20</v>
      </c>
      <c r="K1142" t="s">
        <v>11</v>
      </c>
      <c r="L1142" t="s">
        <v>90</v>
      </c>
      <c r="M1142" t="s">
        <v>35</v>
      </c>
      <c r="N1142" t="s">
        <v>37</v>
      </c>
      <c r="O1142" t="s">
        <v>18</v>
      </c>
      <c r="P1142">
        <v>4</v>
      </c>
    </row>
    <row r="1143" spans="1:16" x14ac:dyDescent="0.3">
      <c r="A1143">
        <v>1657</v>
      </c>
      <c r="B1143">
        <v>43609</v>
      </c>
      <c r="C1143">
        <v>50</v>
      </c>
      <c r="D1143">
        <v>25445</v>
      </c>
      <c r="E1143" t="s">
        <v>14</v>
      </c>
      <c r="F1143" t="s">
        <v>22</v>
      </c>
      <c r="G1143" t="s">
        <v>34</v>
      </c>
      <c r="H1143" t="s">
        <v>98</v>
      </c>
      <c r="I1143" t="s">
        <v>9</v>
      </c>
      <c r="J1143" t="s">
        <v>10</v>
      </c>
      <c r="K1143" t="s">
        <v>26</v>
      </c>
      <c r="L1143" t="s">
        <v>53</v>
      </c>
      <c r="M1143" t="s">
        <v>42</v>
      </c>
      <c r="N1143" t="s">
        <v>30</v>
      </c>
      <c r="O1143" t="s">
        <v>18</v>
      </c>
      <c r="P1143">
        <v>5</v>
      </c>
    </row>
    <row r="1144" spans="1:16" x14ac:dyDescent="0.3">
      <c r="A1144">
        <v>1658</v>
      </c>
      <c r="B1144">
        <v>43772</v>
      </c>
      <c r="C1144">
        <v>44</v>
      </c>
      <c r="D1144">
        <v>27757</v>
      </c>
      <c r="E1144" t="s">
        <v>14</v>
      </c>
      <c r="F1144" t="s">
        <v>22</v>
      </c>
      <c r="G1144" t="s">
        <v>17</v>
      </c>
      <c r="H1144" t="s">
        <v>98</v>
      </c>
      <c r="I1144" t="s">
        <v>9</v>
      </c>
      <c r="J1144" t="s">
        <v>10</v>
      </c>
      <c r="K1144" t="s">
        <v>26</v>
      </c>
      <c r="L1144" t="s">
        <v>53</v>
      </c>
      <c r="M1144" t="s">
        <v>35</v>
      </c>
      <c r="N1144" t="s">
        <v>30</v>
      </c>
      <c r="O1144" t="s">
        <v>18</v>
      </c>
      <c r="P1144">
        <v>1</v>
      </c>
    </row>
    <row r="1145" spans="1:16" x14ac:dyDescent="0.3">
      <c r="A1145">
        <v>1659</v>
      </c>
      <c r="B1145">
        <v>43795</v>
      </c>
      <c r="C1145">
        <v>42</v>
      </c>
      <c r="D1145">
        <v>28306</v>
      </c>
      <c r="E1145" t="s">
        <v>14</v>
      </c>
      <c r="F1145" t="s">
        <v>15</v>
      </c>
      <c r="G1145" t="s">
        <v>31</v>
      </c>
      <c r="H1145" t="s">
        <v>98</v>
      </c>
      <c r="I1145" t="s">
        <v>9</v>
      </c>
      <c r="J1145" t="s">
        <v>25</v>
      </c>
      <c r="K1145" t="s">
        <v>11</v>
      </c>
      <c r="L1145" t="s">
        <v>27</v>
      </c>
      <c r="M1145" t="s">
        <v>35</v>
      </c>
      <c r="N1145" t="s">
        <v>16</v>
      </c>
      <c r="O1145" t="s">
        <v>18</v>
      </c>
      <c r="P1145">
        <v>5</v>
      </c>
    </row>
    <row r="1146" spans="1:16" x14ac:dyDescent="0.3">
      <c r="A1146">
        <v>1660</v>
      </c>
      <c r="B1146">
        <v>44782</v>
      </c>
      <c r="C1146">
        <v>51</v>
      </c>
      <c r="D1146">
        <v>26116</v>
      </c>
      <c r="E1146" t="s">
        <v>14</v>
      </c>
      <c r="F1146" t="s">
        <v>22</v>
      </c>
      <c r="G1146" t="s">
        <v>17</v>
      </c>
      <c r="H1146" t="s">
        <v>82</v>
      </c>
      <c r="I1146" t="s">
        <v>66</v>
      </c>
      <c r="J1146" t="s">
        <v>10</v>
      </c>
      <c r="K1146" t="s">
        <v>26</v>
      </c>
      <c r="L1146" t="s">
        <v>53</v>
      </c>
      <c r="M1146" t="s">
        <v>32</v>
      </c>
      <c r="N1146" t="s">
        <v>30</v>
      </c>
      <c r="O1146" t="s">
        <v>18</v>
      </c>
      <c r="P1146">
        <v>5</v>
      </c>
    </row>
    <row r="1147" spans="1:16" x14ac:dyDescent="0.3">
      <c r="A1147">
        <v>1661</v>
      </c>
      <c r="B1147">
        <v>43543</v>
      </c>
      <c r="C1147">
        <v>37</v>
      </c>
      <c r="D1147">
        <v>30087</v>
      </c>
      <c r="E1147" t="s">
        <v>14</v>
      </c>
      <c r="F1147" t="s">
        <v>22</v>
      </c>
      <c r="G1147" t="s">
        <v>40</v>
      </c>
      <c r="H1147" t="s">
        <v>83</v>
      </c>
      <c r="I1147" t="s">
        <v>9</v>
      </c>
      <c r="J1147" t="s">
        <v>10</v>
      </c>
      <c r="K1147" t="s">
        <v>11</v>
      </c>
      <c r="L1147" t="s">
        <v>53</v>
      </c>
      <c r="M1147" t="s">
        <v>13</v>
      </c>
      <c r="N1147" t="s">
        <v>23</v>
      </c>
      <c r="O1147" t="s">
        <v>18</v>
      </c>
      <c r="P1147">
        <v>4</v>
      </c>
    </row>
    <row r="1148" spans="1:16" x14ac:dyDescent="0.3">
      <c r="A1148">
        <v>1662</v>
      </c>
      <c r="B1148">
        <v>43429</v>
      </c>
      <c r="C1148">
        <v>55</v>
      </c>
      <c r="D1148">
        <v>23319</v>
      </c>
      <c r="E1148" t="s">
        <v>14</v>
      </c>
      <c r="F1148" t="s">
        <v>15</v>
      </c>
      <c r="G1148" t="s">
        <v>34</v>
      </c>
      <c r="H1148" t="s">
        <v>97</v>
      </c>
      <c r="I1148" t="s">
        <v>9</v>
      </c>
      <c r="J1148" t="s">
        <v>10</v>
      </c>
      <c r="K1148" t="s">
        <v>11</v>
      </c>
      <c r="L1148" t="s">
        <v>53</v>
      </c>
      <c r="M1148" t="s">
        <v>42</v>
      </c>
      <c r="N1148" t="s">
        <v>23</v>
      </c>
      <c r="O1148" t="s">
        <v>18</v>
      </c>
      <c r="P1148">
        <v>4</v>
      </c>
    </row>
    <row r="1149" spans="1:16" x14ac:dyDescent="0.3">
      <c r="A1149">
        <v>1663</v>
      </c>
      <c r="B1149">
        <v>44661</v>
      </c>
      <c r="C1149">
        <v>61</v>
      </c>
      <c r="D1149">
        <v>22311</v>
      </c>
      <c r="E1149" t="s">
        <v>14</v>
      </c>
      <c r="F1149" t="s">
        <v>15</v>
      </c>
      <c r="G1149" t="s">
        <v>17</v>
      </c>
      <c r="H1149" t="s">
        <v>97</v>
      </c>
      <c r="I1149" t="s">
        <v>66</v>
      </c>
      <c r="J1149" t="s">
        <v>25</v>
      </c>
      <c r="K1149" t="s">
        <v>11</v>
      </c>
      <c r="L1149" t="s">
        <v>53</v>
      </c>
      <c r="M1149" t="s">
        <v>21</v>
      </c>
      <c r="N1149" t="s">
        <v>46</v>
      </c>
      <c r="O1149" t="s">
        <v>18</v>
      </c>
      <c r="P1149">
        <v>2</v>
      </c>
    </row>
    <row r="1150" spans="1:16" x14ac:dyDescent="0.3">
      <c r="A1150">
        <v>1664</v>
      </c>
      <c r="B1150">
        <v>44288</v>
      </c>
      <c r="C1150">
        <v>30</v>
      </c>
      <c r="D1150">
        <v>33491</v>
      </c>
      <c r="E1150" t="s">
        <v>14</v>
      </c>
      <c r="F1150" t="s">
        <v>22</v>
      </c>
      <c r="G1150" t="s">
        <v>31</v>
      </c>
      <c r="H1150" t="s">
        <v>24</v>
      </c>
      <c r="I1150" t="s">
        <v>9</v>
      </c>
      <c r="J1150" t="s">
        <v>25</v>
      </c>
      <c r="K1150" t="s">
        <v>11</v>
      </c>
      <c r="L1150" t="s">
        <v>53</v>
      </c>
      <c r="M1150" t="s">
        <v>49</v>
      </c>
      <c r="N1150" t="s">
        <v>16</v>
      </c>
      <c r="O1150" t="s">
        <v>18</v>
      </c>
      <c r="P1150">
        <v>1</v>
      </c>
    </row>
    <row r="1151" spans="1:16" x14ac:dyDescent="0.3">
      <c r="A1151">
        <v>1665</v>
      </c>
      <c r="B1151">
        <v>43821</v>
      </c>
      <c r="C1151">
        <v>56</v>
      </c>
      <c r="D1151">
        <v>23202</v>
      </c>
      <c r="E1151" t="s">
        <v>14</v>
      </c>
      <c r="F1151" t="s">
        <v>22</v>
      </c>
      <c r="G1151" t="s">
        <v>17</v>
      </c>
      <c r="H1151" t="s">
        <v>24</v>
      </c>
      <c r="I1151" t="s">
        <v>9</v>
      </c>
      <c r="J1151" t="s">
        <v>10</v>
      </c>
      <c r="K1151" t="s">
        <v>19</v>
      </c>
      <c r="L1151" t="s">
        <v>53</v>
      </c>
      <c r="M1151" t="s">
        <v>54</v>
      </c>
      <c r="N1151" t="s">
        <v>37</v>
      </c>
      <c r="O1151" t="s">
        <v>18</v>
      </c>
      <c r="P1151">
        <v>2</v>
      </c>
    </row>
    <row r="1152" spans="1:16" x14ac:dyDescent="0.3">
      <c r="A1152">
        <v>1666</v>
      </c>
      <c r="B1152">
        <v>44422</v>
      </c>
      <c r="C1152">
        <v>43</v>
      </c>
      <c r="D1152">
        <v>28693</v>
      </c>
      <c r="E1152" t="s">
        <v>43</v>
      </c>
      <c r="F1152" t="s">
        <v>22</v>
      </c>
      <c r="G1152" t="s">
        <v>40</v>
      </c>
      <c r="H1152" t="s">
        <v>24</v>
      </c>
      <c r="I1152" t="s">
        <v>9</v>
      </c>
      <c r="J1152" t="s">
        <v>25</v>
      </c>
      <c r="K1152" t="s">
        <v>19</v>
      </c>
      <c r="L1152" t="s">
        <v>53</v>
      </c>
      <c r="M1152" t="s">
        <v>32</v>
      </c>
      <c r="N1152" t="s">
        <v>37</v>
      </c>
      <c r="O1152" t="s">
        <v>18</v>
      </c>
      <c r="P1152">
        <v>3</v>
      </c>
    </row>
    <row r="1153" spans="1:16" x14ac:dyDescent="0.3">
      <c r="A1153">
        <v>1667</v>
      </c>
      <c r="B1153">
        <v>43340</v>
      </c>
      <c r="C1153">
        <v>46</v>
      </c>
      <c r="D1153">
        <v>26377</v>
      </c>
      <c r="E1153" t="s">
        <v>14</v>
      </c>
      <c r="F1153" t="s">
        <v>22</v>
      </c>
      <c r="G1153" t="s">
        <v>17</v>
      </c>
      <c r="H1153" t="s">
        <v>89</v>
      </c>
      <c r="I1153" t="s">
        <v>9</v>
      </c>
      <c r="J1153" t="s">
        <v>25</v>
      </c>
      <c r="K1153" t="s">
        <v>19</v>
      </c>
      <c r="L1153" t="s">
        <v>90</v>
      </c>
      <c r="M1153" t="s">
        <v>49</v>
      </c>
      <c r="N1153" t="s">
        <v>37</v>
      </c>
      <c r="O1153" t="s">
        <v>18</v>
      </c>
      <c r="P1153">
        <v>3</v>
      </c>
    </row>
    <row r="1154" spans="1:16" x14ac:dyDescent="0.3">
      <c r="A1154">
        <v>1668</v>
      </c>
      <c r="B1154">
        <v>45117</v>
      </c>
      <c r="C1154">
        <v>76</v>
      </c>
      <c r="D1154">
        <v>17417</v>
      </c>
      <c r="E1154" t="s">
        <v>14</v>
      </c>
      <c r="F1154" t="s">
        <v>22</v>
      </c>
      <c r="G1154" t="s">
        <v>31</v>
      </c>
      <c r="H1154" t="s">
        <v>89</v>
      </c>
      <c r="I1154" t="s">
        <v>9</v>
      </c>
      <c r="J1154" t="s">
        <v>20</v>
      </c>
      <c r="K1154" t="s">
        <v>11</v>
      </c>
      <c r="L1154" t="s">
        <v>90</v>
      </c>
      <c r="M1154" t="s">
        <v>21</v>
      </c>
      <c r="N1154" t="s">
        <v>37</v>
      </c>
      <c r="O1154" t="s">
        <v>18</v>
      </c>
      <c r="P1154">
        <v>1</v>
      </c>
    </row>
    <row r="1155" spans="1:16" x14ac:dyDescent="0.3">
      <c r="A1155">
        <v>1669</v>
      </c>
      <c r="B1155">
        <v>44092</v>
      </c>
      <c r="C1155">
        <v>59</v>
      </c>
      <c r="D1155">
        <v>22538</v>
      </c>
      <c r="E1155" t="s">
        <v>14</v>
      </c>
      <c r="F1155" t="s">
        <v>22</v>
      </c>
      <c r="G1155" t="s">
        <v>40</v>
      </c>
      <c r="H1155" t="s">
        <v>98</v>
      </c>
      <c r="I1155" t="s">
        <v>9</v>
      </c>
      <c r="J1155" t="s">
        <v>20</v>
      </c>
      <c r="K1155" t="s">
        <v>19</v>
      </c>
      <c r="L1155" t="s">
        <v>53</v>
      </c>
      <c r="M1155" t="s">
        <v>35</v>
      </c>
      <c r="N1155" t="s">
        <v>46</v>
      </c>
      <c r="O1155" t="s">
        <v>18</v>
      </c>
      <c r="P1155">
        <v>1</v>
      </c>
    </row>
    <row r="1156" spans="1:16" x14ac:dyDescent="0.3">
      <c r="A1156">
        <v>1670</v>
      </c>
      <c r="B1156">
        <v>43664</v>
      </c>
      <c r="C1156">
        <v>59</v>
      </c>
      <c r="D1156">
        <v>22226</v>
      </c>
      <c r="E1156" t="s">
        <v>14</v>
      </c>
      <c r="F1156" t="s">
        <v>15</v>
      </c>
      <c r="G1156" t="s">
        <v>17</v>
      </c>
      <c r="H1156" t="s">
        <v>98</v>
      </c>
      <c r="I1156" t="s">
        <v>9</v>
      </c>
      <c r="J1156" t="s">
        <v>10</v>
      </c>
      <c r="K1156" t="s">
        <v>19</v>
      </c>
      <c r="L1156" t="s">
        <v>53</v>
      </c>
      <c r="M1156" t="s">
        <v>49</v>
      </c>
      <c r="N1156" t="s">
        <v>30</v>
      </c>
      <c r="O1156" t="s">
        <v>18</v>
      </c>
      <c r="P1156">
        <v>2</v>
      </c>
    </row>
    <row r="1157" spans="1:16" x14ac:dyDescent="0.3">
      <c r="A1157">
        <v>1671</v>
      </c>
      <c r="B1157">
        <v>44521</v>
      </c>
      <c r="C1157">
        <v>57</v>
      </c>
      <c r="D1157">
        <v>23660</v>
      </c>
      <c r="E1157" t="s">
        <v>14</v>
      </c>
      <c r="F1157" t="s">
        <v>15</v>
      </c>
      <c r="G1157" t="s">
        <v>34</v>
      </c>
      <c r="H1157" t="s">
        <v>98</v>
      </c>
      <c r="I1157" t="s">
        <v>9</v>
      </c>
      <c r="J1157" t="s">
        <v>10</v>
      </c>
      <c r="K1157" t="s">
        <v>19</v>
      </c>
      <c r="L1157" t="s">
        <v>27</v>
      </c>
      <c r="M1157" t="s">
        <v>54</v>
      </c>
      <c r="N1157" t="s">
        <v>16</v>
      </c>
      <c r="O1157" t="s">
        <v>18</v>
      </c>
      <c r="P1157">
        <v>3</v>
      </c>
    </row>
    <row r="1158" spans="1:16" x14ac:dyDescent="0.3">
      <c r="A1158">
        <v>1672</v>
      </c>
      <c r="B1158">
        <v>44263</v>
      </c>
      <c r="C1158">
        <v>74</v>
      </c>
      <c r="D1158">
        <v>17313</v>
      </c>
      <c r="E1158" t="s">
        <v>14</v>
      </c>
      <c r="F1158" t="s">
        <v>22</v>
      </c>
      <c r="G1158" t="s">
        <v>34</v>
      </c>
      <c r="H1158" t="s">
        <v>82</v>
      </c>
      <c r="I1158" t="s">
        <v>9</v>
      </c>
      <c r="J1158" t="s">
        <v>25</v>
      </c>
      <c r="K1158" t="s">
        <v>26</v>
      </c>
      <c r="L1158" t="s">
        <v>53</v>
      </c>
      <c r="M1158" t="s">
        <v>35</v>
      </c>
      <c r="N1158" t="s">
        <v>46</v>
      </c>
      <c r="O1158" t="s">
        <v>18</v>
      </c>
      <c r="P1158">
        <v>3</v>
      </c>
    </row>
    <row r="1159" spans="1:16" x14ac:dyDescent="0.3">
      <c r="A1159">
        <v>1673</v>
      </c>
      <c r="B1159">
        <v>43698</v>
      </c>
      <c r="C1159">
        <v>69</v>
      </c>
      <c r="D1159">
        <v>18574</v>
      </c>
      <c r="E1159" t="s">
        <v>14</v>
      </c>
      <c r="F1159" t="s">
        <v>15</v>
      </c>
      <c r="G1159" t="s">
        <v>17</v>
      </c>
      <c r="H1159" t="s">
        <v>83</v>
      </c>
      <c r="I1159" t="s">
        <v>9</v>
      </c>
      <c r="J1159" t="s">
        <v>20</v>
      </c>
      <c r="K1159" t="s">
        <v>11</v>
      </c>
      <c r="L1159" t="s">
        <v>53</v>
      </c>
      <c r="M1159" t="s">
        <v>32</v>
      </c>
      <c r="N1159" t="s">
        <v>30</v>
      </c>
      <c r="O1159" t="s">
        <v>18</v>
      </c>
      <c r="P1159">
        <v>5</v>
      </c>
    </row>
    <row r="1160" spans="1:16" x14ac:dyDescent="0.3">
      <c r="A1160">
        <v>1674</v>
      </c>
      <c r="B1160">
        <v>44681</v>
      </c>
      <c r="C1160">
        <v>76</v>
      </c>
      <c r="D1160">
        <v>16970</v>
      </c>
      <c r="E1160" t="s">
        <v>14</v>
      </c>
      <c r="F1160" t="s">
        <v>15</v>
      </c>
      <c r="G1160" t="s">
        <v>34</v>
      </c>
      <c r="H1160" t="s">
        <v>97</v>
      </c>
      <c r="I1160" t="s">
        <v>66</v>
      </c>
      <c r="J1160" t="s">
        <v>20</v>
      </c>
      <c r="K1160" t="s">
        <v>26</v>
      </c>
      <c r="L1160" t="s">
        <v>53</v>
      </c>
      <c r="M1160" t="s">
        <v>59</v>
      </c>
      <c r="N1160" t="s">
        <v>30</v>
      </c>
      <c r="O1160" t="s">
        <v>18</v>
      </c>
      <c r="P1160">
        <v>5</v>
      </c>
    </row>
    <row r="1161" spans="1:16" x14ac:dyDescent="0.3">
      <c r="A1161">
        <v>1675</v>
      </c>
      <c r="B1161">
        <v>44960</v>
      </c>
      <c r="C1161">
        <v>64</v>
      </c>
      <c r="D1161">
        <v>21856</v>
      </c>
      <c r="E1161" t="s">
        <v>14</v>
      </c>
      <c r="F1161" t="s">
        <v>22</v>
      </c>
      <c r="G1161" t="s">
        <v>17</v>
      </c>
      <c r="H1161" t="s">
        <v>24</v>
      </c>
      <c r="I1161" t="s">
        <v>9</v>
      </c>
      <c r="J1161" t="s">
        <v>25</v>
      </c>
      <c r="K1161" t="s">
        <v>19</v>
      </c>
      <c r="L1161" t="s">
        <v>53</v>
      </c>
      <c r="M1161" t="s">
        <v>35</v>
      </c>
      <c r="N1161" t="s">
        <v>23</v>
      </c>
      <c r="O1161" t="s">
        <v>18</v>
      </c>
      <c r="P1161">
        <v>1</v>
      </c>
    </row>
    <row r="1162" spans="1:16" x14ac:dyDescent="0.3">
      <c r="A1162">
        <v>1676</v>
      </c>
      <c r="B1162">
        <v>45054</v>
      </c>
      <c r="C1162">
        <v>60</v>
      </c>
      <c r="D1162">
        <v>23235</v>
      </c>
      <c r="E1162" t="s">
        <v>14</v>
      </c>
      <c r="F1162" t="s">
        <v>22</v>
      </c>
      <c r="G1162" t="s">
        <v>17</v>
      </c>
      <c r="H1162" t="s">
        <v>24</v>
      </c>
      <c r="I1162" t="s">
        <v>9</v>
      </c>
      <c r="J1162" t="s">
        <v>20</v>
      </c>
      <c r="K1162" t="s">
        <v>26</v>
      </c>
      <c r="L1162" t="s">
        <v>53</v>
      </c>
      <c r="M1162" t="s">
        <v>60</v>
      </c>
      <c r="N1162" t="s">
        <v>30</v>
      </c>
      <c r="O1162" t="s">
        <v>18</v>
      </c>
      <c r="P1162">
        <v>5</v>
      </c>
    </row>
    <row r="1163" spans="1:16" x14ac:dyDescent="0.3">
      <c r="A1163">
        <v>1677</v>
      </c>
      <c r="B1163">
        <v>44771</v>
      </c>
      <c r="C1163">
        <v>57</v>
      </c>
      <c r="D1163">
        <v>24068</v>
      </c>
      <c r="E1163" t="s">
        <v>43</v>
      </c>
      <c r="F1163" t="s">
        <v>15</v>
      </c>
      <c r="G1163" t="s">
        <v>17</v>
      </c>
      <c r="H1163" t="s">
        <v>24</v>
      </c>
      <c r="I1163" t="s">
        <v>9</v>
      </c>
      <c r="J1163" t="s">
        <v>20</v>
      </c>
      <c r="K1163" t="s">
        <v>26</v>
      </c>
      <c r="L1163" t="s">
        <v>53</v>
      </c>
      <c r="M1163" t="s">
        <v>32</v>
      </c>
      <c r="N1163" t="s">
        <v>30</v>
      </c>
      <c r="O1163" t="s">
        <v>18</v>
      </c>
      <c r="P1163">
        <v>4</v>
      </c>
    </row>
    <row r="1164" spans="1:16" x14ac:dyDescent="0.3">
      <c r="A1164">
        <v>1678</v>
      </c>
      <c r="B1164">
        <v>44153</v>
      </c>
      <c r="C1164">
        <v>74</v>
      </c>
      <c r="D1164">
        <v>16889</v>
      </c>
      <c r="E1164" t="s">
        <v>14</v>
      </c>
      <c r="F1164" t="s">
        <v>15</v>
      </c>
      <c r="G1164" t="s">
        <v>17</v>
      </c>
      <c r="H1164" t="s">
        <v>89</v>
      </c>
      <c r="I1164" t="s">
        <v>9</v>
      </c>
      <c r="J1164" t="s">
        <v>20</v>
      </c>
      <c r="K1164" t="s">
        <v>19</v>
      </c>
      <c r="L1164" t="s">
        <v>90</v>
      </c>
      <c r="M1164" t="s">
        <v>35</v>
      </c>
      <c r="N1164" t="s">
        <v>37</v>
      </c>
      <c r="O1164" t="s">
        <v>18</v>
      </c>
      <c r="P1164">
        <v>1</v>
      </c>
    </row>
    <row r="1165" spans="1:16" x14ac:dyDescent="0.3">
      <c r="A1165">
        <v>1679</v>
      </c>
      <c r="B1165">
        <v>44332</v>
      </c>
      <c r="C1165">
        <v>77</v>
      </c>
      <c r="D1165">
        <v>16420</v>
      </c>
      <c r="E1165" t="s">
        <v>14</v>
      </c>
      <c r="F1165" t="s">
        <v>22</v>
      </c>
      <c r="G1165" t="s">
        <v>17</v>
      </c>
      <c r="H1165" t="s">
        <v>89</v>
      </c>
      <c r="I1165" t="s">
        <v>9</v>
      </c>
      <c r="J1165" t="s">
        <v>20</v>
      </c>
      <c r="K1165" t="s">
        <v>11</v>
      </c>
      <c r="L1165" t="s">
        <v>90</v>
      </c>
      <c r="M1165" t="s">
        <v>42</v>
      </c>
      <c r="N1165" t="s">
        <v>37</v>
      </c>
      <c r="O1165" t="s">
        <v>18</v>
      </c>
      <c r="P1165">
        <v>4</v>
      </c>
    </row>
    <row r="1166" spans="1:16" x14ac:dyDescent="0.3">
      <c r="A1166">
        <v>1680</v>
      </c>
      <c r="B1166">
        <v>43763</v>
      </c>
      <c r="C1166">
        <v>43</v>
      </c>
      <c r="D1166">
        <v>28004</v>
      </c>
      <c r="E1166" t="s">
        <v>14</v>
      </c>
      <c r="F1166" t="s">
        <v>22</v>
      </c>
      <c r="G1166" t="s">
        <v>40</v>
      </c>
      <c r="H1166" t="s">
        <v>89</v>
      </c>
      <c r="I1166" t="s">
        <v>9</v>
      </c>
      <c r="J1166" t="s">
        <v>25</v>
      </c>
      <c r="K1166" t="s">
        <v>11</v>
      </c>
      <c r="L1166" t="s">
        <v>53</v>
      </c>
      <c r="M1166" t="s">
        <v>32</v>
      </c>
      <c r="N1166" t="s">
        <v>30</v>
      </c>
      <c r="O1166" t="s">
        <v>18</v>
      </c>
      <c r="P1166">
        <v>4</v>
      </c>
    </row>
    <row r="1167" spans="1:16" x14ac:dyDescent="0.3">
      <c r="A1167">
        <v>1681</v>
      </c>
      <c r="B1167">
        <v>44990</v>
      </c>
      <c r="C1167">
        <v>49</v>
      </c>
      <c r="D1167">
        <v>27312</v>
      </c>
      <c r="E1167" t="s">
        <v>14</v>
      </c>
      <c r="F1167" t="s">
        <v>15</v>
      </c>
      <c r="G1167" t="s">
        <v>40</v>
      </c>
      <c r="H1167" t="s">
        <v>98</v>
      </c>
      <c r="I1167" t="s">
        <v>9</v>
      </c>
      <c r="J1167" t="s">
        <v>10</v>
      </c>
      <c r="K1167" t="s">
        <v>26</v>
      </c>
      <c r="L1167" t="s">
        <v>53</v>
      </c>
      <c r="M1167" t="s">
        <v>42</v>
      </c>
      <c r="N1167" t="s">
        <v>16</v>
      </c>
      <c r="O1167" t="s">
        <v>18</v>
      </c>
      <c r="P1167">
        <v>3</v>
      </c>
    </row>
    <row r="1168" spans="1:16" x14ac:dyDescent="0.3">
      <c r="A1168">
        <v>1682</v>
      </c>
      <c r="B1168">
        <v>44348</v>
      </c>
      <c r="C1168">
        <v>51</v>
      </c>
      <c r="D1168">
        <v>25931</v>
      </c>
      <c r="E1168" t="s">
        <v>14</v>
      </c>
      <c r="F1168" t="s">
        <v>15</v>
      </c>
      <c r="G1168" t="s">
        <v>34</v>
      </c>
      <c r="H1168" t="s">
        <v>98</v>
      </c>
      <c r="I1168" t="s">
        <v>9</v>
      </c>
      <c r="J1168" t="s">
        <v>20</v>
      </c>
      <c r="K1168" t="s">
        <v>26</v>
      </c>
      <c r="L1168" t="s">
        <v>53</v>
      </c>
      <c r="M1168" t="s">
        <v>21</v>
      </c>
      <c r="N1168" t="s">
        <v>37</v>
      </c>
      <c r="O1168" t="s">
        <v>18</v>
      </c>
      <c r="P1168">
        <v>3</v>
      </c>
    </row>
    <row r="1169" spans="1:16" x14ac:dyDescent="0.3">
      <c r="A1169">
        <v>1683</v>
      </c>
      <c r="B1169">
        <v>44583</v>
      </c>
      <c r="C1169">
        <v>34</v>
      </c>
      <c r="D1169">
        <v>32187</v>
      </c>
      <c r="E1169" t="s">
        <v>14</v>
      </c>
      <c r="F1169" t="s">
        <v>15</v>
      </c>
      <c r="G1169" t="s">
        <v>34</v>
      </c>
      <c r="H1169" t="s">
        <v>98</v>
      </c>
      <c r="I1169" t="s">
        <v>66</v>
      </c>
      <c r="J1169" t="s">
        <v>25</v>
      </c>
      <c r="K1169" t="s">
        <v>26</v>
      </c>
      <c r="L1169" t="s">
        <v>27</v>
      </c>
      <c r="M1169" t="s">
        <v>21</v>
      </c>
      <c r="N1169" t="s">
        <v>30</v>
      </c>
      <c r="O1169" t="s">
        <v>18</v>
      </c>
      <c r="P1169">
        <v>4</v>
      </c>
    </row>
    <row r="1170" spans="1:16" x14ac:dyDescent="0.3">
      <c r="A1170">
        <v>1684</v>
      </c>
      <c r="B1170">
        <v>45116</v>
      </c>
      <c r="C1170">
        <v>60</v>
      </c>
      <c r="D1170">
        <v>23077</v>
      </c>
      <c r="E1170" t="s">
        <v>14</v>
      </c>
      <c r="F1170" t="s">
        <v>22</v>
      </c>
      <c r="G1170" t="s">
        <v>17</v>
      </c>
      <c r="H1170" t="s">
        <v>82</v>
      </c>
      <c r="I1170" t="s">
        <v>66</v>
      </c>
      <c r="J1170" t="s">
        <v>10</v>
      </c>
      <c r="K1170" t="s">
        <v>19</v>
      </c>
      <c r="L1170" t="s">
        <v>53</v>
      </c>
      <c r="M1170" t="s">
        <v>42</v>
      </c>
      <c r="N1170" t="s">
        <v>23</v>
      </c>
      <c r="O1170" t="s">
        <v>18</v>
      </c>
      <c r="P1170">
        <v>4</v>
      </c>
    </row>
    <row r="1171" spans="1:16" x14ac:dyDescent="0.3">
      <c r="A1171">
        <v>1685</v>
      </c>
      <c r="B1171">
        <v>43415</v>
      </c>
      <c r="C1171">
        <v>50</v>
      </c>
      <c r="D1171">
        <v>25015</v>
      </c>
      <c r="E1171" t="s">
        <v>14</v>
      </c>
      <c r="F1171" t="s">
        <v>15</v>
      </c>
      <c r="G1171" t="s">
        <v>40</v>
      </c>
      <c r="H1171" t="s">
        <v>83</v>
      </c>
      <c r="I1171" t="s">
        <v>66</v>
      </c>
      <c r="J1171" t="s">
        <v>25</v>
      </c>
      <c r="K1171" t="s">
        <v>19</v>
      </c>
      <c r="L1171" t="s">
        <v>53</v>
      </c>
      <c r="M1171" t="s">
        <v>21</v>
      </c>
      <c r="N1171" t="s">
        <v>37</v>
      </c>
      <c r="O1171" t="s">
        <v>18</v>
      </c>
      <c r="P1171">
        <v>4</v>
      </c>
    </row>
    <row r="1172" spans="1:16" x14ac:dyDescent="0.3">
      <c r="A1172">
        <v>1686</v>
      </c>
      <c r="B1172">
        <v>44201</v>
      </c>
      <c r="C1172">
        <v>67</v>
      </c>
      <c r="D1172">
        <v>19789</v>
      </c>
      <c r="E1172" t="s">
        <v>14</v>
      </c>
      <c r="F1172" t="s">
        <v>22</v>
      </c>
      <c r="G1172" t="s">
        <v>17</v>
      </c>
      <c r="H1172" t="s">
        <v>97</v>
      </c>
      <c r="I1172" t="s">
        <v>9</v>
      </c>
      <c r="J1172" t="s">
        <v>10</v>
      </c>
      <c r="K1172" t="s">
        <v>11</v>
      </c>
      <c r="L1172" t="s">
        <v>53</v>
      </c>
      <c r="M1172" t="s">
        <v>13</v>
      </c>
      <c r="N1172" t="s">
        <v>37</v>
      </c>
      <c r="O1172" t="s">
        <v>18</v>
      </c>
      <c r="P1172">
        <v>4</v>
      </c>
    </row>
    <row r="1173" spans="1:16" x14ac:dyDescent="0.3">
      <c r="A1173">
        <v>1687</v>
      </c>
      <c r="B1173">
        <v>44890</v>
      </c>
      <c r="C1173">
        <v>55</v>
      </c>
      <c r="D1173">
        <v>24587</v>
      </c>
      <c r="E1173" t="s">
        <v>14</v>
      </c>
      <c r="F1173" t="s">
        <v>22</v>
      </c>
      <c r="G1173" t="s">
        <v>17</v>
      </c>
      <c r="H1173" t="s">
        <v>24</v>
      </c>
      <c r="I1173" t="s">
        <v>9</v>
      </c>
      <c r="J1173" t="s">
        <v>20</v>
      </c>
      <c r="K1173" t="s">
        <v>11</v>
      </c>
      <c r="L1173" t="s">
        <v>53</v>
      </c>
      <c r="M1173" t="s">
        <v>42</v>
      </c>
      <c r="N1173" t="s">
        <v>16</v>
      </c>
      <c r="O1173" t="s">
        <v>18</v>
      </c>
      <c r="P1173">
        <v>4</v>
      </c>
    </row>
    <row r="1174" spans="1:16" x14ac:dyDescent="0.3">
      <c r="A1174">
        <v>1688</v>
      </c>
      <c r="B1174">
        <v>43920</v>
      </c>
      <c r="C1174">
        <v>64</v>
      </c>
      <c r="D1174">
        <v>20659</v>
      </c>
      <c r="E1174" t="s">
        <v>43</v>
      </c>
      <c r="F1174" t="s">
        <v>22</v>
      </c>
      <c r="G1174" t="s">
        <v>40</v>
      </c>
      <c r="H1174" t="s">
        <v>24</v>
      </c>
      <c r="I1174" t="s">
        <v>9</v>
      </c>
      <c r="J1174" t="s">
        <v>25</v>
      </c>
      <c r="K1174" t="s">
        <v>19</v>
      </c>
      <c r="L1174" t="s">
        <v>53</v>
      </c>
      <c r="M1174" t="s">
        <v>58</v>
      </c>
      <c r="N1174" t="s">
        <v>30</v>
      </c>
      <c r="O1174" t="s">
        <v>18</v>
      </c>
      <c r="P1174">
        <v>4</v>
      </c>
    </row>
    <row r="1175" spans="1:16" x14ac:dyDescent="0.3">
      <c r="A1175">
        <v>1689</v>
      </c>
      <c r="B1175">
        <v>44198</v>
      </c>
      <c r="C1175">
        <v>36</v>
      </c>
      <c r="D1175">
        <v>31385</v>
      </c>
      <c r="E1175" t="s">
        <v>14</v>
      </c>
      <c r="F1175" t="s">
        <v>22</v>
      </c>
      <c r="G1175" t="s">
        <v>34</v>
      </c>
      <c r="H1175" t="s">
        <v>89</v>
      </c>
      <c r="I1175" t="s">
        <v>9</v>
      </c>
      <c r="J1175" t="s">
        <v>20</v>
      </c>
      <c r="K1175" t="s">
        <v>11</v>
      </c>
      <c r="L1175" t="s">
        <v>90</v>
      </c>
      <c r="M1175" t="s">
        <v>35</v>
      </c>
      <c r="N1175" t="s">
        <v>30</v>
      </c>
      <c r="O1175" t="s">
        <v>18</v>
      </c>
      <c r="P1175">
        <v>3</v>
      </c>
    </row>
    <row r="1176" spans="1:16" x14ac:dyDescent="0.3">
      <c r="A1176">
        <v>1690</v>
      </c>
      <c r="B1176">
        <v>43522</v>
      </c>
      <c r="C1176">
        <v>77</v>
      </c>
      <c r="D1176">
        <v>15361</v>
      </c>
      <c r="E1176" t="s">
        <v>14</v>
      </c>
      <c r="F1176" t="s">
        <v>22</v>
      </c>
      <c r="G1176" t="s">
        <v>17</v>
      </c>
      <c r="H1176" t="s">
        <v>89</v>
      </c>
      <c r="I1176" t="s">
        <v>9</v>
      </c>
      <c r="J1176" t="s">
        <v>10</v>
      </c>
      <c r="K1176" t="s">
        <v>19</v>
      </c>
      <c r="L1176" t="s">
        <v>90</v>
      </c>
      <c r="M1176" t="s">
        <v>63</v>
      </c>
      <c r="N1176" t="s">
        <v>37</v>
      </c>
      <c r="O1176" t="s">
        <v>18</v>
      </c>
      <c r="P1176">
        <v>1</v>
      </c>
    </row>
    <row r="1177" spans="1:16" x14ac:dyDescent="0.3">
      <c r="A1177">
        <v>1691</v>
      </c>
      <c r="B1177">
        <v>43744</v>
      </c>
      <c r="C1177">
        <v>73</v>
      </c>
      <c r="D1177">
        <v>16823</v>
      </c>
      <c r="E1177" t="s">
        <v>14</v>
      </c>
      <c r="F1177" t="s">
        <v>22</v>
      </c>
      <c r="G1177" t="s">
        <v>17</v>
      </c>
      <c r="H1177" t="s">
        <v>89</v>
      </c>
      <c r="I1177" t="s">
        <v>9</v>
      </c>
      <c r="J1177" t="s">
        <v>10</v>
      </c>
      <c r="K1177" t="s">
        <v>19</v>
      </c>
      <c r="L1177" t="s">
        <v>53</v>
      </c>
      <c r="M1177" t="s">
        <v>54</v>
      </c>
      <c r="N1177" t="s">
        <v>37</v>
      </c>
      <c r="O1177" t="s">
        <v>18</v>
      </c>
      <c r="P1177">
        <v>1</v>
      </c>
    </row>
    <row r="1178" spans="1:16" x14ac:dyDescent="0.3">
      <c r="A1178">
        <v>1692</v>
      </c>
      <c r="B1178">
        <v>43940</v>
      </c>
      <c r="C1178">
        <v>77</v>
      </c>
      <c r="D1178">
        <v>15972</v>
      </c>
      <c r="E1178" t="s">
        <v>14</v>
      </c>
      <c r="F1178" t="s">
        <v>15</v>
      </c>
      <c r="G1178" t="s">
        <v>17</v>
      </c>
      <c r="H1178" t="s">
        <v>98</v>
      </c>
      <c r="I1178" t="s">
        <v>9</v>
      </c>
      <c r="J1178" t="s">
        <v>20</v>
      </c>
      <c r="K1178" t="s">
        <v>11</v>
      </c>
      <c r="L1178" t="s">
        <v>53</v>
      </c>
      <c r="M1178" t="s">
        <v>42</v>
      </c>
      <c r="N1178" t="s">
        <v>30</v>
      </c>
      <c r="O1178" t="s">
        <v>18</v>
      </c>
      <c r="P1178">
        <v>2</v>
      </c>
    </row>
    <row r="1179" spans="1:16" x14ac:dyDescent="0.3">
      <c r="A1179">
        <v>1693</v>
      </c>
      <c r="B1179">
        <v>44919</v>
      </c>
      <c r="C1179">
        <v>37</v>
      </c>
      <c r="D1179">
        <v>31272</v>
      </c>
      <c r="E1179" t="s">
        <v>14</v>
      </c>
      <c r="F1179" t="s">
        <v>15</v>
      </c>
      <c r="G1179" t="s">
        <v>31</v>
      </c>
      <c r="H1179" t="s">
        <v>98</v>
      </c>
      <c r="I1179" t="s">
        <v>9</v>
      </c>
      <c r="J1179" t="s">
        <v>10</v>
      </c>
      <c r="K1179" t="s">
        <v>11</v>
      </c>
      <c r="L1179" t="s">
        <v>53</v>
      </c>
      <c r="M1179" t="s">
        <v>35</v>
      </c>
      <c r="N1179" t="s">
        <v>30</v>
      </c>
      <c r="O1179" t="s">
        <v>18</v>
      </c>
      <c r="P1179">
        <v>5</v>
      </c>
    </row>
    <row r="1180" spans="1:16" x14ac:dyDescent="0.3">
      <c r="A1180">
        <v>1694</v>
      </c>
      <c r="B1180">
        <v>44295</v>
      </c>
      <c r="C1180">
        <v>60</v>
      </c>
      <c r="D1180">
        <v>22558</v>
      </c>
      <c r="E1180" t="s">
        <v>14</v>
      </c>
      <c r="F1180" t="s">
        <v>22</v>
      </c>
      <c r="G1180" t="s">
        <v>34</v>
      </c>
      <c r="H1180" t="s">
        <v>82</v>
      </c>
      <c r="I1180" t="s">
        <v>66</v>
      </c>
      <c r="J1180" t="s">
        <v>20</v>
      </c>
      <c r="K1180" t="s">
        <v>19</v>
      </c>
      <c r="L1180" t="s">
        <v>53</v>
      </c>
      <c r="M1180" t="s">
        <v>21</v>
      </c>
      <c r="N1180" t="s">
        <v>46</v>
      </c>
      <c r="O1180" t="s">
        <v>18</v>
      </c>
      <c r="P1180">
        <v>5</v>
      </c>
    </row>
    <row r="1181" spans="1:16" x14ac:dyDescent="0.3">
      <c r="A1181">
        <v>1695</v>
      </c>
      <c r="B1181">
        <v>43347</v>
      </c>
      <c r="C1181">
        <v>37</v>
      </c>
      <c r="D1181">
        <v>29903</v>
      </c>
      <c r="E1181" t="s">
        <v>14</v>
      </c>
      <c r="F1181" t="s">
        <v>15</v>
      </c>
      <c r="G1181" t="s">
        <v>17</v>
      </c>
      <c r="H1181" t="s">
        <v>83</v>
      </c>
      <c r="I1181" t="s">
        <v>66</v>
      </c>
      <c r="J1181" t="s">
        <v>10</v>
      </c>
      <c r="K1181" t="s">
        <v>11</v>
      </c>
      <c r="L1181" t="s">
        <v>53</v>
      </c>
      <c r="M1181" t="s">
        <v>92</v>
      </c>
      <c r="N1181" t="s">
        <v>30</v>
      </c>
      <c r="O1181" t="s">
        <v>18</v>
      </c>
      <c r="P1181">
        <v>3</v>
      </c>
    </row>
    <row r="1182" spans="1:16" x14ac:dyDescent="0.3">
      <c r="A1182">
        <v>1696</v>
      </c>
      <c r="B1182">
        <v>44507</v>
      </c>
      <c r="C1182">
        <v>59</v>
      </c>
      <c r="D1182">
        <v>22905</v>
      </c>
      <c r="E1182" t="s">
        <v>14</v>
      </c>
      <c r="F1182" t="s">
        <v>22</v>
      </c>
      <c r="G1182" t="s">
        <v>34</v>
      </c>
      <c r="H1182" t="s">
        <v>97</v>
      </c>
      <c r="I1182" t="s">
        <v>9</v>
      </c>
      <c r="J1182" t="s">
        <v>25</v>
      </c>
      <c r="K1182" t="s">
        <v>11</v>
      </c>
      <c r="L1182" t="s">
        <v>53</v>
      </c>
      <c r="M1182" t="s">
        <v>38</v>
      </c>
      <c r="N1182" t="s">
        <v>23</v>
      </c>
      <c r="O1182" t="s">
        <v>18</v>
      </c>
      <c r="P1182">
        <v>4</v>
      </c>
    </row>
    <row r="1183" spans="1:16" x14ac:dyDescent="0.3">
      <c r="A1183">
        <v>1697</v>
      </c>
      <c r="B1183">
        <v>45070</v>
      </c>
      <c r="C1183">
        <v>36</v>
      </c>
      <c r="D1183">
        <v>31943</v>
      </c>
      <c r="E1183" t="s">
        <v>14</v>
      </c>
      <c r="F1183" t="s">
        <v>22</v>
      </c>
      <c r="G1183" t="s">
        <v>17</v>
      </c>
      <c r="H1183" t="s">
        <v>97</v>
      </c>
      <c r="I1183" t="s">
        <v>9</v>
      </c>
      <c r="J1183" t="s">
        <v>25</v>
      </c>
      <c r="K1183" t="s">
        <v>26</v>
      </c>
      <c r="L1183" t="s">
        <v>53</v>
      </c>
      <c r="M1183" t="s">
        <v>32</v>
      </c>
      <c r="N1183" t="s">
        <v>46</v>
      </c>
      <c r="O1183" t="s">
        <v>18</v>
      </c>
      <c r="P1183">
        <v>5</v>
      </c>
    </row>
    <row r="1184" spans="1:16" x14ac:dyDescent="0.3">
      <c r="A1184">
        <v>1698</v>
      </c>
      <c r="B1184">
        <v>44242</v>
      </c>
      <c r="C1184">
        <v>27</v>
      </c>
      <c r="D1184">
        <v>34652</v>
      </c>
      <c r="E1184" t="s">
        <v>14</v>
      </c>
      <c r="F1184" t="s">
        <v>22</v>
      </c>
      <c r="G1184" t="s">
        <v>34</v>
      </c>
      <c r="H1184" t="s">
        <v>24</v>
      </c>
      <c r="I1184" t="s">
        <v>9</v>
      </c>
      <c r="J1184" t="s">
        <v>25</v>
      </c>
      <c r="K1184" t="s">
        <v>19</v>
      </c>
      <c r="L1184" t="s">
        <v>53</v>
      </c>
      <c r="M1184" t="s">
        <v>67</v>
      </c>
      <c r="N1184" t="s">
        <v>16</v>
      </c>
      <c r="O1184" t="s">
        <v>18</v>
      </c>
      <c r="P1184">
        <v>5</v>
      </c>
    </row>
    <row r="1185" spans="1:16" x14ac:dyDescent="0.3">
      <c r="A1185">
        <v>1699</v>
      </c>
      <c r="B1185">
        <v>44503</v>
      </c>
      <c r="C1185">
        <v>28</v>
      </c>
      <c r="D1185">
        <v>34137</v>
      </c>
      <c r="E1185" t="s">
        <v>14</v>
      </c>
      <c r="F1185" t="s">
        <v>22</v>
      </c>
      <c r="G1185" t="s">
        <v>34</v>
      </c>
      <c r="H1185" t="s">
        <v>89</v>
      </c>
      <c r="I1185" t="s">
        <v>9</v>
      </c>
      <c r="J1185" t="s">
        <v>10</v>
      </c>
      <c r="K1185" t="s">
        <v>11</v>
      </c>
      <c r="L1185" t="s">
        <v>90</v>
      </c>
      <c r="M1185" t="s">
        <v>44</v>
      </c>
      <c r="N1185" t="s">
        <v>23</v>
      </c>
      <c r="O1185" t="s">
        <v>18</v>
      </c>
      <c r="P1185">
        <v>4</v>
      </c>
    </row>
    <row r="1186" spans="1:16" x14ac:dyDescent="0.3">
      <c r="A1186">
        <v>1700</v>
      </c>
      <c r="B1186">
        <v>43363</v>
      </c>
      <c r="C1186">
        <v>60</v>
      </c>
      <c r="D1186">
        <v>21283</v>
      </c>
      <c r="E1186" t="s">
        <v>14</v>
      </c>
      <c r="F1186" t="s">
        <v>22</v>
      </c>
      <c r="G1186" t="s">
        <v>17</v>
      </c>
      <c r="H1186" t="s">
        <v>89</v>
      </c>
      <c r="I1186" t="s">
        <v>9</v>
      </c>
      <c r="J1186" t="s">
        <v>10</v>
      </c>
      <c r="K1186" t="s">
        <v>11</v>
      </c>
      <c r="L1186" t="s">
        <v>53</v>
      </c>
      <c r="M1186" t="s">
        <v>42</v>
      </c>
      <c r="N1186" t="s">
        <v>46</v>
      </c>
      <c r="O1186" t="s">
        <v>18</v>
      </c>
      <c r="P1186">
        <v>2</v>
      </c>
    </row>
    <row r="1187" spans="1:16" x14ac:dyDescent="0.3">
      <c r="A1187">
        <v>1701</v>
      </c>
      <c r="B1187">
        <v>43669</v>
      </c>
      <c r="C1187">
        <v>65</v>
      </c>
      <c r="D1187">
        <v>20034</v>
      </c>
      <c r="E1187" t="s">
        <v>14</v>
      </c>
      <c r="F1187" t="s">
        <v>22</v>
      </c>
      <c r="G1187" t="s">
        <v>31</v>
      </c>
      <c r="H1187" t="s">
        <v>89</v>
      </c>
      <c r="I1187" t="s">
        <v>9</v>
      </c>
      <c r="J1187" t="s">
        <v>10</v>
      </c>
      <c r="K1187" t="s">
        <v>19</v>
      </c>
      <c r="L1187" t="s">
        <v>53</v>
      </c>
      <c r="M1187" t="s">
        <v>54</v>
      </c>
      <c r="N1187" t="s">
        <v>30</v>
      </c>
      <c r="O1187" t="s">
        <v>18</v>
      </c>
      <c r="P1187">
        <v>3</v>
      </c>
    </row>
    <row r="1188" spans="1:16" x14ac:dyDescent="0.3">
      <c r="A1188">
        <v>1702</v>
      </c>
      <c r="B1188">
        <v>44693</v>
      </c>
      <c r="C1188">
        <v>33</v>
      </c>
      <c r="D1188">
        <v>32759</v>
      </c>
      <c r="E1188" t="s">
        <v>14</v>
      </c>
      <c r="F1188" t="s">
        <v>15</v>
      </c>
      <c r="G1188" t="s">
        <v>31</v>
      </c>
      <c r="H1188" t="s">
        <v>98</v>
      </c>
      <c r="I1188" t="s">
        <v>9</v>
      </c>
      <c r="J1188" t="s">
        <v>10</v>
      </c>
      <c r="K1188" t="s">
        <v>19</v>
      </c>
      <c r="L1188" t="s">
        <v>53</v>
      </c>
      <c r="M1188" t="s">
        <v>54</v>
      </c>
      <c r="N1188" t="s">
        <v>30</v>
      </c>
      <c r="O1188" t="s">
        <v>18</v>
      </c>
      <c r="P1188">
        <v>1</v>
      </c>
    </row>
    <row r="1189" spans="1:16" x14ac:dyDescent="0.3">
      <c r="A1189">
        <v>1703</v>
      </c>
      <c r="B1189">
        <v>43376</v>
      </c>
      <c r="C1189">
        <v>40</v>
      </c>
      <c r="D1189">
        <v>28544</v>
      </c>
      <c r="E1189" t="s">
        <v>14</v>
      </c>
      <c r="F1189" t="s">
        <v>15</v>
      </c>
      <c r="G1189" t="s">
        <v>31</v>
      </c>
      <c r="H1189" t="s">
        <v>98</v>
      </c>
      <c r="I1189" t="s">
        <v>9</v>
      </c>
      <c r="J1189" t="s">
        <v>25</v>
      </c>
      <c r="K1189" t="s">
        <v>26</v>
      </c>
      <c r="L1189" t="s">
        <v>27</v>
      </c>
      <c r="M1189" t="s">
        <v>21</v>
      </c>
      <c r="N1189" t="s">
        <v>30</v>
      </c>
      <c r="O1189" t="s">
        <v>18</v>
      </c>
      <c r="P1189">
        <v>1</v>
      </c>
    </row>
    <row r="1190" spans="1:16" x14ac:dyDescent="0.3">
      <c r="A1190">
        <v>1704</v>
      </c>
      <c r="B1190">
        <v>44161</v>
      </c>
      <c r="C1190">
        <v>26</v>
      </c>
      <c r="D1190">
        <v>34506</v>
      </c>
      <c r="E1190" t="s">
        <v>14</v>
      </c>
      <c r="F1190" t="s">
        <v>15</v>
      </c>
      <c r="G1190" t="s">
        <v>17</v>
      </c>
      <c r="H1190" t="s">
        <v>82</v>
      </c>
      <c r="I1190" t="s">
        <v>9</v>
      </c>
      <c r="J1190" t="s">
        <v>20</v>
      </c>
      <c r="K1190" t="s">
        <v>11</v>
      </c>
      <c r="L1190" t="s">
        <v>53</v>
      </c>
      <c r="M1190" t="s">
        <v>54</v>
      </c>
      <c r="N1190" t="s">
        <v>23</v>
      </c>
      <c r="O1190" t="s">
        <v>18</v>
      </c>
      <c r="P1190">
        <v>4</v>
      </c>
    </row>
    <row r="1191" spans="1:16" x14ac:dyDescent="0.3">
      <c r="A1191">
        <v>1705</v>
      </c>
      <c r="B1191">
        <v>43377</v>
      </c>
      <c r="C1191">
        <v>60</v>
      </c>
      <c r="D1191">
        <v>21321</v>
      </c>
      <c r="E1191" t="s">
        <v>14</v>
      </c>
      <c r="F1191" t="s">
        <v>15</v>
      </c>
      <c r="G1191" t="s">
        <v>31</v>
      </c>
      <c r="H1191" t="s">
        <v>83</v>
      </c>
      <c r="I1191" t="s">
        <v>9</v>
      </c>
      <c r="J1191" t="s">
        <v>20</v>
      </c>
      <c r="K1191" t="s">
        <v>26</v>
      </c>
      <c r="L1191" t="s">
        <v>53</v>
      </c>
      <c r="M1191" t="s">
        <v>54</v>
      </c>
      <c r="N1191" t="s">
        <v>23</v>
      </c>
      <c r="O1191" t="s">
        <v>18</v>
      </c>
      <c r="P1191">
        <v>4</v>
      </c>
    </row>
    <row r="1192" spans="1:16" x14ac:dyDescent="0.3">
      <c r="A1192">
        <v>1706</v>
      </c>
      <c r="B1192">
        <v>44167</v>
      </c>
      <c r="C1192">
        <v>30</v>
      </c>
      <c r="D1192">
        <v>32966</v>
      </c>
      <c r="E1192" t="s">
        <v>14</v>
      </c>
      <c r="F1192" t="s">
        <v>15</v>
      </c>
      <c r="G1192" t="s">
        <v>34</v>
      </c>
      <c r="H1192" t="s">
        <v>97</v>
      </c>
      <c r="I1192" t="s">
        <v>9</v>
      </c>
      <c r="J1192" t="s">
        <v>10</v>
      </c>
      <c r="K1192" t="s">
        <v>19</v>
      </c>
      <c r="L1192" t="s">
        <v>53</v>
      </c>
      <c r="M1192" t="s">
        <v>21</v>
      </c>
      <c r="N1192" t="s">
        <v>23</v>
      </c>
      <c r="O1192" t="s">
        <v>18</v>
      </c>
      <c r="P1192">
        <v>2</v>
      </c>
    </row>
    <row r="1193" spans="1:16" x14ac:dyDescent="0.3">
      <c r="A1193">
        <v>1707</v>
      </c>
      <c r="B1193">
        <v>44463</v>
      </c>
      <c r="C1193">
        <v>27</v>
      </c>
      <c r="D1193">
        <v>34413</v>
      </c>
      <c r="E1193" t="s">
        <v>14</v>
      </c>
      <c r="F1193" t="s">
        <v>22</v>
      </c>
      <c r="G1193" t="s">
        <v>34</v>
      </c>
      <c r="H1193" t="s">
        <v>97</v>
      </c>
      <c r="I1193" t="s">
        <v>9</v>
      </c>
      <c r="J1193" t="s">
        <v>20</v>
      </c>
      <c r="K1193" t="s">
        <v>11</v>
      </c>
      <c r="L1193" t="s">
        <v>53</v>
      </c>
      <c r="M1193" t="s">
        <v>59</v>
      </c>
      <c r="N1193" t="s">
        <v>46</v>
      </c>
      <c r="O1193" t="s">
        <v>18</v>
      </c>
      <c r="P1193">
        <v>4</v>
      </c>
    </row>
    <row r="1194" spans="1:16" x14ac:dyDescent="0.3">
      <c r="A1194">
        <v>1708</v>
      </c>
      <c r="B1194">
        <v>44084</v>
      </c>
      <c r="C1194">
        <v>30</v>
      </c>
      <c r="D1194">
        <v>33005</v>
      </c>
      <c r="E1194" t="s">
        <v>14</v>
      </c>
      <c r="F1194" t="s">
        <v>22</v>
      </c>
      <c r="G1194" t="s">
        <v>17</v>
      </c>
      <c r="H1194" t="s">
        <v>97</v>
      </c>
      <c r="I1194" t="s">
        <v>9</v>
      </c>
      <c r="J1194" t="s">
        <v>25</v>
      </c>
      <c r="K1194" t="s">
        <v>19</v>
      </c>
      <c r="L1194" t="s">
        <v>53</v>
      </c>
      <c r="M1194" t="s">
        <v>49</v>
      </c>
      <c r="N1194" t="s">
        <v>46</v>
      </c>
      <c r="O1194" t="s">
        <v>18</v>
      </c>
      <c r="P1194">
        <v>5</v>
      </c>
    </row>
    <row r="1195" spans="1:16" x14ac:dyDescent="0.3">
      <c r="A1195">
        <v>1709</v>
      </c>
      <c r="B1195">
        <v>44706</v>
      </c>
      <c r="C1195">
        <v>60</v>
      </c>
      <c r="D1195">
        <v>22727</v>
      </c>
      <c r="E1195" t="s">
        <v>43</v>
      </c>
      <c r="F1195" t="s">
        <v>22</v>
      </c>
      <c r="G1195" t="s">
        <v>34</v>
      </c>
      <c r="H1195" t="s">
        <v>24</v>
      </c>
      <c r="I1195" t="s">
        <v>9</v>
      </c>
      <c r="J1195" t="s">
        <v>25</v>
      </c>
      <c r="K1195" t="s">
        <v>11</v>
      </c>
      <c r="L1195" t="s">
        <v>53</v>
      </c>
      <c r="M1195" t="s">
        <v>28</v>
      </c>
      <c r="N1195" t="s">
        <v>37</v>
      </c>
      <c r="O1195" t="s">
        <v>18</v>
      </c>
      <c r="P1195">
        <v>4</v>
      </c>
    </row>
    <row r="1196" spans="1:16" x14ac:dyDescent="0.3">
      <c r="A1196">
        <v>1710</v>
      </c>
      <c r="B1196">
        <v>43511</v>
      </c>
      <c r="C1196">
        <v>48</v>
      </c>
      <c r="D1196">
        <v>26077</v>
      </c>
      <c r="E1196" t="s">
        <v>14</v>
      </c>
      <c r="F1196" t="s">
        <v>22</v>
      </c>
      <c r="G1196" t="s">
        <v>40</v>
      </c>
      <c r="H1196" t="s">
        <v>89</v>
      </c>
      <c r="I1196" t="s">
        <v>9</v>
      </c>
      <c r="J1196" t="s">
        <v>20</v>
      </c>
      <c r="K1196" t="s">
        <v>19</v>
      </c>
      <c r="L1196" t="s">
        <v>90</v>
      </c>
      <c r="M1196" t="s">
        <v>35</v>
      </c>
      <c r="N1196" t="s">
        <v>37</v>
      </c>
      <c r="O1196" t="s">
        <v>18</v>
      </c>
      <c r="P1196">
        <v>2</v>
      </c>
    </row>
    <row r="1197" spans="1:16" x14ac:dyDescent="0.3">
      <c r="A1197">
        <v>1711</v>
      </c>
      <c r="B1197">
        <v>43371</v>
      </c>
      <c r="C1197">
        <v>33</v>
      </c>
      <c r="D1197">
        <v>31158</v>
      </c>
      <c r="E1197" t="s">
        <v>14</v>
      </c>
      <c r="F1197" t="s">
        <v>22</v>
      </c>
      <c r="G1197" t="s">
        <v>17</v>
      </c>
      <c r="H1197" t="s">
        <v>89</v>
      </c>
      <c r="I1197" t="s">
        <v>9</v>
      </c>
      <c r="J1197" t="s">
        <v>25</v>
      </c>
      <c r="K1197" t="s">
        <v>19</v>
      </c>
      <c r="L1197" t="s">
        <v>53</v>
      </c>
      <c r="M1197" t="s">
        <v>32</v>
      </c>
      <c r="N1197" t="s">
        <v>30</v>
      </c>
      <c r="O1197" t="s">
        <v>18</v>
      </c>
      <c r="P1197">
        <v>1</v>
      </c>
    </row>
    <row r="1198" spans="1:16" x14ac:dyDescent="0.3">
      <c r="A1198">
        <v>1712</v>
      </c>
      <c r="B1198">
        <v>43446</v>
      </c>
      <c r="C1198">
        <v>46</v>
      </c>
      <c r="D1198">
        <v>26358</v>
      </c>
      <c r="E1198" t="s">
        <v>14</v>
      </c>
      <c r="F1198" t="s">
        <v>15</v>
      </c>
      <c r="G1198" t="s">
        <v>31</v>
      </c>
      <c r="H1198" t="s">
        <v>89</v>
      </c>
      <c r="I1198" t="s">
        <v>9</v>
      </c>
      <c r="J1198" t="s">
        <v>25</v>
      </c>
      <c r="K1198" t="s">
        <v>19</v>
      </c>
      <c r="L1198" t="s">
        <v>53</v>
      </c>
      <c r="M1198" t="s">
        <v>42</v>
      </c>
      <c r="N1198" t="s">
        <v>37</v>
      </c>
      <c r="O1198" t="s">
        <v>18</v>
      </c>
      <c r="P1198">
        <v>2</v>
      </c>
    </row>
    <row r="1199" spans="1:16" x14ac:dyDescent="0.3">
      <c r="A1199">
        <v>1713</v>
      </c>
      <c r="B1199">
        <v>44531</v>
      </c>
      <c r="C1199">
        <v>31</v>
      </c>
      <c r="D1199">
        <v>33114</v>
      </c>
      <c r="E1199" t="s">
        <v>14</v>
      </c>
      <c r="F1199" t="s">
        <v>15</v>
      </c>
      <c r="G1199" t="s">
        <v>34</v>
      </c>
      <c r="H1199" t="s">
        <v>98</v>
      </c>
      <c r="I1199" t="s">
        <v>9</v>
      </c>
      <c r="J1199" t="s">
        <v>10</v>
      </c>
      <c r="K1199" t="s">
        <v>26</v>
      </c>
      <c r="L1199" t="s">
        <v>53</v>
      </c>
      <c r="M1199" t="s">
        <v>32</v>
      </c>
      <c r="N1199" t="s">
        <v>46</v>
      </c>
      <c r="O1199" t="s">
        <v>18</v>
      </c>
      <c r="P1199">
        <v>4</v>
      </c>
    </row>
    <row r="1200" spans="1:16" x14ac:dyDescent="0.3">
      <c r="A1200">
        <v>1714</v>
      </c>
      <c r="B1200">
        <v>44573</v>
      </c>
      <c r="C1200">
        <v>22</v>
      </c>
      <c r="D1200">
        <v>36636</v>
      </c>
      <c r="E1200" t="s">
        <v>14</v>
      </c>
      <c r="F1200" t="s">
        <v>15</v>
      </c>
      <c r="G1200" t="s">
        <v>34</v>
      </c>
      <c r="H1200" t="s">
        <v>98</v>
      </c>
      <c r="I1200" t="s">
        <v>9</v>
      </c>
      <c r="J1200" t="s">
        <v>25</v>
      </c>
      <c r="K1200" t="s">
        <v>26</v>
      </c>
      <c r="L1200" t="s">
        <v>27</v>
      </c>
      <c r="M1200" t="s">
        <v>35</v>
      </c>
      <c r="N1200" t="s">
        <v>16</v>
      </c>
      <c r="O1200" t="s">
        <v>18</v>
      </c>
      <c r="P1200">
        <v>2</v>
      </c>
    </row>
    <row r="1201" spans="1:16" x14ac:dyDescent="0.3">
      <c r="A1201">
        <v>1715</v>
      </c>
      <c r="B1201">
        <v>44131</v>
      </c>
      <c r="C1201">
        <v>54</v>
      </c>
      <c r="D1201">
        <v>24117</v>
      </c>
      <c r="E1201" t="s">
        <v>14</v>
      </c>
      <c r="F1201" t="s">
        <v>15</v>
      </c>
      <c r="G1201" t="s">
        <v>40</v>
      </c>
      <c r="H1201" t="s">
        <v>82</v>
      </c>
      <c r="I1201" t="s">
        <v>9</v>
      </c>
      <c r="J1201" t="s">
        <v>25</v>
      </c>
      <c r="K1201" t="s">
        <v>26</v>
      </c>
      <c r="L1201" t="s">
        <v>53</v>
      </c>
      <c r="M1201" t="s">
        <v>21</v>
      </c>
      <c r="N1201" t="s">
        <v>16</v>
      </c>
      <c r="O1201" t="s">
        <v>18</v>
      </c>
      <c r="P1201">
        <v>2</v>
      </c>
    </row>
    <row r="1202" spans="1:16" x14ac:dyDescent="0.3">
      <c r="A1202">
        <v>1716</v>
      </c>
      <c r="B1202">
        <v>44137</v>
      </c>
      <c r="C1202">
        <v>59</v>
      </c>
      <c r="D1202">
        <v>22359</v>
      </c>
      <c r="E1202" t="s">
        <v>14</v>
      </c>
      <c r="F1202" t="s">
        <v>15</v>
      </c>
      <c r="G1202" t="s">
        <v>17</v>
      </c>
      <c r="H1202" t="s">
        <v>83</v>
      </c>
      <c r="I1202" t="s">
        <v>9</v>
      </c>
      <c r="J1202" t="s">
        <v>10</v>
      </c>
      <c r="K1202" t="s">
        <v>11</v>
      </c>
      <c r="L1202" t="s">
        <v>53</v>
      </c>
      <c r="M1202" t="s">
        <v>32</v>
      </c>
      <c r="N1202" t="s">
        <v>46</v>
      </c>
      <c r="O1202" t="s">
        <v>18</v>
      </c>
      <c r="P1202">
        <v>1</v>
      </c>
    </row>
    <row r="1203" spans="1:16" x14ac:dyDescent="0.3">
      <c r="A1203">
        <v>1717</v>
      </c>
      <c r="B1203">
        <v>44310</v>
      </c>
      <c r="C1203">
        <v>62</v>
      </c>
      <c r="D1203">
        <v>21880</v>
      </c>
      <c r="E1203" t="s">
        <v>14</v>
      </c>
      <c r="F1203" t="s">
        <v>22</v>
      </c>
      <c r="G1203" t="s">
        <v>17</v>
      </c>
      <c r="H1203" t="s">
        <v>97</v>
      </c>
      <c r="I1203" t="s">
        <v>9</v>
      </c>
      <c r="J1203" t="s">
        <v>20</v>
      </c>
      <c r="K1203" t="s">
        <v>26</v>
      </c>
      <c r="L1203" t="s">
        <v>53</v>
      </c>
      <c r="M1203" t="s">
        <v>32</v>
      </c>
      <c r="N1203" t="s">
        <v>46</v>
      </c>
      <c r="O1203" t="s">
        <v>18</v>
      </c>
      <c r="P1203">
        <v>2</v>
      </c>
    </row>
    <row r="1204" spans="1:16" x14ac:dyDescent="0.3">
      <c r="A1204">
        <v>1718</v>
      </c>
      <c r="B1204">
        <v>44011</v>
      </c>
      <c r="C1204">
        <v>19</v>
      </c>
      <c r="D1204">
        <v>36895</v>
      </c>
      <c r="E1204" t="s">
        <v>14</v>
      </c>
      <c r="F1204" t="s">
        <v>22</v>
      </c>
      <c r="G1204" t="s">
        <v>40</v>
      </c>
      <c r="H1204" t="s">
        <v>97</v>
      </c>
      <c r="I1204" t="s">
        <v>9</v>
      </c>
      <c r="J1204" t="s">
        <v>25</v>
      </c>
      <c r="K1204" t="s">
        <v>26</v>
      </c>
      <c r="L1204" t="s">
        <v>53</v>
      </c>
      <c r="M1204" t="s">
        <v>35</v>
      </c>
      <c r="N1204" t="s">
        <v>30</v>
      </c>
      <c r="O1204" t="s">
        <v>18</v>
      </c>
      <c r="P1204">
        <v>4</v>
      </c>
    </row>
    <row r="1205" spans="1:16" x14ac:dyDescent="0.3">
      <c r="A1205">
        <v>1719</v>
      </c>
      <c r="B1205">
        <v>44392</v>
      </c>
      <c r="C1205">
        <v>28</v>
      </c>
      <c r="D1205">
        <v>34099</v>
      </c>
      <c r="E1205" t="s">
        <v>14</v>
      </c>
      <c r="F1205" t="s">
        <v>22</v>
      </c>
      <c r="G1205" t="s">
        <v>17</v>
      </c>
      <c r="H1205" t="s">
        <v>97</v>
      </c>
      <c r="I1205" t="s">
        <v>9</v>
      </c>
      <c r="J1205" t="s">
        <v>10</v>
      </c>
      <c r="K1205" t="s">
        <v>26</v>
      </c>
      <c r="L1205" t="s">
        <v>53</v>
      </c>
      <c r="M1205" t="s">
        <v>35</v>
      </c>
      <c r="N1205" t="s">
        <v>23</v>
      </c>
      <c r="O1205" t="s">
        <v>18</v>
      </c>
      <c r="P1205">
        <v>3</v>
      </c>
    </row>
    <row r="1206" spans="1:16" x14ac:dyDescent="0.3">
      <c r="A1206">
        <v>1720</v>
      </c>
      <c r="B1206">
        <v>45097</v>
      </c>
      <c r="C1206">
        <v>58</v>
      </c>
      <c r="D1206">
        <v>23809</v>
      </c>
      <c r="E1206" t="s">
        <v>14</v>
      </c>
      <c r="F1206" t="s">
        <v>22</v>
      </c>
      <c r="G1206" t="s">
        <v>31</v>
      </c>
      <c r="H1206" t="s">
        <v>89</v>
      </c>
      <c r="I1206" t="s">
        <v>9</v>
      </c>
      <c r="J1206" t="s">
        <v>20</v>
      </c>
      <c r="K1206" t="s">
        <v>11</v>
      </c>
      <c r="L1206" t="s">
        <v>53</v>
      </c>
      <c r="M1206" t="s">
        <v>35</v>
      </c>
      <c r="N1206" t="s">
        <v>30</v>
      </c>
      <c r="O1206" t="s">
        <v>18</v>
      </c>
      <c r="P1206">
        <v>3</v>
      </c>
    </row>
    <row r="1207" spans="1:16" x14ac:dyDescent="0.3">
      <c r="A1207">
        <v>1721</v>
      </c>
      <c r="B1207">
        <v>43730</v>
      </c>
      <c r="C1207">
        <v>21</v>
      </c>
      <c r="D1207">
        <v>36124</v>
      </c>
      <c r="E1207" t="s">
        <v>14</v>
      </c>
      <c r="F1207" t="s">
        <v>22</v>
      </c>
      <c r="G1207" t="s">
        <v>40</v>
      </c>
      <c r="H1207" t="s">
        <v>89</v>
      </c>
      <c r="I1207" t="s">
        <v>9</v>
      </c>
      <c r="J1207" t="s">
        <v>25</v>
      </c>
      <c r="K1207" t="s">
        <v>26</v>
      </c>
      <c r="L1207" t="s">
        <v>53</v>
      </c>
      <c r="M1207" t="s">
        <v>13</v>
      </c>
      <c r="N1207" t="s">
        <v>16</v>
      </c>
      <c r="O1207" t="s">
        <v>18</v>
      </c>
      <c r="P1207">
        <v>4</v>
      </c>
    </row>
    <row r="1208" spans="1:16" x14ac:dyDescent="0.3">
      <c r="A1208">
        <v>1722</v>
      </c>
      <c r="B1208">
        <v>44614</v>
      </c>
      <c r="C1208">
        <v>54</v>
      </c>
      <c r="D1208">
        <v>24867</v>
      </c>
      <c r="E1208" t="s">
        <v>14</v>
      </c>
      <c r="F1208" t="s">
        <v>15</v>
      </c>
      <c r="G1208" t="s">
        <v>40</v>
      </c>
      <c r="H1208" t="s">
        <v>89</v>
      </c>
      <c r="I1208" t="s">
        <v>9</v>
      </c>
      <c r="J1208" t="s">
        <v>25</v>
      </c>
      <c r="K1208" t="s">
        <v>26</v>
      </c>
      <c r="L1208" t="s">
        <v>53</v>
      </c>
      <c r="M1208" t="s">
        <v>61</v>
      </c>
      <c r="N1208" t="s">
        <v>23</v>
      </c>
      <c r="O1208" t="s">
        <v>18</v>
      </c>
      <c r="P1208">
        <v>2</v>
      </c>
    </row>
    <row r="1209" spans="1:16" x14ac:dyDescent="0.3">
      <c r="A1209">
        <v>1723</v>
      </c>
      <c r="B1209">
        <v>44013</v>
      </c>
      <c r="C1209">
        <v>51</v>
      </c>
      <c r="D1209">
        <v>25300</v>
      </c>
      <c r="E1209" t="s">
        <v>14</v>
      </c>
      <c r="F1209" t="s">
        <v>15</v>
      </c>
      <c r="G1209" t="s">
        <v>17</v>
      </c>
      <c r="H1209" t="s">
        <v>98</v>
      </c>
      <c r="I1209" t="s">
        <v>9</v>
      </c>
      <c r="J1209" t="s">
        <v>25</v>
      </c>
      <c r="K1209" t="s">
        <v>26</v>
      </c>
      <c r="L1209" t="s">
        <v>27</v>
      </c>
      <c r="M1209" t="s">
        <v>38</v>
      </c>
      <c r="N1209" t="s">
        <v>37</v>
      </c>
      <c r="O1209" t="s">
        <v>18</v>
      </c>
      <c r="P1209">
        <v>1</v>
      </c>
    </row>
    <row r="1210" spans="1:16" x14ac:dyDescent="0.3">
      <c r="A1210">
        <v>1724</v>
      </c>
      <c r="B1210">
        <v>44329</v>
      </c>
      <c r="C1210">
        <v>64</v>
      </c>
      <c r="D1210">
        <v>21113</v>
      </c>
      <c r="E1210" t="s">
        <v>14</v>
      </c>
      <c r="F1210" t="s">
        <v>15</v>
      </c>
      <c r="G1210" t="s">
        <v>40</v>
      </c>
      <c r="H1210" t="s">
        <v>82</v>
      </c>
      <c r="I1210" t="s">
        <v>9</v>
      </c>
      <c r="J1210" t="s">
        <v>20</v>
      </c>
      <c r="K1210" t="s">
        <v>11</v>
      </c>
      <c r="L1210" t="s">
        <v>53</v>
      </c>
      <c r="M1210" t="s">
        <v>63</v>
      </c>
      <c r="N1210" t="s">
        <v>30</v>
      </c>
      <c r="O1210" t="s">
        <v>18</v>
      </c>
      <c r="P1210">
        <v>2</v>
      </c>
    </row>
    <row r="1211" spans="1:16" x14ac:dyDescent="0.3">
      <c r="A1211">
        <v>1725</v>
      </c>
      <c r="B1211">
        <v>44346</v>
      </c>
      <c r="C1211">
        <v>74</v>
      </c>
      <c r="D1211">
        <v>17439</v>
      </c>
      <c r="E1211" t="s">
        <v>14</v>
      </c>
      <c r="F1211" t="s">
        <v>22</v>
      </c>
      <c r="G1211" t="s">
        <v>40</v>
      </c>
      <c r="H1211" t="s">
        <v>97</v>
      </c>
      <c r="I1211" t="s">
        <v>9</v>
      </c>
      <c r="J1211" t="s">
        <v>10</v>
      </c>
      <c r="K1211" t="s">
        <v>19</v>
      </c>
      <c r="L1211" t="s">
        <v>53</v>
      </c>
      <c r="M1211" t="s">
        <v>35</v>
      </c>
      <c r="N1211" t="s">
        <v>37</v>
      </c>
      <c r="O1211" t="s">
        <v>18</v>
      </c>
      <c r="P1211">
        <v>4</v>
      </c>
    </row>
    <row r="1212" spans="1:16" x14ac:dyDescent="0.3">
      <c r="A1212">
        <v>1726</v>
      </c>
      <c r="B1212">
        <v>43650</v>
      </c>
      <c r="C1212">
        <v>38</v>
      </c>
      <c r="D1212">
        <v>29607</v>
      </c>
      <c r="E1212" t="s">
        <v>14</v>
      </c>
      <c r="F1212" t="s">
        <v>22</v>
      </c>
      <c r="G1212" t="s">
        <v>31</v>
      </c>
      <c r="H1212" t="s">
        <v>97</v>
      </c>
      <c r="I1212" t="s">
        <v>9</v>
      </c>
      <c r="J1212" t="s">
        <v>10</v>
      </c>
      <c r="K1212" t="s">
        <v>26</v>
      </c>
      <c r="L1212" t="s">
        <v>53</v>
      </c>
      <c r="M1212" t="s">
        <v>59</v>
      </c>
      <c r="N1212" t="s">
        <v>46</v>
      </c>
      <c r="O1212" t="s">
        <v>18</v>
      </c>
      <c r="P1212">
        <v>5</v>
      </c>
    </row>
    <row r="1213" spans="1:16" x14ac:dyDescent="0.3">
      <c r="A1213">
        <v>1727</v>
      </c>
      <c r="B1213">
        <v>43616</v>
      </c>
      <c r="C1213">
        <v>23</v>
      </c>
      <c r="D1213">
        <v>35111</v>
      </c>
      <c r="E1213" t="s">
        <v>14</v>
      </c>
      <c r="F1213" t="s">
        <v>22</v>
      </c>
      <c r="G1213" t="s">
        <v>17</v>
      </c>
      <c r="H1213" t="s">
        <v>97</v>
      </c>
      <c r="I1213" t="s">
        <v>9</v>
      </c>
      <c r="J1213" t="s">
        <v>25</v>
      </c>
      <c r="K1213" t="s">
        <v>26</v>
      </c>
      <c r="L1213" t="s">
        <v>53</v>
      </c>
      <c r="M1213" t="s">
        <v>32</v>
      </c>
      <c r="N1213" t="s">
        <v>23</v>
      </c>
      <c r="O1213" t="s">
        <v>18</v>
      </c>
      <c r="P1213">
        <v>2</v>
      </c>
    </row>
    <row r="1214" spans="1:16" x14ac:dyDescent="0.3">
      <c r="A1214">
        <v>1728</v>
      </c>
      <c r="B1214">
        <v>43903</v>
      </c>
      <c r="C1214">
        <v>48</v>
      </c>
      <c r="D1214">
        <v>26309</v>
      </c>
      <c r="E1214" t="s">
        <v>14</v>
      </c>
      <c r="F1214" t="s">
        <v>22</v>
      </c>
      <c r="G1214" t="s">
        <v>40</v>
      </c>
      <c r="H1214" t="s">
        <v>8</v>
      </c>
      <c r="I1214" t="s">
        <v>9</v>
      </c>
      <c r="J1214" t="s">
        <v>25</v>
      </c>
      <c r="K1214" t="s">
        <v>11</v>
      </c>
      <c r="L1214" t="s">
        <v>12</v>
      </c>
      <c r="M1214" t="s">
        <v>32</v>
      </c>
      <c r="N1214" t="s">
        <v>16</v>
      </c>
      <c r="O1214" t="s">
        <v>18</v>
      </c>
      <c r="P1214">
        <v>4</v>
      </c>
    </row>
    <row r="1215" spans="1:16" x14ac:dyDescent="0.3">
      <c r="A1215">
        <v>1729</v>
      </c>
      <c r="B1215">
        <v>43836</v>
      </c>
      <c r="C1215">
        <v>74</v>
      </c>
      <c r="D1215">
        <v>17166</v>
      </c>
      <c r="E1215" t="s">
        <v>14</v>
      </c>
      <c r="F1215" t="s">
        <v>15</v>
      </c>
      <c r="G1215" t="s">
        <v>40</v>
      </c>
      <c r="H1215" t="s">
        <v>8</v>
      </c>
      <c r="I1215" t="s">
        <v>66</v>
      </c>
      <c r="J1215" t="s">
        <v>10</v>
      </c>
      <c r="K1215" t="s">
        <v>19</v>
      </c>
      <c r="L1215" t="s">
        <v>12</v>
      </c>
      <c r="M1215" t="s">
        <v>32</v>
      </c>
      <c r="N1215" t="s">
        <v>30</v>
      </c>
      <c r="O1215" t="s">
        <v>18</v>
      </c>
      <c r="P1215">
        <v>1</v>
      </c>
    </row>
    <row r="1216" spans="1:16" x14ac:dyDescent="0.3">
      <c r="A1216">
        <v>1730</v>
      </c>
      <c r="B1216">
        <v>45046</v>
      </c>
      <c r="C1216">
        <v>47</v>
      </c>
      <c r="D1216">
        <v>27921</v>
      </c>
      <c r="E1216" t="s">
        <v>14</v>
      </c>
      <c r="F1216" t="s">
        <v>15</v>
      </c>
      <c r="G1216" t="s">
        <v>40</v>
      </c>
      <c r="H1216" t="s">
        <v>8</v>
      </c>
      <c r="I1216" t="s">
        <v>9</v>
      </c>
      <c r="J1216" t="s">
        <v>25</v>
      </c>
      <c r="K1216" t="s">
        <v>26</v>
      </c>
      <c r="L1216" t="s">
        <v>12</v>
      </c>
      <c r="M1216" t="s">
        <v>38</v>
      </c>
      <c r="N1216" t="s">
        <v>16</v>
      </c>
      <c r="O1216" t="s">
        <v>18</v>
      </c>
      <c r="P1216">
        <v>4</v>
      </c>
    </row>
    <row r="1217" spans="1:16" x14ac:dyDescent="0.3">
      <c r="A1217">
        <v>1731</v>
      </c>
      <c r="B1217">
        <v>44388</v>
      </c>
      <c r="C1217">
        <v>74</v>
      </c>
      <c r="D1217">
        <v>17248</v>
      </c>
      <c r="E1217" t="s">
        <v>14</v>
      </c>
      <c r="F1217" t="s">
        <v>22</v>
      </c>
      <c r="G1217" t="s">
        <v>40</v>
      </c>
      <c r="H1217" t="s">
        <v>64</v>
      </c>
      <c r="I1217" t="s">
        <v>9</v>
      </c>
      <c r="J1217" t="s">
        <v>10</v>
      </c>
      <c r="K1217" t="s">
        <v>26</v>
      </c>
      <c r="L1217" t="s">
        <v>12</v>
      </c>
      <c r="M1217" t="s">
        <v>42</v>
      </c>
      <c r="N1217" t="s">
        <v>37</v>
      </c>
      <c r="O1217" t="s">
        <v>18</v>
      </c>
      <c r="P1217">
        <v>4</v>
      </c>
    </row>
    <row r="1218" spans="1:16" x14ac:dyDescent="0.3">
      <c r="A1218">
        <v>1732</v>
      </c>
      <c r="B1218">
        <v>44379</v>
      </c>
      <c r="C1218">
        <v>60</v>
      </c>
      <c r="D1218">
        <v>22384</v>
      </c>
      <c r="E1218" t="s">
        <v>14</v>
      </c>
      <c r="F1218" t="s">
        <v>15</v>
      </c>
      <c r="G1218" t="s">
        <v>17</v>
      </c>
      <c r="H1218" t="s">
        <v>64</v>
      </c>
      <c r="I1218" t="s">
        <v>66</v>
      </c>
      <c r="J1218" t="s">
        <v>10</v>
      </c>
      <c r="K1218" t="s">
        <v>26</v>
      </c>
      <c r="L1218" t="s">
        <v>12</v>
      </c>
      <c r="M1218" t="s">
        <v>55</v>
      </c>
      <c r="N1218" t="s">
        <v>23</v>
      </c>
      <c r="O1218" t="s">
        <v>18</v>
      </c>
      <c r="P1218">
        <v>5</v>
      </c>
    </row>
    <row r="1219" spans="1:16" x14ac:dyDescent="0.3">
      <c r="A1219">
        <v>1733</v>
      </c>
      <c r="B1219">
        <v>43761</v>
      </c>
      <c r="C1219">
        <v>69</v>
      </c>
      <c r="D1219">
        <v>18309</v>
      </c>
      <c r="E1219" t="s">
        <v>14</v>
      </c>
      <c r="F1219" t="s">
        <v>15</v>
      </c>
      <c r="G1219" t="s">
        <v>34</v>
      </c>
      <c r="H1219" t="s">
        <v>8</v>
      </c>
      <c r="I1219" t="s">
        <v>9</v>
      </c>
      <c r="J1219" t="s">
        <v>25</v>
      </c>
      <c r="K1219" t="s">
        <v>19</v>
      </c>
      <c r="L1219" t="s">
        <v>12</v>
      </c>
      <c r="M1219" t="s">
        <v>35</v>
      </c>
      <c r="N1219" t="s">
        <v>37</v>
      </c>
      <c r="O1219" t="s">
        <v>18</v>
      </c>
      <c r="P1219">
        <v>5</v>
      </c>
    </row>
    <row r="1220" spans="1:16" x14ac:dyDescent="0.3">
      <c r="A1220">
        <v>1734</v>
      </c>
      <c r="B1220">
        <v>43484</v>
      </c>
      <c r="C1220">
        <v>77</v>
      </c>
      <c r="D1220">
        <v>15514</v>
      </c>
      <c r="E1220" t="s">
        <v>14</v>
      </c>
      <c r="F1220" t="s">
        <v>22</v>
      </c>
      <c r="G1220" t="s">
        <v>17</v>
      </c>
      <c r="H1220" t="s">
        <v>8</v>
      </c>
      <c r="I1220" t="s">
        <v>9</v>
      </c>
      <c r="J1220" t="s">
        <v>10</v>
      </c>
      <c r="K1220" t="s">
        <v>11</v>
      </c>
      <c r="L1220" t="s">
        <v>12</v>
      </c>
      <c r="M1220" t="s">
        <v>35</v>
      </c>
      <c r="N1220" t="s">
        <v>16</v>
      </c>
      <c r="O1220" t="s">
        <v>18</v>
      </c>
      <c r="P1220">
        <v>1</v>
      </c>
    </row>
    <row r="1221" spans="1:16" x14ac:dyDescent="0.3">
      <c r="A1221">
        <v>1735</v>
      </c>
      <c r="B1221">
        <v>44204</v>
      </c>
      <c r="C1221">
        <v>79</v>
      </c>
      <c r="D1221">
        <v>15439</v>
      </c>
      <c r="E1221" t="s">
        <v>14</v>
      </c>
      <c r="F1221" t="s">
        <v>15</v>
      </c>
      <c r="G1221" t="s">
        <v>40</v>
      </c>
      <c r="H1221" t="s">
        <v>8</v>
      </c>
      <c r="I1221" t="s">
        <v>66</v>
      </c>
      <c r="J1221" t="s">
        <v>25</v>
      </c>
      <c r="K1221" t="s">
        <v>19</v>
      </c>
      <c r="L1221" t="s">
        <v>12</v>
      </c>
      <c r="M1221" t="s">
        <v>58</v>
      </c>
      <c r="N1221" t="s">
        <v>16</v>
      </c>
      <c r="O1221" t="s">
        <v>18</v>
      </c>
      <c r="P1221">
        <v>4</v>
      </c>
    </row>
    <row r="1222" spans="1:16" x14ac:dyDescent="0.3">
      <c r="A1222">
        <v>1736</v>
      </c>
      <c r="B1222">
        <v>43494</v>
      </c>
      <c r="C1222">
        <v>64</v>
      </c>
      <c r="D1222">
        <v>20326</v>
      </c>
      <c r="E1222" t="s">
        <v>14</v>
      </c>
      <c r="F1222" t="s">
        <v>22</v>
      </c>
      <c r="G1222" t="s">
        <v>34</v>
      </c>
      <c r="H1222" t="s">
        <v>8</v>
      </c>
      <c r="I1222" t="s">
        <v>9</v>
      </c>
      <c r="J1222" t="s">
        <v>10</v>
      </c>
      <c r="K1222" t="s">
        <v>19</v>
      </c>
      <c r="L1222" t="s">
        <v>12</v>
      </c>
      <c r="M1222" t="s">
        <v>35</v>
      </c>
      <c r="N1222" t="s">
        <v>30</v>
      </c>
      <c r="O1222" t="s">
        <v>18</v>
      </c>
      <c r="P1222">
        <v>1</v>
      </c>
    </row>
    <row r="1223" spans="1:16" x14ac:dyDescent="0.3">
      <c r="A1223">
        <v>1737</v>
      </c>
      <c r="B1223">
        <v>43400</v>
      </c>
      <c r="C1223">
        <v>35</v>
      </c>
      <c r="D1223">
        <v>30373</v>
      </c>
      <c r="E1223" t="s">
        <v>14</v>
      </c>
      <c r="F1223" t="s">
        <v>15</v>
      </c>
      <c r="G1223" t="s">
        <v>17</v>
      </c>
      <c r="H1223" t="s">
        <v>8</v>
      </c>
      <c r="I1223" t="s">
        <v>9</v>
      </c>
      <c r="J1223" t="s">
        <v>10</v>
      </c>
      <c r="K1223" t="s">
        <v>11</v>
      </c>
      <c r="L1223" t="s">
        <v>12</v>
      </c>
      <c r="M1223" t="s">
        <v>38</v>
      </c>
      <c r="N1223" t="s">
        <v>23</v>
      </c>
      <c r="O1223" t="s">
        <v>18</v>
      </c>
      <c r="P1223">
        <v>5</v>
      </c>
    </row>
    <row r="1224" spans="1:16" x14ac:dyDescent="0.3">
      <c r="A1224">
        <v>1738</v>
      </c>
      <c r="B1224">
        <v>45076</v>
      </c>
      <c r="C1224">
        <v>40</v>
      </c>
      <c r="D1224">
        <v>30637</v>
      </c>
      <c r="E1224" t="s">
        <v>14</v>
      </c>
      <c r="F1224" t="s">
        <v>22</v>
      </c>
      <c r="G1224" t="s">
        <v>31</v>
      </c>
      <c r="H1224" t="s">
        <v>64</v>
      </c>
      <c r="I1224" t="s">
        <v>66</v>
      </c>
      <c r="J1224" t="s">
        <v>10</v>
      </c>
      <c r="K1224" t="s">
        <v>19</v>
      </c>
      <c r="L1224" t="s">
        <v>12</v>
      </c>
      <c r="M1224" t="s">
        <v>38</v>
      </c>
      <c r="N1224" t="s">
        <v>16</v>
      </c>
      <c r="O1224" t="s">
        <v>18</v>
      </c>
      <c r="P1224">
        <v>1</v>
      </c>
    </row>
    <row r="1225" spans="1:16" x14ac:dyDescent="0.3">
      <c r="A1225">
        <v>1739</v>
      </c>
      <c r="B1225">
        <v>43661</v>
      </c>
      <c r="C1225">
        <v>37</v>
      </c>
      <c r="D1225">
        <v>29962</v>
      </c>
      <c r="E1225" t="s">
        <v>14</v>
      </c>
      <c r="F1225" t="s">
        <v>15</v>
      </c>
      <c r="G1225" t="s">
        <v>34</v>
      </c>
      <c r="H1225" t="s">
        <v>64</v>
      </c>
      <c r="I1225" t="s">
        <v>9</v>
      </c>
      <c r="J1225" t="s">
        <v>10</v>
      </c>
      <c r="K1225" t="s">
        <v>26</v>
      </c>
      <c r="L1225" t="s">
        <v>12</v>
      </c>
      <c r="M1225" t="s">
        <v>21</v>
      </c>
      <c r="N1225" t="s">
        <v>23</v>
      </c>
      <c r="O1225" t="s">
        <v>18</v>
      </c>
      <c r="P1225">
        <v>5</v>
      </c>
    </row>
    <row r="1226" spans="1:16" x14ac:dyDescent="0.3">
      <c r="A1226">
        <v>1740</v>
      </c>
      <c r="B1226">
        <v>43907</v>
      </c>
      <c r="C1226">
        <v>57</v>
      </c>
      <c r="D1226">
        <v>23104</v>
      </c>
      <c r="E1226" t="s">
        <v>14</v>
      </c>
      <c r="F1226" t="s">
        <v>15</v>
      </c>
      <c r="G1226" t="s">
        <v>34</v>
      </c>
      <c r="H1226" t="s">
        <v>8</v>
      </c>
      <c r="I1226" t="s">
        <v>9</v>
      </c>
      <c r="J1226" t="s">
        <v>10</v>
      </c>
      <c r="K1226" t="s">
        <v>26</v>
      </c>
      <c r="L1226" t="s">
        <v>12</v>
      </c>
      <c r="M1226" t="s">
        <v>32</v>
      </c>
      <c r="N1226" t="s">
        <v>30</v>
      </c>
      <c r="O1226" t="s">
        <v>18</v>
      </c>
      <c r="P1226">
        <v>4</v>
      </c>
    </row>
    <row r="1227" spans="1:16" x14ac:dyDescent="0.3">
      <c r="A1227">
        <v>1741</v>
      </c>
      <c r="B1227">
        <v>44820</v>
      </c>
      <c r="C1227">
        <v>41</v>
      </c>
      <c r="D1227">
        <v>29597</v>
      </c>
      <c r="E1227" t="s">
        <v>14</v>
      </c>
      <c r="F1227" t="s">
        <v>15</v>
      </c>
      <c r="G1227" t="s">
        <v>31</v>
      </c>
      <c r="H1227" t="s">
        <v>8</v>
      </c>
      <c r="I1227" t="s">
        <v>9</v>
      </c>
      <c r="J1227" t="s">
        <v>10</v>
      </c>
      <c r="K1227" t="s">
        <v>19</v>
      </c>
      <c r="L1227" t="s">
        <v>12</v>
      </c>
      <c r="M1227" t="s">
        <v>38</v>
      </c>
      <c r="N1227" t="s">
        <v>46</v>
      </c>
      <c r="O1227" t="s">
        <v>18</v>
      </c>
      <c r="P1227">
        <v>4</v>
      </c>
    </row>
    <row r="1228" spans="1:16" x14ac:dyDescent="0.3">
      <c r="A1228">
        <v>1742</v>
      </c>
      <c r="B1228">
        <v>44200</v>
      </c>
      <c r="C1228">
        <v>50</v>
      </c>
      <c r="D1228">
        <v>25994</v>
      </c>
      <c r="E1228" t="s">
        <v>14</v>
      </c>
      <c r="F1228" t="s">
        <v>15</v>
      </c>
      <c r="G1228" t="s">
        <v>40</v>
      </c>
      <c r="H1228" t="s">
        <v>8</v>
      </c>
      <c r="I1228" t="s">
        <v>9</v>
      </c>
      <c r="J1228" t="s">
        <v>20</v>
      </c>
      <c r="K1228" t="s">
        <v>26</v>
      </c>
      <c r="L1228" t="s">
        <v>12</v>
      </c>
      <c r="M1228" t="s">
        <v>59</v>
      </c>
      <c r="N1228" t="s">
        <v>46</v>
      </c>
      <c r="O1228" t="s">
        <v>18</v>
      </c>
      <c r="P1228">
        <v>5</v>
      </c>
    </row>
    <row r="1229" spans="1:16" x14ac:dyDescent="0.3">
      <c r="A1229">
        <v>1743</v>
      </c>
      <c r="B1229">
        <v>43434</v>
      </c>
      <c r="C1229">
        <v>17</v>
      </c>
      <c r="D1229">
        <v>37045</v>
      </c>
      <c r="E1229" t="s">
        <v>14</v>
      </c>
      <c r="F1229" t="s">
        <v>22</v>
      </c>
      <c r="G1229" t="s">
        <v>31</v>
      </c>
      <c r="H1229" t="s">
        <v>8</v>
      </c>
      <c r="I1229" t="s">
        <v>9</v>
      </c>
      <c r="J1229" t="s">
        <v>25</v>
      </c>
      <c r="K1229" t="s">
        <v>11</v>
      </c>
      <c r="L1229" t="s">
        <v>12</v>
      </c>
      <c r="M1229" t="s">
        <v>49</v>
      </c>
      <c r="N1229" t="s">
        <v>37</v>
      </c>
      <c r="O1229" t="s">
        <v>18</v>
      </c>
      <c r="P1229">
        <v>1</v>
      </c>
    </row>
    <row r="1230" spans="1:16" x14ac:dyDescent="0.3">
      <c r="A1230">
        <v>1744</v>
      </c>
      <c r="B1230">
        <v>44766</v>
      </c>
      <c r="C1230">
        <v>75</v>
      </c>
      <c r="D1230">
        <v>17292</v>
      </c>
      <c r="E1230" t="s">
        <v>14</v>
      </c>
      <c r="F1230" t="s">
        <v>15</v>
      </c>
      <c r="G1230" t="s">
        <v>34</v>
      </c>
      <c r="H1230" t="s">
        <v>8</v>
      </c>
      <c r="I1230" t="s">
        <v>9</v>
      </c>
      <c r="J1230" t="s">
        <v>25</v>
      </c>
      <c r="K1230" t="s">
        <v>11</v>
      </c>
      <c r="L1230" t="s">
        <v>12</v>
      </c>
      <c r="M1230" t="s">
        <v>35</v>
      </c>
      <c r="N1230" t="s">
        <v>23</v>
      </c>
      <c r="O1230" t="s">
        <v>18</v>
      </c>
      <c r="P1230">
        <v>1</v>
      </c>
    </row>
    <row r="1231" spans="1:16" x14ac:dyDescent="0.3">
      <c r="A1231">
        <v>1745</v>
      </c>
      <c r="B1231">
        <v>44597</v>
      </c>
      <c r="C1231">
        <v>33</v>
      </c>
      <c r="D1231">
        <v>32777</v>
      </c>
      <c r="E1231" t="s">
        <v>14</v>
      </c>
      <c r="F1231" t="s">
        <v>15</v>
      </c>
      <c r="G1231" t="s">
        <v>17</v>
      </c>
      <c r="H1231" t="s">
        <v>64</v>
      </c>
      <c r="I1231" t="s">
        <v>9</v>
      </c>
      <c r="J1231" t="s">
        <v>10</v>
      </c>
      <c r="K1231" t="s">
        <v>11</v>
      </c>
      <c r="L1231" t="s">
        <v>12</v>
      </c>
      <c r="M1231" t="s">
        <v>21</v>
      </c>
      <c r="N1231" t="s">
        <v>30</v>
      </c>
      <c r="O1231" t="s">
        <v>18</v>
      </c>
      <c r="P1231">
        <v>4</v>
      </c>
    </row>
    <row r="1232" spans="1:16" x14ac:dyDescent="0.3">
      <c r="A1232">
        <v>1746</v>
      </c>
      <c r="B1232">
        <v>43944</v>
      </c>
      <c r="C1232">
        <v>58</v>
      </c>
      <c r="D1232">
        <v>22742</v>
      </c>
      <c r="E1232" t="s">
        <v>14</v>
      </c>
      <c r="F1232" t="s">
        <v>22</v>
      </c>
      <c r="G1232" t="s">
        <v>17</v>
      </c>
      <c r="H1232" t="s">
        <v>8</v>
      </c>
      <c r="I1232" t="s">
        <v>9</v>
      </c>
      <c r="J1232" t="s">
        <v>25</v>
      </c>
      <c r="K1232" t="s">
        <v>19</v>
      </c>
      <c r="L1232" t="s">
        <v>12</v>
      </c>
      <c r="M1232" t="s">
        <v>28</v>
      </c>
      <c r="N1232" t="s">
        <v>23</v>
      </c>
      <c r="O1232" t="s">
        <v>18</v>
      </c>
      <c r="P1232">
        <v>3</v>
      </c>
    </row>
    <row r="1233" spans="1:16" x14ac:dyDescent="0.3">
      <c r="A1233">
        <v>1748</v>
      </c>
      <c r="B1233">
        <v>44574</v>
      </c>
      <c r="C1233">
        <v>49</v>
      </c>
      <c r="D1233">
        <v>26673</v>
      </c>
      <c r="E1233" t="s">
        <v>14</v>
      </c>
      <c r="F1233" t="s">
        <v>15</v>
      </c>
      <c r="G1233" t="s">
        <v>17</v>
      </c>
      <c r="H1233" t="s">
        <v>8</v>
      </c>
      <c r="I1233" t="s">
        <v>9</v>
      </c>
      <c r="J1233" t="s">
        <v>20</v>
      </c>
      <c r="K1233" t="s">
        <v>19</v>
      </c>
      <c r="L1233" t="s">
        <v>12</v>
      </c>
      <c r="M1233" t="s">
        <v>69</v>
      </c>
      <c r="N1233" t="s">
        <v>16</v>
      </c>
      <c r="O1233" t="s">
        <v>18</v>
      </c>
      <c r="P1233">
        <v>2</v>
      </c>
    </row>
    <row r="1234" spans="1:16" x14ac:dyDescent="0.3">
      <c r="A1234">
        <v>1749</v>
      </c>
      <c r="B1234">
        <v>44161</v>
      </c>
      <c r="C1234">
        <v>56</v>
      </c>
      <c r="D1234">
        <v>23410</v>
      </c>
      <c r="E1234" t="s">
        <v>14</v>
      </c>
      <c r="F1234" t="s">
        <v>15</v>
      </c>
      <c r="G1234" t="s">
        <v>40</v>
      </c>
      <c r="H1234" t="s">
        <v>8</v>
      </c>
      <c r="I1234" t="s">
        <v>9</v>
      </c>
      <c r="J1234" t="s">
        <v>10</v>
      </c>
      <c r="K1234" t="s">
        <v>26</v>
      </c>
      <c r="L1234" t="s">
        <v>12</v>
      </c>
      <c r="M1234" t="s">
        <v>35</v>
      </c>
      <c r="N1234" t="s">
        <v>23</v>
      </c>
      <c r="O1234" t="s">
        <v>18</v>
      </c>
      <c r="P1234">
        <v>4</v>
      </c>
    </row>
    <row r="1235" spans="1:16" x14ac:dyDescent="0.3">
      <c r="A1235">
        <v>1750</v>
      </c>
      <c r="B1235">
        <v>43441</v>
      </c>
      <c r="C1235">
        <v>41</v>
      </c>
      <c r="D1235">
        <v>28226</v>
      </c>
      <c r="E1235" t="s">
        <v>14</v>
      </c>
      <c r="F1235" t="s">
        <v>15</v>
      </c>
      <c r="G1235" t="s">
        <v>17</v>
      </c>
      <c r="H1235" t="s">
        <v>8</v>
      </c>
      <c r="I1235" t="s">
        <v>9</v>
      </c>
      <c r="J1235" t="s">
        <v>25</v>
      </c>
      <c r="K1235" t="s">
        <v>11</v>
      </c>
      <c r="L1235" t="s">
        <v>12</v>
      </c>
      <c r="M1235" t="s">
        <v>35</v>
      </c>
      <c r="N1235" t="s">
        <v>30</v>
      </c>
      <c r="O1235" t="s">
        <v>18</v>
      </c>
      <c r="P1235">
        <v>2</v>
      </c>
    </row>
    <row r="1236" spans="1:16" x14ac:dyDescent="0.3">
      <c r="A1236">
        <v>1751</v>
      </c>
      <c r="B1236">
        <v>45035</v>
      </c>
      <c r="C1236">
        <v>22</v>
      </c>
      <c r="D1236">
        <v>37040</v>
      </c>
      <c r="E1236" t="s">
        <v>14</v>
      </c>
      <c r="F1236" t="s">
        <v>15</v>
      </c>
      <c r="G1236" t="s">
        <v>17</v>
      </c>
      <c r="H1236" t="s">
        <v>8</v>
      </c>
      <c r="I1236" t="s">
        <v>9</v>
      </c>
      <c r="J1236" t="s">
        <v>10</v>
      </c>
      <c r="K1236" t="s">
        <v>11</v>
      </c>
      <c r="L1236" t="s">
        <v>12</v>
      </c>
      <c r="M1236" t="s">
        <v>32</v>
      </c>
      <c r="N1236" t="s">
        <v>23</v>
      </c>
      <c r="O1236" t="s">
        <v>18</v>
      </c>
      <c r="P1236">
        <v>4</v>
      </c>
    </row>
    <row r="1237" spans="1:16" x14ac:dyDescent="0.3">
      <c r="A1237">
        <v>1752</v>
      </c>
      <c r="B1237">
        <v>44625</v>
      </c>
      <c r="C1237">
        <v>40</v>
      </c>
      <c r="D1237">
        <v>30259</v>
      </c>
      <c r="E1237" t="s">
        <v>14</v>
      </c>
      <c r="F1237" t="s">
        <v>22</v>
      </c>
      <c r="G1237" t="s">
        <v>31</v>
      </c>
      <c r="H1237" t="s">
        <v>8</v>
      </c>
      <c r="I1237" t="s">
        <v>9</v>
      </c>
      <c r="J1237" t="s">
        <v>20</v>
      </c>
      <c r="K1237" t="s">
        <v>26</v>
      </c>
      <c r="L1237" t="s">
        <v>12</v>
      </c>
      <c r="M1237" t="s">
        <v>32</v>
      </c>
      <c r="N1237" t="s">
        <v>16</v>
      </c>
      <c r="O1237" t="s">
        <v>18</v>
      </c>
      <c r="P1237">
        <v>1</v>
      </c>
    </row>
    <row r="1238" spans="1:16" x14ac:dyDescent="0.3">
      <c r="A1238">
        <v>1753</v>
      </c>
      <c r="B1238">
        <v>43636</v>
      </c>
      <c r="C1238">
        <v>76</v>
      </c>
      <c r="D1238">
        <v>15772</v>
      </c>
      <c r="E1238" t="s">
        <v>14</v>
      </c>
      <c r="F1238" t="s">
        <v>22</v>
      </c>
      <c r="G1238" t="s">
        <v>40</v>
      </c>
      <c r="H1238" t="s">
        <v>8</v>
      </c>
      <c r="I1238" t="s">
        <v>9</v>
      </c>
      <c r="J1238" t="s">
        <v>10</v>
      </c>
      <c r="K1238" t="s">
        <v>11</v>
      </c>
      <c r="L1238" t="s">
        <v>12</v>
      </c>
      <c r="M1238" t="s">
        <v>35</v>
      </c>
      <c r="N1238" t="s">
        <v>37</v>
      </c>
      <c r="O1238" t="s">
        <v>18</v>
      </c>
      <c r="P1238">
        <v>3</v>
      </c>
    </row>
    <row r="1239" spans="1:16" x14ac:dyDescent="0.3">
      <c r="A1239">
        <v>1754</v>
      </c>
      <c r="B1239">
        <v>44817</v>
      </c>
      <c r="C1239">
        <v>31</v>
      </c>
      <c r="D1239">
        <v>33560</v>
      </c>
      <c r="E1239" t="s">
        <v>14</v>
      </c>
      <c r="F1239" t="s">
        <v>22</v>
      </c>
      <c r="G1239" t="s">
        <v>31</v>
      </c>
      <c r="H1239" t="s">
        <v>8</v>
      </c>
      <c r="I1239" t="s">
        <v>9</v>
      </c>
      <c r="J1239" t="s">
        <v>20</v>
      </c>
      <c r="K1239" t="s">
        <v>11</v>
      </c>
      <c r="L1239" t="s">
        <v>12</v>
      </c>
      <c r="M1239" t="s">
        <v>54</v>
      </c>
      <c r="N1239" t="s">
        <v>46</v>
      </c>
      <c r="O1239" t="s">
        <v>18</v>
      </c>
      <c r="P1239">
        <v>5</v>
      </c>
    </row>
    <row r="1240" spans="1:16" x14ac:dyDescent="0.3">
      <c r="A1240">
        <v>1755</v>
      </c>
      <c r="B1240">
        <v>43467</v>
      </c>
      <c r="C1240">
        <v>25</v>
      </c>
      <c r="D1240">
        <v>34612</v>
      </c>
      <c r="E1240" t="s">
        <v>14</v>
      </c>
      <c r="F1240" t="s">
        <v>22</v>
      </c>
      <c r="G1240" t="s">
        <v>17</v>
      </c>
      <c r="H1240" t="s">
        <v>8</v>
      </c>
      <c r="I1240" t="s">
        <v>9</v>
      </c>
      <c r="J1240" t="s">
        <v>20</v>
      </c>
      <c r="K1240" t="s">
        <v>26</v>
      </c>
      <c r="L1240" t="s">
        <v>12</v>
      </c>
      <c r="M1240" t="s">
        <v>32</v>
      </c>
      <c r="N1240" t="s">
        <v>30</v>
      </c>
      <c r="O1240" t="s">
        <v>18</v>
      </c>
      <c r="P1240">
        <v>1</v>
      </c>
    </row>
    <row r="1241" spans="1:16" x14ac:dyDescent="0.3">
      <c r="A1241">
        <v>1756</v>
      </c>
      <c r="B1241">
        <v>44718</v>
      </c>
      <c r="C1241">
        <v>61</v>
      </c>
      <c r="D1241">
        <v>22365</v>
      </c>
      <c r="E1241" t="s">
        <v>14</v>
      </c>
      <c r="F1241" t="s">
        <v>22</v>
      </c>
      <c r="G1241" t="s">
        <v>17</v>
      </c>
      <c r="H1241" t="s">
        <v>8</v>
      </c>
      <c r="I1241" t="s">
        <v>9</v>
      </c>
      <c r="J1241" t="s">
        <v>20</v>
      </c>
      <c r="K1241" t="s">
        <v>19</v>
      </c>
      <c r="L1241" t="s">
        <v>12</v>
      </c>
      <c r="M1241" t="s">
        <v>49</v>
      </c>
      <c r="N1241" t="s">
        <v>37</v>
      </c>
      <c r="O1241" t="s">
        <v>18</v>
      </c>
      <c r="P1241">
        <v>4</v>
      </c>
    </row>
    <row r="1242" spans="1:16" x14ac:dyDescent="0.3">
      <c r="A1242">
        <v>1757</v>
      </c>
      <c r="B1242">
        <v>43839</v>
      </c>
      <c r="C1242">
        <v>35</v>
      </c>
      <c r="D1242">
        <v>31079</v>
      </c>
      <c r="E1242" t="s">
        <v>14</v>
      </c>
      <c r="F1242" t="s">
        <v>15</v>
      </c>
      <c r="G1242" t="s">
        <v>17</v>
      </c>
      <c r="H1242" t="s">
        <v>8</v>
      </c>
      <c r="I1242" t="s">
        <v>9</v>
      </c>
      <c r="J1242" t="s">
        <v>25</v>
      </c>
      <c r="K1242" t="s">
        <v>19</v>
      </c>
      <c r="L1242" t="s">
        <v>12</v>
      </c>
      <c r="M1242" t="s">
        <v>13</v>
      </c>
      <c r="N1242" t="s">
        <v>16</v>
      </c>
      <c r="O1242" t="s">
        <v>18</v>
      </c>
      <c r="P1242">
        <v>4</v>
      </c>
    </row>
    <row r="1243" spans="1:16" x14ac:dyDescent="0.3">
      <c r="A1243">
        <v>1758</v>
      </c>
      <c r="B1243">
        <v>43468</v>
      </c>
      <c r="C1243">
        <v>61</v>
      </c>
      <c r="D1243">
        <v>21327</v>
      </c>
      <c r="E1243" t="s">
        <v>14</v>
      </c>
      <c r="F1243" t="s">
        <v>22</v>
      </c>
      <c r="G1243" t="s">
        <v>31</v>
      </c>
      <c r="H1243" t="s">
        <v>8</v>
      </c>
      <c r="I1243" t="s">
        <v>9</v>
      </c>
      <c r="J1243" t="s">
        <v>20</v>
      </c>
      <c r="K1243" t="s">
        <v>26</v>
      </c>
      <c r="L1243" t="s">
        <v>12</v>
      </c>
      <c r="M1243" t="s">
        <v>49</v>
      </c>
      <c r="N1243" t="s">
        <v>16</v>
      </c>
      <c r="O1243" t="s">
        <v>18</v>
      </c>
      <c r="P1243">
        <v>3</v>
      </c>
    </row>
    <row r="1244" spans="1:16" x14ac:dyDescent="0.3">
      <c r="A1244">
        <v>1759</v>
      </c>
      <c r="B1244">
        <v>44219</v>
      </c>
      <c r="C1244">
        <v>74</v>
      </c>
      <c r="D1244">
        <v>17512</v>
      </c>
      <c r="E1244" t="s">
        <v>14</v>
      </c>
      <c r="F1244" t="s">
        <v>22</v>
      </c>
      <c r="G1244" t="s">
        <v>34</v>
      </c>
      <c r="H1244" t="s">
        <v>8</v>
      </c>
      <c r="I1244" t="s">
        <v>9</v>
      </c>
      <c r="J1244" t="s">
        <v>10</v>
      </c>
      <c r="K1244" t="s">
        <v>26</v>
      </c>
      <c r="L1244" t="s">
        <v>12</v>
      </c>
      <c r="M1244" t="s">
        <v>32</v>
      </c>
      <c r="N1244" t="s">
        <v>16</v>
      </c>
      <c r="O1244" t="s">
        <v>18</v>
      </c>
      <c r="P1244">
        <v>2</v>
      </c>
    </row>
    <row r="1245" spans="1:16" x14ac:dyDescent="0.3">
      <c r="A1245">
        <v>1760</v>
      </c>
      <c r="B1245">
        <v>43869</v>
      </c>
      <c r="C1245">
        <v>27</v>
      </c>
      <c r="D1245">
        <v>34201</v>
      </c>
      <c r="E1245" t="s">
        <v>14</v>
      </c>
      <c r="F1245" t="s">
        <v>22</v>
      </c>
      <c r="G1245" t="s">
        <v>31</v>
      </c>
      <c r="H1245" t="s">
        <v>8</v>
      </c>
      <c r="I1245" t="s">
        <v>9</v>
      </c>
      <c r="J1245" t="s">
        <v>20</v>
      </c>
      <c r="K1245" t="s">
        <v>11</v>
      </c>
      <c r="L1245" t="s">
        <v>12</v>
      </c>
      <c r="M1245" t="s">
        <v>32</v>
      </c>
      <c r="N1245" t="s">
        <v>23</v>
      </c>
      <c r="O1245" t="s">
        <v>18</v>
      </c>
      <c r="P1245">
        <v>3</v>
      </c>
    </row>
    <row r="1246" spans="1:16" x14ac:dyDescent="0.3">
      <c r="A1246">
        <v>1761</v>
      </c>
      <c r="B1246">
        <v>44498</v>
      </c>
      <c r="C1246">
        <v>60</v>
      </c>
      <c r="D1246">
        <v>22417</v>
      </c>
      <c r="E1246" t="s">
        <v>14</v>
      </c>
      <c r="F1246" t="s">
        <v>15</v>
      </c>
      <c r="G1246" t="s">
        <v>34</v>
      </c>
      <c r="H1246" t="s">
        <v>8</v>
      </c>
      <c r="I1246" t="s">
        <v>66</v>
      </c>
      <c r="J1246" t="s">
        <v>10</v>
      </c>
      <c r="K1246" t="s">
        <v>11</v>
      </c>
      <c r="L1246" t="s">
        <v>12</v>
      </c>
      <c r="M1246" t="s">
        <v>35</v>
      </c>
      <c r="N1246" t="s">
        <v>30</v>
      </c>
      <c r="O1246" t="s">
        <v>18</v>
      </c>
      <c r="P1246">
        <v>2</v>
      </c>
    </row>
    <row r="1247" spans="1:16" x14ac:dyDescent="0.3">
      <c r="A1247">
        <v>1762</v>
      </c>
      <c r="B1247">
        <v>45111</v>
      </c>
      <c r="C1247">
        <v>22</v>
      </c>
      <c r="D1247">
        <v>36941</v>
      </c>
      <c r="E1247" t="s">
        <v>14</v>
      </c>
      <c r="F1247" t="s">
        <v>15</v>
      </c>
      <c r="G1247" t="s">
        <v>40</v>
      </c>
      <c r="H1247" t="s">
        <v>8</v>
      </c>
      <c r="I1247" t="s">
        <v>66</v>
      </c>
      <c r="J1247" t="s">
        <v>10</v>
      </c>
      <c r="K1247" t="s">
        <v>26</v>
      </c>
      <c r="L1247" t="s">
        <v>12</v>
      </c>
      <c r="M1247" t="s">
        <v>61</v>
      </c>
      <c r="N1247" t="s">
        <v>16</v>
      </c>
      <c r="O1247" t="s">
        <v>18</v>
      </c>
      <c r="P1247">
        <v>3</v>
      </c>
    </row>
    <row r="1248" spans="1:16" x14ac:dyDescent="0.3">
      <c r="A1248">
        <v>1763</v>
      </c>
      <c r="B1248">
        <v>45022</v>
      </c>
      <c r="C1248">
        <v>73</v>
      </c>
      <c r="D1248">
        <v>18276</v>
      </c>
      <c r="E1248" t="s">
        <v>14</v>
      </c>
      <c r="F1248" t="s">
        <v>15</v>
      </c>
      <c r="G1248" t="s">
        <v>17</v>
      </c>
      <c r="H1248" t="s">
        <v>8</v>
      </c>
      <c r="I1248" t="s">
        <v>9</v>
      </c>
      <c r="J1248" t="s">
        <v>20</v>
      </c>
      <c r="K1248" t="s">
        <v>26</v>
      </c>
      <c r="L1248" t="s">
        <v>12</v>
      </c>
      <c r="M1248" t="s">
        <v>42</v>
      </c>
      <c r="N1248" t="s">
        <v>46</v>
      </c>
      <c r="O1248" t="s">
        <v>18</v>
      </c>
      <c r="P1248">
        <v>2</v>
      </c>
    </row>
    <row r="1249" spans="1:16" x14ac:dyDescent="0.3">
      <c r="A1249">
        <v>1764</v>
      </c>
      <c r="B1249">
        <v>44943</v>
      </c>
      <c r="C1249">
        <v>74</v>
      </c>
      <c r="D1249">
        <v>17900</v>
      </c>
      <c r="E1249" t="s">
        <v>14</v>
      </c>
      <c r="F1249" t="s">
        <v>15</v>
      </c>
      <c r="G1249" t="s">
        <v>34</v>
      </c>
      <c r="H1249" t="s">
        <v>8</v>
      </c>
      <c r="I1249" t="s">
        <v>9</v>
      </c>
      <c r="J1249" t="s">
        <v>25</v>
      </c>
      <c r="K1249" t="s">
        <v>19</v>
      </c>
      <c r="L1249" t="s">
        <v>12</v>
      </c>
      <c r="M1249" t="s">
        <v>42</v>
      </c>
      <c r="N1249" t="s">
        <v>37</v>
      </c>
      <c r="O1249" t="s">
        <v>18</v>
      </c>
      <c r="P1249">
        <v>3</v>
      </c>
    </row>
    <row r="1250" spans="1:16" x14ac:dyDescent="0.3">
      <c r="A1250">
        <v>1765</v>
      </c>
      <c r="B1250">
        <v>43755</v>
      </c>
      <c r="C1250">
        <v>28</v>
      </c>
      <c r="D1250">
        <v>33488</v>
      </c>
      <c r="E1250" t="s">
        <v>14</v>
      </c>
      <c r="F1250" t="s">
        <v>15</v>
      </c>
      <c r="G1250" t="s">
        <v>40</v>
      </c>
      <c r="H1250" t="s">
        <v>64</v>
      </c>
      <c r="I1250" t="s">
        <v>9</v>
      </c>
      <c r="J1250" t="s">
        <v>10</v>
      </c>
      <c r="K1250" t="s">
        <v>11</v>
      </c>
      <c r="L1250" t="s">
        <v>12</v>
      </c>
      <c r="M1250" t="s">
        <v>54</v>
      </c>
      <c r="N1250" t="s">
        <v>46</v>
      </c>
      <c r="O1250" t="s">
        <v>18</v>
      </c>
      <c r="P1250">
        <v>5</v>
      </c>
    </row>
    <row r="1251" spans="1:16" x14ac:dyDescent="0.3">
      <c r="A1251">
        <v>1766</v>
      </c>
      <c r="B1251">
        <v>43638</v>
      </c>
      <c r="C1251">
        <v>62</v>
      </c>
      <c r="D1251">
        <v>21016</v>
      </c>
      <c r="E1251" t="s">
        <v>14</v>
      </c>
      <c r="F1251" t="s">
        <v>15</v>
      </c>
      <c r="G1251" t="s">
        <v>34</v>
      </c>
      <c r="H1251" t="s">
        <v>8</v>
      </c>
      <c r="I1251" t="s">
        <v>9</v>
      </c>
      <c r="J1251" t="s">
        <v>10</v>
      </c>
      <c r="K1251" t="s">
        <v>26</v>
      </c>
      <c r="L1251" t="s">
        <v>12</v>
      </c>
      <c r="M1251" t="s">
        <v>35</v>
      </c>
      <c r="N1251" t="s">
        <v>46</v>
      </c>
      <c r="O1251" t="s">
        <v>18</v>
      </c>
      <c r="P1251">
        <v>5</v>
      </c>
    </row>
    <row r="1252" spans="1:16" x14ac:dyDescent="0.3">
      <c r="A1252">
        <v>1767</v>
      </c>
      <c r="B1252">
        <v>44967</v>
      </c>
      <c r="C1252">
        <v>28</v>
      </c>
      <c r="D1252">
        <v>35064</v>
      </c>
      <c r="E1252" t="s">
        <v>14</v>
      </c>
      <c r="F1252" t="s">
        <v>15</v>
      </c>
      <c r="G1252" t="s">
        <v>40</v>
      </c>
      <c r="H1252" t="s">
        <v>8</v>
      </c>
      <c r="I1252" t="s">
        <v>9</v>
      </c>
      <c r="J1252" t="s">
        <v>10</v>
      </c>
      <c r="K1252" t="s">
        <v>19</v>
      </c>
      <c r="L1252" t="s">
        <v>12</v>
      </c>
      <c r="M1252" t="s">
        <v>32</v>
      </c>
      <c r="N1252" t="s">
        <v>16</v>
      </c>
      <c r="O1252" t="s">
        <v>18</v>
      </c>
      <c r="P1252">
        <v>1</v>
      </c>
    </row>
    <row r="1253" spans="1:16" x14ac:dyDescent="0.3">
      <c r="A1253">
        <v>1768</v>
      </c>
      <c r="B1253">
        <v>44847</v>
      </c>
      <c r="C1253">
        <v>45</v>
      </c>
      <c r="D1253">
        <v>28182</v>
      </c>
      <c r="E1253" t="s">
        <v>14</v>
      </c>
      <c r="F1253" t="s">
        <v>15</v>
      </c>
      <c r="G1253" t="s">
        <v>34</v>
      </c>
      <c r="H1253" t="s">
        <v>8</v>
      </c>
      <c r="I1253" t="s">
        <v>9</v>
      </c>
      <c r="J1253" t="s">
        <v>10</v>
      </c>
      <c r="K1253" t="s">
        <v>11</v>
      </c>
      <c r="L1253" t="s">
        <v>12</v>
      </c>
      <c r="M1253" t="s">
        <v>21</v>
      </c>
      <c r="N1253" t="s">
        <v>37</v>
      </c>
      <c r="O1253" t="s">
        <v>18</v>
      </c>
      <c r="P1253">
        <v>3</v>
      </c>
    </row>
    <row r="1254" spans="1:16" x14ac:dyDescent="0.3">
      <c r="A1254">
        <v>1769</v>
      </c>
      <c r="B1254">
        <v>44992</v>
      </c>
      <c r="C1254">
        <v>49</v>
      </c>
      <c r="D1254">
        <v>27148</v>
      </c>
      <c r="E1254" t="s">
        <v>14</v>
      </c>
      <c r="F1254" t="s">
        <v>22</v>
      </c>
      <c r="G1254" t="s">
        <v>17</v>
      </c>
      <c r="H1254" t="s">
        <v>8</v>
      </c>
      <c r="I1254" t="s">
        <v>9</v>
      </c>
      <c r="J1254" t="s">
        <v>10</v>
      </c>
      <c r="K1254" t="s">
        <v>26</v>
      </c>
      <c r="L1254" t="s">
        <v>12</v>
      </c>
      <c r="M1254" t="s">
        <v>42</v>
      </c>
      <c r="N1254" t="s">
        <v>23</v>
      </c>
      <c r="O1254" t="s">
        <v>18</v>
      </c>
      <c r="P1254">
        <v>3</v>
      </c>
    </row>
    <row r="1255" spans="1:16" x14ac:dyDescent="0.3">
      <c r="A1255">
        <v>1770</v>
      </c>
      <c r="B1255">
        <v>43355</v>
      </c>
      <c r="C1255">
        <v>47</v>
      </c>
      <c r="D1255">
        <v>25997</v>
      </c>
      <c r="E1255" t="s">
        <v>14</v>
      </c>
      <c r="F1255" t="s">
        <v>22</v>
      </c>
      <c r="G1255" t="s">
        <v>31</v>
      </c>
      <c r="H1255" t="s">
        <v>8</v>
      </c>
      <c r="I1255" t="s">
        <v>9</v>
      </c>
      <c r="J1255" t="s">
        <v>20</v>
      </c>
      <c r="K1255" t="s">
        <v>19</v>
      </c>
      <c r="L1255" t="s">
        <v>12</v>
      </c>
      <c r="M1255" t="s">
        <v>28</v>
      </c>
      <c r="N1255" t="s">
        <v>23</v>
      </c>
      <c r="O1255" t="s">
        <v>18</v>
      </c>
      <c r="P1255">
        <v>3</v>
      </c>
    </row>
    <row r="1256" spans="1:16" x14ac:dyDescent="0.3">
      <c r="A1256">
        <v>1771</v>
      </c>
      <c r="B1256">
        <v>44009</v>
      </c>
      <c r="C1256">
        <v>70</v>
      </c>
      <c r="D1256">
        <v>18502</v>
      </c>
      <c r="E1256" t="s">
        <v>14</v>
      </c>
      <c r="F1256" t="s">
        <v>22</v>
      </c>
      <c r="G1256" t="s">
        <v>17</v>
      </c>
      <c r="H1256" t="s">
        <v>8</v>
      </c>
      <c r="I1256" t="s">
        <v>9</v>
      </c>
      <c r="J1256" t="s">
        <v>20</v>
      </c>
      <c r="K1256" t="s">
        <v>11</v>
      </c>
      <c r="L1256" t="s">
        <v>12</v>
      </c>
      <c r="M1256" t="s">
        <v>58</v>
      </c>
      <c r="N1256" t="s">
        <v>23</v>
      </c>
      <c r="O1256" t="s">
        <v>18</v>
      </c>
      <c r="P1256">
        <v>2</v>
      </c>
    </row>
    <row r="1257" spans="1:16" x14ac:dyDescent="0.3">
      <c r="A1257">
        <v>1772</v>
      </c>
      <c r="B1257">
        <v>43462</v>
      </c>
      <c r="C1257">
        <v>64</v>
      </c>
      <c r="D1257">
        <v>19903</v>
      </c>
      <c r="E1257" t="s">
        <v>14</v>
      </c>
      <c r="F1257" t="s">
        <v>22</v>
      </c>
      <c r="G1257" t="s">
        <v>17</v>
      </c>
      <c r="H1257" t="s">
        <v>8</v>
      </c>
      <c r="I1257" t="s">
        <v>9</v>
      </c>
      <c r="J1257" t="s">
        <v>10</v>
      </c>
      <c r="K1257" t="s">
        <v>19</v>
      </c>
      <c r="L1257" t="s">
        <v>12</v>
      </c>
      <c r="M1257" t="s">
        <v>32</v>
      </c>
      <c r="N1257" t="s">
        <v>46</v>
      </c>
      <c r="O1257" t="s">
        <v>18</v>
      </c>
      <c r="P1257">
        <v>4</v>
      </c>
    </row>
    <row r="1258" spans="1:16" x14ac:dyDescent="0.3">
      <c r="A1258">
        <v>1773</v>
      </c>
      <c r="B1258">
        <v>44216</v>
      </c>
      <c r="C1258">
        <v>79</v>
      </c>
      <c r="D1258">
        <v>15422</v>
      </c>
      <c r="E1258" t="s">
        <v>14</v>
      </c>
      <c r="F1258" t="s">
        <v>22</v>
      </c>
      <c r="G1258" t="s">
        <v>34</v>
      </c>
      <c r="H1258" t="s">
        <v>8</v>
      </c>
      <c r="I1258" t="s">
        <v>9</v>
      </c>
      <c r="J1258" t="s">
        <v>20</v>
      </c>
      <c r="K1258" t="s">
        <v>26</v>
      </c>
      <c r="L1258" t="s">
        <v>12</v>
      </c>
      <c r="M1258" t="s">
        <v>38</v>
      </c>
      <c r="N1258" t="s">
        <v>37</v>
      </c>
      <c r="O1258" t="s">
        <v>18</v>
      </c>
      <c r="P1258">
        <v>5</v>
      </c>
    </row>
    <row r="1259" spans="1:16" x14ac:dyDescent="0.3">
      <c r="A1259">
        <v>1774</v>
      </c>
      <c r="B1259">
        <v>43722</v>
      </c>
      <c r="C1259">
        <v>30</v>
      </c>
      <c r="D1259">
        <v>32775</v>
      </c>
      <c r="E1259" t="s">
        <v>14</v>
      </c>
      <c r="F1259" t="s">
        <v>15</v>
      </c>
      <c r="G1259" t="s">
        <v>17</v>
      </c>
      <c r="H1259" t="s">
        <v>8</v>
      </c>
      <c r="I1259" t="s">
        <v>9</v>
      </c>
      <c r="J1259" t="s">
        <v>25</v>
      </c>
      <c r="K1259" t="s">
        <v>26</v>
      </c>
      <c r="L1259" t="s">
        <v>12</v>
      </c>
      <c r="M1259" t="s">
        <v>35</v>
      </c>
      <c r="N1259" t="s">
        <v>46</v>
      </c>
      <c r="O1259" t="s">
        <v>18</v>
      </c>
      <c r="P1259">
        <v>1</v>
      </c>
    </row>
    <row r="1260" spans="1:16" x14ac:dyDescent="0.3">
      <c r="A1260">
        <v>1775</v>
      </c>
      <c r="B1260">
        <v>43379</v>
      </c>
      <c r="C1260">
        <v>21</v>
      </c>
      <c r="D1260">
        <v>35561</v>
      </c>
      <c r="E1260" t="s">
        <v>14</v>
      </c>
      <c r="F1260" t="s">
        <v>22</v>
      </c>
      <c r="G1260" t="s">
        <v>31</v>
      </c>
      <c r="H1260" t="s">
        <v>8</v>
      </c>
      <c r="I1260" t="s">
        <v>9</v>
      </c>
      <c r="J1260" t="s">
        <v>10</v>
      </c>
      <c r="K1260" t="s">
        <v>19</v>
      </c>
      <c r="L1260" t="s">
        <v>12</v>
      </c>
      <c r="M1260" t="s">
        <v>42</v>
      </c>
      <c r="N1260" t="s">
        <v>37</v>
      </c>
      <c r="O1260" t="s">
        <v>18</v>
      </c>
      <c r="P1260">
        <v>2</v>
      </c>
    </row>
    <row r="1261" spans="1:16" x14ac:dyDescent="0.3">
      <c r="A1261">
        <v>1776</v>
      </c>
      <c r="B1261">
        <v>44411</v>
      </c>
      <c r="C1261">
        <v>66</v>
      </c>
      <c r="D1261">
        <v>20159</v>
      </c>
      <c r="E1261" t="s">
        <v>14</v>
      </c>
      <c r="F1261" t="s">
        <v>22</v>
      </c>
      <c r="G1261" t="s">
        <v>40</v>
      </c>
      <c r="H1261" t="s">
        <v>8</v>
      </c>
      <c r="I1261" t="s">
        <v>9</v>
      </c>
      <c r="J1261" t="s">
        <v>25</v>
      </c>
      <c r="K1261" t="s">
        <v>11</v>
      </c>
      <c r="L1261" t="s">
        <v>12</v>
      </c>
      <c r="M1261" t="s">
        <v>54</v>
      </c>
      <c r="N1261" t="s">
        <v>46</v>
      </c>
      <c r="O1261" t="s">
        <v>18</v>
      </c>
      <c r="P1261">
        <v>2</v>
      </c>
    </row>
    <row r="1262" spans="1:16" x14ac:dyDescent="0.3">
      <c r="A1262">
        <v>1777</v>
      </c>
      <c r="B1262">
        <v>43651</v>
      </c>
      <c r="C1262">
        <v>57</v>
      </c>
      <c r="D1262">
        <v>22761</v>
      </c>
      <c r="E1262" t="s">
        <v>14</v>
      </c>
      <c r="F1262" t="s">
        <v>15</v>
      </c>
      <c r="G1262" t="s">
        <v>31</v>
      </c>
      <c r="H1262" t="s">
        <v>8</v>
      </c>
      <c r="I1262" t="s">
        <v>9</v>
      </c>
      <c r="J1262" t="s">
        <v>25</v>
      </c>
      <c r="K1262" t="s">
        <v>26</v>
      </c>
      <c r="L1262" t="s">
        <v>12</v>
      </c>
      <c r="M1262" t="s">
        <v>49</v>
      </c>
      <c r="N1262" t="s">
        <v>23</v>
      </c>
      <c r="O1262" t="s">
        <v>18</v>
      </c>
      <c r="P1262">
        <v>3</v>
      </c>
    </row>
    <row r="1263" spans="1:16" x14ac:dyDescent="0.3">
      <c r="A1263">
        <v>1778</v>
      </c>
      <c r="B1263">
        <v>43580</v>
      </c>
      <c r="C1263">
        <v>70</v>
      </c>
      <c r="D1263">
        <v>18036</v>
      </c>
      <c r="E1263" t="s">
        <v>14</v>
      </c>
      <c r="F1263" t="s">
        <v>15</v>
      </c>
      <c r="G1263" t="s">
        <v>17</v>
      </c>
      <c r="H1263" t="s">
        <v>8</v>
      </c>
      <c r="I1263" t="s">
        <v>9</v>
      </c>
      <c r="J1263" t="s">
        <v>25</v>
      </c>
      <c r="K1263" t="s">
        <v>26</v>
      </c>
      <c r="L1263" t="s">
        <v>12</v>
      </c>
      <c r="M1263" t="s">
        <v>32</v>
      </c>
      <c r="N1263" t="s">
        <v>30</v>
      </c>
      <c r="O1263" t="s">
        <v>18</v>
      </c>
      <c r="P1263">
        <v>5</v>
      </c>
    </row>
    <row r="1264" spans="1:16" x14ac:dyDescent="0.3">
      <c r="A1264">
        <v>1779</v>
      </c>
      <c r="B1264">
        <v>45122</v>
      </c>
      <c r="C1264">
        <v>62</v>
      </c>
      <c r="D1264">
        <v>22405</v>
      </c>
      <c r="E1264" t="s">
        <v>14</v>
      </c>
      <c r="F1264" t="s">
        <v>15</v>
      </c>
      <c r="G1264" t="s">
        <v>34</v>
      </c>
      <c r="H1264" t="s">
        <v>8</v>
      </c>
      <c r="I1264" t="s">
        <v>9</v>
      </c>
      <c r="J1264" t="s">
        <v>25</v>
      </c>
      <c r="K1264" t="s">
        <v>19</v>
      </c>
      <c r="L1264" t="s">
        <v>12</v>
      </c>
      <c r="M1264" t="s">
        <v>54</v>
      </c>
      <c r="N1264" t="s">
        <v>30</v>
      </c>
      <c r="O1264" t="s">
        <v>18</v>
      </c>
      <c r="P1264">
        <v>3</v>
      </c>
    </row>
    <row r="1265" spans="1:16" x14ac:dyDescent="0.3">
      <c r="A1265">
        <v>1780</v>
      </c>
      <c r="B1265">
        <v>44905</v>
      </c>
      <c r="C1265">
        <v>29</v>
      </c>
      <c r="D1265">
        <v>34161</v>
      </c>
      <c r="E1265" t="s">
        <v>14</v>
      </c>
      <c r="F1265" t="s">
        <v>15</v>
      </c>
      <c r="G1265" t="s">
        <v>17</v>
      </c>
      <c r="H1265" t="s">
        <v>8</v>
      </c>
      <c r="I1265" t="s">
        <v>9</v>
      </c>
      <c r="J1265" t="s">
        <v>10</v>
      </c>
      <c r="K1265" t="s">
        <v>11</v>
      </c>
      <c r="L1265" t="s">
        <v>12</v>
      </c>
      <c r="M1265" t="s">
        <v>35</v>
      </c>
      <c r="N1265" t="s">
        <v>23</v>
      </c>
      <c r="O1265" t="s">
        <v>18</v>
      </c>
      <c r="P1265">
        <v>3</v>
      </c>
    </row>
    <row r="1266" spans="1:16" x14ac:dyDescent="0.3">
      <c r="A1266">
        <v>1781</v>
      </c>
      <c r="B1266">
        <v>43587</v>
      </c>
      <c r="C1266">
        <v>36</v>
      </c>
      <c r="D1266">
        <v>30661</v>
      </c>
      <c r="E1266" t="s">
        <v>14</v>
      </c>
      <c r="F1266" t="s">
        <v>15</v>
      </c>
      <c r="G1266" t="s">
        <v>40</v>
      </c>
      <c r="H1266" t="s">
        <v>8</v>
      </c>
      <c r="I1266" t="s">
        <v>9</v>
      </c>
      <c r="J1266" t="s">
        <v>10</v>
      </c>
      <c r="K1266" t="s">
        <v>19</v>
      </c>
      <c r="L1266" t="s">
        <v>12</v>
      </c>
      <c r="M1266" t="s">
        <v>28</v>
      </c>
      <c r="N1266" t="s">
        <v>16</v>
      </c>
      <c r="O1266" t="s">
        <v>18</v>
      </c>
      <c r="P1266">
        <v>2</v>
      </c>
    </row>
    <row r="1267" spans="1:16" x14ac:dyDescent="0.3">
      <c r="A1267">
        <v>1782</v>
      </c>
      <c r="B1267">
        <v>43478</v>
      </c>
      <c r="C1267">
        <v>69</v>
      </c>
      <c r="D1267">
        <v>18544</v>
      </c>
      <c r="E1267" t="s">
        <v>14</v>
      </c>
      <c r="F1267" t="s">
        <v>15</v>
      </c>
      <c r="G1267" t="s">
        <v>34</v>
      </c>
      <c r="H1267" t="s">
        <v>64</v>
      </c>
      <c r="I1267" t="s">
        <v>66</v>
      </c>
      <c r="J1267" t="s">
        <v>10</v>
      </c>
      <c r="K1267" t="s">
        <v>19</v>
      </c>
      <c r="L1267" t="s">
        <v>12</v>
      </c>
      <c r="M1267" t="s">
        <v>35</v>
      </c>
      <c r="N1267" t="s">
        <v>30</v>
      </c>
      <c r="O1267" t="s">
        <v>18</v>
      </c>
      <c r="P1267">
        <v>4</v>
      </c>
    </row>
    <row r="1268" spans="1:16" x14ac:dyDescent="0.3">
      <c r="A1268">
        <v>1783</v>
      </c>
      <c r="B1268">
        <v>44356</v>
      </c>
      <c r="C1268">
        <v>40</v>
      </c>
      <c r="D1268">
        <v>29927</v>
      </c>
      <c r="E1268" t="s">
        <v>14</v>
      </c>
      <c r="F1268" t="s">
        <v>15</v>
      </c>
      <c r="G1268" t="s">
        <v>17</v>
      </c>
      <c r="H1268" t="s">
        <v>8</v>
      </c>
      <c r="I1268" t="s">
        <v>9</v>
      </c>
      <c r="J1268" t="s">
        <v>20</v>
      </c>
      <c r="K1268" t="s">
        <v>11</v>
      </c>
      <c r="L1268" t="s">
        <v>12</v>
      </c>
      <c r="M1268" t="s">
        <v>32</v>
      </c>
      <c r="N1268" t="s">
        <v>16</v>
      </c>
      <c r="O1268" t="s">
        <v>18</v>
      </c>
      <c r="P1268">
        <v>2</v>
      </c>
    </row>
    <row r="1269" spans="1:16" x14ac:dyDescent="0.3">
      <c r="A1269">
        <v>1784</v>
      </c>
      <c r="B1269">
        <v>45140</v>
      </c>
      <c r="C1269">
        <v>52</v>
      </c>
      <c r="D1269">
        <v>26022</v>
      </c>
      <c r="E1269" t="s">
        <v>14</v>
      </c>
      <c r="F1269" t="s">
        <v>15</v>
      </c>
      <c r="G1269" t="s">
        <v>40</v>
      </c>
      <c r="H1269" t="s">
        <v>8</v>
      </c>
      <c r="I1269" t="s">
        <v>9</v>
      </c>
      <c r="J1269" t="s">
        <v>20</v>
      </c>
      <c r="K1269" t="s">
        <v>19</v>
      </c>
      <c r="L1269" t="s">
        <v>12</v>
      </c>
      <c r="M1269" t="s">
        <v>32</v>
      </c>
      <c r="N1269" t="s">
        <v>30</v>
      </c>
      <c r="O1269" t="s">
        <v>18</v>
      </c>
      <c r="P1269">
        <v>3</v>
      </c>
    </row>
    <row r="1270" spans="1:16" x14ac:dyDescent="0.3">
      <c r="A1270">
        <v>1785</v>
      </c>
      <c r="B1270">
        <v>45094</v>
      </c>
      <c r="C1270">
        <v>73</v>
      </c>
      <c r="D1270">
        <v>18280</v>
      </c>
      <c r="E1270" t="s">
        <v>14</v>
      </c>
      <c r="F1270" t="s">
        <v>15</v>
      </c>
      <c r="G1270" t="s">
        <v>17</v>
      </c>
      <c r="H1270" t="s">
        <v>8</v>
      </c>
      <c r="I1270" t="s">
        <v>9</v>
      </c>
      <c r="J1270" t="s">
        <v>25</v>
      </c>
      <c r="K1270" t="s">
        <v>11</v>
      </c>
      <c r="L1270" t="s">
        <v>12</v>
      </c>
      <c r="M1270" t="s">
        <v>68</v>
      </c>
      <c r="N1270" t="s">
        <v>16</v>
      </c>
      <c r="O1270" t="s">
        <v>18</v>
      </c>
      <c r="P1270">
        <v>4</v>
      </c>
    </row>
    <row r="1271" spans="1:16" x14ac:dyDescent="0.3">
      <c r="A1271">
        <v>1786</v>
      </c>
      <c r="B1271">
        <v>44651</v>
      </c>
      <c r="C1271">
        <v>43</v>
      </c>
      <c r="D1271">
        <v>29169</v>
      </c>
      <c r="E1271" t="s">
        <v>14</v>
      </c>
      <c r="F1271" t="s">
        <v>22</v>
      </c>
      <c r="G1271" t="s">
        <v>17</v>
      </c>
      <c r="H1271" t="s">
        <v>8</v>
      </c>
      <c r="I1271" t="s">
        <v>9</v>
      </c>
      <c r="J1271" t="s">
        <v>25</v>
      </c>
      <c r="K1271" t="s">
        <v>19</v>
      </c>
      <c r="L1271" t="s">
        <v>12</v>
      </c>
      <c r="M1271" t="s">
        <v>35</v>
      </c>
      <c r="N1271" t="s">
        <v>23</v>
      </c>
      <c r="O1271" t="s">
        <v>18</v>
      </c>
      <c r="P1271">
        <v>2</v>
      </c>
    </row>
    <row r="1272" spans="1:16" x14ac:dyDescent="0.3">
      <c r="A1272">
        <v>1787</v>
      </c>
      <c r="B1272">
        <v>43561</v>
      </c>
      <c r="C1272">
        <v>63</v>
      </c>
      <c r="D1272">
        <v>20646</v>
      </c>
      <c r="E1272" t="s">
        <v>14</v>
      </c>
      <c r="F1272" t="s">
        <v>22</v>
      </c>
      <c r="G1272" t="s">
        <v>40</v>
      </c>
      <c r="H1272" t="s">
        <v>8</v>
      </c>
      <c r="I1272" t="s">
        <v>9</v>
      </c>
      <c r="J1272" t="s">
        <v>10</v>
      </c>
      <c r="K1272" t="s">
        <v>26</v>
      </c>
      <c r="L1272" t="s">
        <v>12</v>
      </c>
      <c r="M1272" t="s">
        <v>42</v>
      </c>
      <c r="N1272" t="s">
        <v>23</v>
      </c>
      <c r="O1272" t="s">
        <v>18</v>
      </c>
      <c r="P1272">
        <v>5</v>
      </c>
    </row>
    <row r="1273" spans="1:16" x14ac:dyDescent="0.3">
      <c r="A1273">
        <v>1788</v>
      </c>
      <c r="B1273">
        <v>44023</v>
      </c>
      <c r="C1273">
        <v>44</v>
      </c>
      <c r="D1273">
        <v>27798</v>
      </c>
      <c r="E1273" t="s">
        <v>14</v>
      </c>
      <c r="F1273" t="s">
        <v>22</v>
      </c>
      <c r="G1273" t="s">
        <v>40</v>
      </c>
      <c r="H1273" t="s">
        <v>8</v>
      </c>
      <c r="I1273" t="s">
        <v>9</v>
      </c>
      <c r="J1273" t="s">
        <v>10</v>
      </c>
      <c r="K1273" t="s">
        <v>11</v>
      </c>
      <c r="L1273" t="s">
        <v>12</v>
      </c>
      <c r="M1273" t="s">
        <v>35</v>
      </c>
      <c r="N1273" t="s">
        <v>30</v>
      </c>
      <c r="O1273" t="s">
        <v>18</v>
      </c>
      <c r="P1273">
        <v>5</v>
      </c>
    </row>
    <row r="1274" spans="1:16" x14ac:dyDescent="0.3">
      <c r="A1274">
        <v>1789</v>
      </c>
      <c r="B1274">
        <v>45038</v>
      </c>
      <c r="C1274">
        <v>60</v>
      </c>
      <c r="D1274">
        <v>23059</v>
      </c>
      <c r="E1274" t="s">
        <v>14</v>
      </c>
      <c r="F1274" t="s">
        <v>22</v>
      </c>
      <c r="G1274" t="s">
        <v>17</v>
      </c>
      <c r="H1274" t="s">
        <v>8</v>
      </c>
      <c r="I1274" t="s">
        <v>9</v>
      </c>
      <c r="J1274" t="s">
        <v>10</v>
      </c>
      <c r="K1274" t="s">
        <v>11</v>
      </c>
      <c r="L1274" t="s">
        <v>12</v>
      </c>
      <c r="M1274" t="s">
        <v>42</v>
      </c>
      <c r="N1274" t="s">
        <v>30</v>
      </c>
      <c r="O1274" t="s">
        <v>18</v>
      </c>
      <c r="P1274">
        <v>3</v>
      </c>
    </row>
    <row r="1275" spans="1:16" x14ac:dyDescent="0.3">
      <c r="A1275">
        <v>1790</v>
      </c>
      <c r="B1275">
        <v>44897</v>
      </c>
      <c r="C1275">
        <v>66</v>
      </c>
      <c r="D1275">
        <v>20523</v>
      </c>
      <c r="E1275" t="s">
        <v>14</v>
      </c>
      <c r="F1275" t="s">
        <v>15</v>
      </c>
      <c r="G1275" t="s">
        <v>40</v>
      </c>
      <c r="H1275" t="s">
        <v>8</v>
      </c>
      <c r="I1275" t="s">
        <v>9</v>
      </c>
      <c r="J1275" t="s">
        <v>20</v>
      </c>
      <c r="K1275" t="s">
        <v>26</v>
      </c>
      <c r="L1275" t="s">
        <v>12</v>
      </c>
      <c r="M1275" t="s">
        <v>21</v>
      </c>
      <c r="N1275" t="s">
        <v>46</v>
      </c>
      <c r="O1275" t="s">
        <v>18</v>
      </c>
      <c r="P1275">
        <v>5</v>
      </c>
    </row>
    <row r="1276" spans="1:16" x14ac:dyDescent="0.3">
      <c r="A1276">
        <v>1791</v>
      </c>
      <c r="B1276">
        <v>44261</v>
      </c>
      <c r="C1276">
        <v>40</v>
      </c>
      <c r="D1276">
        <v>29800</v>
      </c>
      <c r="E1276" t="s">
        <v>14</v>
      </c>
      <c r="F1276" t="s">
        <v>15</v>
      </c>
      <c r="G1276" t="s">
        <v>40</v>
      </c>
      <c r="H1276" t="s">
        <v>8</v>
      </c>
      <c r="I1276" t="s">
        <v>9</v>
      </c>
      <c r="J1276" t="s">
        <v>10</v>
      </c>
      <c r="K1276" t="s">
        <v>19</v>
      </c>
      <c r="L1276" t="s">
        <v>12</v>
      </c>
      <c r="M1276" t="s">
        <v>59</v>
      </c>
      <c r="N1276" t="s">
        <v>23</v>
      </c>
      <c r="O1276" t="s">
        <v>18</v>
      </c>
      <c r="P1276">
        <v>5</v>
      </c>
    </row>
    <row r="1277" spans="1:16" x14ac:dyDescent="0.3">
      <c r="A1277">
        <v>1792</v>
      </c>
      <c r="B1277">
        <v>43606</v>
      </c>
      <c r="C1277">
        <v>69</v>
      </c>
      <c r="D1277">
        <v>18355</v>
      </c>
      <c r="E1277" t="s">
        <v>14</v>
      </c>
      <c r="F1277" t="s">
        <v>22</v>
      </c>
      <c r="G1277" t="s">
        <v>40</v>
      </c>
      <c r="H1277" t="s">
        <v>8</v>
      </c>
      <c r="I1277" t="s">
        <v>9</v>
      </c>
      <c r="J1277" t="s">
        <v>25</v>
      </c>
      <c r="K1277" t="s">
        <v>11</v>
      </c>
      <c r="L1277" t="s">
        <v>12</v>
      </c>
      <c r="M1277" t="s">
        <v>57</v>
      </c>
      <c r="N1277" t="s">
        <v>37</v>
      </c>
      <c r="O1277" t="s">
        <v>18</v>
      </c>
      <c r="P1277">
        <v>3</v>
      </c>
    </row>
    <row r="1278" spans="1:16" x14ac:dyDescent="0.3">
      <c r="A1278">
        <v>1793</v>
      </c>
      <c r="B1278">
        <v>43396</v>
      </c>
      <c r="C1278">
        <v>73</v>
      </c>
      <c r="D1278">
        <v>16579</v>
      </c>
      <c r="E1278" t="s">
        <v>14</v>
      </c>
      <c r="F1278" t="s">
        <v>15</v>
      </c>
      <c r="G1278" t="s">
        <v>31</v>
      </c>
      <c r="H1278" t="s">
        <v>8</v>
      </c>
      <c r="I1278" t="s">
        <v>9</v>
      </c>
      <c r="J1278" t="s">
        <v>25</v>
      </c>
      <c r="K1278" t="s">
        <v>26</v>
      </c>
      <c r="L1278" t="s">
        <v>12</v>
      </c>
      <c r="M1278" t="s">
        <v>44</v>
      </c>
      <c r="N1278" t="s">
        <v>23</v>
      </c>
      <c r="O1278" t="s">
        <v>18</v>
      </c>
      <c r="P1278">
        <v>1</v>
      </c>
    </row>
    <row r="1279" spans="1:16" x14ac:dyDescent="0.3">
      <c r="A1279">
        <v>1794</v>
      </c>
      <c r="B1279">
        <v>44342</v>
      </c>
      <c r="C1279">
        <v>58</v>
      </c>
      <c r="D1279">
        <v>23236</v>
      </c>
      <c r="E1279" t="s">
        <v>14</v>
      </c>
      <c r="F1279" t="s">
        <v>15</v>
      </c>
      <c r="G1279" t="s">
        <v>17</v>
      </c>
      <c r="H1279" t="s">
        <v>8</v>
      </c>
      <c r="I1279" t="s">
        <v>9</v>
      </c>
      <c r="J1279" t="s">
        <v>10</v>
      </c>
      <c r="K1279" t="s">
        <v>19</v>
      </c>
      <c r="L1279" t="s">
        <v>12</v>
      </c>
      <c r="M1279" t="s">
        <v>28</v>
      </c>
      <c r="N1279" t="s">
        <v>16</v>
      </c>
      <c r="O1279" t="s">
        <v>18</v>
      </c>
      <c r="P1279">
        <v>4</v>
      </c>
    </row>
    <row r="1280" spans="1:16" x14ac:dyDescent="0.3">
      <c r="A1280">
        <v>1795</v>
      </c>
      <c r="B1280">
        <v>43800</v>
      </c>
      <c r="C1280">
        <v>59</v>
      </c>
      <c r="D1280">
        <v>22010</v>
      </c>
      <c r="E1280" t="s">
        <v>14</v>
      </c>
      <c r="F1280" t="s">
        <v>15</v>
      </c>
      <c r="G1280" t="s">
        <v>17</v>
      </c>
      <c r="H1280" t="s">
        <v>8</v>
      </c>
      <c r="I1280" t="s">
        <v>66</v>
      </c>
      <c r="J1280" t="s">
        <v>25</v>
      </c>
      <c r="K1280" t="s">
        <v>26</v>
      </c>
      <c r="L1280" t="s">
        <v>12</v>
      </c>
      <c r="M1280" t="s">
        <v>63</v>
      </c>
      <c r="N1280" t="s">
        <v>46</v>
      </c>
      <c r="O1280" t="s">
        <v>18</v>
      </c>
      <c r="P1280">
        <v>1</v>
      </c>
    </row>
    <row r="1281" spans="1:16" x14ac:dyDescent="0.3">
      <c r="A1281">
        <v>1796</v>
      </c>
      <c r="B1281">
        <v>44354</v>
      </c>
      <c r="C1281">
        <v>45</v>
      </c>
      <c r="D1281">
        <v>27937</v>
      </c>
      <c r="E1281" t="s">
        <v>14</v>
      </c>
      <c r="F1281" t="s">
        <v>15</v>
      </c>
      <c r="G1281" t="s">
        <v>40</v>
      </c>
      <c r="H1281" t="s">
        <v>8</v>
      </c>
      <c r="I1281" t="s">
        <v>66</v>
      </c>
      <c r="J1281" t="s">
        <v>10</v>
      </c>
      <c r="K1281" t="s">
        <v>19</v>
      </c>
      <c r="L1281" t="s">
        <v>12</v>
      </c>
      <c r="M1281" t="s">
        <v>61</v>
      </c>
      <c r="N1281" t="s">
        <v>23</v>
      </c>
      <c r="O1281" t="s">
        <v>18</v>
      </c>
      <c r="P1281">
        <v>5</v>
      </c>
    </row>
    <row r="1282" spans="1:16" x14ac:dyDescent="0.3">
      <c r="A1282">
        <v>1797</v>
      </c>
      <c r="B1282">
        <v>44117</v>
      </c>
      <c r="C1282">
        <v>33</v>
      </c>
      <c r="D1282">
        <v>32038</v>
      </c>
      <c r="E1282" t="s">
        <v>14</v>
      </c>
      <c r="F1282" t="s">
        <v>15</v>
      </c>
      <c r="G1282" t="s">
        <v>17</v>
      </c>
      <c r="H1282" t="s">
        <v>8</v>
      </c>
      <c r="I1282" t="s">
        <v>9</v>
      </c>
      <c r="J1282" t="s">
        <v>25</v>
      </c>
      <c r="K1282" t="s">
        <v>19</v>
      </c>
      <c r="L1282" t="s">
        <v>12</v>
      </c>
      <c r="M1282" t="s">
        <v>32</v>
      </c>
      <c r="N1282" t="s">
        <v>23</v>
      </c>
      <c r="O1282" t="s">
        <v>18</v>
      </c>
      <c r="P1282">
        <v>3</v>
      </c>
    </row>
    <row r="1283" spans="1:16" x14ac:dyDescent="0.3">
      <c r="A1283">
        <v>1798</v>
      </c>
      <c r="B1283">
        <v>44864</v>
      </c>
      <c r="C1283">
        <v>37</v>
      </c>
      <c r="D1283">
        <v>31388</v>
      </c>
      <c r="E1283" t="s">
        <v>14</v>
      </c>
      <c r="F1283" t="s">
        <v>15</v>
      </c>
      <c r="G1283" t="s">
        <v>17</v>
      </c>
      <c r="H1283" t="s">
        <v>64</v>
      </c>
      <c r="I1283" t="s">
        <v>9</v>
      </c>
      <c r="J1283" t="s">
        <v>20</v>
      </c>
      <c r="K1283" t="s">
        <v>19</v>
      </c>
      <c r="L1283" t="s">
        <v>12</v>
      </c>
      <c r="M1283" t="s">
        <v>49</v>
      </c>
      <c r="N1283" t="s">
        <v>37</v>
      </c>
      <c r="O1283" t="s">
        <v>18</v>
      </c>
      <c r="P1283">
        <v>2</v>
      </c>
    </row>
    <row r="1284" spans="1:16" x14ac:dyDescent="0.3">
      <c r="A1284">
        <v>1799</v>
      </c>
      <c r="B1284">
        <v>44808</v>
      </c>
      <c r="C1284">
        <v>33</v>
      </c>
      <c r="D1284">
        <v>32558</v>
      </c>
      <c r="E1284" t="s">
        <v>14</v>
      </c>
      <c r="F1284" t="s">
        <v>22</v>
      </c>
      <c r="G1284" t="s">
        <v>34</v>
      </c>
      <c r="H1284" t="s">
        <v>64</v>
      </c>
      <c r="I1284" t="s">
        <v>66</v>
      </c>
      <c r="J1284" t="s">
        <v>20</v>
      </c>
      <c r="K1284" t="s">
        <v>11</v>
      </c>
      <c r="L1284" t="s">
        <v>12</v>
      </c>
      <c r="M1284" t="s">
        <v>35</v>
      </c>
      <c r="N1284" t="s">
        <v>37</v>
      </c>
      <c r="O1284" t="s">
        <v>18</v>
      </c>
      <c r="P1284">
        <v>5</v>
      </c>
    </row>
    <row r="1285" spans="1:16" x14ac:dyDescent="0.3">
      <c r="A1285">
        <v>1800</v>
      </c>
      <c r="B1285">
        <v>43756</v>
      </c>
      <c r="C1285">
        <v>43</v>
      </c>
      <c r="D1285">
        <v>27855</v>
      </c>
      <c r="E1285" t="s">
        <v>14</v>
      </c>
      <c r="F1285" t="s">
        <v>15</v>
      </c>
      <c r="G1285" t="s">
        <v>40</v>
      </c>
      <c r="H1285" t="s">
        <v>8</v>
      </c>
      <c r="I1285" t="s">
        <v>9</v>
      </c>
      <c r="J1285" t="s">
        <v>20</v>
      </c>
      <c r="K1285" t="s">
        <v>11</v>
      </c>
      <c r="L1285" t="s">
        <v>12</v>
      </c>
      <c r="M1285" t="s">
        <v>59</v>
      </c>
      <c r="N1285" t="s">
        <v>37</v>
      </c>
      <c r="O1285" t="s">
        <v>18</v>
      </c>
      <c r="P1285">
        <v>3</v>
      </c>
    </row>
    <row r="1286" spans="1:16" x14ac:dyDescent="0.3">
      <c r="A1286">
        <v>1801</v>
      </c>
      <c r="B1286">
        <v>44402</v>
      </c>
      <c r="C1286">
        <v>32</v>
      </c>
      <c r="D1286">
        <v>32726</v>
      </c>
      <c r="E1286" t="s">
        <v>14</v>
      </c>
      <c r="F1286" t="s">
        <v>15</v>
      </c>
      <c r="G1286" t="s">
        <v>34</v>
      </c>
      <c r="H1286" t="s">
        <v>8</v>
      </c>
      <c r="I1286" t="s">
        <v>9</v>
      </c>
      <c r="J1286" t="s">
        <v>25</v>
      </c>
      <c r="K1286" t="s">
        <v>11</v>
      </c>
      <c r="L1286" t="s">
        <v>12</v>
      </c>
      <c r="M1286" t="s">
        <v>32</v>
      </c>
      <c r="N1286" t="s">
        <v>23</v>
      </c>
      <c r="O1286" t="s">
        <v>18</v>
      </c>
      <c r="P1286">
        <v>4</v>
      </c>
    </row>
    <row r="1287" spans="1:16" x14ac:dyDescent="0.3">
      <c r="A1287">
        <v>1802</v>
      </c>
      <c r="B1287">
        <v>43921</v>
      </c>
      <c r="C1287">
        <v>38</v>
      </c>
      <c r="D1287">
        <v>30176</v>
      </c>
      <c r="E1287" t="s">
        <v>14</v>
      </c>
      <c r="F1287" t="s">
        <v>15</v>
      </c>
      <c r="G1287" t="s">
        <v>40</v>
      </c>
      <c r="H1287" t="s">
        <v>8</v>
      </c>
      <c r="I1287" t="s">
        <v>9</v>
      </c>
      <c r="J1287" t="s">
        <v>20</v>
      </c>
      <c r="K1287" t="s">
        <v>26</v>
      </c>
      <c r="L1287" t="s">
        <v>12</v>
      </c>
      <c r="M1287" t="s">
        <v>35</v>
      </c>
      <c r="N1287" t="s">
        <v>30</v>
      </c>
      <c r="O1287" t="s">
        <v>18</v>
      </c>
      <c r="P1287">
        <v>2</v>
      </c>
    </row>
    <row r="1288" spans="1:16" x14ac:dyDescent="0.3">
      <c r="A1288">
        <v>1803</v>
      </c>
      <c r="B1288">
        <v>43780</v>
      </c>
      <c r="C1288">
        <v>37</v>
      </c>
      <c r="D1288">
        <v>30082</v>
      </c>
      <c r="E1288" t="s">
        <v>14</v>
      </c>
      <c r="F1288" t="s">
        <v>15</v>
      </c>
      <c r="G1288" t="s">
        <v>40</v>
      </c>
      <c r="H1288" t="s">
        <v>8</v>
      </c>
      <c r="I1288" t="s">
        <v>9</v>
      </c>
      <c r="J1288" t="s">
        <v>25</v>
      </c>
      <c r="K1288" t="s">
        <v>11</v>
      </c>
      <c r="L1288" t="s">
        <v>12</v>
      </c>
      <c r="M1288" t="s">
        <v>38</v>
      </c>
      <c r="N1288" t="s">
        <v>30</v>
      </c>
      <c r="O1288" t="s">
        <v>18</v>
      </c>
      <c r="P1288">
        <v>3</v>
      </c>
    </row>
    <row r="1289" spans="1:16" x14ac:dyDescent="0.3">
      <c r="A1289">
        <v>1804</v>
      </c>
      <c r="B1289">
        <v>44535</v>
      </c>
      <c r="C1289">
        <v>64</v>
      </c>
      <c r="D1289">
        <v>21021</v>
      </c>
      <c r="E1289" t="s">
        <v>14</v>
      </c>
      <c r="F1289" t="s">
        <v>22</v>
      </c>
      <c r="G1289" t="s">
        <v>17</v>
      </c>
      <c r="H1289" t="s">
        <v>8</v>
      </c>
      <c r="I1289" t="s">
        <v>9</v>
      </c>
      <c r="J1289" t="s">
        <v>20</v>
      </c>
      <c r="K1289" t="s">
        <v>19</v>
      </c>
      <c r="L1289" t="s">
        <v>12</v>
      </c>
      <c r="M1289" t="s">
        <v>35</v>
      </c>
      <c r="N1289" t="s">
        <v>23</v>
      </c>
      <c r="O1289" t="s">
        <v>18</v>
      </c>
      <c r="P1289">
        <v>3</v>
      </c>
    </row>
    <row r="1290" spans="1:16" x14ac:dyDescent="0.3">
      <c r="A1290">
        <v>1805</v>
      </c>
      <c r="B1290">
        <v>43451</v>
      </c>
      <c r="C1290">
        <v>49</v>
      </c>
      <c r="D1290">
        <v>25237</v>
      </c>
      <c r="E1290" t="s">
        <v>14</v>
      </c>
      <c r="F1290" t="s">
        <v>22</v>
      </c>
      <c r="G1290" t="s">
        <v>40</v>
      </c>
      <c r="H1290" t="s">
        <v>8</v>
      </c>
      <c r="I1290" t="s">
        <v>9</v>
      </c>
      <c r="J1290" t="s">
        <v>10</v>
      </c>
      <c r="K1290" t="s">
        <v>19</v>
      </c>
      <c r="L1290" t="s">
        <v>12</v>
      </c>
      <c r="M1290" t="s">
        <v>21</v>
      </c>
      <c r="N1290" t="s">
        <v>37</v>
      </c>
      <c r="O1290" t="s">
        <v>18</v>
      </c>
      <c r="P1290">
        <v>3</v>
      </c>
    </row>
    <row r="1291" spans="1:16" x14ac:dyDescent="0.3">
      <c r="A1291">
        <v>1806</v>
      </c>
      <c r="B1291">
        <v>44626</v>
      </c>
      <c r="C1291">
        <v>71</v>
      </c>
      <c r="D1291">
        <v>18804</v>
      </c>
      <c r="E1291" t="s">
        <v>14</v>
      </c>
      <c r="F1291" t="s">
        <v>22</v>
      </c>
      <c r="G1291" t="s">
        <v>31</v>
      </c>
      <c r="H1291" t="s">
        <v>8</v>
      </c>
      <c r="I1291" t="s">
        <v>9</v>
      </c>
      <c r="J1291" t="s">
        <v>20</v>
      </c>
      <c r="K1291" t="s">
        <v>19</v>
      </c>
      <c r="L1291" t="s">
        <v>12</v>
      </c>
      <c r="M1291" t="s">
        <v>32</v>
      </c>
      <c r="N1291" t="s">
        <v>46</v>
      </c>
      <c r="O1291" t="s">
        <v>18</v>
      </c>
      <c r="P1291">
        <v>2</v>
      </c>
    </row>
    <row r="1292" spans="1:16" x14ac:dyDescent="0.3">
      <c r="A1292">
        <v>1807</v>
      </c>
      <c r="B1292">
        <v>43712</v>
      </c>
      <c r="C1292">
        <v>40</v>
      </c>
      <c r="D1292">
        <v>29172</v>
      </c>
      <c r="E1292" t="s">
        <v>14</v>
      </c>
      <c r="F1292" t="s">
        <v>15</v>
      </c>
      <c r="G1292" t="s">
        <v>17</v>
      </c>
      <c r="H1292" t="s">
        <v>8</v>
      </c>
      <c r="I1292" t="s">
        <v>9</v>
      </c>
      <c r="J1292" t="s">
        <v>10</v>
      </c>
      <c r="K1292" t="s">
        <v>11</v>
      </c>
      <c r="L1292" t="s">
        <v>12</v>
      </c>
      <c r="M1292" t="s">
        <v>63</v>
      </c>
      <c r="N1292" t="s">
        <v>16</v>
      </c>
      <c r="O1292" t="s">
        <v>18</v>
      </c>
      <c r="P1292">
        <v>4</v>
      </c>
    </row>
    <row r="1293" spans="1:16" x14ac:dyDescent="0.3">
      <c r="A1293">
        <v>1808</v>
      </c>
      <c r="B1293">
        <v>45133</v>
      </c>
      <c r="C1293">
        <v>40</v>
      </c>
      <c r="D1293">
        <v>30584</v>
      </c>
      <c r="E1293" t="s">
        <v>14</v>
      </c>
      <c r="F1293" t="s">
        <v>15</v>
      </c>
      <c r="G1293" t="s">
        <v>34</v>
      </c>
      <c r="H1293" t="s">
        <v>8</v>
      </c>
      <c r="I1293" t="s">
        <v>9</v>
      </c>
      <c r="J1293" t="s">
        <v>20</v>
      </c>
      <c r="K1293" t="s">
        <v>19</v>
      </c>
      <c r="L1293" t="s">
        <v>12</v>
      </c>
      <c r="M1293" t="s">
        <v>49</v>
      </c>
      <c r="N1293" t="s">
        <v>37</v>
      </c>
      <c r="O1293" t="s">
        <v>18</v>
      </c>
      <c r="P1293">
        <v>2</v>
      </c>
    </row>
    <row r="1294" spans="1:16" x14ac:dyDescent="0.3">
      <c r="A1294">
        <v>1809</v>
      </c>
      <c r="B1294">
        <v>44914</v>
      </c>
      <c r="C1294">
        <v>56</v>
      </c>
      <c r="D1294">
        <v>24435</v>
      </c>
      <c r="E1294" t="s">
        <v>14</v>
      </c>
      <c r="F1294" t="s">
        <v>15</v>
      </c>
      <c r="G1294" t="s">
        <v>40</v>
      </c>
      <c r="H1294" t="s">
        <v>8</v>
      </c>
      <c r="I1294" t="s">
        <v>9</v>
      </c>
      <c r="J1294" t="s">
        <v>10</v>
      </c>
      <c r="K1294" t="s">
        <v>11</v>
      </c>
      <c r="L1294" t="s">
        <v>12</v>
      </c>
      <c r="M1294" t="s">
        <v>63</v>
      </c>
      <c r="N1294" t="s">
        <v>30</v>
      </c>
      <c r="O1294" t="s">
        <v>18</v>
      </c>
      <c r="P1294">
        <v>2</v>
      </c>
    </row>
    <row r="1295" spans="1:16" x14ac:dyDescent="0.3">
      <c r="A1295">
        <v>1810</v>
      </c>
      <c r="B1295">
        <v>44425</v>
      </c>
      <c r="C1295">
        <v>27</v>
      </c>
      <c r="D1295">
        <v>34668</v>
      </c>
      <c r="E1295" t="s">
        <v>14</v>
      </c>
      <c r="F1295" t="s">
        <v>22</v>
      </c>
      <c r="G1295" t="s">
        <v>40</v>
      </c>
      <c r="H1295" t="s">
        <v>8</v>
      </c>
      <c r="I1295" t="s">
        <v>9</v>
      </c>
      <c r="J1295" t="s">
        <v>25</v>
      </c>
      <c r="K1295" t="s">
        <v>19</v>
      </c>
      <c r="L1295" t="s">
        <v>12</v>
      </c>
      <c r="M1295" t="s">
        <v>32</v>
      </c>
      <c r="N1295" t="s">
        <v>37</v>
      </c>
      <c r="O1295" t="s">
        <v>18</v>
      </c>
      <c r="P1295">
        <v>1</v>
      </c>
    </row>
    <row r="1296" spans="1:16" x14ac:dyDescent="0.3">
      <c r="A1296">
        <v>1811</v>
      </c>
      <c r="B1296">
        <v>44723</v>
      </c>
      <c r="C1296">
        <v>45</v>
      </c>
      <c r="D1296">
        <v>28470</v>
      </c>
      <c r="E1296" t="s">
        <v>14</v>
      </c>
      <c r="F1296" t="s">
        <v>15</v>
      </c>
      <c r="G1296" t="s">
        <v>40</v>
      </c>
      <c r="H1296" t="s">
        <v>8</v>
      </c>
      <c r="I1296" t="s">
        <v>9</v>
      </c>
      <c r="J1296" t="s">
        <v>10</v>
      </c>
      <c r="K1296" t="s">
        <v>19</v>
      </c>
      <c r="L1296" t="s">
        <v>12</v>
      </c>
      <c r="M1296" t="s">
        <v>68</v>
      </c>
      <c r="N1296" t="s">
        <v>37</v>
      </c>
      <c r="O1296" t="s">
        <v>18</v>
      </c>
      <c r="P1296">
        <v>5</v>
      </c>
    </row>
    <row r="1297" spans="1:16" x14ac:dyDescent="0.3">
      <c r="A1297">
        <v>1812</v>
      </c>
      <c r="B1297">
        <v>44470</v>
      </c>
      <c r="C1297">
        <v>43</v>
      </c>
      <c r="D1297">
        <v>28609</v>
      </c>
      <c r="E1297" t="s">
        <v>14</v>
      </c>
      <c r="F1297" t="s">
        <v>15</v>
      </c>
      <c r="G1297" t="s">
        <v>17</v>
      </c>
      <c r="H1297" t="s">
        <v>8</v>
      </c>
      <c r="I1297" t="s">
        <v>66</v>
      </c>
      <c r="J1297" t="s">
        <v>10</v>
      </c>
      <c r="K1297" t="s">
        <v>19</v>
      </c>
      <c r="L1297" t="s">
        <v>12</v>
      </c>
      <c r="M1297" t="s">
        <v>32</v>
      </c>
      <c r="N1297" t="s">
        <v>37</v>
      </c>
      <c r="O1297" t="s">
        <v>18</v>
      </c>
      <c r="P1297">
        <v>2</v>
      </c>
    </row>
    <row r="1298" spans="1:16" x14ac:dyDescent="0.3">
      <c r="A1298">
        <v>1813</v>
      </c>
      <c r="B1298">
        <v>44047</v>
      </c>
      <c r="C1298">
        <v>40</v>
      </c>
      <c r="D1298">
        <v>29232</v>
      </c>
      <c r="E1298" t="s">
        <v>14</v>
      </c>
      <c r="F1298" t="s">
        <v>15</v>
      </c>
      <c r="G1298" t="s">
        <v>40</v>
      </c>
      <c r="H1298" t="s">
        <v>8</v>
      </c>
      <c r="I1298" t="s">
        <v>9</v>
      </c>
      <c r="J1298" t="s">
        <v>10</v>
      </c>
      <c r="K1298" t="s">
        <v>11</v>
      </c>
      <c r="L1298" t="s">
        <v>12</v>
      </c>
      <c r="M1298" t="s">
        <v>21</v>
      </c>
      <c r="N1298" t="s">
        <v>30</v>
      </c>
      <c r="O1298" t="s">
        <v>18</v>
      </c>
      <c r="P1298">
        <v>5</v>
      </c>
    </row>
    <row r="1299" spans="1:16" x14ac:dyDescent="0.3">
      <c r="A1299">
        <v>1814</v>
      </c>
      <c r="B1299">
        <v>44603</v>
      </c>
      <c r="C1299">
        <v>42</v>
      </c>
      <c r="D1299">
        <v>29288</v>
      </c>
      <c r="E1299" t="s">
        <v>14</v>
      </c>
      <c r="F1299" t="s">
        <v>15</v>
      </c>
      <c r="G1299" t="s">
        <v>17</v>
      </c>
      <c r="H1299" t="s">
        <v>8</v>
      </c>
      <c r="I1299" t="s">
        <v>9</v>
      </c>
      <c r="J1299" t="s">
        <v>25</v>
      </c>
      <c r="K1299" t="s">
        <v>19</v>
      </c>
      <c r="L1299" t="s">
        <v>12</v>
      </c>
      <c r="M1299" t="s">
        <v>59</v>
      </c>
      <c r="N1299" t="s">
        <v>37</v>
      </c>
      <c r="O1299" t="s">
        <v>18</v>
      </c>
      <c r="P1299">
        <v>3</v>
      </c>
    </row>
    <row r="1300" spans="1:16" x14ac:dyDescent="0.3">
      <c r="A1300">
        <v>1815</v>
      </c>
      <c r="B1300">
        <v>44004</v>
      </c>
      <c r="C1300">
        <v>59</v>
      </c>
      <c r="D1300">
        <v>22414</v>
      </c>
      <c r="E1300" t="s">
        <v>14</v>
      </c>
      <c r="F1300" t="s">
        <v>15</v>
      </c>
      <c r="G1300" t="s">
        <v>34</v>
      </c>
      <c r="H1300" t="s">
        <v>8</v>
      </c>
      <c r="I1300" t="s">
        <v>9</v>
      </c>
      <c r="J1300" t="s">
        <v>10</v>
      </c>
      <c r="K1300" t="s">
        <v>19</v>
      </c>
      <c r="L1300" t="s">
        <v>12</v>
      </c>
      <c r="M1300" t="s">
        <v>54</v>
      </c>
      <c r="N1300" t="s">
        <v>46</v>
      </c>
      <c r="O1300" t="s">
        <v>18</v>
      </c>
      <c r="P1300">
        <v>4</v>
      </c>
    </row>
    <row r="1301" spans="1:16" x14ac:dyDescent="0.3">
      <c r="A1301">
        <v>1816</v>
      </c>
      <c r="B1301">
        <v>44071</v>
      </c>
      <c r="C1301">
        <v>69</v>
      </c>
      <c r="D1301">
        <v>18758</v>
      </c>
      <c r="E1301" t="s">
        <v>14</v>
      </c>
      <c r="F1301" t="s">
        <v>15</v>
      </c>
      <c r="G1301" t="s">
        <v>31</v>
      </c>
      <c r="H1301" t="s">
        <v>64</v>
      </c>
      <c r="I1301" t="s">
        <v>9</v>
      </c>
      <c r="J1301" t="s">
        <v>10</v>
      </c>
      <c r="K1301" t="s">
        <v>19</v>
      </c>
      <c r="L1301" t="s">
        <v>12</v>
      </c>
      <c r="M1301" t="s">
        <v>32</v>
      </c>
      <c r="N1301" t="s">
        <v>30</v>
      </c>
      <c r="O1301" t="s">
        <v>18</v>
      </c>
      <c r="P1301">
        <v>3</v>
      </c>
    </row>
    <row r="1302" spans="1:16" x14ac:dyDescent="0.3">
      <c r="A1302">
        <v>1817</v>
      </c>
      <c r="B1302">
        <v>43591</v>
      </c>
      <c r="C1302">
        <v>32</v>
      </c>
      <c r="D1302">
        <v>31784</v>
      </c>
      <c r="E1302" t="s">
        <v>14</v>
      </c>
      <c r="F1302" t="s">
        <v>15</v>
      </c>
      <c r="G1302" t="s">
        <v>40</v>
      </c>
      <c r="H1302" t="s">
        <v>64</v>
      </c>
      <c r="I1302" t="s">
        <v>9</v>
      </c>
      <c r="J1302" t="s">
        <v>10</v>
      </c>
      <c r="K1302" t="s">
        <v>19</v>
      </c>
      <c r="L1302" t="s">
        <v>12</v>
      </c>
      <c r="M1302" t="s">
        <v>21</v>
      </c>
      <c r="N1302" t="s">
        <v>30</v>
      </c>
      <c r="O1302" t="s">
        <v>18</v>
      </c>
      <c r="P1302">
        <v>1</v>
      </c>
    </row>
    <row r="1303" spans="1:16" x14ac:dyDescent="0.3">
      <c r="A1303">
        <v>1818</v>
      </c>
      <c r="B1303">
        <v>44385</v>
      </c>
      <c r="C1303">
        <v>65</v>
      </c>
      <c r="D1303">
        <v>20461</v>
      </c>
      <c r="E1303" t="s">
        <v>14</v>
      </c>
      <c r="F1303" t="s">
        <v>22</v>
      </c>
      <c r="G1303" t="s">
        <v>17</v>
      </c>
      <c r="H1303" t="s">
        <v>64</v>
      </c>
      <c r="I1303" t="s">
        <v>9</v>
      </c>
      <c r="J1303" t="s">
        <v>10</v>
      </c>
      <c r="K1303" t="s">
        <v>11</v>
      </c>
      <c r="L1303" t="s">
        <v>12</v>
      </c>
      <c r="M1303" t="s">
        <v>63</v>
      </c>
      <c r="N1303" t="s">
        <v>23</v>
      </c>
      <c r="O1303" t="s">
        <v>18</v>
      </c>
      <c r="P1303">
        <v>1</v>
      </c>
    </row>
    <row r="1304" spans="1:16" x14ac:dyDescent="0.3">
      <c r="A1304">
        <v>1819</v>
      </c>
      <c r="B1304">
        <v>44744</v>
      </c>
      <c r="C1304">
        <v>74</v>
      </c>
      <c r="D1304">
        <v>17830</v>
      </c>
      <c r="E1304" t="s">
        <v>14</v>
      </c>
      <c r="F1304" t="s">
        <v>15</v>
      </c>
      <c r="G1304" t="s">
        <v>31</v>
      </c>
      <c r="H1304" t="s">
        <v>8</v>
      </c>
      <c r="I1304" t="s">
        <v>9</v>
      </c>
      <c r="J1304" t="s">
        <v>25</v>
      </c>
      <c r="K1304" t="s">
        <v>26</v>
      </c>
      <c r="L1304" t="s">
        <v>12</v>
      </c>
      <c r="M1304" t="s">
        <v>32</v>
      </c>
      <c r="N1304" t="s">
        <v>37</v>
      </c>
      <c r="O1304" t="s">
        <v>18</v>
      </c>
      <c r="P1304">
        <v>1</v>
      </c>
    </row>
    <row r="1305" spans="1:16" x14ac:dyDescent="0.3">
      <c r="A1305">
        <v>1820</v>
      </c>
      <c r="B1305">
        <v>45050</v>
      </c>
      <c r="C1305">
        <v>43</v>
      </c>
      <c r="D1305">
        <v>29252</v>
      </c>
      <c r="E1305" t="s">
        <v>14</v>
      </c>
      <c r="F1305" t="s">
        <v>15</v>
      </c>
      <c r="G1305" t="s">
        <v>40</v>
      </c>
      <c r="H1305" t="s">
        <v>8</v>
      </c>
      <c r="I1305" t="s">
        <v>9</v>
      </c>
      <c r="J1305" t="s">
        <v>25</v>
      </c>
      <c r="K1305" t="s">
        <v>11</v>
      </c>
      <c r="L1305" t="s">
        <v>12</v>
      </c>
      <c r="M1305" t="s">
        <v>58</v>
      </c>
      <c r="N1305" t="s">
        <v>37</v>
      </c>
      <c r="O1305" t="s">
        <v>18</v>
      </c>
      <c r="P1305">
        <v>4</v>
      </c>
    </row>
    <row r="1306" spans="1:16" x14ac:dyDescent="0.3">
      <c r="A1306">
        <v>1821</v>
      </c>
      <c r="B1306">
        <v>44914</v>
      </c>
      <c r="C1306">
        <v>42</v>
      </c>
      <c r="D1306">
        <v>29421</v>
      </c>
      <c r="E1306" t="s">
        <v>14</v>
      </c>
      <c r="F1306" t="s">
        <v>15</v>
      </c>
      <c r="G1306" t="s">
        <v>17</v>
      </c>
      <c r="H1306" t="s">
        <v>8</v>
      </c>
      <c r="I1306" t="s">
        <v>9</v>
      </c>
      <c r="J1306" t="s">
        <v>25</v>
      </c>
      <c r="K1306" t="s">
        <v>26</v>
      </c>
      <c r="L1306" t="s">
        <v>12</v>
      </c>
      <c r="M1306" t="s">
        <v>28</v>
      </c>
      <c r="N1306" t="s">
        <v>23</v>
      </c>
      <c r="O1306" t="s">
        <v>18</v>
      </c>
      <c r="P1306">
        <v>2</v>
      </c>
    </row>
    <row r="1307" spans="1:16" x14ac:dyDescent="0.3">
      <c r="A1307">
        <v>1822</v>
      </c>
      <c r="B1307">
        <v>44646</v>
      </c>
      <c r="C1307">
        <v>72</v>
      </c>
      <c r="D1307">
        <v>18621</v>
      </c>
      <c r="E1307" t="s">
        <v>14</v>
      </c>
      <c r="F1307" t="s">
        <v>15</v>
      </c>
      <c r="G1307" t="s">
        <v>17</v>
      </c>
      <c r="H1307" t="s">
        <v>8</v>
      </c>
      <c r="I1307" t="s">
        <v>9</v>
      </c>
      <c r="J1307" t="s">
        <v>10</v>
      </c>
      <c r="K1307" t="s">
        <v>11</v>
      </c>
      <c r="L1307" t="s">
        <v>12</v>
      </c>
      <c r="M1307" t="s">
        <v>59</v>
      </c>
      <c r="N1307" t="s">
        <v>37</v>
      </c>
      <c r="O1307" t="s">
        <v>18</v>
      </c>
      <c r="P1307">
        <v>2</v>
      </c>
    </row>
    <row r="1308" spans="1:16" x14ac:dyDescent="0.3">
      <c r="A1308">
        <v>1823</v>
      </c>
      <c r="B1308">
        <v>44325</v>
      </c>
      <c r="C1308">
        <v>61</v>
      </c>
      <c r="D1308">
        <v>22245</v>
      </c>
      <c r="E1308" t="s">
        <v>14</v>
      </c>
      <c r="F1308" t="s">
        <v>22</v>
      </c>
      <c r="G1308" t="s">
        <v>17</v>
      </c>
      <c r="H1308" t="s">
        <v>8</v>
      </c>
      <c r="I1308" t="s">
        <v>9</v>
      </c>
      <c r="J1308" t="s">
        <v>10</v>
      </c>
      <c r="K1308" t="s">
        <v>19</v>
      </c>
      <c r="L1308" t="s">
        <v>12</v>
      </c>
      <c r="M1308" t="s">
        <v>13</v>
      </c>
      <c r="N1308" t="s">
        <v>37</v>
      </c>
      <c r="O1308" t="s">
        <v>18</v>
      </c>
      <c r="P1308">
        <v>4</v>
      </c>
    </row>
    <row r="1309" spans="1:16" x14ac:dyDescent="0.3">
      <c r="A1309">
        <v>1824</v>
      </c>
      <c r="B1309">
        <v>43839</v>
      </c>
      <c r="C1309">
        <v>60</v>
      </c>
      <c r="D1309">
        <v>21977</v>
      </c>
      <c r="E1309" t="s">
        <v>14</v>
      </c>
      <c r="F1309" t="s">
        <v>22</v>
      </c>
      <c r="G1309" t="s">
        <v>34</v>
      </c>
      <c r="H1309" t="s">
        <v>8</v>
      </c>
      <c r="I1309" t="s">
        <v>9</v>
      </c>
      <c r="J1309" t="s">
        <v>10</v>
      </c>
      <c r="K1309" t="s">
        <v>26</v>
      </c>
      <c r="L1309" t="s">
        <v>12</v>
      </c>
      <c r="M1309" t="s">
        <v>63</v>
      </c>
      <c r="N1309" t="s">
        <v>30</v>
      </c>
      <c r="O1309" t="s">
        <v>18</v>
      </c>
      <c r="P1309">
        <v>1</v>
      </c>
    </row>
    <row r="1310" spans="1:16" x14ac:dyDescent="0.3">
      <c r="A1310">
        <v>1825</v>
      </c>
      <c r="B1310">
        <v>44332</v>
      </c>
      <c r="C1310">
        <v>25</v>
      </c>
      <c r="D1310">
        <v>35404</v>
      </c>
      <c r="E1310" t="s">
        <v>14</v>
      </c>
      <c r="F1310" t="s">
        <v>22</v>
      </c>
      <c r="G1310" t="s">
        <v>34</v>
      </c>
      <c r="H1310" t="s">
        <v>8</v>
      </c>
      <c r="I1310" t="s">
        <v>9</v>
      </c>
      <c r="J1310" t="s">
        <v>10</v>
      </c>
      <c r="K1310" t="s">
        <v>19</v>
      </c>
      <c r="L1310" t="s">
        <v>12</v>
      </c>
      <c r="M1310" t="s">
        <v>49</v>
      </c>
      <c r="N1310" t="s">
        <v>16</v>
      </c>
      <c r="O1310" t="s">
        <v>18</v>
      </c>
      <c r="P1310">
        <v>3</v>
      </c>
    </row>
    <row r="1311" spans="1:16" x14ac:dyDescent="0.3">
      <c r="A1311">
        <v>1826</v>
      </c>
      <c r="B1311">
        <v>44227</v>
      </c>
      <c r="C1311">
        <v>80</v>
      </c>
      <c r="D1311">
        <v>15297</v>
      </c>
      <c r="E1311" t="s">
        <v>14</v>
      </c>
      <c r="F1311" t="s">
        <v>15</v>
      </c>
      <c r="G1311" t="s">
        <v>17</v>
      </c>
      <c r="H1311" t="s">
        <v>8</v>
      </c>
      <c r="I1311" t="s">
        <v>9</v>
      </c>
      <c r="J1311" t="s">
        <v>20</v>
      </c>
      <c r="K1311" t="s">
        <v>26</v>
      </c>
      <c r="L1311" t="s">
        <v>12</v>
      </c>
      <c r="M1311" t="s">
        <v>21</v>
      </c>
      <c r="N1311" t="s">
        <v>30</v>
      </c>
      <c r="O1311" t="s">
        <v>41</v>
      </c>
      <c r="P1311">
        <v>2</v>
      </c>
    </row>
    <row r="1312" spans="1:16" x14ac:dyDescent="0.3">
      <c r="A1312">
        <v>1827</v>
      </c>
      <c r="B1312">
        <v>44458</v>
      </c>
      <c r="C1312">
        <v>39</v>
      </c>
      <c r="D1312">
        <v>30092</v>
      </c>
      <c r="E1312" t="s">
        <v>14</v>
      </c>
      <c r="F1312" t="s">
        <v>15</v>
      </c>
      <c r="G1312" t="s">
        <v>17</v>
      </c>
      <c r="H1312" t="s">
        <v>8</v>
      </c>
      <c r="I1312" t="s">
        <v>9</v>
      </c>
      <c r="J1312" t="s">
        <v>10</v>
      </c>
      <c r="K1312" t="s">
        <v>11</v>
      </c>
      <c r="L1312" t="s">
        <v>12</v>
      </c>
      <c r="M1312" t="s">
        <v>35</v>
      </c>
      <c r="N1312" t="s">
        <v>30</v>
      </c>
      <c r="O1312" t="s">
        <v>56</v>
      </c>
      <c r="P1312">
        <v>3</v>
      </c>
    </row>
    <row r="1313" spans="1:16" x14ac:dyDescent="0.3">
      <c r="A1313">
        <v>1828</v>
      </c>
      <c r="B1313">
        <v>43891</v>
      </c>
      <c r="C1313">
        <v>37</v>
      </c>
      <c r="D1313">
        <v>30415</v>
      </c>
      <c r="E1313" t="s">
        <v>14</v>
      </c>
      <c r="F1313" t="s">
        <v>22</v>
      </c>
      <c r="G1313" t="s">
        <v>40</v>
      </c>
      <c r="H1313" t="s">
        <v>8</v>
      </c>
      <c r="I1313" t="s">
        <v>9</v>
      </c>
      <c r="J1313" t="s">
        <v>20</v>
      </c>
      <c r="K1313" t="s">
        <v>26</v>
      </c>
      <c r="L1313" t="s">
        <v>12</v>
      </c>
      <c r="M1313" t="s">
        <v>59</v>
      </c>
      <c r="N1313" t="s">
        <v>37</v>
      </c>
      <c r="O1313" t="s">
        <v>41</v>
      </c>
      <c r="P1313">
        <v>3</v>
      </c>
    </row>
    <row r="1314" spans="1:16" x14ac:dyDescent="0.3">
      <c r="A1314">
        <v>1829</v>
      </c>
      <c r="B1314">
        <v>43890</v>
      </c>
      <c r="C1314">
        <v>33</v>
      </c>
      <c r="D1314">
        <v>32002</v>
      </c>
      <c r="E1314" t="s">
        <v>14</v>
      </c>
      <c r="F1314" t="s">
        <v>22</v>
      </c>
      <c r="G1314" t="s">
        <v>34</v>
      </c>
      <c r="H1314" t="s">
        <v>8</v>
      </c>
      <c r="I1314" t="s">
        <v>9</v>
      </c>
      <c r="J1314" t="s">
        <v>20</v>
      </c>
      <c r="K1314" t="s">
        <v>26</v>
      </c>
      <c r="L1314" t="s">
        <v>12</v>
      </c>
      <c r="M1314" t="s">
        <v>42</v>
      </c>
      <c r="N1314" t="s">
        <v>16</v>
      </c>
      <c r="O1314" t="s">
        <v>41</v>
      </c>
      <c r="P1314">
        <v>1</v>
      </c>
    </row>
    <row r="1315" spans="1:16" x14ac:dyDescent="0.3">
      <c r="A1315">
        <v>1830</v>
      </c>
      <c r="B1315">
        <v>43442</v>
      </c>
      <c r="C1315">
        <v>58</v>
      </c>
      <c r="D1315">
        <v>22246</v>
      </c>
      <c r="E1315" t="s">
        <v>14</v>
      </c>
      <c r="F1315" t="s">
        <v>15</v>
      </c>
      <c r="G1315" t="s">
        <v>34</v>
      </c>
      <c r="H1315" t="s">
        <v>8</v>
      </c>
      <c r="I1315" t="s">
        <v>9</v>
      </c>
      <c r="J1315" t="s">
        <v>25</v>
      </c>
      <c r="K1315" t="s">
        <v>19</v>
      </c>
      <c r="L1315" t="s">
        <v>12</v>
      </c>
      <c r="M1315" t="s">
        <v>13</v>
      </c>
      <c r="N1315" t="s">
        <v>37</v>
      </c>
      <c r="O1315" t="s">
        <v>56</v>
      </c>
      <c r="P1315">
        <v>4</v>
      </c>
    </row>
    <row r="1316" spans="1:16" x14ac:dyDescent="0.3">
      <c r="A1316">
        <v>1831</v>
      </c>
      <c r="B1316">
        <v>44738</v>
      </c>
      <c r="C1316">
        <v>52</v>
      </c>
      <c r="D1316">
        <v>25855</v>
      </c>
      <c r="E1316" t="s">
        <v>14</v>
      </c>
      <c r="F1316" t="s">
        <v>15</v>
      </c>
      <c r="G1316" t="s">
        <v>17</v>
      </c>
      <c r="H1316" t="s">
        <v>8</v>
      </c>
      <c r="I1316" t="s">
        <v>66</v>
      </c>
      <c r="J1316" t="s">
        <v>20</v>
      </c>
      <c r="K1316" t="s">
        <v>26</v>
      </c>
      <c r="L1316" t="s">
        <v>12</v>
      </c>
      <c r="M1316" t="s">
        <v>92</v>
      </c>
      <c r="N1316" t="s">
        <v>46</v>
      </c>
      <c r="O1316" t="s">
        <v>56</v>
      </c>
      <c r="P1316">
        <v>2</v>
      </c>
    </row>
    <row r="1317" spans="1:16" x14ac:dyDescent="0.3">
      <c r="A1317">
        <v>1832</v>
      </c>
      <c r="B1317">
        <v>43772</v>
      </c>
      <c r="C1317">
        <v>63</v>
      </c>
      <c r="D1317">
        <v>20607</v>
      </c>
      <c r="E1317" t="s">
        <v>14</v>
      </c>
      <c r="F1317" t="s">
        <v>15</v>
      </c>
      <c r="G1317" t="s">
        <v>34</v>
      </c>
      <c r="H1317" t="s">
        <v>8</v>
      </c>
      <c r="I1317" t="s">
        <v>9</v>
      </c>
      <c r="J1317" t="s">
        <v>10</v>
      </c>
      <c r="K1317" t="s">
        <v>19</v>
      </c>
      <c r="L1317" t="s">
        <v>12</v>
      </c>
      <c r="M1317" t="s">
        <v>42</v>
      </c>
      <c r="N1317" t="s">
        <v>16</v>
      </c>
      <c r="O1317" t="s">
        <v>56</v>
      </c>
      <c r="P1317">
        <v>2</v>
      </c>
    </row>
    <row r="1318" spans="1:16" x14ac:dyDescent="0.3">
      <c r="A1318">
        <v>1833</v>
      </c>
      <c r="B1318">
        <v>44927</v>
      </c>
      <c r="C1318">
        <v>40</v>
      </c>
      <c r="D1318">
        <v>30681</v>
      </c>
      <c r="E1318" t="s">
        <v>14</v>
      </c>
      <c r="F1318" t="s">
        <v>15</v>
      </c>
      <c r="G1318" t="s">
        <v>34</v>
      </c>
      <c r="H1318" t="s">
        <v>8</v>
      </c>
      <c r="I1318" t="s">
        <v>9</v>
      </c>
      <c r="J1318" t="s">
        <v>20</v>
      </c>
      <c r="K1318" t="s">
        <v>26</v>
      </c>
      <c r="L1318" t="s">
        <v>12</v>
      </c>
      <c r="M1318" t="s">
        <v>35</v>
      </c>
      <c r="N1318" t="s">
        <v>16</v>
      </c>
      <c r="O1318" t="s">
        <v>56</v>
      </c>
      <c r="P1318">
        <v>3</v>
      </c>
    </row>
    <row r="1319" spans="1:16" x14ac:dyDescent="0.3">
      <c r="A1319">
        <v>1834</v>
      </c>
      <c r="B1319">
        <v>44043</v>
      </c>
      <c r="C1319">
        <v>42</v>
      </c>
      <c r="D1319">
        <v>28746</v>
      </c>
      <c r="E1319" t="s">
        <v>14</v>
      </c>
      <c r="F1319" t="s">
        <v>15</v>
      </c>
      <c r="G1319" t="s">
        <v>40</v>
      </c>
      <c r="H1319" t="s">
        <v>64</v>
      </c>
      <c r="I1319" t="s">
        <v>9</v>
      </c>
      <c r="J1319" t="s">
        <v>10</v>
      </c>
      <c r="K1319" t="s">
        <v>11</v>
      </c>
      <c r="L1319" t="s">
        <v>12</v>
      </c>
      <c r="M1319" t="s">
        <v>54</v>
      </c>
      <c r="N1319" t="s">
        <v>16</v>
      </c>
      <c r="O1319" t="s">
        <v>56</v>
      </c>
      <c r="P1319">
        <v>5</v>
      </c>
    </row>
    <row r="1320" spans="1:16" x14ac:dyDescent="0.3">
      <c r="A1320">
        <v>1835</v>
      </c>
      <c r="B1320">
        <v>44449</v>
      </c>
      <c r="C1320">
        <v>39</v>
      </c>
      <c r="D1320">
        <v>30280</v>
      </c>
      <c r="E1320" t="s">
        <v>14</v>
      </c>
      <c r="F1320" t="s">
        <v>15</v>
      </c>
      <c r="G1320" t="s">
        <v>31</v>
      </c>
      <c r="H1320" t="s">
        <v>64</v>
      </c>
      <c r="I1320" t="s">
        <v>9</v>
      </c>
      <c r="J1320" t="s">
        <v>20</v>
      </c>
      <c r="K1320" t="s">
        <v>26</v>
      </c>
      <c r="L1320" t="s">
        <v>12</v>
      </c>
      <c r="M1320" t="s">
        <v>35</v>
      </c>
      <c r="N1320" t="s">
        <v>46</v>
      </c>
      <c r="O1320" t="s">
        <v>56</v>
      </c>
      <c r="P1320">
        <v>2</v>
      </c>
    </row>
    <row r="1321" spans="1:16" x14ac:dyDescent="0.3">
      <c r="A1321">
        <v>1836</v>
      </c>
      <c r="B1321">
        <v>43635</v>
      </c>
      <c r="C1321">
        <v>48</v>
      </c>
      <c r="D1321">
        <v>25947</v>
      </c>
      <c r="E1321" t="s">
        <v>14</v>
      </c>
      <c r="F1321" t="s">
        <v>22</v>
      </c>
      <c r="G1321" t="s">
        <v>40</v>
      </c>
      <c r="H1321" t="s">
        <v>64</v>
      </c>
      <c r="I1321" t="s">
        <v>9</v>
      </c>
      <c r="J1321" t="s">
        <v>20</v>
      </c>
      <c r="K1321" t="s">
        <v>26</v>
      </c>
      <c r="L1321" t="s">
        <v>12</v>
      </c>
      <c r="M1321" t="s">
        <v>35</v>
      </c>
      <c r="N1321" t="s">
        <v>23</v>
      </c>
      <c r="O1321" t="s">
        <v>56</v>
      </c>
      <c r="P1321">
        <v>4</v>
      </c>
    </row>
    <row r="1322" spans="1:16" x14ac:dyDescent="0.3">
      <c r="A1322">
        <v>1837</v>
      </c>
      <c r="B1322">
        <v>44424</v>
      </c>
      <c r="C1322">
        <v>46</v>
      </c>
      <c r="D1322">
        <v>27562</v>
      </c>
      <c r="E1322" t="s">
        <v>14</v>
      </c>
      <c r="F1322" t="s">
        <v>15</v>
      </c>
      <c r="G1322" t="s">
        <v>40</v>
      </c>
      <c r="H1322" t="s">
        <v>64</v>
      </c>
      <c r="I1322" t="s">
        <v>9</v>
      </c>
      <c r="J1322" t="s">
        <v>20</v>
      </c>
      <c r="K1322" t="s">
        <v>26</v>
      </c>
      <c r="L1322" t="s">
        <v>12</v>
      </c>
      <c r="M1322" t="s">
        <v>54</v>
      </c>
      <c r="N1322" t="s">
        <v>46</v>
      </c>
      <c r="O1322" t="s">
        <v>56</v>
      </c>
      <c r="P1322">
        <v>3</v>
      </c>
    </row>
    <row r="1323" spans="1:16" x14ac:dyDescent="0.3">
      <c r="A1323">
        <v>1838</v>
      </c>
      <c r="B1323">
        <v>43654</v>
      </c>
      <c r="C1323">
        <v>61</v>
      </c>
      <c r="D1323">
        <v>21444</v>
      </c>
      <c r="E1323" t="s">
        <v>14</v>
      </c>
      <c r="F1323" t="s">
        <v>15</v>
      </c>
      <c r="G1323" t="s">
        <v>17</v>
      </c>
      <c r="H1323" t="s">
        <v>8</v>
      </c>
      <c r="I1323" t="s">
        <v>9</v>
      </c>
      <c r="J1323" t="s">
        <v>20</v>
      </c>
      <c r="K1323" t="s">
        <v>19</v>
      </c>
      <c r="L1323" t="s">
        <v>12</v>
      </c>
      <c r="M1323" t="s">
        <v>21</v>
      </c>
      <c r="N1323" t="s">
        <v>16</v>
      </c>
      <c r="O1323" t="s">
        <v>41</v>
      </c>
      <c r="P1323">
        <v>1</v>
      </c>
    </row>
    <row r="1324" spans="1:16" x14ac:dyDescent="0.3">
      <c r="A1324">
        <v>1839</v>
      </c>
      <c r="B1324">
        <v>44425</v>
      </c>
      <c r="C1324">
        <v>53</v>
      </c>
      <c r="D1324">
        <v>24926</v>
      </c>
      <c r="E1324" t="s">
        <v>14</v>
      </c>
      <c r="F1324" t="s">
        <v>15</v>
      </c>
      <c r="G1324" t="s">
        <v>31</v>
      </c>
      <c r="H1324" t="s">
        <v>8</v>
      </c>
      <c r="I1324" t="s">
        <v>9</v>
      </c>
      <c r="J1324" t="s">
        <v>25</v>
      </c>
      <c r="K1324" t="s">
        <v>19</v>
      </c>
      <c r="L1324" t="s">
        <v>12</v>
      </c>
      <c r="M1324" t="s">
        <v>62</v>
      </c>
      <c r="N1324" t="s">
        <v>30</v>
      </c>
      <c r="O1324" t="s">
        <v>41</v>
      </c>
      <c r="P1324">
        <v>3</v>
      </c>
    </row>
    <row r="1325" spans="1:16" x14ac:dyDescent="0.3">
      <c r="A1325">
        <v>1840</v>
      </c>
      <c r="B1325">
        <v>44204</v>
      </c>
      <c r="C1325">
        <v>52</v>
      </c>
      <c r="D1325">
        <v>25422</v>
      </c>
      <c r="E1325" t="s">
        <v>14</v>
      </c>
      <c r="F1325" t="s">
        <v>15</v>
      </c>
      <c r="G1325" t="s">
        <v>31</v>
      </c>
      <c r="H1325" t="s">
        <v>8</v>
      </c>
      <c r="I1325" t="s">
        <v>9</v>
      </c>
      <c r="J1325" t="s">
        <v>25</v>
      </c>
      <c r="K1325" t="s">
        <v>26</v>
      </c>
      <c r="L1325" t="s">
        <v>12</v>
      </c>
      <c r="M1325" t="s">
        <v>38</v>
      </c>
      <c r="N1325" t="s">
        <v>23</v>
      </c>
      <c r="O1325" t="s">
        <v>41</v>
      </c>
      <c r="P1325">
        <v>1</v>
      </c>
    </row>
    <row r="1326" spans="1:16" x14ac:dyDescent="0.3">
      <c r="A1326">
        <v>1841</v>
      </c>
      <c r="B1326">
        <v>43326</v>
      </c>
      <c r="C1326">
        <v>60</v>
      </c>
      <c r="D1326">
        <v>21477</v>
      </c>
      <c r="E1326" t="s">
        <v>14</v>
      </c>
      <c r="F1326" t="s">
        <v>15</v>
      </c>
      <c r="G1326" t="s">
        <v>17</v>
      </c>
      <c r="H1326" t="s">
        <v>8</v>
      </c>
      <c r="I1326" t="s">
        <v>9</v>
      </c>
      <c r="J1326" t="s">
        <v>10</v>
      </c>
      <c r="K1326" t="s">
        <v>26</v>
      </c>
      <c r="L1326" t="s">
        <v>12</v>
      </c>
      <c r="M1326" t="s">
        <v>35</v>
      </c>
      <c r="N1326" t="s">
        <v>23</v>
      </c>
      <c r="O1326" t="s">
        <v>41</v>
      </c>
      <c r="P1326">
        <v>5</v>
      </c>
    </row>
    <row r="1327" spans="1:16" x14ac:dyDescent="0.3">
      <c r="A1327">
        <v>1842</v>
      </c>
      <c r="B1327">
        <v>44407</v>
      </c>
      <c r="C1327">
        <v>23</v>
      </c>
      <c r="D1327">
        <v>35925</v>
      </c>
      <c r="E1327" t="s">
        <v>14</v>
      </c>
      <c r="F1327" t="s">
        <v>22</v>
      </c>
      <c r="G1327" t="s">
        <v>40</v>
      </c>
      <c r="H1327" t="s">
        <v>8</v>
      </c>
      <c r="I1327" t="s">
        <v>9</v>
      </c>
      <c r="J1327" t="s">
        <v>20</v>
      </c>
      <c r="K1327" t="s">
        <v>26</v>
      </c>
      <c r="L1327" t="s">
        <v>12</v>
      </c>
      <c r="M1327" t="s">
        <v>32</v>
      </c>
      <c r="N1327" t="s">
        <v>46</v>
      </c>
      <c r="O1327" t="s">
        <v>41</v>
      </c>
      <c r="P1327">
        <v>4</v>
      </c>
    </row>
    <row r="1328" spans="1:16" x14ac:dyDescent="0.3">
      <c r="A1328">
        <v>1843</v>
      </c>
      <c r="B1328">
        <v>45024</v>
      </c>
      <c r="C1328">
        <v>60</v>
      </c>
      <c r="D1328">
        <v>23023</v>
      </c>
      <c r="E1328" t="s">
        <v>14</v>
      </c>
      <c r="F1328" t="s">
        <v>22</v>
      </c>
      <c r="G1328" t="s">
        <v>34</v>
      </c>
      <c r="H1328" t="s">
        <v>8</v>
      </c>
      <c r="I1328" t="s">
        <v>9</v>
      </c>
      <c r="J1328" t="s">
        <v>25</v>
      </c>
      <c r="K1328" t="s">
        <v>11</v>
      </c>
      <c r="L1328" t="s">
        <v>12</v>
      </c>
      <c r="M1328" t="s">
        <v>42</v>
      </c>
      <c r="N1328" t="s">
        <v>23</v>
      </c>
      <c r="O1328" t="s">
        <v>56</v>
      </c>
      <c r="P1328">
        <v>5</v>
      </c>
    </row>
    <row r="1329" spans="1:16" x14ac:dyDescent="0.3">
      <c r="A1329">
        <v>1844</v>
      </c>
      <c r="B1329">
        <v>43719</v>
      </c>
      <c r="C1329">
        <v>55</v>
      </c>
      <c r="D1329">
        <v>23704</v>
      </c>
      <c r="E1329" t="s">
        <v>14</v>
      </c>
      <c r="F1329" t="s">
        <v>15</v>
      </c>
      <c r="G1329" t="s">
        <v>31</v>
      </c>
      <c r="H1329" t="s">
        <v>8</v>
      </c>
      <c r="I1329" t="s">
        <v>9</v>
      </c>
      <c r="J1329" t="s">
        <v>20</v>
      </c>
      <c r="K1329" t="s">
        <v>19</v>
      </c>
      <c r="L1329" t="s">
        <v>12</v>
      </c>
      <c r="M1329" t="s">
        <v>32</v>
      </c>
      <c r="N1329" t="s">
        <v>30</v>
      </c>
      <c r="O1329" t="s">
        <v>41</v>
      </c>
      <c r="P1329">
        <v>1</v>
      </c>
    </row>
    <row r="1330" spans="1:16" x14ac:dyDescent="0.3">
      <c r="A1330">
        <v>1845</v>
      </c>
      <c r="B1330">
        <v>43895</v>
      </c>
      <c r="C1330">
        <v>79</v>
      </c>
      <c r="D1330">
        <v>15333</v>
      </c>
      <c r="E1330" t="s">
        <v>14</v>
      </c>
      <c r="F1330" t="s">
        <v>15</v>
      </c>
      <c r="G1330" t="s">
        <v>31</v>
      </c>
      <c r="H1330" t="s">
        <v>8</v>
      </c>
      <c r="I1330" t="s">
        <v>9</v>
      </c>
      <c r="J1330" t="s">
        <v>20</v>
      </c>
      <c r="K1330" t="s">
        <v>19</v>
      </c>
      <c r="L1330" t="s">
        <v>12</v>
      </c>
      <c r="M1330" t="s">
        <v>21</v>
      </c>
      <c r="N1330" t="s">
        <v>37</v>
      </c>
      <c r="O1330" t="s">
        <v>56</v>
      </c>
      <c r="P1330">
        <v>2</v>
      </c>
    </row>
    <row r="1331" spans="1:16" x14ac:dyDescent="0.3">
      <c r="A1331">
        <v>1846</v>
      </c>
      <c r="B1331">
        <v>43801</v>
      </c>
      <c r="C1331">
        <v>73</v>
      </c>
      <c r="D1331">
        <v>17130</v>
      </c>
      <c r="E1331" t="s">
        <v>14</v>
      </c>
      <c r="F1331" t="s">
        <v>22</v>
      </c>
      <c r="G1331" t="s">
        <v>31</v>
      </c>
      <c r="H1331" t="s">
        <v>8</v>
      </c>
      <c r="I1331" t="s">
        <v>9</v>
      </c>
      <c r="J1331" t="s">
        <v>25</v>
      </c>
      <c r="K1331" t="s">
        <v>11</v>
      </c>
      <c r="L1331" t="s">
        <v>12</v>
      </c>
      <c r="M1331" t="s">
        <v>21</v>
      </c>
      <c r="N1331" t="s">
        <v>37</v>
      </c>
      <c r="O1331" t="s">
        <v>56</v>
      </c>
      <c r="P1331">
        <v>4</v>
      </c>
    </row>
    <row r="1332" spans="1:16" x14ac:dyDescent="0.3">
      <c r="A1332">
        <v>1847</v>
      </c>
      <c r="B1332">
        <v>44898</v>
      </c>
      <c r="C1332">
        <v>22</v>
      </c>
      <c r="D1332">
        <v>36815</v>
      </c>
      <c r="E1332" t="s">
        <v>14</v>
      </c>
      <c r="F1332" t="s">
        <v>22</v>
      </c>
      <c r="G1332" t="s">
        <v>40</v>
      </c>
      <c r="H1332" t="s">
        <v>8</v>
      </c>
      <c r="I1332" t="s">
        <v>9</v>
      </c>
      <c r="J1332" t="s">
        <v>25</v>
      </c>
      <c r="K1332" t="s">
        <v>11</v>
      </c>
      <c r="L1332" t="s">
        <v>12</v>
      </c>
      <c r="M1332" t="s">
        <v>54</v>
      </c>
      <c r="N1332" t="s">
        <v>30</v>
      </c>
      <c r="O1332" t="s">
        <v>56</v>
      </c>
      <c r="P1332">
        <v>2</v>
      </c>
    </row>
    <row r="1333" spans="1:16" x14ac:dyDescent="0.3">
      <c r="A1333">
        <v>1848</v>
      </c>
      <c r="B1333">
        <v>44553</v>
      </c>
      <c r="C1333">
        <v>21</v>
      </c>
      <c r="D1333">
        <v>36816</v>
      </c>
      <c r="E1333" t="s">
        <v>14</v>
      </c>
      <c r="F1333" t="s">
        <v>22</v>
      </c>
      <c r="G1333" t="s">
        <v>40</v>
      </c>
      <c r="H1333" t="s">
        <v>8</v>
      </c>
      <c r="I1333" t="s">
        <v>9</v>
      </c>
      <c r="J1333" t="s">
        <v>10</v>
      </c>
      <c r="K1333" t="s">
        <v>11</v>
      </c>
      <c r="L1333" t="s">
        <v>12</v>
      </c>
      <c r="M1333" t="s">
        <v>42</v>
      </c>
      <c r="N1333" t="s">
        <v>37</v>
      </c>
      <c r="O1333" t="s">
        <v>65</v>
      </c>
      <c r="P1333">
        <v>4</v>
      </c>
    </row>
    <row r="1334" spans="1:16" x14ac:dyDescent="0.3">
      <c r="A1334">
        <v>1849</v>
      </c>
      <c r="B1334">
        <v>44589</v>
      </c>
      <c r="C1334">
        <v>62</v>
      </c>
      <c r="D1334">
        <v>22064</v>
      </c>
      <c r="E1334" t="s">
        <v>14</v>
      </c>
      <c r="F1334" t="s">
        <v>15</v>
      </c>
      <c r="G1334" t="s">
        <v>40</v>
      </c>
      <c r="H1334" t="s">
        <v>8</v>
      </c>
      <c r="I1334" t="s">
        <v>9</v>
      </c>
      <c r="J1334" t="s">
        <v>20</v>
      </c>
      <c r="K1334" t="s">
        <v>26</v>
      </c>
      <c r="L1334" t="s">
        <v>12</v>
      </c>
      <c r="M1334" t="s">
        <v>54</v>
      </c>
      <c r="N1334" t="s">
        <v>23</v>
      </c>
      <c r="O1334" t="s">
        <v>65</v>
      </c>
      <c r="P1334">
        <v>4</v>
      </c>
    </row>
    <row r="1335" spans="1:16" x14ac:dyDescent="0.3">
      <c r="A1335">
        <v>1850</v>
      </c>
      <c r="B1335">
        <v>43814</v>
      </c>
      <c r="C1335">
        <v>23</v>
      </c>
      <c r="D1335">
        <v>35361</v>
      </c>
      <c r="E1335" t="s">
        <v>14</v>
      </c>
      <c r="F1335" t="s">
        <v>15</v>
      </c>
      <c r="G1335" t="s">
        <v>34</v>
      </c>
      <c r="H1335" t="s">
        <v>8</v>
      </c>
      <c r="I1335" t="s">
        <v>66</v>
      </c>
      <c r="J1335" t="s">
        <v>10</v>
      </c>
      <c r="K1335" t="s">
        <v>19</v>
      </c>
      <c r="L1335" t="s">
        <v>12</v>
      </c>
      <c r="M1335" t="s">
        <v>21</v>
      </c>
      <c r="N1335" t="s">
        <v>16</v>
      </c>
      <c r="O1335" t="s">
        <v>65</v>
      </c>
      <c r="P1335">
        <v>1</v>
      </c>
    </row>
    <row r="1336" spans="1:16" x14ac:dyDescent="0.3">
      <c r="A1336">
        <v>1851</v>
      </c>
      <c r="B1336">
        <v>44511</v>
      </c>
      <c r="C1336">
        <v>54</v>
      </c>
      <c r="D1336">
        <v>24774</v>
      </c>
      <c r="E1336" t="s">
        <v>14</v>
      </c>
      <c r="F1336" t="s">
        <v>15</v>
      </c>
      <c r="G1336" t="s">
        <v>31</v>
      </c>
      <c r="H1336" t="s">
        <v>8</v>
      </c>
      <c r="I1336" t="s">
        <v>66</v>
      </c>
      <c r="J1336" t="s">
        <v>25</v>
      </c>
      <c r="K1336" t="s">
        <v>26</v>
      </c>
      <c r="L1336" t="s">
        <v>12</v>
      </c>
      <c r="M1336" t="s">
        <v>32</v>
      </c>
      <c r="N1336" t="s">
        <v>23</v>
      </c>
      <c r="O1336" t="s">
        <v>65</v>
      </c>
      <c r="P1336">
        <v>1</v>
      </c>
    </row>
    <row r="1337" spans="1:16" x14ac:dyDescent="0.3">
      <c r="A1337">
        <v>1852</v>
      </c>
      <c r="B1337">
        <v>43511</v>
      </c>
      <c r="C1337">
        <v>38</v>
      </c>
      <c r="D1337">
        <v>29877</v>
      </c>
      <c r="E1337" t="s">
        <v>14</v>
      </c>
      <c r="F1337" t="s">
        <v>15</v>
      </c>
      <c r="G1337" t="s">
        <v>31</v>
      </c>
      <c r="H1337" t="s">
        <v>8</v>
      </c>
      <c r="I1337" t="s">
        <v>66</v>
      </c>
      <c r="J1337" t="s">
        <v>25</v>
      </c>
      <c r="K1337" t="s">
        <v>19</v>
      </c>
      <c r="L1337" t="s">
        <v>12</v>
      </c>
      <c r="M1337" t="s">
        <v>32</v>
      </c>
      <c r="N1337" t="s">
        <v>37</v>
      </c>
      <c r="O1337" t="s">
        <v>65</v>
      </c>
      <c r="P1337">
        <v>4</v>
      </c>
    </row>
    <row r="1338" spans="1:16" x14ac:dyDescent="0.3">
      <c r="A1338">
        <v>1853</v>
      </c>
      <c r="B1338">
        <v>44651</v>
      </c>
      <c r="C1338">
        <v>65</v>
      </c>
      <c r="D1338">
        <v>21178</v>
      </c>
      <c r="E1338" t="s">
        <v>14</v>
      </c>
      <c r="F1338" t="s">
        <v>15</v>
      </c>
      <c r="G1338" t="s">
        <v>40</v>
      </c>
      <c r="H1338" t="s">
        <v>64</v>
      </c>
      <c r="I1338" t="s">
        <v>9</v>
      </c>
      <c r="J1338" t="s">
        <v>10</v>
      </c>
      <c r="K1338" t="s">
        <v>26</v>
      </c>
      <c r="L1338" t="s">
        <v>12</v>
      </c>
      <c r="M1338" t="s">
        <v>59</v>
      </c>
      <c r="N1338" t="s">
        <v>30</v>
      </c>
      <c r="O1338" t="s">
        <v>65</v>
      </c>
      <c r="P1338">
        <v>3</v>
      </c>
    </row>
    <row r="1339" spans="1:16" x14ac:dyDescent="0.3">
      <c r="A1339">
        <v>1854</v>
      </c>
      <c r="B1339">
        <v>44129</v>
      </c>
      <c r="C1339">
        <v>58</v>
      </c>
      <c r="D1339">
        <v>22887</v>
      </c>
      <c r="E1339" t="s">
        <v>14</v>
      </c>
      <c r="F1339" t="s">
        <v>15</v>
      </c>
      <c r="G1339" t="s">
        <v>34</v>
      </c>
      <c r="H1339" t="s">
        <v>64</v>
      </c>
      <c r="I1339" t="s">
        <v>9</v>
      </c>
      <c r="J1339" t="s">
        <v>10</v>
      </c>
      <c r="K1339" t="s">
        <v>19</v>
      </c>
      <c r="L1339" t="s">
        <v>12</v>
      </c>
      <c r="M1339" t="s">
        <v>58</v>
      </c>
      <c r="N1339" t="s">
        <v>46</v>
      </c>
      <c r="O1339" t="s">
        <v>65</v>
      </c>
      <c r="P1339">
        <v>2</v>
      </c>
    </row>
    <row r="1340" spans="1:16" x14ac:dyDescent="0.3">
      <c r="A1340">
        <v>1855</v>
      </c>
      <c r="B1340">
        <v>44767</v>
      </c>
      <c r="C1340">
        <v>75</v>
      </c>
      <c r="D1340">
        <v>17306</v>
      </c>
      <c r="E1340" t="s">
        <v>14</v>
      </c>
      <c r="F1340" t="s">
        <v>22</v>
      </c>
      <c r="G1340" t="s">
        <v>34</v>
      </c>
      <c r="H1340" t="s">
        <v>64</v>
      </c>
      <c r="I1340" t="s">
        <v>66</v>
      </c>
      <c r="J1340" t="s">
        <v>20</v>
      </c>
      <c r="K1340" t="s">
        <v>26</v>
      </c>
      <c r="L1340" t="s">
        <v>12</v>
      </c>
      <c r="M1340" t="s">
        <v>32</v>
      </c>
      <c r="N1340" t="s">
        <v>30</v>
      </c>
      <c r="O1340" t="s">
        <v>41</v>
      </c>
      <c r="P1340">
        <v>3</v>
      </c>
    </row>
    <row r="1341" spans="1:16" x14ac:dyDescent="0.3">
      <c r="A1341">
        <v>1856</v>
      </c>
      <c r="B1341">
        <v>44410</v>
      </c>
      <c r="C1341">
        <v>49</v>
      </c>
      <c r="D1341">
        <v>26561</v>
      </c>
      <c r="E1341" t="s">
        <v>14</v>
      </c>
      <c r="F1341" t="s">
        <v>15</v>
      </c>
      <c r="G1341" t="s">
        <v>17</v>
      </c>
      <c r="H1341" t="s">
        <v>64</v>
      </c>
      <c r="I1341" t="s">
        <v>9</v>
      </c>
      <c r="J1341" t="s">
        <v>25</v>
      </c>
      <c r="K1341" t="s">
        <v>19</v>
      </c>
      <c r="L1341" t="s">
        <v>12</v>
      </c>
      <c r="M1341" t="s">
        <v>35</v>
      </c>
      <c r="N1341" t="s">
        <v>37</v>
      </c>
      <c r="O1341" t="s">
        <v>41</v>
      </c>
      <c r="P1341">
        <v>3</v>
      </c>
    </row>
    <row r="1342" spans="1:16" x14ac:dyDescent="0.3">
      <c r="A1342">
        <v>1857</v>
      </c>
      <c r="B1342">
        <v>44513</v>
      </c>
      <c r="C1342">
        <v>65</v>
      </c>
      <c r="D1342">
        <v>20610</v>
      </c>
      <c r="E1342" t="s">
        <v>14</v>
      </c>
      <c r="F1342" t="s">
        <v>22</v>
      </c>
      <c r="G1342" t="s">
        <v>40</v>
      </c>
      <c r="H1342" t="s">
        <v>64</v>
      </c>
      <c r="I1342" t="s">
        <v>66</v>
      </c>
      <c r="J1342" t="s">
        <v>10</v>
      </c>
      <c r="K1342" t="s">
        <v>11</v>
      </c>
      <c r="L1342" t="s">
        <v>12</v>
      </c>
      <c r="M1342" t="s">
        <v>67</v>
      </c>
      <c r="N1342" t="s">
        <v>30</v>
      </c>
      <c r="O1342" t="s">
        <v>41</v>
      </c>
      <c r="P1342">
        <v>4</v>
      </c>
    </row>
    <row r="1343" spans="1:16" x14ac:dyDescent="0.3">
      <c r="A1343">
        <v>1858</v>
      </c>
      <c r="B1343">
        <v>43592</v>
      </c>
      <c r="C1343">
        <v>31</v>
      </c>
      <c r="D1343">
        <v>32193</v>
      </c>
      <c r="E1343" t="s">
        <v>14</v>
      </c>
      <c r="F1343" t="s">
        <v>15</v>
      </c>
      <c r="G1343" t="s">
        <v>17</v>
      </c>
      <c r="H1343" t="s">
        <v>8</v>
      </c>
      <c r="I1343" t="s">
        <v>9</v>
      </c>
      <c r="J1343" t="s">
        <v>10</v>
      </c>
      <c r="K1343" t="s">
        <v>19</v>
      </c>
      <c r="L1343" t="s">
        <v>12</v>
      </c>
      <c r="M1343" t="s">
        <v>59</v>
      </c>
      <c r="N1343" t="s">
        <v>46</v>
      </c>
      <c r="O1343" t="s">
        <v>41</v>
      </c>
      <c r="P1343">
        <v>4</v>
      </c>
    </row>
    <row r="1344" spans="1:16" x14ac:dyDescent="0.3">
      <c r="A1344">
        <v>1859</v>
      </c>
      <c r="B1344">
        <v>44196</v>
      </c>
      <c r="C1344">
        <v>38</v>
      </c>
      <c r="D1344">
        <v>30299</v>
      </c>
      <c r="E1344" t="s">
        <v>14</v>
      </c>
      <c r="F1344" t="s">
        <v>15</v>
      </c>
      <c r="G1344" t="s">
        <v>34</v>
      </c>
      <c r="H1344" t="s">
        <v>8</v>
      </c>
      <c r="I1344" t="s">
        <v>9</v>
      </c>
      <c r="J1344" t="s">
        <v>10</v>
      </c>
      <c r="K1344" t="s">
        <v>19</v>
      </c>
      <c r="L1344" t="s">
        <v>12</v>
      </c>
      <c r="M1344" t="s">
        <v>35</v>
      </c>
      <c r="N1344" t="s">
        <v>23</v>
      </c>
      <c r="O1344" t="s">
        <v>41</v>
      </c>
      <c r="P1344">
        <v>2</v>
      </c>
    </row>
    <row r="1345" spans="1:16" x14ac:dyDescent="0.3">
      <c r="A1345">
        <v>1860</v>
      </c>
      <c r="B1345">
        <v>43809</v>
      </c>
      <c r="C1345">
        <v>19</v>
      </c>
      <c r="D1345">
        <v>36686</v>
      </c>
      <c r="E1345" t="s">
        <v>14</v>
      </c>
      <c r="F1345" t="s">
        <v>15</v>
      </c>
      <c r="G1345" t="s">
        <v>40</v>
      </c>
      <c r="H1345" t="s">
        <v>8</v>
      </c>
      <c r="I1345" t="s">
        <v>66</v>
      </c>
      <c r="J1345" t="s">
        <v>20</v>
      </c>
      <c r="K1345" t="s">
        <v>26</v>
      </c>
      <c r="L1345" t="s">
        <v>12</v>
      </c>
      <c r="M1345" t="s">
        <v>54</v>
      </c>
      <c r="N1345" t="s">
        <v>46</v>
      </c>
      <c r="O1345" t="s">
        <v>41</v>
      </c>
      <c r="P1345">
        <v>4</v>
      </c>
    </row>
    <row r="1346" spans="1:16" x14ac:dyDescent="0.3">
      <c r="A1346">
        <v>1861</v>
      </c>
      <c r="B1346">
        <v>43993</v>
      </c>
      <c r="C1346">
        <v>69</v>
      </c>
      <c r="D1346">
        <v>18943</v>
      </c>
      <c r="E1346" t="s">
        <v>14</v>
      </c>
      <c r="F1346" t="s">
        <v>22</v>
      </c>
      <c r="G1346" t="s">
        <v>17</v>
      </c>
      <c r="H1346" t="s">
        <v>8</v>
      </c>
      <c r="I1346" t="s">
        <v>9</v>
      </c>
      <c r="J1346" t="s">
        <v>10</v>
      </c>
      <c r="K1346" t="s">
        <v>19</v>
      </c>
      <c r="L1346" t="s">
        <v>12</v>
      </c>
      <c r="M1346" t="s">
        <v>59</v>
      </c>
      <c r="N1346" t="s">
        <v>37</v>
      </c>
      <c r="O1346" t="s">
        <v>41</v>
      </c>
      <c r="P1346">
        <v>2</v>
      </c>
    </row>
    <row r="1347" spans="1:16" x14ac:dyDescent="0.3">
      <c r="A1347">
        <v>1862</v>
      </c>
      <c r="B1347">
        <v>44438</v>
      </c>
      <c r="C1347">
        <v>36</v>
      </c>
      <c r="D1347">
        <v>31131</v>
      </c>
      <c r="E1347" t="s">
        <v>14</v>
      </c>
      <c r="F1347" t="s">
        <v>22</v>
      </c>
      <c r="G1347" t="s">
        <v>31</v>
      </c>
      <c r="H1347" t="s">
        <v>8</v>
      </c>
      <c r="I1347" t="s">
        <v>9</v>
      </c>
      <c r="J1347" t="s">
        <v>25</v>
      </c>
      <c r="K1347" t="s">
        <v>11</v>
      </c>
      <c r="L1347" t="s">
        <v>12</v>
      </c>
      <c r="M1347" t="s">
        <v>21</v>
      </c>
      <c r="N1347" t="s">
        <v>30</v>
      </c>
      <c r="O1347" t="s">
        <v>41</v>
      </c>
      <c r="P1347">
        <v>4</v>
      </c>
    </row>
    <row r="1348" spans="1:16" x14ac:dyDescent="0.3">
      <c r="A1348">
        <v>1863</v>
      </c>
      <c r="B1348">
        <v>43773</v>
      </c>
      <c r="C1348">
        <v>32</v>
      </c>
      <c r="D1348">
        <v>32038</v>
      </c>
      <c r="E1348" t="s">
        <v>14</v>
      </c>
      <c r="F1348" t="s">
        <v>15</v>
      </c>
      <c r="G1348" t="s">
        <v>31</v>
      </c>
      <c r="H1348" t="s">
        <v>8</v>
      </c>
      <c r="I1348" t="s">
        <v>9</v>
      </c>
      <c r="J1348" t="s">
        <v>20</v>
      </c>
      <c r="K1348" t="s">
        <v>11</v>
      </c>
      <c r="L1348" t="s">
        <v>12</v>
      </c>
      <c r="M1348" t="s">
        <v>42</v>
      </c>
      <c r="N1348" t="s">
        <v>30</v>
      </c>
      <c r="O1348" t="s">
        <v>41</v>
      </c>
      <c r="P1348">
        <v>2</v>
      </c>
    </row>
    <row r="1349" spans="1:16" x14ac:dyDescent="0.3">
      <c r="A1349">
        <v>1864</v>
      </c>
      <c r="B1349">
        <v>45080</v>
      </c>
      <c r="C1349">
        <v>51</v>
      </c>
      <c r="D1349">
        <v>26445</v>
      </c>
      <c r="E1349" t="s">
        <v>14</v>
      </c>
      <c r="F1349" t="s">
        <v>15</v>
      </c>
      <c r="G1349" t="s">
        <v>34</v>
      </c>
      <c r="H1349" t="s">
        <v>8</v>
      </c>
      <c r="I1349" t="s">
        <v>9</v>
      </c>
      <c r="J1349" t="s">
        <v>25</v>
      </c>
      <c r="K1349" t="s">
        <v>19</v>
      </c>
      <c r="L1349" t="s">
        <v>12</v>
      </c>
      <c r="M1349" t="s">
        <v>35</v>
      </c>
      <c r="N1349" t="s">
        <v>23</v>
      </c>
      <c r="O1349" t="s">
        <v>41</v>
      </c>
      <c r="P1349">
        <v>2</v>
      </c>
    </row>
    <row r="1350" spans="1:16" x14ac:dyDescent="0.3">
      <c r="A1350">
        <v>1865</v>
      </c>
      <c r="B1350">
        <v>44241</v>
      </c>
      <c r="C1350">
        <v>52</v>
      </c>
      <c r="D1350">
        <v>25347</v>
      </c>
      <c r="E1350" t="s">
        <v>14</v>
      </c>
      <c r="F1350" t="s">
        <v>15</v>
      </c>
      <c r="G1350" t="s">
        <v>31</v>
      </c>
      <c r="H1350" t="s">
        <v>8</v>
      </c>
      <c r="I1350" t="s">
        <v>9</v>
      </c>
      <c r="J1350" t="s">
        <v>20</v>
      </c>
      <c r="K1350" t="s">
        <v>11</v>
      </c>
      <c r="L1350" t="s">
        <v>12</v>
      </c>
      <c r="M1350" t="s">
        <v>35</v>
      </c>
      <c r="N1350" t="s">
        <v>46</v>
      </c>
      <c r="O1350" t="s">
        <v>41</v>
      </c>
      <c r="P1350">
        <v>3</v>
      </c>
    </row>
    <row r="1351" spans="1:16" x14ac:dyDescent="0.3">
      <c r="A1351">
        <v>1866</v>
      </c>
      <c r="B1351">
        <v>44985</v>
      </c>
      <c r="C1351">
        <v>43</v>
      </c>
      <c r="D1351">
        <v>29363</v>
      </c>
      <c r="E1351" t="s">
        <v>14</v>
      </c>
      <c r="F1351" t="s">
        <v>22</v>
      </c>
      <c r="G1351" t="s">
        <v>40</v>
      </c>
      <c r="H1351" t="s">
        <v>8</v>
      </c>
      <c r="I1351" t="s">
        <v>9</v>
      </c>
      <c r="J1351" t="s">
        <v>10</v>
      </c>
      <c r="K1351" t="s">
        <v>19</v>
      </c>
      <c r="L1351" t="s">
        <v>12</v>
      </c>
      <c r="M1351" t="s">
        <v>35</v>
      </c>
      <c r="N1351" t="s">
        <v>46</v>
      </c>
      <c r="O1351" t="s">
        <v>41</v>
      </c>
      <c r="P1351">
        <v>5</v>
      </c>
    </row>
    <row r="1352" spans="1:16" x14ac:dyDescent="0.3">
      <c r="A1352">
        <v>1867</v>
      </c>
      <c r="B1352">
        <v>44205</v>
      </c>
      <c r="C1352">
        <v>79</v>
      </c>
      <c r="D1352">
        <v>15646</v>
      </c>
      <c r="E1352" t="s">
        <v>14</v>
      </c>
      <c r="F1352" t="s">
        <v>22</v>
      </c>
      <c r="G1352" t="s">
        <v>40</v>
      </c>
      <c r="H1352" t="s">
        <v>8</v>
      </c>
      <c r="I1352" t="s">
        <v>9</v>
      </c>
      <c r="J1352" t="s">
        <v>25</v>
      </c>
      <c r="K1352" t="s">
        <v>26</v>
      </c>
      <c r="L1352" t="s">
        <v>12</v>
      </c>
      <c r="M1352" t="s">
        <v>42</v>
      </c>
      <c r="N1352" t="s">
        <v>46</v>
      </c>
      <c r="O1352" t="s">
        <v>56</v>
      </c>
      <c r="P1352">
        <v>5</v>
      </c>
    </row>
    <row r="1353" spans="1:16" x14ac:dyDescent="0.3">
      <c r="A1353">
        <v>1868</v>
      </c>
      <c r="B1353">
        <v>44642</v>
      </c>
      <c r="C1353">
        <v>22</v>
      </c>
      <c r="D1353">
        <v>36858</v>
      </c>
      <c r="E1353" t="s">
        <v>14</v>
      </c>
      <c r="F1353" t="s">
        <v>22</v>
      </c>
      <c r="G1353" t="s">
        <v>31</v>
      </c>
      <c r="H1353" t="s">
        <v>8</v>
      </c>
      <c r="I1353" t="s">
        <v>9</v>
      </c>
      <c r="J1353" t="s">
        <v>20</v>
      </c>
      <c r="K1353" t="s">
        <v>19</v>
      </c>
      <c r="L1353" t="s">
        <v>12</v>
      </c>
      <c r="M1353" t="s">
        <v>35</v>
      </c>
      <c r="N1353" t="s">
        <v>37</v>
      </c>
      <c r="O1353" t="s">
        <v>56</v>
      </c>
      <c r="P1353">
        <v>3</v>
      </c>
    </row>
    <row r="1354" spans="1:16" x14ac:dyDescent="0.3">
      <c r="A1354">
        <v>1869</v>
      </c>
      <c r="B1354">
        <v>43780</v>
      </c>
      <c r="C1354">
        <v>37</v>
      </c>
      <c r="D1354">
        <v>29976</v>
      </c>
      <c r="E1354" t="s">
        <v>14</v>
      </c>
      <c r="F1354" t="s">
        <v>15</v>
      </c>
      <c r="G1354" t="s">
        <v>34</v>
      </c>
      <c r="H1354" t="s">
        <v>8</v>
      </c>
      <c r="I1354" t="s">
        <v>9</v>
      </c>
      <c r="J1354" t="s">
        <v>20</v>
      </c>
      <c r="K1354" t="s">
        <v>11</v>
      </c>
      <c r="L1354" t="s">
        <v>12</v>
      </c>
      <c r="M1354" t="s">
        <v>60</v>
      </c>
      <c r="N1354" t="s">
        <v>46</v>
      </c>
      <c r="O1354" t="s">
        <v>41</v>
      </c>
      <c r="P1354">
        <v>2</v>
      </c>
    </row>
    <row r="1355" spans="1:16" x14ac:dyDescent="0.3">
      <c r="A1355">
        <v>1870</v>
      </c>
      <c r="B1355">
        <v>44838</v>
      </c>
      <c r="C1355">
        <v>30</v>
      </c>
      <c r="D1355">
        <v>33694</v>
      </c>
      <c r="E1355" t="s">
        <v>14</v>
      </c>
      <c r="F1355" t="s">
        <v>15</v>
      </c>
      <c r="G1355" t="s">
        <v>34</v>
      </c>
      <c r="H1355" t="s">
        <v>8</v>
      </c>
      <c r="I1355" t="s">
        <v>9</v>
      </c>
      <c r="J1355" t="s">
        <v>10</v>
      </c>
      <c r="K1355" t="s">
        <v>26</v>
      </c>
      <c r="L1355" t="s">
        <v>12</v>
      </c>
      <c r="M1355" t="s">
        <v>42</v>
      </c>
      <c r="N1355" t="s">
        <v>23</v>
      </c>
      <c r="O1355" t="s">
        <v>18</v>
      </c>
      <c r="P1355">
        <v>5</v>
      </c>
    </row>
    <row r="1356" spans="1:16" x14ac:dyDescent="0.3">
      <c r="A1356">
        <v>1871</v>
      </c>
      <c r="B1356">
        <v>44431</v>
      </c>
      <c r="C1356">
        <v>25</v>
      </c>
      <c r="D1356">
        <v>35286</v>
      </c>
      <c r="E1356" t="s">
        <v>14</v>
      </c>
      <c r="F1356" t="s">
        <v>15</v>
      </c>
      <c r="G1356" t="s">
        <v>17</v>
      </c>
      <c r="H1356" t="s">
        <v>8</v>
      </c>
      <c r="I1356" t="s">
        <v>9</v>
      </c>
      <c r="J1356" t="s">
        <v>10</v>
      </c>
      <c r="K1356" t="s">
        <v>11</v>
      </c>
      <c r="L1356" t="s">
        <v>12</v>
      </c>
      <c r="M1356" t="s">
        <v>59</v>
      </c>
      <c r="N1356" t="s">
        <v>16</v>
      </c>
      <c r="O1356" t="s">
        <v>18</v>
      </c>
      <c r="P1356">
        <v>4</v>
      </c>
    </row>
    <row r="1357" spans="1:16" x14ac:dyDescent="0.3">
      <c r="A1357">
        <v>1872</v>
      </c>
      <c r="B1357">
        <v>44900</v>
      </c>
      <c r="C1357">
        <v>50</v>
      </c>
      <c r="D1357">
        <v>26654</v>
      </c>
      <c r="E1357" t="s">
        <v>14</v>
      </c>
      <c r="F1357" t="s">
        <v>15</v>
      </c>
      <c r="G1357" t="s">
        <v>34</v>
      </c>
      <c r="H1357" t="s">
        <v>8</v>
      </c>
      <c r="I1357" t="s">
        <v>9</v>
      </c>
      <c r="J1357" t="s">
        <v>25</v>
      </c>
      <c r="K1357" t="s">
        <v>26</v>
      </c>
      <c r="L1357" t="s">
        <v>12</v>
      </c>
      <c r="M1357" t="s">
        <v>35</v>
      </c>
      <c r="N1357" t="s">
        <v>23</v>
      </c>
      <c r="O1357" t="s">
        <v>18</v>
      </c>
      <c r="P1357">
        <v>2</v>
      </c>
    </row>
    <row r="1358" spans="1:16" x14ac:dyDescent="0.3">
      <c r="A1358">
        <v>1873</v>
      </c>
      <c r="B1358">
        <v>43666</v>
      </c>
      <c r="C1358">
        <v>59</v>
      </c>
      <c r="D1358">
        <v>21938</v>
      </c>
      <c r="E1358" t="s">
        <v>14</v>
      </c>
      <c r="F1358" t="s">
        <v>15</v>
      </c>
      <c r="G1358" t="s">
        <v>34</v>
      </c>
      <c r="H1358" t="s">
        <v>64</v>
      </c>
      <c r="I1358" t="s">
        <v>9</v>
      </c>
      <c r="J1358" t="s">
        <v>10</v>
      </c>
      <c r="K1358" t="s">
        <v>11</v>
      </c>
      <c r="L1358" t="s">
        <v>12</v>
      </c>
      <c r="M1358" t="s">
        <v>42</v>
      </c>
      <c r="N1358" t="s">
        <v>37</v>
      </c>
      <c r="O1358" t="s">
        <v>18</v>
      </c>
      <c r="P1358">
        <v>2</v>
      </c>
    </row>
    <row r="1359" spans="1:16" x14ac:dyDescent="0.3">
      <c r="A1359">
        <v>1874</v>
      </c>
      <c r="B1359">
        <v>44505</v>
      </c>
      <c r="C1359">
        <v>61</v>
      </c>
      <c r="D1359">
        <v>22258</v>
      </c>
      <c r="E1359" t="s">
        <v>14</v>
      </c>
      <c r="F1359" t="s">
        <v>22</v>
      </c>
      <c r="G1359" t="s">
        <v>17</v>
      </c>
      <c r="H1359" t="s">
        <v>64</v>
      </c>
      <c r="I1359" t="s">
        <v>9</v>
      </c>
      <c r="J1359" t="s">
        <v>25</v>
      </c>
      <c r="K1359" t="s">
        <v>26</v>
      </c>
      <c r="L1359" t="s">
        <v>12</v>
      </c>
      <c r="M1359" t="s">
        <v>68</v>
      </c>
      <c r="N1359" t="s">
        <v>46</v>
      </c>
      <c r="O1359" t="s">
        <v>18</v>
      </c>
      <c r="P1359">
        <v>4</v>
      </c>
    </row>
    <row r="1360" spans="1:16" x14ac:dyDescent="0.3">
      <c r="A1360">
        <v>1875</v>
      </c>
      <c r="B1360">
        <v>44200</v>
      </c>
      <c r="C1360">
        <v>68</v>
      </c>
      <c r="D1360">
        <v>19572</v>
      </c>
      <c r="E1360" t="s">
        <v>14</v>
      </c>
      <c r="F1360" t="s">
        <v>22</v>
      </c>
      <c r="G1360" t="s">
        <v>31</v>
      </c>
      <c r="H1360" t="s">
        <v>64</v>
      </c>
      <c r="I1360" t="s">
        <v>66</v>
      </c>
      <c r="J1360" t="s">
        <v>25</v>
      </c>
      <c r="K1360" t="s">
        <v>11</v>
      </c>
      <c r="L1360" t="s">
        <v>12</v>
      </c>
      <c r="M1360" t="s">
        <v>32</v>
      </c>
      <c r="N1360" t="s">
        <v>30</v>
      </c>
      <c r="O1360" t="s">
        <v>18</v>
      </c>
      <c r="P1360">
        <v>1</v>
      </c>
    </row>
    <row r="1361" spans="1:16" x14ac:dyDescent="0.3">
      <c r="A1361">
        <v>1877</v>
      </c>
      <c r="B1361">
        <v>44499</v>
      </c>
      <c r="C1361">
        <v>60</v>
      </c>
      <c r="D1361">
        <v>22418</v>
      </c>
      <c r="E1361" t="s">
        <v>14</v>
      </c>
      <c r="F1361" t="s">
        <v>22</v>
      </c>
      <c r="G1361" t="s">
        <v>34</v>
      </c>
      <c r="H1361" t="s">
        <v>64</v>
      </c>
      <c r="I1361" t="s">
        <v>9</v>
      </c>
      <c r="J1361" t="s">
        <v>20</v>
      </c>
      <c r="K1361" t="s">
        <v>19</v>
      </c>
      <c r="L1361" t="s">
        <v>12</v>
      </c>
      <c r="M1361" t="s">
        <v>32</v>
      </c>
      <c r="N1361" t="s">
        <v>46</v>
      </c>
      <c r="O1361" t="s">
        <v>18</v>
      </c>
      <c r="P1361">
        <v>3</v>
      </c>
    </row>
    <row r="1362" spans="1:16" x14ac:dyDescent="0.3">
      <c r="A1362">
        <v>1878</v>
      </c>
      <c r="B1362">
        <v>44836</v>
      </c>
      <c r="C1362">
        <v>21</v>
      </c>
      <c r="D1362">
        <v>37059</v>
      </c>
      <c r="E1362" t="s">
        <v>14</v>
      </c>
      <c r="F1362" t="s">
        <v>15</v>
      </c>
      <c r="G1362" t="s">
        <v>31</v>
      </c>
      <c r="H1362" t="s">
        <v>8</v>
      </c>
      <c r="I1362" t="s">
        <v>9</v>
      </c>
      <c r="J1362" t="s">
        <v>20</v>
      </c>
      <c r="K1362" t="s">
        <v>26</v>
      </c>
      <c r="L1362" t="s">
        <v>12</v>
      </c>
      <c r="M1362" t="s">
        <v>49</v>
      </c>
      <c r="N1362" t="s">
        <v>16</v>
      </c>
      <c r="O1362" t="s">
        <v>18</v>
      </c>
      <c r="P1362">
        <v>3</v>
      </c>
    </row>
    <row r="1363" spans="1:16" x14ac:dyDescent="0.3">
      <c r="A1363">
        <v>1879</v>
      </c>
      <c r="B1363">
        <v>43429</v>
      </c>
      <c r="C1363">
        <v>53</v>
      </c>
      <c r="D1363">
        <v>24045</v>
      </c>
      <c r="E1363" t="s">
        <v>14</v>
      </c>
      <c r="F1363" t="s">
        <v>15</v>
      </c>
      <c r="G1363" t="s">
        <v>31</v>
      </c>
      <c r="H1363" t="s">
        <v>8</v>
      </c>
      <c r="I1363" t="s">
        <v>66</v>
      </c>
      <c r="J1363" t="s">
        <v>20</v>
      </c>
      <c r="K1363" t="s">
        <v>26</v>
      </c>
      <c r="L1363" t="s">
        <v>12</v>
      </c>
      <c r="M1363" t="s">
        <v>42</v>
      </c>
      <c r="N1363" t="s">
        <v>37</v>
      </c>
      <c r="O1363" t="s">
        <v>18</v>
      </c>
      <c r="P1363">
        <v>3</v>
      </c>
    </row>
    <row r="1364" spans="1:16" x14ac:dyDescent="0.3">
      <c r="A1364">
        <v>1880</v>
      </c>
      <c r="B1364">
        <v>44386</v>
      </c>
      <c r="C1364">
        <v>55</v>
      </c>
      <c r="D1364">
        <v>24114</v>
      </c>
      <c r="E1364" t="s">
        <v>14</v>
      </c>
      <c r="F1364" t="s">
        <v>15</v>
      </c>
      <c r="G1364" t="s">
        <v>17</v>
      </c>
      <c r="H1364" t="s">
        <v>8</v>
      </c>
      <c r="I1364" t="s">
        <v>66</v>
      </c>
      <c r="J1364" t="s">
        <v>25</v>
      </c>
      <c r="K1364" t="s">
        <v>19</v>
      </c>
      <c r="L1364" t="s">
        <v>12</v>
      </c>
      <c r="M1364" t="s">
        <v>54</v>
      </c>
      <c r="N1364" t="s">
        <v>37</v>
      </c>
      <c r="O1364" t="s">
        <v>18</v>
      </c>
      <c r="P1364">
        <v>1</v>
      </c>
    </row>
    <row r="1365" spans="1:16" x14ac:dyDescent="0.3">
      <c r="A1365">
        <v>1881</v>
      </c>
      <c r="B1365">
        <v>43586</v>
      </c>
      <c r="C1365">
        <v>19</v>
      </c>
      <c r="D1365">
        <v>36813</v>
      </c>
      <c r="E1365" t="s">
        <v>14</v>
      </c>
      <c r="F1365" t="s">
        <v>22</v>
      </c>
      <c r="G1365" t="s">
        <v>31</v>
      </c>
      <c r="H1365" t="s">
        <v>8</v>
      </c>
      <c r="I1365" t="s">
        <v>9</v>
      </c>
      <c r="J1365" t="s">
        <v>25</v>
      </c>
      <c r="K1365" t="s">
        <v>26</v>
      </c>
      <c r="L1365" t="s">
        <v>12</v>
      </c>
      <c r="M1365" t="s">
        <v>35</v>
      </c>
      <c r="N1365" t="s">
        <v>46</v>
      </c>
      <c r="O1365" t="s">
        <v>18</v>
      </c>
      <c r="P1365">
        <v>5</v>
      </c>
    </row>
    <row r="1366" spans="1:16" x14ac:dyDescent="0.3">
      <c r="A1366">
        <v>1882</v>
      </c>
      <c r="B1366">
        <v>44509</v>
      </c>
      <c r="C1366">
        <v>76</v>
      </c>
      <c r="D1366">
        <v>16474</v>
      </c>
      <c r="E1366" t="s">
        <v>14</v>
      </c>
      <c r="F1366" t="s">
        <v>15</v>
      </c>
      <c r="G1366" t="s">
        <v>40</v>
      </c>
      <c r="H1366" t="s">
        <v>8</v>
      </c>
      <c r="I1366" t="s">
        <v>9</v>
      </c>
      <c r="J1366" t="s">
        <v>25</v>
      </c>
      <c r="K1366" t="s">
        <v>19</v>
      </c>
      <c r="L1366" t="s">
        <v>12</v>
      </c>
      <c r="M1366" t="s">
        <v>55</v>
      </c>
      <c r="N1366" t="s">
        <v>46</v>
      </c>
      <c r="O1366" t="s">
        <v>18</v>
      </c>
      <c r="P1366">
        <v>4</v>
      </c>
    </row>
    <row r="1367" spans="1:16" x14ac:dyDescent="0.3">
      <c r="A1367">
        <v>1883</v>
      </c>
      <c r="B1367">
        <v>43339</v>
      </c>
      <c r="C1367">
        <v>51</v>
      </c>
      <c r="D1367">
        <v>24656</v>
      </c>
      <c r="E1367" t="s">
        <v>14</v>
      </c>
      <c r="F1367" t="s">
        <v>15</v>
      </c>
      <c r="G1367" t="s">
        <v>31</v>
      </c>
      <c r="H1367" t="s">
        <v>8</v>
      </c>
      <c r="I1367" t="s">
        <v>9</v>
      </c>
      <c r="J1367" t="s">
        <v>25</v>
      </c>
      <c r="K1367" t="s">
        <v>26</v>
      </c>
      <c r="L1367" t="s">
        <v>12</v>
      </c>
      <c r="M1367" t="s">
        <v>54</v>
      </c>
      <c r="N1367" t="s">
        <v>37</v>
      </c>
      <c r="O1367" t="s">
        <v>18</v>
      </c>
      <c r="P1367">
        <v>4</v>
      </c>
    </row>
    <row r="1368" spans="1:16" x14ac:dyDescent="0.3">
      <c r="A1368">
        <v>1884</v>
      </c>
      <c r="B1368">
        <v>43540</v>
      </c>
      <c r="C1368">
        <v>19</v>
      </c>
      <c r="D1368">
        <v>36731</v>
      </c>
      <c r="E1368" t="s">
        <v>14</v>
      </c>
      <c r="F1368" t="s">
        <v>15</v>
      </c>
      <c r="G1368" t="s">
        <v>34</v>
      </c>
      <c r="H1368" t="s">
        <v>8</v>
      </c>
      <c r="I1368" t="s">
        <v>9</v>
      </c>
      <c r="J1368" t="s">
        <v>20</v>
      </c>
      <c r="K1368" t="s">
        <v>11</v>
      </c>
      <c r="L1368" t="s">
        <v>12</v>
      </c>
      <c r="M1368" t="s">
        <v>38</v>
      </c>
      <c r="N1368" t="s">
        <v>30</v>
      </c>
      <c r="O1368" t="s">
        <v>18</v>
      </c>
      <c r="P1368">
        <v>3</v>
      </c>
    </row>
    <row r="1369" spans="1:16" x14ac:dyDescent="0.3">
      <c r="A1369">
        <v>1885</v>
      </c>
      <c r="B1369">
        <v>44568</v>
      </c>
      <c r="C1369">
        <v>38</v>
      </c>
      <c r="D1369">
        <v>30825</v>
      </c>
      <c r="E1369" t="s">
        <v>14</v>
      </c>
      <c r="F1369" t="s">
        <v>22</v>
      </c>
      <c r="G1369" t="s">
        <v>34</v>
      </c>
      <c r="H1369" t="s">
        <v>8</v>
      </c>
      <c r="I1369" t="s">
        <v>9</v>
      </c>
      <c r="J1369" t="s">
        <v>10</v>
      </c>
      <c r="K1369" t="s">
        <v>26</v>
      </c>
      <c r="L1369" t="s">
        <v>12</v>
      </c>
      <c r="M1369" t="s">
        <v>32</v>
      </c>
      <c r="N1369" t="s">
        <v>30</v>
      </c>
      <c r="O1369" t="s">
        <v>18</v>
      </c>
      <c r="P1369">
        <v>2</v>
      </c>
    </row>
    <row r="1370" spans="1:16" x14ac:dyDescent="0.3">
      <c r="A1370">
        <v>1886</v>
      </c>
      <c r="B1370">
        <v>44838</v>
      </c>
      <c r="C1370">
        <v>38</v>
      </c>
      <c r="D1370">
        <v>31022</v>
      </c>
      <c r="E1370" t="s">
        <v>14</v>
      </c>
      <c r="F1370" t="s">
        <v>22</v>
      </c>
      <c r="G1370" t="s">
        <v>31</v>
      </c>
      <c r="H1370" t="s">
        <v>8</v>
      </c>
      <c r="I1370" t="s">
        <v>9</v>
      </c>
      <c r="J1370" t="s">
        <v>10</v>
      </c>
      <c r="K1370" t="s">
        <v>19</v>
      </c>
      <c r="L1370" t="s">
        <v>12</v>
      </c>
      <c r="M1370" t="s">
        <v>44</v>
      </c>
      <c r="N1370" t="s">
        <v>16</v>
      </c>
      <c r="O1370" t="s">
        <v>18</v>
      </c>
      <c r="P1370">
        <v>2</v>
      </c>
    </row>
    <row r="1371" spans="1:16" x14ac:dyDescent="0.3">
      <c r="A1371">
        <v>1887</v>
      </c>
      <c r="B1371">
        <v>44643</v>
      </c>
      <c r="C1371">
        <v>25</v>
      </c>
      <c r="D1371">
        <v>35686</v>
      </c>
      <c r="E1371" t="s">
        <v>14</v>
      </c>
      <c r="F1371" t="s">
        <v>22</v>
      </c>
      <c r="G1371" t="s">
        <v>40</v>
      </c>
      <c r="H1371" t="s">
        <v>8</v>
      </c>
      <c r="I1371" t="s">
        <v>9</v>
      </c>
      <c r="J1371" t="s">
        <v>25</v>
      </c>
      <c r="K1371" t="s">
        <v>11</v>
      </c>
      <c r="L1371" t="s">
        <v>12</v>
      </c>
      <c r="M1371" t="s">
        <v>35</v>
      </c>
      <c r="N1371" t="s">
        <v>16</v>
      </c>
      <c r="O1371" t="s">
        <v>18</v>
      </c>
      <c r="P1371">
        <v>3</v>
      </c>
    </row>
    <row r="1372" spans="1:16" x14ac:dyDescent="0.3">
      <c r="A1372">
        <v>1888</v>
      </c>
      <c r="B1372">
        <v>43956</v>
      </c>
      <c r="C1372">
        <v>73</v>
      </c>
      <c r="D1372">
        <v>17527</v>
      </c>
      <c r="E1372" t="s">
        <v>14</v>
      </c>
      <c r="F1372" t="s">
        <v>15</v>
      </c>
      <c r="G1372" t="s">
        <v>34</v>
      </c>
      <c r="H1372" t="s">
        <v>8</v>
      </c>
      <c r="I1372" t="s">
        <v>9</v>
      </c>
      <c r="J1372" t="s">
        <v>25</v>
      </c>
      <c r="K1372" t="s">
        <v>26</v>
      </c>
      <c r="L1372" t="s">
        <v>12</v>
      </c>
      <c r="M1372" t="s">
        <v>42</v>
      </c>
      <c r="N1372" t="s">
        <v>16</v>
      </c>
      <c r="O1372" t="s">
        <v>18</v>
      </c>
      <c r="P1372">
        <v>5</v>
      </c>
    </row>
    <row r="1373" spans="1:16" x14ac:dyDescent="0.3">
      <c r="A1373">
        <v>1889</v>
      </c>
      <c r="B1373">
        <v>44158</v>
      </c>
      <c r="C1373">
        <v>63</v>
      </c>
      <c r="D1373">
        <v>20865</v>
      </c>
      <c r="E1373" t="s">
        <v>14</v>
      </c>
      <c r="F1373" t="s">
        <v>15</v>
      </c>
      <c r="G1373" t="s">
        <v>40</v>
      </c>
      <c r="H1373" t="s">
        <v>8</v>
      </c>
      <c r="I1373" t="s">
        <v>9</v>
      </c>
      <c r="J1373" t="s">
        <v>10</v>
      </c>
      <c r="K1373" t="s">
        <v>26</v>
      </c>
      <c r="L1373" t="s">
        <v>12</v>
      </c>
      <c r="M1373" t="s">
        <v>32</v>
      </c>
      <c r="N1373" t="s">
        <v>30</v>
      </c>
      <c r="O1373" t="s">
        <v>18</v>
      </c>
      <c r="P1373">
        <v>4</v>
      </c>
    </row>
    <row r="1374" spans="1:16" x14ac:dyDescent="0.3">
      <c r="A1374">
        <v>1890</v>
      </c>
      <c r="B1374">
        <v>44648</v>
      </c>
      <c r="C1374">
        <v>54</v>
      </c>
      <c r="D1374">
        <v>24982</v>
      </c>
      <c r="E1374" t="s">
        <v>14</v>
      </c>
      <c r="F1374" t="s">
        <v>15</v>
      </c>
      <c r="G1374" t="s">
        <v>17</v>
      </c>
      <c r="H1374" t="s">
        <v>8</v>
      </c>
      <c r="I1374" t="s">
        <v>9</v>
      </c>
      <c r="J1374" t="s">
        <v>10</v>
      </c>
      <c r="K1374" t="s">
        <v>26</v>
      </c>
      <c r="L1374" t="s">
        <v>12</v>
      </c>
      <c r="M1374" t="s">
        <v>49</v>
      </c>
      <c r="N1374" t="s">
        <v>16</v>
      </c>
      <c r="O1374" t="s">
        <v>18</v>
      </c>
      <c r="P1374">
        <v>3</v>
      </c>
    </row>
    <row r="1375" spans="1:16" x14ac:dyDescent="0.3">
      <c r="A1375">
        <v>1891</v>
      </c>
      <c r="B1375">
        <v>43915</v>
      </c>
      <c r="C1375">
        <v>74</v>
      </c>
      <c r="D1375">
        <v>16977</v>
      </c>
      <c r="E1375" t="s">
        <v>14</v>
      </c>
      <c r="F1375" t="s">
        <v>15</v>
      </c>
      <c r="G1375" t="s">
        <v>34</v>
      </c>
      <c r="H1375" t="s">
        <v>8</v>
      </c>
      <c r="I1375" t="s">
        <v>9</v>
      </c>
      <c r="J1375" t="s">
        <v>25</v>
      </c>
      <c r="K1375" t="s">
        <v>11</v>
      </c>
      <c r="L1375" t="s">
        <v>12</v>
      </c>
      <c r="M1375" t="s">
        <v>21</v>
      </c>
      <c r="N1375" t="s">
        <v>23</v>
      </c>
      <c r="O1375" t="s">
        <v>18</v>
      </c>
      <c r="P1375">
        <v>5</v>
      </c>
    </row>
    <row r="1376" spans="1:16" x14ac:dyDescent="0.3">
      <c r="A1376">
        <v>1892</v>
      </c>
      <c r="B1376">
        <v>43319</v>
      </c>
      <c r="C1376">
        <v>32</v>
      </c>
      <c r="D1376">
        <v>31562</v>
      </c>
      <c r="E1376" t="s">
        <v>14</v>
      </c>
      <c r="F1376" t="s">
        <v>15</v>
      </c>
      <c r="G1376" t="s">
        <v>31</v>
      </c>
      <c r="H1376" t="s">
        <v>64</v>
      </c>
      <c r="I1376" t="s">
        <v>9</v>
      </c>
      <c r="J1376" t="s">
        <v>10</v>
      </c>
      <c r="K1376" t="s">
        <v>19</v>
      </c>
      <c r="L1376" t="s">
        <v>12</v>
      </c>
      <c r="M1376" t="s">
        <v>21</v>
      </c>
      <c r="N1376" t="s">
        <v>46</v>
      </c>
      <c r="O1376" t="s">
        <v>18</v>
      </c>
      <c r="P1376">
        <v>3</v>
      </c>
    </row>
    <row r="1377" spans="1:16" x14ac:dyDescent="0.3">
      <c r="A1377">
        <v>1893</v>
      </c>
      <c r="B1377">
        <v>43872</v>
      </c>
      <c r="C1377">
        <v>44</v>
      </c>
      <c r="D1377">
        <v>27787</v>
      </c>
      <c r="E1377" t="s">
        <v>14</v>
      </c>
      <c r="F1377" t="s">
        <v>22</v>
      </c>
      <c r="G1377" t="s">
        <v>40</v>
      </c>
      <c r="H1377" t="s">
        <v>64</v>
      </c>
      <c r="I1377" t="s">
        <v>9</v>
      </c>
      <c r="J1377" t="s">
        <v>10</v>
      </c>
      <c r="K1377" t="s">
        <v>19</v>
      </c>
      <c r="L1377" t="s">
        <v>12</v>
      </c>
      <c r="M1377" t="s">
        <v>32</v>
      </c>
      <c r="N1377" t="s">
        <v>16</v>
      </c>
      <c r="O1377" t="s">
        <v>18</v>
      </c>
      <c r="P1377">
        <v>3</v>
      </c>
    </row>
    <row r="1378" spans="1:16" x14ac:dyDescent="0.3">
      <c r="A1378">
        <v>1894</v>
      </c>
      <c r="B1378">
        <v>44927</v>
      </c>
      <c r="C1378">
        <v>64</v>
      </c>
      <c r="D1378">
        <v>21693</v>
      </c>
      <c r="E1378" t="s">
        <v>14</v>
      </c>
      <c r="F1378" t="s">
        <v>22</v>
      </c>
      <c r="G1378" t="s">
        <v>31</v>
      </c>
      <c r="H1378" t="s">
        <v>64</v>
      </c>
      <c r="I1378" t="s">
        <v>9</v>
      </c>
      <c r="J1378" t="s">
        <v>25</v>
      </c>
      <c r="K1378" t="s">
        <v>19</v>
      </c>
      <c r="L1378" t="s">
        <v>12</v>
      </c>
      <c r="M1378" t="s">
        <v>35</v>
      </c>
      <c r="N1378" t="s">
        <v>30</v>
      </c>
      <c r="O1378" t="s">
        <v>18</v>
      </c>
      <c r="P1378">
        <v>1</v>
      </c>
    </row>
    <row r="1379" spans="1:16" x14ac:dyDescent="0.3">
      <c r="A1379">
        <v>1895</v>
      </c>
      <c r="B1379">
        <v>44902</v>
      </c>
      <c r="C1379">
        <v>33</v>
      </c>
      <c r="D1379">
        <v>32533</v>
      </c>
      <c r="E1379" t="s">
        <v>14</v>
      </c>
      <c r="F1379" t="s">
        <v>15</v>
      </c>
      <c r="G1379" t="s">
        <v>34</v>
      </c>
      <c r="H1379" t="s">
        <v>64</v>
      </c>
      <c r="I1379" t="s">
        <v>9</v>
      </c>
      <c r="J1379" t="s">
        <v>20</v>
      </c>
      <c r="K1379" t="s">
        <v>19</v>
      </c>
      <c r="L1379" t="s">
        <v>12</v>
      </c>
      <c r="M1379" t="s">
        <v>59</v>
      </c>
      <c r="N1379" t="s">
        <v>16</v>
      </c>
      <c r="O1379" t="s">
        <v>18</v>
      </c>
      <c r="P1379">
        <v>5</v>
      </c>
    </row>
    <row r="1380" spans="1:16" x14ac:dyDescent="0.3">
      <c r="A1380">
        <v>1896</v>
      </c>
      <c r="B1380">
        <v>44998</v>
      </c>
      <c r="C1380">
        <v>72</v>
      </c>
      <c r="D1380">
        <v>18950</v>
      </c>
      <c r="E1380" t="s">
        <v>14</v>
      </c>
      <c r="F1380" t="s">
        <v>15</v>
      </c>
      <c r="G1380" t="s">
        <v>34</v>
      </c>
      <c r="H1380" t="s">
        <v>64</v>
      </c>
      <c r="I1380" t="s">
        <v>9</v>
      </c>
      <c r="J1380" t="s">
        <v>25</v>
      </c>
      <c r="K1380" t="s">
        <v>19</v>
      </c>
      <c r="L1380" t="s">
        <v>12</v>
      </c>
      <c r="M1380" t="s">
        <v>42</v>
      </c>
      <c r="N1380" t="s">
        <v>23</v>
      </c>
      <c r="O1380" t="s">
        <v>18</v>
      </c>
      <c r="P1380">
        <v>1</v>
      </c>
    </row>
    <row r="1381" spans="1:16" x14ac:dyDescent="0.3">
      <c r="A1381">
        <v>1897</v>
      </c>
      <c r="B1381">
        <v>44514</v>
      </c>
      <c r="C1381">
        <v>73</v>
      </c>
      <c r="D1381">
        <v>17734</v>
      </c>
      <c r="E1381" t="s">
        <v>14</v>
      </c>
      <c r="F1381" t="s">
        <v>22</v>
      </c>
      <c r="G1381" t="s">
        <v>40</v>
      </c>
      <c r="H1381" t="s">
        <v>64</v>
      </c>
      <c r="I1381" t="s">
        <v>9</v>
      </c>
      <c r="J1381" t="s">
        <v>25</v>
      </c>
      <c r="K1381" t="s">
        <v>11</v>
      </c>
      <c r="L1381" t="s">
        <v>12</v>
      </c>
      <c r="M1381" t="s">
        <v>35</v>
      </c>
      <c r="N1381" t="s">
        <v>46</v>
      </c>
      <c r="O1381" t="s">
        <v>18</v>
      </c>
      <c r="P1381">
        <v>4</v>
      </c>
    </row>
    <row r="1382" spans="1:16" x14ac:dyDescent="0.3">
      <c r="A1382">
        <v>1898</v>
      </c>
      <c r="B1382">
        <v>43621</v>
      </c>
      <c r="C1382">
        <v>22</v>
      </c>
      <c r="D1382">
        <v>35444</v>
      </c>
      <c r="E1382" t="s">
        <v>14</v>
      </c>
      <c r="F1382" t="s">
        <v>15</v>
      </c>
      <c r="G1382" t="s">
        <v>31</v>
      </c>
      <c r="H1382" t="s">
        <v>8</v>
      </c>
      <c r="I1382" t="s">
        <v>9</v>
      </c>
      <c r="J1382" t="s">
        <v>25</v>
      </c>
      <c r="K1382" t="s">
        <v>11</v>
      </c>
      <c r="L1382" t="s">
        <v>12</v>
      </c>
      <c r="M1382" t="s">
        <v>35</v>
      </c>
      <c r="N1382" t="s">
        <v>16</v>
      </c>
      <c r="O1382" t="s">
        <v>18</v>
      </c>
      <c r="P1382">
        <v>5</v>
      </c>
    </row>
    <row r="1383" spans="1:16" x14ac:dyDescent="0.3">
      <c r="A1383">
        <v>1899</v>
      </c>
      <c r="B1383">
        <v>44177</v>
      </c>
      <c r="C1383">
        <v>38</v>
      </c>
      <c r="D1383">
        <v>30200</v>
      </c>
      <c r="E1383" t="s">
        <v>14</v>
      </c>
      <c r="F1383" t="s">
        <v>15</v>
      </c>
      <c r="G1383" t="s">
        <v>34</v>
      </c>
      <c r="H1383" t="s">
        <v>8</v>
      </c>
      <c r="I1383" t="s">
        <v>9</v>
      </c>
      <c r="J1383" t="s">
        <v>10</v>
      </c>
      <c r="K1383" t="s">
        <v>11</v>
      </c>
      <c r="L1383" t="s">
        <v>12</v>
      </c>
      <c r="M1383" t="s">
        <v>35</v>
      </c>
      <c r="N1383" t="s">
        <v>46</v>
      </c>
      <c r="O1383" t="s">
        <v>18</v>
      </c>
      <c r="P1383">
        <v>4</v>
      </c>
    </row>
    <row r="1384" spans="1:16" x14ac:dyDescent="0.3">
      <c r="A1384">
        <v>1900</v>
      </c>
      <c r="B1384">
        <v>43927</v>
      </c>
      <c r="C1384">
        <v>60</v>
      </c>
      <c r="D1384">
        <v>21997</v>
      </c>
      <c r="E1384" t="s">
        <v>14</v>
      </c>
      <c r="F1384" t="s">
        <v>15</v>
      </c>
      <c r="G1384" t="s">
        <v>17</v>
      </c>
      <c r="H1384" t="s">
        <v>8</v>
      </c>
      <c r="I1384" t="s">
        <v>9</v>
      </c>
      <c r="J1384" t="s">
        <v>25</v>
      </c>
      <c r="K1384" t="s">
        <v>26</v>
      </c>
      <c r="L1384" t="s">
        <v>12</v>
      </c>
      <c r="M1384" t="s">
        <v>32</v>
      </c>
      <c r="N1384" t="s">
        <v>23</v>
      </c>
      <c r="O1384" t="s">
        <v>18</v>
      </c>
      <c r="P1384">
        <v>2</v>
      </c>
    </row>
    <row r="1385" spans="1:16" x14ac:dyDescent="0.3">
      <c r="A1385">
        <v>1901</v>
      </c>
      <c r="B1385">
        <v>44956</v>
      </c>
      <c r="C1385">
        <v>64</v>
      </c>
      <c r="D1385">
        <v>21771</v>
      </c>
      <c r="E1385" t="s">
        <v>14</v>
      </c>
      <c r="F1385" t="s">
        <v>15</v>
      </c>
      <c r="G1385" t="s">
        <v>40</v>
      </c>
      <c r="H1385" t="s">
        <v>8</v>
      </c>
      <c r="I1385" t="s">
        <v>9</v>
      </c>
      <c r="J1385" t="s">
        <v>25</v>
      </c>
      <c r="K1385" t="s">
        <v>26</v>
      </c>
      <c r="L1385" t="s">
        <v>12</v>
      </c>
      <c r="M1385" t="s">
        <v>42</v>
      </c>
      <c r="N1385" t="s">
        <v>16</v>
      </c>
      <c r="O1385" t="s">
        <v>18</v>
      </c>
      <c r="P1385">
        <v>1</v>
      </c>
    </row>
    <row r="1386" spans="1:16" x14ac:dyDescent="0.3">
      <c r="A1386">
        <v>1902</v>
      </c>
      <c r="B1386">
        <v>44082</v>
      </c>
      <c r="C1386">
        <v>68</v>
      </c>
      <c r="D1386">
        <v>19035</v>
      </c>
      <c r="E1386" t="s">
        <v>14</v>
      </c>
      <c r="F1386" t="s">
        <v>22</v>
      </c>
      <c r="G1386" t="s">
        <v>40</v>
      </c>
      <c r="H1386" t="s">
        <v>8</v>
      </c>
      <c r="I1386" t="s">
        <v>9</v>
      </c>
      <c r="J1386" t="s">
        <v>25</v>
      </c>
      <c r="K1386" t="s">
        <v>19</v>
      </c>
      <c r="L1386" t="s">
        <v>12</v>
      </c>
      <c r="M1386" t="s">
        <v>42</v>
      </c>
      <c r="N1386" t="s">
        <v>30</v>
      </c>
      <c r="O1386" t="s">
        <v>18</v>
      </c>
      <c r="P1386">
        <v>5</v>
      </c>
    </row>
    <row r="1387" spans="1:16" x14ac:dyDescent="0.3">
      <c r="A1387">
        <v>1903</v>
      </c>
      <c r="B1387">
        <v>44179</v>
      </c>
      <c r="C1387">
        <v>60</v>
      </c>
      <c r="D1387">
        <v>22017</v>
      </c>
      <c r="E1387" t="s">
        <v>14</v>
      </c>
      <c r="F1387" t="s">
        <v>15</v>
      </c>
      <c r="G1387" t="s">
        <v>40</v>
      </c>
      <c r="H1387" t="s">
        <v>8</v>
      </c>
      <c r="I1387" t="s">
        <v>9</v>
      </c>
      <c r="J1387" t="s">
        <v>20</v>
      </c>
      <c r="K1387" t="s">
        <v>11</v>
      </c>
      <c r="L1387" t="s">
        <v>12</v>
      </c>
      <c r="M1387" t="s">
        <v>35</v>
      </c>
      <c r="N1387" t="s">
        <v>37</v>
      </c>
      <c r="O1387" t="s">
        <v>18</v>
      </c>
      <c r="P1387">
        <v>5</v>
      </c>
    </row>
    <row r="1388" spans="1:16" x14ac:dyDescent="0.3">
      <c r="A1388">
        <v>1904</v>
      </c>
      <c r="B1388">
        <v>44872</v>
      </c>
      <c r="C1388">
        <v>40</v>
      </c>
      <c r="D1388">
        <v>30235</v>
      </c>
      <c r="E1388" t="s">
        <v>14</v>
      </c>
      <c r="F1388" t="s">
        <v>15</v>
      </c>
      <c r="G1388" t="s">
        <v>17</v>
      </c>
      <c r="H1388" t="s">
        <v>8</v>
      </c>
      <c r="I1388" t="s">
        <v>9</v>
      </c>
      <c r="J1388" t="s">
        <v>10</v>
      </c>
      <c r="K1388" t="s">
        <v>11</v>
      </c>
      <c r="L1388" t="s">
        <v>12</v>
      </c>
      <c r="M1388" t="s">
        <v>32</v>
      </c>
      <c r="N1388" t="s">
        <v>46</v>
      </c>
      <c r="O1388" t="s">
        <v>18</v>
      </c>
      <c r="P1388">
        <v>1</v>
      </c>
    </row>
    <row r="1389" spans="1:16" x14ac:dyDescent="0.3">
      <c r="A1389">
        <v>1905</v>
      </c>
      <c r="B1389">
        <v>44657</v>
      </c>
      <c r="C1389">
        <v>50</v>
      </c>
      <c r="D1389">
        <v>26368</v>
      </c>
      <c r="E1389" t="s">
        <v>14</v>
      </c>
      <c r="F1389" t="s">
        <v>15</v>
      </c>
      <c r="G1389" t="s">
        <v>34</v>
      </c>
      <c r="H1389" t="s">
        <v>8</v>
      </c>
      <c r="I1389" t="s">
        <v>9</v>
      </c>
      <c r="J1389" t="s">
        <v>20</v>
      </c>
      <c r="K1389" t="s">
        <v>26</v>
      </c>
      <c r="L1389" t="s">
        <v>12</v>
      </c>
      <c r="M1389" t="s">
        <v>59</v>
      </c>
      <c r="N1389" t="s">
        <v>46</v>
      </c>
      <c r="O1389" t="s">
        <v>18</v>
      </c>
      <c r="P1389">
        <v>2</v>
      </c>
    </row>
    <row r="1390" spans="1:16" x14ac:dyDescent="0.3">
      <c r="A1390">
        <v>1906</v>
      </c>
      <c r="B1390">
        <v>44249</v>
      </c>
      <c r="C1390">
        <v>74</v>
      </c>
      <c r="D1390">
        <v>17382</v>
      </c>
      <c r="E1390" t="s">
        <v>14</v>
      </c>
      <c r="F1390" t="s">
        <v>22</v>
      </c>
      <c r="G1390" t="s">
        <v>17</v>
      </c>
      <c r="H1390" t="s">
        <v>8</v>
      </c>
      <c r="I1390" t="s">
        <v>9</v>
      </c>
      <c r="J1390" t="s">
        <v>20</v>
      </c>
      <c r="K1390" t="s">
        <v>26</v>
      </c>
      <c r="L1390" t="s">
        <v>12</v>
      </c>
      <c r="M1390" t="s">
        <v>35</v>
      </c>
      <c r="N1390" t="s">
        <v>23</v>
      </c>
      <c r="O1390" t="s">
        <v>18</v>
      </c>
      <c r="P1390">
        <v>4</v>
      </c>
    </row>
    <row r="1391" spans="1:16" x14ac:dyDescent="0.3">
      <c r="A1391">
        <v>1907</v>
      </c>
      <c r="B1391">
        <v>44697</v>
      </c>
      <c r="C1391">
        <v>34</v>
      </c>
      <c r="D1391">
        <v>32451</v>
      </c>
      <c r="E1391" t="s">
        <v>14</v>
      </c>
      <c r="F1391" t="s">
        <v>22</v>
      </c>
      <c r="G1391" t="s">
        <v>17</v>
      </c>
      <c r="H1391" t="s">
        <v>8</v>
      </c>
      <c r="I1391" t="s">
        <v>9</v>
      </c>
      <c r="J1391" t="s">
        <v>25</v>
      </c>
      <c r="K1391" t="s">
        <v>11</v>
      </c>
      <c r="L1391" t="s">
        <v>12</v>
      </c>
      <c r="M1391" t="s">
        <v>35</v>
      </c>
      <c r="N1391" t="s">
        <v>46</v>
      </c>
      <c r="O1391" t="s">
        <v>18</v>
      </c>
      <c r="P1391">
        <v>4</v>
      </c>
    </row>
    <row r="1392" spans="1:16" x14ac:dyDescent="0.3">
      <c r="A1392">
        <v>1908</v>
      </c>
      <c r="B1392">
        <v>43848</v>
      </c>
      <c r="C1392">
        <v>78</v>
      </c>
      <c r="D1392">
        <v>15480</v>
      </c>
      <c r="E1392" t="s">
        <v>14</v>
      </c>
      <c r="F1392" t="s">
        <v>15</v>
      </c>
      <c r="G1392" t="s">
        <v>17</v>
      </c>
      <c r="H1392" t="s">
        <v>8</v>
      </c>
      <c r="I1392" t="s">
        <v>9</v>
      </c>
      <c r="J1392" t="s">
        <v>10</v>
      </c>
      <c r="K1392" t="s">
        <v>26</v>
      </c>
      <c r="L1392" t="s">
        <v>12</v>
      </c>
      <c r="M1392" t="s">
        <v>35</v>
      </c>
      <c r="N1392" t="s">
        <v>16</v>
      </c>
      <c r="O1392" t="s">
        <v>18</v>
      </c>
      <c r="P1392">
        <v>2</v>
      </c>
    </row>
    <row r="1393" spans="1:16" x14ac:dyDescent="0.3">
      <c r="A1393">
        <v>1909</v>
      </c>
      <c r="B1393">
        <v>44490</v>
      </c>
      <c r="C1393">
        <v>60</v>
      </c>
      <c r="D1393">
        <v>22569</v>
      </c>
      <c r="E1393" t="s">
        <v>14</v>
      </c>
      <c r="F1393" t="s">
        <v>15</v>
      </c>
      <c r="G1393" t="s">
        <v>17</v>
      </c>
      <c r="H1393" t="s">
        <v>8</v>
      </c>
      <c r="I1393" t="s">
        <v>9</v>
      </c>
      <c r="J1393" t="s">
        <v>25</v>
      </c>
      <c r="K1393" t="s">
        <v>19</v>
      </c>
      <c r="L1393" t="s">
        <v>12</v>
      </c>
      <c r="M1393" t="s">
        <v>32</v>
      </c>
      <c r="N1393" t="s">
        <v>16</v>
      </c>
      <c r="O1393" t="s">
        <v>18</v>
      </c>
      <c r="P1393">
        <v>5</v>
      </c>
    </row>
    <row r="1394" spans="1:16" x14ac:dyDescent="0.3">
      <c r="A1394">
        <v>1910</v>
      </c>
      <c r="B1394">
        <v>43470</v>
      </c>
      <c r="C1394">
        <v>77</v>
      </c>
      <c r="D1394">
        <v>15652</v>
      </c>
      <c r="E1394" t="s">
        <v>14</v>
      </c>
      <c r="F1394" t="s">
        <v>15</v>
      </c>
      <c r="G1394" t="s">
        <v>40</v>
      </c>
      <c r="H1394" t="s">
        <v>8</v>
      </c>
      <c r="I1394" t="s">
        <v>9</v>
      </c>
      <c r="J1394" t="s">
        <v>25</v>
      </c>
      <c r="K1394" t="s">
        <v>11</v>
      </c>
      <c r="L1394" t="s">
        <v>12</v>
      </c>
      <c r="M1394" t="s">
        <v>38</v>
      </c>
      <c r="N1394" t="s">
        <v>23</v>
      </c>
      <c r="O1394" t="s">
        <v>18</v>
      </c>
      <c r="P1394">
        <v>4</v>
      </c>
    </row>
    <row r="1395" spans="1:16" x14ac:dyDescent="0.3">
      <c r="A1395">
        <v>1911</v>
      </c>
      <c r="B1395">
        <v>44220</v>
      </c>
      <c r="C1395">
        <v>30</v>
      </c>
      <c r="D1395">
        <v>33401</v>
      </c>
      <c r="E1395" t="s">
        <v>14</v>
      </c>
      <c r="F1395" t="s">
        <v>15</v>
      </c>
      <c r="G1395" t="s">
        <v>40</v>
      </c>
      <c r="H1395" t="s">
        <v>8</v>
      </c>
      <c r="I1395" t="s">
        <v>66</v>
      </c>
      <c r="J1395" t="s">
        <v>20</v>
      </c>
      <c r="K1395" t="s">
        <v>26</v>
      </c>
      <c r="L1395" t="s">
        <v>12</v>
      </c>
      <c r="M1395" t="s">
        <v>59</v>
      </c>
      <c r="N1395" t="s">
        <v>16</v>
      </c>
      <c r="O1395" t="s">
        <v>18</v>
      </c>
      <c r="P1395">
        <v>4</v>
      </c>
    </row>
    <row r="1396" spans="1:16" x14ac:dyDescent="0.3">
      <c r="A1396">
        <v>1912</v>
      </c>
      <c r="B1396">
        <v>43896</v>
      </c>
      <c r="C1396">
        <v>33</v>
      </c>
      <c r="D1396">
        <v>32066</v>
      </c>
      <c r="E1396" t="s">
        <v>14</v>
      </c>
      <c r="F1396" t="s">
        <v>15</v>
      </c>
      <c r="G1396" t="s">
        <v>34</v>
      </c>
      <c r="H1396" t="s">
        <v>64</v>
      </c>
      <c r="I1396" t="s">
        <v>9</v>
      </c>
      <c r="J1396" t="s">
        <v>20</v>
      </c>
      <c r="K1396" t="s">
        <v>26</v>
      </c>
      <c r="L1396" t="s">
        <v>12</v>
      </c>
      <c r="M1396" t="s">
        <v>42</v>
      </c>
      <c r="N1396" t="s">
        <v>46</v>
      </c>
      <c r="O1396" t="s">
        <v>18</v>
      </c>
      <c r="P1396">
        <v>5</v>
      </c>
    </row>
    <row r="1397" spans="1:16" x14ac:dyDescent="0.3">
      <c r="A1397">
        <v>1913</v>
      </c>
      <c r="B1397">
        <v>44884</v>
      </c>
      <c r="C1397">
        <v>50</v>
      </c>
      <c r="D1397">
        <v>26506</v>
      </c>
      <c r="E1397" t="s">
        <v>14</v>
      </c>
      <c r="F1397" t="s">
        <v>22</v>
      </c>
      <c r="G1397" t="s">
        <v>34</v>
      </c>
      <c r="H1397" t="s">
        <v>64</v>
      </c>
      <c r="I1397" t="s">
        <v>66</v>
      </c>
      <c r="J1397" t="s">
        <v>25</v>
      </c>
      <c r="K1397" t="s">
        <v>26</v>
      </c>
      <c r="L1397" t="s">
        <v>12</v>
      </c>
      <c r="M1397" t="s">
        <v>32</v>
      </c>
      <c r="N1397" t="s">
        <v>16</v>
      </c>
      <c r="O1397" t="s">
        <v>18</v>
      </c>
      <c r="P1397">
        <v>4</v>
      </c>
    </row>
    <row r="1398" spans="1:16" x14ac:dyDescent="0.3">
      <c r="A1398">
        <v>1914</v>
      </c>
      <c r="B1398">
        <v>43539</v>
      </c>
      <c r="C1398">
        <v>38</v>
      </c>
      <c r="D1398">
        <v>29680</v>
      </c>
      <c r="E1398" t="s">
        <v>14</v>
      </c>
      <c r="F1398" t="s">
        <v>15</v>
      </c>
      <c r="G1398" t="s">
        <v>34</v>
      </c>
      <c r="H1398" t="s">
        <v>64</v>
      </c>
      <c r="I1398" t="s">
        <v>66</v>
      </c>
      <c r="J1398" t="s">
        <v>20</v>
      </c>
      <c r="K1398" t="s">
        <v>26</v>
      </c>
      <c r="L1398" t="s">
        <v>12</v>
      </c>
      <c r="M1398" t="s">
        <v>42</v>
      </c>
      <c r="N1398" t="s">
        <v>30</v>
      </c>
      <c r="O1398" t="s">
        <v>18</v>
      </c>
      <c r="P1398">
        <v>4</v>
      </c>
    </row>
    <row r="1399" spans="1:16" x14ac:dyDescent="0.3">
      <c r="A1399">
        <v>1917</v>
      </c>
      <c r="B1399">
        <v>43614</v>
      </c>
      <c r="C1399">
        <v>59</v>
      </c>
      <c r="D1399">
        <v>22223</v>
      </c>
      <c r="E1399" t="s">
        <v>14</v>
      </c>
      <c r="F1399" t="s">
        <v>15</v>
      </c>
      <c r="G1399" t="s">
        <v>31</v>
      </c>
      <c r="H1399" t="s">
        <v>8</v>
      </c>
      <c r="I1399" t="s">
        <v>9</v>
      </c>
      <c r="J1399" t="s">
        <v>10</v>
      </c>
      <c r="K1399" t="s">
        <v>26</v>
      </c>
      <c r="L1399" t="s">
        <v>12</v>
      </c>
      <c r="M1399" t="s">
        <v>38</v>
      </c>
      <c r="N1399" t="s">
        <v>37</v>
      </c>
      <c r="O1399" t="s">
        <v>18</v>
      </c>
      <c r="P1399">
        <v>2</v>
      </c>
    </row>
    <row r="1400" spans="1:16" x14ac:dyDescent="0.3">
      <c r="A1400">
        <v>1918</v>
      </c>
      <c r="B1400">
        <v>44935</v>
      </c>
      <c r="C1400">
        <v>33</v>
      </c>
      <c r="D1400">
        <v>33128</v>
      </c>
      <c r="E1400" t="s">
        <v>14</v>
      </c>
      <c r="F1400" t="s">
        <v>15</v>
      </c>
      <c r="G1400" t="s">
        <v>31</v>
      </c>
      <c r="H1400" t="s">
        <v>8</v>
      </c>
      <c r="I1400" t="s">
        <v>9</v>
      </c>
      <c r="J1400" t="s">
        <v>10</v>
      </c>
      <c r="K1400" t="s">
        <v>26</v>
      </c>
      <c r="L1400" t="s">
        <v>12</v>
      </c>
      <c r="M1400" t="s">
        <v>35</v>
      </c>
      <c r="N1400" t="s">
        <v>37</v>
      </c>
      <c r="O1400" t="s">
        <v>18</v>
      </c>
      <c r="P1400">
        <v>5</v>
      </c>
    </row>
    <row r="1401" spans="1:16" x14ac:dyDescent="0.3">
      <c r="A1401">
        <v>1919</v>
      </c>
      <c r="B1401">
        <v>44682</v>
      </c>
      <c r="C1401">
        <v>32</v>
      </c>
      <c r="D1401">
        <v>33100</v>
      </c>
      <c r="E1401" t="s">
        <v>14</v>
      </c>
      <c r="F1401" t="s">
        <v>15</v>
      </c>
      <c r="G1401" t="s">
        <v>17</v>
      </c>
      <c r="H1401" t="s">
        <v>8</v>
      </c>
      <c r="I1401" t="s">
        <v>66</v>
      </c>
      <c r="J1401" t="s">
        <v>10</v>
      </c>
      <c r="K1401" t="s">
        <v>19</v>
      </c>
      <c r="L1401" t="s">
        <v>12</v>
      </c>
      <c r="M1401" t="s">
        <v>58</v>
      </c>
      <c r="N1401" t="s">
        <v>30</v>
      </c>
      <c r="O1401" t="s">
        <v>18</v>
      </c>
      <c r="P1401">
        <v>3</v>
      </c>
    </row>
    <row r="1402" spans="1:16" x14ac:dyDescent="0.3">
      <c r="A1402">
        <v>1920</v>
      </c>
      <c r="B1402">
        <v>44222</v>
      </c>
      <c r="C1402">
        <v>73</v>
      </c>
      <c r="D1402">
        <v>17748</v>
      </c>
      <c r="E1402" t="s">
        <v>14</v>
      </c>
      <c r="F1402" t="s">
        <v>15</v>
      </c>
      <c r="G1402" t="s">
        <v>17</v>
      </c>
      <c r="H1402" t="s">
        <v>8</v>
      </c>
      <c r="I1402" t="s">
        <v>66</v>
      </c>
      <c r="J1402" t="s">
        <v>25</v>
      </c>
      <c r="K1402" t="s">
        <v>26</v>
      </c>
      <c r="L1402" t="s">
        <v>12</v>
      </c>
      <c r="M1402" t="s">
        <v>35</v>
      </c>
      <c r="N1402" t="s">
        <v>23</v>
      </c>
      <c r="O1402" t="s">
        <v>18</v>
      </c>
      <c r="P1402">
        <v>5</v>
      </c>
    </row>
    <row r="1403" spans="1:16" x14ac:dyDescent="0.3">
      <c r="A1403">
        <v>1921</v>
      </c>
      <c r="B1403">
        <v>44445</v>
      </c>
      <c r="C1403">
        <v>27</v>
      </c>
      <c r="D1403">
        <v>34542</v>
      </c>
      <c r="E1403" t="s">
        <v>14</v>
      </c>
      <c r="F1403" t="s">
        <v>22</v>
      </c>
      <c r="G1403" t="s">
        <v>34</v>
      </c>
      <c r="H1403" t="s">
        <v>8</v>
      </c>
      <c r="I1403" t="s">
        <v>9</v>
      </c>
      <c r="J1403" t="s">
        <v>10</v>
      </c>
      <c r="K1403" t="s">
        <v>11</v>
      </c>
      <c r="L1403" t="s">
        <v>12</v>
      </c>
      <c r="M1403" t="s">
        <v>42</v>
      </c>
      <c r="N1403" t="s">
        <v>30</v>
      </c>
      <c r="O1403" t="s">
        <v>18</v>
      </c>
      <c r="P1403">
        <v>2</v>
      </c>
    </row>
    <row r="1404" spans="1:16" x14ac:dyDescent="0.3">
      <c r="A1404">
        <v>1922</v>
      </c>
      <c r="B1404">
        <v>44041</v>
      </c>
      <c r="C1404">
        <v>62</v>
      </c>
      <c r="D1404">
        <v>21227</v>
      </c>
      <c r="E1404" t="s">
        <v>14</v>
      </c>
      <c r="F1404" t="s">
        <v>22</v>
      </c>
      <c r="G1404" t="s">
        <v>40</v>
      </c>
      <c r="H1404" t="s">
        <v>8</v>
      </c>
      <c r="I1404" t="s">
        <v>9</v>
      </c>
      <c r="J1404" t="s">
        <v>25</v>
      </c>
      <c r="K1404" t="s">
        <v>19</v>
      </c>
      <c r="L1404" t="s">
        <v>12</v>
      </c>
      <c r="M1404" t="s">
        <v>32</v>
      </c>
      <c r="N1404" t="s">
        <v>46</v>
      </c>
      <c r="O1404" t="s">
        <v>18</v>
      </c>
      <c r="P1404">
        <v>1</v>
      </c>
    </row>
    <row r="1405" spans="1:16" x14ac:dyDescent="0.3">
      <c r="A1405">
        <v>1923</v>
      </c>
      <c r="B1405">
        <v>45016</v>
      </c>
      <c r="C1405">
        <v>57</v>
      </c>
      <c r="D1405">
        <v>24416</v>
      </c>
      <c r="E1405" t="s">
        <v>14</v>
      </c>
      <c r="F1405" t="s">
        <v>15</v>
      </c>
      <c r="G1405" t="s">
        <v>17</v>
      </c>
      <c r="H1405" t="s">
        <v>8</v>
      </c>
      <c r="I1405" t="s">
        <v>9</v>
      </c>
      <c r="J1405" t="s">
        <v>25</v>
      </c>
      <c r="K1405" t="s">
        <v>26</v>
      </c>
      <c r="L1405" t="s">
        <v>12</v>
      </c>
      <c r="M1405" t="s">
        <v>62</v>
      </c>
      <c r="N1405" t="s">
        <v>30</v>
      </c>
      <c r="O1405" t="s">
        <v>18</v>
      </c>
      <c r="P1405">
        <v>4</v>
      </c>
    </row>
    <row r="1406" spans="1:16" x14ac:dyDescent="0.3">
      <c r="A1406">
        <v>1924</v>
      </c>
      <c r="B1406">
        <v>45062</v>
      </c>
      <c r="C1406">
        <v>29</v>
      </c>
      <c r="D1406">
        <v>34667</v>
      </c>
      <c r="E1406" t="s">
        <v>14</v>
      </c>
      <c r="F1406" t="s">
        <v>15</v>
      </c>
      <c r="G1406" t="s">
        <v>34</v>
      </c>
      <c r="H1406" t="s">
        <v>8</v>
      </c>
      <c r="I1406" t="s">
        <v>9</v>
      </c>
      <c r="J1406" t="s">
        <v>20</v>
      </c>
      <c r="K1406" t="s">
        <v>26</v>
      </c>
      <c r="L1406" t="s">
        <v>12</v>
      </c>
      <c r="M1406" t="s">
        <v>35</v>
      </c>
      <c r="N1406" t="s">
        <v>23</v>
      </c>
      <c r="O1406" t="s">
        <v>18</v>
      </c>
      <c r="P1406">
        <v>5</v>
      </c>
    </row>
    <row r="1407" spans="1:16" x14ac:dyDescent="0.3">
      <c r="A1407">
        <v>1925</v>
      </c>
      <c r="B1407">
        <v>45045</v>
      </c>
      <c r="C1407">
        <v>43</v>
      </c>
      <c r="D1407">
        <v>29264</v>
      </c>
      <c r="E1407" t="s">
        <v>14</v>
      </c>
      <c r="F1407" t="s">
        <v>22</v>
      </c>
      <c r="G1407" t="s">
        <v>40</v>
      </c>
      <c r="H1407" t="s">
        <v>8</v>
      </c>
      <c r="I1407" t="s">
        <v>9</v>
      </c>
      <c r="J1407" t="s">
        <v>10</v>
      </c>
      <c r="K1407" t="s">
        <v>26</v>
      </c>
      <c r="L1407" t="s">
        <v>12</v>
      </c>
      <c r="M1407" t="s">
        <v>49</v>
      </c>
      <c r="N1407" t="s">
        <v>30</v>
      </c>
      <c r="O1407" t="s">
        <v>18</v>
      </c>
      <c r="P1407">
        <v>5</v>
      </c>
    </row>
    <row r="1408" spans="1:16" x14ac:dyDescent="0.3">
      <c r="A1408">
        <v>1926</v>
      </c>
      <c r="B1408">
        <v>43796</v>
      </c>
      <c r="C1408">
        <v>19</v>
      </c>
      <c r="D1408">
        <v>36527</v>
      </c>
      <c r="E1408" t="s">
        <v>14</v>
      </c>
      <c r="F1408" t="s">
        <v>22</v>
      </c>
      <c r="G1408" t="s">
        <v>31</v>
      </c>
      <c r="H1408" t="s">
        <v>8</v>
      </c>
      <c r="I1408" t="s">
        <v>9</v>
      </c>
      <c r="J1408" t="s">
        <v>10</v>
      </c>
      <c r="K1408" t="s">
        <v>19</v>
      </c>
      <c r="L1408" t="s">
        <v>12</v>
      </c>
      <c r="M1408" t="s">
        <v>35</v>
      </c>
      <c r="N1408" t="s">
        <v>37</v>
      </c>
      <c r="O1408" t="s">
        <v>18</v>
      </c>
      <c r="P1408">
        <v>4</v>
      </c>
    </row>
    <row r="1409" spans="1:16" x14ac:dyDescent="0.3">
      <c r="A1409">
        <v>1927</v>
      </c>
      <c r="B1409">
        <v>44868</v>
      </c>
      <c r="C1409">
        <v>46</v>
      </c>
      <c r="D1409">
        <v>27856</v>
      </c>
      <c r="E1409" t="s">
        <v>14</v>
      </c>
      <c r="F1409" t="s">
        <v>22</v>
      </c>
      <c r="G1409" t="s">
        <v>34</v>
      </c>
      <c r="H1409" t="s">
        <v>8</v>
      </c>
      <c r="I1409" t="s">
        <v>9</v>
      </c>
      <c r="J1409" t="s">
        <v>25</v>
      </c>
      <c r="K1409" t="s">
        <v>11</v>
      </c>
      <c r="L1409" t="s">
        <v>12</v>
      </c>
      <c r="M1409" t="s">
        <v>35</v>
      </c>
      <c r="N1409" t="s">
        <v>23</v>
      </c>
      <c r="O1409" t="s">
        <v>18</v>
      </c>
      <c r="P1409">
        <v>2</v>
      </c>
    </row>
    <row r="1410" spans="1:16" x14ac:dyDescent="0.3">
      <c r="A1410">
        <v>1928</v>
      </c>
      <c r="B1410">
        <v>44781</v>
      </c>
      <c r="C1410">
        <v>39</v>
      </c>
      <c r="D1410">
        <v>30392</v>
      </c>
      <c r="E1410" t="s">
        <v>14</v>
      </c>
      <c r="F1410" t="s">
        <v>15</v>
      </c>
      <c r="G1410" t="s">
        <v>17</v>
      </c>
      <c r="H1410" t="s">
        <v>8</v>
      </c>
      <c r="I1410" t="s">
        <v>9</v>
      </c>
      <c r="J1410" t="s">
        <v>25</v>
      </c>
      <c r="K1410" t="s">
        <v>19</v>
      </c>
      <c r="L1410" t="s">
        <v>12</v>
      </c>
      <c r="M1410" t="s">
        <v>32</v>
      </c>
      <c r="N1410" t="s">
        <v>23</v>
      </c>
      <c r="O1410" t="s">
        <v>18</v>
      </c>
      <c r="P1410">
        <v>5</v>
      </c>
    </row>
    <row r="1411" spans="1:16" x14ac:dyDescent="0.3">
      <c r="A1411">
        <v>1929</v>
      </c>
      <c r="B1411">
        <v>45134</v>
      </c>
      <c r="C1411">
        <v>35</v>
      </c>
      <c r="D1411">
        <v>32205</v>
      </c>
      <c r="E1411" t="s">
        <v>14</v>
      </c>
      <c r="F1411" t="s">
        <v>15</v>
      </c>
      <c r="G1411" t="s">
        <v>17</v>
      </c>
      <c r="H1411" t="s">
        <v>8</v>
      </c>
      <c r="I1411" t="s">
        <v>9</v>
      </c>
      <c r="J1411" t="s">
        <v>10</v>
      </c>
      <c r="K1411" t="s">
        <v>19</v>
      </c>
      <c r="L1411" t="s">
        <v>12</v>
      </c>
      <c r="M1411" t="s">
        <v>35</v>
      </c>
      <c r="N1411" t="s">
        <v>46</v>
      </c>
      <c r="O1411" t="s">
        <v>18</v>
      </c>
      <c r="P1411">
        <v>1</v>
      </c>
    </row>
    <row r="1412" spans="1:16" x14ac:dyDescent="0.3">
      <c r="A1412">
        <v>1930</v>
      </c>
      <c r="B1412">
        <v>45122</v>
      </c>
      <c r="C1412">
        <v>37</v>
      </c>
      <c r="D1412">
        <v>31650</v>
      </c>
      <c r="E1412" t="s">
        <v>14</v>
      </c>
      <c r="F1412" t="s">
        <v>15</v>
      </c>
      <c r="G1412" t="s">
        <v>31</v>
      </c>
      <c r="H1412" t="s">
        <v>8</v>
      </c>
      <c r="I1412" t="s">
        <v>9</v>
      </c>
      <c r="J1412" t="s">
        <v>25</v>
      </c>
      <c r="K1412" t="s">
        <v>11</v>
      </c>
      <c r="L1412" t="s">
        <v>12</v>
      </c>
      <c r="M1412" t="s">
        <v>32</v>
      </c>
      <c r="N1412" t="s">
        <v>46</v>
      </c>
      <c r="O1412" t="s">
        <v>18</v>
      </c>
      <c r="P1412">
        <v>3</v>
      </c>
    </row>
    <row r="1413" spans="1:16" x14ac:dyDescent="0.3">
      <c r="A1413">
        <v>1931</v>
      </c>
      <c r="B1413">
        <v>44874</v>
      </c>
      <c r="C1413">
        <v>23</v>
      </c>
      <c r="D1413">
        <v>36516</v>
      </c>
      <c r="E1413" t="s">
        <v>14</v>
      </c>
      <c r="F1413" t="s">
        <v>15</v>
      </c>
      <c r="G1413" t="s">
        <v>31</v>
      </c>
      <c r="H1413" t="s">
        <v>8</v>
      </c>
      <c r="I1413" t="s">
        <v>9</v>
      </c>
      <c r="J1413" t="s">
        <v>25</v>
      </c>
      <c r="K1413" t="s">
        <v>26</v>
      </c>
      <c r="L1413" t="s">
        <v>12</v>
      </c>
      <c r="M1413" t="s">
        <v>55</v>
      </c>
      <c r="N1413" t="s">
        <v>16</v>
      </c>
      <c r="O1413" t="s">
        <v>18</v>
      </c>
      <c r="P1413">
        <v>3</v>
      </c>
    </row>
    <row r="1414" spans="1:16" x14ac:dyDescent="0.3">
      <c r="A1414">
        <v>1932</v>
      </c>
      <c r="B1414">
        <v>43823</v>
      </c>
      <c r="C1414">
        <v>42</v>
      </c>
      <c r="D1414">
        <v>28353</v>
      </c>
      <c r="E1414" t="s">
        <v>14</v>
      </c>
      <c r="F1414" t="s">
        <v>22</v>
      </c>
      <c r="G1414" t="s">
        <v>17</v>
      </c>
      <c r="H1414" t="s">
        <v>98</v>
      </c>
      <c r="I1414" t="s">
        <v>9</v>
      </c>
      <c r="J1414" t="s">
        <v>25</v>
      </c>
      <c r="K1414" t="s">
        <v>19</v>
      </c>
      <c r="L1414" t="s">
        <v>27</v>
      </c>
      <c r="M1414" t="s">
        <v>28</v>
      </c>
      <c r="N1414" t="s">
        <v>30</v>
      </c>
      <c r="O1414" t="s">
        <v>18</v>
      </c>
      <c r="P1414">
        <v>5</v>
      </c>
    </row>
    <row r="1415" spans="1:16" x14ac:dyDescent="0.3">
      <c r="A1415">
        <v>1933</v>
      </c>
      <c r="B1415">
        <v>43532</v>
      </c>
      <c r="C1415">
        <v>30</v>
      </c>
      <c r="D1415">
        <v>32813</v>
      </c>
      <c r="E1415" t="s">
        <v>99</v>
      </c>
      <c r="F1415" t="s">
        <v>15</v>
      </c>
      <c r="G1415" t="s">
        <v>17</v>
      </c>
      <c r="H1415" t="s">
        <v>98</v>
      </c>
      <c r="I1415" t="s">
        <v>9</v>
      </c>
      <c r="J1415" t="s">
        <v>10</v>
      </c>
      <c r="K1415" t="s">
        <v>11</v>
      </c>
      <c r="L1415" t="s">
        <v>27</v>
      </c>
      <c r="M1415" t="s">
        <v>21</v>
      </c>
      <c r="N1415" t="s">
        <v>37</v>
      </c>
      <c r="O1415" t="s">
        <v>18</v>
      </c>
      <c r="P1415">
        <v>4</v>
      </c>
    </row>
    <row r="1416" spans="1:16" x14ac:dyDescent="0.3">
      <c r="A1416">
        <v>1934</v>
      </c>
      <c r="B1416">
        <v>43641</v>
      </c>
      <c r="C1416">
        <v>28</v>
      </c>
      <c r="D1416">
        <v>33510</v>
      </c>
      <c r="E1416" t="s">
        <v>100</v>
      </c>
      <c r="F1416" t="s">
        <v>15</v>
      </c>
      <c r="G1416" t="s">
        <v>17</v>
      </c>
      <c r="H1416" t="s">
        <v>98</v>
      </c>
      <c r="I1416" t="s">
        <v>66</v>
      </c>
      <c r="J1416" t="s">
        <v>10</v>
      </c>
      <c r="K1416" t="s">
        <v>26</v>
      </c>
      <c r="L1416" t="s">
        <v>27</v>
      </c>
      <c r="M1416" t="s">
        <v>38</v>
      </c>
      <c r="N1416" t="s">
        <v>30</v>
      </c>
      <c r="O1416" t="s">
        <v>18</v>
      </c>
      <c r="P1416">
        <v>5</v>
      </c>
    </row>
    <row r="1417" spans="1:16" x14ac:dyDescent="0.3">
      <c r="A1417">
        <v>1935</v>
      </c>
      <c r="B1417">
        <v>43468</v>
      </c>
      <c r="C1417">
        <v>45</v>
      </c>
      <c r="D1417">
        <v>27364</v>
      </c>
      <c r="E1417" t="s">
        <v>14</v>
      </c>
      <c r="F1417" t="s">
        <v>22</v>
      </c>
      <c r="G1417" t="s">
        <v>40</v>
      </c>
      <c r="H1417" t="s">
        <v>64</v>
      </c>
      <c r="I1417" t="s">
        <v>9</v>
      </c>
      <c r="J1417" t="s">
        <v>20</v>
      </c>
      <c r="K1417" t="s">
        <v>19</v>
      </c>
      <c r="L1417" t="s">
        <v>27</v>
      </c>
      <c r="M1417" t="s">
        <v>63</v>
      </c>
      <c r="N1417" t="s">
        <v>23</v>
      </c>
      <c r="O1417" t="s">
        <v>18</v>
      </c>
      <c r="P1417">
        <v>1</v>
      </c>
    </row>
    <row r="1418" spans="1:16" x14ac:dyDescent="0.3">
      <c r="A1418">
        <v>1936</v>
      </c>
      <c r="B1418">
        <v>44959</v>
      </c>
      <c r="C1418">
        <v>32</v>
      </c>
      <c r="D1418">
        <v>33384</v>
      </c>
      <c r="E1418" t="s">
        <v>100</v>
      </c>
      <c r="F1418" t="s">
        <v>15</v>
      </c>
      <c r="G1418" t="s">
        <v>17</v>
      </c>
      <c r="H1418" t="s">
        <v>64</v>
      </c>
      <c r="I1418" t="s">
        <v>9</v>
      </c>
      <c r="J1418" t="s">
        <v>25</v>
      </c>
      <c r="K1418" t="s">
        <v>26</v>
      </c>
      <c r="L1418" t="s">
        <v>27</v>
      </c>
      <c r="M1418" t="s">
        <v>35</v>
      </c>
      <c r="N1418" t="s">
        <v>23</v>
      </c>
      <c r="O1418" t="s">
        <v>18</v>
      </c>
      <c r="P1418">
        <v>3</v>
      </c>
    </row>
    <row r="1419" spans="1:16" x14ac:dyDescent="0.3">
      <c r="A1419">
        <v>1937</v>
      </c>
      <c r="B1419">
        <v>44650</v>
      </c>
      <c r="C1419">
        <v>65</v>
      </c>
      <c r="D1419">
        <v>20904</v>
      </c>
      <c r="E1419" t="s">
        <v>100</v>
      </c>
      <c r="F1419" t="s">
        <v>15</v>
      </c>
      <c r="G1419" t="s">
        <v>31</v>
      </c>
      <c r="H1419" t="s">
        <v>64</v>
      </c>
      <c r="I1419" t="s">
        <v>66</v>
      </c>
      <c r="J1419" t="s">
        <v>25</v>
      </c>
      <c r="K1419" t="s">
        <v>19</v>
      </c>
      <c r="L1419" t="s">
        <v>27</v>
      </c>
      <c r="M1419" t="s">
        <v>42</v>
      </c>
      <c r="N1419" t="s">
        <v>46</v>
      </c>
      <c r="O1419" t="s">
        <v>18</v>
      </c>
      <c r="P1419">
        <v>5</v>
      </c>
    </row>
    <row r="1420" spans="1:16" x14ac:dyDescent="0.3">
      <c r="A1420">
        <v>1938</v>
      </c>
      <c r="B1420">
        <v>43913</v>
      </c>
      <c r="C1420">
        <v>63</v>
      </c>
      <c r="D1420">
        <v>20897</v>
      </c>
      <c r="E1420" t="s">
        <v>14</v>
      </c>
      <c r="F1420" t="s">
        <v>15</v>
      </c>
      <c r="G1420" t="s">
        <v>31</v>
      </c>
      <c r="H1420" t="s">
        <v>64</v>
      </c>
      <c r="I1420" t="s">
        <v>9</v>
      </c>
      <c r="J1420" t="s">
        <v>20</v>
      </c>
      <c r="K1420" t="s">
        <v>19</v>
      </c>
      <c r="L1420" t="s">
        <v>27</v>
      </c>
      <c r="M1420" t="s">
        <v>49</v>
      </c>
      <c r="N1420" t="s">
        <v>30</v>
      </c>
      <c r="O1420" t="s">
        <v>18</v>
      </c>
      <c r="P1420">
        <v>4</v>
      </c>
    </row>
    <row r="1421" spans="1:16" x14ac:dyDescent="0.3">
      <c r="A1421">
        <v>1939</v>
      </c>
      <c r="B1421">
        <v>43622</v>
      </c>
      <c r="C1421">
        <v>77</v>
      </c>
      <c r="D1421">
        <v>15405</v>
      </c>
      <c r="E1421" t="s">
        <v>100</v>
      </c>
      <c r="F1421" t="s">
        <v>15</v>
      </c>
      <c r="G1421" t="s">
        <v>34</v>
      </c>
      <c r="H1421" t="s">
        <v>64</v>
      </c>
      <c r="I1421" t="s">
        <v>9</v>
      </c>
      <c r="J1421" t="s">
        <v>10</v>
      </c>
      <c r="K1421" t="s">
        <v>11</v>
      </c>
      <c r="L1421" t="s">
        <v>27</v>
      </c>
      <c r="M1421" t="s">
        <v>35</v>
      </c>
      <c r="N1421" t="s">
        <v>46</v>
      </c>
      <c r="O1421" t="s">
        <v>18</v>
      </c>
      <c r="P1421">
        <v>5</v>
      </c>
    </row>
    <row r="1422" spans="1:16" x14ac:dyDescent="0.3">
      <c r="A1422">
        <v>1940</v>
      </c>
      <c r="B1422">
        <v>45074</v>
      </c>
      <c r="C1422">
        <v>81</v>
      </c>
      <c r="D1422">
        <v>15560</v>
      </c>
      <c r="E1422" t="s">
        <v>14</v>
      </c>
      <c r="F1422" t="s">
        <v>15</v>
      </c>
      <c r="G1422" t="s">
        <v>17</v>
      </c>
      <c r="H1422" t="s">
        <v>64</v>
      </c>
      <c r="I1422" t="s">
        <v>9</v>
      </c>
      <c r="J1422" t="s">
        <v>10</v>
      </c>
      <c r="K1422" t="s">
        <v>19</v>
      </c>
      <c r="L1422" t="s">
        <v>27</v>
      </c>
      <c r="M1422" t="s">
        <v>42</v>
      </c>
      <c r="N1422" t="s">
        <v>46</v>
      </c>
      <c r="O1422" t="s">
        <v>18</v>
      </c>
      <c r="P1422">
        <v>4</v>
      </c>
    </row>
    <row r="1423" spans="1:16" x14ac:dyDescent="0.3">
      <c r="A1423">
        <v>1941</v>
      </c>
      <c r="B1423">
        <v>44230</v>
      </c>
      <c r="C1423">
        <v>80</v>
      </c>
      <c r="D1423">
        <v>15255</v>
      </c>
      <c r="E1423" t="s">
        <v>100</v>
      </c>
      <c r="F1423" t="s">
        <v>15</v>
      </c>
      <c r="G1423" t="s">
        <v>17</v>
      </c>
      <c r="H1423" t="s">
        <v>64</v>
      </c>
      <c r="I1423" t="s">
        <v>9</v>
      </c>
      <c r="J1423" t="s">
        <v>10</v>
      </c>
      <c r="K1423" t="s">
        <v>19</v>
      </c>
      <c r="L1423" t="s">
        <v>27</v>
      </c>
      <c r="M1423" t="s">
        <v>42</v>
      </c>
      <c r="N1423" t="s">
        <v>23</v>
      </c>
      <c r="O1423" t="s">
        <v>18</v>
      </c>
      <c r="P1423">
        <v>5</v>
      </c>
    </row>
    <row r="1424" spans="1:16" x14ac:dyDescent="0.3">
      <c r="A1424">
        <v>1942</v>
      </c>
      <c r="B1424">
        <v>43676</v>
      </c>
      <c r="C1424">
        <v>55</v>
      </c>
      <c r="D1424">
        <v>23418</v>
      </c>
      <c r="E1424" t="s">
        <v>14</v>
      </c>
      <c r="F1424" t="s">
        <v>15</v>
      </c>
      <c r="G1424" t="s">
        <v>17</v>
      </c>
      <c r="H1424" t="s">
        <v>64</v>
      </c>
      <c r="I1424" t="s">
        <v>66</v>
      </c>
      <c r="J1424" t="s">
        <v>20</v>
      </c>
      <c r="K1424" t="s">
        <v>19</v>
      </c>
      <c r="L1424" t="s">
        <v>27</v>
      </c>
      <c r="M1424" t="s">
        <v>59</v>
      </c>
      <c r="N1424" t="s">
        <v>30</v>
      </c>
      <c r="O1424" t="s">
        <v>18</v>
      </c>
      <c r="P1424">
        <v>4</v>
      </c>
    </row>
    <row r="1425" spans="1:16" x14ac:dyDescent="0.3">
      <c r="A1425">
        <v>1943</v>
      </c>
      <c r="B1425">
        <v>44689</v>
      </c>
      <c r="C1425">
        <v>66</v>
      </c>
      <c r="D1425">
        <v>20537</v>
      </c>
      <c r="E1425" t="s">
        <v>100</v>
      </c>
      <c r="F1425" t="s">
        <v>15</v>
      </c>
      <c r="G1425" t="s">
        <v>17</v>
      </c>
      <c r="H1425" t="s">
        <v>64</v>
      </c>
      <c r="I1425" t="s">
        <v>66</v>
      </c>
      <c r="J1425" t="s">
        <v>10</v>
      </c>
      <c r="K1425" t="s">
        <v>19</v>
      </c>
      <c r="L1425" t="s">
        <v>27</v>
      </c>
      <c r="M1425" t="s">
        <v>58</v>
      </c>
      <c r="N1425" t="s">
        <v>16</v>
      </c>
      <c r="O1425" t="s">
        <v>18</v>
      </c>
      <c r="P1425">
        <v>5</v>
      </c>
    </row>
    <row r="1426" spans="1:16" x14ac:dyDescent="0.3">
      <c r="A1426">
        <v>1944</v>
      </c>
      <c r="B1426">
        <v>43963</v>
      </c>
      <c r="C1426">
        <v>57</v>
      </c>
      <c r="D1426">
        <v>23243</v>
      </c>
      <c r="E1426" t="s">
        <v>100</v>
      </c>
      <c r="F1426" t="s">
        <v>15</v>
      </c>
      <c r="G1426" t="s">
        <v>34</v>
      </c>
      <c r="H1426" t="s">
        <v>64</v>
      </c>
      <c r="I1426" t="s">
        <v>9</v>
      </c>
      <c r="J1426" t="s">
        <v>20</v>
      </c>
      <c r="K1426" t="s">
        <v>19</v>
      </c>
      <c r="L1426" t="s">
        <v>27</v>
      </c>
      <c r="M1426" t="s">
        <v>35</v>
      </c>
      <c r="N1426" t="s">
        <v>46</v>
      </c>
      <c r="O1426" t="s">
        <v>18</v>
      </c>
      <c r="P1426">
        <v>4</v>
      </c>
    </row>
    <row r="1427" spans="1:16" x14ac:dyDescent="0.3">
      <c r="A1427">
        <v>1945</v>
      </c>
      <c r="B1427">
        <v>43552</v>
      </c>
      <c r="C1427">
        <v>42</v>
      </c>
      <c r="D1427">
        <v>28173</v>
      </c>
      <c r="E1427" t="s">
        <v>14</v>
      </c>
      <c r="F1427" t="s">
        <v>15</v>
      </c>
      <c r="G1427" t="s">
        <v>34</v>
      </c>
      <c r="H1427" t="s">
        <v>98</v>
      </c>
      <c r="I1427" t="s">
        <v>66</v>
      </c>
      <c r="J1427" t="s">
        <v>25</v>
      </c>
      <c r="K1427" t="s">
        <v>19</v>
      </c>
      <c r="L1427" t="s">
        <v>27</v>
      </c>
      <c r="M1427" t="s">
        <v>42</v>
      </c>
      <c r="N1427" t="s">
        <v>16</v>
      </c>
      <c r="O1427" t="s">
        <v>18</v>
      </c>
      <c r="P1427">
        <v>3</v>
      </c>
    </row>
    <row r="1428" spans="1:16" x14ac:dyDescent="0.3">
      <c r="A1428">
        <v>1946</v>
      </c>
      <c r="B1428">
        <v>43668</v>
      </c>
      <c r="C1428">
        <v>63</v>
      </c>
      <c r="D1428">
        <v>20658</v>
      </c>
      <c r="E1428" t="s">
        <v>100</v>
      </c>
      <c r="F1428" t="s">
        <v>15</v>
      </c>
      <c r="G1428" t="s">
        <v>17</v>
      </c>
      <c r="H1428" t="s">
        <v>64</v>
      </c>
      <c r="I1428" t="s">
        <v>9</v>
      </c>
      <c r="J1428" t="s">
        <v>25</v>
      </c>
      <c r="K1428" t="s">
        <v>19</v>
      </c>
      <c r="L1428" t="s">
        <v>27</v>
      </c>
      <c r="M1428" t="s">
        <v>21</v>
      </c>
      <c r="N1428" t="s">
        <v>30</v>
      </c>
      <c r="O1428" t="s">
        <v>18</v>
      </c>
      <c r="P1428">
        <v>5</v>
      </c>
    </row>
    <row r="1429" spans="1:16" x14ac:dyDescent="0.3">
      <c r="A1429">
        <v>1947</v>
      </c>
      <c r="B1429">
        <v>44091</v>
      </c>
      <c r="C1429">
        <v>38</v>
      </c>
      <c r="D1429">
        <v>30153</v>
      </c>
      <c r="E1429" t="s">
        <v>100</v>
      </c>
      <c r="F1429" t="s">
        <v>15</v>
      </c>
      <c r="G1429" t="s">
        <v>31</v>
      </c>
      <c r="H1429" t="s">
        <v>98</v>
      </c>
      <c r="I1429" t="s">
        <v>9</v>
      </c>
      <c r="J1429" t="s">
        <v>20</v>
      </c>
      <c r="K1429" t="s">
        <v>11</v>
      </c>
      <c r="L1429" t="s">
        <v>27</v>
      </c>
      <c r="M1429" t="s">
        <v>28</v>
      </c>
      <c r="N1429" t="s">
        <v>16</v>
      </c>
      <c r="O1429" t="s">
        <v>18</v>
      </c>
      <c r="P1429">
        <v>3</v>
      </c>
    </row>
    <row r="1430" spans="1:16" x14ac:dyDescent="0.3">
      <c r="A1430">
        <v>1948</v>
      </c>
      <c r="B1430">
        <v>44744</v>
      </c>
      <c r="C1430">
        <v>59</v>
      </c>
      <c r="D1430">
        <v>23353</v>
      </c>
      <c r="E1430" t="s">
        <v>100</v>
      </c>
      <c r="F1430" t="s">
        <v>15</v>
      </c>
      <c r="G1430" t="s">
        <v>34</v>
      </c>
      <c r="H1430" t="s">
        <v>64</v>
      </c>
      <c r="I1430" t="s">
        <v>66</v>
      </c>
      <c r="J1430" t="s">
        <v>20</v>
      </c>
      <c r="K1430" t="s">
        <v>26</v>
      </c>
      <c r="L1430" t="s">
        <v>27</v>
      </c>
      <c r="M1430" t="s">
        <v>49</v>
      </c>
      <c r="N1430" t="s">
        <v>37</v>
      </c>
      <c r="O1430" t="s">
        <v>18</v>
      </c>
      <c r="P1430">
        <v>1</v>
      </c>
    </row>
    <row r="1431" spans="1:16" x14ac:dyDescent="0.3">
      <c r="A1431">
        <v>1949</v>
      </c>
      <c r="B1431">
        <v>43799</v>
      </c>
      <c r="C1431">
        <v>69</v>
      </c>
      <c r="D1431">
        <v>18357</v>
      </c>
      <c r="E1431" t="s">
        <v>100</v>
      </c>
      <c r="F1431" t="s">
        <v>15</v>
      </c>
      <c r="G1431" t="s">
        <v>40</v>
      </c>
      <c r="H1431" t="s">
        <v>98</v>
      </c>
      <c r="I1431" t="s">
        <v>9</v>
      </c>
      <c r="J1431" t="s">
        <v>10</v>
      </c>
      <c r="K1431" t="s">
        <v>19</v>
      </c>
      <c r="L1431" t="s">
        <v>27</v>
      </c>
      <c r="M1431" t="s">
        <v>35</v>
      </c>
      <c r="N1431" t="s">
        <v>23</v>
      </c>
      <c r="O1431" t="s">
        <v>18</v>
      </c>
      <c r="P1431">
        <v>3</v>
      </c>
    </row>
    <row r="1432" spans="1:16" x14ac:dyDescent="0.3">
      <c r="A1432">
        <v>1950</v>
      </c>
      <c r="B1432">
        <v>45128</v>
      </c>
      <c r="C1432">
        <v>65</v>
      </c>
      <c r="D1432">
        <v>21268</v>
      </c>
      <c r="E1432" t="s">
        <v>100</v>
      </c>
      <c r="F1432" t="s">
        <v>15</v>
      </c>
      <c r="G1432" t="s">
        <v>34</v>
      </c>
      <c r="H1432" t="s">
        <v>64</v>
      </c>
      <c r="I1432" t="s">
        <v>66</v>
      </c>
      <c r="J1432" t="s">
        <v>10</v>
      </c>
      <c r="K1432" t="s">
        <v>11</v>
      </c>
      <c r="L1432" t="s">
        <v>12</v>
      </c>
      <c r="M1432" t="s">
        <v>49</v>
      </c>
      <c r="N1432" t="s">
        <v>46</v>
      </c>
      <c r="O1432" t="s">
        <v>18</v>
      </c>
      <c r="P1432">
        <v>2</v>
      </c>
    </row>
    <row r="1433" spans="1:16" x14ac:dyDescent="0.3">
      <c r="A1433">
        <v>1951</v>
      </c>
      <c r="B1433">
        <v>44069</v>
      </c>
      <c r="C1433">
        <v>60</v>
      </c>
      <c r="D1433">
        <v>22198</v>
      </c>
      <c r="E1433" t="s">
        <v>14</v>
      </c>
      <c r="F1433" t="s">
        <v>15</v>
      </c>
      <c r="G1433" t="s">
        <v>34</v>
      </c>
      <c r="H1433" t="s">
        <v>98</v>
      </c>
      <c r="I1433" t="s">
        <v>66</v>
      </c>
      <c r="J1433" t="s">
        <v>25</v>
      </c>
      <c r="K1433" t="s">
        <v>19</v>
      </c>
      <c r="L1433" t="s">
        <v>27</v>
      </c>
      <c r="M1433" t="s">
        <v>21</v>
      </c>
      <c r="N1433" t="s">
        <v>46</v>
      </c>
      <c r="O1433" t="s">
        <v>18</v>
      </c>
      <c r="P1433">
        <v>1</v>
      </c>
    </row>
    <row r="1434" spans="1:16" x14ac:dyDescent="0.3">
      <c r="A1434">
        <v>1952</v>
      </c>
      <c r="B1434">
        <v>43967</v>
      </c>
      <c r="C1434">
        <v>31</v>
      </c>
      <c r="D1434">
        <v>32720</v>
      </c>
      <c r="E1434" t="s">
        <v>100</v>
      </c>
      <c r="F1434" t="s">
        <v>15</v>
      </c>
      <c r="G1434" t="s">
        <v>40</v>
      </c>
      <c r="H1434" t="s">
        <v>98</v>
      </c>
      <c r="I1434" t="s">
        <v>9</v>
      </c>
      <c r="J1434" t="s">
        <v>25</v>
      </c>
      <c r="K1434" t="s">
        <v>19</v>
      </c>
      <c r="L1434" t="s">
        <v>27</v>
      </c>
      <c r="M1434" t="s">
        <v>69</v>
      </c>
      <c r="N1434" t="s">
        <v>30</v>
      </c>
      <c r="O1434" t="s">
        <v>18</v>
      </c>
      <c r="P1434">
        <v>5</v>
      </c>
    </row>
    <row r="1435" spans="1:16" x14ac:dyDescent="0.3">
      <c r="A1435">
        <v>1953</v>
      </c>
      <c r="B1435">
        <v>45022</v>
      </c>
      <c r="C1435">
        <v>47</v>
      </c>
      <c r="D1435">
        <v>27810</v>
      </c>
      <c r="E1435" t="s">
        <v>14</v>
      </c>
      <c r="F1435" t="s">
        <v>15</v>
      </c>
      <c r="G1435" t="s">
        <v>40</v>
      </c>
      <c r="H1435" t="s">
        <v>8</v>
      </c>
      <c r="I1435" t="s">
        <v>9</v>
      </c>
      <c r="J1435" t="s">
        <v>25</v>
      </c>
      <c r="K1435" t="s">
        <v>26</v>
      </c>
      <c r="L1435" t="s">
        <v>12</v>
      </c>
      <c r="M1435" t="s">
        <v>13</v>
      </c>
      <c r="N1435" t="s">
        <v>46</v>
      </c>
      <c r="O1435" t="s">
        <v>18</v>
      </c>
      <c r="P1435">
        <v>5</v>
      </c>
    </row>
    <row r="1436" spans="1:16" x14ac:dyDescent="0.3">
      <c r="A1436">
        <v>1954</v>
      </c>
      <c r="B1436">
        <v>43514</v>
      </c>
      <c r="C1436">
        <v>51</v>
      </c>
      <c r="D1436">
        <v>25041</v>
      </c>
      <c r="E1436" t="s">
        <v>14</v>
      </c>
      <c r="F1436" t="s">
        <v>15</v>
      </c>
      <c r="G1436" t="s">
        <v>40</v>
      </c>
      <c r="H1436" t="s">
        <v>64</v>
      </c>
      <c r="I1436" t="s">
        <v>66</v>
      </c>
      <c r="J1436" t="s">
        <v>20</v>
      </c>
      <c r="K1436" t="s">
        <v>11</v>
      </c>
      <c r="L1436" t="s">
        <v>12</v>
      </c>
      <c r="M1436" t="s">
        <v>13</v>
      </c>
      <c r="N1436" t="s">
        <v>30</v>
      </c>
      <c r="O1436" t="s">
        <v>18</v>
      </c>
      <c r="P1436">
        <v>1</v>
      </c>
    </row>
    <row r="1437" spans="1:16" x14ac:dyDescent="0.3">
      <c r="A1437">
        <v>1955</v>
      </c>
      <c r="B1437">
        <v>44114</v>
      </c>
      <c r="C1437">
        <v>22</v>
      </c>
      <c r="D1437">
        <v>35889</v>
      </c>
      <c r="E1437" t="s">
        <v>14</v>
      </c>
      <c r="F1437" t="s">
        <v>22</v>
      </c>
      <c r="G1437" t="s">
        <v>34</v>
      </c>
      <c r="H1437" t="s">
        <v>8</v>
      </c>
      <c r="I1437" t="s">
        <v>9</v>
      </c>
      <c r="J1437" t="s">
        <v>25</v>
      </c>
      <c r="K1437" t="s">
        <v>19</v>
      </c>
      <c r="L1437" t="s">
        <v>12</v>
      </c>
      <c r="M1437" t="s">
        <v>35</v>
      </c>
      <c r="N1437" t="s">
        <v>16</v>
      </c>
      <c r="O1437" t="s">
        <v>18</v>
      </c>
      <c r="P1437">
        <v>3</v>
      </c>
    </row>
    <row r="1438" spans="1:16" x14ac:dyDescent="0.3">
      <c r="A1438">
        <v>1956</v>
      </c>
      <c r="B1438">
        <v>44331</v>
      </c>
      <c r="C1438">
        <v>63</v>
      </c>
      <c r="D1438">
        <v>21537</v>
      </c>
      <c r="E1438" t="s">
        <v>14</v>
      </c>
      <c r="F1438" t="s">
        <v>15</v>
      </c>
      <c r="G1438" t="s">
        <v>34</v>
      </c>
      <c r="H1438" t="s">
        <v>8</v>
      </c>
      <c r="I1438" t="s">
        <v>9</v>
      </c>
      <c r="J1438" t="s">
        <v>20</v>
      </c>
      <c r="K1438" t="s">
        <v>19</v>
      </c>
      <c r="L1438" t="s">
        <v>12</v>
      </c>
      <c r="M1438" t="s">
        <v>67</v>
      </c>
      <c r="N1438" t="s">
        <v>37</v>
      </c>
      <c r="O1438" t="s">
        <v>18</v>
      </c>
      <c r="P1438">
        <v>5</v>
      </c>
    </row>
    <row r="1439" spans="1:16" x14ac:dyDescent="0.3">
      <c r="A1439">
        <v>1957</v>
      </c>
      <c r="B1439">
        <v>43598</v>
      </c>
      <c r="C1439">
        <v>44</v>
      </c>
      <c r="D1439">
        <v>27440</v>
      </c>
      <c r="E1439" t="s">
        <v>14</v>
      </c>
      <c r="F1439" t="s">
        <v>15</v>
      </c>
      <c r="G1439" t="s">
        <v>17</v>
      </c>
      <c r="H1439" t="s">
        <v>8</v>
      </c>
      <c r="I1439" t="s">
        <v>66</v>
      </c>
      <c r="J1439" t="s">
        <v>20</v>
      </c>
      <c r="K1439" t="s">
        <v>11</v>
      </c>
      <c r="L1439" t="s">
        <v>12</v>
      </c>
      <c r="M1439" t="s">
        <v>35</v>
      </c>
      <c r="N1439" t="s">
        <v>46</v>
      </c>
      <c r="O1439" t="s">
        <v>18</v>
      </c>
      <c r="P1439">
        <v>2</v>
      </c>
    </row>
    <row r="1440" spans="1:16" x14ac:dyDescent="0.3">
      <c r="A1440">
        <v>1958</v>
      </c>
      <c r="B1440">
        <v>43650</v>
      </c>
      <c r="C1440">
        <v>29</v>
      </c>
      <c r="D1440">
        <v>33164</v>
      </c>
      <c r="E1440" t="s">
        <v>14</v>
      </c>
      <c r="F1440" t="s">
        <v>15</v>
      </c>
      <c r="G1440" t="s">
        <v>34</v>
      </c>
      <c r="H1440" t="s">
        <v>8</v>
      </c>
      <c r="I1440" t="s">
        <v>9</v>
      </c>
      <c r="J1440" t="s">
        <v>10</v>
      </c>
      <c r="K1440" t="s">
        <v>26</v>
      </c>
      <c r="L1440" t="s">
        <v>12</v>
      </c>
      <c r="M1440" t="s">
        <v>76</v>
      </c>
      <c r="N1440" t="s">
        <v>30</v>
      </c>
      <c r="O1440" t="s">
        <v>18</v>
      </c>
      <c r="P1440">
        <v>2</v>
      </c>
    </row>
    <row r="1441" spans="1:16" x14ac:dyDescent="0.3">
      <c r="A1441">
        <v>1959</v>
      </c>
      <c r="B1441">
        <v>44652</v>
      </c>
      <c r="C1441">
        <v>33</v>
      </c>
      <c r="D1441">
        <v>32722</v>
      </c>
      <c r="E1441" t="s">
        <v>14</v>
      </c>
      <c r="F1441" t="s">
        <v>15</v>
      </c>
      <c r="G1441" t="s">
        <v>34</v>
      </c>
      <c r="H1441" t="s">
        <v>8</v>
      </c>
      <c r="I1441" t="s">
        <v>9</v>
      </c>
      <c r="J1441" t="s">
        <v>20</v>
      </c>
      <c r="K1441" t="s">
        <v>26</v>
      </c>
      <c r="L1441" t="s">
        <v>12</v>
      </c>
      <c r="M1441" t="s">
        <v>54</v>
      </c>
      <c r="N1441" t="s">
        <v>46</v>
      </c>
      <c r="O1441" t="s">
        <v>18</v>
      </c>
      <c r="P1441">
        <v>3</v>
      </c>
    </row>
    <row r="1442" spans="1:16" x14ac:dyDescent="0.3">
      <c r="A1442">
        <v>1960</v>
      </c>
      <c r="B1442">
        <v>43407</v>
      </c>
      <c r="C1442">
        <v>70</v>
      </c>
      <c r="D1442">
        <v>17679</v>
      </c>
      <c r="E1442" t="s">
        <v>14</v>
      </c>
      <c r="F1442" t="s">
        <v>22</v>
      </c>
      <c r="G1442" t="s">
        <v>40</v>
      </c>
      <c r="H1442" t="s">
        <v>8</v>
      </c>
      <c r="I1442" t="s">
        <v>9</v>
      </c>
      <c r="J1442" t="s">
        <v>25</v>
      </c>
      <c r="K1442" t="s">
        <v>19</v>
      </c>
      <c r="L1442" t="s">
        <v>12</v>
      </c>
      <c r="M1442" t="s">
        <v>21</v>
      </c>
      <c r="N1442" t="s">
        <v>16</v>
      </c>
      <c r="O1442" t="s">
        <v>18</v>
      </c>
      <c r="P1442">
        <v>4</v>
      </c>
    </row>
    <row r="1443" spans="1:16" x14ac:dyDescent="0.3">
      <c r="A1443">
        <v>1961</v>
      </c>
      <c r="B1443">
        <v>43384</v>
      </c>
      <c r="C1443">
        <v>73</v>
      </c>
      <c r="D1443">
        <v>16635</v>
      </c>
      <c r="E1443" t="s">
        <v>14</v>
      </c>
      <c r="F1443" t="s">
        <v>15</v>
      </c>
      <c r="G1443" t="s">
        <v>34</v>
      </c>
      <c r="H1443" t="s">
        <v>8</v>
      </c>
      <c r="I1443" t="s">
        <v>66</v>
      </c>
      <c r="J1443" t="s">
        <v>20</v>
      </c>
      <c r="K1443" t="s">
        <v>19</v>
      </c>
      <c r="L1443" t="s">
        <v>12</v>
      </c>
      <c r="M1443" t="s">
        <v>38</v>
      </c>
      <c r="N1443" t="s">
        <v>37</v>
      </c>
      <c r="O1443" t="s">
        <v>18</v>
      </c>
      <c r="P1443">
        <v>3</v>
      </c>
    </row>
    <row r="1444" spans="1:16" x14ac:dyDescent="0.3">
      <c r="A1444">
        <v>1962</v>
      </c>
      <c r="B1444">
        <v>45102</v>
      </c>
      <c r="C1444">
        <v>72</v>
      </c>
      <c r="D1444">
        <v>18677</v>
      </c>
      <c r="E1444" t="s">
        <v>14</v>
      </c>
      <c r="F1444" t="s">
        <v>15</v>
      </c>
      <c r="G1444" t="s">
        <v>40</v>
      </c>
      <c r="H1444" t="s">
        <v>64</v>
      </c>
      <c r="I1444" t="s">
        <v>9</v>
      </c>
      <c r="J1444" t="s">
        <v>10</v>
      </c>
      <c r="K1444" t="s">
        <v>11</v>
      </c>
      <c r="L1444" t="s">
        <v>12</v>
      </c>
      <c r="M1444" t="s">
        <v>32</v>
      </c>
      <c r="N1444" t="s">
        <v>30</v>
      </c>
      <c r="O1444" t="s">
        <v>18</v>
      </c>
      <c r="P1444">
        <v>4</v>
      </c>
    </row>
    <row r="1445" spans="1:16" x14ac:dyDescent="0.3">
      <c r="A1445">
        <v>1963</v>
      </c>
      <c r="B1445">
        <v>44088</v>
      </c>
      <c r="C1445">
        <v>48</v>
      </c>
      <c r="D1445">
        <v>26427</v>
      </c>
      <c r="E1445" t="s">
        <v>14</v>
      </c>
      <c r="F1445" t="s">
        <v>15</v>
      </c>
      <c r="G1445" t="s">
        <v>34</v>
      </c>
      <c r="H1445" t="s">
        <v>8</v>
      </c>
      <c r="I1445" t="s">
        <v>66</v>
      </c>
      <c r="J1445" t="s">
        <v>10</v>
      </c>
      <c r="K1445" t="s">
        <v>26</v>
      </c>
      <c r="L1445" t="s">
        <v>12</v>
      </c>
      <c r="M1445" t="s">
        <v>32</v>
      </c>
      <c r="N1445" t="s">
        <v>30</v>
      </c>
      <c r="O1445" t="s">
        <v>18</v>
      </c>
      <c r="P1445">
        <v>5</v>
      </c>
    </row>
    <row r="1446" spans="1:16" x14ac:dyDescent="0.3">
      <c r="A1446">
        <v>1964</v>
      </c>
      <c r="B1446">
        <v>44915</v>
      </c>
      <c r="C1446">
        <v>53</v>
      </c>
      <c r="D1446">
        <v>25289</v>
      </c>
      <c r="E1446" t="s">
        <v>14</v>
      </c>
      <c r="F1446" t="s">
        <v>15</v>
      </c>
      <c r="G1446" t="s">
        <v>34</v>
      </c>
      <c r="H1446" t="s">
        <v>8</v>
      </c>
      <c r="I1446" t="s">
        <v>66</v>
      </c>
      <c r="J1446" t="s">
        <v>20</v>
      </c>
      <c r="K1446" t="s">
        <v>26</v>
      </c>
      <c r="L1446" t="s">
        <v>12</v>
      </c>
      <c r="M1446" t="s">
        <v>44</v>
      </c>
      <c r="N1446" t="s">
        <v>30</v>
      </c>
      <c r="O1446" t="s">
        <v>18</v>
      </c>
      <c r="P1446">
        <v>5</v>
      </c>
    </row>
    <row r="1447" spans="1:16" x14ac:dyDescent="0.3">
      <c r="A1447">
        <v>1965</v>
      </c>
      <c r="B1447">
        <v>44615</v>
      </c>
      <c r="C1447">
        <v>73</v>
      </c>
      <c r="D1447">
        <v>18110</v>
      </c>
      <c r="E1447" t="s">
        <v>14</v>
      </c>
      <c r="F1447" t="s">
        <v>15</v>
      </c>
      <c r="G1447" t="s">
        <v>17</v>
      </c>
      <c r="H1447" t="s">
        <v>64</v>
      </c>
      <c r="I1447" t="s">
        <v>9</v>
      </c>
      <c r="J1447" t="s">
        <v>25</v>
      </c>
      <c r="K1447" t="s">
        <v>19</v>
      </c>
      <c r="L1447" t="s">
        <v>12</v>
      </c>
      <c r="M1447" t="s">
        <v>32</v>
      </c>
      <c r="N1447" t="s">
        <v>16</v>
      </c>
      <c r="O1447" t="s">
        <v>18</v>
      </c>
      <c r="P1447">
        <v>1</v>
      </c>
    </row>
    <row r="1448" spans="1:16" x14ac:dyDescent="0.3">
      <c r="A1448">
        <v>1966</v>
      </c>
      <c r="B1448">
        <v>43616</v>
      </c>
      <c r="C1448">
        <v>48</v>
      </c>
      <c r="D1448">
        <v>25996</v>
      </c>
      <c r="E1448" t="s">
        <v>14</v>
      </c>
      <c r="F1448" t="s">
        <v>15</v>
      </c>
      <c r="G1448" t="s">
        <v>17</v>
      </c>
      <c r="H1448" t="s">
        <v>64</v>
      </c>
      <c r="I1448" t="s">
        <v>9</v>
      </c>
      <c r="J1448" t="s">
        <v>25</v>
      </c>
      <c r="K1448" t="s">
        <v>11</v>
      </c>
      <c r="L1448" t="s">
        <v>12</v>
      </c>
      <c r="M1448" t="s">
        <v>32</v>
      </c>
      <c r="N1448" t="s">
        <v>30</v>
      </c>
      <c r="O1448" t="s">
        <v>18</v>
      </c>
      <c r="P1448">
        <v>3</v>
      </c>
    </row>
    <row r="1449" spans="1:16" x14ac:dyDescent="0.3">
      <c r="A1449">
        <v>1967</v>
      </c>
      <c r="B1449">
        <v>43494</v>
      </c>
      <c r="C1449">
        <v>25</v>
      </c>
      <c r="D1449">
        <v>34679</v>
      </c>
      <c r="E1449" t="s">
        <v>14</v>
      </c>
      <c r="F1449" t="s">
        <v>15</v>
      </c>
      <c r="G1449" t="s">
        <v>31</v>
      </c>
      <c r="H1449" t="s">
        <v>8</v>
      </c>
      <c r="I1449" t="s">
        <v>9</v>
      </c>
      <c r="J1449" t="s">
        <v>20</v>
      </c>
      <c r="K1449" t="s">
        <v>19</v>
      </c>
      <c r="L1449" t="s">
        <v>12</v>
      </c>
      <c r="M1449" t="s">
        <v>32</v>
      </c>
      <c r="N1449" t="s">
        <v>30</v>
      </c>
      <c r="O1449" t="s">
        <v>18</v>
      </c>
      <c r="P1449">
        <v>2</v>
      </c>
    </row>
    <row r="1450" spans="1:16" x14ac:dyDescent="0.3">
      <c r="A1450">
        <v>1968</v>
      </c>
      <c r="B1450">
        <v>43709</v>
      </c>
      <c r="C1450">
        <v>64</v>
      </c>
      <c r="D1450">
        <v>20269</v>
      </c>
      <c r="E1450" t="s">
        <v>14</v>
      </c>
      <c r="F1450" t="s">
        <v>15</v>
      </c>
      <c r="G1450" t="s">
        <v>17</v>
      </c>
      <c r="H1450" t="s">
        <v>8</v>
      </c>
      <c r="I1450" t="s">
        <v>9</v>
      </c>
      <c r="J1450" t="s">
        <v>25</v>
      </c>
      <c r="K1450" t="s">
        <v>26</v>
      </c>
      <c r="L1450" t="s">
        <v>12</v>
      </c>
      <c r="M1450" t="s">
        <v>32</v>
      </c>
      <c r="N1450" t="s">
        <v>46</v>
      </c>
      <c r="O1450" t="s">
        <v>18</v>
      </c>
      <c r="P1450">
        <v>4</v>
      </c>
    </row>
    <row r="1451" spans="1:16" x14ac:dyDescent="0.3">
      <c r="A1451">
        <v>1970</v>
      </c>
      <c r="B1451">
        <v>44672</v>
      </c>
      <c r="C1451">
        <v>70</v>
      </c>
      <c r="D1451">
        <v>19101</v>
      </c>
      <c r="E1451" t="s">
        <v>14</v>
      </c>
      <c r="F1451" t="s">
        <v>15</v>
      </c>
      <c r="G1451" t="s">
        <v>31</v>
      </c>
      <c r="H1451" t="s">
        <v>8</v>
      </c>
      <c r="I1451" t="s">
        <v>9</v>
      </c>
      <c r="J1451" t="s">
        <v>20</v>
      </c>
      <c r="K1451" t="s">
        <v>11</v>
      </c>
      <c r="L1451" t="s">
        <v>12</v>
      </c>
      <c r="M1451" t="s">
        <v>35</v>
      </c>
      <c r="N1451" t="s">
        <v>30</v>
      </c>
      <c r="O1451" t="s">
        <v>18</v>
      </c>
      <c r="P1451">
        <v>4</v>
      </c>
    </row>
    <row r="1452" spans="1:16" x14ac:dyDescent="0.3">
      <c r="A1452">
        <v>1971</v>
      </c>
      <c r="B1452">
        <v>43358</v>
      </c>
      <c r="C1452">
        <v>24</v>
      </c>
      <c r="D1452">
        <v>34375</v>
      </c>
      <c r="E1452" t="s">
        <v>14</v>
      </c>
      <c r="F1452" t="s">
        <v>15</v>
      </c>
      <c r="G1452" t="s">
        <v>40</v>
      </c>
      <c r="H1452" t="s">
        <v>64</v>
      </c>
      <c r="I1452" t="s">
        <v>66</v>
      </c>
      <c r="J1452" t="s">
        <v>20</v>
      </c>
      <c r="K1452" t="s">
        <v>11</v>
      </c>
      <c r="L1452" t="s">
        <v>12</v>
      </c>
      <c r="M1452" t="s">
        <v>32</v>
      </c>
      <c r="N1452" t="s">
        <v>30</v>
      </c>
      <c r="O1452" t="s">
        <v>18</v>
      </c>
      <c r="P1452">
        <v>2</v>
      </c>
    </row>
    <row r="1453" spans="1:16" x14ac:dyDescent="0.3">
      <c r="A1453">
        <v>1972</v>
      </c>
      <c r="B1453">
        <v>44534</v>
      </c>
      <c r="C1453">
        <v>25</v>
      </c>
      <c r="D1453">
        <v>35087</v>
      </c>
      <c r="E1453" t="s">
        <v>14</v>
      </c>
      <c r="F1453" t="s">
        <v>22</v>
      </c>
      <c r="G1453" t="s">
        <v>31</v>
      </c>
      <c r="H1453" t="s">
        <v>64</v>
      </c>
      <c r="I1453" t="s">
        <v>9</v>
      </c>
      <c r="J1453" t="s">
        <v>10</v>
      </c>
      <c r="K1453" t="s">
        <v>19</v>
      </c>
      <c r="L1453" t="s">
        <v>12</v>
      </c>
      <c r="M1453" t="s">
        <v>35</v>
      </c>
      <c r="N1453" t="s">
        <v>46</v>
      </c>
      <c r="O1453" t="s">
        <v>18</v>
      </c>
      <c r="P1453">
        <v>2</v>
      </c>
    </row>
    <row r="1454" spans="1:16" x14ac:dyDescent="0.3">
      <c r="A1454">
        <v>1973</v>
      </c>
      <c r="B1454">
        <v>43783</v>
      </c>
      <c r="C1454">
        <v>28</v>
      </c>
      <c r="D1454">
        <v>33521</v>
      </c>
      <c r="E1454" t="s">
        <v>14</v>
      </c>
      <c r="F1454" t="s">
        <v>15</v>
      </c>
      <c r="G1454" t="s">
        <v>34</v>
      </c>
      <c r="H1454" t="s">
        <v>64</v>
      </c>
      <c r="I1454" t="s">
        <v>9</v>
      </c>
      <c r="J1454" t="s">
        <v>25</v>
      </c>
      <c r="K1454" t="s">
        <v>26</v>
      </c>
      <c r="L1454" t="s">
        <v>12</v>
      </c>
      <c r="M1454" t="s">
        <v>32</v>
      </c>
      <c r="N1454" t="s">
        <v>37</v>
      </c>
      <c r="O1454" t="s">
        <v>18</v>
      </c>
      <c r="P1454">
        <v>2</v>
      </c>
    </row>
    <row r="1455" spans="1:16" x14ac:dyDescent="0.3">
      <c r="A1455">
        <v>1974</v>
      </c>
      <c r="B1455">
        <v>44300</v>
      </c>
      <c r="C1455">
        <v>53</v>
      </c>
      <c r="D1455">
        <v>25201</v>
      </c>
      <c r="E1455" t="s">
        <v>14</v>
      </c>
      <c r="F1455" t="s">
        <v>15</v>
      </c>
      <c r="G1455" t="s">
        <v>17</v>
      </c>
      <c r="H1455" t="s">
        <v>8</v>
      </c>
      <c r="I1455" t="s">
        <v>9</v>
      </c>
      <c r="J1455" t="s">
        <v>20</v>
      </c>
      <c r="K1455" t="s">
        <v>19</v>
      </c>
      <c r="L1455" t="s">
        <v>12</v>
      </c>
      <c r="M1455" t="s">
        <v>21</v>
      </c>
      <c r="N1455" t="s">
        <v>16</v>
      </c>
      <c r="O1455" t="s">
        <v>18</v>
      </c>
      <c r="P1455">
        <v>1</v>
      </c>
    </row>
    <row r="1456" spans="1:16" x14ac:dyDescent="0.3">
      <c r="A1456">
        <v>1975</v>
      </c>
      <c r="B1456">
        <v>43569</v>
      </c>
      <c r="C1456">
        <v>78</v>
      </c>
      <c r="D1456">
        <v>15280</v>
      </c>
      <c r="E1456" t="s">
        <v>14</v>
      </c>
      <c r="F1456" t="s">
        <v>15</v>
      </c>
      <c r="G1456" t="s">
        <v>40</v>
      </c>
      <c r="H1456" t="s">
        <v>8</v>
      </c>
      <c r="I1456" t="s">
        <v>9</v>
      </c>
      <c r="J1456" t="s">
        <v>10</v>
      </c>
      <c r="K1456" t="s">
        <v>19</v>
      </c>
      <c r="L1456" t="s">
        <v>12</v>
      </c>
      <c r="M1456" t="s">
        <v>54</v>
      </c>
      <c r="N1456" t="s">
        <v>30</v>
      </c>
      <c r="O1456" t="s">
        <v>18</v>
      </c>
      <c r="P1456">
        <v>4</v>
      </c>
    </row>
    <row r="1457" spans="1:16" x14ac:dyDescent="0.3">
      <c r="A1457">
        <v>1976</v>
      </c>
      <c r="B1457">
        <v>44205</v>
      </c>
      <c r="C1457">
        <v>76</v>
      </c>
      <c r="D1457">
        <v>16484</v>
      </c>
      <c r="E1457" t="s">
        <v>14</v>
      </c>
      <c r="F1457" t="s">
        <v>15</v>
      </c>
      <c r="G1457" t="s">
        <v>31</v>
      </c>
      <c r="H1457" t="s">
        <v>8</v>
      </c>
      <c r="I1457" t="s">
        <v>9</v>
      </c>
      <c r="J1457" t="s">
        <v>25</v>
      </c>
      <c r="K1457" t="s">
        <v>11</v>
      </c>
      <c r="L1457" t="s">
        <v>12</v>
      </c>
      <c r="M1457" t="s">
        <v>13</v>
      </c>
      <c r="N1457" t="s">
        <v>16</v>
      </c>
      <c r="O1457" t="s">
        <v>18</v>
      </c>
      <c r="P1457">
        <v>5</v>
      </c>
    </row>
    <row r="1458" spans="1:16" x14ac:dyDescent="0.3">
      <c r="A1458">
        <v>1977</v>
      </c>
      <c r="B1458">
        <v>44921</v>
      </c>
      <c r="C1458">
        <v>70</v>
      </c>
      <c r="D1458">
        <v>19259</v>
      </c>
      <c r="E1458" t="s">
        <v>14</v>
      </c>
      <c r="F1458" t="s">
        <v>15</v>
      </c>
      <c r="G1458" t="s">
        <v>31</v>
      </c>
      <c r="H1458" t="s">
        <v>8</v>
      </c>
      <c r="I1458" t="s">
        <v>66</v>
      </c>
      <c r="J1458" t="s">
        <v>10</v>
      </c>
      <c r="K1458" t="s">
        <v>26</v>
      </c>
      <c r="L1458" t="s">
        <v>12</v>
      </c>
      <c r="M1458" t="s">
        <v>35</v>
      </c>
      <c r="N1458" t="s">
        <v>16</v>
      </c>
      <c r="O1458" t="s">
        <v>18</v>
      </c>
      <c r="P1458">
        <v>5</v>
      </c>
    </row>
    <row r="1459" spans="1:16" x14ac:dyDescent="0.3">
      <c r="A1459">
        <v>1978</v>
      </c>
      <c r="B1459">
        <v>44474</v>
      </c>
      <c r="C1459">
        <v>45</v>
      </c>
      <c r="D1459">
        <v>28116</v>
      </c>
      <c r="E1459" t="s">
        <v>14</v>
      </c>
      <c r="F1459" t="s">
        <v>15</v>
      </c>
      <c r="G1459" t="s">
        <v>40</v>
      </c>
      <c r="H1459" t="s">
        <v>8</v>
      </c>
      <c r="I1459" t="s">
        <v>66</v>
      </c>
      <c r="J1459" t="s">
        <v>25</v>
      </c>
      <c r="K1459" t="s">
        <v>26</v>
      </c>
      <c r="L1459" t="s">
        <v>12</v>
      </c>
      <c r="M1459" t="s">
        <v>13</v>
      </c>
      <c r="N1459" t="s">
        <v>30</v>
      </c>
      <c r="O1459" t="s">
        <v>18</v>
      </c>
      <c r="P1459">
        <v>5</v>
      </c>
    </row>
    <row r="1460" spans="1:16" x14ac:dyDescent="0.3">
      <c r="A1460">
        <v>1979</v>
      </c>
      <c r="B1460">
        <v>44829</v>
      </c>
      <c r="C1460">
        <v>50</v>
      </c>
      <c r="D1460">
        <v>26383</v>
      </c>
      <c r="E1460" t="s">
        <v>14</v>
      </c>
      <c r="F1460" t="s">
        <v>15</v>
      </c>
      <c r="G1460" t="s">
        <v>31</v>
      </c>
      <c r="H1460" t="s">
        <v>8</v>
      </c>
      <c r="I1460" t="s">
        <v>9</v>
      </c>
      <c r="J1460" t="s">
        <v>20</v>
      </c>
      <c r="K1460" t="s">
        <v>26</v>
      </c>
      <c r="L1460" t="s">
        <v>12</v>
      </c>
      <c r="M1460" t="s">
        <v>42</v>
      </c>
      <c r="N1460" t="s">
        <v>46</v>
      </c>
      <c r="O1460" t="s">
        <v>18</v>
      </c>
      <c r="P1460">
        <v>4</v>
      </c>
    </row>
    <row r="1461" spans="1:16" x14ac:dyDescent="0.3">
      <c r="A1461">
        <v>1980</v>
      </c>
      <c r="B1461">
        <v>44510</v>
      </c>
      <c r="C1461">
        <v>31</v>
      </c>
      <c r="D1461">
        <v>33040</v>
      </c>
      <c r="E1461" t="s">
        <v>14</v>
      </c>
      <c r="F1461" t="s">
        <v>15</v>
      </c>
      <c r="G1461" t="s">
        <v>34</v>
      </c>
      <c r="H1461" t="s">
        <v>8</v>
      </c>
      <c r="I1461" t="s">
        <v>9</v>
      </c>
      <c r="J1461" t="s">
        <v>20</v>
      </c>
      <c r="K1461" t="s">
        <v>11</v>
      </c>
      <c r="L1461" t="s">
        <v>12</v>
      </c>
      <c r="M1461" t="s">
        <v>32</v>
      </c>
      <c r="N1461" t="s">
        <v>23</v>
      </c>
      <c r="O1461" t="s">
        <v>18</v>
      </c>
      <c r="P1461">
        <v>4</v>
      </c>
    </row>
    <row r="1462" spans="1:16" x14ac:dyDescent="0.3">
      <c r="A1462">
        <v>1981</v>
      </c>
      <c r="B1462">
        <v>44294</v>
      </c>
      <c r="C1462">
        <v>28</v>
      </c>
      <c r="D1462">
        <v>34287</v>
      </c>
      <c r="E1462" t="s">
        <v>14</v>
      </c>
      <c r="F1462" t="s">
        <v>22</v>
      </c>
      <c r="G1462" t="s">
        <v>40</v>
      </c>
      <c r="H1462" t="s">
        <v>8</v>
      </c>
      <c r="I1462" t="s">
        <v>9</v>
      </c>
      <c r="J1462" t="s">
        <v>10</v>
      </c>
      <c r="K1462" t="s">
        <v>19</v>
      </c>
      <c r="L1462" t="s">
        <v>12</v>
      </c>
      <c r="M1462" t="s">
        <v>32</v>
      </c>
      <c r="N1462" t="s">
        <v>37</v>
      </c>
      <c r="O1462" t="s">
        <v>18</v>
      </c>
      <c r="P1462">
        <v>4</v>
      </c>
    </row>
    <row r="1463" spans="1:16" x14ac:dyDescent="0.3">
      <c r="A1463">
        <v>1982</v>
      </c>
      <c r="B1463">
        <v>43418</v>
      </c>
      <c r="C1463">
        <v>38</v>
      </c>
      <c r="D1463">
        <v>29365</v>
      </c>
      <c r="E1463" t="s">
        <v>14</v>
      </c>
      <c r="F1463" t="s">
        <v>15</v>
      </c>
      <c r="G1463" t="s">
        <v>34</v>
      </c>
      <c r="H1463" t="s">
        <v>8</v>
      </c>
      <c r="I1463" t="s">
        <v>9</v>
      </c>
      <c r="J1463" t="s">
        <v>25</v>
      </c>
      <c r="K1463" t="s">
        <v>11</v>
      </c>
      <c r="L1463" t="s">
        <v>12</v>
      </c>
      <c r="M1463" t="s">
        <v>28</v>
      </c>
      <c r="N1463" t="s">
        <v>23</v>
      </c>
      <c r="O1463" t="s">
        <v>18</v>
      </c>
      <c r="P1463">
        <v>5</v>
      </c>
    </row>
    <row r="1464" spans="1:16" x14ac:dyDescent="0.3">
      <c r="A1464">
        <v>1983</v>
      </c>
      <c r="B1464">
        <v>43904</v>
      </c>
      <c r="C1464">
        <v>64</v>
      </c>
      <c r="D1464">
        <v>20785</v>
      </c>
      <c r="E1464" t="s">
        <v>14</v>
      </c>
      <c r="F1464" t="s">
        <v>15</v>
      </c>
      <c r="G1464" t="s">
        <v>17</v>
      </c>
      <c r="H1464" t="s">
        <v>8</v>
      </c>
      <c r="I1464" t="s">
        <v>9</v>
      </c>
      <c r="J1464" t="s">
        <v>20</v>
      </c>
      <c r="K1464" t="s">
        <v>11</v>
      </c>
      <c r="L1464" t="s">
        <v>12</v>
      </c>
      <c r="M1464" t="s">
        <v>32</v>
      </c>
      <c r="N1464" t="s">
        <v>46</v>
      </c>
      <c r="O1464" t="s">
        <v>18</v>
      </c>
      <c r="P1464">
        <v>5</v>
      </c>
    </row>
    <row r="1465" spans="1:16" x14ac:dyDescent="0.3">
      <c r="A1465">
        <v>1984</v>
      </c>
      <c r="B1465">
        <v>44006</v>
      </c>
      <c r="C1465">
        <v>72</v>
      </c>
      <c r="D1465">
        <v>17574</v>
      </c>
      <c r="E1465" t="s">
        <v>14</v>
      </c>
      <c r="F1465" t="s">
        <v>15</v>
      </c>
      <c r="G1465" t="s">
        <v>31</v>
      </c>
      <c r="H1465" t="s">
        <v>8</v>
      </c>
      <c r="I1465" t="s">
        <v>9</v>
      </c>
      <c r="J1465" t="s">
        <v>25</v>
      </c>
      <c r="K1465" t="s">
        <v>26</v>
      </c>
      <c r="L1465" t="s">
        <v>12</v>
      </c>
      <c r="M1465" t="s">
        <v>60</v>
      </c>
      <c r="N1465" t="s">
        <v>37</v>
      </c>
      <c r="O1465" t="s">
        <v>18</v>
      </c>
      <c r="P1465">
        <v>2</v>
      </c>
    </row>
    <row r="1466" spans="1:16" x14ac:dyDescent="0.3">
      <c r="A1466">
        <v>1985</v>
      </c>
      <c r="B1466">
        <v>45004</v>
      </c>
      <c r="C1466">
        <v>60</v>
      </c>
      <c r="D1466">
        <v>23324</v>
      </c>
      <c r="E1466" t="s">
        <v>14</v>
      </c>
      <c r="F1466" t="s">
        <v>15</v>
      </c>
      <c r="G1466" t="s">
        <v>17</v>
      </c>
      <c r="H1466" t="s">
        <v>8</v>
      </c>
      <c r="I1466" t="s">
        <v>9</v>
      </c>
      <c r="J1466" t="s">
        <v>10</v>
      </c>
      <c r="K1466" t="s">
        <v>26</v>
      </c>
      <c r="L1466" t="s">
        <v>12</v>
      </c>
      <c r="M1466" t="s">
        <v>32</v>
      </c>
      <c r="N1466" t="s">
        <v>16</v>
      </c>
      <c r="O1466" t="s">
        <v>18</v>
      </c>
      <c r="P1466">
        <v>5</v>
      </c>
    </row>
    <row r="1467" spans="1:16" x14ac:dyDescent="0.3">
      <c r="A1467">
        <v>1986</v>
      </c>
      <c r="B1467">
        <v>44788</v>
      </c>
      <c r="C1467">
        <v>73</v>
      </c>
      <c r="D1467">
        <v>17947</v>
      </c>
      <c r="E1467" t="s">
        <v>14</v>
      </c>
      <c r="F1467" t="s">
        <v>15</v>
      </c>
      <c r="G1467" t="s">
        <v>40</v>
      </c>
      <c r="H1467" t="s">
        <v>8</v>
      </c>
      <c r="I1467" t="s">
        <v>9</v>
      </c>
      <c r="J1467" t="s">
        <v>10</v>
      </c>
      <c r="K1467" t="s">
        <v>11</v>
      </c>
      <c r="L1467" t="s">
        <v>12</v>
      </c>
      <c r="M1467" t="s">
        <v>44</v>
      </c>
      <c r="N1467" t="s">
        <v>37</v>
      </c>
      <c r="O1467" t="s">
        <v>18</v>
      </c>
      <c r="P1467">
        <v>4</v>
      </c>
    </row>
    <row r="1468" spans="1:16" x14ac:dyDescent="0.3">
      <c r="A1468">
        <v>1987</v>
      </c>
      <c r="B1468">
        <v>43413</v>
      </c>
      <c r="C1468">
        <v>51</v>
      </c>
      <c r="D1468">
        <v>24619</v>
      </c>
      <c r="E1468" t="s">
        <v>14</v>
      </c>
      <c r="F1468" t="s">
        <v>15</v>
      </c>
      <c r="G1468" t="s">
        <v>31</v>
      </c>
      <c r="H1468" t="s">
        <v>8</v>
      </c>
      <c r="I1468" t="s">
        <v>9</v>
      </c>
      <c r="J1468" t="s">
        <v>25</v>
      </c>
      <c r="K1468" t="s">
        <v>11</v>
      </c>
      <c r="L1468" t="s">
        <v>12</v>
      </c>
      <c r="M1468" t="s">
        <v>28</v>
      </c>
      <c r="N1468" t="s">
        <v>16</v>
      </c>
      <c r="O1468" t="s">
        <v>18</v>
      </c>
      <c r="P1468">
        <v>1</v>
      </c>
    </row>
    <row r="1469" spans="1:16" x14ac:dyDescent="0.3">
      <c r="A1469">
        <v>1988</v>
      </c>
      <c r="B1469">
        <v>43427</v>
      </c>
      <c r="C1469">
        <v>29</v>
      </c>
      <c r="D1469">
        <v>32807</v>
      </c>
      <c r="E1469" t="s">
        <v>14</v>
      </c>
      <c r="F1469" t="s">
        <v>15</v>
      </c>
      <c r="G1469" t="s">
        <v>31</v>
      </c>
      <c r="H1469" t="s">
        <v>8</v>
      </c>
      <c r="I1469" t="s">
        <v>9</v>
      </c>
      <c r="J1469" t="s">
        <v>10</v>
      </c>
      <c r="K1469" t="s">
        <v>19</v>
      </c>
      <c r="L1469" t="s">
        <v>12</v>
      </c>
      <c r="M1469" t="s">
        <v>35</v>
      </c>
      <c r="N1469" t="s">
        <v>37</v>
      </c>
      <c r="O1469" t="s">
        <v>18</v>
      </c>
      <c r="P1469">
        <v>3</v>
      </c>
    </row>
    <row r="1470" spans="1:16" x14ac:dyDescent="0.3">
      <c r="A1470">
        <v>1989</v>
      </c>
      <c r="B1470">
        <v>43886</v>
      </c>
      <c r="C1470">
        <v>20</v>
      </c>
      <c r="D1470">
        <v>36691</v>
      </c>
      <c r="E1470" t="s">
        <v>14</v>
      </c>
      <c r="F1470" t="s">
        <v>15</v>
      </c>
      <c r="G1470" t="s">
        <v>34</v>
      </c>
      <c r="H1470" t="s">
        <v>64</v>
      </c>
      <c r="I1470" t="s">
        <v>9</v>
      </c>
      <c r="J1470" t="s">
        <v>25</v>
      </c>
      <c r="K1470" t="s">
        <v>19</v>
      </c>
      <c r="L1470" t="s">
        <v>12</v>
      </c>
      <c r="M1470" t="s">
        <v>35</v>
      </c>
      <c r="N1470" t="s">
        <v>30</v>
      </c>
      <c r="O1470" t="s">
        <v>18</v>
      </c>
      <c r="P1470">
        <v>2</v>
      </c>
    </row>
    <row r="1471" spans="1:16" x14ac:dyDescent="0.3">
      <c r="A1471">
        <v>1990</v>
      </c>
      <c r="B1471">
        <v>43967</v>
      </c>
      <c r="C1471">
        <v>73</v>
      </c>
      <c r="D1471">
        <v>17428</v>
      </c>
      <c r="E1471" t="s">
        <v>14</v>
      </c>
      <c r="F1471" t="s">
        <v>15</v>
      </c>
      <c r="G1471" t="s">
        <v>40</v>
      </c>
      <c r="H1471" t="s">
        <v>64</v>
      </c>
      <c r="I1471" t="s">
        <v>9</v>
      </c>
      <c r="J1471" t="s">
        <v>25</v>
      </c>
      <c r="K1471" t="s">
        <v>11</v>
      </c>
      <c r="L1471" t="s">
        <v>12</v>
      </c>
      <c r="M1471" t="s">
        <v>35</v>
      </c>
      <c r="N1471" t="s">
        <v>37</v>
      </c>
      <c r="O1471" t="s">
        <v>18</v>
      </c>
      <c r="P1471">
        <v>1</v>
      </c>
    </row>
    <row r="1472" spans="1:16" x14ac:dyDescent="0.3">
      <c r="A1472">
        <v>1991</v>
      </c>
      <c r="B1472">
        <v>43634</v>
      </c>
      <c r="C1472">
        <v>70</v>
      </c>
      <c r="D1472">
        <v>17899</v>
      </c>
      <c r="E1472" t="s">
        <v>14</v>
      </c>
      <c r="F1472" t="s">
        <v>15</v>
      </c>
      <c r="G1472" t="s">
        <v>34</v>
      </c>
      <c r="H1472" t="s">
        <v>64</v>
      </c>
      <c r="I1472" t="s">
        <v>9</v>
      </c>
      <c r="J1472" t="s">
        <v>10</v>
      </c>
      <c r="K1472" t="s">
        <v>26</v>
      </c>
      <c r="L1472" t="s">
        <v>12</v>
      </c>
      <c r="M1472" t="s">
        <v>32</v>
      </c>
      <c r="N1472" t="s">
        <v>30</v>
      </c>
      <c r="O1472" t="s">
        <v>18</v>
      </c>
      <c r="P1472">
        <v>1</v>
      </c>
    </row>
    <row r="1473" spans="1:16" x14ac:dyDescent="0.3">
      <c r="A1473">
        <v>1992</v>
      </c>
      <c r="B1473">
        <v>43605</v>
      </c>
      <c r="C1473">
        <v>69</v>
      </c>
      <c r="D1473">
        <v>18319</v>
      </c>
      <c r="E1473" t="s">
        <v>14</v>
      </c>
      <c r="F1473" t="s">
        <v>15</v>
      </c>
      <c r="G1473" t="s">
        <v>40</v>
      </c>
      <c r="H1473" t="s">
        <v>64</v>
      </c>
      <c r="I1473" t="s">
        <v>9</v>
      </c>
      <c r="J1473" t="s">
        <v>10</v>
      </c>
      <c r="K1473" t="s">
        <v>19</v>
      </c>
      <c r="L1473" t="s">
        <v>12</v>
      </c>
      <c r="M1473" t="s">
        <v>32</v>
      </c>
      <c r="N1473" t="s">
        <v>16</v>
      </c>
      <c r="O1473" t="s">
        <v>18</v>
      </c>
      <c r="P1473">
        <v>3</v>
      </c>
    </row>
    <row r="1474" spans="1:16" x14ac:dyDescent="0.3">
      <c r="A1474">
        <v>1993</v>
      </c>
      <c r="B1474">
        <v>44120</v>
      </c>
      <c r="C1474">
        <v>48</v>
      </c>
      <c r="D1474">
        <v>26501</v>
      </c>
      <c r="E1474" t="s">
        <v>14</v>
      </c>
      <c r="F1474" t="s">
        <v>15</v>
      </c>
      <c r="G1474" t="s">
        <v>40</v>
      </c>
      <c r="H1474" t="s">
        <v>64</v>
      </c>
      <c r="I1474" t="s">
        <v>9</v>
      </c>
      <c r="J1474" t="s">
        <v>25</v>
      </c>
      <c r="K1474" t="s">
        <v>19</v>
      </c>
      <c r="L1474" t="s">
        <v>12</v>
      </c>
      <c r="M1474" t="s">
        <v>35</v>
      </c>
      <c r="N1474" t="s">
        <v>23</v>
      </c>
      <c r="O1474" t="s">
        <v>18</v>
      </c>
      <c r="P1474">
        <v>2</v>
      </c>
    </row>
    <row r="1475" spans="1:16" x14ac:dyDescent="0.3">
      <c r="A1475">
        <v>1994</v>
      </c>
      <c r="B1475">
        <v>44743</v>
      </c>
      <c r="C1475">
        <v>34</v>
      </c>
      <c r="D1475">
        <v>32506</v>
      </c>
      <c r="E1475" t="s">
        <v>14</v>
      </c>
      <c r="F1475" t="s">
        <v>15</v>
      </c>
      <c r="G1475" t="s">
        <v>31</v>
      </c>
      <c r="H1475" t="s">
        <v>64</v>
      </c>
      <c r="I1475" t="s">
        <v>9</v>
      </c>
      <c r="J1475" t="s">
        <v>25</v>
      </c>
      <c r="K1475" t="s">
        <v>19</v>
      </c>
      <c r="L1475" t="s">
        <v>12</v>
      </c>
      <c r="M1475" t="s">
        <v>32</v>
      </c>
      <c r="N1475" t="s">
        <v>30</v>
      </c>
      <c r="O1475" t="s">
        <v>18</v>
      </c>
      <c r="P1475">
        <v>5</v>
      </c>
    </row>
    <row r="1476" spans="1:16" x14ac:dyDescent="0.3">
      <c r="A1476">
        <v>1995</v>
      </c>
      <c r="B1476">
        <v>44912</v>
      </c>
      <c r="C1476">
        <v>44</v>
      </c>
      <c r="D1476">
        <v>28708</v>
      </c>
      <c r="E1476" t="s">
        <v>14</v>
      </c>
      <c r="F1476" t="s">
        <v>15</v>
      </c>
      <c r="G1476" t="s">
        <v>34</v>
      </c>
      <c r="H1476" t="s">
        <v>64</v>
      </c>
      <c r="I1476" t="s">
        <v>9</v>
      </c>
      <c r="J1476" t="s">
        <v>10</v>
      </c>
      <c r="K1476" t="s">
        <v>19</v>
      </c>
      <c r="L1476" t="s">
        <v>12</v>
      </c>
      <c r="M1476" t="s">
        <v>35</v>
      </c>
      <c r="N1476" t="s">
        <v>30</v>
      </c>
      <c r="O1476" t="s">
        <v>18</v>
      </c>
      <c r="P1476">
        <v>3</v>
      </c>
    </row>
    <row r="1477" spans="1:16" x14ac:dyDescent="0.3">
      <c r="A1477">
        <v>1996</v>
      </c>
      <c r="B1477">
        <v>44493</v>
      </c>
      <c r="C1477">
        <v>29</v>
      </c>
      <c r="D1477">
        <v>33795</v>
      </c>
      <c r="E1477" t="s">
        <v>14</v>
      </c>
      <c r="F1477" t="s">
        <v>15</v>
      </c>
      <c r="G1477" t="s">
        <v>31</v>
      </c>
      <c r="H1477" t="s">
        <v>64</v>
      </c>
      <c r="I1477" t="s">
        <v>9</v>
      </c>
      <c r="J1477" t="s">
        <v>20</v>
      </c>
      <c r="K1477" t="s">
        <v>19</v>
      </c>
      <c r="L1477" t="s">
        <v>12</v>
      </c>
      <c r="M1477" t="s">
        <v>21</v>
      </c>
      <c r="N1477" t="s">
        <v>16</v>
      </c>
      <c r="O1477" t="s">
        <v>18</v>
      </c>
      <c r="P1477">
        <v>5</v>
      </c>
    </row>
    <row r="1478" spans="1:16" x14ac:dyDescent="0.3">
      <c r="A1478">
        <v>1997</v>
      </c>
      <c r="B1478">
        <v>43524</v>
      </c>
      <c r="C1478">
        <v>29</v>
      </c>
      <c r="D1478">
        <v>33033</v>
      </c>
      <c r="E1478" t="s">
        <v>14</v>
      </c>
      <c r="F1478" t="s">
        <v>15</v>
      </c>
      <c r="G1478" t="s">
        <v>40</v>
      </c>
      <c r="H1478" t="s">
        <v>64</v>
      </c>
      <c r="I1478" t="s">
        <v>9</v>
      </c>
      <c r="J1478" t="s">
        <v>20</v>
      </c>
      <c r="K1478" t="s">
        <v>26</v>
      </c>
      <c r="L1478" t="s">
        <v>12</v>
      </c>
      <c r="M1478" t="s">
        <v>59</v>
      </c>
      <c r="N1478" t="s">
        <v>46</v>
      </c>
      <c r="O1478" t="s">
        <v>18</v>
      </c>
      <c r="P1478">
        <v>3</v>
      </c>
    </row>
    <row r="1479" spans="1:16" x14ac:dyDescent="0.3">
      <c r="A1479">
        <v>1998</v>
      </c>
      <c r="B1479">
        <v>44644</v>
      </c>
      <c r="C1479">
        <v>23</v>
      </c>
      <c r="D1479">
        <v>36212</v>
      </c>
      <c r="E1479" t="s">
        <v>14</v>
      </c>
      <c r="F1479" t="s">
        <v>15</v>
      </c>
      <c r="G1479" t="s">
        <v>17</v>
      </c>
      <c r="H1479" t="s">
        <v>64</v>
      </c>
      <c r="I1479" t="s">
        <v>9</v>
      </c>
      <c r="J1479" t="s">
        <v>25</v>
      </c>
      <c r="K1479" t="s">
        <v>11</v>
      </c>
      <c r="L1479" t="s">
        <v>12</v>
      </c>
      <c r="M1479" t="s">
        <v>32</v>
      </c>
      <c r="N1479" t="s">
        <v>37</v>
      </c>
      <c r="O1479" t="s">
        <v>18</v>
      </c>
      <c r="P1479">
        <v>4</v>
      </c>
    </row>
    <row r="1480" spans="1:16" x14ac:dyDescent="0.3">
      <c r="A1480">
        <v>1999</v>
      </c>
      <c r="B1480">
        <v>44486</v>
      </c>
      <c r="C1480">
        <v>78</v>
      </c>
      <c r="D1480">
        <v>15879</v>
      </c>
      <c r="E1480" t="s">
        <v>14</v>
      </c>
      <c r="F1480" t="s">
        <v>15</v>
      </c>
      <c r="G1480" t="s">
        <v>17</v>
      </c>
      <c r="H1480" t="s">
        <v>64</v>
      </c>
      <c r="I1480" t="s">
        <v>9</v>
      </c>
      <c r="J1480" t="s">
        <v>10</v>
      </c>
      <c r="K1480" t="s">
        <v>19</v>
      </c>
      <c r="L1480" t="s">
        <v>12</v>
      </c>
      <c r="M1480" t="s">
        <v>35</v>
      </c>
      <c r="N1480" t="s">
        <v>30</v>
      </c>
      <c r="O1480" t="s">
        <v>18</v>
      </c>
      <c r="P1480">
        <v>2</v>
      </c>
    </row>
    <row r="1481" spans="1:16" x14ac:dyDescent="0.3">
      <c r="A1481">
        <v>2000</v>
      </c>
      <c r="B1481">
        <v>44694</v>
      </c>
      <c r="C1481">
        <v>59</v>
      </c>
      <c r="D1481">
        <v>23199</v>
      </c>
      <c r="E1481" t="s">
        <v>14</v>
      </c>
      <c r="F1481" t="s">
        <v>15</v>
      </c>
      <c r="G1481" t="s">
        <v>17</v>
      </c>
      <c r="H1481" t="s">
        <v>8</v>
      </c>
      <c r="I1481" t="s">
        <v>9</v>
      </c>
      <c r="J1481" t="s">
        <v>25</v>
      </c>
      <c r="K1481" t="s">
        <v>19</v>
      </c>
      <c r="L1481" t="s">
        <v>12</v>
      </c>
      <c r="M1481" t="s">
        <v>32</v>
      </c>
      <c r="N1481" t="s">
        <v>37</v>
      </c>
      <c r="O1481" t="s">
        <v>18</v>
      </c>
      <c r="P1481">
        <v>3</v>
      </c>
    </row>
    <row r="1482" spans="1:16" x14ac:dyDescent="0.3">
      <c r="A1482">
        <v>2001</v>
      </c>
      <c r="B1482">
        <v>43747</v>
      </c>
      <c r="C1482">
        <v>42</v>
      </c>
      <c r="D1482">
        <v>28354</v>
      </c>
      <c r="E1482" t="s">
        <v>14</v>
      </c>
      <c r="F1482" t="s">
        <v>15</v>
      </c>
      <c r="G1482" t="s">
        <v>17</v>
      </c>
      <c r="H1482" t="s">
        <v>8</v>
      </c>
      <c r="I1482" t="s">
        <v>66</v>
      </c>
      <c r="J1482" t="s">
        <v>10</v>
      </c>
      <c r="K1482" t="s">
        <v>26</v>
      </c>
      <c r="L1482" t="s">
        <v>12</v>
      </c>
      <c r="M1482" t="s">
        <v>63</v>
      </c>
      <c r="N1482" t="s">
        <v>16</v>
      </c>
      <c r="O1482" t="s">
        <v>18</v>
      </c>
      <c r="P1482">
        <v>3</v>
      </c>
    </row>
    <row r="1483" spans="1:16" x14ac:dyDescent="0.3">
      <c r="A1483">
        <v>2002</v>
      </c>
      <c r="B1483">
        <v>43385</v>
      </c>
      <c r="C1483">
        <v>28</v>
      </c>
      <c r="D1483">
        <v>33018</v>
      </c>
      <c r="E1483" t="s">
        <v>14</v>
      </c>
      <c r="F1483" t="s">
        <v>15</v>
      </c>
      <c r="G1483" t="s">
        <v>34</v>
      </c>
      <c r="H1483" t="s">
        <v>8</v>
      </c>
      <c r="I1483" t="s">
        <v>66</v>
      </c>
      <c r="J1483" t="s">
        <v>10</v>
      </c>
      <c r="K1483" t="s">
        <v>26</v>
      </c>
      <c r="L1483" t="s">
        <v>12</v>
      </c>
      <c r="M1483" t="s">
        <v>32</v>
      </c>
      <c r="N1483" t="s">
        <v>16</v>
      </c>
      <c r="O1483" t="s">
        <v>18</v>
      </c>
      <c r="P1483">
        <v>4</v>
      </c>
    </row>
    <row r="1484" spans="1:16" x14ac:dyDescent="0.3">
      <c r="A1484">
        <v>2003</v>
      </c>
      <c r="B1484">
        <v>43934</v>
      </c>
      <c r="C1484">
        <v>35</v>
      </c>
      <c r="D1484">
        <v>31229</v>
      </c>
      <c r="E1484" t="s">
        <v>14</v>
      </c>
      <c r="F1484" t="s">
        <v>15</v>
      </c>
      <c r="G1484" t="s">
        <v>34</v>
      </c>
      <c r="H1484" t="s">
        <v>8</v>
      </c>
      <c r="I1484" t="s">
        <v>66</v>
      </c>
      <c r="J1484" t="s">
        <v>10</v>
      </c>
      <c r="K1484" t="s">
        <v>26</v>
      </c>
      <c r="L1484" t="s">
        <v>12</v>
      </c>
      <c r="M1484" t="s">
        <v>58</v>
      </c>
      <c r="N1484" t="s">
        <v>30</v>
      </c>
      <c r="O1484" t="s">
        <v>18</v>
      </c>
      <c r="P1484">
        <v>5</v>
      </c>
    </row>
    <row r="1485" spans="1:16" x14ac:dyDescent="0.3">
      <c r="A1485">
        <v>2004</v>
      </c>
      <c r="B1485">
        <v>44311</v>
      </c>
      <c r="C1485">
        <v>20</v>
      </c>
      <c r="D1485">
        <v>36986</v>
      </c>
      <c r="E1485" t="s">
        <v>14</v>
      </c>
      <c r="F1485" t="s">
        <v>15</v>
      </c>
      <c r="G1485" t="s">
        <v>40</v>
      </c>
      <c r="H1485" t="s">
        <v>8</v>
      </c>
      <c r="I1485" t="s">
        <v>9</v>
      </c>
      <c r="J1485" t="s">
        <v>10</v>
      </c>
      <c r="K1485" t="s">
        <v>26</v>
      </c>
      <c r="L1485" t="s">
        <v>12</v>
      </c>
      <c r="M1485" t="s">
        <v>42</v>
      </c>
      <c r="N1485" t="s">
        <v>30</v>
      </c>
      <c r="O1485" t="s">
        <v>18</v>
      </c>
      <c r="P1485">
        <v>3</v>
      </c>
    </row>
    <row r="1486" spans="1:16" x14ac:dyDescent="0.3">
      <c r="A1486">
        <v>2005</v>
      </c>
      <c r="B1486">
        <v>43455</v>
      </c>
      <c r="C1486">
        <v>71</v>
      </c>
      <c r="D1486">
        <v>17235</v>
      </c>
      <c r="E1486" t="s">
        <v>14</v>
      </c>
      <c r="F1486" t="s">
        <v>15</v>
      </c>
      <c r="G1486" t="s">
        <v>17</v>
      </c>
      <c r="H1486" t="s">
        <v>8</v>
      </c>
      <c r="I1486" t="s">
        <v>9</v>
      </c>
      <c r="J1486" t="s">
        <v>20</v>
      </c>
      <c r="K1486" t="s">
        <v>26</v>
      </c>
      <c r="L1486" t="s">
        <v>12</v>
      </c>
      <c r="M1486" t="s">
        <v>49</v>
      </c>
      <c r="N1486" t="s">
        <v>46</v>
      </c>
      <c r="O1486" t="s">
        <v>18</v>
      </c>
      <c r="P1486">
        <v>1</v>
      </c>
    </row>
    <row r="1487" spans="1:16" x14ac:dyDescent="0.3">
      <c r="A1487">
        <v>2006</v>
      </c>
      <c r="B1487">
        <v>44458</v>
      </c>
      <c r="C1487">
        <v>48</v>
      </c>
      <c r="D1487">
        <v>26960</v>
      </c>
      <c r="E1487" t="s">
        <v>14</v>
      </c>
      <c r="F1487" t="s">
        <v>22</v>
      </c>
      <c r="G1487" t="s">
        <v>34</v>
      </c>
      <c r="H1487" t="s">
        <v>8</v>
      </c>
      <c r="I1487" t="s">
        <v>9</v>
      </c>
      <c r="J1487" t="s">
        <v>10</v>
      </c>
      <c r="K1487" t="s">
        <v>11</v>
      </c>
      <c r="L1487" t="s">
        <v>12</v>
      </c>
      <c r="M1487" t="s">
        <v>44</v>
      </c>
      <c r="N1487" t="s">
        <v>30</v>
      </c>
      <c r="O1487" t="s">
        <v>18</v>
      </c>
      <c r="P1487">
        <v>5</v>
      </c>
    </row>
    <row r="1488" spans="1:16" x14ac:dyDescent="0.3">
      <c r="A1488">
        <v>2007</v>
      </c>
      <c r="B1488">
        <v>44180</v>
      </c>
      <c r="C1488">
        <v>41</v>
      </c>
      <c r="D1488">
        <v>28980</v>
      </c>
      <c r="E1488" t="s">
        <v>14</v>
      </c>
      <c r="F1488" t="s">
        <v>15</v>
      </c>
      <c r="G1488" t="s">
        <v>17</v>
      </c>
      <c r="H1488" t="s">
        <v>8</v>
      </c>
      <c r="I1488" t="s">
        <v>9</v>
      </c>
      <c r="J1488" t="s">
        <v>25</v>
      </c>
      <c r="K1488" t="s">
        <v>11</v>
      </c>
      <c r="L1488" t="s">
        <v>12</v>
      </c>
      <c r="M1488" t="s">
        <v>49</v>
      </c>
      <c r="N1488" t="s">
        <v>37</v>
      </c>
      <c r="O1488" t="s">
        <v>18</v>
      </c>
      <c r="P1488">
        <v>1</v>
      </c>
    </row>
    <row r="1489" spans="1:16" x14ac:dyDescent="0.3">
      <c r="A1489">
        <v>2008</v>
      </c>
      <c r="B1489">
        <v>43661</v>
      </c>
      <c r="C1489">
        <v>78</v>
      </c>
      <c r="D1489">
        <v>15222</v>
      </c>
      <c r="E1489" t="s">
        <v>14</v>
      </c>
      <c r="F1489" t="s">
        <v>15</v>
      </c>
      <c r="G1489" t="s">
        <v>17</v>
      </c>
      <c r="H1489" t="s">
        <v>8</v>
      </c>
      <c r="I1489" t="s">
        <v>9</v>
      </c>
      <c r="J1489" t="s">
        <v>20</v>
      </c>
      <c r="K1489" t="s">
        <v>19</v>
      </c>
      <c r="L1489" t="s">
        <v>12</v>
      </c>
      <c r="M1489" t="s">
        <v>35</v>
      </c>
      <c r="N1489" t="s">
        <v>46</v>
      </c>
      <c r="O1489" t="s">
        <v>18</v>
      </c>
      <c r="P1489">
        <v>2</v>
      </c>
    </row>
    <row r="1490" spans="1:16" x14ac:dyDescent="0.3">
      <c r="A1490">
        <v>2009</v>
      </c>
      <c r="B1490">
        <v>44517</v>
      </c>
      <c r="C1490">
        <v>24</v>
      </c>
      <c r="D1490">
        <v>35704</v>
      </c>
      <c r="E1490" t="s">
        <v>14</v>
      </c>
      <c r="F1490" t="s">
        <v>15</v>
      </c>
      <c r="G1490" t="s">
        <v>17</v>
      </c>
      <c r="H1490" t="s">
        <v>8</v>
      </c>
      <c r="I1490" t="s">
        <v>9</v>
      </c>
      <c r="J1490" t="s">
        <v>10</v>
      </c>
      <c r="K1490" t="s">
        <v>11</v>
      </c>
      <c r="L1490" t="s">
        <v>12</v>
      </c>
      <c r="M1490" t="s">
        <v>54</v>
      </c>
      <c r="N1490" t="s">
        <v>16</v>
      </c>
      <c r="O1490" t="s">
        <v>18</v>
      </c>
      <c r="P1490">
        <v>2</v>
      </c>
    </row>
    <row r="1491" spans="1:16" x14ac:dyDescent="0.3">
      <c r="A1491">
        <v>2010</v>
      </c>
      <c r="B1491">
        <v>44961</v>
      </c>
      <c r="C1491">
        <v>74</v>
      </c>
      <c r="D1491">
        <v>17964</v>
      </c>
      <c r="E1491" t="s">
        <v>14</v>
      </c>
      <c r="F1491" t="s">
        <v>15</v>
      </c>
      <c r="G1491" t="s">
        <v>34</v>
      </c>
      <c r="H1491" t="s">
        <v>8</v>
      </c>
      <c r="I1491" t="s">
        <v>9</v>
      </c>
      <c r="J1491" t="s">
        <v>20</v>
      </c>
      <c r="K1491" t="s">
        <v>26</v>
      </c>
      <c r="L1491" t="s">
        <v>12</v>
      </c>
      <c r="M1491" t="s">
        <v>60</v>
      </c>
      <c r="N1491" t="s">
        <v>23</v>
      </c>
      <c r="O1491" t="s">
        <v>18</v>
      </c>
      <c r="P1491">
        <v>4</v>
      </c>
    </row>
    <row r="1492" spans="1:16" x14ac:dyDescent="0.3">
      <c r="A1492">
        <v>2011</v>
      </c>
      <c r="B1492">
        <v>44745</v>
      </c>
      <c r="C1492">
        <v>28</v>
      </c>
      <c r="D1492">
        <v>34552</v>
      </c>
      <c r="E1492" t="s">
        <v>14</v>
      </c>
      <c r="F1492" t="s">
        <v>15</v>
      </c>
      <c r="G1492" t="s">
        <v>34</v>
      </c>
      <c r="H1492" t="s">
        <v>8</v>
      </c>
      <c r="I1492" t="s">
        <v>9</v>
      </c>
      <c r="J1492" t="s">
        <v>10</v>
      </c>
      <c r="K1492" t="s">
        <v>26</v>
      </c>
      <c r="L1492" t="s">
        <v>12</v>
      </c>
      <c r="M1492" t="s">
        <v>13</v>
      </c>
      <c r="N1492" t="s">
        <v>46</v>
      </c>
      <c r="O1492" t="s">
        <v>18</v>
      </c>
      <c r="P1492">
        <v>2</v>
      </c>
    </row>
    <row r="1493" spans="1:16" x14ac:dyDescent="0.3">
      <c r="A1493">
        <v>2012</v>
      </c>
      <c r="B1493">
        <v>43854</v>
      </c>
      <c r="C1493">
        <v>36</v>
      </c>
      <c r="D1493">
        <v>30839</v>
      </c>
      <c r="E1493" t="s">
        <v>14</v>
      </c>
      <c r="F1493" t="s">
        <v>15</v>
      </c>
      <c r="G1493" t="s">
        <v>31</v>
      </c>
      <c r="H1493" t="s">
        <v>8</v>
      </c>
      <c r="I1493" t="s">
        <v>9</v>
      </c>
      <c r="J1493" t="s">
        <v>10</v>
      </c>
      <c r="K1493" t="s">
        <v>26</v>
      </c>
      <c r="L1493" t="s">
        <v>12</v>
      </c>
      <c r="M1493" t="s">
        <v>28</v>
      </c>
      <c r="N1493" t="s">
        <v>16</v>
      </c>
      <c r="O1493" t="s">
        <v>18</v>
      </c>
      <c r="P1493">
        <v>3</v>
      </c>
    </row>
    <row r="1494" spans="1:16" x14ac:dyDescent="0.3">
      <c r="A1494">
        <v>2013</v>
      </c>
      <c r="B1494">
        <v>43653</v>
      </c>
      <c r="C1494">
        <v>67</v>
      </c>
      <c r="D1494">
        <v>19092</v>
      </c>
      <c r="E1494" t="s">
        <v>14</v>
      </c>
      <c r="F1494" t="s">
        <v>15</v>
      </c>
      <c r="G1494" t="s">
        <v>17</v>
      </c>
      <c r="H1494" t="s">
        <v>8</v>
      </c>
      <c r="I1494" t="s">
        <v>9</v>
      </c>
      <c r="J1494" t="s">
        <v>10</v>
      </c>
      <c r="K1494" t="s">
        <v>19</v>
      </c>
      <c r="L1494" t="s">
        <v>12</v>
      </c>
      <c r="M1494" t="s">
        <v>32</v>
      </c>
      <c r="N1494" t="s">
        <v>37</v>
      </c>
      <c r="O1494" t="s">
        <v>18</v>
      </c>
      <c r="P1494">
        <v>5</v>
      </c>
    </row>
    <row r="1495" spans="1:16" x14ac:dyDescent="0.3">
      <c r="A1495">
        <v>2014</v>
      </c>
      <c r="B1495">
        <v>44633</v>
      </c>
      <c r="C1495">
        <v>38</v>
      </c>
      <c r="D1495">
        <v>30997</v>
      </c>
      <c r="E1495" t="s">
        <v>14</v>
      </c>
      <c r="F1495" t="s">
        <v>15</v>
      </c>
      <c r="G1495" t="s">
        <v>40</v>
      </c>
      <c r="H1495" t="s">
        <v>64</v>
      </c>
      <c r="I1495" t="s">
        <v>9</v>
      </c>
      <c r="J1495" t="s">
        <v>20</v>
      </c>
      <c r="K1495" t="s">
        <v>26</v>
      </c>
      <c r="L1495" t="s">
        <v>12</v>
      </c>
      <c r="M1495" t="s">
        <v>49</v>
      </c>
      <c r="N1495" t="s">
        <v>46</v>
      </c>
      <c r="O1495" t="s">
        <v>18</v>
      </c>
      <c r="P1495">
        <v>5</v>
      </c>
    </row>
    <row r="1496" spans="1:16" x14ac:dyDescent="0.3">
      <c r="A1496">
        <v>2015</v>
      </c>
      <c r="B1496">
        <v>45079</v>
      </c>
      <c r="C1496">
        <v>31</v>
      </c>
      <c r="D1496">
        <v>33668</v>
      </c>
      <c r="E1496" t="s">
        <v>14</v>
      </c>
      <c r="F1496" t="s">
        <v>15</v>
      </c>
      <c r="G1496" t="s">
        <v>17</v>
      </c>
      <c r="H1496" t="s">
        <v>64</v>
      </c>
      <c r="I1496" t="s">
        <v>9</v>
      </c>
      <c r="J1496" t="s">
        <v>20</v>
      </c>
      <c r="K1496" t="s">
        <v>26</v>
      </c>
      <c r="L1496" t="s">
        <v>12</v>
      </c>
      <c r="M1496" t="s">
        <v>42</v>
      </c>
      <c r="N1496" t="s">
        <v>16</v>
      </c>
      <c r="O1496" t="s">
        <v>18</v>
      </c>
      <c r="P1496">
        <v>3</v>
      </c>
    </row>
    <row r="1497" spans="1:16" x14ac:dyDescent="0.3">
      <c r="A1497">
        <v>2016</v>
      </c>
      <c r="B1497">
        <v>44294</v>
      </c>
      <c r="C1497">
        <v>63</v>
      </c>
      <c r="D1497">
        <v>21459</v>
      </c>
      <c r="E1497" t="s">
        <v>14</v>
      </c>
      <c r="F1497" t="s">
        <v>15</v>
      </c>
      <c r="G1497" t="s">
        <v>17</v>
      </c>
      <c r="H1497" t="s">
        <v>64</v>
      </c>
      <c r="I1497" t="s">
        <v>9</v>
      </c>
      <c r="J1497" t="s">
        <v>10</v>
      </c>
      <c r="K1497" t="s">
        <v>11</v>
      </c>
      <c r="L1497" t="s">
        <v>12</v>
      </c>
      <c r="M1497" t="s">
        <v>35</v>
      </c>
      <c r="N1497" t="s">
        <v>16</v>
      </c>
      <c r="O1497" t="s">
        <v>18</v>
      </c>
      <c r="P1497">
        <v>3</v>
      </c>
    </row>
    <row r="1498" spans="1:16" x14ac:dyDescent="0.3">
      <c r="A1498">
        <v>2017</v>
      </c>
      <c r="B1498">
        <v>43801</v>
      </c>
      <c r="C1498">
        <v>48</v>
      </c>
      <c r="D1498">
        <v>26040</v>
      </c>
      <c r="E1498" t="s">
        <v>14</v>
      </c>
      <c r="F1498" t="s">
        <v>15</v>
      </c>
      <c r="G1498" t="s">
        <v>31</v>
      </c>
      <c r="H1498" t="s">
        <v>64</v>
      </c>
      <c r="I1498" t="s">
        <v>9</v>
      </c>
      <c r="J1498" t="s">
        <v>25</v>
      </c>
      <c r="K1498" t="s">
        <v>26</v>
      </c>
      <c r="L1498" t="s">
        <v>12</v>
      </c>
      <c r="M1498" t="s">
        <v>21</v>
      </c>
      <c r="N1498" t="s">
        <v>37</v>
      </c>
      <c r="O1498" t="s">
        <v>18</v>
      </c>
      <c r="P1498">
        <v>5</v>
      </c>
    </row>
    <row r="1499" spans="1:16" x14ac:dyDescent="0.3">
      <c r="A1499">
        <v>2018</v>
      </c>
      <c r="B1499">
        <v>44629</v>
      </c>
      <c r="C1499">
        <v>36</v>
      </c>
      <c r="D1499">
        <v>31439</v>
      </c>
      <c r="E1499" t="s">
        <v>14</v>
      </c>
      <c r="F1499" t="s">
        <v>15</v>
      </c>
      <c r="G1499" t="s">
        <v>40</v>
      </c>
      <c r="H1499" t="s">
        <v>64</v>
      </c>
      <c r="I1499" t="s">
        <v>9</v>
      </c>
      <c r="J1499" t="s">
        <v>10</v>
      </c>
      <c r="K1499" t="s">
        <v>11</v>
      </c>
      <c r="L1499" t="s">
        <v>12</v>
      </c>
      <c r="M1499" t="s">
        <v>63</v>
      </c>
      <c r="N1499" t="s">
        <v>46</v>
      </c>
      <c r="O1499" t="s">
        <v>18</v>
      </c>
      <c r="P1499">
        <v>2</v>
      </c>
    </row>
    <row r="1500" spans="1:16" x14ac:dyDescent="0.3">
      <c r="A1500">
        <v>2019</v>
      </c>
      <c r="B1500">
        <v>44646</v>
      </c>
      <c r="C1500">
        <v>45</v>
      </c>
      <c r="D1500">
        <v>28133</v>
      </c>
      <c r="E1500" t="s">
        <v>14</v>
      </c>
      <c r="F1500" t="s">
        <v>15</v>
      </c>
      <c r="G1500" t="s">
        <v>17</v>
      </c>
      <c r="H1500" t="s">
        <v>64</v>
      </c>
      <c r="I1500" t="s">
        <v>9</v>
      </c>
      <c r="J1500" t="s">
        <v>25</v>
      </c>
      <c r="K1500" t="s">
        <v>11</v>
      </c>
      <c r="L1500" t="s">
        <v>12</v>
      </c>
      <c r="M1500" t="s">
        <v>35</v>
      </c>
      <c r="N1500" t="s">
        <v>16</v>
      </c>
      <c r="O1500" t="s">
        <v>18</v>
      </c>
      <c r="P1500">
        <v>1</v>
      </c>
    </row>
    <row r="1501" spans="1:16" x14ac:dyDescent="0.3">
      <c r="A1501">
        <v>2020</v>
      </c>
      <c r="B1501">
        <v>44324</v>
      </c>
      <c r="C1501">
        <v>75</v>
      </c>
      <c r="D1501">
        <v>16847</v>
      </c>
      <c r="E1501" t="s">
        <v>14</v>
      </c>
      <c r="F1501" t="s">
        <v>15</v>
      </c>
      <c r="G1501" t="s">
        <v>17</v>
      </c>
      <c r="H1501" t="s">
        <v>64</v>
      </c>
      <c r="I1501" t="s">
        <v>9</v>
      </c>
      <c r="J1501" t="s">
        <v>20</v>
      </c>
      <c r="K1501" t="s">
        <v>19</v>
      </c>
      <c r="L1501" t="s">
        <v>12</v>
      </c>
      <c r="M1501" t="s">
        <v>59</v>
      </c>
      <c r="N1501" t="s">
        <v>37</v>
      </c>
      <c r="O1501" t="s">
        <v>18</v>
      </c>
      <c r="P1501">
        <v>1</v>
      </c>
    </row>
    <row r="1502" spans="1:16" x14ac:dyDescent="0.3">
      <c r="A1502">
        <v>2021</v>
      </c>
      <c r="B1502">
        <v>44894</v>
      </c>
      <c r="C1502">
        <v>67</v>
      </c>
      <c r="D1502">
        <v>20434</v>
      </c>
      <c r="E1502" t="s">
        <v>14</v>
      </c>
      <c r="F1502" t="s">
        <v>15</v>
      </c>
      <c r="G1502" t="s">
        <v>17</v>
      </c>
      <c r="H1502" t="s">
        <v>64</v>
      </c>
      <c r="I1502" t="s">
        <v>9</v>
      </c>
      <c r="J1502" t="s">
        <v>20</v>
      </c>
      <c r="K1502" t="s">
        <v>19</v>
      </c>
      <c r="L1502" t="s">
        <v>12</v>
      </c>
      <c r="M1502" t="s">
        <v>35</v>
      </c>
      <c r="N1502" t="s">
        <v>46</v>
      </c>
      <c r="O1502" t="s">
        <v>18</v>
      </c>
      <c r="P1502">
        <v>3</v>
      </c>
    </row>
    <row r="1503" spans="1:16" x14ac:dyDescent="0.3">
      <c r="A1503">
        <v>2022</v>
      </c>
      <c r="B1503">
        <v>43609</v>
      </c>
      <c r="C1503">
        <v>78</v>
      </c>
      <c r="D1503">
        <v>15218</v>
      </c>
      <c r="E1503" t="s">
        <v>14</v>
      </c>
      <c r="F1503" t="s">
        <v>15</v>
      </c>
      <c r="G1503" t="s">
        <v>40</v>
      </c>
      <c r="H1503" t="s">
        <v>64</v>
      </c>
      <c r="I1503" t="s">
        <v>9</v>
      </c>
      <c r="J1503" t="s">
        <v>10</v>
      </c>
      <c r="K1503" t="s">
        <v>26</v>
      </c>
      <c r="L1503" t="s">
        <v>12</v>
      </c>
      <c r="M1503" t="s">
        <v>61</v>
      </c>
      <c r="N1503" t="s">
        <v>16</v>
      </c>
      <c r="O1503" t="s">
        <v>18</v>
      </c>
      <c r="P1503">
        <v>3</v>
      </c>
    </row>
    <row r="1504" spans="1:16" x14ac:dyDescent="0.3">
      <c r="A1504">
        <v>2023</v>
      </c>
      <c r="B1504">
        <v>44590</v>
      </c>
      <c r="C1504">
        <v>60</v>
      </c>
      <c r="D1504">
        <v>22862</v>
      </c>
      <c r="E1504" t="s">
        <v>14</v>
      </c>
      <c r="F1504" t="s">
        <v>15</v>
      </c>
      <c r="G1504" t="s">
        <v>40</v>
      </c>
      <c r="H1504" t="s">
        <v>64</v>
      </c>
      <c r="I1504" t="s">
        <v>9</v>
      </c>
      <c r="J1504" t="s">
        <v>20</v>
      </c>
      <c r="K1504" t="s">
        <v>11</v>
      </c>
      <c r="L1504" t="s">
        <v>12</v>
      </c>
      <c r="M1504" t="s">
        <v>32</v>
      </c>
      <c r="N1504" t="s">
        <v>23</v>
      </c>
      <c r="O1504" t="s">
        <v>18</v>
      </c>
      <c r="P1504">
        <v>4</v>
      </c>
    </row>
    <row r="1505" spans="1:16" x14ac:dyDescent="0.3">
      <c r="A1505">
        <v>2024</v>
      </c>
      <c r="B1505">
        <v>44383</v>
      </c>
      <c r="C1505">
        <v>30</v>
      </c>
      <c r="D1505">
        <v>33322</v>
      </c>
      <c r="E1505" t="s">
        <v>14</v>
      </c>
      <c r="F1505" t="s">
        <v>15</v>
      </c>
      <c r="G1505" t="s">
        <v>31</v>
      </c>
      <c r="H1505" t="s">
        <v>64</v>
      </c>
      <c r="I1505" t="s">
        <v>9</v>
      </c>
      <c r="J1505" t="s">
        <v>25</v>
      </c>
      <c r="K1505" t="s">
        <v>11</v>
      </c>
      <c r="L1505" t="s">
        <v>12</v>
      </c>
      <c r="M1505" t="s">
        <v>35</v>
      </c>
      <c r="N1505" t="s">
        <v>46</v>
      </c>
      <c r="O1505" t="s">
        <v>18</v>
      </c>
      <c r="P1505">
        <v>1</v>
      </c>
    </row>
    <row r="1506" spans="1:16" x14ac:dyDescent="0.3">
      <c r="A1506">
        <v>2025</v>
      </c>
      <c r="B1506">
        <v>44225</v>
      </c>
      <c r="C1506">
        <v>46</v>
      </c>
      <c r="D1506">
        <v>27495</v>
      </c>
      <c r="E1506" t="s">
        <v>14</v>
      </c>
      <c r="F1506" t="s">
        <v>15</v>
      </c>
      <c r="G1506" t="s">
        <v>31</v>
      </c>
      <c r="H1506" t="s">
        <v>64</v>
      </c>
      <c r="I1506" t="s">
        <v>9</v>
      </c>
      <c r="J1506" t="s">
        <v>20</v>
      </c>
      <c r="K1506" t="s">
        <v>11</v>
      </c>
      <c r="L1506" t="s">
        <v>12</v>
      </c>
      <c r="M1506" t="s">
        <v>35</v>
      </c>
      <c r="N1506" t="s">
        <v>46</v>
      </c>
      <c r="O1506" t="s">
        <v>18</v>
      </c>
      <c r="P1506">
        <v>2</v>
      </c>
    </row>
    <row r="1507" spans="1:16" x14ac:dyDescent="0.3">
      <c r="A1507">
        <v>2026</v>
      </c>
      <c r="B1507">
        <v>45059</v>
      </c>
      <c r="C1507">
        <v>53</v>
      </c>
      <c r="D1507">
        <v>25625</v>
      </c>
      <c r="E1507" t="s">
        <v>14</v>
      </c>
      <c r="F1507" t="s">
        <v>15</v>
      </c>
      <c r="G1507" t="s">
        <v>34</v>
      </c>
      <c r="H1507" t="s">
        <v>8</v>
      </c>
      <c r="I1507" t="s">
        <v>9</v>
      </c>
      <c r="J1507" t="s">
        <v>10</v>
      </c>
      <c r="K1507" t="s">
        <v>19</v>
      </c>
      <c r="L1507" t="s">
        <v>12</v>
      </c>
      <c r="M1507" t="s">
        <v>35</v>
      </c>
      <c r="N1507" t="s">
        <v>23</v>
      </c>
      <c r="O1507" t="s">
        <v>18</v>
      </c>
      <c r="P1507">
        <v>4</v>
      </c>
    </row>
    <row r="1508" spans="1:16" x14ac:dyDescent="0.3">
      <c r="A1508">
        <v>2027</v>
      </c>
      <c r="B1508">
        <v>43607</v>
      </c>
      <c r="C1508">
        <v>45</v>
      </c>
      <c r="D1508">
        <v>27245</v>
      </c>
      <c r="E1508" t="s">
        <v>14</v>
      </c>
      <c r="F1508" t="s">
        <v>15</v>
      </c>
      <c r="G1508" t="s">
        <v>31</v>
      </c>
      <c r="H1508" t="s">
        <v>8</v>
      </c>
      <c r="I1508" t="s">
        <v>9</v>
      </c>
      <c r="J1508" t="s">
        <v>20</v>
      </c>
      <c r="K1508" t="s">
        <v>19</v>
      </c>
      <c r="L1508" t="s">
        <v>12</v>
      </c>
      <c r="M1508" t="s">
        <v>55</v>
      </c>
      <c r="N1508" t="s">
        <v>37</v>
      </c>
      <c r="O1508" t="s">
        <v>18</v>
      </c>
      <c r="P1508">
        <v>1</v>
      </c>
    </row>
    <row r="1509" spans="1:16" x14ac:dyDescent="0.3">
      <c r="A1509">
        <v>2028</v>
      </c>
      <c r="B1509">
        <v>44469</v>
      </c>
      <c r="C1509">
        <v>40</v>
      </c>
      <c r="D1509">
        <v>29708</v>
      </c>
      <c r="E1509" t="s">
        <v>14</v>
      </c>
      <c r="F1509" t="s">
        <v>15</v>
      </c>
      <c r="G1509" t="s">
        <v>17</v>
      </c>
      <c r="H1509" t="s">
        <v>8</v>
      </c>
      <c r="I1509" t="s">
        <v>66</v>
      </c>
      <c r="J1509" t="s">
        <v>25</v>
      </c>
      <c r="K1509" t="s">
        <v>11</v>
      </c>
      <c r="L1509" t="s">
        <v>12</v>
      </c>
      <c r="M1509" t="s">
        <v>35</v>
      </c>
      <c r="N1509" t="s">
        <v>23</v>
      </c>
      <c r="O1509" t="s">
        <v>18</v>
      </c>
      <c r="P1509">
        <v>4</v>
      </c>
    </row>
    <row r="1510" spans="1:16" x14ac:dyDescent="0.3">
      <c r="A1510">
        <v>2029</v>
      </c>
      <c r="B1510">
        <v>43717</v>
      </c>
      <c r="C1510">
        <v>76</v>
      </c>
      <c r="D1510">
        <v>16002</v>
      </c>
      <c r="E1510" t="s">
        <v>14</v>
      </c>
      <c r="F1510" t="s">
        <v>15</v>
      </c>
      <c r="G1510" t="s">
        <v>31</v>
      </c>
      <c r="H1510" t="s">
        <v>8</v>
      </c>
      <c r="I1510" t="s">
        <v>9</v>
      </c>
      <c r="J1510" t="s">
        <v>10</v>
      </c>
      <c r="K1510" t="s">
        <v>11</v>
      </c>
      <c r="L1510" t="s">
        <v>12</v>
      </c>
      <c r="M1510" t="s">
        <v>38</v>
      </c>
      <c r="N1510" t="s">
        <v>37</v>
      </c>
      <c r="O1510" t="s">
        <v>18</v>
      </c>
      <c r="P1510">
        <v>5</v>
      </c>
    </row>
    <row r="1511" spans="1:16" x14ac:dyDescent="0.3">
      <c r="A1511">
        <v>2030</v>
      </c>
      <c r="B1511">
        <v>43581</v>
      </c>
      <c r="C1511">
        <v>37</v>
      </c>
      <c r="D1511">
        <v>30176</v>
      </c>
      <c r="E1511" t="s">
        <v>14</v>
      </c>
      <c r="F1511" t="s">
        <v>15</v>
      </c>
      <c r="G1511" t="s">
        <v>34</v>
      </c>
      <c r="H1511" t="s">
        <v>8</v>
      </c>
      <c r="I1511" t="s">
        <v>9</v>
      </c>
      <c r="J1511" t="s">
        <v>25</v>
      </c>
      <c r="K1511" t="s">
        <v>26</v>
      </c>
      <c r="L1511" t="s">
        <v>12</v>
      </c>
      <c r="M1511" t="s">
        <v>59</v>
      </c>
      <c r="N1511" t="s">
        <v>46</v>
      </c>
      <c r="O1511" t="s">
        <v>18</v>
      </c>
      <c r="P1511">
        <v>1</v>
      </c>
    </row>
    <row r="1512" spans="1:16" x14ac:dyDescent="0.3">
      <c r="A1512">
        <v>2031</v>
      </c>
      <c r="B1512">
        <v>44611</v>
      </c>
      <c r="C1512">
        <v>45</v>
      </c>
      <c r="D1512">
        <v>28292</v>
      </c>
      <c r="E1512" t="s">
        <v>14</v>
      </c>
      <c r="F1512" t="s">
        <v>22</v>
      </c>
      <c r="G1512" t="s">
        <v>34</v>
      </c>
      <c r="H1512" t="s">
        <v>8</v>
      </c>
      <c r="I1512" t="s">
        <v>9</v>
      </c>
      <c r="J1512" t="s">
        <v>25</v>
      </c>
      <c r="K1512" t="s">
        <v>11</v>
      </c>
      <c r="L1512" t="s">
        <v>12</v>
      </c>
      <c r="M1512" t="s">
        <v>54</v>
      </c>
      <c r="N1512" t="s">
        <v>46</v>
      </c>
      <c r="O1512" t="s">
        <v>18</v>
      </c>
      <c r="P1512">
        <v>3</v>
      </c>
    </row>
    <row r="1513" spans="1:16" x14ac:dyDescent="0.3">
      <c r="A1513">
        <v>2032</v>
      </c>
      <c r="B1513">
        <v>44667</v>
      </c>
      <c r="C1513">
        <v>26</v>
      </c>
      <c r="D1513">
        <v>35374</v>
      </c>
      <c r="E1513" t="s">
        <v>14</v>
      </c>
      <c r="F1513" t="s">
        <v>22</v>
      </c>
      <c r="G1513" t="s">
        <v>40</v>
      </c>
      <c r="H1513" t="s">
        <v>8</v>
      </c>
      <c r="I1513" t="s">
        <v>9</v>
      </c>
      <c r="J1513" t="s">
        <v>10</v>
      </c>
      <c r="K1513" t="s">
        <v>11</v>
      </c>
      <c r="L1513" t="s">
        <v>12</v>
      </c>
      <c r="M1513" t="s">
        <v>35</v>
      </c>
      <c r="N1513" t="s">
        <v>46</v>
      </c>
      <c r="O1513" t="s">
        <v>18</v>
      </c>
      <c r="P1513">
        <v>2</v>
      </c>
    </row>
    <row r="1514" spans="1:16" x14ac:dyDescent="0.3">
      <c r="A1514">
        <v>2033</v>
      </c>
      <c r="B1514">
        <v>44693</v>
      </c>
      <c r="C1514">
        <v>31</v>
      </c>
      <c r="D1514">
        <v>33266</v>
      </c>
      <c r="E1514" t="s">
        <v>14</v>
      </c>
      <c r="F1514" t="s">
        <v>15</v>
      </c>
      <c r="G1514" t="s">
        <v>40</v>
      </c>
      <c r="H1514" t="s">
        <v>8</v>
      </c>
      <c r="I1514" t="s">
        <v>9</v>
      </c>
      <c r="J1514" t="s">
        <v>25</v>
      </c>
      <c r="K1514" t="s">
        <v>19</v>
      </c>
      <c r="L1514" t="s">
        <v>12</v>
      </c>
      <c r="M1514" t="s">
        <v>32</v>
      </c>
      <c r="N1514" t="s">
        <v>16</v>
      </c>
      <c r="O1514" t="s">
        <v>18</v>
      </c>
      <c r="P1514">
        <v>1</v>
      </c>
    </row>
    <row r="1515" spans="1:16" x14ac:dyDescent="0.3">
      <c r="A1515">
        <v>2034</v>
      </c>
      <c r="B1515">
        <v>44434</v>
      </c>
      <c r="C1515">
        <v>74</v>
      </c>
      <c r="D1515">
        <v>17186</v>
      </c>
      <c r="E1515" t="s">
        <v>14</v>
      </c>
      <c r="F1515" t="s">
        <v>15</v>
      </c>
      <c r="G1515" t="s">
        <v>34</v>
      </c>
      <c r="H1515" t="s">
        <v>8</v>
      </c>
      <c r="I1515" t="s">
        <v>9</v>
      </c>
      <c r="J1515" t="s">
        <v>25</v>
      </c>
      <c r="K1515" t="s">
        <v>11</v>
      </c>
      <c r="L1515" t="s">
        <v>12</v>
      </c>
      <c r="M1515" t="s">
        <v>35</v>
      </c>
      <c r="N1515" t="s">
        <v>46</v>
      </c>
      <c r="O1515" t="s">
        <v>18</v>
      </c>
      <c r="P1515">
        <v>4</v>
      </c>
    </row>
    <row r="1516" spans="1:16" x14ac:dyDescent="0.3">
      <c r="A1516">
        <v>2035</v>
      </c>
      <c r="B1516">
        <v>43988</v>
      </c>
      <c r="C1516">
        <v>19</v>
      </c>
      <c r="D1516">
        <v>36964</v>
      </c>
      <c r="E1516" t="s">
        <v>14</v>
      </c>
      <c r="F1516" t="s">
        <v>15</v>
      </c>
      <c r="G1516" t="s">
        <v>34</v>
      </c>
      <c r="H1516" t="s">
        <v>8</v>
      </c>
      <c r="I1516" t="s">
        <v>9</v>
      </c>
      <c r="J1516" t="s">
        <v>25</v>
      </c>
      <c r="K1516" t="s">
        <v>11</v>
      </c>
      <c r="L1516" t="s">
        <v>12</v>
      </c>
      <c r="M1516" t="s">
        <v>21</v>
      </c>
      <c r="N1516" t="s">
        <v>46</v>
      </c>
      <c r="O1516" t="s">
        <v>18</v>
      </c>
      <c r="P1516">
        <v>2</v>
      </c>
    </row>
    <row r="1517" spans="1:16" x14ac:dyDescent="0.3">
      <c r="A1517">
        <v>2036</v>
      </c>
      <c r="B1517">
        <v>44738</v>
      </c>
      <c r="C1517">
        <v>80</v>
      </c>
      <c r="D1517">
        <v>15390</v>
      </c>
      <c r="E1517" t="s">
        <v>14</v>
      </c>
      <c r="F1517" t="s">
        <v>15</v>
      </c>
      <c r="G1517" t="s">
        <v>31</v>
      </c>
      <c r="H1517" t="s">
        <v>8</v>
      </c>
      <c r="I1517" t="s">
        <v>9</v>
      </c>
      <c r="J1517" t="s">
        <v>10</v>
      </c>
      <c r="K1517" t="s">
        <v>19</v>
      </c>
      <c r="L1517" t="s">
        <v>12</v>
      </c>
      <c r="M1517" t="s">
        <v>21</v>
      </c>
      <c r="N1517" t="s">
        <v>46</v>
      </c>
      <c r="O1517" t="s">
        <v>18</v>
      </c>
      <c r="P1517">
        <v>3</v>
      </c>
    </row>
    <row r="1518" spans="1:16" x14ac:dyDescent="0.3">
      <c r="A1518">
        <v>2037</v>
      </c>
      <c r="B1518">
        <v>44205</v>
      </c>
      <c r="C1518">
        <v>76</v>
      </c>
      <c r="D1518">
        <v>16676</v>
      </c>
      <c r="E1518" t="s">
        <v>14</v>
      </c>
      <c r="F1518" t="s">
        <v>15</v>
      </c>
      <c r="G1518" t="s">
        <v>34</v>
      </c>
      <c r="H1518" t="s">
        <v>8</v>
      </c>
      <c r="I1518" t="s">
        <v>9</v>
      </c>
      <c r="J1518" t="s">
        <v>10</v>
      </c>
      <c r="K1518" t="s">
        <v>11</v>
      </c>
      <c r="L1518" t="s">
        <v>12</v>
      </c>
      <c r="M1518" t="s">
        <v>32</v>
      </c>
      <c r="N1518" t="s">
        <v>16</v>
      </c>
      <c r="O1518" t="s">
        <v>18</v>
      </c>
      <c r="P1518">
        <v>5</v>
      </c>
    </row>
    <row r="1519" spans="1:16" x14ac:dyDescent="0.3">
      <c r="A1519">
        <v>2038</v>
      </c>
      <c r="B1519">
        <v>43345</v>
      </c>
      <c r="C1519">
        <v>17</v>
      </c>
      <c r="D1519">
        <v>37015</v>
      </c>
      <c r="E1519" t="s">
        <v>14</v>
      </c>
      <c r="F1519" t="s">
        <v>15</v>
      </c>
      <c r="G1519" t="s">
        <v>34</v>
      </c>
      <c r="H1519" t="s">
        <v>8</v>
      </c>
      <c r="I1519" t="s">
        <v>9</v>
      </c>
      <c r="J1519" t="s">
        <v>20</v>
      </c>
      <c r="K1519" t="s">
        <v>19</v>
      </c>
      <c r="L1519" t="s">
        <v>12</v>
      </c>
      <c r="M1519" t="s">
        <v>49</v>
      </c>
      <c r="N1519" t="s">
        <v>37</v>
      </c>
      <c r="O1519" t="s">
        <v>18</v>
      </c>
      <c r="P1519">
        <v>3</v>
      </c>
    </row>
    <row r="1520" spans="1:16" x14ac:dyDescent="0.3">
      <c r="A1520">
        <v>2039</v>
      </c>
      <c r="B1520">
        <v>44673</v>
      </c>
      <c r="C1520">
        <v>65</v>
      </c>
      <c r="D1520">
        <v>21097</v>
      </c>
      <c r="E1520" t="s">
        <v>14</v>
      </c>
      <c r="F1520" t="s">
        <v>15</v>
      </c>
      <c r="G1520" t="s">
        <v>31</v>
      </c>
      <c r="H1520" t="s">
        <v>8</v>
      </c>
      <c r="I1520" t="s">
        <v>9</v>
      </c>
      <c r="J1520" t="s">
        <v>25</v>
      </c>
      <c r="K1520" t="s">
        <v>26</v>
      </c>
      <c r="L1520" t="s">
        <v>12</v>
      </c>
      <c r="M1520" t="s">
        <v>35</v>
      </c>
      <c r="N1520" t="s">
        <v>16</v>
      </c>
      <c r="O1520" t="s">
        <v>18</v>
      </c>
      <c r="P1520">
        <v>2</v>
      </c>
    </row>
    <row r="1521" spans="1:16" x14ac:dyDescent="0.3">
      <c r="A1521">
        <v>2041</v>
      </c>
      <c r="B1521">
        <v>44817</v>
      </c>
      <c r="C1521">
        <v>25</v>
      </c>
      <c r="D1521">
        <v>35538</v>
      </c>
      <c r="E1521" t="s">
        <v>14</v>
      </c>
      <c r="F1521" t="s">
        <v>15</v>
      </c>
      <c r="G1521" t="s">
        <v>31</v>
      </c>
      <c r="H1521" t="s">
        <v>64</v>
      </c>
      <c r="I1521" t="s">
        <v>9</v>
      </c>
      <c r="J1521" t="s">
        <v>20</v>
      </c>
      <c r="K1521" t="s">
        <v>11</v>
      </c>
      <c r="L1521" t="s">
        <v>12</v>
      </c>
      <c r="M1521" t="s">
        <v>32</v>
      </c>
      <c r="N1521" t="s">
        <v>37</v>
      </c>
      <c r="O1521" t="s">
        <v>18</v>
      </c>
      <c r="P1521">
        <v>1</v>
      </c>
    </row>
    <row r="1522" spans="1:16" x14ac:dyDescent="0.3">
      <c r="A1522">
        <v>2042</v>
      </c>
      <c r="B1522">
        <v>43793</v>
      </c>
      <c r="C1522">
        <v>27</v>
      </c>
      <c r="D1522">
        <v>33663</v>
      </c>
      <c r="E1522" t="s">
        <v>14</v>
      </c>
      <c r="F1522" t="s">
        <v>15</v>
      </c>
      <c r="G1522" t="s">
        <v>34</v>
      </c>
      <c r="H1522" t="s">
        <v>64</v>
      </c>
      <c r="I1522" t="s">
        <v>9</v>
      </c>
      <c r="J1522" t="s">
        <v>20</v>
      </c>
      <c r="K1522" t="s">
        <v>11</v>
      </c>
      <c r="L1522" t="s">
        <v>12</v>
      </c>
      <c r="M1522" t="s">
        <v>32</v>
      </c>
      <c r="N1522" t="s">
        <v>16</v>
      </c>
      <c r="O1522" t="s">
        <v>18</v>
      </c>
      <c r="P1522">
        <v>2</v>
      </c>
    </row>
    <row r="1523" spans="1:16" x14ac:dyDescent="0.3">
      <c r="A1523">
        <v>2043</v>
      </c>
      <c r="B1523">
        <v>43909</v>
      </c>
      <c r="C1523">
        <v>53</v>
      </c>
      <c r="D1523">
        <v>24736</v>
      </c>
      <c r="E1523" t="s">
        <v>14</v>
      </c>
      <c r="F1523" t="s">
        <v>15</v>
      </c>
      <c r="G1523" t="s">
        <v>34</v>
      </c>
      <c r="H1523" t="s">
        <v>64</v>
      </c>
      <c r="I1523" t="s">
        <v>9</v>
      </c>
      <c r="J1523" t="s">
        <v>10</v>
      </c>
      <c r="K1523" t="s">
        <v>11</v>
      </c>
      <c r="L1523" t="s">
        <v>12</v>
      </c>
      <c r="M1523" t="s">
        <v>92</v>
      </c>
      <c r="N1523" t="s">
        <v>16</v>
      </c>
      <c r="O1523" t="s">
        <v>18</v>
      </c>
      <c r="P1523">
        <v>3</v>
      </c>
    </row>
    <row r="1524" spans="1:16" x14ac:dyDescent="0.3">
      <c r="A1524">
        <v>2044</v>
      </c>
      <c r="B1524">
        <v>44818</v>
      </c>
      <c r="C1524">
        <v>30</v>
      </c>
      <c r="D1524">
        <v>33654</v>
      </c>
      <c r="E1524" t="s">
        <v>14</v>
      </c>
      <c r="F1524" t="s">
        <v>15</v>
      </c>
      <c r="G1524" t="s">
        <v>34</v>
      </c>
      <c r="H1524" t="s">
        <v>64</v>
      </c>
      <c r="I1524" t="s">
        <v>9</v>
      </c>
      <c r="J1524" t="s">
        <v>10</v>
      </c>
      <c r="K1524" t="s">
        <v>11</v>
      </c>
      <c r="L1524" t="s">
        <v>12</v>
      </c>
      <c r="M1524" t="s">
        <v>59</v>
      </c>
      <c r="N1524" t="s">
        <v>37</v>
      </c>
      <c r="O1524" t="s">
        <v>18</v>
      </c>
      <c r="P1524">
        <v>1</v>
      </c>
    </row>
    <row r="1525" spans="1:16" x14ac:dyDescent="0.3">
      <c r="A1525">
        <v>2045</v>
      </c>
      <c r="B1525">
        <v>44460</v>
      </c>
      <c r="C1525">
        <v>45</v>
      </c>
      <c r="D1525">
        <v>28083</v>
      </c>
      <c r="E1525" t="s">
        <v>14</v>
      </c>
      <c r="F1525" t="s">
        <v>15</v>
      </c>
      <c r="G1525" t="s">
        <v>40</v>
      </c>
      <c r="H1525" t="s">
        <v>64</v>
      </c>
      <c r="I1525" t="s">
        <v>9</v>
      </c>
      <c r="J1525" t="s">
        <v>20</v>
      </c>
      <c r="K1525" t="s">
        <v>19</v>
      </c>
      <c r="L1525" t="s">
        <v>12</v>
      </c>
      <c r="M1525" t="s">
        <v>55</v>
      </c>
      <c r="N1525" t="s">
        <v>30</v>
      </c>
      <c r="O1525" t="s">
        <v>18</v>
      </c>
      <c r="P1525">
        <v>1</v>
      </c>
    </row>
    <row r="1526" spans="1:16" x14ac:dyDescent="0.3">
      <c r="A1526">
        <v>2046</v>
      </c>
      <c r="B1526">
        <v>43973</v>
      </c>
      <c r="C1526">
        <v>72</v>
      </c>
      <c r="D1526">
        <v>17832</v>
      </c>
      <c r="E1526" t="s">
        <v>14</v>
      </c>
      <c r="F1526" t="s">
        <v>15</v>
      </c>
      <c r="G1526" t="s">
        <v>17</v>
      </c>
      <c r="H1526" t="s">
        <v>64</v>
      </c>
      <c r="I1526" t="s">
        <v>9</v>
      </c>
      <c r="J1526" t="s">
        <v>20</v>
      </c>
      <c r="K1526" t="s">
        <v>11</v>
      </c>
      <c r="L1526" t="s">
        <v>12</v>
      </c>
      <c r="M1526" t="s">
        <v>54</v>
      </c>
      <c r="N1526" t="s">
        <v>46</v>
      </c>
      <c r="O1526" t="s">
        <v>18</v>
      </c>
      <c r="P1526">
        <v>2</v>
      </c>
    </row>
    <row r="1527" spans="1:16" x14ac:dyDescent="0.3">
      <c r="A1527">
        <v>2047</v>
      </c>
      <c r="B1527">
        <v>44908</v>
      </c>
      <c r="C1527">
        <v>56</v>
      </c>
      <c r="D1527">
        <v>24342</v>
      </c>
      <c r="E1527" t="s">
        <v>14</v>
      </c>
      <c r="F1527" t="s">
        <v>15</v>
      </c>
      <c r="G1527" t="s">
        <v>31</v>
      </c>
      <c r="H1527" t="s">
        <v>64</v>
      </c>
      <c r="I1527" t="s">
        <v>9</v>
      </c>
      <c r="J1527" t="s">
        <v>10</v>
      </c>
      <c r="K1527" t="s">
        <v>19</v>
      </c>
      <c r="L1527" t="s">
        <v>12</v>
      </c>
      <c r="M1527" t="s">
        <v>21</v>
      </c>
      <c r="N1527" t="s">
        <v>16</v>
      </c>
      <c r="O1527" t="s">
        <v>18</v>
      </c>
      <c r="P1527">
        <v>5</v>
      </c>
    </row>
    <row r="1528" spans="1:16" x14ac:dyDescent="0.3">
      <c r="A1528">
        <v>2048</v>
      </c>
      <c r="B1528">
        <v>44599</v>
      </c>
      <c r="C1528">
        <v>27</v>
      </c>
      <c r="D1528">
        <v>34795</v>
      </c>
      <c r="E1528" t="s">
        <v>14</v>
      </c>
      <c r="F1528" t="s">
        <v>15</v>
      </c>
      <c r="G1528" t="s">
        <v>34</v>
      </c>
      <c r="H1528" t="s">
        <v>64</v>
      </c>
      <c r="I1528" t="s">
        <v>9</v>
      </c>
      <c r="J1528" t="s">
        <v>10</v>
      </c>
      <c r="K1528" t="s">
        <v>26</v>
      </c>
      <c r="L1528" t="s">
        <v>12</v>
      </c>
      <c r="M1528" t="s">
        <v>21</v>
      </c>
      <c r="N1528" t="s">
        <v>46</v>
      </c>
      <c r="O1528" t="s">
        <v>18</v>
      </c>
      <c r="P1528">
        <v>5</v>
      </c>
    </row>
    <row r="1529" spans="1:16" x14ac:dyDescent="0.3">
      <c r="A1529">
        <v>2049</v>
      </c>
      <c r="B1529">
        <v>44110</v>
      </c>
      <c r="C1529">
        <v>78</v>
      </c>
      <c r="D1529">
        <v>15468</v>
      </c>
      <c r="E1529" t="s">
        <v>14</v>
      </c>
      <c r="F1529" t="s">
        <v>15</v>
      </c>
      <c r="G1529" t="s">
        <v>17</v>
      </c>
      <c r="H1529" t="s">
        <v>64</v>
      </c>
      <c r="I1529" t="s">
        <v>9</v>
      </c>
      <c r="J1529" t="s">
        <v>10</v>
      </c>
      <c r="K1529" t="s">
        <v>19</v>
      </c>
      <c r="L1529" t="s">
        <v>12</v>
      </c>
      <c r="M1529" t="s">
        <v>35</v>
      </c>
      <c r="N1529" t="s">
        <v>46</v>
      </c>
      <c r="O1529" t="s">
        <v>18</v>
      </c>
      <c r="P1529">
        <v>1</v>
      </c>
    </row>
    <row r="1530" spans="1:16" x14ac:dyDescent="0.3">
      <c r="A1530">
        <v>2050</v>
      </c>
      <c r="B1530">
        <v>44572</v>
      </c>
      <c r="C1530">
        <v>69</v>
      </c>
      <c r="D1530">
        <v>19393</v>
      </c>
      <c r="E1530" t="s">
        <v>14</v>
      </c>
      <c r="F1530" t="s">
        <v>15</v>
      </c>
      <c r="G1530" t="s">
        <v>17</v>
      </c>
      <c r="H1530" t="s">
        <v>64</v>
      </c>
      <c r="I1530" t="s">
        <v>9</v>
      </c>
      <c r="J1530" t="s">
        <v>25</v>
      </c>
      <c r="K1530" t="s">
        <v>11</v>
      </c>
      <c r="L1530" t="s">
        <v>12</v>
      </c>
      <c r="M1530" t="s">
        <v>61</v>
      </c>
      <c r="N1530" t="s">
        <v>16</v>
      </c>
      <c r="O1530" t="s">
        <v>18</v>
      </c>
      <c r="P1530">
        <v>4</v>
      </c>
    </row>
    <row r="1531" spans="1:16" x14ac:dyDescent="0.3">
      <c r="A1531">
        <v>2051</v>
      </c>
      <c r="B1531">
        <v>44618</v>
      </c>
      <c r="C1531">
        <v>23</v>
      </c>
      <c r="D1531">
        <v>36263</v>
      </c>
      <c r="E1531" t="s">
        <v>14</v>
      </c>
      <c r="F1531" t="s">
        <v>15</v>
      </c>
      <c r="G1531" t="s">
        <v>31</v>
      </c>
      <c r="H1531" t="s">
        <v>8</v>
      </c>
      <c r="I1531" t="s">
        <v>9</v>
      </c>
      <c r="J1531" t="s">
        <v>20</v>
      </c>
      <c r="K1531" t="s">
        <v>11</v>
      </c>
      <c r="L1531" t="s">
        <v>12</v>
      </c>
      <c r="M1531" t="s">
        <v>35</v>
      </c>
      <c r="N1531" t="s">
        <v>37</v>
      </c>
      <c r="O1531" t="s">
        <v>18</v>
      </c>
      <c r="P1531">
        <v>2</v>
      </c>
    </row>
    <row r="1532" spans="1:16" x14ac:dyDescent="0.3">
      <c r="A1532">
        <v>2052</v>
      </c>
      <c r="B1532">
        <v>43992</v>
      </c>
      <c r="C1532">
        <v>64</v>
      </c>
      <c r="D1532">
        <v>20587</v>
      </c>
      <c r="E1532" t="s">
        <v>14</v>
      </c>
      <c r="F1532" t="s">
        <v>15</v>
      </c>
      <c r="G1532" t="s">
        <v>34</v>
      </c>
      <c r="H1532" t="s">
        <v>8</v>
      </c>
      <c r="I1532" t="s">
        <v>9</v>
      </c>
      <c r="J1532" t="s">
        <v>20</v>
      </c>
      <c r="K1532" t="s">
        <v>26</v>
      </c>
      <c r="L1532" t="s">
        <v>12</v>
      </c>
      <c r="M1532" t="s">
        <v>35</v>
      </c>
      <c r="N1532" t="s">
        <v>23</v>
      </c>
      <c r="O1532" t="s">
        <v>18</v>
      </c>
      <c r="P1532">
        <v>4</v>
      </c>
    </row>
    <row r="1533" spans="1:16" x14ac:dyDescent="0.3">
      <c r="A1533">
        <v>2053</v>
      </c>
      <c r="B1533">
        <v>44466</v>
      </c>
      <c r="C1533">
        <v>32</v>
      </c>
      <c r="D1533">
        <v>32548</v>
      </c>
      <c r="E1533" t="s">
        <v>14</v>
      </c>
      <c r="F1533" t="s">
        <v>15</v>
      </c>
      <c r="G1533" t="s">
        <v>40</v>
      </c>
      <c r="H1533" t="s">
        <v>8</v>
      </c>
      <c r="I1533" t="s">
        <v>9</v>
      </c>
      <c r="J1533" t="s">
        <v>20</v>
      </c>
      <c r="K1533" t="s">
        <v>26</v>
      </c>
      <c r="L1533" t="s">
        <v>12</v>
      </c>
      <c r="M1533" t="s">
        <v>42</v>
      </c>
      <c r="N1533" t="s">
        <v>16</v>
      </c>
      <c r="O1533" t="s">
        <v>18</v>
      </c>
      <c r="P1533">
        <v>3</v>
      </c>
    </row>
    <row r="1534" spans="1:16" x14ac:dyDescent="0.3">
      <c r="A1534">
        <v>2054</v>
      </c>
      <c r="B1534">
        <v>43398</v>
      </c>
      <c r="C1534">
        <v>25</v>
      </c>
      <c r="D1534">
        <v>34333</v>
      </c>
      <c r="E1534" t="s">
        <v>14</v>
      </c>
      <c r="F1534" t="s">
        <v>15</v>
      </c>
      <c r="G1534" t="s">
        <v>34</v>
      </c>
      <c r="H1534" t="s">
        <v>8</v>
      </c>
      <c r="I1534" t="s">
        <v>9</v>
      </c>
      <c r="J1534" t="s">
        <v>10</v>
      </c>
      <c r="K1534" t="s">
        <v>11</v>
      </c>
      <c r="L1534" t="s">
        <v>12</v>
      </c>
      <c r="M1534" t="s">
        <v>54</v>
      </c>
      <c r="N1534" t="s">
        <v>37</v>
      </c>
      <c r="O1534" t="s">
        <v>18</v>
      </c>
      <c r="P1534">
        <v>5</v>
      </c>
    </row>
    <row r="1535" spans="1:16" x14ac:dyDescent="0.3">
      <c r="A1535">
        <v>2055</v>
      </c>
      <c r="B1535">
        <v>44160</v>
      </c>
      <c r="C1535">
        <v>31</v>
      </c>
      <c r="D1535">
        <v>32708</v>
      </c>
      <c r="E1535" t="s">
        <v>14</v>
      </c>
      <c r="F1535" t="s">
        <v>15</v>
      </c>
      <c r="G1535" t="s">
        <v>40</v>
      </c>
      <c r="H1535" t="s">
        <v>8</v>
      </c>
      <c r="I1535" t="s">
        <v>9</v>
      </c>
      <c r="J1535" t="s">
        <v>10</v>
      </c>
      <c r="K1535" t="s">
        <v>19</v>
      </c>
      <c r="L1535" t="s">
        <v>12</v>
      </c>
      <c r="M1535" t="s">
        <v>42</v>
      </c>
      <c r="N1535" t="s">
        <v>16</v>
      </c>
      <c r="O1535" t="s">
        <v>18</v>
      </c>
      <c r="P1535">
        <v>4</v>
      </c>
    </row>
    <row r="1536" spans="1:16" x14ac:dyDescent="0.3">
      <c r="A1536">
        <v>2056</v>
      </c>
      <c r="B1536">
        <v>43938</v>
      </c>
      <c r="C1536">
        <v>63</v>
      </c>
      <c r="D1536">
        <v>21026</v>
      </c>
      <c r="E1536" t="s">
        <v>14</v>
      </c>
      <c r="F1536" t="s">
        <v>15</v>
      </c>
      <c r="G1536" t="s">
        <v>40</v>
      </c>
      <c r="H1536" t="s">
        <v>8</v>
      </c>
      <c r="I1536" t="s">
        <v>9</v>
      </c>
      <c r="J1536" t="s">
        <v>10</v>
      </c>
      <c r="K1536" t="s">
        <v>19</v>
      </c>
      <c r="L1536" t="s">
        <v>12</v>
      </c>
      <c r="M1536" t="s">
        <v>35</v>
      </c>
      <c r="N1536" t="s">
        <v>16</v>
      </c>
      <c r="O1536" t="s">
        <v>18</v>
      </c>
      <c r="P1536">
        <v>4</v>
      </c>
    </row>
    <row r="1537" spans="1:16" x14ac:dyDescent="0.3">
      <c r="A1537">
        <v>2057</v>
      </c>
      <c r="B1537">
        <v>44301</v>
      </c>
      <c r="C1537">
        <v>57</v>
      </c>
      <c r="D1537">
        <v>23725</v>
      </c>
      <c r="E1537" t="s">
        <v>14</v>
      </c>
      <c r="F1537" t="s">
        <v>22</v>
      </c>
      <c r="G1537" t="s">
        <v>34</v>
      </c>
      <c r="H1537" t="s">
        <v>8</v>
      </c>
      <c r="I1537" t="s">
        <v>9</v>
      </c>
      <c r="J1537" t="s">
        <v>10</v>
      </c>
      <c r="K1537" t="s">
        <v>11</v>
      </c>
      <c r="L1537" t="s">
        <v>12</v>
      </c>
      <c r="M1537" t="s">
        <v>35</v>
      </c>
      <c r="N1537" t="s">
        <v>23</v>
      </c>
      <c r="O1537" t="s">
        <v>18</v>
      </c>
      <c r="P1537">
        <v>1</v>
      </c>
    </row>
    <row r="1538" spans="1:16" x14ac:dyDescent="0.3">
      <c r="A1538">
        <v>2058</v>
      </c>
      <c r="B1538">
        <v>44668</v>
      </c>
      <c r="C1538">
        <v>38</v>
      </c>
      <c r="D1538">
        <v>30694</v>
      </c>
      <c r="E1538" t="s">
        <v>14</v>
      </c>
      <c r="F1538" t="s">
        <v>22</v>
      </c>
      <c r="G1538" t="s">
        <v>40</v>
      </c>
      <c r="H1538" t="s">
        <v>8</v>
      </c>
      <c r="I1538" t="s">
        <v>9</v>
      </c>
      <c r="J1538" t="s">
        <v>25</v>
      </c>
      <c r="K1538" t="s">
        <v>19</v>
      </c>
      <c r="L1538" t="s">
        <v>12</v>
      </c>
      <c r="M1538" t="s">
        <v>35</v>
      </c>
      <c r="N1538" t="s">
        <v>16</v>
      </c>
      <c r="O1538" t="s">
        <v>18</v>
      </c>
      <c r="P1538">
        <v>5</v>
      </c>
    </row>
    <row r="1539" spans="1:16" x14ac:dyDescent="0.3">
      <c r="A1539">
        <v>2059</v>
      </c>
      <c r="B1539">
        <v>45136</v>
      </c>
      <c r="C1539">
        <v>36</v>
      </c>
      <c r="D1539">
        <v>31985</v>
      </c>
      <c r="E1539" t="s">
        <v>14</v>
      </c>
      <c r="F1539" t="s">
        <v>15</v>
      </c>
      <c r="G1539" t="s">
        <v>34</v>
      </c>
      <c r="H1539" t="s">
        <v>8</v>
      </c>
      <c r="I1539" t="s">
        <v>66</v>
      </c>
      <c r="J1539" t="s">
        <v>25</v>
      </c>
      <c r="K1539" t="s">
        <v>11</v>
      </c>
      <c r="L1539" t="s">
        <v>12</v>
      </c>
      <c r="M1539" t="s">
        <v>32</v>
      </c>
      <c r="N1539" t="s">
        <v>16</v>
      </c>
      <c r="O1539" t="s">
        <v>18</v>
      </c>
      <c r="P1539">
        <v>4</v>
      </c>
    </row>
    <row r="1540" spans="1:16" x14ac:dyDescent="0.3">
      <c r="A1540">
        <v>2060</v>
      </c>
      <c r="B1540">
        <v>44952</v>
      </c>
      <c r="C1540">
        <v>81</v>
      </c>
      <c r="D1540">
        <v>15602</v>
      </c>
      <c r="E1540" t="s">
        <v>14</v>
      </c>
      <c r="F1540" t="s">
        <v>15</v>
      </c>
      <c r="G1540" t="s">
        <v>40</v>
      </c>
      <c r="H1540" t="s">
        <v>8</v>
      </c>
      <c r="I1540" t="s">
        <v>9</v>
      </c>
      <c r="J1540" t="s">
        <v>20</v>
      </c>
      <c r="K1540" t="s">
        <v>11</v>
      </c>
      <c r="L1540" t="s">
        <v>12</v>
      </c>
      <c r="M1540" t="s">
        <v>35</v>
      </c>
      <c r="N1540" t="s">
        <v>46</v>
      </c>
      <c r="O1540" t="s">
        <v>18</v>
      </c>
      <c r="P1540">
        <v>5</v>
      </c>
    </row>
    <row r="1541" spans="1:16" x14ac:dyDescent="0.3">
      <c r="A1541">
        <v>2061</v>
      </c>
      <c r="B1541">
        <v>43446</v>
      </c>
      <c r="C1541">
        <v>72</v>
      </c>
      <c r="D1541">
        <v>17020</v>
      </c>
      <c r="E1541" t="s">
        <v>14</v>
      </c>
      <c r="F1541" t="s">
        <v>15</v>
      </c>
      <c r="G1541" t="s">
        <v>34</v>
      </c>
      <c r="H1541" t="s">
        <v>8</v>
      </c>
      <c r="I1541" t="s">
        <v>9</v>
      </c>
      <c r="J1541" t="s">
        <v>25</v>
      </c>
      <c r="K1541" t="s">
        <v>19</v>
      </c>
      <c r="L1541" t="s">
        <v>12</v>
      </c>
      <c r="M1541" t="s">
        <v>42</v>
      </c>
      <c r="N1541" t="s">
        <v>30</v>
      </c>
      <c r="O1541" t="s">
        <v>18</v>
      </c>
      <c r="P1541">
        <v>4</v>
      </c>
    </row>
    <row r="1542" spans="1:16" x14ac:dyDescent="0.3">
      <c r="A1542">
        <v>2062</v>
      </c>
      <c r="B1542">
        <v>43398</v>
      </c>
      <c r="C1542">
        <v>68</v>
      </c>
      <c r="D1542">
        <v>18462</v>
      </c>
      <c r="E1542" t="s">
        <v>14</v>
      </c>
      <c r="F1542" t="s">
        <v>15</v>
      </c>
      <c r="G1542" t="s">
        <v>31</v>
      </c>
      <c r="H1542" t="s">
        <v>8</v>
      </c>
      <c r="I1542" t="s">
        <v>9</v>
      </c>
      <c r="J1542" t="s">
        <v>10</v>
      </c>
      <c r="K1542" t="s">
        <v>11</v>
      </c>
      <c r="L1542" t="s">
        <v>12</v>
      </c>
      <c r="M1542" t="s">
        <v>54</v>
      </c>
      <c r="N1542" t="s">
        <v>23</v>
      </c>
      <c r="O1542" t="s">
        <v>18</v>
      </c>
      <c r="P1542">
        <v>1</v>
      </c>
    </row>
    <row r="1543" spans="1:16" x14ac:dyDescent="0.3">
      <c r="A1543">
        <v>2063</v>
      </c>
      <c r="B1543">
        <v>44336</v>
      </c>
      <c r="C1543">
        <v>77</v>
      </c>
      <c r="D1543">
        <v>16157</v>
      </c>
      <c r="E1543" t="s">
        <v>14</v>
      </c>
      <c r="F1543" t="s">
        <v>15</v>
      </c>
      <c r="G1543" t="s">
        <v>34</v>
      </c>
      <c r="H1543" t="s">
        <v>8</v>
      </c>
      <c r="I1543" t="s">
        <v>9</v>
      </c>
      <c r="J1543" t="s">
        <v>10</v>
      </c>
      <c r="K1543" t="s">
        <v>26</v>
      </c>
      <c r="L1543" t="s">
        <v>12</v>
      </c>
      <c r="M1543" t="s">
        <v>21</v>
      </c>
      <c r="N1543" t="s">
        <v>23</v>
      </c>
      <c r="O1543" t="s">
        <v>18</v>
      </c>
      <c r="P1543">
        <v>5</v>
      </c>
    </row>
    <row r="1544" spans="1:16" x14ac:dyDescent="0.3">
      <c r="A1544">
        <v>2064</v>
      </c>
      <c r="B1544">
        <v>44071</v>
      </c>
      <c r="C1544">
        <v>56</v>
      </c>
      <c r="D1544">
        <v>23507</v>
      </c>
      <c r="E1544" t="s">
        <v>14</v>
      </c>
      <c r="F1544" t="s">
        <v>15</v>
      </c>
      <c r="G1544" t="s">
        <v>31</v>
      </c>
      <c r="H1544" t="s">
        <v>8</v>
      </c>
      <c r="I1544" t="s">
        <v>9</v>
      </c>
      <c r="J1544" t="s">
        <v>20</v>
      </c>
      <c r="K1544" t="s">
        <v>11</v>
      </c>
      <c r="L1544" t="s">
        <v>12</v>
      </c>
      <c r="M1544" t="s">
        <v>13</v>
      </c>
      <c r="N1544" t="s">
        <v>16</v>
      </c>
      <c r="O1544" t="s">
        <v>18</v>
      </c>
      <c r="P1544">
        <v>3</v>
      </c>
    </row>
    <row r="1545" spans="1:16" x14ac:dyDescent="0.3">
      <c r="A1545">
        <v>2065</v>
      </c>
      <c r="B1545">
        <v>43961</v>
      </c>
      <c r="C1545">
        <v>48</v>
      </c>
      <c r="D1545">
        <v>26358</v>
      </c>
      <c r="E1545" t="s">
        <v>14</v>
      </c>
      <c r="F1545" t="s">
        <v>15</v>
      </c>
      <c r="G1545" t="s">
        <v>31</v>
      </c>
      <c r="H1545" t="s">
        <v>64</v>
      </c>
      <c r="I1545" t="s">
        <v>9</v>
      </c>
      <c r="J1545" t="s">
        <v>10</v>
      </c>
      <c r="K1545" t="s">
        <v>11</v>
      </c>
      <c r="L1545" t="s">
        <v>12</v>
      </c>
      <c r="M1545" t="s">
        <v>35</v>
      </c>
      <c r="N1545" t="s">
        <v>30</v>
      </c>
      <c r="O1545" t="s">
        <v>18</v>
      </c>
      <c r="P1545">
        <v>4</v>
      </c>
    </row>
    <row r="1546" spans="1:16" x14ac:dyDescent="0.3">
      <c r="A1546">
        <v>2066</v>
      </c>
      <c r="B1546">
        <v>45142</v>
      </c>
      <c r="C1546">
        <v>34</v>
      </c>
      <c r="D1546">
        <v>32653</v>
      </c>
      <c r="E1546" t="s">
        <v>14</v>
      </c>
      <c r="F1546" t="s">
        <v>15</v>
      </c>
      <c r="G1546" t="s">
        <v>31</v>
      </c>
      <c r="H1546" t="s">
        <v>64</v>
      </c>
      <c r="I1546" t="s">
        <v>9</v>
      </c>
      <c r="J1546" t="s">
        <v>10</v>
      </c>
      <c r="K1546" t="s">
        <v>19</v>
      </c>
      <c r="L1546" t="s">
        <v>12</v>
      </c>
      <c r="M1546" t="s">
        <v>54</v>
      </c>
      <c r="N1546" t="s">
        <v>46</v>
      </c>
      <c r="O1546" t="s">
        <v>18</v>
      </c>
      <c r="P1546">
        <v>5</v>
      </c>
    </row>
    <row r="1547" spans="1:16" x14ac:dyDescent="0.3">
      <c r="A1547">
        <v>2067</v>
      </c>
      <c r="B1547">
        <v>44673</v>
      </c>
      <c r="C1547">
        <v>73</v>
      </c>
      <c r="D1547">
        <v>18191</v>
      </c>
      <c r="E1547" t="s">
        <v>14</v>
      </c>
      <c r="F1547" t="s">
        <v>15</v>
      </c>
      <c r="G1547" t="s">
        <v>40</v>
      </c>
      <c r="H1547" t="s">
        <v>64</v>
      </c>
      <c r="I1547" t="s">
        <v>9</v>
      </c>
      <c r="J1547" t="s">
        <v>25</v>
      </c>
      <c r="K1547" t="s">
        <v>11</v>
      </c>
      <c r="L1547" t="s">
        <v>12</v>
      </c>
      <c r="M1547" t="s">
        <v>42</v>
      </c>
      <c r="N1547" t="s">
        <v>16</v>
      </c>
      <c r="O1547" t="s">
        <v>18</v>
      </c>
      <c r="P1547">
        <v>2</v>
      </c>
    </row>
    <row r="1548" spans="1:16" x14ac:dyDescent="0.3">
      <c r="A1548">
        <v>2068</v>
      </c>
      <c r="B1548">
        <v>44352</v>
      </c>
      <c r="C1548">
        <v>59</v>
      </c>
      <c r="D1548">
        <v>22896</v>
      </c>
      <c r="E1548" t="s">
        <v>14</v>
      </c>
      <c r="F1548" t="s">
        <v>15</v>
      </c>
      <c r="G1548" t="s">
        <v>40</v>
      </c>
      <c r="H1548" t="s">
        <v>64</v>
      </c>
      <c r="I1548" t="s">
        <v>9</v>
      </c>
      <c r="J1548" t="s">
        <v>10</v>
      </c>
      <c r="K1548" t="s">
        <v>11</v>
      </c>
      <c r="L1548" t="s">
        <v>12</v>
      </c>
      <c r="M1548" t="s">
        <v>35</v>
      </c>
      <c r="N1548" t="s">
        <v>16</v>
      </c>
      <c r="O1548" t="s">
        <v>18</v>
      </c>
      <c r="P1548">
        <v>3</v>
      </c>
    </row>
    <row r="1549" spans="1:16" x14ac:dyDescent="0.3">
      <c r="A1549">
        <v>2069</v>
      </c>
      <c r="B1549">
        <v>44741</v>
      </c>
      <c r="C1549">
        <v>31</v>
      </c>
      <c r="D1549">
        <v>33597</v>
      </c>
      <c r="E1549" t="s">
        <v>14</v>
      </c>
      <c r="F1549" t="s">
        <v>15</v>
      </c>
      <c r="G1549" t="s">
        <v>17</v>
      </c>
      <c r="H1549" t="s">
        <v>64</v>
      </c>
      <c r="I1549" t="s">
        <v>9</v>
      </c>
      <c r="J1549" t="s">
        <v>25</v>
      </c>
      <c r="K1549" t="s">
        <v>11</v>
      </c>
      <c r="L1549" t="s">
        <v>12</v>
      </c>
      <c r="M1549" t="s">
        <v>59</v>
      </c>
      <c r="N1549" t="s">
        <v>30</v>
      </c>
      <c r="O1549" t="s">
        <v>18</v>
      </c>
      <c r="P1549">
        <v>1</v>
      </c>
    </row>
    <row r="1550" spans="1:16" x14ac:dyDescent="0.3">
      <c r="A1550">
        <v>2070</v>
      </c>
      <c r="B1550">
        <v>44744</v>
      </c>
      <c r="C1550">
        <v>53</v>
      </c>
      <c r="D1550">
        <v>25254</v>
      </c>
      <c r="E1550" t="s">
        <v>14</v>
      </c>
      <c r="F1550" t="s">
        <v>15</v>
      </c>
      <c r="G1550" t="s">
        <v>40</v>
      </c>
      <c r="H1550" t="s">
        <v>64</v>
      </c>
      <c r="I1550" t="s">
        <v>9</v>
      </c>
      <c r="J1550" t="s">
        <v>10</v>
      </c>
      <c r="K1550" t="s">
        <v>19</v>
      </c>
      <c r="L1550" t="s">
        <v>12</v>
      </c>
      <c r="M1550" t="s">
        <v>35</v>
      </c>
      <c r="N1550" t="s">
        <v>16</v>
      </c>
      <c r="O1550" t="s">
        <v>18</v>
      </c>
      <c r="P1550">
        <v>4</v>
      </c>
    </row>
    <row r="1551" spans="1:16" x14ac:dyDescent="0.3">
      <c r="A1551">
        <v>2071</v>
      </c>
      <c r="B1551">
        <v>44930</v>
      </c>
      <c r="C1551">
        <v>46</v>
      </c>
      <c r="D1551">
        <v>28259</v>
      </c>
      <c r="E1551" t="s">
        <v>14</v>
      </c>
      <c r="F1551" t="s">
        <v>15</v>
      </c>
      <c r="G1551" t="s">
        <v>17</v>
      </c>
      <c r="H1551" t="s">
        <v>64</v>
      </c>
      <c r="I1551" t="s">
        <v>9</v>
      </c>
      <c r="J1551" t="s">
        <v>10</v>
      </c>
      <c r="K1551" t="s">
        <v>19</v>
      </c>
      <c r="L1551" t="s">
        <v>12</v>
      </c>
      <c r="M1551" t="s">
        <v>59</v>
      </c>
      <c r="N1551" t="s">
        <v>16</v>
      </c>
      <c r="O1551" t="s">
        <v>18</v>
      </c>
      <c r="P1551">
        <v>1</v>
      </c>
    </row>
    <row r="1552" spans="1:16" x14ac:dyDescent="0.3">
      <c r="A1552">
        <v>2072</v>
      </c>
      <c r="B1552">
        <v>45115</v>
      </c>
      <c r="C1552">
        <v>43</v>
      </c>
      <c r="D1552">
        <v>29471</v>
      </c>
      <c r="E1552" t="s">
        <v>14</v>
      </c>
      <c r="F1552" t="s">
        <v>15</v>
      </c>
      <c r="G1552" t="s">
        <v>31</v>
      </c>
      <c r="H1552" t="s">
        <v>64</v>
      </c>
      <c r="I1552" t="s">
        <v>9</v>
      </c>
      <c r="J1552" t="s">
        <v>10</v>
      </c>
      <c r="K1552" t="s">
        <v>19</v>
      </c>
      <c r="L1552" t="s">
        <v>12</v>
      </c>
      <c r="M1552" t="s">
        <v>54</v>
      </c>
      <c r="N1552" t="s">
        <v>16</v>
      </c>
      <c r="O1552" t="s">
        <v>18</v>
      </c>
      <c r="P1552">
        <v>4</v>
      </c>
    </row>
    <row r="1553" spans="1:16" x14ac:dyDescent="0.3">
      <c r="A1553">
        <v>2073</v>
      </c>
      <c r="B1553">
        <v>44988</v>
      </c>
      <c r="C1553">
        <v>67</v>
      </c>
      <c r="D1553">
        <v>20654</v>
      </c>
      <c r="E1553" t="s">
        <v>14</v>
      </c>
      <c r="F1553" t="s">
        <v>15</v>
      </c>
      <c r="G1553" t="s">
        <v>31</v>
      </c>
      <c r="H1553" t="s">
        <v>64</v>
      </c>
      <c r="I1553" t="s">
        <v>9</v>
      </c>
      <c r="J1553" t="s">
        <v>20</v>
      </c>
      <c r="K1553" t="s">
        <v>26</v>
      </c>
      <c r="L1553" t="s">
        <v>12</v>
      </c>
      <c r="M1553" t="s">
        <v>35</v>
      </c>
      <c r="N1553" t="s">
        <v>23</v>
      </c>
      <c r="O1553" t="s">
        <v>18</v>
      </c>
      <c r="P1553">
        <v>2</v>
      </c>
    </row>
    <row r="1554" spans="1:16" x14ac:dyDescent="0.3">
      <c r="A1554">
        <v>2074</v>
      </c>
      <c r="B1554">
        <v>43696</v>
      </c>
      <c r="C1554">
        <v>52</v>
      </c>
      <c r="D1554">
        <v>24801</v>
      </c>
      <c r="E1554" t="s">
        <v>14</v>
      </c>
      <c r="F1554" t="s">
        <v>15</v>
      </c>
      <c r="G1554" t="s">
        <v>17</v>
      </c>
      <c r="H1554" t="s">
        <v>64</v>
      </c>
      <c r="I1554" t="s">
        <v>9</v>
      </c>
      <c r="J1554" t="s">
        <v>20</v>
      </c>
      <c r="K1554" t="s">
        <v>26</v>
      </c>
      <c r="L1554" t="s">
        <v>12</v>
      </c>
      <c r="M1554" t="s">
        <v>35</v>
      </c>
      <c r="N1554" t="s">
        <v>23</v>
      </c>
      <c r="O1554" t="s">
        <v>18</v>
      </c>
      <c r="P1554">
        <v>2</v>
      </c>
    </row>
    <row r="1555" spans="1:16" x14ac:dyDescent="0.3">
      <c r="A1555">
        <v>2075</v>
      </c>
      <c r="B1555">
        <v>43403</v>
      </c>
      <c r="C1555">
        <v>42</v>
      </c>
      <c r="D1555">
        <v>28046</v>
      </c>
      <c r="E1555" t="s">
        <v>14</v>
      </c>
      <c r="F1555" t="s">
        <v>15</v>
      </c>
      <c r="G1555" t="s">
        <v>34</v>
      </c>
      <c r="H1555" t="s">
        <v>8</v>
      </c>
      <c r="I1555" t="s">
        <v>9</v>
      </c>
      <c r="J1555" t="s">
        <v>10</v>
      </c>
      <c r="K1555" t="s">
        <v>19</v>
      </c>
      <c r="L1555" t="s">
        <v>12</v>
      </c>
      <c r="M1555" t="s">
        <v>54</v>
      </c>
      <c r="N1555" t="s">
        <v>30</v>
      </c>
      <c r="O1555" t="s">
        <v>18</v>
      </c>
      <c r="P1555">
        <v>5</v>
      </c>
    </row>
    <row r="1556" spans="1:16" x14ac:dyDescent="0.3">
      <c r="A1556">
        <v>2076</v>
      </c>
      <c r="B1556">
        <v>44537</v>
      </c>
      <c r="C1556">
        <v>78</v>
      </c>
      <c r="D1556">
        <v>15914</v>
      </c>
      <c r="E1556" t="s">
        <v>14</v>
      </c>
      <c r="F1556" t="s">
        <v>15</v>
      </c>
      <c r="G1556" t="s">
        <v>40</v>
      </c>
      <c r="H1556" t="s">
        <v>8</v>
      </c>
      <c r="I1556" t="s">
        <v>9</v>
      </c>
      <c r="J1556" t="s">
        <v>25</v>
      </c>
      <c r="K1556" t="s">
        <v>19</v>
      </c>
      <c r="L1556" t="s">
        <v>12</v>
      </c>
      <c r="M1556" t="s">
        <v>35</v>
      </c>
      <c r="N1556" t="s">
        <v>37</v>
      </c>
      <c r="O1556" t="s">
        <v>18</v>
      </c>
      <c r="P1556">
        <v>5</v>
      </c>
    </row>
    <row r="1557" spans="1:16" x14ac:dyDescent="0.3">
      <c r="A1557">
        <v>2077</v>
      </c>
      <c r="B1557">
        <v>44153</v>
      </c>
      <c r="C1557">
        <v>77</v>
      </c>
      <c r="D1557">
        <v>16065</v>
      </c>
      <c r="E1557" t="s">
        <v>14</v>
      </c>
      <c r="F1557" t="s">
        <v>15</v>
      </c>
      <c r="G1557" t="s">
        <v>34</v>
      </c>
      <c r="H1557" t="s">
        <v>8</v>
      </c>
      <c r="I1557" t="s">
        <v>9</v>
      </c>
      <c r="J1557" t="s">
        <v>25</v>
      </c>
      <c r="K1557" t="s">
        <v>19</v>
      </c>
      <c r="L1557" t="s">
        <v>12</v>
      </c>
      <c r="M1557" t="s">
        <v>32</v>
      </c>
      <c r="N1557" t="s">
        <v>46</v>
      </c>
      <c r="O1557" t="s">
        <v>18</v>
      </c>
      <c r="P1557">
        <v>1</v>
      </c>
    </row>
    <row r="1558" spans="1:16" x14ac:dyDescent="0.3">
      <c r="A1558">
        <v>2078</v>
      </c>
      <c r="B1558">
        <v>43369</v>
      </c>
      <c r="C1558">
        <v>32</v>
      </c>
      <c r="D1558">
        <v>31711</v>
      </c>
      <c r="E1558" t="s">
        <v>14</v>
      </c>
      <c r="F1558" t="s">
        <v>15</v>
      </c>
      <c r="G1558" t="s">
        <v>31</v>
      </c>
      <c r="H1558" t="s">
        <v>8</v>
      </c>
      <c r="I1558" t="s">
        <v>66</v>
      </c>
      <c r="J1558" t="s">
        <v>25</v>
      </c>
      <c r="K1558" t="s">
        <v>26</v>
      </c>
      <c r="L1558" t="s">
        <v>12</v>
      </c>
      <c r="M1558" t="s">
        <v>35</v>
      </c>
      <c r="N1558" t="s">
        <v>16</v>
      </c>
      <c r="O1558" t="s">
        <v>18</v>
      </c>
      <c r="P1558">
        <v>5</v>
      </c>
    </row>
    <row r="1559" spans="1:16" x14ac:dyDescent="0.3">
      <c r="A1559">
        <v>2079</v>
      </c>
      <c r="B1559">
        <v>44731</v>
      </c>
      <c r="C1559">
        <v>66</v>
      </c>
      <c r="D1559">
        <v>20618</v>
      </c>
      <c r="E1559" t="s">
        <v>14</v>
      </c>
      <c r="F1559" t="s">
        <v>15</v>
      </c>
      <c r="G1559" t="s">
        <v>34</v>
      </c>
      <c r="H1559" t="s">
        <v>8</v>
      </c>
      <c r="I1559" t="s">
        <v>9</v>
      </c>
      <c r="J1559" t="s">
        <v>20</v>
      </c>
      <c r="K1559" t="s">
        <v>26</v>
      </c>
      <c r="L1559" t="s">
        <v>12</v>
      </c>
      <c r="M1559" t="s">
        <v>32</v>
      </c>
      <c r="N1559" t="s">
        <v>16</v>
      </c>
      <c r="O1559" t="s">
        <v>18</v>
      </c>
      <c r="P1559">
        <v>2</v>
      </c>
    </row>
    <row r="1560" spans="1:16" x14ac:dyDescent="0.3">
      <c r="A1560">
        <v>2080</v>
      </c>
      <c r="B1560">
        <v>44819</v>
      </c>
      <c r="C1560">
        <v>62</v>
      </c>
      <c r="D1560">
        <v>22223</v>
      </c>
      <c r="E1560" t="s">
        <v>14</v>
      </c>
      <c r="F1560" t="s">
        <v>15</v>
      </c>
      <c r="G1560" t="s">
        <v>34</v>
      </c>
      <c r="H1560" t="s">
        <v>8</v>
      </c>
      <c r="I1560" t="s">
        <v>9</v>
      </c>
      <c r="J1560" t="s">
        <v>10</v>
      </c>
      <c r="K1560" t="s">
        <v>26</v>
      </c>
      <c r="L1560" t="s">
        <v>12</v>
      </c>
      <c r="M1560" t="s">
        <v>60</v>
      </c>
      <c r="N1560" t="s">
        <v>30</v>
      </c>
      <c r="O1560" t="s">
        <v>18</v>
      </c>
      <c r="P1560">
        <v>1</v>
      </c>
    </row>
    <row r="1561" spans="1:16" x14ac:dyDescent="0.3">
      <c r="A1561">
        <v>2081</v>
      </c>
      <c r="B1561">
        <v>43960</v>
      </c>
      <c r="C1561">
        <v>32</v>
      </c>
      <c r="D1561">
        <v>32302</v>
      </c>
      <c r="E1561" t="s">
        <v>14</v>
      </c>
      <c r="F1561" t="s">
        <v>15</v>
      </c>
      <c r="G1561" t="s">
        <v>34</v>
      </c>
      <c r="H1561" t="s">
        <v>8</v>
      </c>
      <c r="I1561" t="s">
        <v>9</v>
      </c>
      <c r="J1561" t="s">
        <v>20</v>
      </c>
      <c r="K1561" t="s">
        <v>19</v>
      </c>
      <c r="L1561" t="s">
        <v>12</v>
      </c>
      <c r="M1561" t="s">
        <v>42</v>
      </c>
      <c r="N1561" t="s">
        <v>46</v>
      </c>
      <c r="O1561" t="s">
        <v>18</v>
      </c>
      <c r="P1561">
        <v>1</v>
      </c>
    </row>
    <row r="1562" spans="1:16" x14ac:dyDescent="0.3">
      <c r="A1562">
        <v>2082</v>
      </c>
      <c r="B1562">
        <v>44244</v>
      </c>
      <c r="C1562">
        <v>60</v>
      </c>
      <c r="D1562">
        <v>22289</v>
      </c>
      <c r="E1562" t="s">
        <v>14</v>
      </c>
      <c r="F1562" t="s">
        <v>22</v>
      </c>
      <c r="G1562" t="s">
        <v>31</v>
      </c>
      <c r="H1562" t="s">
        <v>8</v>
      </c>
      <c r="I1562" t="s">
        <v>9</v>
      </c>
      <c r="J1562" t="s">
        <v>10</v>
      </c>
      <c r="K1562" t="s">
        <v>11</v>
      </c>
      <c r="L1562" t="s">
        <v>12</v>
      </c>
      <c r="M1562" t="s">
        <v>35</v>
      </c>
      <c r="N1562" t="s">
        <v>37</v>
      </c>
      <c r="O1562" t="s">
        <v>18</v>
      </c>
      <c r="P1562">
        <v>2</v>
      </c>
    </row>
    <row r="1563" spans="1:16" x14ac:dyDescent="0.3">
      <c r="A1563">
        <v>2083</v>
      </c>
      <c r="B1563">
        <v>43933</v>
      </c>
      <c r="C1563">
        <v>39</v>
      </c>
      <c r="D1563">
        <v>29722</v>
      </c>
      <c r="E1563" t="s">
        <v>14</v>
      </c>
      <c r="F1563" t="s">
        <v>15</v>
      </c>
      <c r="G1563" t="s">
        <v>40</v>
      </c>
      <c r="H1563" t="s">
        <v>8</v>
      </c>
      <c r="I1563" t="s">
        <v>9</v>
      </c>
      <c r="J1563" t="s">
        <v>10</v>
      </c>
      <c r="K1563" t="s">
        <v>11</v>
      </c>
      <c r="L1563" t="s">
        <v>12</v>
      </c>
      <c r="M1563" t="s">
        <v>42</v>
      </c>
      <c r="N1563" t="s">
        <v>23</v>
      </c>
      <c r="O1563" t="s">
        <v>18</v>
      </c>
      <c r="P1563">
        <v>2</v>
      </c>
    </row>
    <row r="1564" spans="1:16" x14ac:dyDescent="0.3">
      <c r="A1564">
        <v>2084</v>
      </c>
      <c r="B1564">
        <v>44285</v>
      </c>
      <c r="C1564">
        <v>50</v>
      </c>
      <c r="D1564">
        <v>25970</v>
      </c>
      <c r="E1564" t="s">
        <v>14</v>
      </c>
      <c r="F1564" t="s">
        <v>15</v>
      </c>
      <c r="G1564" t="s">
        <v>40</v>
      </c>
      <c r="H1564" t="s">
        <v>8</v>
      </c>
      <c r="I1564" t="s">
        <v>9</v>
      </c>
      <c r="J1564" t="s">
        <v>10</v>
      </c>
      <c r="K1564" t="s">
        <v>26</v>
      </c>
      <c r="L1564" t="s">
        <v>12</v>
      </c>
      <c r="M1564" t="s">
        <v>76</v>
      </c>
      <c r="N1564" t="s">
        <v>23</v>
      </c>
      <c r="O1564" t="s">
        <v>18</v>
      </c>
      <c r="P1564">
        <v>2</v>
      </c>
    </row>
    <row r="1565" spans="1:16" x14ac:dyDescent="0.3">
      <c r="A1565">
        <v>2085</v>
      </c>
      <c r="B1565">
        <v>43590</v>
      </c>
      <c r="C1565">
        <v>20</v>
      </c>
      <c r="D1565">
        <v>36353</v>
      </c>
      <c r="E1565" t="s">
        <v>14</v>
      </c>
      <c r="F1565" t="s">
        <v>15</v>
      </c>
      <c r="G1565" t="s">
        <v>34</v>
      </c>
      <c r="H1565" t="s">
        <v>8</v>
      </c>
      <c r="I1565" t="s">
        <v>9</v>
      </c>
      <c r="J1565" t="s">
        <v>10</v>
      </c>
      <c r="K1565" t="s">
        <v>11</v>
      </c>
      <c r="L1565" t="s">
        <v>12</v>
      </c>
      <c r="M1565" t="s">
        <v>42</v>
      </c>
      <c r="N1565" t="s">
        <v>46</v>
      </c>
      <c r="O1565" t="s">
        <v>18</v>
      </c>
      <c r="P1565">
        <v>4</v>
      </c>
    </row>
    <row r="1566" spans="1:16" x14ac:dyDescent="0.3">
      <c r="A1566">
        <v>2086</v>
      </c>
      <c r="B1566">
        <v>44347</v>
      </c>
      <c r="C1566">
        <v>43</v>
      </c>
      <c r="D1566">
        <v>28808</v>
      </c>
      <c r="E1566" t="s">
        <v>14</v>
      </c>
      <c r="F1566" t="s">
        <v>15</v>
      </c>
      <c r="G1566" t="s">
        <v>40</v>
      </c>
      <c r="H1566" t="s">
        <v>8</v>
      </c>
      <c r="I1566" t="s">
        <v>9</v>
      </c>
      <c r="J1566" t="s">
        <v>10</v>
      </c>
      <c r="K1566" t="s">
        <v>19</v>
      </c>
      <c r="L1566" t="s">
        <v>12</v>
      </c>
      <c r="M1566" t="s">
        <v>32</v>
      </c>
      <c r="N1566" t="s">
        <v>46</v>
      </c>
      <c r="O1566" t="s">
        <v>18</v>
      </c>
      <c r="P1566">
        <v>4</v>
      </c>
    </row>
    <row r="1567" spans="1:16" x14ac:dyDescent="0.3">
      <c r="A1567">
        <v>2087</v>
      </c>
      <c r="B1567">
        <v>43790</v>
      </c>
      <c r="C1567">
        <v>60</v>
      </c>
      <c r="D1567">
        <v>21903</v>
      </c>
      <c r="E1567" t="s">
        <v>14</v>
      </c>
      <c r="F1567" t="s">
        <v>15</v>
      </c>
      <c r="G1567" t="s">
        <v>17</v>
      </c>
      <c r="H1567" t="s">
        <v>8</v>
      </c>
      <c r="I1567" t="s">
        <v>9</v>
      </c>
      <c r="J1567" t="s">
        <v>20</v>
      </c>
      <c r="K1567" t="s">
        <v>19</v>
      </c>
      <c r="L1567" t="s">
        <v>12</v>
      </c>
      <c r="M1567" t="s">
        <v>35</v>
      </c>
      <c r="N1567" t="s">
        <v>37</v>
      </c>
      <c r="O1567" t="s">
        <v>18</v>
      </c>
      <c r="P1567">
        <v>4</v>
      </c>
    </row>
    <row r="1568" spans="1:16" x14ac:dyDescent="0.3">
      <c r="A1568">
        <v>2088</v>
      </c>
      <c r="B1568">
        <v>43665</v>
      </c>
      <c r="C1568">
        <v>59</v>
      </c>
      <c r="D1568">
        <v>22063</v>
      </c>
      <c r="E1568" t="s">
        <v>14</v>
      </c>
      <c r="F1568" t="s">
        <v>15</v>
      </c>
      <c r="G1568" t="s">
        <v>40</v>
      </c>
      <c r="H1568" t="s">
        <v>8</v>
      </c>
      <c r="I1568" t="s">
        <v>9</v>
      </c>
      <c r="J1568" t="s">
        <v>10</v>
      </c>
      <c r="K1568" t="s">
        <v>26</v>
      </c>
      <c r="L1568" t="s">
        <v>12</v>
      </c>
      <c r="M1568" t="s">
        <v>63</v>
      </c>
      <c r="N1568" t="s">
        <v>16</v>
      </c>
      <c r="O1568" t="s">
        <v>18</v>
      </c>
      <c r="P1568">
        <v>1</v>
      </c>
    </row>
    <row r="1569" spans="1:16" x14ac:dyDescent="0.3">
      <c r="A1569">
        <v>2089</v>
      </c>
      <c r="B1569">
        <v>43463</v>
      </c>
      <c r="C1569">
        <v>52</v>
      </c>
      <c r="D1569">
        <v>24262</v>
      </c>
      <c r="E1569" t="s">
        <v>14</v>
      </c>
      <c r="F1569" t="s">
        <v>15</v>
      </c>
      <c r="G1569" t="s">
        <v>34</v>
      </c>
      <c r="H1569" t="s">
        <v>8</v>
      </c>
      <c r="I1569" t="s">
        <v>9</v>
      </c>
      <c r="J1569" t="s">
        <v>10</v>
      </c>
      <c r="K1569" t="s">
        <v>11</v>
      </c>
      <c r="L1569" t="s">
        <v>12</v>
      </c>
      <c r="M1569" t="s">
        <v>68</v>
      </c>
      <c r="N1569" t="s">
        <v>16</v>
      </c>
      <c r="O1569" t="s">
        <v>18</v>
      </c>
      <c r="P1569">
        <v>3</v>
      </c>
    </row>
    <row r="1570" spans="1:16" x14ac:dyDescent="0.3">
      <c r="A1570">
        <v>2090</v>
      </c>
      <c r="B1570">
        <v>44938</v>
      </c>
      <c r="C1570">
        <v>81</v>
      </c>
      <c r="D1570">
        <v>15644</v>
      </c>
      <c r="E1570" t="s">
        <v>14</v>
      </c>
      <c r="F1570" t="s">
        <v>15</v>
      </c>
      <c r="G1570" t="s">
        <v>40</v>
      </c>
      <c r="H1570" t="s">
        <v>64</v>
      </c>
      <c r="I1570" t="s">
        <v>9</v>
      </c>
      <c r="J1570" t="s">
        <v>20</v>
      </c>
      <c r="K1570" t="s">
        <v>26</v>
      </c>
      <c r="L1570" t="s">
        <v>12</v>
      </c>
      <c r="M1570" t="s">
        <v>28</v>
      </c>
      <c r="N1570" t="s">
        <v>46</v>
      </c>
      <c r="O1570" t="s">
        <v>18</v>
      </c>
      <c r="P1570">
        <v>4</v>
      </c>
    </row>
    <row r="1571" spans="1:16" x14ac:dyDescent="0.3">
      <c r="A1571">
        <v>2091</v>
      </c>
      <c r="B1571">
        <v>44890</v>
      </c>
      <c r="C1571">
        <v>23</v>
      </c>
      <c r="D1571">
        <v>36233</v>
      </c>
      <c r="E1571" t="s">
        <v>14</v>
      </c>
      <c r="F1571" t="s">
        <v>15</v>
      </c>
      <c r="G1571" t="s">
        <v>31</v>
      </c>
      <c r="H1571" t="s">
        <v>64</v>
      </c>
      <c r="I1571" t="s">
        <v>9</v>
      </c>
      <c r="J1571" t="s">
        <v>10</v>
      </c>
      <c r="K1571" t="s">
        <v>11</v>
      </c>
      <c r="L1571" t="s">
        <v>12</v>
      </c>
      <c r="M1571" t="s">
        <v>35</v>
      </c>
      <c r="N1571" t="s">
        <v>37</v>
      </c>
      <c r="O1571" t="s">
        <v>18</v>
      </c>
      <c r="P1571">
        <v>1</v>
      </c>
    </row>
    <row r="1572" spans="1:16" x14ac:dyDescent="0.3">
      <c r="A1572">
        <v>2092</v>
      </c>
      <c r="B1572">
        <v>43782</v>
      </c>
      <c r="C1572">
        <v>32</v>
      </c>
      <c r="D1572">
        <v>32029</v>
      </c>
      <c r="E1572" t="s">
        <v>14</v>
      </c>
      <c r="F1572" t="s">
        <v>15</v>
      </c>
      <c r="G1572" t="s">
        <v>17</v>
      </c>
      <c r="H1572" t="s">
        <v>64</v>
      </c>
      <c r="I1572" t="s">
        <v>9</v>
      </c>
      <c r="J1572" t="s">
        <v>20</v>
      </c>
      <c r="K1572" t="s">
        <v>11</v>
      </c>
      <c r="L1572" t="s">
        <v>12</v>
      </c>
      <c r="M1572" t="s">
        <v>35</v>
      </c>
      <c r="N1572" t="s">
        <v>46</v>
      </c>
      <c r="O1572" t="s">
        <v>18</v>
      </c>
      <c r="P1572">
        <v>2</v>
      </c>
    </row>
    <row r="1573" spans="1:16" x14ac:dyDescent="0.3">
      <c r="A1573">
        <v>2093</v>
      </c>
      <c r="B1573">
        <v>44082</v>
      </c>
      <c r="C1573">
        <v>72</v>
      </c>
      <c r="D1573">
        <v>17659</v>
      </c>
      <c r="E1573" t="s">
        <v>14</v>
      </c>
      <c r="F1573" t="s">
        <v>15</v>
      </c>
      <c r="G1573" t="s">
        <v>34</v>
      </c>
      <c r="H1573" t="s">
        <v>64</v>
      </c>
      <c r="I1573" t="s">
        <v>9</v>
      </c>
      <c r="J1573" t="s">
        <v>10</v>
      </c>
      <c r="K1573" t="s">
        <v>19</v>
      </c>
      <c r="L1573" t="s">
        <v>12</v>
      </c>
      <c r="M1573" t="s">
        <v>32</v>
      </c>
      <c r="N1573" t="s">
        <v>23</v>
      </c>
      <c r="O1573" t="s">
        <v>18</v>
      </c>
      <c r="P1573">
        <v>3</v>
      </c>
    </row>
    <row r="1574" spans="1:16" x14ac:dyDescent="0.3">
      <c r="A1574">
        <v>2094</v>
      </c>
      <c r="B1574">
        <v>43632</v>
      </c>
      <c r="C1574">
        <v>55</v>
      </c>
      <c r="D1574">
        <v>23388</v>
      </c>
      <c r="E1574" t="s">
        <v>14</v>
      </c>
      <c r="F1574" t="s">
        <v>15</v>
      </c>
      <c r="G1574" t="s">
        <v>34</v>
      </c>
      <c r="H1574" t="s">
        <v>64</v>
      </c>
      <c r="I1574" t="s">
        <v>9</v>
      </c>
      <c r="J1574" t="s">
        <v>20</v>
      </c>
      <c r="K1574" t="s">
        <v>11</v>
      </c>
      <c r="L1574" t="s">
        <v>12</v>
      </c>
      <c r="M1574" t="s">
        <v>35</v>
      </c>
      <c r="N1574" t="s">
        <v>37</v>
      </c>
      <c r="O1574" t="s">
        <v>18</v>
      </c>
      <c r="P1574">
        <v>5</v>
      </c>
    </row>
    <row r="1575" spans="1:16" x14ac:dyDescent="0.3">
      <c r="A1575">
        <v>2095</v>
      </c>
      <c r="B1575">
        <v>45121</v>
      </c>
      <c r="C1575">
        <v>26</v>
      </c>
      <c r="D1575">
        <v>35722</v>
      </c>
      <c r="E1575" t="s">
        <v>14</v>
      </c>
      <c r="F1575" t="s">
        <v>15</v>
      </c>
      <c r="G1575" t="s">
        <v>40</v>
      </c>
      <c r="H1575" t="s">
        <v>64</v>
      </c>
      <c r="I1575" t="s">
        <v>9</v>
      </c>
      <c r="J1575" t="s">
        <v>25</v>
      </c>
      <c r="K1575" t="s">
        <v>19</v>
      </c>
      <c r="L1575" t="s">
        <v>12</v>
      </c>
      <c r="M1575" t="s">
        <v>54</v>
      </c>
      <c r="N1575" t="s">
        <v>30</v>
      </c>
      <c r="O1575" t="s">
        <v>18</v>
      </c>
      <c r="P1575">
        <v>3</v>
      </c>
    </row>
    <row r="1576" spans="1:16" x14ac:dyDescent="0.3">
      <c r="A1576">
        <v>2096</v>
      </c>
      <c r="B1576">
        <v>45125</v>
      </c>
      <c r="C1576">
        <v>38</v>
      </c>
      <c r="D1576">
        <v>31245</v>
      </c>
      <c r="E1576" t="s">
        <v>14</v>
      </c>
      <c r="F1576" t="s">
        <v>15</v>
      </c>
      <c r="G1576" t="s">
        <v>31</v>
      </c>
      <c r="H1576" t="s">
        <v>64</v>
      </c>
      <c r="I1576" t="s">
        <v>9</v>
      </c>
      <c r="J1576" t="s">
        <v>10</v>
      </c>
      <c r="K1576" t="s">
        <v>11</v>
      </c>
      <c r="L1576" t="s">
        <v>12</v>
      </c>
      <c r="M1576" t="s">
        <v>35</v>
      </c>
      <c r="N1576" t="s">
        <v>37</v>
      </c>
      <c r="O1576" t="s">
        <v>18</v>
      </c>
      <c r="P1576">
        <v>4</v>
      </c>
    </row>
    <row r="1577" spans="1:16" x14ac:dyDescent="0.3">
      <c r="A1577">
        <v>2097</v>
      </c>
      <c r="B1577">
        <v>43440</v>
      </c>
      <c r="C1577">
        <v>54</v>
      </c>
      <c r="D1577">
        <v>23432</v>
      </c>
      <c r="E1577" t="s">
        <v>14</v>
      </c>
      <c r="F1577" t="s">
        <v>15</v>
      </c>
      <c r="G1577" t="s">
        <v>17</v>
      </c>
      <c r="H1577" t="s">
        <v>64</v>
      </c>
      <c r="I1577" t="s">
        <v>9</v>
      </c>
      <c r="J1577" t="s">
        <v>20</v>
      </c>
      <c r="K1577" t="s">
        <v>11</v>
      </c>
      <c r="L1577" t="s">
        <v>12</v>
      </c>
      <c r="M1577" t="s">
        <v>21</v>
      </c>
      <c r="N1577" t="s">
        <v>37</v>
      </c>
      <c r="O1577" t="s">
        <v>65</v>
      </c>
      <c r="P1577">
        <v>1</v>
      </c>
    </row>
    <row r="1578" spans="1:16" x14ac:dyDescent="0.3">
      <c r="A1578">
        <v>2098</v>
      </c>
      <c r="B1578">
        <v>44027</v>
      </c>
      <c r="C1578">
        <v>70</v>
      </c>
      <c r="D1578">
        <v>18402</v>
      </c>
      <c r="E1578" t="s">
        <v>14</v>
      </c>
      <c r="F1578" t="s">
        <v>15</v>
      </c>
      <c r="G1578" t="s">
        <v>40</v>
      </c>
      <c r="H1578" t="s">
        <v>64</v>
      </c>
      <c r="I1578" t="s">
        <v>9</v>
      </c>
      <c r="J1578" t="s">
        <v>20</v>
      </c>
      <c r="K1578" t="s">
        <v>26</v>
      </c>
      <c r="L1578" t="s">
        <v>12</v>
      </c>
      <c r="M1578" t="s">
        <v>60</v>
      </c>
      <c r="N1578" t="s">
        <v>30</v>
      </c>
      <c r="O1578" t="s">
        <v>65</v>
      </c>
      <c r="P1578">
        <v>4</v>
      </c>
    </row>
    <row r="1579" spans="1:16" x14ac:dyDescent="0.3">
      <c r="A1579">
        <v>2099</v>
      </c>
      <c r="B1579">
        <v>43403</v>
      </c>
      <c r="C1579">
        <v>49</v>
      </c>
      <c r="D1579">
        <v>25291</v>
      </c>
      <c r="E1579" t="s">
        <v>14</v>
      </c>
      <c r="F1579" t="s">
        <v>15</v>
      </c>
      <c r="G1579" t="s">
        <v>17</v>
      </c>
      <c r="H1579" t="s">
        <v>8</v>
      </c>
      <c r="I1579" t="s">
        <v>9</v>
      </c>
      <c r="J1579" t="s">
        <v>25</v>
      </c>
      <c r="K1579" t="s">
        <v>26</v>
      </c>
      <c r="L1579" t="s">
        <v>12</v>
      </c>
      <c r="M1579" t="s">
        <v>28</v>
      </c>
      <c r="N1579" t="s">
        <v>23</v>
      </c>
      <c r="O1579" t="s">
        <v>65</v>
      </c>
      <c r="P1579">
        <v>4</v>
      </c>
    </row>
    <row r="1580" spans="1:16" x14ac:dyDescent="0.3">
      <c r="A1580">
        <v>2100</v>
      </c>
      <c r="B1580">
        <v>44817</v>
      </c>
      <c r="C1580">
        <v>78</v>
      </c>
      <c r="D1580">
        <v>16400</v>
      </c>
      <c r="E1580" t="s">
        <v>14</v>
      </c>
      <c r="F1580" t="s">
        <v>15</v>
      </c>
      <c r="G1580" t="s">
        <v>40</v>
      </c>
      <c r="H1580" t="s">
        <v>8</v>
      </c>
      <c r="I1580" t="s">
        <v>9</v>
      </c>
      <c r="J1580" t="s">
        <v>10</v>
      </c>
      <c r="K1580" t="s">
        <v>19</v>
      </c>
      <c r="L1580" t="s">
        <v>12</v>
      </c>
      <c r="M1580" t="s">
        <v>21</v>
      </c>
      <c r="N1580" t="s">
        <v>30</v>
      </c>
      <c r="O1580" t="s">
        <v>41</v>
      </c>
      <c r="P1580">
        <v>1</v>
      </c>
    </row>
    <row r="1581" spans="1:16" x14ac:dyDescent="0.3">
      <c r="A1581">
        <v>2101</v>
      </c>
      <c r="B1581">
        <v>44923</v>
      </c>
      <c r="C1581">
        <v>58</v>
      </c>
      <c r="D1581">
        <v>23724</v>
      </c>
      <c r="E1581" t="s">
        <v>14</v>
      </c>
      <c r="F1581" t="s">
        <v>15</v>
      </c>
      <c r="G1581" t="s">
        <v>34</v>
      </c>
      <c r="H1581" t="s">
        <v>8</v>
      </c>
      <c r="I1581" t="s">
        <v>66</v>
      </c>
      <c r="J1581" t="s">
        <v>25</v>
      </c>
      <c r="K1581" t="s">
        <v>26</v>
      </c>
      <c r="L1581" t="s">
        <v>12</v>
      </c>
      <c r="M1581" t="s">
        <v>55</v>
      </c>
      <c r="N1581" t="s">
        <v>23</v>
      </c>
      <c r="O1581" t="s">
        <v>65</v>
      </c>
      <c r="P1581">
        <v>4</v>
      </c>
    </row>
    <row r="1582" spans="1:16" x14ac:dyDescent="0.3">
      <c r="A1582">
        <v>2102</v>
      </c>
      <c r="B1582">
        <v>45009</v>
      </c>
      <c r="C1582">
        <v>57</v>
      </c>
      <c r="D1582">
        <v>24130</v>
      </c>
      <c r="E1582" t="s">
        <v>14</v>
      </c>
      <c r="F1582" t="s">
        <v>15</v>
      </c>
      <c r="G1582" t="s">
        <v>31</v>
      </c>
      <c r="H1582" t="s">
        <v>8</v>
      </c>
      <c r="I1582" t="s">
        <v>9</v>
      </c>
      <c r="J1582" t="s">
        <v>20</v>
      </c>
      <c r="K1582" t="s">
        <v>26</v>
      </c>
      <c r="L1582" t="s">
        <v>12</v>
      </c>
      <c r="M1582" t="s">
        <v>35</v>
      </c>
      <c r="N1582" t="s">
        <v>46</v>
      </c>
      <c r="O1582" t="s">
        <v>41</v>
      </c>
      <c r="P1582">
        <v>1</v>
      </c>
    </row>
    <row r="1583" spans="1:16" x14ac:dyDescent="0.3">
      <c r="A1583">
        <v>2103</v>
      </c>
      <c r="B1583">
        <v>44106</v>
      </c>
      <c r="C1583">
        <v>34</v>
      </c>
      <c r="D1583">
        <v>31771</v>
      </c>
      <c r="E1583" t="s">
        <v>14</v>
      </c>
      <c r="F1583" t="s">
        <v>15</v>
      </c>
      <c r="G1583" t="s">
        <v>17</v>
      </c>
      <c r="H1583" t="s">
        <v>8</v>
      </c>
      <c r="I1583" t="s">
        <v>9</v>
      </c>
      <c r="J1583" t="s">
        <v>10</v>
      </c>
      <c r="K1583" t="s">
        <v>19</v>
      </c>
      <c r="L1583" t="s">
        <v>12</v>
      </c>
      <c r="M1583" t="s">
        <v>35</v>
      </c>
      <c r="N1583" t="s">
        <v>46</v>
      </c>
      <c r="O1583" t="s">
        <v>41</v>
      </c>
      <c r="P1583">
        <v>4</v>
      </c>
    </row>
    <row r="1584" spans="1:16" x14ac:dyDescent="0.3">
      <c r="A1584">
        <v>2104</v>
      </c>
      <c r="B1584">
        <v>44088</v>
      </c>
      <c r="C1584">
        <v>71</v>
      </c>
      <c r="D1584">
        <v>18129</v>
      </c>
      <c r="E1584" t="s">
        <v>14</v>
      </c>
      <c r="F1584" t="s">
        <v>15</v>
      </c>
      <c r="G1584" t="s">
        <v>17</v>
      </c>
      <c r="H1584" t="s">
        <v>8</v>
      </c>
      <c r="I1584" t="s">
        <v>9</v>
      </c>
      <c r="J1584" t="s">
        <v>10</v>
      </c>
      <c r="K1584" t="s">
        <v>19</v>
      </c>
      <c r="L1584" t="s">
        <v>12</v>
      </c>
      <c r="M1584" t="s">
        <v>35</v>
      </c>
      <c r="N1584" t="s">
        <v>23</v>
      </c>
      <c r="O1584" t="s">
        <v>41</v>
      </c>
      <c r="P1584">
        <v>4</v>
      </c>
    </row>
    <row r="1585" spans="1:16" x14ac:dyDescent="0.3">
      <c r="A1585">
        <v>2105</v>
      </c>
      <c r="B1585">
        <v>43849</v>
      </c>
      <c r="C1585">
        <v>60</v>
      </c>
      <c r="D1585">
        <v>21942</v>
      </c>
      <c r="E1585" t="s">
        <v>14</v>
      </c>
      <c r="F1585" t="s">
        <v>15</v>
      </c>
      <c r="G1585" t="s">
        <v>31</v>
      </c>
      <c r="H1585" t="s">
        <v>8</v>
      </c>
      <c r="I1585" t="s">
        <v>9</v>
      </c>
      <c r="J1585" t="s">
        <v>20</v>
      </c>
      <c r="K1585" t="s">
        <v>11</v>
      </c>
      <c r="L1585" t="s">
        <v>12</v>
      </c>
      <c r="M1585" t="s">
        <v>28</v>
      </c>
      <c r="N1585" t="s">
        <v>23</v>
      </c>
      <c r="O1585" t="s">
        <v>56</v>
      </c>
      <c r="P1585">
        <v>4</v>
      </c>
    </row>
    <row r="1586" spans="1:16" x14ac:dyDescent="0.3">
      <c r="A1586">
        <v>2106</v>
      </c>
      <c r="B1586">
        <v>43569</v>
      </c>
      <c r="C1586">
        <v>57</v>
      </c>
      <c r="D1586">
        <v>22964</v>
      </c>
      <c r="E1586" t="s">
        <v>14</v>
      </c>
      <c r="F1586" t="s">
        <v>22</v>
      </c>
      <c r="G1586" t="s">
        <v>17</v>
      </c>
      <c r="H1586" t="s">
        <v>8</v>
      </c>
      <c r="I1586" t="s">
        <v>9</v>
      </c>
      <c r="J1586" t="s">
        <v>10</v>
      </c>
      <c r="K1586" t="s">
        <v>11</v>
      </c>
      <c r="L1586" t="s">
        <v>12</v>
      </c>
      <c r="M1586" t="s">
        <v>59</v>
      </c>
      <c r="N1586" t="s">
        <v>16</v>
      </c>
      <c r="O1586" t="s">
        <v>41</v>
      </c>
      <c r="P1586">
        <v>5</v>
      </c>
    </row>
    <row r="1587" spans="1:16" x14ac:dyDescent="0.3">
      <c r="A1587">
        <v>2107</v>
      </c>
      <c r="B1587">
        <v>45079</v>
      </c>
      <c r="C1587">
        <v>80</v>
      </c>
      <c r="D1587">
        <v>16067</v>
      </c>
      <c r="E1587" t="s">
        <v>14</v>
      </c>
      <c r="F1587" t="s">
        <v>15</v>
      </c>
      <c r="G1587" t="s">
        <v>17</v>
      </c>
      <c r="H1587" t="s">
        <v>8</v>
      </c>
      <c r="I1587" t="s">
        <v>9</v>
      </c>
      <c r="J1587" t="s">
        <v>10</v>
      </c>
      <c r="K1587" t="s">
        <v>26</v>
      </c>
      <c r="L1587" t="s">
        <v>12</v>
      </c>
      <c r="M1587" t="s">
        <v>35</v>
      </c>
      <c r="N1587" t="s">
        <v>23</v>
      </c>
      <c r="O1587" t="s">
        <v>41</v>
      </c>
      <c r="P1587">
        <v>1</v>
      </c>
    </row>
    <row r="1588" spans="1:16" x14ac:dyDescent="0.3">
      <c r="A1588">
        <v>2108</v>
      </c>
      <c r="B1588">
        <v>44690</v>
      </c>
      <c r="C1588">
        <v>44</v>
      </c>
      <c r="D1588">
        <v>28752</v>
      </c>
      <c r="E1588" t="s">
        <v>14</v>
      </c>
      <c r="F1588" t="s">
        <v>15</v>
      </c>
      <c r="G1588" t="s">
        <v>17</v>
      </c>
      <c r="H1588" t="s">
        <v>8</v>
      </c>
      <c r="I1588" t="s">
        <v>66</v>
      </c>
      <c r="J1588" t="s">
        <v>20</v>
      </c>
      <c r="K1588" t="s">
        <v>19</v>
      </c>
      <c r="L1588" t="s">
        <v>12</v>
      </c>
      <c r="M1588" t="s">
        <v>35</v>
      </c>
      <c r="N1588" t="s">
        <v>16</v>
      </c>
      <c r="O1588" t="s">
        <v>56</v>
      </c>
      <c r="P1588">
        <v>2</v>
      </c>
    </row>
    <row r="1589" spans="1:16" x14ac:dyDescent="0.3">
      <c r="A1589">
        <v>2109</v>
      </c>
      <c r="B1589">
        <v>44250</v>
      </c>
      <c r="C1589">
        <v>33</v>
      </c>
      <c r="D1589">
        <v>32469</v>
      </c>
      <c r="E1589" t="s">
        <v>14</v>
      </c>
      <c r="F1589" t="s">
        <v>15</v>
      </c>
      <c r="G1589" t="s">
        <v>40</v>
      </c>
      <c r="H1589" t="s">
        <v>8</v>
      </c>
      <c r="I1589" t="s">
        <v>9</v>
      </c>
      <c r="J1589" t="s">
        <v>20</v>
      </c>
      <c r="K1589" t="s">
        <v>11</v>
      </c>
      <c r="L1589" t="s">
        <v>12</v>
      </c>
      <c r="M1589" t="s">
        <v>35</v>
      </c>
      <c r="N1589" t="s">
        <v>30</v>
      </c>
      <c r="O1589" t="s">
        <v>41</v>
      </c>
      <c r="P1589">
        <v>3</v>
      </c>
    </row>
    <row r="1590" spans="1:16" x14ac:dyDescent="0.3">
      <c r="A1590">
        <v>2110</v>
      </c>
      <c r="B1590">
        <v>44351</v>
      </c>
      <c r="C1590">
        <v>73</v>
      </c>
      <c r="D1590">
        <v>17666</v>
      </c>
      <c r="E1590" t="s">
        <v>14</v>
      </c>
      <c r="F1590" t="s">
        <v>15</v>
      </c>
      <c r="G1590" t="s">
        <v>31</v>
      </c>
      <c r="H1590" t="s">
        <v>8</v>
      </c>
      <c r="I1590" t="s">
        <v>9</v>
      </c>
      <c r="J1590" t="s">
        <v>10</v>
      </c>
      <c r="K1590" t="s">
        <v>11</v>
      </c>
      <c r="L1590" t="s">
        <v>12</v>
      </c>
      <c r="M1590" t="s">
        <v>28</v>
      </c>
      <c r="N1590" t="s">
        <v>37</v>
      </c>
      <c r="O1590" t="s">
        <v>41</v>
      </c>
      <c r="P1590">
        <v>4</v>
      </c>
    </row>
    <row r="1591" spans="1:16" x14ac:dyDescent="0.3">
      <c r="A1591">
        <v>2111</v>
      </c>
      <c r="B1591">
        <v>44649</v>
      </c>
      <c r="C1591">
        <v>65</v>
      </c>
      <c r="D1591">
        <v>20957</v>
      </c>
      <c r="E1591" t="s">
        <v>14</v>
      </c>
      <c r="F1591" t="s">
        <v>15</v>
      </c>
      <c r="G1591" t="s">
        <v>31</v>
      </c>
      <c r="H1591" t="s">
        <v>8</v>
      </c>
      <c r="I1591" t="s">
        <v>9</v>
      </c>
      <c r="J1591" t="s">
        <v>25</v>
      </c>
      <c r="K1591" t="s">
        <v>19</v>
      </c>
      <c r="L1591" t="s">
        <v>12</v>
      </c>
      <c r="M1591" t="s">
        <v>32</v>
      </c>
      <c r="N1591" t="s">
        <v>46</v>
      </c>
      <c r="O1591" t="s">
        <v>56</v>
      </c>
      <c r="P1591">
        <v>3</v>
      </c>
    </row>
    <row r="1592" spans="1:16" x14ac:dyDescent="0.3">
      <c r="A1592">
        <v>2112</v>
      </c>
      <c r="B1592">
        <v>43676</v>
      </c>
      <c r="C1592">
        <v>76</v>
      </c>
      <c r="D1592">
        <v>15973</v>
      </c>
      <c r="E1592" t="s">
        <v>14</v>
      </c>
      <c r="F1592" t="s">
        <v>15</v>
      </c>
      <c r="G1592" t="s">
        <v>17</v>
      </c>
      <c r="H1592" t="s">
        <v>8</v>
      </c>
      <c r="I1592" t="s">
        <v>9</v>
      </c>
      <c r="J1592" t="s">
        <v>20</v>
      </c>
      <c r="K1592" t="s">
        <v>26</v>
      </c>
      <c r="L1592" t="s">
        <v>12</v>
      </c>
      <c r="M1592" t="s">
        <v>42</v>
      </c>
      <c r="N1592" t="s">
        <v>30</v>
      </c>
      <c r="O1592" t="s">
        <v>41</v>
      </c>
      <c r="P1592">
        <v>3</v>
      </c>
    </row>
    <row r="1593" spans="1:16" x14ac:dyDescent="0.3">
      <c r="A1593">
        <v>2113</v>
      </c>
      <c r="B1593">
        <v>44021</v>
      </c>
      <c r="C1593">
        <v>76</v>
      </c>
      <c r="D1593">
        <v>16365</v>
      </c>
      <c r="E1593" t="s">
        <v>14</v>
      </c>
      <c r="F1593" t="s">
        <v>15</v>
      </c>
      <c r="G1593" t="s">
        <v>17</v>
      </c>
      <c r="H1593" t="s">
        <v>8</v>
      </c>
      <c r="I1593" t="s">
        <v>9</v>
      </c>
      <c r="J1593" t="s">
        <v>20</v>
      </c>
      <c r="K1593" t="s">
        <v>26</v>
      </c>
      <c r="L1593" t="s">
        <v>12</v>
      </c>
      <c r="M1593" t="s">
        <v>32</v>
      </c>
      <c r="N1593" t="s">
        <v>16</v>
      </c>
      <c r="O1593" t="s">
        <v>41</v>
      </c>
      <c r="P1593">
        <v>1</v>
      </c>
    </row>
    <row r="1594" spans="1:16" x14ac:dyDescent="0.3">
      <c r="A1594">
        <v>2114</v>
      </c>
      <c r="B1594">
        <v>43701</v>
      </c>
      <c r="C1594">
        <v>27</v>
      </c>
      <c r="D1594">
        <v>33718</v>
      </c>
      <c r="E1594" t="s">
        <v>14</v>
      </c>
      <c r="F1594" t="s">
        <v>15</v>
      </c>
      <c r="G1594" t="s">
        <v>31</v>
      </c>
      <c r="H1594" t="s">
        <v>64</v>
      </c>
      <c r="I1594" t="s">
        <v>9</v>
      </c>
      <c r="J1594" t="s">
        <v>10</v>
      </c>
      <c r="K1594" t="s">
        <v>11</v>
      </c>
      <c r="L1594" t="s">
        <v>12</v>
      </c>
      <c r="M1594" t="s">
        <v>42</v>
      </c>
      <c r="N1594" t="s">
        <v>16</v>
      </c>
      <c r="O1594" t="s">
        <v>41</v>
      </c>
      <c r="P1594">
        <v>4</v>
      </c>
    </row>
    <row r="1595" spans="1:16" x14ac:dyDescent="0.3">
      <c r="A1595">
        <v>2115</v>
      </c>
      <c r="B1595">
        <v>43570</v>
      </c>
      <c r="C1595">
        <v>41</v>
      </c>
      <c r="D1595">
        <v>28579</v>
      </c>
      <c r="E1595" t="s">
        <v>14</v>
      </c>
      <c r="F1595" t="s">
        <v>15</v>
      </c>
      <c r="G1595" t="s">
        <v>34</v>
      </c>
      <c r="H1595" t="s">
        <v>64</v>
      </c>
      <c r="I1595" t="s">
        <v>9</v>
      </c>
      <c r="J1595" t="s">
        <v>10</v>
      </c>
      <c r="K1595" t="s">
        <v>19</v>
      </c>
      <c r="L1595" t="s">
        <v>12</v>
      </c>
      <c r="M1595" t="s">
        <v>67</v>
      </c>
      <c r="N1595" t="s">
        <v>46</v>
      </c>
      <c r="O1595" t="s">
        <v>41</v>
      </c>
      <c r="P1595">
        <v>2</v>
      </c>
    </row>
    <row r="1596" spans="1:16" x14ac:dyDescent="0.3">
      <c r="A1596">
        <v>2116</v>
      </c>
      <c r="B1596">
        <v>44429</v>
      </c>
      <c r="C1596">
        <v>75</v>
      </c>
      <c r="D1596">
        <v>17048</v>
      </c>
      <c r="E1596" t="s">
        <v>14</v>
      </c>
      <c r="F1596" t="s">
        <v>15</v>
      </c>
      <c r="G1596" t="s">
        <v>40</v>
      </c>
      <c r="H1596" t="s">
        <v>64</v>
      </c>
      <c r="I1596" t="s">
        <v>9</v>
      </c>
      <c r="J1596" t="s">
        <v>20</v>
      </c>
      <c r="K1596" t="s">
        <v>11</v>
      </c>
      <c r="L1596" t="s">
        <v>12</v>
      </c>
      <c r="M1596" t="s">
        <v>42</v>
      </c>
      <c r="N1596" t="s">
        <v>37</v>
      </c>
      <c r="O1596" t="s">
        <v>56</v>
      </c>
      <c r="P1596">
        <v>4</v>
      </c>
    </row>
    <row r="1597" spans="1:16" x14ac:dyDescent="0.3">
      <c r="A1597">
        <v>2117</v>
      </c>
      <c r="B1597">
        <v>44004</v>
      </c>
      <c r="C1597">
        <v>27</v>
      </c>
      <c r="D1597">
        <v>34106</v>
      </c>
      <c r="E1597" t="s">
        <v>14</v>
      </c>
      <c r="F1597" t="s">
        <v>15</v>
      </c>
      <c r="G1597" t="s">
        <v>40</v>
      </c>
      <c r="H1597" t="s">
        <v>64</v>
      </c>
      <c r="I1597" t="s">
        <v>9</v>
      </c>
      <c r="J1597" t="s">
        <v>25</v>
      </c>
      <c r="K1597" t="s">
        <v>26</v>
      </c>
      <c r="L1597" t="s">
        <v>12</v>
      </c>
      <c r="M1597" t="s">
        <v>35</v>
      </c>
      <c r="N1597" t="s">
        <v>23</v>
      </c>
      <c r="O1597" t="s">
        <v>41</v>
      </c>
      <c r="P1597">
        <v>3</v>
      </c>
    </row>
    <row r="1598" spans="1:16" x14ac:dyDescent="0.3">
      <c r="A1598">
        <v>2118</v>
      </c>
      <c r="B1598">
        <v>43858</v>
      </c>
      <c r="C1598">
        <v>20</v>
      </c>
      <c r="D1598">
        <v>36836</v>
      </c>
      <c r="E1598" t="s">
        <v>14</v>
      </c>
      <c r="F1598" t="s">
        <v>15</v>
      </c>
      <c r="G1598" t="s">
        <v>17</v>
      </c>
      <c r="H1598" t="s">
        <v>64</v>
      </c>
      <c r="I1598" t="s">
        <v>9</v>
      </c>
      <c r="J1598" t="s">
        <v>20</v>
      </c>
      <c r="K1598" t="s">
        <v>11</v>
      </c>
      <c r="L1598" t="s">
        <v>12</v>
      </c>
      <c r="M1598" t="s">
        <v>57</v>
      </c>
      <c r="N1598" t="s">
        <v>16</v>
      </c>
      <c r="O1598" t="s">
        <v>41</v>
      </c>
      <c r="P1598">
        <v>2</v>
      </c>
    </row>
    <row r="1599" spans="1:16" x14ac:dyDescent="0.3">
      <c r="A1599">
        <v>2119</v>
      </c>
      <c r="B1599">
        <v>43553</v>
      </c>
      <c r="C1599">
        <v>78</v>
      </c>
      <c r="D1599">
        <v>15229</v>
      </c>
      <c r="E1599" t="s">
        <v>14</v>
      </c>
      <c r="F1599" t="s">
        <v>15</v>
      </c>
      <c r="G1599" t="s">
        <v>34</v>
      </c>
      <c r="H1599" t="s">
        <v>64</v>
      </c>
      <c r="I1599" t="s">
        <v>9</v>
      </c>
      <c r="J1599" t="s">
        <v>20</v>
      </c>
      <c r="K1599" t="s">
        <v>19</v>
      </c>
      <c r="L1599" t="s">
        <v>12</v>
      </c>
      <c r="M1599" t="s">
        <v>32</v>
      </c>
      <c r="N1599" t="s">
        <v>16</v>
      </c>
      <c r="O1599" t="s">
        <v>41</v>
      </c>
      <c r="P1599">
        <v>2</v>
      </c>
    </row>
    <row r="1600" spans="1:16" x14ac:dyDescent="0.3">
      <c r="A1600">
        <v>2120</v>
      </c>
      <c r="B1600">
        <v>43378</v>
      </c>
      <c r="C1600">
        <v>51</v>
      </c>
      <c r="D1600">
        <v>24489</v>
      </c>
      <c r="E1600" t="s">
        <v>14</v>
      </c>
      <c r="F1600" t="s">
        <v>15</v>
      </c>
      <c r="G1600" t="s">
        <v>40</v>
      </c>
      <c r="H1600" t="s">
        <v>64</v>
      </c>
      <c r="I1600" t="s">
        <v>9</v>
      </c>
      <c r="J1600" t="s">
        <v>10</v>
      </c>
      <c r="K1600" t="s">
        <v>11</v>
      </c>
      <c r="L1600" t="s">
        <v>12</v>
      </c>
      <c r="M1600" t="s">
        <v>59</v>
      </c>
      <c r="N1600" t="s">
        <v>46</v>
      </c>
      <c r="O1600" t="s">
        <v>56</v>
      </c>
      <c r="P1600">
        <v>4</v>
      </c>
    </row>
    <row r="1601" spans="1:16" x14ac:dyDescent="0.3">
      <c r="A1601">
        <v>2121</v>
      </c>
      <c r="B1601">
        <v>44063</v>
      </c>
      <c r="C1601">
        <v>22</v>
      </c>
      <c r="D1601">
        <v>36049</v>
      </c>
      <c r="E1601" t="s">
        <v>14</v>
      </c>
      <c r="F1601" t="s">
        <v>15</v>
      </c>
      <c r="G1601" t="s">
        <v>34</v>
      </c>
      <c r="H1601" t="s">
        <v>64</v>
      </c>
      <c r="I1601" t="s">
        <v>9</v>
      </c>
      <c r="J1601" t="s">
        <v>20</v>
      </c>
      <c r="K1601" t="s">
        <v>19</v>
      </c>
      <c r="L1601" t="s">
        <v>12</v>
      </c>
      <c r="M1601" t="s">
        <v>49</v>
      </c>
      <c r="N1601" t="s">
        <v>46</v>
      </c>
      <c r="O1601" t="s">
        <v>41</v>
      </c>
      <c r="P1601">
        <v>1</v>
      </c>
    </row>
    <row r="1602" spans="1:16" x14ac:dyDescent="0.3">
      <c r="A1602">
        <v>2122</v>
      </c>
      <c r="B1602">
        <v>44358</v>
      </c>
      <c r="C1602">
        <v>46</v>
      </c>
      <c r="D1602">
        <v>27688</v>
      </c>
      <c r="E1602" t="s">
        <v>14</v>
      </c>
      <c r="F1602" t="s">
        <v>15</v>
      </c>
      <c r="G1602" t="s">
        <v>34</v>
      </c>
      <c r="H1602" t="s">
        <v>8</v>
      </c>
      <c r="I1602" t="s">
        <v>9</v>
      </c>
      <c r="J1602" t="s">
        <v>25</v>
      </c>
      <c r="K1602" t="s">
        <v>11</v>
      </c>
      <c r="L1602" t="s">
        <v>12</v>
      </c>
      <c r="M1602" t="s">
        <v>32</v>
      </c>
      <c r="N1602" t="s">
        <v>46</v>
      </c>
      <c r="O1602" t="s">
        <v>56</v>
      </c>
      <c r="P1602">
        <v>3</v>
      </c>
    </row>
    <row r="1603" spans="1:16" x14ac:dyDescent="0.3">
      <c r="A1603">
        <v>2123</v>
      </c>
      <c r="B1603">
        <v>44449</v>
      </c>
      <c r="C1603">
        <v>42</v>
      </c>
      <c r="D1603">
        <v>28898</v>
      </c>
      <c r="E1603" t="s">
        <v>14</v>
      </c>
      <c r="F1603" t="s">
        <v>15</v>
      </c>
      <c r="G1603" t="s">
        <v>17</v>
      </c>
      <c r="H1603" t="s">
        <v>8</v>
      </c>
      <c r="I1603" t="s">
        <v>9</v>
      </c>
      <c r="J1603" t="s">
        <v>10</v>
      </c>
      <c r="K1603" t="s">
        <v>26</v>
      </c>
      <c r="L1603" t="s">
        <v>12</v>
      </c>
      <c r="M1603" t="s">
        <v>60</v>
      </c>
      <c r="N1603" t="s">
        <v>16</v>
      </c>
      <c r="O1603" t="s">
        <v>41</v>
      </c>
      <c r="P1603">
        <v>5</v>
      </c>
    </row>
    <row r="1604" spans="1:16" x14ac:dyDescent="0.3">
      <c r="A1604">
        <v>2124</v>
      </c>
      <c r="B1604">
        <v>44978</v>
      </c>
      <c r="C1604">
        <v>73</v>
      </c>
      <c r="D1604">
        <v>18484</v>
      </c>
      <c r="E1604" t="s">
        <v>14</v>
      </c>
      <c r="F1604" t="s">
        <v>15</v>
      </c>
      <c r="G1604" t="s">
        <v>31</v>
      </c>
      <c r="H1604" t="s">
        <v>8</v>
      </c>
      <c r="I1604" t="s">
        <v>66</v>
      </c>
      <c r="J1604" t="s">
        <v>10</v>
      </c>
      <c r="K1604" t="s">
        <v>26</v>
      </c>
      <c r="L1604" t="s">
        <v>12</v>
      </c>
      <c r="M1604" t="s">
        <v>59</v>
      </c>
      <c r="N1604" t="s">
        <v>16</v>
      </c>
      <c r="O1604" t="s">
        <v>41</v>
      </c>
      <c r="P1604">
        <v>1</v>
      </c>
    </row>
    <row r="1605" spans="1:16" x14ac:dyDescent="0.3">
      <c r="A1605">
        <v>2125</v>
      </c>
      <c r="B1605">
        <v>43686</v>
      </c>
      <c r="C1605">
        <v>18</v>
      </c>
      <c r="D1605">
        <v>37041</v>
      </c>
      <c r="E1605" t="s">
        <v>14</v>
      </c>
      <c r="F1605" t="s">
        <v>15</v>
      </c>
      <c r="G1605" t="s">
        <v>40</v>
      </c>
      <c r="H1605" t="s">
        <v>8</v>
      </c>
      <c r="I1605" t="s">
        <v>9</v>
      </c>
      <c r="J1605" t="s">
        <v>25</v>
      </c>
      <c r="K1605" t="s">
        <v>26</v>
      </c>
      <c r="L1605" t="s">
        <v>12</v>
      </c>
      <c r="M1605" t="s">
        <v>42</v>
      </c>
      <c r="N1605" t="s">
        <v>16</v>
      </c>
      <c r="O1605" t="s">
        <v>41</v>
      </c>
      <c r="P1605">
        <v>5</v>
      </c>
    </row>
    <row r="1606" spans="1:16" x14ac:dyDescent="0.3">
      <c r="A1606">
        <v>2126</v>
      </c>
      <c r="B1606">
        <v>44263</v>
      </c>
      <c r="C1606">
        <v>52</v>
      </c>
      <c r="D1606">
        <v>25374</v>
      </c>
      <c r="E1606" t="s">
        <v>14</v>
      </c>
      <c r="F1606" t="s">
        <v>15</v>
      </c>
      <c r="G1606" t="s">
        <v>34</v>
      </c>
      <c r="H1606" t="s">
        <v>8</v>
      </c>
      <c r="I1606" t="s">
        <v>9</v>
      </c>
      <c r="J1606" t="s">
        <v>20</v>
      </c>
      <c r="K1606" t="s">
        <v>11</v>
      </c>
      <c r="L1606" t="s">
        <v>12</v>
      </c>
      <c r="M1606" t="s">
        <v>68</v>
      </c>
      <c r="N1606" t="s">
        <v>37</v>
      </c>
      <c r="O1606" t="s">
        <v>65</v>
      </c>
      <c r="P1606">
        <v>4</v>
      </c>
    </row>
    <row r="1607" spans="1:16" x14ac:dyDescent="0.3">
      <c r="A1607">
        <v>2127</v>
      </c>
      <c r="B1607">
        <v>43666</v>
      </c>
      <c r="C1607">
        <v>66</v>
      </c>
      <c r="D1607">
        <v>19689</v>
      </c>
      <c r="E1607" t="s">
        <v>14</v>
      </c>
      <c r="F1607" t="s">
        <v>15</v>
      </c>
      <c r="G1607" t="s">
        <v>31</v>
      </c>
      <c r="H1607" t="s">
        <v>8</v>
      </c>
      <c r="I1607" t="s">
        <v>9</v>
      </c>
      <c r="J1607" t="s">
        <v>10</v>
      </c>
      <c r="K1607" t="s">
        <v>19</v>
      </c>
      <c r="L1607" t="s">
        <v>12</v>
      </c>
      <c r="M1607" t="s">
        <v>35</v>
      </c>
      <c r="N1607" t="s">
        <v>37</v>
      </c>
      <c r="O1607" t="s">
        <v>56</v>
      </c>
      <c r="P1607">
        <v>2</v>
      </c>
    </row>
    <row r="1608" spans="1:16" x14ac:dyDescent="0.3">
      <c r="A1608">
        <v>2128</v>
      </c>
      <c r="B1608">
        <v>45012</v>
      </c>
      <c r="C1608">
        <v>68</v>
      </c>
      <c r="D1608">
        <v>20364</v>
      </c>
      <c r="E1608" t="s">
        <v>14</v>
      </c>
      <c r="F1608" t="s">
        <v>15</v>
      </c>
      <c r="G1608" t="s">
        <v>17</v>
      </c>
      <c r="H1608" t="s">
        <v>8</v>
      </c>
      <c r="I1608" t="s">
        <v>9</v>
      </c>
      <c r="J1608" t="s">
        <v>25</v>
      </c>
      <c r="K1608" t="s">
        <v>19</v>
      </c>
      <c r="L1608" t="s">
        <v>12</v>
      </c>
      <c r="M1608" t="s">
        <v>35</v>
      </c>
      <c r="N1608" t="s">
        <v>37</v>
      </c>
      <c r="O1608" t="s">
        <v>56</v>
      </c>
      <c r="P1608">
        <v>3</v>
      </c>
    </row>
    <row r="1609" spans="1:16" x14ac:dyDescent="0.3">
      <c r="A1609">
        <v>2129</v>
      </c>
      <c r="B1609">
        <v>43745</v>
      </c>
      <c r="C1609">
        <v>31</v>
      </c>
      <c r="D1609">
        <v>32175</v>
      </c>
      <c r="E1609" t="s">
        <v>14</v>
      </c>
      <c r="F1609" t="s">
        <v>22</v>
      </c>
      <c r="G1609" t="s">
        <v>40</v>
      </c>
      <c r="H1609" t="s">
        <v>8</v>
      </c>
      <c r="I1609" t="s">
        <v>9</v>
      </c>
      <c r="J1609" t="s">
        <v>20</v>
      </c>
      <c r="K1609" t="s">
        <v>26</v>
      </c>
      <c r="L1609" t="s">
        <v>12</v>
      </c>
      <c r="M1609" t="s">
        <v>35</v>
      </c>
      <c r="N1609" t="s">
        <v>30</v>
      </c>
      <c r="O1609" t="s">
        <v>56</v>
      </c>
      <c r="P1609">
        <v>5</v>
      </c>
    </row>
    <row r="1610" spans="1:16" x14ac:dyDescent="0.3">
      <c r="A1610">
        <v>2130</v>
      </c>
      <c r="B1610">
        <v>44908</v>
      </c>
      <c r="C1610">
        <v>49</v>
      </c>
      <c r="D1610">
        <v>26719</v>
      </c>
      <c r="E1610" t="s">
        <v>14</v>
      </c>
      <c r="F1610" t="s">
        <v>15</v>
      </c>
      <c r="G1610" t="s">
        <v>34</v>
      </c>
      <c r="H1610" t="s">
        <v>8</v>
      </c>
      <c r="I1610" t="s">
        <v>9</v>
      </c>
      <c r="J1610" t="s">
        <v>10</v>
      </c>
      <c r="K1610" t="s">
        <v>11</v>
      </c>
      <c r="L1610" t="s">
        <v>12</v>
      </c>
      <c r="M1610" t="s">
        <v>35</v>
      </c>
      <c r="N1610" t="s">
        <v>30</v>
      </c>
      <c r="O1610" t="s">
        <v>56</v>
      </c>
      <c r="P1610">
        <v>5</v>
      </c>
    </row>
    <row r="1611" spans="1:16" x14ac:dyDescent="0.3">
      <c r="A1611">
        <v>2131</v>
      </c>
      <c r="B1611">
        <v>43988</v>
      </c>
      <c r="C1611">
        <v>69</v>
      </c>
      <c r="D1611">
        <v>18699</v>
      </c>
      <c r="E1611" t="s">
        <v>14</v>
      </c>
      <c r="F1611" t="s">
        <v>15</v>
      </c>
      <c r="G1611" t="s">
        <v>17</v>
      </c>
      <c r="H1611" t="s">
        <v>8</v>
      </c>
      <c r="I1611" t="s">
        <v>66</v>
      </c>
      <c r="J1611" t="s">
        <v>20</v>
      </c>
      <c r="K1611" t="s">
        <v>11</v>
      </c>
      <c r="L1611" t="s">
        <v>12</v>
      </c>
      <c r="M1611" t="s">
        <v>35</v>
      </c>
      <c r="N1611" t="s">
        <v>37</v>
      </c>
      <c r="O1611" t="s">
        <v>56</v>
      </c>
      <c r="P1611">
        <v>2</v>
      </c>
    </row>
    <row r="1612" spans="1:16" x14ac:dyDescent="0.3">
      <c r="A1612">
        <v>2132</v>
      </c>
      <c r="B1612">
        <v>44676</v>
      </c>
      <c r="C1612">
        <v>58</v>
      </c>
      <c r="D1612">
        <v>23546</v>
      </c>
      <c r="E1612" t="s">
        <v>14</v>
      </c>
      <c r="F1612" t="s">
        <v>15</v>
      </c>
      <c r="G1612" t="s">
        <v>17</v>
      </c>
      <c r="H1612" t="s">
        <v>8</v>
      </c>
      <c r="I1612" t="s">
        <v>9</v>
      </c>
      <c r="J1612" t="s">
        <v>25</v>
      </c>
      <c r="K1612" t="s">
        <v>19</v>
      </c>
      <c r="L1612" t="s">
        <v>12</v>
      </c>
      <c r="M1612" t="s">
        <v>55</v>
      </c>
      <c r="N1612" t="s">
        <v>30</v>
      </c>
      <c r="O1612" t="s">
        <v>56</v>
      </c>
      <c r="P1612">
        <v>3</v>
      </c>
    </row>
    <row r="1613" spans="1:16" x14ac:dyDescent="0.3">
      <c r="A1613">
        <v>2133</v>
      </c>
      <c r="B1613">
        <v>44040</v>
      </c>
      <c r="C1613">
        <v>46</v>
      </c>
      <c r="D1613">
        <v>27261</v>
      </c>
      <c r="E1613" t="s">
        <v>14</v>
      </c>
      <c r="F1613" t="s">
        <v>15</v>
      </c>
      <c r="G1613" t="s">
        <v>31</v>
      </c>
      <c r="H1613" t="s">
        <v>8</v>
      </c>
      <c r="I1613" t="s">
        <v>9</v>
      </c>
      <c r="J1613" t="s">
        <v>10</v>
      </c>
      <c r="K1613" t="s">
        <v>19</v>
      </c>
      <c r="L1613" t="s">
        <v>12</v>
      </c>
      <c r="M1613" t="s">
        <v>35</v>
      </c>
      <c r="N1613" t="s">
        <v>37</v>
      </c>
      <c r="O1613" t="s">
        <v>65</v>
      </c>
      <c r="P1613">
        <v>3</v>
      </c>
    </row>
    <row r="1614" spans="1:16" x14ac:dyDescent="0.3">
      <c r="A1614">
        <v>2134</v>
      </c>
      <c r="B1614">
        <v>44620</v>
      </c>
      <c r="C1614">
        <v>21</v>
      </c>
      <c r="D1614">
        <v>37081</v>
      </c>
      <c r="E1614" t="s">
        <v>14</v>
      </c>
      <c r="F1614" t="s">
        <v>15</v>
      </c>
      <c r="G1614" t="s">
        <v>17</v>
      </c>
      <c r="H1614" t="s">
        <v>8</v>
      </c>
      <c r="I1614" t="s">
        <v>9</v>
      </c>
      <c r="J1614" t="s">
        <v>20</v>
      </c>
      <c r="K1614" t="s">
        <v>26</v>
      </c>
      <c r="L1614" t="s">
        <v>12</v>
      </c>
      <c r="M1614" t="s">
        <v>21</v>
      </c>
      <c r="N1614" t="s">
        <v>23</v>
      </c>
      <c r="O1614" t="s">
        <v>41</v>
      </c>
      <c r="P1614">
        <v>2</v>
      </c>
    </row>
    <row r="1615" spans="1:16" x14ac:dyDescent="0.3">
      <c r="A1615">
        <v>2135</v>
      </c>
      <c r="B1615">
        <v>44494</v>
      </c>
      <c r="C1615">
        <v>66</v>
      </c>
      <c r="D1615">
        <v>20204</v>
      </c>
      <c r="E1615" t="s">
        <v>14</v>
      </c>
      <c r="F1615" t="s">
        <v>15</v>
      </c>
      <c r="G1615" t="s">
        <v>34</v>
      </c>
      <c r="H1615" t="s">
        <v>8</v>
      </c>
      <c r="I1615" t="s">
        <v>9</v>
      </c>
      <c r="J1615" t="s">
        <v>10</v>
      </c>
      <c r="K1615" t="s">
        <v>19</v>
      </c>
      <c r="L1615" t="s">
        <v>12</v>
      </c>
      <c r="M1615" t="s">
        <v>42</v>
      </c>
      <c r="N1615" t="s">
        <v>46</v>
      </c>
      <c r="O1615" t="s">
        <v>41</v>
      </c>
      <c r="P1615">
        <v>2</v>
      </c>
    </row>
    <row r="1616" spans="1:16" x14ac:dyDescent="0.3">
      <c r="A1616">
        <v>2136</v>
      </c>
      <c r="B1616">
        <v>43355</v>
      </c>
      <c r="C1616">
        <v>27</v>
      </c>
      <c r="D1616">
        <v>33519</v>
      </c>
      <c r="E1616" t="s">
        <v>14</v>
      </c>
      <c r="F1616" t="s">
        <v>15</v>
      </c>
      <c r="G1616" t="s">
        <v>40</v>
      </c>
      <c r="H1616" t="s">
        <v>8</v>
      </c>
      <c r="I1616" t="s">
        <v>9</v>
      </c>
      <c r="J1616" t="s">
        <v>20</v>
      </c>
      <c r="K1616" t="s">
        <v>19</v>
      </c>
      <c r="L1616" t="s">
        <v>12</v>
      </c>
      <c r="M1616" t="s">
        <v>69</v>
      </c>
      <c r="N1616" t="s">
        <v>30</v>
      </c>
      <c r="O1616" t="s">
        <v>41</v>
      </c>
      <c r="P1616">
        <v>2</v>
      </c>
    </row>
    <row r="1617" spans="1:16" x14ac:dyDescent="0.3">
      <c r="A1617">
        <v>2138</v>
      </c>
      <c r="B1617">
        <v>44504</v>
      </c>
      <c r="C1617">
        <v>55</v>
      </c>
      <c r="D1617">
        <v>24330</v>
      </c>
      <c r="E1617" t="s">
        <v>14</v>
      </c>
      <c r="F1617" t="s">
        <v>15</v>
      </c>
      <c r="G1617" t="s">
        <v>40</v>
      </c>
      <c r="H1617" t="s">
        <v>64</v>
      </c>
      <c r="I1617" t="s">
        <v>9</v>
      </c>
      <c r="J1617" t="s">
        <v>10</v>
      </c>
      <c r="K1617" t="s">
        <v>11</v>
      </c>
      <c r="L1617" t="s">
        <v>12</v>
      </c>
      <c r="M1617" t="s">
        <v>54</v>
      </c>
      <c r="N1617" t="s">
        <v>23</v>
      </c>
      <c r="O1617" t="s">
        <v>41</v>
      </c>
      <c r="P1617">
        <v>5</v>
      </c>
    </row>
    <row r="1618" spans="1:16" x14ac:dyDescent="0.3">
      <c r="A1618">
        <v>2139</v>
      </c>
      <c r="B1618">
        <v>43956</v>
      </c>
      <c r="C1618">
        <v>52</v>
      </c>
      <c r="D1618">
        <v>24927</v>
      </c>
      <c r="E1618" t="s">
        <v>14</v>
      </c>
      <c r="F1618" t="s">
        <v>15</v>
      </c>
      <c r="G1618" t="s">
        <v>17</v>
      </c>
      <c r="H1618" t="s">
        <v>64</v>
      </c>
      <c r="I1618" t="s">
        <v>9</v>
      </c>
      <c r="J1618" t="s">
        <v>20</v>
      </c>
      <c r="K1618" t="s">
        <v>26</v>
      </c>
      <c r="L1618" t="s">
        <v>12</v>
      </c>
      <c r="M1618" t="s">
        <v>21</v>
      </c>
      <c r="N1618" t="s">
        <v>16</v>
      </c>
      <c r="O1618" t="s">
        <v>41</v>
      </c>
      <c r="P1618">
        <v>4</v>
      </c>
    </row>
    <row r="1619" spans="1:16" x14ac:dyDescent="0.3">
      <c r="A1619">
        <v>2140</v>
      </c>
      <c r="B1619">
        <v>44173</v>
      </c>
      <c r="C1619">
        <v>51</v>
      </c>
      <c r="D1619">
        <v>25437</v>
      </c>
      <c r="E1619" t="s">
        <v>14</v>
      </c>
      <c r="F1619" t="s">
        <v>15</v>
      </c>
      <c r="G1619" t="s">
        <v>17</v>
      </c>
      <c r="H1619" t="s">
        <v>64</v>
      </c>
      <c r="I1619" t="s">
        <v>9</v>
      </c>
      <c r="J1619" t="s">
        <v>10</v>
      </c>
      <c r="K1619" t="s">
        <v>19</v>
      </c>
      <c r="L1619" t="s">
        <v>12</v>
      </c>
      <c r="M1619" t="s">
        <v>42</v>
      </c>
      <c r="N1619" t="s">
        <v>37</v>
      </c>
      <c r="O1619" t="s">
        <v>41</v>
      </c>
      <c r="P1619">
        <v>5</v>
      </c>
    </row>
    <row r="1620" spans="1:16" x14ac:dyDescent="0.3">
      <c r="A1620">
        <v>2141</v>
      </c>
      <c r="B1620">
        <v>43372</v>
      </c>
      <c r="C1620">
        <v>72</v>
      </c>
      <c r="D1620">
        <v>17008</v>
      </c>
      <c r="E1620" t="s">
        <v>14</v>
      </c>
      <c r="F1620" t="s">
        <v>15</v>
      </c>
      <c r="G1620" t="s">
        <v>34</v>
      </c>
      <c r="H1620" t="s">
        <v>64</v>
      </c>
      <c r="I1620" t="s">
        <v>9</v>
      </c>
      <c r="J1620" t="s">
        <v>10</v>
      </c>
      <c r="K1620" t="s">
        <v>11</v>
      </c>
      <c r="L1620" t="s">
        <v>12</v>
      </c>
      <c r="M1620" t="s">
        <v>21</v>
      </c>
      <c r="N1620" t="s">
        <v>23</v>
      </c>
      <c r="O1620" t="s">
        <v>41</v>
      </c>
      <c r="P1620">
        <v>3</v>
      </c>
    </row>
    <row r="1621" spans="1:16" x14ac:dyDescent="0.3">
      <c r="A1621">
        <v>2142</v>
      </c>
      <c r="B1621">
        <v>43839</v>
      </c>
      <c r="C1621">
        <v>55</v>
      </c>
      <c r="D1621">
        <v>23767</v>
      </c>
      <c r="E1621" t="s">
        <v>14</v>
      </c>
      <c r="F1621" t="s">
        <v>15</v>
      </c>
      <c r="G1621" t="s">
        <v>17</v>
      </c>
      <c r="H1621" t="s">
        <v>64</v>
      </c>
      <c r="I1621" t="s">
        <v>9</v>
      </c>
      <c r="J1621" t="s">
        <v>10</v>
      </c>
      <c r="K1621" t="s">
        <v>19</v>
      </c>
      <c r="L1621" t="s">
        <v>12</v>
      </c>
      <c r="M1621" t="s">
        <v>42</v>
      </c>
      <c r="N1621" t="s">
        <v>30</v>
      </c>
      <c r="O1621" t="s">
        <v>41</v>
      </c>
      <c r="P1621">
        <v>5</v>
      </c>
    </row>
    <row r="1622" spans="1:16" x14ac:dyDescent="0.3">
      <c r="A1622">
        <v>2144</v>
      </c>
      <c r="B1622">
        <v>44798</v>
      </c>
      <c r="C1622">
        <v>24</v>
      </c>
      <c r="D1622">
        <v>35823</v>
      </c>
      <c r="E1622" t="s">
        <v>14</v>
      </c>
      <c r="F1622" t="s">
        <v>15</v>
      </c>
      <c r="G1622" t="s">
        <v>40</v>
      </c>
      <c r="H1622" t="s">
        <v>64</v>
      </c>
      <c r="I1622" t="s">
        <v>9</v>
      </c>
      <c r="J1622" t="s">
        <v>25</v>
      </c>
      <c r="K1622" t="s">
        <v>26</v>
      </c>
      <c r="L1622" t="s">
        <v>12</v>
      </c>
      <c r="M1622" t="s">
        <v>35</v>
      </c>
      <c r="N1622" t="s">
        <v>23</v>
      </c>
      <c r="O1622" t="s">
        <v>41</v>
      </c>
      <c r="P1622">
        <v>5</v>
      </c>
    </row>
    <row r="1623" spans="1:16" x14ac:dyDescent="0.3">
      <c r="A1623">
        <v>2145</v>
      </c>
      <c r="B1623">
        <v>43523</v>
      </c>
      <c r="C1623">
        <v>30</v>
      </c>
      <c r="D1623">
        <v>32785</v>
      </c>
      <c r="E1623" t="s">
        <v>14</v>
      </c>
      <c r="F1623" t="s">
        <v>15</v>
      </c>
      <c r="G1623" t="s">
        <v>40</v>
      </c>
      <c r="H1623" t="s">
        <v>64</v>
      </c>
      <c r="I1623" t="s">
        <v>9</v>
      </c>
      <c r="J1623" t="s">
        <v>25</v>
      </c>
      <c r="K1623" t="s">
        <v>19</v>
      </c>
      <c r="L1623" t="s">
        <v>12</v>
      </c>
      <c r="M1623" t="s">
        <v>28</v>
      </c>
      <c r="N1623" t="s">
        <v>30</v>
      </c>
      <c r="O1623" t="s">
        <v>41</v>
      </c>
      <c r="P1623">
        <v>3</v>
      </c>
    </row>
    <row r="1624" spans="1:16" x14ac:dyDescent="0.3">
      <c r="A1624">
        <v>2146</v>
      </c>
      <c r="B1624">
        <v>43824</v>
      </c>
      <c r="C1624">
        <v>76</v>
      </c>
      <c r="D1624">
        <v>16013</v>
      </c>
      <c r="E1624" t="s">
        <v>14</v>
      </c>
      <c r="F1624" t="s">
        <v>15</v>
      </c>
      <c r="G1624" t="s">
        <v>40</v>
      </c>
      <c r="H1624" t="s">
        <v>8</v>
      </c>
      <c r="I1624" t="s">
        <v>66</v>
      </c>
      <c r="J1624" t="s">
        <v>25</v>
      </c>
      <c r="K1624" t="s">
        <v>19</v>
      </c>
      <c r="L1624" t="s">
        <v>12</v>
      </c>
      <c r="M1624" t="s">
        <v>49</v>
      </c>
      <c r="N1624" t="s">
        <v>30</v>
      </c>
      <c r="O1624" t="s">
        <v>41</v>
      </c>
      <c r="P1624">
        <v>1</v>
      </c>
    </row>
    <row r="1625" spans="1:16" x14ac:dyDescent="0.3">
      <c r="A1625">
        <v>2147</v>
      </c>
      <c r="B1625">
        <v>44057</v>
      </c>
      <c r="C1625">
        <v>39</v>
      </c>
      <c r="D1625">
        <v>29896</v>
      </c>
      <c r="E1625" t="s">
        <v>14</v>
      </c>
      <c r="F1625" t="s">
        <v>15</v>
      </c>
      <c r="G1625" t="s">
        <v>40</v>
      </c>
      <c r="H1625" t="s">
        <v>8</v>
      </c>
      <c r="I1625" t="s">
        <v>9</v>
      </c>
      <c r="J1625" t="s">
        <v>10</v>
      </c>
      <c r="K1625" t="s">
        <v>26</v>
      </c>
      <c r="L1625" t="s">
        <v>12</v>
      </c>
      <c r="M1625" t="s">
        <v>21</v>
      </c>
      <c r="N1625" t="s">
        <v>23</v>
      </c>
      <c r="O1625" t="s">
        <v>41</v>
      </c>
      <c r="P1625">
        <v>1</v>
      </c>
    </row>
    <row r="1626" spans="1:16" x14ac:dyDescent="0.3">
      <c r="A1626">
        <v>2148</v>
      </c>
      <c r="B1626">
        <v>44407</v>
      </c>
      <c r="C1626">
        <v>72</v>
      </c>
      <c r="D1626">
        <v>18009</v>
      </c>
      <c r="E1626" t="s">
        <v>14</v>
      </c>
      <c r="F1626" t="s">
        <v>15</v>
      </c>
      <c r="G1626" t="s">
        <v>17</v>
      </c>
      <c r="H1626" t="s">
        <v>8</v>
      </c>
      <c r="I1626" t="s">
        <v>9</v>
      </c>
      <c r="J1626" t="s">
        <v>25</v>
      </c>
      <c r="K1626" t="s">
        <v>19</v>
      </c>
      <c r="L1626" t="s">
        <v>12</v>
      </c>
      <c r="M1626" t="s">
        <v>49</v>
      </c>
      <c r="N1626" t="s">
        <v>37</v>
      </c>
      <c r="O1626" t="s">
        <v>41</v>
      </c>
      <c r="P1626">
        <v>1</v>
      </c>
    </row>
    <row r="1627" spans="1:16" x14ac:dyDescent="0.3">
      <c r="A1627">
        <v>2149</v>
      </c>
      <c r="B1627">
        <v>44318</v>
      </c>
      <c r="C1627">
        <v>24</v>
      </c>
      <c r="D1627">
        <v>35515</v>
      </c>
      <c r="E1627" t="s">
        <v>14</v>
      </c>
      <c r="F1627" t="s">
        <v>15</v>
      </c>
      <c r="G1627" t="s">
        <v>31</v>
      </c>
      <c r="H1627" t="s">
        <v>8</v>
      </c>
      <c r="I1627" t="s">
        <v>66</v>
      </c>
      <c r="J1627" t="s">
        <v>25</v>
      </c>
      <c r="K1627" t="s">
        <v>19</v>
      </c>
      <c r="L1627" t="s">
        <v>12</v>
      </c>
      <c r="M1627" t="s">
        <v>54</v>
      </c>
      <c r="N1627" t="s">
        <v>16</v>
      </c>
      <c r="O1627" t="s">
        <v>41</v>
      </c>
      <c r="P1627">
        <v>3</v>
      </c>
    </row>
    <row r="1628" spans="1:16" x14ac:dyDescent="0.3">
      <c r="A1628">
        <v>2150</v>
      </c>
      <c r="B1628">
        <v>44947</v>
      </c>
      <c r="C1628">
        <v>52</v>
      </c>
      <c r="D1628">
        <v>26212</v>
      </c>
      <c r="E1628" t="s">
        <v>14</v>
      </c>
      <c r="F1628" t="s">
        <v>15</v>
      </c>
      <c r="G1628" t="s">
        <v>17</v>
      </c>
      <c r="H1628" t="s">
        <v>8</v>
      </c>
      <c r="I1628" t="s">
        <v>9</v>
      </c>
      <c r="J1628" t="s">
        <v>25</v>
      </c>
      <c r="K1628" t="s">
        <v>26</v>
      </c>
      <c r="L1628" t="s">
        <v>12</v>
      </c>
      <c r="M1628" t="s">
        <v>49</v>
      </c>
      <c r="N1628" t="s">
        <v>46</v>
      </c>
      <c r="O1628" t="s">
        <v>41</v>
      </c>
      <c r="P1628">
        <v>1</v>
      </c>
    </row>
    <row r="1629" spans="1:16" x14ac:dyDescent="0.3">
      <c r="A1629">
        <v>2151</v>
      </c>
      <c r="B1629">
        <v>44216</v>
      </c>
      <c r="C1629">
        <v>71</v>
      </c>
      <c r="D1629">
        <v>18602</v>
      </c>
      <c r="E1629" t="s">
        <v>14</v>
      </c>
      <c r="F1629" t="s">
        <v>15</v>
      </c>
      <c r="G1629" t="s">
        <v>34</v>
      </c>
      <c r="H1629" t="s">
        <v>8</v>
      </c>
      <c r="I1629" t="s">
        <v>9</v>
      </c>
      <c r="J1629" t="s">
        <v>10</v>
      </c>
      <c r="K1629" t="s">
        <v>26</v>
      </c>
      <c r="L1629" t="s">
        <v>12</v>
      </c>
      <c r="M1629" t="s">
        <v>55</v>
      </c>
      <c r="N1629" t="s">
        <v>23</v>
      </c>
      <c r="O1629" t="s">
        <v>41</v>
      </c>
      <c r="P1629">
        <v>4</v>
      </c>
    </row>
    <row r="1630" spans="1:16" x14ac:dyDescent="0.3">
      <c r="A1630">
        <v>2152</v>
      </c>
      <c r="B1630">
        <v>44111</v>
      </c>
      <c r="C1630">
        <v>64</v>
      </c>
      <c r="D1630">
        <v>20461</v>
      </c>
      <c r="E1630" t="s">
        <v>14</v>
      </c>
      <c r="F1630" t="s">
        <v>15</v>
      </c>
      <c r="G1630" t="s">
        <v>17</v>
      </c>
      <c r="H1630" t="s">
        <v>8</v>
      </c>
      <c r="I1630" t="s">
        <v>9</v>
      </c>
      <c r="J1630" t="s">
        <v>20</v>
      </c>
      <c r="K1630" t="s">
        <v>11</v>
      </c>
      <c r="L1630" t="s">
        <v>12</v>
      </c>
      <c r="M1630" t="s">
        <v>42</v>
      </c>
      <c r="N1630" t="s">
        <v>16</v>
      </c>
      <c r="O1630" t="s">
        <v>41</v>
      </c>
      <c r="P1630">
        <v>1</v>
      </c>
    </row>
    <row r="1631" spans="1:16" x14ac:dyDescent="0.3">
      <c r="A1631">
        <v>2153</v>
      </c>
      <c r="B1631">
        <v>43631</v>
      </c>
      <c r="C1631">
        <v>75</v>
      </c>
      <c r="D1631">
        <v>16325</v>
      </c>
      <c r="E1631" t="s">
        <v>14</v>
      </c>
      <c r="F1631" t="s">
        <v>15</v>
      </c>
      <c r="G1631" t="s">
        <v>34</v>
      </c>
      <c r="H1631" t="s">
        <v>8</v>
      </c>
      <c r="I1631" t="s">
        <v>9</v>
      </c>
      <c r="J1631" t="s">
        <v>10</v>
      </c>
      <c r="K1631" t="s">
        <v>11</v>
      </c>
      <c r="L1631" t="s">
        <v>12</v>
      </c>
      <c r="M1631" t="s">
        <v>54</v>
      </c>
      <c r="N1631" t="s">
        <v>30</v>
      </c>
      <c r="O1631" t="s">
        <v>41</v>
      </c>
      <c r="P1631">
        <v>5</v>
      </c>
    </row>
    <row r="1632" spans="1:16" x14ac:dyDescent="0.3">
      <c r="A1632">
        <v>2154</v>
      </c>
      <c r="B1632">
        <v>44679</v>
      </c>
      <c r="C1632">
        <v>47</v>
      </c>
      <c r="D1632">
        <v>27645</v>
      </c>
      <c r="E1632" t="s">
        <v>14</v>
      </c>
      <c r="F1632" t="s">
        <v>22</v>
      </c>
      <c r="G1632" t="s">
        <v>34</v>
      </c>
      <c r="H1632" t="s">
        <v>8</v>
      </c>
      <c r="I1632" t="s">
        <v>9</v>
      </c>
      <c r="J1632" t="s">
        <v>20</v>
      </c>
      <c r="K1632" t="s">
        <v>19</v>
      </c>
      <c r="L1632" t="s">
        <v>12</v>
      </c>
      <c r="M1632" t="s">
        <v>35</v>
      </c>
      <c r="N1632" t="s">
        <v>30</v>
      </c>
      <c r="O1632" t="s">
        <v>41</v>
      </c>
      <c r="P1632">
        <v>3</v>
      </c>
    </row>
    <row r="1633" spans="1:16" x14ac:dyDescent="0.3">
      <c r="A1633">
        <v>2155</v>
      </c>
      <c r="B1633">
        <v>43645</v>
      </c>
      <c r="C1633">
        <v>77</v>
      </c>
      <c r="D1633">
        <v>15396</v>
      </c>
      <c r="E1633" t="s">
        <v>14</v>
      </c>
      <c r="F1633" t="s">
        <v>15</v>
      </c>
      <c r="G1633" t="s">
        <v>31</v>
      </c>
      <c r="H1633" t="s">
        <v>8</v>
      </c>
      <c r="I1633" t="s">
        <v>66</v>
      </c>
      <c r="J1633" t="s">
        <v>20</v>
      </c>
      <c r="K1633" t="s">
        <v>26</v>
      </c>
      <c r="L1633" t="s">
        <v>12</v>
      </c>
      <c r="M1633" t="s">
        <v>13</v>
      </c>
      <c r="N1633" t="s">
        <v>30</v>
      </c>
      <c r="O1633" t="s">
        <v>41</v>
      </c>
      <c r="P1633">
        <v>2</v>
      </c>
    </row>
    <row r="1634" spans="1:16" x14ac:dyDescent="0.3">
      <c r="A1634">
        <v>2156</v>
      </c>
      <c r="B1634">
        <v>43354</v>
      </c>
      <c r="C1634">
        <v>29</v>
      </c>
      <c r="D1634">
        <v>32537</v>
      </c>
      <c r="E1634" t="s">
        <v>14</v>
      </c>
      <c r="F1634" t="s">
        <v>15</v>
      </c>
      <c r="G1634" t="s">
        <v>17</v>
      </c>
      <c r="H1634" t="s">
        <v>8</v>
      </c>
      <c r="I1634" t="s">
        <v>9</v>
      </c>
      <c r="J1634" t="s">
        <v>20</v>
      </c>
      <c r="K1634" t="s">
        <v>26</v>
      </c>
      <c r="L1634" t="s">
        <v>12</v>
      </c>
      <c r="M1634" t="s">
        <v>44</v>
      </c>
      <c r="N1634" t="s">
        <v>37</v>
      </c>
      <c r="O1634" t="s">
        <v>41</v>
      </c>
      <c r="P1634">
        <v>1</v>
      </c>
    </row>
    <row r="1635" spans="1:16" x14ac:dyDescent="0.3">
      <c r="A1635">
        <v>2157</v>
      </c>
      <c r="B1635">
        <v>43966</v>
      </c>
      <c r="C1635">
        <v>70</v>
      </c>
      <c r="D1635">
        <v>18296</v>
      </c>
      <c r="E1635" t="s">
        <v>14</v>
      </c>
      <c r="F1635" t="s">
        <v>15</v>
      </c>
      <c r="G1635" t="s">
        <v>34</v>
      </c>
      <c r="H1635" t="s">
        <v>8</v>
      </c>
      <c r="I1635" t="s">
        <v>9</v>
      </c>
      <c r="J1635" t="s">
        <v>10</v>
      </c>
      <c r="K1635" t="s">
        <v>19</v>
      </c>
      <c r="L1635" t="s">
        <v>12</v>
      </c>
      <c r="M1635" t="s">
        <v>28</v>
      </c>
      <c r="N1635" t="s">
        <v>46</v>
      </c>
      <c r="O1635" t="s">
        <v>41</v>
      </c>
      <c r="P1635">
        <v>2</v>
      </c>
    </row>
    <row r="1636" spans="1:16" x14ac:dyDescent="0.3">
      <c r="A1636">
        <v>2158</v>
      </c>
      <c r="B1636">
        <v>44980</v>
      </c>
      <c r="C1636">
        <v>61</v>
      </c>
      <c r="D1636">
        <v>22834</v>
      </c>
      <c r="E1636" t="s">
        <v>14</v>
      </c>
      <c r="F1636" t="s">
        <v>15</v>
      </c>
      <c r="G1636" t="s">
        <v>34</v>
      </c>
      <c r="H1636" t="s">
        <v>8</v>
      </c>
      <c r="I1636" t="s">
        <v>9</v>
      </c>
      <c r="J1636" t="s">
        <v>25</v>
      </c>
      <c r="K1636" t="s">
        <v>26</v>
      </c>
      <c r="L1636" t="s">
        <v>12</v>
      </c>
      <c r="M1636" t="s">
        <v>35</v>
      </c>
      <c r="N1636" t="s">
        <v>16</v>
      </c>
      <c r="O1636" t="s">
        <v>41</v>
      </c>
      <c r="P1636">
        <v>4</v>
      </c>
    </row>
    <row r="1637" spans="1:16" x14ac:dyDescent="0.3">
      <c r="A1637">
        <v>2159</v>
      </c>
      <c r="B1637">
        <v>44278</v>
      </c>
      <c r="C1637">
        <v>38</v>
      </c>
      <c r="D1637">
        <v>30467</v>
      </c>
      <c r="E1637" t="s">
        <v>14</v>
      </c>
      <c r="F1637" t="s">
        <v>15</v>
      </c>
      <c r="G1637" t="s">
        <v>17</v>
      </c>
      <c r="H1637" t="s">
        <v>8</v>
      </c>
      <c r="I1637" t="s">
        <v>9</v>
      </c>
      <c r="J1637" t="s">
        <v>25</v>
      </c>
      <c r="K1637" t="s">
        <v>11</v>
      </c>
      <c r="L1637" t="s">
        <v>12</v>
      </c>
      <c r="M1637" t="s">
        <v>21</v>
      </c>
      <c r="N1637" t="s">
        <v>16</v>
      </c>
      <c r="O1637" t="s">
        <v>41</v>
      </c>
      <c r="P1637">
        <v>1</v>
      </c>
    </row>
    <row r="1638" spans="1:16" x14ac:dyDescent="0.3">
      <c r="A1638">
        <v>2160</v>
      </c>
      <c r="B1638">
        <v>44872</v>
      </c>
      <c r="C1638">
        <v>34</v>
      </c>
      <c r="D1638">
        <v>32285</v>
      </c>
      <c r="E1638" t="s">
        <v>14</v>
      </c>
      <c r="F1638" t="s">
        <v>15</v>
      </c>
      <c r="G1638" t="s">
        <v>34</v>
      </c>
      <c r="H1638" t="s">
        <v>8</v>
      </c>
      <c r="I1638" t="s">
        <v>9</v>
      </c>
      <c r="J1638" t="s">
        <v>25</v>
      </c>
      <c r="K1638" t="s">
        <v>19</v>
      </c>
      <c r="L1638" t="s">
        <v>12</v>
      </c>
      <c r="M1638" t="s">
        <v>32</v>
      </c>
      <c r="N1638" t="s">
        <v>30</v>
      </c>
      <c r="O1638" t="s">
        <v>41</v>
      </c>
      <c r="P1638">
        <v>1</v>
      </c>
    </row>
    <row r="1639" spans="1:16" x14ac:dyDescent="0.3">
      <c r="A1639">
        <v>2161</v>
      </c>
      <c r="B1639">
        <v>44335</v>
      </c>
      <c r="C1639">
        <v>70</v>
      </c>
      <c r="D1639">
        <v>18774</v>
      </c>
      <c r="E1639" t="s">
        <v>14</v>
      </c>
      <c r="F1639" t="s">
        <v>15</v>
      </c>
      <c r="G1639" t="s">
        <v>31</v>
      </c>
      <c r="H1639" t="s">
        <v>8</v>
      </c>
      <c r="I1639" t="s">
        <v>9</v>
      </c>
      <c r="J1639" t="s">
        <v>10</v>
      </c>
      <c r="K1639" t="s">
        <v>11</v>
      </c>
      <c r="L1639" t="s">
        <v>12</v>
      </c>
      <c r="M1639" t="s">
        <v>54</v>
      </c>
      <c r="N1639" t="s">
        <v>46</v>
      </c>
      <c r="O1639" t="s">
        <v>41</v>
      </c>
      <c r="P1639">
        <v>4</v>
      </c>
    </row>
    <row r="1640" spans="1:16" x14ac:dyDescent="0.3">
      <c r="A1640">
        <v>2162</v>
      </c>
      <c r="B1640">
        <v>44198</v>
      </c>
      <c r="C1640">
        <v>51</v>
      </c>
      <c r="D1640">
        <v>25663</v>
      </c>
      <c r="E1640" t="s">
        <v>14</v>
      </c>
      <c r="F1640" t="s">
        <v>15</v>
      </c>
      <c r="G1640" t="s">
        <v>34</v>
      </c>
      <c r="H1640" t="s">
        <v>64</v>
      </c>
      <c r="I1640" t="s">
        <v>9</v>
      </c>
      <c r="J1640" t="s">
        <v>25</v>
      </c>
      <c r="K1640" t="s">
        <v>26</v>
      </c>
      <c r="L1640" t="s">
        <v>12</v>
      </c>
      <c r="M1640" t="s">
        <v>54</v>
      </c>
      <c r="N1640" t="s">
        <v>46</v>
      </c>
      <c r="O1640" t="s">
        <v>41</v>
      </c>
      <c r="P1640">
        <v>5</v>
      </c>
    </row>
    <row r="1641" spans="1:16" x14ac:dyDescent="0.3">
      <c r="A1641">
        <v>2163</v>
      </c>
      <c r="B1641">
        <v>43550</v>
      </c>
      <c r="C1641">
        <v>53</v>
      </c>
      <c r="D1641">
        <v>24430</v>
      </c>
      <c r="E1641" t="s">
        <v>14</v>
      </c>
      <c r="F1641" t="s">
        <v>15</v>
      </c>
      <c r="G1641" t="s">
        <v>34</v>
      </c>
      <c r="H1641" t="s">
        <v>64</v>
      </c>
      <c r="I1641" t="s">
        <v>9</v>
      </c>
      <c r="J1641" t="s">
        <v>10</v>
      </c>
      <c r="K1641" t="s">
        <v>26</v>
      </c>
      <c r="L1641" t="s">
        <v>12</v>
      </c>
      <c r="M1641" t="s">
        <v>28</v>
      </c>
      <c r="N1641" t="s">
        <v>16</v>
      </c>
      <c r="O1641" t="s">
        <v>41</v>
      </c>
      <c r="P1641">
        <v>5</v>
      </c>
    </row>
    <row r="1642" spans="1:16" x14ac:dyDescent="0.3">
      <c r="A1642">
        <v>2164</v>
      </c>
      <c r="B1642">
        <v>44102</v>
      </c>
      <c r="C1642">
        <v>70</v>
      </c>
      <c r="D1642">
        <v>18471</v>
      </c>
      <c r="E1642" t="s">
        <v>14</v>
      </c>
      <c r="F1642" t="s">
        <v>15</v>
      </c>
      <c r="G1642" t="s">
        <v>40</v>
      </c>
      <c r="H1642" t="s">
        <v>64</v>
      </c>
      <c r="I1642" t="s">
        <v>9</v>
      </c>
      <c r="J1642" t="s">
        <v>20</v>
      </c>
      <c r="K1642" t="s">
        <v>11</v>
      </c>
      <c r="L1642" t="s">
        <v>12</v>
      </c>
      <c r="M1642" t="s">
        <v>38</v>
      </c>
      <c r="N1642" t="s">
        <v>37</v>
      </c>
      <c r="O1642" t="s">
        <v>41</v>
      </c>
      <c r="P1642">
        <v>1</v>
      </c>
    </row>
    <row r="1643" spans="1:16" x14ac:dyDescent="0.3">
      <c r="A1643">
        <v>2165</v>
      </c>
      <c r="B1643">
        <v>43540</v>
      </c>
      <c r="C1643">
        <v>71</v>
      </c>
      <c r="D1643">
        <v>17569</v>
      </c>
      <c r="E1643" t="s">
        <v>14</v>
      </c>
      <c r="F1643" t="s">
        <v>15</v>
      </c>
      <c r="G1643" t="s">
        <v>40</v>
      </c>
      <c r="H1643" t="s">
        <v>64</v>
      </c>
      <c r="I1643" t="s">
        <v>9</v>
      </c>
      <c r="J1643" t="s">
        <v>10</v>
      </c>
      <c r="K1643" t="s">
        <v>11</v>
      </c>
      <c r="L1643" t="s">
        <v>12</v>
      </c>
      <c r="M1643" t="s">
        <v>35</v>
      </c>
      <c r="N1643" t="s">
        <v>46</v>
      </c>
      <c r="O1643" t="s">
        <v>41</v>
      </c>
      <c r="P1643">
        <v>3</v>
      </c>
    </row>
    <row r="1644" spans="1:16" x14ac:dyDescent="0.3">
      <c r="A1644">
        <v>2166</v>
      </c>
      <c r="B1644">
        <v>43544</v>
      </c>
      <c r="C1644">
        <v>22</v>
      </c>
      <c r="D1644">
        <v>35682</v>
      </c>
      <c r="E1644" t="s">
        <v>14</v>
      </c>
      <c r="F1644" t="s">
        <v>15</v>
      </c>
      <c r="G1644" t="s">
        <v>17</v>
      </c>
      <c r="H1644" t="s">
        <v>64</v>
      </c>
      <c r="I1644" t="s">
        <v>9</v>
      </c>
      <c r="J1644" t="s">
        <v>10</v>
      </c>
      <c r="K1644" t="s">
        <v>26</v>
      </c>
      <c r="L1644" t="s">
        <v>12</v>
      </c>
      <c r="M1644" t="s">
        <v>35</v>
      </c>
      <c r="N1644" t="s">
        <v>46</v>
      </c>
      <c r="O1644" t="s">
        <v>41</v>
      </c>
      <c r="P1644">
        <v>2</v>
      </c>
    </row>
    <row r="1645" spans="1:16" x14ac:dyDescent="0.3">
      <c r="A1645">
        <v>2168</v>
      </c>
      <c r="B1645">
        <v>43320</v>
      </c>
      <c r="C1645">
        <v>23</v>
      </c>
      <c r="D1645">
        <v>34715</v>
      </c>
      <c r="E1645" t="s">
        <v>14</v>
      </c>
      <c r="F1645" t="s">
        <v>15</v>
      </c>
      <c r="G1645" t="s">
        <v>40</v>
      </c>
      <c r="H1645" t="s">
        <v>64</v>
      </c>
      <c r="I1645" t="s">
        <v>9</v>
      </c>
      <c r="J1645" t="s">
        <v>20</v>
      </c>
      <c r="K1645" t="s">
        <v>26</v>
      </c>
      <c r="L1645" t="s">
        <v>12</v>
      </c>
      <c r="M1645" t="s">
        <v>35</v>
      </c>
      <c r="N1645" t="s">
        <v>37</v>
      </c>
      <c r="O1645" t="s">
        <v>41</v>
      </c>
      <c r="P1645">
        <v>1</v>
      </c>
    </row>
    <row r="1646" spans="1:16" x14ac:dyDescent="0.3">
      <c r="A1646">
        <v>2169</v>
      </c>
      <c r="B1646">
        <v>44016</v>
      </c>
      <c r="C1646">
        <v>25</v>
      </c>
      <c r="D1646">
        <v>35059</v>
      </c>
      <c r="E1646" t="s">
        <v>14</v>
      </c>
      <c r="F1646" t="s">
        <v>15</v>
      </c>
      <c r="G1646" t="s">
        <v>17</v>
      </c>
      <c r="H1646" t="s">
        <v>64</v>
      </c>
      <c r="I1646" t="s">
        <v>9</v>
      </c>
      <c r="J1646" t="s">
        <v>25</v>
      </c>
      <c r="K1646" t="s">
        <v>19</v>
      </c>
      <c r="L1646" t="s">
        <v>12</v>
      </c>
      <c r="M1646" t="s">
        <v>32</v>
      </c>
      <c r="N1646" t="s">
        <v>37</v>
      </c>
      <c r="O1646" t="s">
        <v>41</v>
      </c>
      <c r="P1646">
        <v>2</v>
      </c>
    </row>
    <row r="1647" spans="1:16" x14ac:dyDescent="0.3">
      <c r="A1647">
        <v>2170</v>
      </c>
      <c r="B1647">
        <v>44955</v>
      </c>
      <c r="C1647">
        <v>73</v>
      </c>
      <c r="D1647">
        <v>18431</v>
      </c>
      <c r="E1647" t="s">
        <v>14</v>
      </c>
      <c r="F1647" t="s">
        <v>15</v>
      </c>
      <c r="G1647" t="s">
        <v>17</v>
      </c>
      <c r="H1647" t="s">
        <v>8</v>
      </c>
      <c r="I1647" t="s">
        <v>9</v>
      </c>
      <c r="J1647" t="s">
        <v>25</v>
      </c>
      <c r="K1647" t="s">
        <v>11</v>
      </c>
      <c r="L1647" t="s">
        <v>12</v>
      </c>
      <c r="M1647" t="s">
        <v>59</v>
      </c>
      <c r="N1647" t="s">
        <v>37</v>
      </c>
      <c r="O1647" t="s">
        <v>41</v>
      </c>
      <c r="P1647">
        <v>5</v>
      </c>
    </row>
    <row r="1648" spans="1:16" x14ac:dyDescent="0.3">
      <c r="A1648">
        <v>2171</v>
      </c>
      <c r="B1648">
        <v>44417</v>
      </c>
      <c r="C1648">
        <v>29</v>
      </c>
      <c r="D1648">
        <v>33645</v>
      </c>
      <c r="E1648" t="s">
        <v>14</v>
      </c>
      <c r="F1648" t="s">
        <v>15</v>
      </c>
      <c r="G1648" t="s">
        <v>34</v>
      </c>
      <c r="H1648" t="s">
        <v>8</v>
      </c>
      <c r="I1648" t="s">
        <v>9</v>
      </c>
      <c r="J1648" t="s">
        <v>25</v>
      </c>
      <c r="K1648" t="s">
        <v>19</v>
      </c>
      <c r="L1648" t="s">
        <v>12</v>
      </c>
      <c r="M1648" t="s">
        <v>44</v>
      </c>
      <c r="N1648" t="s">
        <v>23</v>
      </c>
      <c r="O1648" t="s">
        <v>41</v>
      </c>
      <c r="P1648">
        <v>3</v>
      </c>
    </row>
    <row r="1649" spans="1:16" x14ac:dyDescent="0.3">
      <c r="A1649">
        <v>2172</v>
      </c>
      <c r="B1649">
        <v>44332</v>
      </c>
      <c r="C1649">
        <v>27</v>
      </c>
      <c r="D1649">
        <v>34486</v>
      </c>
      <c r="E1649" t="s">
        <v>14</v>
      </c>
      <c r="F1649" t="s">
        <v>15</v>
      </c>
      <c r="G1649" t="s">
        <v>31</v>
      </c>
      <c r="H1649" t="s">
        <v>8</v>
      </c>
      <c r="I1649" t="s">
        <v>66</v>
      </c>
      <c r="J1649" t="s">
        <v>20</v>
      </c>
      <c r="K1649" t="s">
        <v>11</v>
      </c>
      <c r="L1649" t="s">
        <v>12</v>
      </c>
      <c r="M1649" t="s">
        <v>35</v>
      </c>
      <c r="N1649" t="s">
        <v>30</v>
      </c>
      <c r="O1649" t="s">
        <v>41</v>
      </c>
      <c r="P1649">
        <v>4</v>
      </c>
    </row>
    <row r="1650" spans="1:16" x14ac:dyDescent="0.3">
      <c r="A1650">
        <v>2173</v>
      </c>
      <c r="B1650">
        <v>44422</v>
      </c>
      <c r="C1650">
        <v>34</v>
      </c>
      <c r="D1650">
        <v>32054</v>
      </c>
      <c r="E1650" t="s">
        <v>14</v>
      </c>
      <c r="F1650" t="s">
        <v>15</v>
      </c>
      <c r="G1650" t="s">
        <v>40</v>
      </c>
      <c r="H1650" t="s">
        <v>8</v>
      </c>
      <c r="I1650" t="s">
        <v>66</v>
      </c>
      <c r="J1650" t="s">
        <v>10</v>
      </c>
      <c r="K1650" t="s">
        <v>19</v>
      </c>
      <c r="L1650" t="s">
        <v>12</v>
      </c>
      <c r="M1650" t="s">
        <v>42</v>
      </c>
      <c r="N1650" t="s">
        <v>46</v>
      </c>
      <c r="O1650" t="s">
        <v>41</v>
      </c>
      <c r="P1650">
        <v>4</v>
      </c>
    </row>
    <row r="1651" spans="1:16" x14ac:dyDescent="0.3">
      <c r="A1651">
        <v>2174</v>
      </c>
      <c r="B1651">
        <v>44600</v>
      </c>
      <c r="C1651">
        <v>52</v>
      </c>
      <c r="D1651">
        <v>25931</v>
      </c>
      <c r="E1651" t="s">
        <v>14</v>
      </c>
      <c r="F1651" t="s">
        <v>15</v>
      </c>
      <c r="G1651" t="s">
        <v>34</v>
      </c>
      <c r="H1651" t="s">
        <v>8</v>
      </c>
      <c r="I1651" t="s">
        <v>9</v>
      </c>
      <c r="J1651" t="s">
        <v>25</v>
      </c>
      <c r="K1651" t="s">
        <v>26</v>
      </c>
      <c r="L1651" t="s">
        <v>12</v>
      </c>
      <c r="M1651" t="s">
        <v>38</v>
      </c>
      <c r="N1651" t="s">
        <v>37</v>
      </c>
      <c r="O1651" t="s">
        <v>41</v>
      </c>
      <c r="P1651">
        <v>1</v>
      </c>
    </row>
    <row r="1652" spans="1:16" x14ac:dyDescent="0.3">
      <c r="A1652">
        <v>2175</v>
      </c>
      <c r="B1652">
        <v>43815</v>
      </c>
      <c r="C1652">
        <v>32</v>
      </c>
      <c r="D1652">
        <v>32052</v>
      </c>
      <c r="E1652" t="s">
        <v>14</v>
      </c>
      <c r="F1652" t="s">
        <v>15</v>
      </c>
      <c r="G1652" t="s">
        <v>17</v>
      </c>
      <c r="H1652" t="s">
        <v>8</v>
      </c>
      <c r="I1652" t="s">
        <v>9</v>
      </c>
      <c r="J1652" t="s">
        <v>10</v>
      </c>
      <c r="K1652" t="s">
        <v>11</v>
      </c>
      <c r="L1652" t="s">
        <v>12</v>
      </c>
      <c r="M1652" t="s">
        <v>35</v>
      </c>
      <c r="N1652" t="s">
        <v>23</v>
      </c>
      <c r="O1652" t="s">
        <v>41</v>
      </c>
      <c r="P1652">
        <v>3</v>
      </c>
    </row>
    <row r="1653" spans="1:16" x14ac:dyDescent="0.3">
      <c r="A1653">
        <v>2176</v>
      </c>
      <c r="B1653">
        <v>44476</v>
      </c>
      <c r="C1653">
        <v>33</v>
      </c>
      <c r="D1653">
        <v>32499</v>
      </c>
      <c r="E1653" t="s">
        <v>14</v>
      </c>
      <c r="F1653" t="s">
        <v>15</v>
      </c>
      <c r="G1653" t="s">
        <v>34</v>
      </c>
      <c r="H1653" t="s">
        <v>8</v>
      </c>
      <c r="I1653" t="s">
        <v>9</v>
      </c>
      <c r="J1653" t="s">
        <v>25</v>
      </c>
      <c r="K1653" t="s">
        <v>26</v>
      </c>
      <c r="L1653" t="s">
        <v>12</v>
      </c>
      <c r="M1653" t="s">
        <v>35</v>
      </c>
      <c r="N1653" t="s">
        <v>46</v>
      </c>
      <c r="O1653" t="s">
        <v>41</v>
      </c>
      <c r="P1653">
        <v>1</v>
      </c>
    </row>
    <row r="1654" spans="1:16" x14ac:dyDescent="0.3">
      <c r="A1654">
        <v>2177</v>
      </c>
      <c r="B1654">
        <v>44188</v>
      </c>
      <c r="C1654">
        <v>69</v>
      </c>
      <c r="D1654">
        <v>18873</v>
      </c>
      <c r="E1654" t="s">
        <v>14</v>
      </c>
      <c r="F1654" t="s">
        <v>22</v>
      </c>
      <c r="G1654" t="s">
        <v>31</v>
      </c>
      <c r="H1654" t="s">
        <v>8</v>
      </c>
      <c r="I1654" t="s">
        <v>9</v>
      </c>
      <c r="J1654" t="s">
        <v>25</v>
      </c>
      <c r="K1654" t="s">
        <v>19</v>
      </c>
      <c r="L1654" t="s">
        <v>12</v>
      </c>
      <c r="M1654" t="s">
        <v>60</v>
      </c>
      <c r="N1654" t="s">
        <v>46</v>
      </c>
      <c r="O1654" t="s">
        <v>65</v>
      </c>
      <c r="P1654">
        <v>2</v>
      </c>
    </row>
    <row r="1655" spans="1:16" x14ac:dyDescent="0.3">
      <c r="A1655">
        <v>2178</v>
      </c>
      <c r="B1655">
        <v>44866</v>
      </c>
      <c r="C1655">
        <v>32</v>
      </c>
      <c r="D1655">
        <v>33115</v>
      </c>
      <c r="E1655" t="s">
        <v>14</v>
      </c>
      <c r="F1655" t="s">
        <v>15</v>
      </c>
      <c r="G1655" t="s">
        <v>34</v>
      </c>
      <c r="H1655" t="s">
        <v>8</v>
      </c>
      <c r="I1655" t="s">
        <v>9</v>
      </c>
      <c r="J1655" t="s">
        <v>10</v>
      </c>
      <c r="K1655" t="s">
        <v>26</v>
      </c>
      <c r="L1655" t="s">
        <v>12</v>
      </c>
      <c r="M1655" t="s">
        <v>55</v>
      </c>
      <c r="N1655" t="s">
        <v>23</v>
      </c>
      <c r="O1655" t="s">
        <v>65</v>
      </c>
      <c r="P1655">
        <v>1</v>
      </c>
    </row>
    <row r="1656" spans="1:16" x14ac:dyDescent="0.3">
      <c r="A1656">
        <v>2179</v>
      </c>
      <c r="B1656">
        <v>44862</v>
      </c>
      <c r="C1656">
        <v>26</v>
      </c>
      <c r="D1656">
        <v>35068</v>
      </c>
      <c r="E1656" t="s">
        <v>14</v>
      </c>
      <c r="F1656" t="s">
        <v>15</v>
      </c>
      <c r="G1656" t="s">
        <v>17</v>
      </c>
      <c r="H1656" t="s">
        <v>8</v>
      </c>
      <c r="I1656" t="s">
        <v>66</v>
      </c>
      <c r="J1656" t="s">
        <v>10</v>
      </c>
      <c r="K1656" t="s">
        <v>26</v>
      </c>
      <c r="L1656" t="s">
        <v>12</v>
      </c>
      <c r="M1656" t="s">
        <v>54</v>
      </c>
      <c r="N1656" t="s">
        <v>37</v>
      </c>
      <c r="O1656" t="s">
        <v>65</v>
      </c>
      <c r="P1656">
        <v>3</v>
      </c>
    </row>
    <row r="1657" spans="1:16" x14ac:dyDescent="0.3">
      <c r="A1657">
        <v>2180</v>
      </c>
      <c r="B1657">
        <v>43407</v>
      </c>
      <c r="C1657">
        <v>38</v>
      </c>
      <c r="D1657">
        <v>29443</v>
      </c>
      <c r="E1657" t="s">
        <v>14</v>
      </c>
      <c r="F1657" t="s">
        <v>15</v>
      </c>
      <c r="G1657" t="s">
        <v>17</v>
      </c>
      <c r="H1657" t="s">
        <v>8</v>
      </c>
      <c r="I1657" t="s">
        <v>9</v>
      </c>
      <c r="J1657" t="s">
        <v>25</v>
      </c>
      <c r="K1657" t="s">
        <v>19</v>
      </c>
      <c r="L1657" t="s">
        <v>12</v>
      </c>
      <c r="M1657" t="s">
        <v>35</v>
      </c>
      <c r="N1657" t="s">
        <v>23</v>
      </c>
      <c r="O1657" t="s">
        <v>65</v>
      </c>
      <c r="P1657">
        <v>4</v>
      </c>
    </row>
    <row r="1658" spans="1:16" x14ac:dyDescent="0.3">
      <c r="A1658">
        <v>2181</v>
      </c>
      <c r="B1658">
        <v>43529</v>
      </c>
      <c r="C1658">
        <v>28</v>
      </c>
      <c r="D1658">
        <v>33463</v>
      </c>
      <c r="E1658" t="s">
        <v>14</v>
      </c>
      <c r="F1658" t="s">
        <v>15</v>
      </c>
      <c r="G1658" t="s">
        <v>31</v>
      </c>
      <c r="H1658" t="s">
        <v>8</v>
      </c>
      <c r="I1658" t="s">
        <v>9</v>
      </c>
      <c r="J1658" t="s">
        <v>10</v>
      </c>
      <c r="K1658" t="s">
        <v>19</v>
      </c>
      <c r="L1658" t="s">
        <v>12</v>
      </c>
      <c r="M1658" t="s">
        <v>35</v>
      </c>
      <c r="N1658" t="s">
        <v>37</v>
      </c>
      <c r="O1658" t="s">
        <v>65</v>
      </c>
      <c r="P1658">
        <v>1</v>
      </c>
    </row>
    <row r="1659" spans="1:16" x14ac:dyDescent="0.3">
      <c r="A1659">
        <v>2182</v>
      </c>
      <c r="B1659">
        <v>44269</v>
      </c>
      <c r="C1659">
        <v>29</v>
      </c>
      <c r="D1659">
        <v>33623</v>
      </c>
      <c r="E1659" t="s">
        <v>14</v>
      </c>
      <c r="F1659" t="s">
        <v>15</v>
      </c>
      <c r="G1659" t="s">
        <v>17</v>
      </c>
      <c r="H1659" t="s">
        <v>8</v>
      </c>
      <c r="I1659" t="s">
        <v>9</v>
      </c>
      <c r="J1659" t="s">
        <v>25</v>
      </c>
      <c r="K1659" t="s">
        <v>19</v>
      </c>
      <c r="L1659" t="s">
        <v>12</v>
      </c>
      <c r="M1659" t="s">
        <v>38</v>
      </c>
      <c r="N1659" t="s">
        <v>37</v>
      </c>
      <c r="O1659" t="s">
        <v>41</v>
      </c>
      <c r="P1659">
        <v>1</v>
      </c>
    </row>
    <row r="1660" spans="1:16" x14ac:dyDescent="0.3">
      <c r="A1660">
        <v>2183</v>
      </c>
      <c r="B1660">
        <v>43447</v>
      </c>
      <c r="C1660">
        <v>69</v>
      </c>
      <c r="D1660">
        <v>18153</v>
      </c>
      <c r="E1660" t="s">
        <v>14</v>
      </c>
      <c r="F1660" t="s">
        <v>15</v>
      </c>
      <c r="G1660" t="s">
        <v>40</v>
      </c>
      <c r="H1660" t="s">
        <v>8</v>
      </c>
      <c r="I1660" t="s">
        <v>9</v>
      </c>
      <c r="J1660" t="s">
        <v>10</v>
      </c>
      <c r="K1660" t="s">
        <v>11</v>
      </c>
      <c r="L1660" t="s">
        <v>12</v>
      </c>
      <c r="M1660" t="s">
        <v>13</v>
      </c>
      <c r="N1660" t="s">
        <v>16</v>
      </c>
      <c r="O1660" t="s">
        <v>41</v>
      </c>
      <c r="P1660">
        <v>4</v>
      </c>
    </row>
    <row r="1661" spans="1:16" x14ac:dyDescent="0.3">
      <c r="A1661">
        <v>2184</v>
      </c>
      <c r="B1661">
        <v>44444</v>
      </c>
      <c r="C1661">
        <v>37</v>
      </c>
      <c r="D1661">
        <v>30732</v>
      </c>
      <c r="E1661" t="s">
        <v>14</v>
      </c>
      <c r="F1661" t="s">
        <v>15</v>
      </c>
      <c r="G1661" t="s">
        <v>40</v>
      </c>
      <c r="H1661" t="s">
        <v>8</v>
      </c>
      <c r="I1661" t="s">
        <v>9</v>
      </c>
      <c r="J1661" t="s">
        <v>25</v>
      </c>
      <c r="K1661" t="s">
        <v>11</v>
      </c>
      <c r="L1661" t="s">
        <v>12</v>
      </c>
      <c r="M1661" t="s">
        <v>21</v>
      </c>
      <c r="N1661" t="s">
        <v>30</v>
      </c>
      <c r="O1661" t="s">
        <v>41</v>
      </c>
      <c r="P1661">
        <v>4</v>
      </c>
    </row>
    <row r="1662" spans="1:16" x14ac:dyDescent="0.3">
      <c r="A1662">
        <v>2185</v>
      </c>
      <c r="B1662">
        <v>43968</v>
      </c>
      <c r="C1662">
        <v>61</v>
      </c>
      <c r="D1662">
        <v>21661</v>
      </c>
      <c r="E1662" t="s">
        <v>14</v>
      </c>
      <c r="F1662" t="s">
        <v>15</v>
      </c>
      <c r="G1662" t="s">
        <v>31</v>
      </c>
      <c r="H1662" t="s">
        <v>64</v>
      </c>
      <c r="I1662" t="s">
        <v>66</v>
      </c>
      <c r="J1662" t="s">
        <v>10</v>
      </c>
      <c r="K1662" t="s">
        <v>19</v>
      </c>
      <c r="L1662" t="s">
        <v>12</v>
      </c>
      <c r="M1662" t="s">
        <v>21</v>
      </c>
      <c r="N1662" t="s">
        <v>46</v>
      </c>
      <c r="O1662" t="s">
        <v>41</v>
      </c>
      <c r="P1662">
        <v>5</v>
      </c>
    </row>
    <row r="1663" spans="1:16" x14ac:dyDescent="0.3">
      <c r="A1663">
        <v>2186</v>
      </c>
      <c r="B1663">
        <v>44988</v>
      </c>
      <c r="C1663">
        <v>26</v>
      </c>
      <c r="D1663">
        <v>35567</v>
      </c>
      <c r="E1663" t="s">
        <v>14</v>
      </c>
      <c r="F1663" t="s">
        <v>22</v>
      </c>
      <c r="G1663" t="s">
        <v>34</v>
      </c>
      <c r="H1663" t="s">
        <v>64</v>
      </c>
      <c r="I1663" t="s">
        <v>9</v>
      </c>
      <c r="J1663" t="s">
        <v>20</v>
      </c>
      <c r="K1663" t="s">
        <v>19</v>
      </c>
      <c r="L1663" t="s">
        <v>12</v>
      </c>
      <c r="M1663" t="s">
        <v>35</v>
      </c>
      <c r="N1663" t="s">
        <v>23</v>
      </c>
      <c r="O1663" t="s">
        <v>41</v>
      </c>
      <c r="P1663">
        <v>1</v>
      </c>
    </row>
    <row r="1664" spans="1:16" x14ac:dyDescent="0.3">
      <c r="A1664">
        <v>2187</v>
      </c>
      <c r="B1664">
        <v>43889</v>
      </c>
      <c r="C1664">
        <v>22</v>
      </c>
      <c r="D1664">
        <v>35821</v>
      </c>
      <c r="E1664" t="s">
        <v>14</v>
      </c>
      <c r="F1664" t="s">
        <v>15</v>
      </c>
      <c r="G1664" t="s">
        <v>34</v>
      </c>
      <c r="H1664" t="s">
        <v>64</v>
      </c>
      <c r="I1664" t="s">
        <v>9</v>
      </c>
      <c r="J1664" t="s">
        <v>20</v>
      </c>
      <c r="K1664" t="s">
        <v>26</v>
      </c>
      <c r="L1664" t="s">
        <v>12</v>
      </c>
      <c r="M1664" t="s">
        <v>42</v>
      </c>
      <c r="N1664" t="s">
        <v>23</v>
      </c>
      <c r="O1664" t="s">
        <v>41</v>
      </c>
      <c r="P1664">
        <v>1</v>
      </c>
    </row>
    <row r="1665" spans="1:16" x14ac:dyDescent="0.3">
      <c r="A1665">
        <v>2188</v>
      </c>
      <c r="B1665">
        <v>44238</v>
      </c>
      <c r="C1665">
        <v>56</v>
      </c>
      <c r="D1665">
        <v>23794</v>
      </c>
      <c r="E1665" t="s">
        <v>14</v>
      </c>
      <c r="F1665" t="s">
        <v>15</v>
      </c>
      <c r="G1665" t="s">
        <v>34</v>
      </c>
      <c r="H1665" t="s">
        <v>64</v>
      </c>
      <c r="I1665" t="s">
        <v>9</v>
      </c>
      <c r="J1665" t="s">
        <v>20</v>
      </c>
      <c r="K1665" t="s">
        <v>19</v>
      </c>
      <c r="L1665" t="s">
        <v>12</v>
      </c>
      <c r="M1665" t="s">
        <v>35</v>
      </c>
      <c r="N1665" t="s">
        <v>37</v>
      </c>
      <c r="O1665" t="s">
        <v>41</v>
      </c>
      <c r="P1665">
        <v>4</v>
      </c>
    </row>
    <row r="1666" spans="1:16" x14ac:dyDescent="0.3">
      <c r="A1666">
        <v>2189</v>
      </c>
      <c r="B1666">
        <v>43490</v>
      </c>
      <c r="C1666">
        <v>75</v>
      </c>
      <c r="D1666">
        <v>16257</v>
      </c>
      <c r="E1666" t="s">
        <v>14</v>
      </c>
      <c r="F1666" t="s">
        <v>15</v>
      </c>
      <c r="G1666" t="s">
        <v>40</v>
      </c>
      <c r="H1666" t="s">
        <v>64</v>
      </c>
      <c r="I1666" t="s">
        <v>9</v>
      </c>
      <c r="J1666" t="s">
        <v>20</v>
      </c>
      <c r="K1666" t="s">
        <v>26</v>
      </c>
      <c r="L1666" t="s">
        <v>12</v>
      </c>
      <c r="M1666" t="s">
        <v>58</v>
      </c>
      <c r="N1666" t="s">
        <v>16</v>
      </c>
      <c r="O1666" t="s">
        <v>56</v>
      </c>
      <c r="P1666">
        <v>2</v>
      </c>
    </row>
    <row r="1667" spans="1:16" x14ac:dyDescent="0.3">
      <c r="A1667">
        <v>2190</v>
      </c>
      <c r="B1667">
        <v>45041</v>
      </c>
      <c r="C1667">
        <v>38</v>
      </c>
      <c r="D1667">
        <v>31067</v>
      </c>
      <c r="E1667" t="s">
        <v>14</v>
      </c>
      <c r="F1667" t="s">
        <v>15</v>
      </c>
      <c r="G1667" t="s">
        <v>31</v>
      </c>
      <c r="H1667" t="s">
        <v>64</v>
      </c>
      <c r="I1667" t="s">
        <v>9</v>
      </c>
      <c r="J1667" t="s">
        <v>20</v>
      </c>
      <c r="K1667" t="s">
        <v>11</v>
      </c>
      <c r="L1667" t="s">
        <v>12</v>
      </c>
      <c r="M1667" t="s">
        <v>32</v>
      </c>
      <c r="N1667" t="s">
        <v>46</v>
      </c>
      <c r="O1667" t="s">
        <v>56</v>
      </c>
      <c r="P1667">
        <v>2</v>
      </c>
    </row>
    <row r="1668" spans="1:16" x14ac:dyDescent="0.3">
      <c r="A1668">
        <v>2191</v>
      </c>
      <c r="B1668">
        <v>44241</v>
      </c>
      <c r="C1668">
        <v>50</v>
      </c>
      <c r="D1668">
        <v>26256</v>
      </c>
      <c r="E1668" t="s">
        <v>14</v>
      </c>
      <c r="F1668" t="s">
        <v>15</v>
      </c>
      <c r="G1668" t="s">
        <v>34</v>
      </c>
      <c r="H1668" t="s">
        <v>64</v>
      </c>
      <c r="I1668" t="s">
        <v>9</v>
      </c>
      <c r="J1668" t="s">
        <v>10</v>
      </c>
      <c r="K1668" t="s">
        <v>11</v>
      </c>
      <c r="L1668" t="s">
        <v>12</v>
      </c>
      <c r="M1668" t="s">
        <v>42</v>
      </c>
      <c r="N1668" t="s">
        <v>46</v>
      </c>
      <c r="O1668" t="s">
        <v>56</v>
      </c>
      <c r="P1668">
        <v>2</v>
      </c>
    </row>
    <row r="1669" spans="1:16" x14ac:dyDescent="0.3">
      <c r="A1669">
        <v>2192</v>
      </c>
      <c r="B1669">
        <v>44111</v>
      </c>
      <c r="C1669">
        <v>75</v>
      </c>
      <c r="D1669">
        <v>16617</v>
      </c>
      <c r="E1669" t="s">
        <v>14</v>
      </c>
      <c r="F1669" t="s">
        <v>15</v>
      </c>
      <c r="G1669" t="s">
        <v>40</v>
      </c>
      <c r="H1669" t="s">
        <v>64</v>
      </c>
      <c r="I1669" t="s">
        <v>9</v>
      </c>
      <c r="J1669" t="s">
        <v>20</v>
      </c>
      <c r="K1669" t="s">
        <v>11</v>
      </c>
      <c r="L1669" t="s">
        <v>12</v>
      </c>
      <c r="M1669" t="s">
        <v>32</v>
      </c>
      <c r="N1669" t="s">
        <v>37</v>
      </c>
      <c r="O1669" t="s">
        <v>56</v>
      </c>
      <c r="P1669">
        <v>3</v>
      </c>
    </row>
    <row r="1670" spans="1:16" x14ac:dyDescent="0.3">
      <c r="A1670">
        <v>2193</v>
      </c>
      <c r="B1670">
        <v>43524</v>
      </c>
      <c r="C1670">
        <v>56</v>
      </c>
      <c r="D1670">
        <v>23224</v>
      </c>
      <c r="E1670" t="s">
        <v>14</v>
      </c>
      <c r="F1670" t="s">
        <v>22</v>
      </c>
      <c r="G1670" t="s">
        <v>34</v>
      </c>
      <c r="H1670" t="s">
        <v>8</v>
      </c>
      <c r="I1670" t="s">
        <v>66</v>
      </c>
      <c r="J1670" t="s">
        <v>20</v>
      </c>
      <c r="K1670" t="s">
        <v>19</v>
      </c>
      <c r="L1670" t="s">
        <v>12</v>
      </c>
      <c r="M1670" t="s">
        <v>35</v>
      </c>
      <c r="N1670" t="s">
        <v>16</v>
      </c>
      <c r="O1670" t="s">
        <v>56</v>
      </c>
      <c r="P1670">
        <v>2</v>
      </c>
    </row>
    <row r="1671" spans="1:16" x14ac:dyDescent="0.3">
      <c r="A1671">
        <v>2194</v>
      </c>
      <c r="B1671">
        <v>43673</v>
      </c>
      <c r="C1671">
        <v>27</v>
      </c>
      <c r="D1671">
        <v>33652</v>
      </c>
      <c r="E1671" t="s">
        <v>14</v>
      </c>
      <c r="F1671" t="s">
        <v>15</v>
      </c>
      <c r="G1671" t="s">
        <v>17</v>
      </c>
      <c r="H1671" t="s">
        <v>8</v>
      </c>
      <c r="I1671" t="s">
        <v>9</v>
      </c>
      <c r="J1671" t="s">
        <v>25</v>
      </c>
      <c r="K1671" t="s">
        <v>26</v>
      </c>
      <c r="L1671" t="s">
        <v>12</v>
      </c>
      <c r="M1671" t="s">
        <v>35</v>
      </c>
      <c r="N1671" t="s">
        <v>30</v>
      </c>
      <c r="O1671" t="s">
        <v>56</v>
      </c>
      <c r="P1671">
        <v>4</v>
      </c>
    </row>
    <row r="1672" spans="1:16" x14ac:dyDescent="0.3">
      <c r="A1672">
        <v>2195</v>
      </c>
      <c r="B1672">
        <v>45079</v>
      </c>
      <c r="C1672">
        <v>69</v>
      </c>
      <c r="D1672">
        <v>20028</v>
      </c>
      <c r="E1672" t="s">
        <v>14</v>
      </c>
      <c r="F1672" t="s">
        <v>15</v>
      </c>
      <c r="G1672" t="s">
        <v>31</v>
      </c>
      <c r="H1672" t="s">
        <v>8</v>
      </c>
      <c r="I1672" t="s">
        <v>9</v>
      </c>
      <c r="J1672" t="s">
        <v>10</v>
      </c>
      <c r="K1672" t="s">
        <v>11</v>
      </c>
      <c r="L1672" t="s">
        <v>12</v>
      </c>
      <c r="M1672" t="s">
        <v>69</v>
      </c>
      <c r="N1672" t="s">
        <v>37</v>
      </c>
      <c r="O1672" t="s">
        <v>56</v>
      </c>
      <c r="P1672">
        <v>5</v>
      </c>
    </row>
    <row r="1673" spans="1:16" x14ac:dyDescent="0.3">
      <c r="A1673">
        <v>2196</v>
      </c>
      <c r="B1673">
        <v>44879</v>
      </c>
      <c r="C1673">
        <v>39</v>
      </c>
      <c r="D1673">
        <v>30492</v>
      </c>
      <c r="E1673" t="s">
        <v>14</v>
      </c>
      <c r="F1673" t="s">
        <v>22</v>
      </c>
      <c r="G1673" t="s">
        <v>31</v>
      </c>
      <c r="H1673" t="s">
        <v>8</v>
      </c>
      <c r="I1673" t="s">
        <v>66</v>
      </c>
      <c r="J1673" t="s">
        <v>25</v>
      </c>
      <c r="K1673" t="s">
        <v>19</v>
      </c>
      <c r="L1673" t="s">
        <v>12</v>
      </c>
      <c r="M1673" t="s">
        <v>69</v>
      </c>
      <c r="N1673" t="s">
        <v>16</v>
      </c>
      <c r="O1673" t="s">
        <v>56</v>
      </c>
      <c r="P1673">
        <v>2</v>
      </c>
    </row>
    <row r="1674" spans="1:16" x14ac:dyDescent="0.3">
      <c r="A1674">
        <v>2197</v>
      </c>
      <c r="B1674">
        <v>43334</v>
      </c>
      <c r="C1674">
        <v>35</v>
      </c>
      <c r="D1674">
        <v>30418</v>
      </c>
      <c r="E1674" t="s">
        <v>14</v>
      </c>
      <c r="F1674" t="s">
        <v>15</v>
      </c>
      <c r="G1674" t="s">
        <v>40</v>
      </c>
      <c r="H1674" t="s">
        <v>8</v>
      </c>
      <c r="I1674" t="s">
        <v>66</v>
      </c>
      <c r="J1674" t="s">
        <v>10</v>
      </c>
      <c r="K1674" t="s">
        <v>11</v>
      </c>
      <c r="L1674" t="s">
        <v>12</v>
      </c>
      <c r="M1674" t="s">
        <v>59</v>
      </c>
      <c r="N1674" t="s">
        <v>46</v>
      </c>
      <c r="O1674" t="s">
        <v>56</v>
      </c>
      <c r="P1674">
        <v>3</v>
      </c>
    </row>
    <row r="1675" spans="1:16" x14ac:dyDescent="0.3">
      <c r="A1675">
        <v>2198</v>
      </c>
      <c r="B1675">
        <v>44910</v>
      </c>
      <c r="C1675">
        <v>59</v>
      </c>
      <c r="D1675">
        <v>23193</v>
      </c>
      <c r="E1675" t="s">
        <v>14</v>
      </c>
      <c r="F1675" t="s">
        <v>15</v>
      </c>
      <c r="G1675" t="s">
        <v>31</v>
      </c>
      <c r="H1675" t="s">
        <v>8</v>
      </c>
      <c r="I1675" t="s">
        <v>9</v>
      </c>
      <c r="J1675" t="s">
        <v>10</v>
      </c>
      <c r="K1675" t="s">
        <v>26</v>
      </c>
      <c r="L1675" t="s">
        <v>12</v>
      </c>
      <c r="M1675" t="s">
        <v>35</v>
      </c>
      <c r="N1675" t="s">
        <v>16</v>
      </c>
      <c r="O1675" t="s">
        <v>41</v>
      </c>
      <c r="P1675">
        <v>4</v>
      </c>
    </row>
    <row r="1676" spans="1:16" x14ac:dyDescent="0.3">
      <c r="A1676">
        <v>2199</v>
      </c>
      <c r="B1676">
        <v>43982</v>
      </c>
      <c r="C1676">
        <v>43</v>
      </c>
      <c r="D1676">
        <v>28316</v>
      </c>
      <c r="E1676" t="s">
        <v>14</v>
      </c>
      <c r="F1676" t="s">
        <v>15</v>
      </c>
      <c r="G1676" t="s">
        <v>40</v>
      </c>
      <c r="H1676" t="s">
        <v>8</v>
      </c>
      <c r="I1676" t="s">
        <v>9</v>
      </c>
      <c r="J1676" t="s">
        <v>25</v>
      </c>
      <c r="K1676" t="s">
        <v>11</v>
      </c>
      <c r="L1676" t="s">
        <v>12</v>
      </c>
      <c r="M1676" t="s">
        <v>32</v>
      </c>
      <c r="N1676" t="s">
        <v>16</v>
      </c>
      <c r="O1676" t="s">
        <v>41</v>
      </c>
      <c r="P1676">
        <v>3</v>
      </c>
    </row>
    <row r="1677" spans="1:16" x14ac:dyDescent="0.3">
      <c r="A1677">
        <v>2200</v>
      </c>
      <c r="B1677">
        <v>44761</v>
      </c>
      <c r="C1677">
        <v>68</v>
      </c>
      <c r="D1677">
        <v>19798</v>
      </c>
      <c r="E1677" t="s">
        <v>14</v>
      </c>
      <c r="F1677" t="s">
        <v>15</v>
      </c>
      <c r="G1677" t="s">
        <v>31</v>
      </c>
      <c r="H1677" t="s">
        <v>8</v>
      </c>
      <c r="I1677" t="s">
        <v>9</v>
      </c>
      <c r="J1677" t="s">
        <v>10</v>
      </c>
      <c r="K1677" t="s">
        <v>19</v>
      </c>
      <c r="L1677" t="s">
        <v>12</v>
      </c>
      <c r="M1677" t="s">
        <v>35</v>
      </c>
      <c r="N1677" t="s">
        <v>46</v>
      </c>
      <c r="O1677" t="s">
        <v>41</v>
      </c>
      <c r="P1677">
        <v>1</v>
      </c>
    </row>
    <row r="1678" spans="1:16" x14ac:dyDescent="0.3">
      <c r="A1678">
        <v>2201</v>
      </c>
      <c r="B1678">
        <v>44013</v>
      </c>
      <c r="C1678">
        <v>30</v>
      </c>
      <c r="D1678">
        <v>33051</v>
      </c>
      <c r="E1678" t="s">
        <v>14</v>
      </c>
      <c r="F1678" t="s">
        <v>22</v>
      </c>
      <c r="G1678" t="s">
        <v>34</v>
      </c>
      <c r="H1678" t="s">
        <v>8</v>
      </c>
      <c r="I1678" t="s">
        <v>9</v>
      </c>
      <c r="J1678" t="s">
        <v>10</v>
      </c>
      <c r="K1678" t="s">
        <v>11</v>
      </c>
      <c r="L1678" t="s">
        <v>12</v>
      </c>
      <c r="M1678" t="s">
        <v>54</v>
      </c>
      <c r="N1678" t="s">
        <v>30</v>
      </c>
      <c r="O1678" t="s">
        <v>41</v>
      </c>
      <c r="P1678">
        <v>1</v>
      </c>
    </row>
    <row r="1679" spans="1:16" x14ac:dyDescent="0.3">
      <c r="A1679">
        <v>2202</v>
      </c>
      <c r="B1679">
        <v>44153</v>
      </c>
      <c r="C1679">
        <v>51</v>
      </c>
      <c r="D1679">
        <v>25204</v>
      </c>
      <c r="E1679" t="s">
        <v>14</v>
      </c>
      <c r="F1679" t="s">
        <v>15</v>
      </c>
      <c r="G1679" t="s">
        <v>34</v>
      </c>
      <c r="H1679" t="s">
        <v>8</v>
      </c>
      <c r="I1679" t="s">
        <v>9</v>
      </c>
      <c r="J1679" t="s">
        <v>10</v>
      </c>
      <c r="K1679" t="s">
        <v>19</v>
      </c>
      <c r="L1679" t="s">
        <v>12</v>
      </c>
      <c r="M1679" t="s">
        <v>54</v>
      </c>
      <c r="N1679" t="s">
        <v>46</v>
      </c>
      <c r="O1679" t="s">
        <v>41</v>
      </c>
      <c r="P1679">
        <v>4</v>
      </c>
    </row>
    <row r="1680" spans="1:16" x14ac:dyDescent="0.3">
      <c r="A1680">
        <v>2203</v>
      </c>
      <c r="B1680">
        <v>43890</v>
      </c>
      <c r="C1680">
        <v>34</v>
      </c>
      <c r="D1680">
        <v>31507</v>
      </c>
      <c r="E1680" t="s">
        <v>14</v>
      </c>
      <c r="F1680" t="s">
        <v>15</v>
      </c>
      <c r="G1680" t="s">
        <v>34</v>
      </c>
      <c r="H1680" t="s">
        <v>8</v>
      </c>
      <c r="I1680" t="s">
        <v>66</v>
      </c>
      <c r="J1680" t="s">
        <v>10</v>
      </c>
      <c r="K1680" t="s">
        <v>19</v>
      </c>
      <c r="L1680" t="s">
        <v>12</v>
      </c>
      <c r="M1680" t="s">
        <v>32</v>
      </c>
      <c r="N1680" t="s">
        <v>46</v>
      </c>
      <c r="O1680" t="s">
        <v>41</v>
      </c>
      <c r="P1680">
        <v>4</v>
      </c>
    </row>
    <row r="1681" spans="1:16" x14ac:dyDescent="0.3">
      <c r="A1681">
        <v>2204</v>
      </c>
      <c r="B1681">
        <v>44463</v>
      </c>
      <c r="C1681">
        <v>37</v>
      </c>
      <c r="D1681">
        <v>30978</v>
      </c>
      <c r="E1681" t="s">
        <v>14</v>
      </c>
      <c r="F1681" t="s">
        <v>15</v>
      </c>
      <c r="G1681" t="s">
        <v>40</v>
      </c>
      <c r="H1681" t="s">
        <v>8</v>
      </c>
      <c r="I1681" t="s">
        <v>9</v>
      </c>
      <c r="J1681" t="s">
        <v>20</v>
      </c>
      <c r="K1681" t="s">
        <v>26</v>
      </c>
      <c r="L1681" t="s">
        <v>12</v>
      </c>
      <c r="M1681" t="s">
        <v>58</v>
      </c>
      <c r="N1681" t="s">
        <v>30</v>
      </c>
      <c r="O1681" t="s">
        <v>56</v>
      </c>
      <c r="P1681">
        <v>2</v>
      </c>
    </row>
    <row r="1682" spans="1:16" x14ac:dyDescent="0.3">
      <c r="A1682">
        <v>2205</v>
      </c>
      <c r="B1682">
        <v>44664</v>
      </c>
      <c r="C1682">
        <v>78</v>
      </c>
      <c r="D1682">
        <v>16084</v>
      </c>
      <c r="E1682" t="s">
        <v>14</v>
      </c>
      <c r="F1682" t="s">
        <v>15</v>
      </c>
      <c r="G1682" t="s">
        <v>40</v>
      </c>
      <c r="H1682" t="s">
        <v>8</v>
      </c>
      <c r="I1682" t="s">
        <v>9</v>
      </c>
      <c r="J1682" t="s">
        <v>25</v>
      </c>
      <c r="K1682" t="s">
        <v>26</v>
      </c>
      <c r="L1682" t="s">
        <v>12</v>
      </c>
      <c r="M1682" t="s">
        <v>28</v>
      </c>
      <c r="N1682" t="s">
        <v>37</v>
      </c>
      <c r="O1682" t="s">
        <v>56</v>
      </c>
      <c r="P1682">
        <v>3</v>
      </c>
    </row>
    <row r="1683" spans="1:16" x14ac:dyDescent="0.3">
      <c r="A1683">
        <v>2206</v>
      </c>
      <c r="B1683">
        <v>44859</v>
      </c>
      <c r="C1683">
        <v>80</v>
      </c>
      <c r="D1683">
        <v>15350</v>
      </c>
      <c r="E1683" t="s">
        <v>14</v>
      </c>
      <c r="F1683" t="s">
        <v>15</v>
      </c>
      <c r="G1683" t="s">
        <v>17</v>
      </c>
      <c r="H1683" t="s">
        <v>8</v>
      </c>
      <c r="I1683" t="s">
        <v>9</v>
      </c>
      <c r="J1683" t="s">
        <v>10</v>
      </c>
      <c r="K1683" t="s">
        <v>19</v>
      </c>
      <c r="L1683" t="s">
        <v>12</v>
      </c>
      <c r="M1683" t="s">
        <v>35</v>
      </c>
      <c r="N1683" t="s">
        <v>30</v>
      </c>
      <c r="O1683" t="s">
        <v>56</v>
      </c>
      <c r="P1683">
        <v>4</v>
      </c>
    </row>
    <row r="1684" spans="1:16" x14ac:dyDescent="0.3">
      <c r="A1684">
        <v>2207</v>
      </c>
      <c r="B1684">
        <v>44223</v>
      </c>
      <c r="C1684">
        <v>68</v>
      </c>
      <c r="D1684">
        <v>19516</v>
      </c>
      <c r="E1684" t="s">
        <v>14</v>
      </c>
      <c r="F1684" t="s">
        <v>15</v>
      </c>
      <c r="G1684" t="s">
        <v>40</v>
      </c>
      <c r="H1684" t="s">
        <v>8</v>
      </c>
      <c r="I1684" t="s">
        <v>9</v>
      </c>
      <c r="J1684" t="s">
        <v>25</v>
      </c>
      <c r="K1684" t="s">
        <v>11</v>
      </c>
      <c r="L1684" t="s">
        <v>12</v>
      </c>
      <c r="M1684" t="s">
        <v>35</v>
      </c>
      <c r="N1684" t="s">
        <v>37</v>
      </c>
      <c r="O1684" t="s">
        <v>56</v>
      </c>
      <c r="P1684">
        <v>3</v>
      </c>
    </row>
    <row r="1685" spans="1:16" x14ac:dyDescent="0.3">
      <c r="A1685">
        <v>2208</v>
      </c>
      <c r="B1685">
        <v>43364</v>
      </c>
      <c r="C1685">
        <v>70</v>
      </c>
      <c r="D1685">
        <v>17826</v>
      </c>
      <c r="E1685" t="s">
        <v>36</v>
      </c>
      <c r="F1685" t="s">
        <v>15</v>
      </c>
      <c r="G1685" t="s">
        <v>34</v>
      </c>
      <c r="H1685" t="s">
        <v>70</v>
      </c>
      <c r="I1685" t="s">
        <v>9</v>
      </c>
      <c r="J1685" t="s">
        <v>25</v>
      </c>
      <c r="K1685" t="s">
        <v>26</v>
      </c>
      <c r="L1685" t="s">
        <v>53</v>
      </c>
      <c r="M1685" t="s">
        <v>55</v>
      </c>
      <c r="N1685" t="s">
        <v>30</v>
      </c>
      <c r="O1685" t="s">
        <v>56</v>
      </c>
      <c r="P1685">
        <v>3</v>
      </c>
    </row>
    <row r="1686" spans="1:16" x14ac:dyDescent="0.3">
      <c r="A1686">
        <v>2209</v>
      </c>
      <c r="B1686">
        <v>43935</v>
      </c>
      <c r="C1686">
        <v>20</v>
      </c>
      <c r="D1686">
        <v>36768</v>
      </c>
      <c r="E1686" t="s">
        <v>14</v>
      </c>
      <c r="F1686" t="s">
        <v>22</v>
      </c>
      <c r="G1686" t="s">
        <v>17</v>
      </c>
      <c r="H1686" t="s">
        <v>70</v>
      </c>
      <c r="I1686" t="s">
        <v>9</v>
      </c>
      <c r="J1686" t="s">
        <v>20</v>
      </c>
      <c r="K1686" t="s">
        <v>11</v>
      </c>
      <c r="L1686" t="s">
        <v>53</v>
      </c>
      <c r="M1686" t="s">
        <v>59</v>
      </c>
      <c r="N1686" t="s">
        <v>37</v>
      </c>
      <c r="O1686" t="s">
        <v>56</v>
      </c>
      <c r="P1686">
        <v>2</v>
      </c>
    </row>
    <row r="1687" spans="1:16" x14ac:dyDescent="0.3">
      <c r="A1687">
        <v>2210</v>
      </c>
      <c r="B1687">
        <v>44347</v>
      </c>
      <c r="C1687">
        <v>56</v>
      </c>
      <c r="D1687">
        <v>23785</v>
      </c>
      <c r="E1687" t="s">
        <v>14</v>
      </c>
      <c r="F1687" t="s">
        <v>15</v>
      </c>
      <c r="G1687" t="s">
        <v>31</v>
      </c>
      <c r="H1687" t="s">
        <v>70</v>
      </c>
      <c r="I1687" t="s">
        <v>9</v>
      </c>
      <c r="J1687" t="s">
        <v>20</v>
      </c>
      <c r="K1687" t="s">
        <v>11</v>
      </c>
      <c r="L1687" t="s">
        <v>53</v>
      </c>
      <c r="M1687" t="s">
        <v>59</v>
      </c>
      <c r="N1687" t="s">
        <v>37</v>
      </c>
      <c r="O1687" t="s">
        <v>41</v>
      </c>
      <c r="P1687">
        <v>5</v>
      </c>
    </row>
    <row r="1688" spans="1:16" x14ac:dyDescent="0.3">
      <c r="A1688">
        <v>2211</v>
      </c>
      <c r="B1688">
        <v>43931</v>
      </c>
      <c r="C1688">
        <v>49</v>
      </c>
      <c r="D1688">
        <v>26169</v>
      </c>
      <c r="E1688" t="s">
        <v>36</v>
      </c>
      <c r="F1688" t="s">
        <v>15</v>
      </c>
      <c r="G1688" t="s">
        <v>34</v>
      </c>
      <c r="H1688" t="s">
        <v>70</v>
      </c>
      <c r="I1688" t="s">
        <v>9</v>
      </c>
      <c r="J1688" t="s">
        <v>10</v>
      </c>
      <c r="K1688" t="s">
        <v>11</v>
      </c>
      <c r="L1688" t="s">
        <v>53</v>
      </c>
      <c r="M1688" t="s">
        <v>35</v>
      </c>
      <c r="N1688" t="s">
        <v>16</v>
      </c>
      <c r="O1688" t="s">
        <v>41</v>
      </c>
      <c r="P1688">
        <v>5</v>
      </c>
    </row>
    <row r="1689" spans="1:16" x14ac:dyDescent="0.3">
      <c r="A1689">
        <v>2212</v>
      </c>
      <c r="B1689">
        <v>44745</v>
      </c>
      <c r="C1689">
        <v>31</v>
      </c>
      <c r="D1689">
        <v>33369</v>
      </c>
      <c r="E1689" t="s">
        <v>14</v>
      </c>
      <c r="F1689" t="s">
        <v>15</v>
      </c>
      <c r="G1689" t="s">
        <v>17</v>
      </c>
      <c r="H1689" t="s">
        <v>70</v>
      </c>
      <c r="I1689" t="s">
        <v>9</v>
      </c>
      <c r="J1689" t="s">
        <v>25</v>
      </c>
      <c r="K1689" t="s">
        <v>11</v>
      </c>
      <c r="L1689" t="s">
        <v>53</v>
      </c>
      <c r="M1689" t="s">
        <v>35</v>
      </c>
      <c r="N1689" t="s">
        <v>16</v>
      </c>
      <c r="O1689" t="s">
        <v>41</v>
      </c>
      <c r="P1689">
        <v>1</v>
      </c>
    </row>
    <row r="1690" spans="1:16" x14ac:dyDescent="0.3">
      <c r="A1690">
        <v>2213</v>
      </c>
      <c r="B1690">
        <v>45000</v>
      </c>
      <c r="C1690">
        <v>58</v>
      </c>
      <c r="D1690">
        <v>23988</v>
      </c>
      <c r="E1690" t="s">
        <v>14</v>
      </c>
      <c r="F1690" t="s">
        <v>15</v>
      </c>
      <c r="G1690" t="s">
        <v>34</v>
      </c>
      <c r="H1690" t="s">
        <v>70</v>
      </c>
      <c r="I1690" t="s">
        <v>9</v>
      </c>
      <c r="J1690" t="s">
        <v>20</v>
      </c>
      <c r="K1690" t="s">
        <v>19</v>
      </c>
      <c r="L1690" t="s">
        <v>53</v>
      </c>
      <c r="M1690" t="s">
        <v>58</v>
      </c>
      <c r="N1690" t="s">
        <v>46</v>
      </c>
      <c r="O1690" t="s">
        <v>41</v>
      </c>
      <c r="P1690">
        <v>4</v>
      </c>
    </row>
    <row r="1691" spans="1:16" x14ac:dyDescent="0.3">
      <c r="A1691">
        <v>2214</v>
      </c>
      <c r="B1691">
        <v>44406</v>
      </c>
      <c r="C1691">
        <v>70</v>
      </c>
      <c r="D1691">
        <v>18923</v>
      </c>
      <c r="E1691" t="s">
        <v>14</v>
      </c>
      <c r="F1691" t="s">
        <v>15</v>
      </c>
      <c r="G1691" t="s">
        <v>34</v>
      </c>
      <c r="H1691" t="s">
        <v>70</v>
      </c>
      <c r="I1691" t="s">
        <v>9</v>
      </c>
      <c r="J1691" t="s">
        <v>10</v>
      </c>
      <c r="K1691" t="s">
        <v>11</v>
      </c>
      <c r="L1691" t="s">
        <v>53</v>
      </c>
      <c r="M1691" t="s">
        <v>35</v>
      </c>
      <c r="N1691" t="s">
        <v>37</v>
      </c>
      <c r="O1691" t="s">
        <v>41</v>
      </c>
      <c r="P1691">
        <v>1</v>
      </c>
    </row>
    <row r="1692" spans="1:16" x14ac:dyDescent="0.3">
      <c r="A1692">
        <v>2215</v>
      </c>
      <c r="B1692">
        <v>44597</v>
      </c>
      <c r="C1692">
        <v>60</v>
      </c>
      <c r="D1692">
        <v>22997</v>
      </c>
      <c r="E1692" t="s">
        <v>14</v>
      </c>
      <c r="F1692" t="s">
        <v>15</v>
      </c>
      <c r="G1692" t="s">
        <v>40</v>
      </c>
      <c r="H1692" t="s">
        <v>70</v>
      </c>
      <c r="I1692" t="s">
        <v>9</v>
      </c>
      <c r="J1692" t="s">
        <v>10</v>
      </c>
      <c r="K1692" t="s">
        <v>26</v>
      </c>
      <c r="L1692" t="s">
        <v>53</v>
      </c>
      <c r="M1692" t="s">
        <v>42</v>
      </c>
      <c r="N1692" t="s">
        <v>46</v>
      </c>
      <c r="O1692" t="s">
        <v>41</v>
      </c>
      <c r="P1692">
        <v>5</v>
      </c>
    </row>
    <row r="1693" spans="1:16" x14ac:dyDescent="0.3">
      <c r="A1693">
        <v>2216</v>
      </c>
      <c r="B1693">
        <v>44874</v>
      </c>
      <c r="C1693">
        <v>50</v>
      </c>
      <c r="D1693">
        <v>26339</v>
      </c>
      <c r="E1693" t="s">
        <v>14</v>
      </c>
      <c r="F1693" t="s">
        <v>15</v>
      </c>
      <c r="G1693" t="s">
        <v>31</v>
      </c>
      <c r="H1693" t="s">
        <v>101</v>
      </c>
      <c r="I1693" t="s">
        <v>9</v>
      </c>
      <c r="J1693" t="s">
        <v>20</v>
      </c>
      <c r="K1693" t="s">
        <v>26</v>
      </c>
      <c r="L1693" t="s">
        <v>53</v>
      </c>
      <c r="M1693" t="s">
        <v>32</v>
      </c>
      <c r="N1693" t="s">
        <v>23</v>
      </c>
      <c r="O1693" t="s">
        <v>41</v>
      </c>
      <c r="P1693">
        <v>5</v>
      </c>
    </row>
    <row r="1694" spans="1:16" x14ac:dyDescent="0.3">
      <c r="A1694">
        <v>2217</v>
      </c>
      <c r="B1694">
        <v>44158</v>
      </c>
      <c r="C1694">
        <v>25</v>
      </c>
      <c r="D1694">
        <v>34901</v>
      </c>
      <c r="E1694" t="s">
        <v>36</v>
      </c>
      <c r="F1694" t="s">
        <v>15</v>
      </c>
      <c r="G1694" t="s">
        <v>40</v>
      </c>
      <c r="H1694" t="s">
        <v>102</v>
      </c>
      <c r="I1694" t="s">
        <v>9</v>
      </c>
      <c r="J1694" t="s">
        <v>20</v>
      </c>
      <c r="K1694" t="s">
        <v>19</v>
      </c>
      <c r="L1694" t="s">
        <v>53</v>
      </c>
      <c r="M1694" t="s">
        <v>62</v>
      </c>
      <c r="N1694" t="s">
        <v>23</v>
      </c>
      <c r="O1694" t="s">
        <v>41</v>
      </c>
      <c r="P1694">
        <v>1</v>
      </c>
    </row>
    <row r="1695" spans="1:16" x14ac:dyDescent="0.3">
      <c r="A1695">
        <v>2218</v>
      </c>
      <c r="B1695">
        <v>43517</v>
      </c>
      <c r="C1695">
        <v>52</v>
      </c>
      <c r="D1695">
        <v>24784</v>
      </c>
      <c r="E1695" t="s">
        <v>14</v>
      </c>
      <c r="F1695" t="s">
        <v>15</v>
      </c>
      <c r="G1695" t="s">
        <v>17</v>
      </c>
      <c r="H1695" t="s">
        <v>103</v>
      </c>
      <c r="I1695" t="s">
        <v>9</v>
      </c>
      <c r="J1695" t="s">
        <v>20</v>
      </c>
      <c r="K1695" t="s">
        <v>26</v>
      </c>
      <c r="L1695" t="s">
        <v>53</v>
      </c>
      <c r="M1695" t="s">
        <v>35</v>
      </c>
      <c r="N1695" t="s">
        <v>46</v>
      </c>
      <c r="O1695" t="s">
        <v>41</v>
      </c>
      <c r="P1695">
        <v>1</v>
      </c>
    </row>
    <row r="1696" spans="1:16" x14ac:dyDescent="0.3">
      <c r="A1696">
        <v>2219</v>
      </c>
      <c r="B1696">
        <v>44829</v>
      </c>
      <c r="C1696">
        <v>56</v>
      </c>
      <c r="D1696">
        <v>24405</v>
      </c>
      <c r="E1696" t="s">
        <v>14</v>
      </c>
      <c r="F1696" t="s">
        <v>15</v>
      </c>
      <c r="G1696" t="s">
        <v>17</v>
      </c>
      <c r="H1696" t="s">
        <v>70</v>
      </c>
      <c r="I1696" t="s">
        <v>9</v>
      </c>
      <c r="J1696" t="s">
        <v>20</v>
      </c>
      <c r="K1696" t="s">
        <v>11</v>
      </c>
      <c r="L1696" t="s">
        <v>53</v>
      </c>
      <c r="M1696" t="s">
        <v>59</v>
      </c>
      <c r="N1696" t="s">
        <v>23</v>
      </c>
      <c r="O1696" t="s">
        <v>41</v>
      </c>
      <c r="P1696">
        <v>2</v>
      </c>
    </row>
    <row r="1697" spans="1:16" x14ac:dyDescent="0.3">
      <c r="A1697">
        <v>2220</v>
      </c>
      <c r="B1697">
        <v>44821</v>
      </c>
      <c r="C1697">
        <v>61</v>
      </c>
      <c r="D1697">
        <v>22527</v>
      </c>
      <c r="E1697" t="s">
        <v>14</v>
      </c>
      <c r="F1697" t="s">
        <v>15</v>
      </c>
      <c r="G1697" t="s">
        <v>34</v>
      </c>
      <c r="H1697" t="s">
        <v>70</v>
      </c>
      <c r="I1697" t="s">
        <v>9</v>
      </c>
      <c r="J1697" t="s">
        <v>10</v>
      </c>
      <c r="K1697" t="s">
        <v>26</v>
      </c>
      <c r="L1697" t="s">
        <v>53</v>
      </c>
      <c r="M1697" t="s">
        <v>38</v>
      </c>
      <c r="N1697" t="s">
        <v>46</v>
      </c>
      <c r="O1697" t="s">
        <v>41</v>
      </c>
      <c r="P1697">
        <v>3</v>
      </c>
    </row>
    <row r="1698" spans="1:16" x14ac:dyDescent="0.3">
      <c r="A1698">
        <v>2221</v>
      </c>
      <c r="B1698">
        <v>43616</v>
      </c>
      <c r="C1698">
        <v>26</v>
      </c>
      <c r="D1698">
        <v>34287</v>
      </c>
      <c r="E1698" t="s">
        <v>14</v>
      </c>
      <c r="F1698" t="s">
        <v>15</v>
      </c>
      <c r="G1698" t="s">
        <v>31</v>
      </c>
      <c r="H1698" t="s">
        <v>70</v>
      </c>
      <c r="I1698" t="s">
        <v>9</v>
      </c>
      <c r="J1698" t="s">
        <v>10</v>
      </c>
      <c r="K1698" t="s">
        <v>11</v>
      </c>
      <c r="L1698" t="s">
        <v>53</v>
      </c>
      <c r="M1698" t="s">
        <v>35</v>
      </c>
      <c r="N1698" t="s">
        <v>23</v>
      </c>
      <c r="O1698" t="s">
        <v>41</v>
      </c>
      <c r="P1698">
        <v>5</v>
      </c>
    </row>
    <row r="1699" spans="1:16" x14ac:dyDescent="0.3">
      <c r="A1699">
        <v>2222</v>
      </c>
      <c r="B1699">
        <v>44033</v>
      </c>
      <c r="C1699">
        <v>22</v>
      </c>
      <c r="D1699">
        <v>35993</v>
      </c>
      <c r="E1699" t="s">
        <v>14</v>
      </c>
      <c r="F1699" t="s">
        <v>15</v>
      </c>
      <c r="G1699" t="s">
        <v>17</v>
      </c>
      <c r="H1699" t="s">
        <v>70</v>
      </c>
      <c r="I1699" t="s">
        <v>9</v>
      </c>
      <c r="J1699" t="s">
        <v>20</v>
      </c>
      <c r="K1699" t="s">
        <v>19</v>
      </c>
      <c r="L1699" t="s">
        <v>53</v>
      </c>
      <c r="M1699" t="s">
        <v>59</v>
      </c>
      <c r="N1699" t="s">
        <v>23</v>
      </c>
      <c r="O1699" t="s">
        <v>41</v>
      </c>
      <c r="P1699">
        <v>3</v>
      </c>
    </row>
    <row r="1700" spans="1:16" x14ac:dyDescent="0.3">
      <c r="A1700">
        <v>2223</v>
      </c>
      <c r="B1700">
        <v>44016</v>
      </c>
      <c r="C1700">
        <v>78</v>
      </c>
      <c r="D1700">
        <v>15390</v>
      </c>
      <c r="E1700" t="s">
        <v>14</v>
      </c>
      <c r="F1700" t="s">
        <v>15</v>
      </c>
      <c r="G1700" t="s">
        <v>17</v>
      </c>
      <c r="H1700" t="s">
        <v>101</v>
      </c>
      <c r="I1700" t="s">
        <v>9</v>
      </c>
      <c r="J1700" t="s">
        <v>25</v>
      </c>
      <c r="K1700" t="s">
        <v>11</v>
      </c>
      <c r="L1700" t="s">
        <v>53</v>
      </c>
      <c r="M1700" t="s">
        <v>44</v>
      </c>
      <c r="N1700" t="s">
        <v>46</v>
      </c>
      <c r="O1700" t="s">
        <v>41</v>
      </c>
      <c r="P1700">
        <v>1</v>
      </c>
    </row>
    <row r="1701" spans="1:16" x14ac:dyDescent="0.3">
      <c r="A1701">
        <v>2224</v>
      </c>
      <c r="B1701">
        <v>44117</v>
      </c>
      <c r="C1701">
        <v>21</v>
      </c>
      <c r="D1701">
        <v>36174</v>
      </c>
      <c r="E1701" t="s">
        <v>36</v>
      </c>
      <c r="F1701" t="s">
        <v>15</v>
      </c>
      <c r="G1701" t="s">
        <v>40</v>
      </c>
      <c r="H1701" t="s">
        <v>102</v>
      </c>
      <c r="I1701" t="s">
        <v>9</v>
      </c>
      <c r="J1701" t="s">
        <v>25</v>
      </c>
      <c r="K1701" t="s">
        <v>19</v>
      </c>
      <c r="L1701" t="s">
        <v>53</v>
      </c>
      <c r="M1701" t="s">
        <v>59</v>
      </c>
      <c r="N1701" t="s">
        <v>46</v>
      </c>
      <c r="O1701" t="s">
        <v>41</v>
      </c>
      <c r="P1701">
        <v>1</v>
      </c>
    </row>
    <row r="1702" spans="1:16" x14ac:dyDescent="0.3">
      <c r="A1702">
        <v>2225</v>
      </c>
      <c r="B1702">
        <v>45047</v>
      </c>
      <c r="C1702">
        <v>52</v>
      </c>
      <c r="D1702">
        <v>26270</v>
      </c>
      <c r="E1702" t="s">
        <v>14</v>
      </c>
      <c r="F1702" t="s">
        <v>22</v>
      </c>
      <c r="G1702" t="s">
        <v>40</v>
      </c>
      <c r="H1702" t="s">
        <v>103</v>
      </c>
      <c r="I1702" t="s">
        <v>9</v>
      </c>
      <c r="J1702" t="s">
        <v>20</v>
      </c>
      <c r="K1702" t="s">
        <v>19</v>
      </c>
      <c r="L1702" t="s">
        <v>53</v>
      </c>
      <c r="M1702" t="s">
        <v>42</v>
      </c>
      <c r="N1702" t="s">
        <v>37</v>
      </c>
      <c r="O1702" t="s">
        <v>41</v>
      </c>
      <c r="P1702">
        <v>2</v>
      </c>
    </row>
    <row r="1703" spans="1:16" x14ac:dyDescent="0.3">
      <c r="A1703">
        <v>2226</v>
      </c>
      <c r="B1703">
        <v>43546</v>
      </c>
      <c r="C1703">
        <v>59</v>
      </c>
      <c r="D1703">
        <v>22166</v>
      </c>
      <c r="E1703" t="s">
        <v>14</v>
      </c>
      <c r="F1703" t="s">
        <v>15</v>
      </c>
      <c r="G1703" t="s">
        <v>34</v>
      </c>
      <c r="H1703" t="s">
        <v>70</v>
      </c>
      <c r="I1703" t="s">
        <v>9</v>
      </c>
      <c r="J1703" t="s">
        <v>10</v>
      </c>
      <c r="K1703" t="s">
        <v>19</v>
      </c>
      <c r="L1703" t="s">
        <v>53</v>
      </c>
      <c r="M1703" t="s">
        <v>38</v>
      </c>
      <c r="N1703" t="s">
        <v>16</v>
      </c>
      <c r="O1703" t="s">
        <v>41</v>
      </c>
      <c r="P1703">
        <v>4</v>
      </c>
    </row>
    <row r="1704" spans="1:16" x14ac:dyDescent="0.3">
      <c r="A1704">
        <v>2227</v>
      </c>
      <c r="B1704">
        <v>44557</v>
      </c>
      <c r="C1704">
        <v>26</v>
      </c>
      <c r="D1704">
        <v>34855</v>
      </c>
      <c r="E1704" t="s">
        <v>14</v>
      </c>
      <c r="F1704" t="s">
        <v>15</v>
      </c>
      <c r="G1704" t="s">
        <v>17</v>
      </c>
      <c r="H1704" t="s">
        <v>70</v>
      </c>
      <c r="I1704" t="s">
        <v>9</v>
      </c>
      <c r="J1704" t="s">
        <v>10</v>
      </c>
      <c r="K1704" t="s">
        <v>26</v>
      </c>
      <c r="L1704" t="s">
        <v>53</v>
      </c>
      <c r="M1704" t="s">
        <v>21</v>
      </c>
      <c r="N1704" t="s">
        <v>37</v>
      </c>
      <c r="O1704" t="s">
        <v>56</v>
      </c>
      <c r="P1704">
        <v>3</v>
      </c>
    </row>
    <row r="1705" spans="1:16" x14ac:dyDescent="0.3">
      <c r="A1705">
        <v>2228</v>
      </c>
      <c r="B1705">
        <v>43324</v>
      </c>
      <c r="C1705">
        <v>76</v>
      </c>
      <c r="D1705">
        <v>15600</v>
      </c>
      <c r="E1705" t="s">
        <v>14</v>
      </c>
      <c r="F1705" t="s">
        <v>15</v>
      </c>
      <c r="G1705" t="s">
        <v>40</v>
      </c>
      <c r="H1705" t="s">
        <v>70</v>
      </c>
      <c r="I1705" t="s">
        <v>9</v>
      </c>
      <c r="J1705" t="s">
        <v>20</v>
      </c>
      <c r="K1705" t="s">
        <v>26</v>
      </c>
      <c r="L1705" t="s">
        <v>53</v>
      </c>
      <c r="M1705" t="s">
        <v>61</v>
      </c>
      <c r="N1705" t="s">
        <v>16</v>
      </c>
      <c r="O1705" t="s">
        <v>65</v>
      </c>
      <c r="P1705">
        <v>2</v>
      </c>
    </row>
    <row r="1706" spans="1:16" x14ac:dyDescent="0.3">
      <c r="A1706">
        <v>2229</v>
      </c>
      <c r="B1706">
        <v>44923</v>
      </c>
      <c r="C1706">
        <v>45</v>
      </c>
      <c r="D1706">
        <v>28399</v>
      </c>
      <c r="E1706" t="s">
        <v>14</v>
      </c>
      <c r="F1706" t="s">
        <v>15</v>
      </c>
      <c r="G1706" t="s">
        <v>40</v>
      </c>
      <c r="H1706" t="s">
        <v>70</v>
      </c>
      <c r="I1706" t="s">
        <v>9</v>
      </c>
      <c r="J1706" t="s">
        <v>20</v>
      </c>
      <c r="K1706" t="s">
        <v>19</v>
      </c>
      <c r="L1706" t="s">
        <v>53</v>
      </c>
      <c r="M1706" t="s">
        <v>69</v>
      </c>
      <c r="N1706" t="s">
        <v>46</v>
      </c>
      <c r="O1706" t="s">
        <v>65</v>
      </c>
      <c r="P1706">
        <v>1</v>
      </c>
    </row>
    <row r="1707" spans="1:16" x14ac:dyDescent="0.3">
      <c r="A1707">
        <v>2230</v>
      </c>
      <c r="B1707">
        <v>43429</v>
      </c>
      <c r="C1707">
        <v>46</v>
      </c>
      <c r="D1707">
        <v>26531</v>
      </c>
      <c r="E1707" t="s">
        <v>36</v>
      </c>
      <c r="F1707" t="s">
        <v>15</v>
      </c>
      <c r="G1707" t="s">
        <v>34</v>
      </c>
      <c r="H1707" t="s">
        <v>101</v>
      </c>
      <c r="I1707" t="s">
        <v>9</v>
      </c>
      <c r="J1707" t="s">
        <v>20</v>
      </c>
      <c r="K1707" t="s">
        <v>19</v>
      </c>
      <c r="L1707" t="s">
        <v>53</v>
      </c>
      <c r="M1707" t="s">
        <v>32</v>
      </c>
      <c r="N1707" t="s">
        <v>23</v>
      </c>
      <c r="O1707" t="s">
        <v>18</v>
      </c>
      <c r="P1707">
        <v>5</v>
      </c>
    </row>
    <row r="1708" spans="1:16" x14ac:dyDescent="0.3">
      <c r="A1708">
        <v>2231</v>
      </c>
      <c r="B1708">
        <v>44191</v>
      </c>
      <c r="C1708">
        <v>30</v>
      </c>
      <c r="D1708">
        <v>32987</v>
      </c>
      <c r="E1708" t="s">
        <v>36</v>
      </c>
      <c r="F1708" t="s">
        <v>15</v>
      </c>
      <c r="G1708" t="s">
        <v>31</v>
      </c>
      <c r="H1708" t="s">
        <v>102</v>
      </c>
      <c r="I1708" t="s">
        <v>9</v>
      </c>
      <c r="J1708" t="s">
        <v>25</v>
      </c>
      <c r="K1708" t="s">
        <v>19</v>
      </c>
      <c r="L1708" t="s">
        <v>53</v>
      </c>
      <c r="M1708" t="s">
        <v>32</v>
      </c>
      <c r="N1708" t="s">
        <v>30</v>
      </c>
      <c r="O1708" t="s">
        <v>18</v>
      </c>
      <c r="P1708">
        <v>2</v>
      </c>
    </row>
    <row r="1709" spans="1:16" x14ac:dyDescent="0.3">
      <c r="A1709">
        <v>2232</v>
      </c>
      <c r="B1709">
        <v>44911</v>
      </c>
      <c r="C1709">
        <v>80</v>
      </c>
      <c r="D1709">
        <v>15619</v>
      </c>
      <c r="E1709" t="s">
        <v>14</v>
      </c>
      <c r="F1709" t="s">
        <v>22</v>
      </c>
      <c r="G1709" t="s">
        <v>31</v>
      </c>
      <c r="H1709" t="s">
        <v>103</v>
      </c>
      <c r="I1709" t="s">
        <v>9</v>
      </c>
      <c r="J1709" t="s">
        <v>20</v>
      </c>
      <c r="K1709" t="s">
        <v>19</v>
      </c>
      <c r="L1709" t="s">
        <v>53</v>
      </c>
      <c r="M1709" t="s">
        <v>35</v>
      </c>
      <c r="N1709" t="s">
        <v>23</v>
      </c>
      <c r="O1709" t="s">
        <v>18</v>
      </c>
      <c r="P1709">
        <v>5</v>
      </c>
    </row>
    <row r="1710" spans="1:16" x14ac:dyDescent="0.3">
      <c r="A1710">
        <v>2233</v>
      </c>
      <c r="B1710">
        <v>43735</v>
      </c>
      <c r="C1710">
        <v>42</v>
      </c>
      <c r="D1710">
        <v>28237</v>
      </c>
      <c r="E1710" t="s">
        <v>14</v>
      </c>
      <c r="F1710" t="s">
        <v>15</v>
      </c>
      <c r="G1710" t="s">
        <v>31</v>
      </c>
      <c r="H1710" t="s">
        <v>70</v>
      </c>
      <c r="I1710" t="s">
        <v>9</v>
      </c>
      <c r="J1710" t="s">
        <v>10</v>
      </c>
      <c r="K1710" t="s">
        <v>26</v>
      </c>
      <c r="L1710" t="s">
        <v>53</v>
      </c>
      <c r="M1710" t="s">
        <v>49</v>
      </c>
      <c r="N1710" t="s">
        <v>46</v>
      </c>
      <c r="O1710" t="s">
        <v>18</v>
      </c>
      <c r="P1710">
        <v>1</v>
      </c>
    </row>
    <row r="1711" spans="1:16" x14ac:dyDescent="0.3">
      <c r="A1711">
        <v>2234</v>
      </c>
      <c r="B1711">
        <v>44247</v>
      </c>
      <c r="C1711">
        <v>46</v>
      </c>
      <c r="D1711">
        <v>27451</v>
      </c>
      <c r="E1711" t="s">
        <v>14</v>
      </c>
      <c r="F1711" t="s">
        <v>15</v>
      </c>
      <c r="G1711" t="s">
        <v>34</v>
      </c>
      <c r="H1711" t="s">
        <v>70</v>
      </c>
      <c r="I1711" t="s">
        <v>9</v>
      </c>
      <c r="J1711" t="s">
        <v>20</v>
      </c>
      <c r="K1711" t="s">
        <v>11</v>
      </c>
      <c r="L1711" t="s">
        <v>53</v>
      </c>
      <c r="M1711" t="s">
        <v>59</v>
      </c>
      <c r="N1711" t="s">
        <v>37</v>
      </c>
      <c r="O1711" t="s">
        <v>18</v>
      </c>
      <c r="P1711">
        <v>1</v>
      </c>
    </row>
    <row r="1712" spans="1:16" x14ac:dyDescent="0.3">
      <c r="A1712">
        <v>2235</v>
      </c>
      <c r="B1712">
        <v>44618</v>
      </c>
      <c r="C1712">
        <v>68</v>
      </c>
      <c r="D1712">
        <v>19967</v>
      </c>
      <c r="E1712" t="s">
        <v>14</v>
      </c>
      <c r="F1712" t="s">
        <v>15</v>
      </c>
      <c r="G1712" t="s">
        <v>31</v>
      </c>
      <c r="H1712" t="s">
        <v>70</v>
      </c>
      <c r="I1712" t="s">
        <v>9</v>
      </c>
      <c r="J1712" t="s">
        <v>25</v>
      </c>
      <c r="K1712" t="s">
        <v>26</v>
      </c>
      <c r="L1712" t="s">
        <v>53</v>
      </c>
      <c r="M1712" t="s">
        <v>58</v>
      </c>
      <c r="N1712" t="s">
        <v>30</v>
      </c>
      <c r="O1712" t="s">
        <v>18</v>
      </c>
      <c r="P1712">
        <v>5</v>
      </c>
    </row>
    <row r="1713" spans="1:16" x14ac:dyDescent="0.3">
      <c r="A1713">
        <v>2236</v>
      </c>
      <c r="B1713">
        <v>43457</v>
      </c>
      <c r="C1713">
        <v>70</v>
      </c>
      <c r="D1713">
        <v>17834</v>
      </c>
      <c r="E1713" t="s">
        <v>36</v>
      </c>
      <c r="F1713" t="s">
        <v>15</v>
      </c>
      <c r="G1713" t="s">
        <v>17</v>
      </c>
      <c r="H1713" t="s">
        <v>70</v>
      </c>
      <c r="I1713" t="s">
        <v>9</v>
      </c>
      <c r="J1713" t="s">
        <v>25</v>
      </c>
      <c r="K1713" t="s">
        <v>19</v>
      </c>
      <c r="L1713" t="s">
        <v>53</v>
      </c>
      <c r="M1713" t="s">
        <v>42</v>
      </c>
      <c r="N1713" t="s">
        <v>23</v>
      </c>
      <c r="O1713" t="s">
        <v>18</v>
      </c>
      <c r="P1713">
        <v>1</v>
      </c>
    </row>
    <row r="1714" spans="1:16" x14ac:dyDescent="0.3">
      <c r="A1714">
        <v>2237</v>
      </c>
      <c r="B1714">
        <v>44571</v>
      </c>
      <c r="C1714">
        <v>47</v>
      </c>
      <c r="D1714">
        <v>27506</v>
      </c>
      <c r="E1714" t="s">
        <v>36</v>
      </c>
      <c r="F1714" t="s">
        <v>15</v>
      </c>
      <c r="G1714" t="s">
        <v>31</v>
      </c>
      <c r="H1714" t="s">
        <v>101</v>
      </c>
      <c r="I1714" t="s">
        <v>9</v>
      </c>
      <c r="J1714" t="s">
        <v>25</v>
      </c>
      <c r="K1714" t="s">
        <v>26</v>
      </c>
      <c r="L1714" t="s">
        <v>53</v>
      </c>
      <c r="M1714" t="s">
        <v>69</v>
      </c>
      <c r="N1714" t="s">
        <v>30</v>
      </c>
      <c r="O1714" t="s">
        <v>18</v>
      </c>
      <c r="P1714">
        <v>5</v>
      </c>
    </row>
    <row r="1715" spans="1:16" x14ac:dyDescent="0.3">
      <c r="A1715">
        <v>2238</v>
      </c>
      <c r="B1715">
        <v>44259</v>
      </c>
      <c r="C1715">
        <v>49</v>
      </c>
      <c r="D1715">
        <v>26315</v>
      </c>
      <c r="E1715" t="s">
        <v>36</v>
      </c>
      <c r="F1715" t="s">
        <v>22</v>
      </c>
      <c r="G1715" t="s">
        <v>17</v>
      </c>
      <c r="H1715" t="s">
        <v>102</v>
      </c>
      <c r="I1715" t="s">
        <v>9</v>
      </c>
      <c r="J1715" t="s">
        <v>20</v>
      </c>
      <c r="K1715" t="s">
        <v>26</v>
      </c>
      <c r="L1715" t="s">
        <v>53</v>
      </c>
      <c r="M1715" t="s">
        <v>54</v>
      </c>
      <c r="N1715" t="s">
        <v>23</v>
      </c>
      <c r="O1715" t="s">
        <v>18</v>
      </c>
      <c r="P1715">
        <v>4</v>
      </c>
    </row>
    <row r="1716" spans="1:16" x14ac:dyDescent="0.3">
      <c r="A1716">
        <v>2239</v>
      </c>
      <c r="B1716">
        <v>44995</v>
      </c>
      <c r="C1716">
        <v>61</v>
      </c>
      <c r="D1716">
        <v>22991</v>
      </c>
      <c r="E1716" t="s">
        <v>14</v>
      </c>
      <c r="F1716" t="s">
        <v>22</v>
      </c>
      <c r="G1716" t="s">
        <v>40</v>
      </c>
      <c r="H1716" t="s">
        <v>103</v>
      </c>
      <c r="I1716" t="s">
        <v>9</v>
      </c>
      <c r="J1716" t="s">
        <v>25</v>
      </c>
      <c r="K1716" t="s">
        <v>11</v>
      </c>
      <c r="L1716" t="s">
        <v>53</v>
      </c>
      <c r="M1716" t="s">
        <v>60</v>
      </c>
      <c r="N1716" t="s">
        <v>46</v>
      </c>
      <c r="O1716" t="s">
        <v>18</v>
      </c>
      <c r="P1716">
        <v>3</v>
      </c>
    </row>
    <row r="1717" spans="1:16" x14ac:dyDescent="0.3">
      <c r="A1717">
        <v>2240</v>
      </c>
      <c r="B1717">
        <v>43439</v>
      </c>
      <c r="C1717">
        <v>21</v>
      </c>
      <c r="D1717">
        <v>35762</v>
      </c>
      <c r="E1717" t="s">
        <v>14</v>
      </c>
      <c r="F1717" t="s">
        <v>15</v>
      </c>
      <c r="G1717" t="s">
        <v>34</v>
      </c>
      <c r="H1717" t="s">
        <v>70</v>
      </c>
      <c r="I1717" t="s">
        <v>9</v>
      </c>
      <c r="J1717" t="s">
        <v>20</v>
      </c>
      <c r="K1717" t="s">
        <v>26</v>
      </c>
      <c r="L1717" t="s">
        <v>53</v>
      </c>
      <c r="M1717" t="s">
        <v>13</v>
      </c>
      <c r="N1717" t="s">
        <v>23</v>
      </c>
      <c r="O1717" t="s">
        <v>18</v>
      </c>
      <c r="P1717">
        <v>4</v>
      </c>
    </row>
    <row r="1718" spans="1:16" x14ac:dyDescent="0.3">
      <c r="A1718">
        <v>2241</v>
      </c>
      <c r="B1718">
        <v>44371</v>
      </c>
      <c r="C1718">
        <v>40</v>
      </c>
      <c r="D1718">
        <v>29738</v>
      </c>
      <c r="E1718" t="s">
        <v>14</v>
      </c>
      <c r="F1718" t="s">
        <v>15</v>
      </c>
      <c r="G1718" t="s">
        <v>34</v>
      </c>
      <c r="H1718" t="s">
        <v>70</v>
      </c>
      <c r="I1718" t="s">
        <v>9</v>
      </c>
      <c r="J1718" t="s">
        <v>20</v>
      </c>
      <c r="K1718" t="s">
        <v>11</v>
      </c>
      <c r="L1718" t="s">
        <v>53</v>
      </c>
      <c r="M1718" t="s">
        <v>68</v>
      </c>
      <c r="N1718" t="s">
        <v>23</v>
      </c>
      <c r="O1718" t="s">
        <v>18</v>
      </c>
      <c r="P1718">
        <v>4</v>
      </c>
    </row>
    <row r="1719" spans="1:16" x14ac:dyDescent="0.3">
      <c r="A1719">
        <v>2242</v>
      </c>
      <c r="B1719">
        <v>44691</v>
      </c>
      <c r="C1719">
        <v>28</v>
      </c>
      <c r="D1719">
        <v>34422</v>
      </c>
      <c r="E1719" t="s">
        <v>14</v>
      </c>
      <c r="F1719" t="s">
        <v>15</v>
      </c>
      <c r="G1719" t="s">
        <v>34</v>
      </c>
      <c r="H1719" t="s">
        <v>70</v>
      </c>
      <c r="I1719" t="s">
        <v>9</v>
      </c>
      <c r="J1719" t="s">
        <v>25</v>
      </c>
      <c r="K1719" t="s">
        <v>11</v>
      </c>
      <c r="L1719" t="s">
        <v>53</v>
      </c>
      <c r="M1719" t="s">
        <v>35</v>
      </c>
      <c r="N1719" t="s">
        <v>23</v>
      </c>
      <c r="O1719" t="s">
        <v>18</v>
      </c>
      <c r="P1719">
        <v>2</v>
      </c>
    </row>
    <row r="1720" spans="1:16" x14ac:dyDescent="0.3">
      <c r="A1720">
        <v>2243</v>
      </c>
      <c r="B1720">
        <v>45029</v>
      </c>
      <c r="C1720">
        <v>69</v>
      </c>
      <c r="D1720">
        <v>19925</v>
      </c>
      <c r="E1720" t="s">
        <v>36</v>
      </c>
      <c r="F1720" t="s">
        <v>15</v>
      </c>
      <c r="G1720" t="s">
        <v>34</v>
      </c>
      <c r="H1720" t="s">
        <v>70</v>
      </c>
      <c r="I1720" t="s">
        <v>9</v>
      </c>
      <c r="J1720" t="s">
        <v>25</v>
      </c>
      <c r="K1720" t="s">
        <v>19</v>
      </c>
      <c r="L1720" t="s">
        <v>53</v>
      </c>
      <c r="M1720" t="s">
        <v>13</v>
      </c>
      <c r="N1720" t="s">
        <v>30</v>
      </c>
      <c r="O1720" t="s">
        <v>18</v>
      </c>
      <c r="P1720">
        <v>3</v>
      </c>
    </row>
    <row r="1721" spans="1:16" x14ac:dyDescent="0.3">
      <c r="A1721">
        <v>2244</v>
      </c>
      <c r="B1721">
        <v>44777</v>
      </c>
      <c r="C1721">
        <v>73</v>
      </c>
      <c r="D1721">
        <v>18240</v>
      </c>
      <c r="E1721" t="s">
        <v>36</v>
      </c>
      <c r="F1721" t="s">
        <v>15</v>
      </c>
      <c r="G1721" t="s">
        <v>34</v>
      </c>
      <c r="H1721" t="s">
        <v>101</v>
      </c>
      <c r="I1721" t="s">
        <v>9</v>
      </c>
      <c r="J1721" t="s">
        <v>10</v>
      </c>
      <c r="K1721" t="s">
        <v>11</v>
      </c>
      <c r="L1721" t="s">
        <v>53</v>
      </c>
      <c r="M1721" t="s">
        <v>35</v>
      </c>
      <c r="N1721" t="s">
        <v>30</v>
      </c>
      <c r="O1721" t="s">
        <v>18</v>
      </c>
      <c r="P1721">
        <v>2</v>
      </c>
    </row>
    <row r="1722" spans="1:16" x14ac:dyDescent="0.3">
      <c r="A1722">
        <v>2245</v>
      </c>
      <c r="B1722">
        <v>44255</v>
      </c>
      <c r="C1722">
        <v>75</v>
      </c>
      <c r="D1722">
        <v>17060</v>
      </c>
      <c r="E1722" t="s">
        <v>14</v>
      </c>
      <c r="F1722" t="s">
        <v>22</v>
      </c>
      <c r="G1722" t="s">
        <v>40</v>
      </c>
      <c r="H1722" t="s">
        <v>102</v>
      </c>
      <c r="I1722" t="s">
        <v>9</v>
      </c>
      <c r="J1722" t="s">
        <v>20</v>
      </c>
      <c r="K1722" t="s">
        <v>11</v>
      </c>
      <c r="L1722" t="s">
        <v>53</v>
      </c>
      <c r="M1722" t="s">
        <v>42</v>
      </c>
      <c r="N1722" t="s">
        <v>37</v>
      </c>
      <c r="O1722" t="s">
        <v>18</v>
      </c>
      <c r="P1722">
        <v>4</v>
      </c>
    </row>
    <row r="1723" spans="1:16" x14ac:dyDescent="0.3">
      <c r="A1723">
        <v>2246</v>
      </c>
      <c r="B1723">
        <v>44118</v>
      </c>
      <c r="C1723">
        <v>47</v>
      </c>
      <c r="D1723">
        <v>26990</v>
      </c>
      <c r="E1723" t="s">
        <v>14</v>
      </c>
      <c r="F1723" t="s">
        <v>22</v>
      </c>
      <c r="G1723" t="s">
        <v>40</v>
      </c>
      <c r="H1723" t="s">
        <v>103</v>
      </c>
      <c r="I1723" t="s">
        <v>9</v>
      </c>
      <c r="J1723" t="s">
        <v>10</v>
      </c>
      <c r="K1723" t="s">
        <v>26</v>
      </c>
      <c r="L1723" t="s">
        <v>53</v>
      </c>
      <c r="M1723" t="s">
        <v>35</v>
      </c>
      <c r="N1723" t="s">
        <v>16</v>
      </c>
      <c r="O1723" t="s">
        <v>18</v>
      </c>
      <c r="P1723">
        <v>4</v>
      </c>
    </row>
    <row r="1724" spans="1:16" x14ac:dyDescent="0.3">
      <c r="A1724">
        <v>2247</v>
      </c>
      <c r="B1724">
        <v>43353</v>
      </c>
      <c r="C1724">
        <v>35</v>
      </c>
      <c r="D1724">
        <v>30416</v>
      </c>
      <c r="E1724" t="s">
        <v>14</v>
      </c>
      <c r="F1724" t="s">
        <v>15</v>
      </c>
      <c r="G1724" t="s">
        <v>17</v>
      </c>
      <c r="H1724" t="s">
        <v>70</v>
      </c>
      <c r="I1724" t="s">
        <v>9</v>
      </c>
      <c r="J1724" t="s">
        <v>20</v>
      </c>
      <c r="K1724" t="s">
        <v>26</v>
      </c>
      <c r="L1724" t="s">
        <v>53</v>
      </c>
      <c r="M1724" t="s">
        <v>55</v>
      </c>
      <c r="N1724" t="s">
        <v>23</v>
      </c>
      <c r="O1724" t="s">
        <v>18</v>
      </c>
      <c r="P1724">
        <v>4</v>
      </c>
    </row>
    <row r="1725" spans="1:16" x14ac:dyDescent="0.3">
      <c r="A1725">
        <v>2248</v>
      </c>
      <c r="B1725">
        <v>44911</v>
      </c>
      <c r="C1725">
        <v>23</v>
      </c>
      <c r="D1725">
        <v>36511</v>
      </c>
      <c r="E1725" t="s">
        <v>14</v>
      </c>
      <c r="F1725" t="s">
        <v>15</v>
      </c>
      <c r="G1725" t="s">
        <v>17</v>
      </c>
      <c r="H1725" t="s">
        <v>70</v>
      </c>
      <c r="I1725" t="s">
        <v>9</v>
      </c>
      <c r="J1725" t="s">
        <v>20</v>
      </c>
      <c r="K1725" t="s">
        <v>26</v>
      </c>
      <c r="L1725" t="s">
        <v>53</v>
      </c>
      <c r="M1725" t="s">
        <v>35</v>
      </c>
      <c r="N1725" t="s">
        <v>23</v>
      </c>
      <c r="O1725" t="s">
        <v>18</v>
      </c>
      <c r="P1725">
        <v>5</v>
      </c>
    </row>
    <row r="1726" spans="1:16" x14ac:dyDescent="0.3">
      <c r="A1726">
        <v>2249</v>
      </c>
      <c r="B1726">
        <v>43371</v>
      </c>
      <c r="C1726">
        <v>24</v>
      </c>
      <c r="D1726">
        <v>34645</v>
      </c>
      <c r="E1726" t="s">
        <v>14</v>
      </c>
      <c r="F1726" t="s">
        <v>15</v>
      </c>
      <c r="G1726" t="s">
        <v>40</v>
      </c>
      <c r="H1726" t="s">
        <v>70</v>
      </c>
      <c r="I1726" t="s">
        <v>9</v>
      </c>
      <c r="J1726" t="s">
        <v>10</v>
      </c>
      <c r="K1726" t="s">
        <v>11</v>
      </c>
      <c r="L1726" t="s">
        <v>53</v>
      </c>
      <c r="M1726" t="s">
        <v>35</v>
      </c>
      <c r="N1726" t="s">
        <v>37</v>
      </c>
      <c r="O1726" t="s">
        <v>18</v>
      </c>
      <c r="P1726">
        <v>5</v>
      </c>
    </row>
    <row r="1727" spans="1:16" x14ac:dyDescent="0.3">
      <c r="A1727">
        <v>2250</v>
      </c>
      <c r="B1727">
        <v>44628</v>
      </c>
      <c r="C1727">
        <v>60</v>
      </c>
      <c r="D1727">
        <v>22891</v>
      </c>
      <c r="E1727" t="s">
        <v>36</v>
      </c>
      <c r="F1727" t="s">
        <v>15</v>
      </c>
      <c r="G1727" t="s">
        <v>34</v>
      </c>
      <c r="H1727" t="s">
        <v>70</v>
      </c>
      <c r="I1727" t="s">
        <v>9</v>
      </c>
      <c r="J1727" t="s">
        <v>10</v>
      </c>
      <c r="K1727" t="s">
        <v>11</v>
      </c>
      <c r="L1727" t="s">
        <v>53</v>
      </c>
      <c r="M1727" t="s">
        <v>21</v>
      </c>
      <c r="N1727" t="s">
        <v>46</v>
      </c>
      <c r="O1727" t="s">
        <v>18</v>
      </c>
      <c r="P1727">
        <v>2</v>
      </c>
    </row>
    <row r="1728" spans="1:16" x14ac:dyDescent="0.3">
      <c r="A1728">
        <v>2251</v>
      </c>
      <c r="B1728">
        <v>44573</v>
      </c>
      <c r="C1728">
        <v>44</v>
      </c>
      <c r="D1728">
        <v>28766</v>
      </c>
      <c r="E1728" t="s">
        <v>14</v>
      </c>
      <c r="F1728" t="s">
        <v>15</v>
      </c>
      <c r="G1728" t="s">
        <v>40</v>
      </c>
      <c r="H1728" t="s">
        <v>101</v>
      </c>
      <c r="I1728" t="s">
        <v>9</v>
      </c>
      <c r="J1728" t="s">
        <v>20</v>
      </c>
      <c r="K1728" t="s">
        <v>26</v>
      </c>
      <c r="L1728" t="s">
        <v>53</v>
      </c>
      <c r="M1728" t="s">
        <v>54</v>
      </c>
      <c r="N1728" t="s">
        <v>23</v>
      </c>
      <c r="O1728" t="s">
        <v>18</v>
      </c>
      <c r="P1728">
        <v>4</v>
      </c>
    </row>
    <row r="1729" spans="1:16" x14ac:dyDescent="0.3">
      <c r="A1729">
        <v>2252</v>
      </c>
      <c r="B1729">
        <v>44173</v>
      </c>
      <c r="C1729">
        <v>47</v>
      </c>
      <c r="D1729">
        <v>26980</v>
      </c>
      <c r="E1729" t="s">
        <v>14</v>
      </c>
      <c r="F1729" t="s">
        <v>22</v>
      </c>
      <c r="G1729" t="s">
        <v>17</v>
      </c>
      <c r="H1729" t="s">
        <v>102</v>
      </c>
      <c r="I1729" t="s">
        <v>9</v>
      </c>
      <c r="J1729" t="s">
        <v>10</v>
      </c>
      <c r="K1729" t="s">
        <v>26</v>
      </c>
      <c r="L1729" t="s">
        <v>53</v>
      </c>
      <c r="M1729" t="s">
        <v>35</v>
      </c>
      <c r="N1729" t="s">
        <v>16</v>
      </c>
      <c r="O1729" t="s">
        <v>18</v>
      </c>
      <c r="P1729">
        <v>3</v>
      </c>
    </row>
    <row r="1730" spans="1:16" x14ac:dyDescent="0.3">
      <c r="A1730">
        <v>2253</v>
      </c>
      <c r="B1730">
        <v>44152</v>
      </c>
      <c r="C1730">
        <v>38</v>
      </c>
      <c r="D1730">
        <v>29987</v>
      </c>
      <c r="E1730" t="s">
        <v>14</v>
      </c>
      <c r="F1730" t="s">
        <v>15</v>
      </c>
      <c r="G1730" t="s">
        <v>31</v>
      </c>
      <c r="H1730" t="s">
        <v>70</v>
      </c>
      <c r="I1730" t="s">
        <v>9</v>
      </c>
      <c r="J1730" t="s">
        <v>25</v>
      </c>
      <c r="K1730" t="s">
        <v>19</v>
      </c>
      <c r="L1730" t="s">
        <v>53</v>
      </c>
      <c r="M1730" t="s">
        <v>35</v>
      </c>
      <c r="N1730" t="s">
        <v>30</v>
      </c>
      <c r="O1730" t="s">
        <v>18</v>
      </c>
      <c r="P1730">
        <v>1</v>
      </c>
    </row>
    <row r="1731" spans="1:16" x14ac:dyDescent="0.3">
      <c r="A1731">
        <v>2254</v>
      </c>
      <c r="B1731">
        <v>44214</v>
      </c>
      <c r="C1731">
        <v>64</v>
      </c>
      <c r="D1731">
        <v>21120</v>
      </c>
      <c r="E1731" t="s">
        <v>14</v>
      </c>
      <c r="F1731" t="s">
        <v>15</v>
      </c>
      <c r="G1731" t="s">
        <v>31</v>
      </c>
      <c r="H1731" t="s">
        <v>70</v>
      </c>
      <c r="I1731" t="s">
        <v>9</v>
      </c>
      <c r="J1731" t="s">
        <v>25</v>
      </c>
      <c r="K1731" t="s">
        <v>19</v>
      </c>
      <c r="L1731" t="s">
        <v>53</v>
      </c>
      <c r="M1731" t="s">
        <v>28</v>
      </c>
      <c r="N1731" t="s">
        <v>23</v>
      </c>
      <c r="O1731" t="s">
        <v>18</v>
      </c>
      <c r="P1731">
        <v>2</v>
      </c>
    </row>
    <row r="1732" spans="1:16" x14ac:dyDescent="0.3">
      <c r="A1732">
        <v>2255</v>
      </c>
      <c r="B1732">
        <v>44089</v>
      </c>
      <c r="C1732">
        <v>30</v>
      </c>
      <c r="D1732">
        <v>33070</v>
      </c>
      <c r="E1732" t="s">
        <v>14</v>
      </c>
      <c r="F1732" t="s">
        <v>15</v>
      </c>
      <c r="G1732" t="s">
        <v>31</v>
      </c>
      <c r="H1732" t="s">
        <v>70</v>
      </c>
      <c r="I1732" t="s">
        <v>9</v>
      </c>
      <c r="J1732" t="s">
        <v>25</v>
      </c>
      <c r="K1732" t="s">
        <v>11</v>
      </c>
      <c r="L1732" t="s">
        <v>53</v>
      </c>
      <c r="M1732" t="s">
        <v>59</v>
      </c>
      <c r="N1732" t="s">
        <v>23</v>
      </c>
      <c r="O1732" t="s">
        <v>18</v>
      </c>
      <c r="P1732">
        <v>4</v>
      </c>
    </row>
    <row r="1733" spans="1:16" x14ac:dyDescent="0.3">
      <c r="A1733">
        <v>2256</v>
      </c>
      <c r="B1733">
        <v>43810</v>
      </c>
      <c r="C1733">
        <v>38</v>
      </c>
      <c r="D1733">
        <v>29949</v>
      </c>
      <c r="E1733" t="s">
        <v>36</v>
      </c>
      <c r="F1733" t="s">
        <v>15</v>
      </c>
      <c r="G1733" t="s">
        <v>17</v>
      </c>
      <c r="H1733" t="s">
        <v>70</v>
      </c>
      <c r="I1733" t="s">
        <v>9</v>
      </c>
      <c r="J1733" t="s">
        <v>20</v>
      </c>
      <c r="K1733" t="s">
        <v>11</v>
      </c>
      <c r="L1733" t="s">
        <v>53</v>
      </c>
      <c r="M1733" t="s">
        <v>35</v>
      </c>
      <c r="N1733" t="s">
        <v>46</v>
      </c>
      <c r="O1733" t="s">
        <v>18</v>
      </c>
      <c r="P1733">
        <v>5</v>
      </c>
    </row>
    <row r="1734" spans="1:16" x14ac:dyDescent="0.3">
      <c r="A1734">
        <v>2257</v>
      </c>
      <c r="B1734">
        <v>44315</v>
      </c>
      <c r="C1734">
        <v>33</v>
      </c>
      <c r="D1734">
        <v>32438</v>
      </c>
      <c r="E1734" t="s">
        <v>14</v>
      </c>
      <c r="F1734" t="s">
        <v>22</v>
      </c>
      <c r="G1734" t="s">
        <v>34</v>
      </c>
      <c r="H1734" t="s">
        <v>101</v>
      </c>
      <c r="I1734" t="s">
        <v>9</v>
      </c>
      <c r="J1734" t="s">
        <v>10</v>
      </c>
      <c r="K1734" t="s">
        <v>26</v>
      </c>
      <c r="L1734" t="s">
        <v>53</v>
      </c>
      <c r="M1734" t="s">
        <v>38</v>
      </c>
      <c r="N1734" t="s">
        <v>16</v>
      </c>
      <c r="O1734" t="s">
        <v>18</v>
      </c>
      <c r="P1734">
        <v>3</v>
      </c>
    </row>
    <row r="1735" spans="1:16" x14ac:dyDescent="0.3">
      <c r="A1735">
        <v>2258</v>
      </c>
      <c r="B1735">
        <v>44289</v>
      </c>
      <c r="C1735">
        <v>22</v>
      </c>
      <c r="D1735">
        <v>36211</v>
      </c>
      <c r="E1735" t="s">
        <v>14</v>
      </c>
      <c r="F1735" t="s">
        <v>22</v>
      </c>
      <c r="G1735" t="s">
        <v>17</v>
      </c>
      <c r="H1735" t="s">
        <v>102</v>
      </c>
      <c r="I1735" t="s">
        <v>9</v>
      </c>
      <c r="J1735" t="s">
        <v>25</v>
      </c>
      <c r="K1735" t="s">
        <v>11</v>
      </c>
      <c r="L1735" t="s">
        <v>53</v>
      </c>
      <c r="M1735" t="s">
        <v>42</v>
      </c>
      <c r="N1735" t="s">
        <v>16</v>
      </c>
      <c r="O1735" t="s">
        <v>18</v>
      </c>
      <c r="P1735">
        <v>5</v>
      </c>
    </row>
    <row r="1736" spans="1:16" x14ac:dyDescent="0.3">
      <c r="A1736">
        <v>2259</v>
      </c>
      <c r="B1736">
        <v>44593</v>
      </c>
      <c r="C1736">
        <v>61</v>
      </c>
      <c r="D1736">
        <v>22364</v>
      </c>
      <c r="E1736" t="s">
        <v>14</v>
      </c>
      <c r="F1736" t="s">
        <v>15</v>
      </c>
      <c r="G1736" t="s">
        <v>40</v>
      </c>
      <c r="H1736" t="s">
        <v>70</v>
      </c>
      <c r="I1736" t="s">
        <v>9</v>
      </c>
      <c r="J1736" t="s">
        <v>20</v>
      </c>
      <c r="K1736" t="s">
        <v>19</v>
      </c>
      <c r="L1736" t="s">
        <v>53</v>
      </c>
      <c r="M1736" t="s">
        <v>38</v>
      </c>
      <c r="N1736" t="s">
        <v>23</v>
      </c>
      <c r="O1736" t="s">
        <v>18</v>
      </c>
      <c r="P1736">
        <v>2</v>
      </c>
    </row>
    <row r="1737" spans="1:16" x14ac:dyDescent="0.3">
      <c r="A1737">
        <v>2260</v>
      </c>
      <c r="B1737">
        <v>43847</v>
      </c>
      <c r="C1737">
        <v>28</v>
      </c>
      <c r="D1737">
        <v>33898</v>
      </c>
      <c r="E1737" t="s">
        <v>14</v>
      </c>
      <c r="F1737" t="s">
        <v>15</v>
      </c>
      <c r="G1737" t="s">
        <v>17</v>
      </c>
      <c r="H1737" t="s">
        <v>70</v>
      </c>
      <c r="I1737" t="s">
        <v>9</v>
      </c>
      <c r="J1737" t="s">
        <v>20</v>
      </c>
      <c r="K1737" t="s">
        <v>26</v>
      </c>
      <c r="L1737" t="s">
        <v>53</v>
      </c>
      <c r="M1737" t="s">
        <v>42</v>
      </c>
      <c r="N1737" t="s">
        <v>23</v>
      </c>
      <c r="O1737" t="s">
        <v>18</v>
      </c>
      <c r="P1737">
        <v>1</v>
      </c>
    </row>
    <row r="1738" spans="1:16" x14ac:dyDescent="0.3">
      <c r="A1738">
        <v>2261</v>
      </c>
      <c r="B1738">
        <v>44713</v>
      </c>
      <c r="C1738">
        <v>64</v>
      </c>
      <c r="D1738">
        <v>21337</v>
      </c>
      <c r="E1738" t="s">
        <v>36</v>
      </c>
      <c r="F1738" t="s">
        <v>15</v>
      </c>
      <c r="G1738" t="s">
        <v>40</v>
      </c>
      <c r="H1738" t="s">
        <v>70</v>
      </c>
      <c r="I1738" t="s">
        <v>9</v>
      </c>
      <c r="J1738" t="s">
        <v>25</v>
      </c>
      <c r="K1738" t="s">
        <v>26</v>
      </c>
      <c r="L1738" t="s">
        <v>53</v>
      </c>
      <c r="M1738" t="s">
        <v>59</v>
      </c>
      <c r="N1738" t="s">
        <v>37</v>
      </c>
      <c r="O1738" t="s">
        <v>18</v>
      </c>
      <c r="P1738">
        <v>1</v>
      </c>
    </row>
    <row r="1739" spans="1:16" x14ac:dyDescent="0.3">
      <c r="A1739">
        <v>2262</v>
      </c>
      <c r="B1739">
        <v>43541</v>
      </c>
      <c r="C1739">
        <v>69</v>
      </c>
      <c r="D1739">
        <v>18539</v>
      </c>
      <c r="E1739" t="s">
        <v>36</v>
      </c>
      <c r="F1739" t="s">
        <v>15</v>
      </c>
      <c r="G1739" t="s">
        <v>40</v>
      </c>
      <c r="H1739" t="s">
        <v>70</v>
      </c>
      <c r="I1739" t="s">
        <v>9</v>
      </c>
      <c r="J1739" t="s">
        <v>10</v>
      </c>
      <c r="K1739" t="s">
        <v>19</v>
      </c>
      <c r="L1739" t="s">
        <v>53</v>
      </c>
      <c r="M1739" t="s">
        <v>42</v>
      </c>
      <c r="N1739" t="s">
        <v>30</v>
      </c>
      <c r="O1739" t="s">
        <v>18</v>
      </c>
      <c r="P1739">
        <v>4</v>
      </c>
    </row>
    <row r="1740" spans="1:16" x14ac:dyDescent="0.3">
      <c r="A1740">
        <v>2263</v>
      </c>
      <c r="B1740">
        <v>43837</v>
      </c>
      <c r="C1740">
        <v>55</v>
      </c>
      <c r="D1740">
        <v>24024</v>
      </c>
      <c r="E1740" t="s">
        <v>14</v>
      </c>
      <c r="F1740" t="s">
        <v>22</v>
      </c>
      <c r="G1740" t="s">
        <v>31</v>
      </c>
      <c r="H1740" t="s">
        <v>101</v>
      </c>
      <c r="I1740" t="s">
        <v>9</v>
      </c>
      <c r="J1740" t="s">
        <v>10</v>
      </c>
      <c r="K1740" t="s">
        <v>26</v>
      </c>
      <c r="L1740" t="s">
        <v>53</v>
      </c>
      <c r="M1740" t="s">
        <v>28</v>
      </c>
      <c r="N1740" t="s">
        <v>23</v>
      </c>
      <c r="O1740" t="s">
        <v>18</v>
      </c>
      <c r="P1740">
        <v>1</v>
      </c>
    </row>
    <row r="1741" spans="1:16" x14ac:dyDescent="0.3">
      <c r="A1741">
        <v>2264</v>
      </c>
      <c r="B1741">
        <v>44251</v>
      </c>
      <c r="C1741">
        <v>42</v>
      </c>
      <c r="D1741">
        <v>28919</v>
      </c>
      <c r="E1741" t="s">
        <v>14</v>
      </c>
      <c r="F1741" t="s">
        <v>22</v>
      </c>
      <c r="G1741" t="s">
        <v>31</v>
      </c>
      <c r="H1741" t="s">
        <v>102</v>
      </c>
      <c r="I1741" t="s">
        <v>9</v>
      </c>
      <c r="J1741" t="s">
        <v>20</v>
      </c>
      <c r="K1741" t="s">
        <v>19</v>
      </c>
      <c r="L1741" t="s">
        <v>53</v>
      </c>
      <c r="M1741" t="s">
        <v>44</v>
      </c>
      <c r="N1741" t="s">
        <v>16</v>
      </c>
      <c r="O1741" t="s">
        <v>18</v>
      </c>
      <c r="P1741">
        <v>2</v>
      </c>
    </row>
    <row r="1742" spans="1:16" x14ac:dyDescent="0.3">
      <c r="A1742">
        <v>2265</v>
      </c>
      <c r="B1742">
        <v>43829</v>
      </c>
      <c r="C1742">
        <v>75</v>
      </c>
      <c r="D1742">
        <v>16436</v>
      </c>
      <c r="E1742" t="s">
        <v>14</v>
      </c>
      <c r="F1742" t="s">
        <v>15</v>
      </c>
      <c r="G1742" t="s">
        <v>31</v>
      </c>
      <c r="H1742" t="s">
        <v>70</v>
      </c>
      <c r="I1742" t="s">
        <v>9</v>
      </c>
      <c r="J1742" t="s">
        <v>10</v>
      </c>
      <c r="K1742" t="s">
        <v>11</v>
      </c>
      <c r="L1742" t="s">
        <v>53</v>
      </c>
      <c r="M1742" t="s">
        <v>35</v>
      </c>
      <c r="N1742" t="s">
        <v>23</v>
      </c>
      <c r="O1742" t="s">
        <v>18</v>
      </c>
      <c r="P1742">
        <v>4</v>
      </c>
    </row>
    <row r="1743" spans="1:16" x14ac:dyDescent="0.3">
      <c r="A1743">
        <v>2266</v>
      </c>
      <c r="B1743">
        <v>43963</v>
      </c>
      <c r="C1743">
        <v>45</v>
      </c>
      <c r="D1743">
        <v>27435</v>
      </c>
      <c r="E1743" t="s">
        <v>14</v>
      </c>
      <c r="F1743" t="s">
        <v>15</v>
      </c>
      <c r="G1743" t="s">
        <v>31</v>
      </c>
      <c r="H1743" t="s">
        <v>70</v>
      </c>
      <c r="I1743" t="s">
        <v>9</v>
      </c>
      <c r="J1743" t="s">
        <v>25</v>
      </c>
      <c r="K1743" t="s">
        <v>26</v>
      </c>
      <c r="L1743" t="s">
        <v>53</v>
      </c>
      <c r="M1743" t="s">
        <v>35</v>
      </c>
      <c r="N1743" t="s">
        <v>30</v>
      </c>
      <c r="O1743" t="s">
        <v>18</v>
      </c>
      <c r="P1743">
        <v>3</v>
      </c>
    </row>
    <row r="1744" spans="1:16" x14ac:dyDescent="0.3">
      <c r="A1744">
        <v>2267</v>
      </c>
      <c r="B1744">
        <v>45020</v>
      </c>
      <c r="C1744">
        <v>52</v>
      </c>
      <c r="D1744">
        <v>26102</v>
      </c>
      <c r="E1744" t="s">
        <v>36</v>
      </c>
      <c r="F1744" t="s">
        <v>15</v>
      </c>
      <c r="G1744" t="s">
        <v>40</v>
      </c>
      <c r="H1744" t="s">
        <v>70</v>
      </c>
      <c r="I1744" t="s">
        <v>9</v>
      </c>
      <c r="J1744" t="s">
        <v>25</v>
      </c>
      <c r="K1744" t="s">
        <v>19</v>
      </c>
      <c r="L1744" t="s">
        <v>53</v>
      </c>
      <c r="M1744" t="s">
        <v>32</v>
      </c>
      <c r="N1744" t="s">
        <v>23</v>
      </c>
      <c r="O1744" t="s">
        <v>18</v>
      </c>
      <c r="P1744">
        <v>3</v>
      </c>
    </row>
    <row r="1745" spans="1:16" x14ac:dyDescent="0.3">
      <c r="A1745">
        <v>2268</v>
      </c>
      <c r="B1745">
        <v>44200</v>
      </c>
      <c r="C1745">
        <v>58</v>
      </c>
      <c r="D1745">
        <v>23229</v>
      </c>
      <c r="E1745" t="s">
        <v>36</v>
      </c>
      <c r="F1745" t="s">
        <v>22</v>
      </c>
      <c r="G1745" t="s">
        <v>31</v>
      </c>
      <c r="H1745" t="s">
        <v>70</v>
      </c>
      <c r="I1745" t="s">
        <v>9</v>
      </c>
      <c r="J1745" t="s">
        <v>10</v>
      </c>
      <c r="K1745" t="s">
        <v>11</v>
      </c>
      <c r="L1745" t="s">
        <v>53</v>
      </c>
      <c r="M1745" t="s">
        <v>32</v>
      </c>
      <c r="N1745" t="s">
        <v>16</v>
      </c>
      <c r="O1745" t="s">
        <v>18</v>
      </c>
      <c r="P1745">
        <v>3</v>
      </c>
    </row>
    <row r="1746" spans="1:16" x14ac:dyDescent="0.3">
      <c r="A1746">
        <v>2269</v>
      </c>
      <c r="B1746">
        <v>43949</v>
      </c>
      <c r="C1746">
        <v>46</v>
      </c>
      <c r="D1746">
        <v>27044</v>
      </c>
      <c r="E1746" t="s">
        <v>14</v>
      </c>
      <c r="F1746" t="s">
        <v>22</v>
      </c>
      <c r="G1746" t="s">
        <v>40</v>
      </c>
      <c r="H1746" t="s">
        <v>101</v>
      </c>
      <c r="I1746" t="s">
        <v>9</v>
      </c>
      <c r="J1746" t="s">
        <v>25</v>
      </c>
      <c r="K1746" t="s">
        <v>11</v>
      </c>
      <c r="L1746" t="s">
        <v>53</v>
      </c>
      <c r="M1746" t="s">
        <v>44</v>
      </c>
      <c r="N1746" t="s">
        <v>23</v>
      </c>
      <c r="O1746" t="s">
        <v>18</v>
      </c>
      <c r="P1746">
        <v>5</v>
      </c>
    </row>
    <row r="1747" spans="1:16" x14ac:dyDescent="0.3">
      <c r="A1747">
        <v>2270</v>
      </c>
      <c r="B1747">
        <v>43571</v>
      </c>
      <c r="C1747">
        <v>67</v>
      </c>
      <c r="D1747">
        <v>19256</v>
      </c>
      <c r="E1747" t="s">
        <v>14</v>
      </c>
      <c r="F1747" t="s">
        <v>15</v>
      </c>
      <c r="G1747" t="s">
        <v>31</v>
      </c>
      <c r="H1747" t="s">
        <v>70</v>
      </c>
      <c r="I1747" t="s">
        <v>9</v>
      </c>
      <c r="J1747" t="s">
        <v>10</v>
      </c>
      <c r="K1747" t="s">
        <v>11</v>
      </c>
      <c r="L1747" t="s">
        <v>53</v>
      </c>
      <c r="M1747" t="s">
        <v>54</v>
      </c>
      <c r="N1747" t="s">
        <v>46</v>
      </c>
      <c r="O1747" t="s">
        <v>18</v>
      </c>
      <c r="P1747">
        <v>4</v>
      </c>
    </row>
    <row r="1748" spans="1:16" x14ac:dyDescent="0.3">
      <c r="A1748">
        <v>2271</v>
      </c>
      <c r="B1748">
        <v>44751</v>
      </c>
      <c r="C1748">
        <v>26</v>
      </c>
      <c r="D1748">
        <v>35266</v>
      </c>
      <c r="E1748" t="s">
        <v>14</v>
      </c>
      <c r="F1748" t="s">
        <v>15</v>
      </c>
      <c r="G1748" t="s">
        <v>31</v>
      </c>
      <c r="H1748" t="s">
        <v>70</v>
      </c>
      <c r="I1748" t="s">
        <v>9</v>
      </c>
      <c r="J1748" t="s">
        <v>25</v>
      </c>
      <c r="K1748" t="s">
        <v>19</v>
      </c>
      <c r="L1748" t="s">
        <v>53</v>
      </c>
      <c r="M1748" t="s">
        <v>35</v>
      </c>
      <c r="N1748" t="s">
        <v>23</v>
      </c>
      <c r="O1748" t="s">
        <v>18</v>
      </c>
      <c r="P1748">
        <v>4</v>
      </c>
    </row>
    <row r="1749" spans="1:16" x14ac:dyDescent="0.3">
      <c r="A1749">
        <v>2272</v>
      </c>
      <c r="B1749">
        <v>44802</v>
      </c>
      <c r="C1749">
        <v>35</v>
      </c>
      <c r="D1749">
        <v>31871</v>
      </c>
      <c r="E1749" t="s">
        <v>36</v>
      </c>
      <c r="F1749" t="s">
        <v>15</v>
      </c>
      <c r="G1749" t="s">
        <v>40</v>
      </c>
      <c r="H1749" t="s">
        <v>70</v>
      </c>
      <c r="I1749" t="s">
        <v>9</v>
      </c>
      <c r="J1749" t="s">
        <v>20</v>
      </c>
      <c r="K1749" t="s">
        <v>11</v>
      </c>
      <c r="L1749" t="s">
        <v>53</v>
      </c>
      <c r="M1749" t="s">
        <v>35</v>
      </c>
      <c r="N1749" t="s">
        <v>37</v>
      </c>
      <c r="O1749" t="s">
        <v>18</v>
      </c>
      <c r="P1749">
        <v>5</v>
      </c>
    </row>
    <row r="1750" spans="1:16" x14ac:dyDescent="0.3">
      <c r="A1750">
        <v>2273</v>
      </c>
      <c r="B1750">
        <v>43856</v>
      </c>
      <c r="C1750">
        <v>64</v>
      </c>
      <c r="D1750">
        <v>20591</v>
      </c>
      <c r="E1750" t="s">
        <v>36</v>
      </c>
      <c r="F1750" t="s">
        <v>22</v>
      </c>
      <c r="G1750" t="s">
        <v>40</v>
      </c>
      <c r="H1750" t="s">
        <v>70</v>
      </c>
      <c r="I1750" t="s">
        <v>9</v>
      </c>
      <c r="J1750" t="s">
        <v>25</v>
      </c>
      <c r="K1750" t="s">
        <v>19</v>
      </c>
      <c r="L1750" t="s">
        <v>53</v>
      </c>
      <c r="M1750" t="s">
        <v>57</v>
      </c>
      <c r="N1750" t="s">
        <v>30</v>
      </c>
      <c r="O1750" t="s">
        <v>18</v>
      </c>
      <c r="P1750">
        <v>2</v>
      </c>
    </row>
    <row r="1751" spans="1:16" x14ac:dyDescent="0.3">
      <c r="A1751">
        <v>2274</v>
      </c>
      <c r="B1751">
        <v>43879</v>
      </c>
      <c r="C1751">
        <v>20</v>
      </c>
      <c r="D1751">
        <v>36548</v>
      </c>
      <c r="E1751" t="s">
        <v>14</v>
      </c>
      <c r="F1751" t="s">
        <v>22</v>
      </c>
      <c r="G1751" t="s">
        <v>17</v>
      </c>
      <c r="H1751" t="s">
        <v>101</v>
      </c>
      <c r="I1751" t="s">
        <v>9</v>
      </c>
      <c r="J1751" t="s">
        <v>25</v>
      </c>
      <c r="K1751" t="s">
        <v>19</v>
      </c>
      <c r="L1751" t="s">
        <v>53</v>
      </c>
      <c r="M1751" t="s">
        <v>21</v>
      </c>
      <c r="N1751" t="s">
        <v>30</v>
      </c>
      <c r="O1751" t="s">
        <v>18</v>
      </c>
      <c r="P1751">
        <v>5</v>
      </c>
    </row>
    <row r="1752" spans="1:16" x14ac:dyDescent="0.3">
      <c r="A1752">
        <v>2275</v>
      </c>
      <c r="B1752">
        <v>44586</v>
      </c>
      <c r="C1752">
        <v>72</v>
      </c>
      <c r="D1752">
        <v>18606</v>
      </c>
      <c r="E1752" t="s">
        <v>14</v>
      </c>
      <c r="F1752" t="s">
        <v>22</v>
      </c>
      <c r="G1752" t="s">
        <v>34</v>
      </c>
      <c r="H1752" t="s">
        <v>91</v>
      </c>
      <c r="I1752" t="s">
        <v>9</v>
      </c>
      <c r="J1752" t="s">
        <v>20</v>
      </c>
      <c r="K1752" t="s">
        <v>26</v>
      </c>
      <c r="L1752" t="s">
        <v>12</v>
      </c>
      <c r="M1752" t="s">
        <v>63</v>
      </c>
      <c r="N1752" t="s">
        <v>46</v>
      </c>
      <c r="O1752" t="s">
        <v>18</v>
      </c>
      <c r="P1752">
        <v>4</v>
      </c>
    </row>
    <row r="1753" spans="1:16" x14ac:dyDescent="0.3">
      <c r="A1753">
        <v>2276</v>
      </c>
      <c r="B1753">
        <v>45117</v>
      </c>
      <c r="C1753">
        <v>41</v>
      </c>
      <c r="D1753">
        <v>30276</v>
      </c>
      <c r="E1753" t="s">
        <v>14</v>
      </c>
      <c r="F1753" t="s">
        <v>15</v>
      </c>
      <c r="G1753" t="s">
        <v>40</v>
      </c>
      <c r="H1753" t="s">
        <v>91</v>
      </c>
      <c r="I1753" t="s">
        <v>9</v>
      </c>
      <c r="J1753" t="s">
        <v>25</v>
      </c>
      <c r="K1753" t="s">
        <v>26</v>
      </c>
      <c r="L1753" t="s">
        <v>12</v>
      </c>
      <c r="M1753" t="s">
        <v>54</v>
      </c>
      <c r="N1753" t="s">
        <v>16</v>
      </c>
      <c r="O1753" t="s">
        <v>18</v>
      </c>
      <c r="P1753">
        <v>2</v>
      </c>
    </row>
    <row r="1754" spans="1:16" x14ac:dyDescent="0.3">
      <c r="A1754">
        <v>2277</v>
      </c>
      <c r="B1754">
        <v>44665</v>
      </c>
      <c r="C1754">
        <v>59</v>
      </c>
      <c r="D1754">
        <v>23283</v>
      </c>
      <c r="E1754" t="s">
        <v>14</v>
      </c>
      <c r="F1754" t="s">
        <v>15</v>
      </c>
      <c r="G1754" t="s">
        <v>17</v>
      </c>
      <c r="H1754" t="s">
        <v>91</v>
      </c>
      <c r="I1754" t="s">
        <v>9</v>
      </c>
      <c r="J1754" t="s">
        <v>10</v>
      </c>
      <c r="K1754" t="s">
        <v>26</v>
      </c>
      <c r="L1754" t="s">
        <v>12</v>
      </c>
      <c r="M1754" t="s">
        <v>35</v>
      </c>
      <c r="N1754" t="s">
        <v>23</v>
      </c>
      <c r="O1754" t="s">
        <v>18</v>
      </c>
      <c r="P1754">
        <v>4</v>
      </c>
    </row>
    <row r="1755" spans="1:16" x14ac:dyDescent="0.3">
      <c r="A1755">
        <v>2278</v>
      </c>
      <c r="B1755">
        <v>44752</v>
      </c>
      <c r="C1755">
        <v>59</v>
      </c>
      <c r="D1755">
        <v>23158</v>
      </c>
      <c r="E1755" t="s">
        <v>14</v>
      </c>
      <c r="F1755" t="s">
        <v>15</v>
      </c>
      <c r="G1755" t="s">
        <v>17</v>
      </c>
      <c r="H1755" t="s">
        <v>91</v>
      </c>
      <c r="I1755" t="s">
        <v>9</v>
      </c>
      <c r="J1755" t="s">
        <v>20</v>
      </c>
      <c r="K1755" t="s">
        <v>26</v>
      </c>
      <c r="L1755" t="s">
        <v>12</v>
      </c>
      <c r="M1755" t="s">
        <v>61</v>
      </c>
      <c r="N1755" t="s">
        <v>16</v>
      </c>
      <c r="O1755" t="s">
        <v>18</v>
      </c>
      <c r="P1755">
        <v>4</v>
      </c>
    </row>
    <row r="1756" spans="1:16" x14ac:dyDescent="0.3">
      <c r="A1756">
        <v>2279</v>
      </c>
      <c r="B1756">
        <v>44739</v>
      </c>
      <c r="C1756">
        <v>45</v>
      </c>
      <c r="D1756">
        <v>28168</v>
      </c>
      <c r="E1756" t="s">
        <v>14</v>
      </c>
      <c r="F1756" t="s">
        <v>22</v>
      </c>
      <c r="G1756" t="s">
        <v>40</v>
      </c>
      <c r="H1756" t="s">
        <v>91</v>
      </c>
      <c r="I1756" t="s">
        <v>9</v>
      </c>
      <c r="J1756" t="s">
        <v>10</v>
      </c>
      <c r="K1756" t="s">
        <v>11</v>
      </c>
      <c r="L1756" t="s">
        <v>12</v>
      </c>
      <c r="M1756" t="s">
        <v>93</v>
      </c>
      <c r="N1756" t="s">
        <v>30</v>
      </c>
      <c r="O1756" t="s">
        <v>18</v>
      </c>
      <c r="P1756">
        <v>5</v>
      </c>
    </row>
    <row r="1757" spans="1:16" x14ac:dyDescent="0.3">
      <c r="A1757">
        <v>2280</v>
      </c>
      <c r="B1757">
        <v>43438</v>
      </c>
      <c r="C1757">
        <v>33</v>
      </c>
      <c r="D1757">
        <v>31112</v>
      </c>
      <c r="E1757" t="s">
        <v>14</v>
      </c>
      <c r="F1757" t="s">
        <v>15</v>
      </c>
      <c r="G1757" t="s">
        <v>34</v>
      </c>
      <c r="H1757" t="s">
        <v>91</v>
      </c>
      <c r="I1757" t="s">
        <v>66</v>
      </c>
      <c r="J1757" t="s">
        <v>10</v>
      </c>
      <c r="K1757" t="s">
        <v>19</v>
      </c>
      <c r="L1757" t="s">
        <v>12</v>
      </c>
      <c r="M1757" t="s">
        <v>60</v>
      </c>
      <c r="N1757" t="s">
        <v>16</v>
      </c>
      <c r="O1757" t="s">
        <v>18</v>
      </c>
      <c r="P1757">
        <v>2</v>
      </c>
    </row>
    <row r="1758" spans="1:16" x14ac:dyDescent="0.3">
      <c r="A1758">
        <v>2281</v>
      </c>
      <c r="B1758">
        <v>43718</v>
      </c>
      <c r="C1758">
        <v>21</v>
      </c>
      <c r="D1758">
        <v>36050</v>
      </c>
      <c r="E1758" t="s">
        <v>14</v>
      </c>
      <c r="F1758" t="s">
        <v>22</v>
      </c>
      <c r="G1758" t="s">
        <v>31</v>
      </c>
      <c r="H1758" t="s">
        <v>91</v>
      </c>
      <c r="I1758" t="s">
        <v>9</v>
      </c>
      <c r="J1758" t="s">
        <v>25</v>
      </c>
      <c r="K1758" t="s">
        <v>11</v>
      </c>
      <c r="L1758" t="s">
        <v>12</v>
      </c>
      <c r="M1758" t="s">
        <v>35</v>
      </c>
      <c r="N1758" t="s">
        <v>23</v>
      </c>
      <c r="O1758" t="s">
        <v>18</v>
      </c>
      <c r="P1758">
        <v>4</v>
      </c>
    </row>
    <row r="1759" spans="1:16" x14ac:dyDescent="0.3">
      <c r="A1759">
        <v>2282</v>
      </c>
      <c r="B1759">
        <v>43580</v>
      </c>
      <c r="C1759">
        <v>52</v>
      </c>
      <c r="D1759">
        <v>24681</v>
      </c>
      <c r="E1759" t="s">
        <v>14</v>
      </c>
      <c r="F1759" t="s">
        <v>22</v>
      </c>
      <c r="G1759" t="s">
        <v>31</v>
      </c>
      <c r="H1759" t="s">
        <v>91</v>
      </c>
      <c r="I1759" t="s">
        <v>9</v>
      </c>
      <c r="J1759" t="s">
        <v>20</v>
      </c>
      <c r="K1759" t="s">
        <v>19</v>
      </c>
      <c r="L1759" t="s">
        <v>12</v>
      </c>
      <c r="M1759" t="s">
        <v>55</v>
      </c>
      <c r="N1759" t="s">
        <v>46</v>
      </c>
      <c r="O1759" t="s">
        <v>18</v>
      </c>
      <c r="P1759">
        <v>5</v>
      </c>
    </row>
    <row r="1760" spans="1:16" x14ac:dyDescent="0.3">
      <c r="A1760">
        <v>2283</v>
      </c>
      <c r="B1760">
        <v>43376</v>
      </c>
      <c r="C1760">
        <v>57</v>
      </c>
      <c r="D1760">
        <v>22632</v>
      </c>
      <c r="E1760" t="s">
        <v>14</v>
      </c>
      <c r="F1760" t="s">
        <v>22</v>
      </c>
      <c r="G1760" t="s">
        <v>31</v>
      </c>
      <c r="H1760" t="s">
        <v>88</v>
      </c>
      <c r="I1760" t="s">
        <v>66</v>
      </c>
      <c r="J1760" t="s">
        <v>20</v>
      </c>
      <c r="K1760" t="s">
        <v>26</v>
      </c>
      <c r="L1760" t="s">
        <v>90</v>
      </c>
      <c r="M1760" t="s">
        <v>35</v>
      </c>
      <c r="N1760" t="s">
        <v>16</v>
      </c>
      <c r="O1760" t="s">
        <v>18</v>
      </c>
      <c r="P1760">
        <v>2</v>
      </c>
    </row>
    <row r="1761" spans="1:16" x14ac:dyDescent="0.3">
      <c r="A1761">
        <v>2284</v>
      </c>
      <c r="B1761">
        <v>44726</v>
      </c>
      <c r="C1761">
        <v>62</v>
      </c>
      <c r="D1761">
        <v>22182</v>
      </c>
      <c r="E1761" t="s">
        <v>14</v>
      </c>
      <c r="F1761" t="s">
        <v>15</v>
      </c>
      <c r="G1761" t="s">
        <v>17</v>
      </c>
      <c r="H1761" t="s">
        <v>82</v>
      </c>
      <c r="I1761" t="s">
        <v>9</v>
      </c>
      <c r="J1761" t="s">
        <v>20</v>
      </c>
      <c r="K1761" t="s">
        <v>11</v>
      </c>
      <c r="L1761" t="s">
        <v>53</v>
      </c>
      <c r="M1761" t="s">
        <v>59</v>
      </c>
      <c r="N1761" t="s">
        <v>30</v>
      </c>
      <c r="O1761" t="s">
        <v>18</v>
      </c>
      <c r="P1761">
        <v>4</v>
      </c>
    </row>
    <row r="1762" spans="1:16" x14ac:dyDescent="0.3">
      <c r="A1762">
        <v>2285</v>
      </c>
      <c r="B1762">
        <v>44607</v>
      </c>
      <c r="C1762">
        <v>51</v>
      </c>
      <c r="D1762">
        <v>26081</v>
      </c>
      <c r="E1762" t="s">
        <v>14</v>
      </c>
      <c r="F1762" t="s">
        <v>22</v>
      </c>
      <c r="G1762" t="s">
        <v>31</v>
      </c>
      <c r="H1762" t="s">
        <v>91</v>
      </c>
      <c r="I1762" t="s">
        <v>9</v>
      </c>
      <c r="J1762" t="s">
        <v>25</v>
      </c>
      <c r="K1762" t="s">
        <v>11</v>
      </c>
      <c r="L1762" t="s">
        <v>12</v>
      </c>
      <c r="M1762" t="s">
        <v>54</v>
      </c>
      <c r="N1762" t="s">
        <v>30</v>
      </c>
      <c r="O1762" t="s">
        <v>18</v>
      </c>
      <c r="P1762">
        <v>3</v>
      </c>
    </row>
    <row r="1763" spans="1:16" x14ac:dyDescent="0.3">
      <c r="A1763">
        <v>2286</v>
      </c>
      <c r="B1763">
        <v>43367</v>
      </c>
      <c r="C1763">
        <v>37</v>
      </c>
      <c r="D1763">
        <v>29869</v>
      </c>
      <c r="E1763" t="s">
        <v>14</v>
      </c>
      <c r="F1763" t="s">
        <v>22</v>
      </c>
      <c r="G1763" t="s">
        <v>40</v>
      </c>
      <c r="H1763" t="s">
        <v>91</v>
      </c>
      <c r="I1763" t="s">
        <v>9</v>
      </c>
      <c r="J1763" t="s">
        <v>10</v>
      </c>
      <c r="K1763" t="s">
        <v>26</v>
      </c>
      <c r="L1763" t="s">
        <v>12</v>
      </c>
      <c r="M1763" t="s">
        <v>38</v>
      </c>
      <c r="N1763" t="s">
        <v>37</v>
      </c>
      <c r="O1763" t="s">
        <v>18</v>
      </c>
      <c r="P1763">
        <v>4</v>
      </c>
    </row>
    <row r="1764" spans="1:16" x14ac:dyDescent="0.3">
      <c r="A1764">
        <v>2287</v>
      </c>
      <c r="B1764">
        <v>44629</v>
      </c>
      <c r="C1764">
        <v>61</v>
      </c>
      <c r="D1764">
        <v>22360</v>
      </c>
      <c r="E1764" t="s">
        <v>14</v>
      </c>
      <c r="F1764" t="s">
        <v>15</v>
      </c>
      <c r="G1764" t="s">
        <v>31</v>
      </c>
      <c r="H1764" t="s">
        <v>91</v>
      </c>
      <c r="I1764" t="s">
        <v>9</v>
      </c>
      <c r="J1764" t="s">
        <v>10</v>
      </c>
      <c r="K1764" t="s">
        <v>26</v>
      </c>
      <c r="L1764" t="s">
        <v>12</v>
      </c>
      <c r="M1764" t="s">
        <v>32</v>
      </c>
      <c r="N1764" t="s">
        <v>16</v>
      </c>
      <c r="O1764" t="s">
        <v>18</v>
      </c>
      <c r="P1764">
        <v>4</v>
      </c>
    </row>
    <row r="1765" spans="1:16" x14ac:dyDescent="0.3">
      <c r="A1765">
        <v>2288</v>
      </c>
      <c r="B1765">
        <v>43411</v>
      </c>
      <c r="C1765">
        <v>34</v>
      </c>
      <c r="D1765">
        <v>30934</v>
      </c>
      <c r="E1765" t="s">
        <v>14</v>
      </c>
      <c r="F1765" t="s">
        <v>15</v>
      </c>
      <c r="G1765" t="s">
        <v>40</v>
      </c>
      <c r="H1765" t="s">
        <v>91</v>
      </c>
      <c r="I1765" t="s">
        <v>9</v>
      </c>
      <c r="J1765" t="s">
        <v>25</v>
      </c>
      <c r="K1765" t="s">
        <v>19</v>
      </c>
      <c r="L1765" t="s">
        <v>12</v>
      </c>
      <c r="M1765" t="s">
        <v>55</v>
      </c>
      <c r="N1765" t="s">
        <v>37</v>
      </c>
      <c r="O1765" t="s">
        <v>18</v>
      </c>
      <c r="P1765">
        <v>1</v>
      </c>
    </row>
    <row r="1766" spans="1:16" x14ac:dyDescent="0.3">
      <c r="A1766">
        <v>2289</v>
      </c>
      <c r="B1766">
        <v>43708</v>
      </c>
      <c r="C1766">
        <v>57</v>
      </c>
      <c r="D1766">
        <v>22710</v>
      </c>
      <c r="E1766" t="s">
        <v>14</v>
      </c>
      <c r="F1766" t="s">
        <v>22</v>
      </c>
      <c r="G1766" t="s">
        <v>31</v>
      </c>
      <c r="H1766" t="s">
        <v>88</v>
      </c>
      <c r="I1766" t="s">
        <v>9</v>
      </c>
      <c r="J1766" t="s">
        <v>25</v>
      </c>
      <c r="K1766" t="s">
        <v>19</v>
      </c>
      <c r="L1766" t="s">
        <v>90</v>
      </c>
      <c r="M1766" t="s">
        <v>35</v>
      </c>
      <c r="N1766" t="s">
        <v>16</v>
      </c>
      <c r="O1766" t="s">
        <v>18</v>
      </c>
      <c r="P1766">
        <v>5</v>
      </c>
    </row>
    <row r="1767" spans="1:16" x14ac:dyDescent="0.3">
      <c r="A1767">
        <v>2290</v>
      </c>
      <c r="B1767">
        <v>44162</v>
      </c>
      <c r="C1767">
        <v>78</v>
      </c>
      <c r="D1767">
        <v>15447</v>
      </c>
      <c r="E1767" t="s">
        <v>105</v>
      </c>
      <c r="F1767" t="s">
        <v>15</v>
      </c>
      <c r="G1767" t="s">
        <v>17</v>
      </c>
      <c r="H1767" t="s">
        <v>104</v>
      </c>
      <c r="I1767" t="s">
        <v>9</v>
      </c>
      <c r="J1767" t="s">
        <v>25</v>
      </c>
      <c r="K1767" t="s">
        <v>26</v>
      </c>
      <c r="L1767" t="s">
        <v>27</v>
      </c>
      <c r="M1767" t="s">
        <v>59</v>
      </c>
      <c r="N1767" t="s">
        <v>23</v>
      </c>
      <c r="O1767" t="s">
        <v>18</v>
      </c>
      <c r="P1767">
        <v>1</v>
      </c>
    </row>
    <row r="1768" spans="1:16" x14ac:dyDescent="0.3">
      <c r="A1768">
        <v>2291</v>
      </c>
      <c r="B1768">
        <v>44019</v>
      </c>
      <c r="C1768">
        <v>35</v>
      </c>
      <c r="D1768">
        <v>31095</v>
      </c>
      <c r="E1768" t="s">
        <v>14</v>
      </c>
      <c r="F1768" t="s">
        <v>15</v>
      </c>
      <c r="G1768" t="s">
        <v>34</v>
      </c>
      <c r="H1768" t="s">
        <v>106</v>
      </c>
      <c r="I1768" t="s">
        <v>9</v>
      </c>
      <c r="J1768" t="s">
        <v>10</v>
      </c>
      <c r="K1768" t="s">
        <v>26</v>
      </c>
      <c r="L1768" t="s">
        <v>12</v>
      </c>
      <c r="M1768" t="s">
        <v>32</v>
      </c>
      <c r="N1768" t="s">
        <v>37</v>
      </c>
      <c r="O1768" t="s">
        <v>18</v>
      </c>
      <c r="P1768">
        <v>4</v>
      </c>
    </row>
    <row r="1769" spans="1:16" x14ac:dyDescent="0.3">
      <c r="A1769">
        <v>2292</v>
      </c>
      <c r="B1769">
        <v>43841</v>
      </c>
      <c r="C1769">
        <v>57</v>
      </c>
      <c r="D1769">
        <v>23108</v>
      </c>
      <c r="E1769" t="s">
        <v>14</v>
      </c>
      <c r="F1769" t="s">
        <v>22</v>
      </c>
      <c r="G1769" t="s">
        <v>17</v>
      </c>
      <c r="H1769" t="s">
        <v>91</v>
      </c>
      <c r="I1769" t="s">
        <v>9</v>
      </c>
      <c r="J1769" t="s">
        <v>10</v>
      </c>
      <c r="K1769" t="s">
        <v>11</v>
      </c>
      <c r="L1769" t="s">
        <v>12</v>
      </c>
      <c r="M1769" t="s">
        <v>21</v>
      </c>
      <c r="N1769" t="s">
        <v>16</v>
      </c>
      <c r="O1769" t="s">
        <v>18</v>
      </c>
      <c r="P1769">
        <v>1</v>
      </c>
    </row>
    <row r="1770" spans="1:16" x14ac:dyDescent="0.3">
      <c r="A1770">
        <v>2293</v>
      </c>
      <c r="B1770">
        <v>43997</v>
      </c>
      <c r="C1770">
        <v>22</v>
      </c>
      <c r="D1770">
        <v>35886</v>
      </c>
      <c r="E1770" t="s">
        <v>14</v>
      </c>
      <c r="F1770" t="s">
        <v>22</v>
      </c>
      <c r="G1770" t="s">
        <v>31</v>
      </c>
      <c r="H1770" t="s">
        <v>91</v>
      </c>
      <c r="I1770" t="s">
        <v>9</v>
      </c>
      <c r="J1770" t="s">
        <v>10</v>
      </c>
      <c r="K1770" t="s">
        <v>26</v>
      </c>
      <c r="L1770" t="s">
        <v>12</v>
      </c>
      <c r="M1770" t="s">
        <v>35</v>
      </c>
      <c r="N1770" t="s">
        <v>30</v>
      </c>
      <c r="O1770" t="s">
        <v>18</v>
      </c>
      <c r="P1770">
        <v>3</v>
      </c>
    </row>
    <row r="1771" spans="1:16" x14ac:dyDescent="0.3">
      <c r="A1771">
        <v>2294</v>
      </c>
      <c r="B1771">
        <v>44114</v>
      </c>
      <c r="C1771">
        <v>45</v>
      </c>
      <c r="D1771">
        <v>27731</v>
      </c>
      <c r="E1771" t="s">
        <v>14</v>
      </c>
      <c r="F1771" t="s">
        <v>22</v>
      </c>
      <c r="G1771" t="s">
        <v>31</v>
      </c>
      <c r="H1771" t="s">
        <v>91</v>
      </c>
      <c r="I1771" t="s">
        <v>9</v>
      </c>
      <c r="J1771" t="s">
        <v>10</v>
      </c>
      <c r="K1771" t="s">
        <v>19</v>
      </c>
      <c r="L1771" t="s">
        <v>12</v>
      </c>
      <c r="M1771" t="s">
        <v>35</v>
      </c>
      <c r="N1771" t="s">
        <v>37</v>
      </c>
      <c r="O1771" t="s">
        <v>18</v>
      </c>
      <c r="P1771">
        <v>4</v>
      </c>
    </row>
    <row r="1772" spans="1:16" x14ac:dyDescent="0.3">
      <c r="A1772">
        <v>2295</v>
      </c>
      <c r="B1772">
        <v>44700</v>
      </c>
      <c r="C1772">
        <v>23</v>
      </c>
      <c r="D1772">
        <v>36185</v>
      </c>
      <c r="E1772" t="s">
        <v>14</v>
      </c>
      <c r="F1772" t="s">
        <v>15</v>
      </c>
      <c r="G1772" t="s">
        <v>40</v>
      </c>
      <c r="H1772" t="s">
        <v>91</v>
      </c>
      <c r="I1772" t="s">
        <v>9</v>
      </c>
      <c r="J1772" t="s">
        <v>25</v>
      </c>
      <c r="K1772" t="s">
        <v>26</v>
      </c>
      <c r="L1772" t="s">
        <v>12</v>
      </c>
      <c r="M1772" t="s">
        <v>35</v>
      </c>
      <c r="N1772" t="s">
        <v>46</v>
      </c>
      <c r="O1772" t="s">
        <v>18</v>
      </c>
      <c r="P1772">
        <v>5</v>
      </c>
    </row>
    <row r="1773" spans="1:16" x14ac:dyDescent="0.3">
      <c r="A1773">
        <v>2296</v>
      </c>
      <c r="B1773">
        <v>44433</v>
      </c>
      <c r="C1773">
        <v>48</v>
      </c>
      <c r="D1773">
        <v>26772</v>
      </c>
      <c r="E1773" t="s">
        <v>14</v>
      </c>
      <c r="F1773" t="s">
        <v>15</v>
      </c>
      <c r="G1773" t="s">
        <v>40</v>
      </c>
      <c r="H1773" t="s">
        <v>91</v>
      </c>
      <c r="I1773" t="s">
        <v>9</v>
      </c>
      <c r="J1773" t="s">
        <v>25</v>
      </c>
      <c r="K1773" t="s">
        <v>26</v>
      </c>
      <c r="L1773" t="s">
        <v>12</v>
      </c>
      <c r="M1773" t="s">
        <v>35</v>
      </c>
      <c r="N1773" t="s">
        <v>23</v>
      </c>
      <c r="O1773" t="s">
        <v>18</v>
      </c>
      <c r="P1773">
        <v>4</v>
      </c>
    </row>
    <row r="1774" spans="1:16" x14ac:dyDescent="0.3">
      <c r="A1774">
        <v>2297</v>
      </c>
      <c r="B1774">
        <v>43452</v>
      </c>
      <c r="C1774">
        <v>60</v>
      </c>
      <c r="D1774">
        <v>21451</v>
      </c>
      <c r="E1774" t="s">
        <v>14</v>
      </c>
      <c r="F1774" t="s">
        <v>15</v>
      </c>
      <c r="G1774" t="s">
        <v>31</v>
      </c>
      <c r="H1774" t="s">
        <v>91</v>
      </c>
      <c r="I1774" t="s">
        <v>66</v>
      </c>
      <c r="J1774" t="s">
        <v>20</v>
      </c>
      <c r="K1774" t="s">
        <v>11</v>
      </c>
      <c r="L1774" t="s">
        <v>12</v>
      </c>
      <c r="M1774" t="s">
        <v>21</v>
      </c>
      <c r="N1774" t="s">
        <v>37</v>
      </c>
      <c r="O1774" t="s">
        <v>18</v>
      </c>
      <c r="P1774">
        <v>4</v>
      </c>
    </row>
    <row r="1775" spans="1:16" x14ac:dyDescent="0.3">
      <c r="A1775">
        <v>2298</v>
      </c>
      <c r="B1775">
        <v>45143</v>
      </c>
      <c r="C1775">
        <v>65</v>
      </c>
      <c r="D1775">
        <v>21302</v>
      </c>
      <c r="E1775" t="s">
        <v>14</v>
      </c>
      <c r="F1775" t="s">
        <v>15</v>
      </c>
      <c r="G1775" t="s">
        <v>34</v>
      </c>
      <c r="H1775" t="s">
        <v>91</v>
      </c>
      <c r="I1775" t="s">
        <v>9</v>
      </c>
      <c r="J1775" t="s">
        <v>25</v>
      </c>
      <c r="K1775" t="s">
        <v>26</v>
      </c>
      <c r="L1775" t="s">
        <v>12</v>
      </c>
      <c r="M1775" t="s">
        <v>35</v>
      </c>
      <c r="N1775" t="s">
        <v>30</v>
      </c>
      <c r="O1775" t="s">
        <v>18</v>
      </c>
      <c r="P1775">
        <v>2</v>
      </c>
    </row>
    <row r="1776" spans="1:16" x14ac:dyDescent="0.3">
      <c r="A1776">
        <v>2299</v>
      </c>
      <c r="B1776">
        <v>44664</v>
      </c>
      <c r="C1776">
        <v>80</v>
      </c>
      <c r="D1776">
        <v>15396</v>
      </c>
      <c r="E1776" t="s">
        <v>14</v>
      </c>
      <c r="F1776" t="s">
        <v>15</v>
      </c>
      <c r="G1776" t="s">
        <v>34</v>
      </c>
      <c r="H1776" t="s">
        <v>91</v>
      </c>
      <c r="I1776" t="s">
        <v>9</v>
      </c>
      <c r="J1776" t="s">
        <v>20</v>
      </c>
      <c r="K1776" t="s">
        <v>19</v>
      </c>
      <c r="L1776" t="s">
        <v>12</v>
      </c>
      <c r="M1776" t="s">
        <v>35</v>
      </c>
      <c r="N1776" t="s">
        <v>46</v>
      </c>
      <c r="O1776" t="s">
        <v>18</v>
      </c>
      <c r="P1776">
        <v>1</v>
      </c>
    </row>
    <row r="1777" spans="1:16" x14ac:dyDescent="0.3">
      <c r="A1777">
        <v>2300</v>
      </c>
      <c r="B1777">
        <v>44100</v>
      </c>
      <c r="C1777">
        <v>73</v>
      </c>
      <c r="D1777">
        <v>17414</v>
      </c>
      <c r="E1777" t="s">
        <v>14</v>
      </c>
      <c r="F1777" t="s">
        <v>15</v>
      </c>
      <c r="G1777" t="s">
        <v>31</v>
      </c>
      <c r="H1777" t="s">
        <v>91</v>
      </c>
      <c r="I1777" t="s">
        <v>9</v>
      </c>
      <c r="J1777" t="s">
        <v>25</v>
      </c>
      <c r="K1777" t="s">
        <v>19</v>
      </c>
      <c r="L1777" t="s">
        <v>12</v>
      </c>
      <c r="M1777" t="s">
        <v>69</v>
      </c>
      <c r="N1777" t="s">
        <v>37</v>
      </c>
      <c r="O1777" t="s">
        <v>18</v>
      </c>
      <c r="P1777">
        <v>1</v>
      </c>
    </row>
    <row r="1778" spans="1:16" x14ac:dyDescent="0.3">
      <c r="A1778">
        <v>2301</v>
      </c>
      <c r="B1778">
        <v>44239</v>
      </c>
      <c r="C1778">
        <v>75</v>
      </c>
      <c r="D1778">
        <v>17026</v>
      </c>
      <c r="E1778" t="s">
        <v>14</v>
      </c>
      <c r="F1778" t="s">
        <v>15</v>
      </c>
      <c r="G1778" t="s">
        <v>31</v>
      </c>
      <c r="H1778" t="s">
        <v>91</v>
      </c>
      <c r="I1778" t="s">
        <v>9</v>
      </c>
      <c r="J1778" t="s">
        <v>20</v>
      </c>
      <c r="K1778" t="s">
        <v>11</v>
      </c>
      <c r="L1778" t="s">
        <v>12</v>
      </c>
      <c r="M1778" t="s">
        <v>69</v>
      </c>
      <c r="N1778" t="s">
        <v>46</v>
      </c>
      <c r="O1778" t="s">
        <v>18</v>
      </c>
      <c r="P1778">
        <v>1</v>
      </c>
    </row>
    <row r="1779" spans="1:16" x14ac:dyDescent="0.3">
      <c r="A1779">
        <v>2302</v>
      </c>
      <c r="B1779">
        <v>43467</v>
      </c>
      <c r="C1779">
        <v>31</v>
      </c>
      <c r="D1779">
        <v>32475</v>
      </c>
      <c r="E1779" t="s">
        <v>14</v>
      </c>
      <c r="F1779" t="s">
        <v>15</v>
      </c>
      <c r="G1779" t="s">
        <v>34</v>
      </c>
      <c r="H1779" t="s">
        <v>91</v>
      </c>
      <c r="I1779" t="s">
        <v>66</v>
      </c>
      <c r="J1779" t="s">
        <v>10</v>
      </c>
      <c r="K1779" t="s">
        <v>11</v>
      </c>
      <c r="L1779" t="s">
        <v>12</v>
      </c>
      <c r="M1779" t="s">
        <v>59</v>
      </c>
      <c r="N1779" t="s">
        <v>23</v>
      </c>
      <c r="O1779" t="s">
        <v>18</v>
      </c>
      <c r="P1779">
        <v>5</v>
      </c>
    </row>
    <row r="1780" spans="1:16" x14ac:dyDescent="0.3">
      <c r="A1780">
        <v>2303</v>
      </c>
      <c r="B1780">
        <v>43764</v>
      </c>
      <c r="C1780">
        <v>62</v>
      </c>
      <c r="D1780">
        <v>21181</v>
      </c>
      <c r="E1780" t="s">
        <v>14</v>
      </c>
      <c r="F1780" t="s">
        <v>15</v>
      </c>
      <c r="G1780" t="s">
        <v>40</v>
      </c>
      <c r="H1780" t="s">
        <v>91</v>
      </c>
      <c r="I1780" t="s">
        <v>66</v>
      </c>
      <c r="J1780" t="s">
        <v>10</v>
      </c>
      <c r="K1780" t="s">
        <v>11</v>
      </c>
      <c r="L1780" t="s">
        <v>12</v>
      </c>
      <c r="M1780" t="s">
        <v>35</v>
      </c>
      <c r="N1780" t="s">
        <v>37</v>
      </c>
      <c r="O1780" t="s">
        <v>18</v>
      </c>
      <c r="P1780">
        <v>5</v>
      </c>
    </row>
    <row r="1781" spans="1:16" x14ac:dyDescent="0.3">
      <c r="A1781">
        <v>2304</v>
      </c>
      <c r="B1781">
        <v>44297</v>
      </c>
      <c r="C1781">
        <v>64</v>
      </c>
      <c r="D1781">
        <v>20931</v>
      </c>
      <c r="E1781" t="s">
        <v>14</v>
      </c>
      <c r="F1781" t="s">
        <v>15</v>
      </c>
      <c r="G1781" t="s">
        <v>40</v>
      </c>
      <c r="H1781" t="s">
        <v>94</v>
      </c>
      <c r="I1781" t="s">
        <v>9</v>
      </c>
      <c r="J1781" t="s">
        <v>25</v>
      </c>
      <c r="K1781" t="s">
        <v>26</v>
      </c>
      <c r="L1781" t="s">
        <v>12</v>
      </c>
      <c r="M1781" t="s">
        <v>32</v>
      </c>
      <c r="N1781" t="s">
        <v>16</v>
      </c>
      <c r="O1781" t="s">
        <v>18</v>
      </c>
      <c r="P1781">
        <v>1</v>
      </c>
    </row>
    <row r="1782" spans="1:16" x14ac:dyDescent="0.3">
      <c r="A1782">
        <v>2305</v>
      </c>
      <c r="B1782">
        <v>43810</v>
      </c>
      <c r="C1782">
        <v>49</v>
      </c>
      <c r="D1782">
        <v>25844</v>
      </c>
      <c r="E1782" t="s">
        <v>14</v>
      </c>
      <c r="F1782" t="s">
        <v>15</v>
      </c>
      <c r="G1782" t="s">
        <v>40</v>
      </c>
      <c r="H1782" t="s">
        <v>71</v>
      </c>
      <c r="I1782" t="s">
        <v>9</v>
      </c>
      <c r="J1782" t="s">
        <v>20</v>
      </c>
      <c r="K1782" t="s">
        <v>19</v>
      </c>
      <c r="L1782" t="s">
        <v>12</v>
      </c>
      <c r="M1782" t="s">
        <v>35</v>
      </c>
      <c r="N1782" t="s">
        <v>16</v>
      </c>
      <c r="O1782" t="s">
        <v>18</v>
      </c>
      <c r="P1782">
        <v>5</v>
      </c>
    </row>
    <row r="1783" spans="1:16" x14ac:dyDescent="0.3">
      <c r="A1783">
        <v>2306</v>
      </c>
      <c r="B1783">
        <v>44125</v>
      </c>
      <c r="C1783">
        <v>21</v>
      </c>
      <c r="D1783">
        <v>36470</v>
      </c>
      <c r="E1783" t="s">
        <v>14</v>
      </c>
      <c r="F1783" t="s">
        <v>22</v>
      </c>
      <c r="G1783" t="s">
        <v>34</v>
      </c>
      <c r="H1783" t="s">
        <v>71</v>
      </c>
      <c r="I1783" t="s">
        <v>9</v>
      </c>
      <c r="J1783" t="s">
        <v>20</v>
      </c>
      <c r="K1783" t="s">
        <v>26</v>
      </c>
      <c r="L1783" t="s">
        <v>12</v>
      </c>
      <c r="M1783" t="s">
        <v>54</v>
      </c>
      <c r="N1783" t="s">
        <v>23</v>
      </c>
      <c r="O1783" t="s">
        <v>18</v>
      </c>
      <c r="P1783">
        <v>4</v>
      </c>
    </row>
    <row r="1784" spans="1:16" x14ac:dyDescent="0.3">
      <c r="A1784">
        <v>2307</v>
      </c>
      <c r="B1784">
        <v>43959</v>
      </c>
      <c r="C1784">
        <v>32</v>
      </c>
      <c r="D1784">
        <v>32268</v>
      </c>
      <c r="E1784" t="s">
        <v>14</v>
      </c>
      <c r="F1784" t="s">
        <v>22</v>
      </c>
      <c r="G1784" t="s">
        <v>31</v>
      </c>
      <c r="H1784" t="s">
        <v>71</v>
      </c>
      <c r="I1784" t="s">
        <v>9</v>
      </c>
      <c r="J1784" t="s">
        <v>20</v>
      </c>
      <c r="K1784" t="s">
        <v>11</v>
      </c>
      <c r="L1784" t="s">
        <v>73</v>
      </c>
      <c r="M1784" t="s">
        <v>54</v>
      </c>
      <c r="N1784" t="s">
        <v>46</v>
      </c>
      <c r="O1784" t="s">
        <v>18</v>
      </c>
      <c r="P1784">
        <v>2</v>
      </c>
    </row>
    <row r="1785" spans="1:16" x14ac:dyDescent="0.3">
      <c r="A1785">
        <v>2308</v>
      </c>
      <c r="B1785">
        <v>44705</v>
      </c>
      <c r="C1785">
        <v>23</v>
      </c>
      <c r="D1785">
        <v>36289</v>
      </c>
      <c r="E1785" t="s">
        <v>14</v>
      </c>
      <c r="F1785" t="s">
        <v>22</v>
      </c>
      <c r="G1785" t="s">
        <v>40</v>
      </c>
      <c r="H1785" t="s">
        <v>78</v>
      </c>
      <c r="I1785" t="s">
        <v>9</v>
      </c>
      <c r="J1785" t="s">
        <v>25</v>
      </c>
      <c r="K1785" t="s">
        <v>19</v>
      </c>
      <c r="L1785" t="s">
        <v>12</v>
      </c>
      <c r="M1785" t="s">
        <v>35</v>
      </c>
      <c r="N1785" t="s">
        <v>30</v>
      </c>
      <c r="O1785" t="s">
        <v>18</v>
      </c>
      <c r="P1785">
        <v>2</v>
      </c>
    </row>
    <row r="1786" spans="1:16" x14ac:dyDescent="0.3">
      <c r="A1786">
        <v>2309</v>
      </c>
      <c r="B1786">
        <v>43621</v>
      </c>
      <c r="C1786">
        <v>28</v>
      </c>
      <c r="D1786">
        <v>33335</v>
      </c>
      <c r="E1786" t="s">
        <v>14</v>
      </c>
      <c r="F1786" t="s">
        <v>22</v>
      </c>
      <c r="G1786" t="s">
        <v>17</v>
      </c>
      <c r="H1786" t="s">
        <v>78</v>
      </c>
      <c r="I1786" t="s">
        <v>9</v>
      </c>
      <c r="J1786" t="s">
        <v>20</v>
      </c>
      <c r="K1786" t="s">
        <v>19</v>
      </c>
      <c r="L1786" t="s">
        <v>12</v>
      </c>
      <c r="M1786" t="s">
        <v>32</v>
      </c>
      <c r="N1786" t="s">
        <v>23</v>
      </c>
      <c r="O1786" t="s">
        <v>18</v>
      </c>
      <c r="P1786">
        <v>5</v>
      </c>
    </row>
    <row r="1787" spans="1:16" x14ac:dyDescent="0.3">
      <c r="A1787">
        <v>2310</v>
      </c>
      <c r="B1787">
        <v>44672</v>
      </c>
      <c r="C1787">
        <v>39</v>
      </c>
      <c r="D1787">
        <v>30641</v>
      </c>
      <c r="E1787" t="s">
        <v>14</v>
      </c>
      <c r="F1787" t="s">
        <v>22</v>
      </c>
      <c r="G1787" t="s">
        <v>31</v>
      </c>
      <c r="H1787" t="s">
        <v>80</v>
      </c>
      <c r="I1787" t="s">
        <v>9</v>
      </c>
      <c r="J1787" t="s">
        <v>20</v>
      </c>
      <c r="K1787" t="s">
        <v>26</v>
      </c>
      <c r="L1787" t="s">
        <v>12</v>
      </c>
      <c r="M1787" t="s">
        <v>55</v>
      </c>
      <c r="N1787" t="s">
        <v>23</v>
      </c>
      <c r="O1787" t="s">
        <v>18</v>
      </c>
      <c r="P1787">
        <v>1</v>
      </c>
    </row>
    <row r="1788" spans="1:16" x14ac:dyDescent="0.3">
      <c r="A1788">
        <v>2311</v>
      </c>
      <c r="B1788">
        <v>43809</v>
      </c>
      <c r="C1788">
        <v>48</v>
      </c>
      <c r="D1788">
        <v>26017</v>
      </c>
      <c r="E1788" t="s">
        <v>14</v>
      </c>
      <c r="F1788" t="s">
        <v>15</v>
      </c>
      <c r="G1788" t="s">
        <v>40</v>
      </c>
      <c r="H1788" t="s">
        <v>78</v>
      </c>
      <c r="I1788" t="s">
        <v>9</v>
      </c>
      <c r="J1788" t="s">
        <v>20</v>
      </c>
      <c r="K1788" t="s">
        <v>19</v>
      </c>
      <c r="L1788" t="s">
        <v>12</v>
      </c>
      <c r="M1788" t="s">
        <v>35</v>
      </c>
      <c r="N1788" t="s">
        <v>37</v>
      </c>
      <c r="O1788" t="s">
        <v>18</v>
      </c>
      <c r="P1788">
        <v>3</v>
      </c>
    </row>
    <row r="1789" spans="1:16" x14ac:dyDescent="0.3">
      <c r="A1789">
        <v>2312</v>
      </c>
      <c r="B1789">
        <v>43795</v>
      </c>
      <c r="C1789">
        <v>68</v>
      </c>
      <c r="D1789">
        <v>18973</v>
      </c>
      <c r="E1789" t="s">
        <v>14</v>
      </c>
      <c r="F1789" t="s">
        <v>22</v>
      </c>
      <c r="G1789" t="s">
        <v>17</v>
      </c>
      <c r="H1789" t="s">
        <v>78</v>
      </c>
      <c r="I1789" t="s">
        <v>9</v>
      </c>
      <c r="J1789" t="s">
        <v>25</v>
      </c>
      <c r="K1789" t="s">
        <v>11</v>
      </c>
      <c r="L1789" t="s">
        <v>53</v>
      </c>
      <c r="M1789" t="s">
        <v>35</v>
      </c>
      <c r="N1789" t="s">
        <v>46</v>
      </c>
      <c r="O1789" t="s">
        <v>18</v>
      </c>
      <c r="P1789">
        <v>4</v>
      </c>
    </row>
    <row r="1790" spans="1:16" x14ac:dyDescent="0.3">
      <c r="A1790">
        <v>2313</v>
      </c>
      <c r="B1790">
        <v>44452</v>
      </c>
      <c r="C1790">
        <v>21</v>
      </c>
      <c r="D1790">
        <v>36829</v>
      </c>
      <c r="E1790" t="s">
        <v>14</v>
      </c>
      <c r="F1790" t="s">
        <v>22</v>
      </c>
      <c r="G1790" t="s">
        <v>40</v>
      </c>
      <c r="H1790" t="s">
        <v>78</v>
      </c>
      <c r="I1790" t="s">
        <v>9</v>
      </c>
      <c r="J1790" t="s">
        <v>20</v>
      </c>
      <c r="K1790" t="s">
        <v>11</v>
      </c>
      <c r="L1790" t="s">
        <v>53</v>
      </c>
      <c r="M1790" t="s">
        <v>58</v>
      </c>
      <c r="N1790" t="s">
        <v>46</v>
      </c>
      <c r="O1790" t="s">
        <v>18</v>
      </c>
      <c r="P1790">
        <v>2</v>
      </c>
    </row>
    <row r="1791" spans="1:16" x14ac:dyDescent="0.3">
      <c r="A1791">
        <v>2314</v>
      </c>
      <c r="B1791">
        <v>43696</v>
      </c>
      <c r="C1791">
        <v>58</v>
      </c>
      <c r="D1791">
        <v>22572</v>
      </c>
      <c r="E1791" t="s">
        <v>14</v>
      </c>
      <c r="F1791" t="s">
        <v>15</v>
      </c>
      <c r="G1791" t="s">
        <v>34</v>
      </c>
      <c r="H1791" t="s">
        <v>78</v>
      </c>
      <c r="I1791" t="s">
        <v>9</v>
      </c>
      <c r="J1791" t="s">
        <v>20</v>
      </c>
      <c r="K1791" t="s">
        <v>11</v>
      </c>
      <c r="L1791" t="s">
        <v>53</v>
      </c>
      <c r="M1791" t="s">
        <v>35</v>
      </c>
      <c r="N1791" t="s">
        <v>46</v>
      </c>
      <c r="O1791" t="s">
        <v>18</v>
      </c>
      <c r="P1791">
        <v>1</v>
      </c>
    </row>
    <row r="1792" spans="1:16" x14ac:dyDescent="0.3">
      <c r="A1792">
        <v>2315</v>
      </c>
      <c r="B1792">
        <v>44724</v>
      </c>
      <c r="C1792">
        <v>36</v>
      </c>
      <c r="D1792">
        <v>31462</v>
      </c>
      <c r="E1792" t="s">
        <v>14</v>
      </c>
      <c r="F1792" t="s">
        <v>15</v>
      </c>
      <c r="G1792" t="s">
        <v>34</v>
      </c>
      <c r="H1792" t="s">
        <v>91</v>
      </c>
      <c r="I1792" t="s">
        <v>9</v>
      </c>
      <c r="J1792" t="s">
        <v>25</v>
      </c>
      <c r="K1792" t="s">
        <v>19</v>
      </c>
      <c r="L1792" t="s">
        <v>12</v>
      </c>
      <c r="M1792" t="s">
        <v>54</v>
      </c>
      <c r="N1792" t="s">
        <v>30</v>
      </c>
      <c r="O1792" t="s">
        <v>18</v>
      </c>
      <c r="P1792">
        <v>3</v>
      </c>
    </row>
    <row r="1793" spans="1:16" x14ac:dyDescent="0.3">
      <c r="A1793">
        <v>2316</v>
      </c>
      <c r="B1793">
        <v>44398</v>
      </c>
      <c r="C1793">
        <v>48</v>
      </c>
      <c r="D1793">
        <v>26936</v>
      </c>
      <c r="E1793" t="s">
        <v>14</v>
      </c>
      <c r="F1793" t="s">
        <v>22</v>
      </c>
      <c r="G1793" t="s">
        <v>40</v>
      </c>
      <c r="H1793" t="s">
        <v>91</v>
      </c>
      <c r="I1793" t="s">
        <v>9</v>
      </c>
      <c r="J1793" t="s">
        <v>25</v>
      </c>
      <c r="K1793" t="s">
        <v>26</v>
      </c>
      <c r="L1793" t="s">
        <v>12</v>
      </c>
      <c r="M1793" t="s">
        <v>35</v>
      </c>
      <c r="N1793" t="s">
        <v>46</v>
      </c>
      <c r="O1793" t="s">
        <v>18</v>
      </c>
      <c r="P1793">
        <v>2</v>
      </c>
    </row>
    <row r="1794" spans="1:16" x14ac:dyDescent="0.3">
      <c r="A1794">
        <v>2317</v>
      </c>
      <c r="B1794">
        <v>44148</v>
      </c>
      <c r="C1794">
        <v>76</v>
      </c>
      <c r="D1794">
        <v>16239</v>
      </c>
      <c r="E1794" t="s">
        <v>14</v>
      </c>
      <c r="F1794" t="s">
        <v>15</v>
      </c>
      <c r="G1794" t="s">
        <v>31</v>
      </c>
      <c r="H1794" t="s">
        <v>91</v>
      </c>
      <c r="I1794" t="s">
        <v>9</v>
      </c>
      <c r="J1794" t="s">
        <v>25</v>
      </c>
      <c r="K1794" t="s">
        <v>19</v>
      </c>
      <c r="L1794" t="s">
        <v>12</v>
      </c>
      <c r="M1794" t="s">
        <v>63</v>
      </c>
      <c r="N1794" t="s">
        <v>37</v>
      </c>
      <c r="O1794" t="s">
        <v>18</v>
      </c>
      <c r="P1794">
        <v>2</v>
      </c>
    </row>
    <row r="1795" spans="1:16" x14ac:dyDescent="0.3">
      <c r="A1795">
        <v>2318</v>
      </c>
      <c r="B1795">
        <v>44612</v>
      </c>
      <c r="C1795">
        <v>65</v>
      </c>
      <c r="D1795">
        <v>20904</v>
      </c>
      <c r="E1795" t="s">
        <v>14</v>
      </c>
      <c r="F1795" t="s">
        <v>15</v>
      </c>
      <c r="G1795" t="s">
        <v>17</v>
      </c>
      <c r="H1795" t="s">
        <v>91</v>
      </c>
      <c r="I1795" t="s">
        <v>9</v>
      </c>
      <c r="J1795" t="s">
        <v>20</v>
      </c>
      <c r="K1795" t="s">
        <v>19</v>
      </c>
      <c r="L1795" t="s">
        <v>12</v>
      </c>
      <c r="M1795" t="s">
        <v>35</v>
      </c>
      <c r="N1795" t="s">
        <v>16</v>
      </c>
      <c r="O1795" t="s">
        <v>18</v>
      </c>
      <c r="P1795">
        <v>1</v>
      </c>
    </row>
    <row r="1796" spans="1:16" x14ac:dyDescent="0.3">
      <c r="A1796">
        <v>2319</v>
      </c>
      <c r="B1796">
        <v>43552</v>
      </c>
      <c r="C1796">
        <v>36</v>
      </c>
      <c r="D1796">
        <v>30365</v>
      </c>
      <c r="E1796" t="s">
        <v>14</v>
      </c>
      <c r="F1796" t="s">
        <v>15</v>
      </c>
      <c r="G1796" t="s">
        <v>17</v>
      </c>
      <c r="H1796" t="s">
        <v>91</v>
      </c>
      <c r="I1796" t="s">
        <v>66</v>
      </c>
      <c r="J1796" t="s">
        <v>10</v>
      </c>
      <c r="K1796" t="s">
        <v>19</v>
      </c>
      <c r="L1796" t="s">
        <v>12</v>
      </c>
      <c r="M1796" t="s">
        <v>28</v>
      </c>
      <c r="N1796" t="s">
        <v>16</v>
      </c>
      <c r="O1796" t="s">
        <v>18</v>
      </c>
      <c r="P1796">
        <v>4</v>
      </c>
    </row>
    <row r="1797" spans="1:16" x14ac:dyDescent="0.3">
      <c r="A1797">
        <v>2320</v>
      </c>
      <c r="B1797">
        <v>44860</v>
      </c>
      <c r="C1797">
        <v>58</v>
      </c>
      <c r="D1797">
        <v>23629</v>
      </c>
      <c r="E1797" t="s">
        <v>14</v>
      </c>
      <c r="F1797" t="s">
        <v>15</v>
      </c>
      <c r="G1797" t="s">
        <v>31</v>
      </c>
      <c r="H1797" t="s">
        <v>91</v>
      </c>
      <c r="I1797" t="s">
        <v>66</v>
      </c>
      <c r="J1797" t="s">
        <v>20</v>
      </c>
      <c r="K1797" t="s">
        <v>19</v>
      </c>
      <c r="L1797" t="s">
        <v>12</v>
      </c>
      <c r="M1797" t="s">
        <v>55</v>
      </c>
      <c r="N1797" t="s">
        <v>16</v>
      </c>
      <c r="O1797" t="s">
        <v>18</v>
      </c>
      <c r="P1797">
        <v>1</v>
      </c>
    </row>
    <row r="1798" spans="1:16" x14ac:dyDescent="0.3">
      <c r="A1798">
        <v>2321</v>
      </c>
      <c r="B1798">
        <v>45056</v>
      </c>
      <c r="C1798">
        <v>72</v>
      </c>
      <c r="D1798">
        <v>18861</v>
      </c>
      <c r="E1798" t="s">
        <v>14</v>
      </c>
      <c r="F1798" t="s">
        <v>15</v>
      </c>
      <c r="G1798" t="s">
        <v>40</v>
      </c>
      <c r="H1798" t="s">
        <v>91</v>
      </c>
      <c r="I1798" t="s">
        <v>9</v>
      </c>
      <c r="J1798" t="s">
        <v>25</v>
      </c>
      <c r="K1798" t="s">
        <v>11</v>
      </c>
      <c r="L1798" t="s">
        <v>12</v>
      </c>
      <c r="M1798" t="s">
        <v>35</v>
      </c>
      <c r="N1798" t="s">
        <v>37</v>
      </c>
      <c r="O1798" t="s">
        <v>18</v>
      </c>
      <c r="P1798">
        <v>2</v>
      </c>
    </row>
    <row r="1799" spans="1:16" x14ac:dyDescent="0.3">
      <c r="A1799">
        <v>2322</v>
      </c>
      <c r="B1799">
        <v>44805</v>
      </c>
      <c r="C1799">
        <v>59</v>
      </c>
      <c r="D1799">
        <v>23128</v>
      </c>
      <c r="E1799" t="s">
        <v>14</v>
      </c>
      <c r="F1799" t="s">
        <v>15</v>
      </c>
      <c r="G1799" t="s">
        <v>40</v>
      </c>
      <c r="H1799" t="s">
        <v>91</v>
      </c>
      <c r="I1799" t="s">
        <v>9</v>
      </c>
      <c r="J1799" t="s">
        <v>10</v>
      </c>
      <c r="K1799" t="s">
        <v>11</v>
      </c>
      <c r="L1799" t="s">
        <v>12</v>
      </c>
      <c r="M1799" t="s">
        <v>35</v>
      </c>
      <c r="N1799" t="s">
        <v>46</v>
      </c>
      <c r="O1799" t="s">
        <v>18</v>
      </c>
      <c r="P1799">
        <v>3</v>
      </c>
    </row>
    <row r="1800" spans="1:16" x14ac:dyDescent="0.3">
      <c r="A1800">
        <v>2323</v>
      </c>
      <c r="B1800">
        <v>44307</v>
      </c>
      <c r="C1800">
        <v>62</v>
      </c>
      <c r="D1800">
        <v>21736</v>
      </c>
      <c r="E1800" t="s">
        <v>14</v>
      </c>
      <c r="F1800" t="s">
        <v>15</v>
      </c>
      <c r="G1800" t="s">
        <v>40</v>
      </c>
      <c r="H1800" t="s">
        <v>91</v>
      </c>
      <c r="I1800" t="s">
        <v>9</v>
      </c>
      <c r="J1800" t="s">
        <v>20</v>
      </c>
      <c r="K1800" t="s">
        <v>11</v>
      </c>
      <c r="L1800" t="s">
        <v>12</v>
      </c>
      <c r="M1800" t="s">
        <v>54</v>
      </c>
      <c r="N1800" t="s">
        <v>46</v>
      </c>
      <c r="O1800" t="s">
        <v>18</v>
      </c>
      <c r="P1800">
        <v>1</v>
      </c>
    </row>
    <row r="1801" spans="1:16" x14ac:dyDescent="0.3">
      <c r="A1801">
        <v>2324</v>
      </c>
      <c r="B1801">
        <v>44400</v>
      </c>
      <c r="C1801">
        <v>25</v>
      </c>
      <c r="D1801">
        <v>35263</v>
      </c>
      <c r="E1801" t="s">
        <v>14</v>
      </c>
      <c r="F1801" t="s">
        <v>15</v>
      </c>
      <c r="G1801" t="s">
        <v>17</v>
      </c>
      <c r="H1801" t="s">
        <v>91</v>
      </c>
      <c r="I1801" t="s">
        <v>66</v>
      </c>
      <c r="J1801" t="s">
        <v>20</v>
      </c>
      <c r="K1801" t="s">
        <v>19</v>
      </c>
      <c r="L1801" t="s">
        <v>12</v>
      </c>
      <c r="M1801" t="s">
        <v>32</v>
      </c>
      <c r="N1801" t="s">
        <v>37</v>
      </c>
      <c r="O1801" t="s">
        <v>18</v>
      </c>
      <c r="P1801">
        <v>2</v>
      </c>
    </row>
    <row r="1802" spans="1:16" x14ac:dyDescent="0.3">
      <c r="A1802">
        <v>2325</v>
      </c>
      <c r="B1802">
        <v>44194</v>
      </c>
      <c r="C1802">
        <v>21</v>
      </c>
      <c r="D1802">
        <v>36453</v>
      </c>
      <c r="E1802" t="s">
        <v>14</v>
      </c>
      <c r="F1802" t="s">
        <v>15</v>
      </c>
      <c r="G1802" t="s">
        <v>40</v>
      </c>
      <c r="H1802" t="s">
        <v>91</v>
      </c>
      <c r="I1802" t="s">
        <v>9</v>
      </c>
      <c r="J1802" t="s">
        <v>20</v>
      </c>
      <c r="K1802" t="s">
        <v>19</v>
      </c>
      <c r="L1802" t="s">
        <v>12</v>
      </c>
      <c r="M1802" t="s">
        <v>35</v>
      </c>
      <c r="N1802" t="s">
        <v>46</v>
      </c>
      <c r="O1802" t="s">
        <v>18</v>
      </c>
      <c r="P1802">
        <v>4</v>
      </c>
    </row>
    <row r="1803" spans="1:16" x14ac:dyDescent="0.3">
      <c r="A1803">
        <v>2326</v>
      </c>
      <c r="B1803">
        <v>44781</v>
      </c>
      <c r="C1803">
        <v>75</v>
      </c>
      <c r="D1803">
        <v>17490</v>
      </c>
      <c r="E1803" t="s">
        <v>14</v>
      </c>
      <c r="F1803" t="s">
        <v>15</v>
      </c>
      <c r="G1803" t="s">
        <v>31</v>
      </c>
      <c r="H1803" t="s">
        <v>94</v>
      </c>
      <c r="I1803" t="s">
        <v>9</v>
      </c>
      <c r="J1803" t="s">
        <v>10</v>
      </c>
      <c r="K1803" t="s">
        <v>19</v>
      </c>
      <c r="L1803" t="s">
        <v>12</v>
      </c>
      <c r="M1803" t="s">
        <v>54</v>
      </c>
      <c r="N1803" t="s">
        <v>37</v>
      </c>
      <c r="O1803" t="s">
        <v>18</v>
      </c>
      <c r="P1803">
        <v>1</v>
      </c>
    </row>
    <row r="1804" spans="1:16" x14ac:dyDescent="0.3">
      <c r="A1804">
        <v>2327</v>
      </c>
      <c r="B1804">
        <v>44042</v>
      </c>
      <c r="C1804">
        <v>49</v>
      </c>
      <c r="D1804">
        <v>26264</v>
      </c>
      <c r="E1804" t="s">
        <v>14</v>
      </c>
      <c r="F1804" t="s">
        <v>22</v>
      </c>
      <c r="G1804" t="s">
        <v>34</v>
      </c>
      <c r="H1804" t="s">
        <v>71</v>
      </c>
      <c r="I1804" t="s">
        <v>9</v>
      </c>
      <c r="J1804" t="s">
        <v>25</v>
      </c>
      <c r="K1804" t="s">
        <v>19</v>
      </c>
      <c r="L1804" t="s">
        <v>12</v>
      </c>
      <c r="M1804" t="s">
        <v>35</v>
      </c>
      <c r="N1804" t="s">
        <v>37</v>
      </c>
      <c r="O1804" t="s">
        <v>18</v>
      </c>
      <c r="P1804">
        <v>1</v>
      </c>
    </row>
    <row r="1805" spans="1:16" x14ac:dyDescent="0.3">
      <c r="A1805">
        <v>2328</v>
      </c>
      <c r="B1805">
        <v>43542</v>
      </c>
      <c r="C1805">
        <v>39</v>
      </c>
      <c r="D1805">
        <v>29367</v>
      </c>
      <c r="E1805" t="s">
        <v>14</v>
      </c>
      <c r="F1805" t="s">
        <v>22</v>
      </c>
      <c r="G1805" t="s">
        <v>40</v>
      </c>
      <c r="H1805" t="s">
        <v>71</v>
      </c>
      <c r="I1805" t="s">
        <v>9</v>
      </c>
      <c r="J1805" t="s">
        <v>25</v>
      </c>
      <c r="K1805" t="s">
        <v>26</v>
      </c>
      <c r="L1805" t="s">
        <v>12</v>
      </c>
      <c r="M1805" t="s">
        <v>32</v>
      </c>
      <c r="N1805" t="s">
        <v>46</v>
      </c>
      <c r="O1805" t="s">
        <v>18</v>
      </c>
      <c r="P1805">
        <v>4</v>
      </c>
    </row>
    <row r="1806" spans="1:16" x14ac:dyDescent="0.3">
      <c r="A1806">
        <v>2329</v>
      </c>
      <c r="B1806">
        <v>43671</v>
      </c>
      <c r="C1806">
        <v>57</v>
      </c>
      <c r="D1806">
        <v>22945</v>
      </c>
      <c r="E1806" t="s">
        <v>14</v>
      </c>
      <c r="F1806" t="s">
        <v>22</v>
      </c>
      <c r="G1806" t="s">
        <v>31</v>
      </c>
      <c r="H1806" t="s">
        <v>71</v>
      </c>
      <c r="I1806" t="s">
        <v>9</v>
      </c>
      <c r="J1806" t="s">
        <v>25</v>
      </c>
      <c r="K1806" t="s">
        <v>19</v>
      </c>
      <c r="L1806" t="s">
        <v>73</v>
      </c>
      <c r="M1806" t="s">
        <v>21</v>
      </c>
      <c r="N1806" t="s">
        <v>46</v>
      </c>
      <c r="O1806" t="s">
        <v>18</v>
      </c>
      <c r="P1806">
        <v>3</v>
      </c>
    </row>
    <row r="1807" spans="1:16" x14ac:dyDescent="0.3">
      <c r="A1807">
        <v>2330</v>
      </c>
      <c r="B1807">
        <v>44485</v>
      </c>
      <c r="C1807">
        <v>64</v>
      </c>
      <c r="D1807">
        <v>21167</v>
      </c>
      <c r="E1807" t="s">
        <v>14</v>
      </c>
      <c r="F1807" t="s">
        <v>22</v>
      </c>
      <c r="G1807" t="s">
        <v>34</v>
      </c>
      <c r="H1807" t="s">
        <v>78</v>
      </c>
      <c r="I1807" t="s">
        <v>9</v>
      </c>
      <c r="J1807" t="s">
        <v>25</v>
      </c>
      <c r="K1807" t="s">
        <v>11</v>
      </c>
      <c r="L1807" t="s">
        <v>12</v>
      </c>
      <c r="M1807" t="s">
        <v>44</v>
      </c>
      <c r="N1807" t="s">
        <v>30</v>
      </c>
      <c r="O1807" t="s">
        <v>18</v>
      </c>
      <c r="P1807">
        <v>4</v>
      </c>
    </row>
    <row r="1808" spans="1:16" x14ac:dyDescent="0.3">
      <c r="A1808">
        <v>2331</v>
      </c>
      <c r="B1808">
        <v>43805</v>
      </c>
      <c r="C1808">
        <v>67</v>
      </c>
      <c r="D1808">
        <v>19038</v>
      </c>
      <c r="E1808" t="s">
        <v>14</v>
      </c>
      <c r="F1808" t="s">
        <v>22</v>
      </c>
      <c r="G1808" t="s">
        <v>40</v>
      </c>
      <c r="H1808" t="s">
        <v>78</v>
      </c>
      <c r="I1808" t="s">
        <v>9</v>
      </c>
      <c r="J1808" t="s">
        <v>10</v>
      </c>
      <c r="K1808" t="s">
        <v>11</v>
      </c>
      <c r="L1808" t="s">
        <v>12</v>
      </c>
      <c r="M1808" t="s">
        <v>59</v>
      </c>
      <c r="N1808" t="s">
        <v>37</v>
      </c>
      <c r="O1808" t="s">
        <v>18</v>
      </c>
      <c r="P1808">
        <v>5</v>
      </c>
    </row>
    <row r="1809" spans="1:16" x14ac:dyDescent="0.3">
      <c r="A1809">
        <v>2332</v>
      </c>
      <c r="B1809">
        <v>43645</v>
      </c>
      <c r="C1809">
        <v>48</v>
      </c>
      <c r="D1809">
        <v>26166</v>
      </c>
      <c r="E1809" t="s">
        <v>14</v>
      </c>
      <c r="F1809" t="s">
        <v>22</v>
      </c>
      <c r="G1809" t="s">
        <v>17</v>
      </c>
      <c r="H1809" t="s">
        <v>80</v>
      </c>
      <c r="I1809" t="s">
        <v>9</v>
      </c>
      <c r="J1809" t="s">
        <v>10</v>
      </c>
      <c r="K1809" t="s">
        <v>11</v>
      </c>
      <c r="L1809" t="s">
        <v>12</v>
      </c>
      <c r="M1809" t="s">
        <v>55</v>
      </c>
      <c r="N1809" t="s">
        <v>16</v>
      </c>
      <c r="O1809" t="s">
        <v>18</v>
      </c>
      <c r="P1809">
        <v>1</v>
      </c>
    </row>
    <row r="1810" spans="1:16" x14ac:dyDescent="0.3">
      <c r="A1810">
        <v>2333</v>
      </c>
      <c r="B1810">
        <v>43558</v>
      </c>
      <c r="C1810">
        <v>68</v>
      </c>
      <c r="D1810">
        <v>18828</v>
      </c>
      <c r="E1810" t="s">
        <v>14</v>
      </c>
      <c r="F1810" t="s">
        <v>15</v>
      </c>
      <c r="G1810" t="s">
        <v>40</v>
      </c>
      <c r="H1810" t="s">
        <v>78</v>
      </c>
      <c r="I1810" t="s">
        <v>9</v>
      </c>
      <c r="J1810" t="s">
        <v>25</v>
      </c>
      <c r="K1810" t="s">
        <v>11</v>
      </c>
      <c r="L1810" t="s">
        <v>53</v>
      </c>
      <c r="M1810" t="s">
        <v>63</v>
      </c>
      <c r="N1810" t="s">
        <v>46</v>
      </c>
      <c r="O1810" t="s">
        <v>18</v>
      </c>
      <c r="P1810">
        <v>4</v>
      </c>
    </row>
    <row r="1811" spans="1:16" x14ac:dyDescent="0.3">
      <c r="A1811">
        <v>2334</v>
      </c>
      <c r="B1811">
        <v>44398</v>
      </c>
      <c r="C1811">
        <v>38</v>
      </c>
      <c r="D1811">
        <v>30366</v>
      </c>
      <c r="E1811" t="s">
        <v>14</v>
      </c>
      <c r="F1811" t="s">
        <v>22</v>
      </c>
      <c r="G1811" t="s">
        <v>31</v>
      </c>
      <c r="H1811" t="s">
        <v>78</v>
      </c>
      <c r="I1811" t="s">
        <v>9</v>
      </c>
      <c r="J1811" t="s">
        <v>10</v>
      </c>
      <c r="K1811" t="s">
        <v>19</v>
      </c>
      <c r="L1811" t="s">
        <v>53</v>
      </c>
      <c r="M1811" t="s">
        <v>42</v>
      </c>
      <c r="N1811" t="s">
        <v>46</v>
      </c>
      <c r="O1811" t="s">
        <v>18</v>
      </c>
      <c r="P1811">
        <v>3</v>
      </c>
    </row>
    <row r="1812" spans="1:16" x14ac:dyDescent="0.3">
      <c r="A1812">
        <v>2335</v>
      </c>
      <c r="B1812">
        <v>44769</v>
      </c>
      <c r="C1812">
        <v>78</v>
      </c>
      <c r="D1812">
        <v>16395</v>
      </c>
      <c r="E1812" t="s">
        <v>14</v>
      </c>
      <c r="F1812" t="s">
        <v>22</v>
      </c>
      <c r="G1812" t="s">
        <v>40</v>
      </c>
      <c r="H1812" t="s">
        <v>78</v>
      </c>
      <c r="I1812" t="s">
        <v>9</v>
      </c>
      <c r="J1812" t="s">
        <v>25</v>
      </c>
      <c r="K1812" t="s">
        <v>11</v>
      </c>
      <c r="L1812" t="s">
        <v>53</v>
      </c>
      <c r="M1812" t="s">
        <v>32</v>
      </c>
      <c r="N1812" t="s">
        <v>16</v>
      </c>
      <c r="O1812" t="s">
        <v>18</v>
      </c>
      <c r="P1812">
        <v>5</v>
      </c>
    </row>
    <row r="1813" spans="1:16" x14ac:dyDescent="0.3">
      <c r="A1813">
        <v>2336</v>
      </c>
      <c r="B1813">
        <v>43744</v>
      </c>
      <c r="C1813">
        <v>35</v>
      </c>
      <c r="D1813">
        <v>30808</v>
      </c>
      <c r="E1813" t="s">
        <v>14</v>
      </c>
      <c r="F1813" t="s">
        <v>15</v>
      </c>
      <c r="G1813" t="s">
        <v>31</v>
      </c>
      <c r="H1813" t="s">
        <v>91</v>
      </c>
      <c r="I1813" t="s">
        <v>9</v>
      </c>
      <c r="J1813" t="s">
        <v>10</v>
      </c>
      <c r="K1813" t="s">
        <v>19</v>
      </c>
      <c r="L1813" t="s">
        <v>12</v>
      </c>
      <c r="M1813" t="s">
        <v>32</v>
      </c>
      <c r="N1813" t="s">
        <v>30</v>
      </c>
      <c r="O1813" t="s">
        <v>18</v>
      </c>
      <c r="P1813">
        <v>1</v>
      </c>
    </row>
    <row r="1814" spans="1:16" x14ac:dyDescent="0.3">
      <c r="A1814">
        <v>2337</v>
      </c>
      <c r="B1814">
        <v>44302</v>
      </c>
      <c r="C1814">
        <v>32</v>
      </c>
      <c r="D1814">
        <v>32533</v>
      </c>
      <c r="E1814" t="s">
        <v>14</v>
      </c>
      <c r="F1814" t="s">
        <v>22</v>
      </c>
      <c r="G1814" t="s">
        <v>31</v>
      </c>
      <c r="H1814" t="s">
        <v>91</v>
      </c>
      <c r="I1814" t="s">
        <v>9</v>
      </c>
      <c r="J1814" t="s">
        <v>25</v>
      </c>
      <c r="K1814" t="s">
        <v>11</v>
      </c>
      <c r="L1814" t="s">
        <v>12</v>
      </c>
      <c r="M1814" t="s">
        <v>42</v>
      </c>
      <c r="N1814" t="s">
        <v>30</v>
      </c>
      <c r="O1814" t="s">
        <v>18</v>
      </c>
      <c r="P1814">
        <v>4</v>
      </c>
    </row>
    <row r="1815" spans="1:16" x14ac:dyDescent="0.3">
      <c r="A1815">
        <v>2338</v>
      </c>
      <c r="B1815">
        <v>43383</v>
      </c>
      <c r="C1815">
        <v>47</v>
      </c>
      <c r="D1815">
        <v>26151</v>
      </c>
      <c r="E1815" t="s">
        <v>14</v>
      </c>
      <c r="F1815" t="s">
        <v>15</v>
      </c>
      <c r="G1815" t="s">
        <v>34</v>
      </c>
      <c r="H1815" t="s">
        <v>91</v>
      </c>
      <c r="I1815" t="s">
        <v>9</v>
      </c>
      <c r="J1815" t="s">
        <v>20</v>
      </c>
      <c r="K1815" t="s">
        <v>11</v>
      </c>
      <c r="L1815" t="s">
        <v>12</v>
      </c>
      <c r="M1815" t="s">
        <v>54</v>
      </c>
      <c r="N1815" t="s">
        <v>30</v>
      </c>
      <c r="O1815" t="s">
        <v>18</v>
      </c>
      <c r="P1815">
        <v>3</v>
      </c>
    </row>
    <row r="1816" spans="1:16" x14ac:dyDescent="0.3">
      <c r="A1816">
        <v>2339</v>
      </c>
      <c r="B1816">
        <v>44767</v>
      </c>
      <c r="C1816">
        <v>50</v>
      </c>
      <c r="D1816">
        <v>26517</v>
      </c>
      <c r="E1816" t="s">
        <v>14</v>
      </c>
      <c r="F1816" t="s">
        <v>15</v>
      </c>
      <c r="G1816" t="s">
        <v>34</v>
      </c>
      <c r="H1816" t="s">
        <v>91</v>
      </c>
      <c r="I1816" t="s">
        <v>66</v>
      </c>
      <c r="J1816" t="s">
        <v>25</v>
      </c>
      <c r="K1816" t="s">
        <v>26</v>
      </c>
      <c r="L1816" t="s">
        <v>12</v>
      </c>
      <c r="M1816" t="s">
        <v>28</v>
      </c>
      <c r="N1816" t="s">
        <v>37</v>
      </c>
      <c r="O1816" t="s">
        <v>18</v>
      </c>
      <c r="P1816">
        <v>1</v>
      </c>
    </row>
    <row r="1817" spans="1:16" x14ac:dyDescent="0.3">
      <c r="A1817">
        <v>2340</v>
      </c>
      <c r="B1817">
        <v>44272</v>
      </c>
      <c r="C1817">
        <v>20</v>
      </c>
      <c r="D1817">
        <v>36949</v>
      </c>
      <c r="E1817" t="s">
        <v>14</v>
      </c>
      <c r="F1817" t="s">
        <v>15</v>
      </c>
      <c r="G1817" t="s">
        <v>31</v>
      </c>
      <c r="H1817" t="s">
        <v>91</v>
      </c>
      <c r="I1817" t="s">
        <v>66</v>
      </c>
      <c r="J1817" t="s">
        <v>10</v>
      </c>
      <c r="K1817" t="s">
        <v>19</v>
      </c>
      <c r="L1817" t="s">
        <v>12</v>
      </c>
      <c r="M1817" t="s">
        <v>32</v>
      </c>
      <c r="N1817" t="s">
        <v>16</v>
      </c>
      <c r="O1817" t="s">
        <v>18</v>
      </c>
      <c r="P1817">
        <v>5</v>
      </c>
    </row>
    <row r="1818" spans="1:16" x14ac:dyDescent="0.3">
      <c r="A1818">
        <v>2341</v>
      </c>
      <c r="B1818">
        <v>43386</v>
      </c>
      <c r="C1818">
        <v>34</v>
      </c>
      <c r="D1818">
        <v>30988</v>
      </c>
      <c r="E1818" t="s">
        <v>14</v>
      </c>
      <c r="F1818" t="s">
        <v>15</v>
      </c>
      <c r="G1818" t="s">
        <v>40</v>
      </c>
      <c r="H1818" t="s">
        <v>91</v>
      </c>
      <c r="I1818" t="s">
        <v>9</v>
      </c>
      <c r="J1818" t="s">
        <v>25</v>
      </c>
      <c r="K1818" t="s">
        <v>19</v>
      </c>
      <c r="L1818" t="s">
        <v>12</v>
      </c>
      <c r="M1818" t="s">
        <v>28</v>
      </c>
      <c r="N1818" t="s">
        <v>23</v>
      </c>
      <c r="O1818" t="s">
        <v>18</v>
      </c>
      <c r="P1818">
        <v>5</v>
      </c>
    </row>
    <row r="1819" spans="1:16" x14ac:dyDescent="0.3">
      <c r="A1819">
        <v>2342</v>
      </c>
      <c r="B1819">
        <v>43839</v>
      </c>
      <c r="C1819">
        <v>53</v>
      </c>
      <c r="D1819">
        <v>24606</v>
      </c>
      <c r="E1819" t="s">
        <v>14</v>
      </c>
      <c r="F1819" t="s">
        <v>15</v>
      </c>
      <c r="G1819" t="s">
        <v>31</v>
      </c>
      <c r="H1819" t="s">
        <v>91</v>
      </c>
      <c r="I1819" t="s">
        <v>9</v>
      </c>
      <c r="J1819" t="s">
        <v>20</v>
      </c>
      <c r="K1819" t="s">
        <v>11</v>
      </c>
      <c r="L1819" t="s">
        <v>12</v>
      </c>
      <c r="M1819" t="s">
        <v>35</v>
      </c>
      <c r="N1819" t="s">
        <v>30</v>
      </c>
      <c r="O1819" t="s">
        <v>18</v>
      </c>
      <c r="P1819">
        <v>4</v>
      </c>
    </row>
    <row r="1820" spans="1:16" x14ac:dyDescent="0.3">
      <c r="A1820">
        <v>2343</v>
      </c>
      <c r="B1820">
        <v>43726</v>
      </c>
      <c r="C1820">
        <v>21</v>
      </c>
      <c r="D1820">
        <v>36085</v>
      </c>
      <c r="E1820" t="s">
        <v>14</v>
      </c>
      <c r="F1820" t="s">
        <v>15</v>
      </c>
      <c r="G1820" t="s">
        <v>31</v>
      </c>
      <c r="H1820" t="s">
        <v>91</v>
      </c>
      <c r="I1820" t="s">
        <v>9</v>
      </c>
      <c r="J1820" t="s">
        <v>25</v>
      </c>
      <c r="K1820" t="s">
        <v>26</v>
      </c>
      <c r="L1820" t="s">
        <v>12</v>
      </c>
      <c r="M1820" t="s">
        <v>61</v>
      </c>
      <c r="N1820" t="s">
        <v>23</v>
      </c>
      <c r="O1820" t="s">
        <v>18</v>
      </c>
      <c r="P1820">
        <v>3</v>
      </c>
    </row>
    <row r="1821" spans="1:16" x14ac:dyDescent="0.3">
      <c r="A1821">
        <v>2344</v>
      </c>
      <c r="B1821">
        <v>43764</v>
      </c>
      <c r="C1821">
        <v>28</v>
      </c>
      <c r="D1821">
        <v>33473</v>
      </c>
      <c r="E1821" t="s">
        <v>14</v>
      </c>
      <c r="F1821" t="s">
        <v>15</v>
      </c>
      <c r="G1821" t="s">
        <v>40</v>
      </c>
      <c r="H1821" t="s">
        <v>91</v>
      </c>
      <c r="I1821" t="s">
        <v>9</v>
      </c>
      <c r="J1821" t="s">
        <v>10</v>
      </c>
      <c r="K1821" t="s">
        <v>11</v>
      </c>
      <c r="L1821" t="s">
        <v>12</v>
      </c>
      <c r="M1821" t="s">
        <v>63</v>
      </c>
      <c r="N1821" t="s">
        <v>30</v>
      </c>
      <c r="O1821" t="s">
        <v>18</v>
      </c>
      <c r="P1821">
        <v>5</v>
      </c>
    </row>
    <row r="1822" spans="1:16" x14ac:dyDescent="0.3">
      <c r="A1822">
        <v>2345</v>
      </c>
      <c r="B1822">
        <v>44088</v>
      </c>
      <c r="C1822">
        <v>49</v>
      </c>
      <c r="D1822">
        <v>25943</v>
      </c>
      <c r="E1822" t="s">
        <v>14</v>
      </c>
      <c r="F1822" t="s">
        <v>15</v>
      </c>
      <c r="G1822" t="s">
        <v>34</v>
      </c>
      <c r="H1822" t="s">
        <v>91</v>
      </c>
      <c r="I1822" t="s">
        <v>66</v>
      </c>
      <c r="J1822" t="s">
        <v>25</v>
      </c>
      <c r="K1822" t="s">
        <v>26</v>
      </c>
      <c r="L1822" t="s">
        <v>12</v>
      </c>
      <c r="M1822" t="s">
        <v>35</v>
      </c>
      <c r="N1822" t="s">
        <v>23</v>
      </c>
      <c r="O1822" t="s">
        <v>18</v>
      </c>
      <c r="P1822">
        <v>1</v>
      </c>
    </row>
    <row r="1823" spans="1:16" x14ac:dyDescent="0.3">
      <c r="A1823">
        <v>2346</v>
      </c>
      <c r="B1823">
        <v>45025</v>
      </c>
      <c r="C1823">
        <v>39</v>
      </c>
      <c r="D1823">
        <v>30740</v>
      </c>
      <c r="E1823" t="s">
        <v>14</v>
      </c>
      <c r="F1823" t="s">
        <v>15</v>
      </c>
      <c r="G1823" t="s">
        <v>17</v>
      </c>
      <c r="H1823" t="s">
        <v>91</v>
      </c>
      <c r="I1823" t="s">
        <v>9</v>
      </c>
      <c r="J1823" t="s">
        <v>20</v>
      </c>
      <c r="K1823" t="s">
        <v>19</v>
      </c>
      <c r="L1823" t="s">
        <v>12</v>
      </c>
      <c r="M1823" t="s">
        <v>35</v>
      </c>
      <c r="N1823" t="s">
        <v>23</v>
      </c>
      <c r="O1823" t="s">
        <v>18</v>
      </c>
      <c r="P1823">
        <v>3</v>
      </c>
    </row>
    <row r="1824" spans="1:16" x14ac:dyDescent="0.3">
      <c r="A1824">
        <v>2347</v>
      </c>
      <c r="B1824">
        <v>43763</v>
      </c>
      <c r="C1824">
        <v>42</v>
      </c>
      <c r="D1824">
        <v>28436</v>
      </c>
      <c r="E1824" t="s">
        <v>14</v>
      </c>
      <c r="F1824" t="s">
        <v>15</v>
      </c>
      <c r="G1824" t="s">
        <v>31</v>
      </c>
      <c r="H1824" t="s">
        <v>94</v>
      </c>
      <c r="I1824" t="s">
        <v>9</v>
      </c>
      <c r="J1824" t="s">
        <v>25</v>
      </c>
      <c r="K1824" t="s">
        <v>19</v>
      </c>
      <c r="L1824" t="s">
        <v>12</v>
      </c>
      <c r="M1824" t="s">
        <v>35</v>
      </c>
      <c r="N1824" t="s">
        <v>16</v>
      </c>
      <c r="O1824" t="s">
        <v>18</v>
      </c>
      <c r="P1824">
        <v>3</v>
      </c>
    </row>
    <row r="1825" spans="1:16" x14ac:dyDescent="0.3">
      <c r="A1825">
        <v>2348</v>
      </c>
      <c r="B1825">
        <v>44737</v>
      </c>
      <c r="C1825">
        <v>46</v>
      </c>
      <c r="D1825">
        <v>27811</v>
      </c>
      <c r="E1825" t="s">
        <v>14</v>
      </c>
      <c r="F1825" t="s">
        <v>22</v>
      </c>
      <c r="G1825" t="s">
        <v>31</v>
      </c>
      <c r="H1825" t="s">
        <v>71</v>
      </c>
      <c r="I1825" t="s">
        <v>9</v>
      </c>
      <c r="J1825" t="s">
        <v>20</v>
      </c>
      <c r="K1825" t="s">
        <v>11</v>
      </c>
      <c r="L1825" t="s">
        <v>12</v>
      </c>
      <c r="M1825" t="s">
        <v>35</v>
      </c>
      <c r="N1825" t="s">
        <v>46</v>
      </c>
      <c r="O1825" t="s">
        <v>18</v>
      </c>
      <c r="P1825">
        <v>4</v>
      </c>
    </row>
    <row r="1826" spans="1:16" x14ac:dyDescent="0.3">
      <c r="A1826">
        <v>2349</v>
      </c>
      <c r="B1826">
        <v>44952</v>
      </c>
      <c r="C1826">
        <v>67</v>
      </c>
      <c r="D1826">
        <v>20609</v>
      </c>
      <c r="E1826" t="s">
        <v>14</v>
      </c>
      <c r="F1826" t="s">
        <v>22</v>
      </c>
      <c r="G1826" t="s">
        <v>17</v>
      </c>
      <c r="H1826" t="s">
        <v>71</v>
      </c>
      <c r="I1826" t="s">
        <v>9</v>
      </c>
      <c r="J1826" t="s">
        <v>20</v>
      </c>
      <c r="K1826" t="s">
        <v>11</v>
      </c>
      <c r="L1826" t="s">
        <v>12</v>
      </c>
      <c r="M1826" t="s">
        <v>32</v>
      </c>
      <c r="N1826" t="s">
        <v>37</v>
      </c>
      <c r="O1826" t="s">
        <v>18</v>
      </c>
      <c r="P1826">
        <v>5</v>
      </c>
    </row>
    <row r="1827" spans="1:16" x14ac:dyDescent="0.3">
      <c r="A1827">
        <v>2350</v>
      </c>
      <c r="B1827">
        <v>43880</v>
      </c>
      <c r="C1827">
        <v>47</v>
      </c>
      <c r="D1827">
        <v>26778</v>
      </c>
      <c r="E1827" t="s">
        <v>14</v>
      </c>
      <c r="F1827" t="s">
        <v>22</v>
      </c>
      <c r="G1827" t="s">
        <v>40</v>
      </c>
      <c r="H1827" t="s">
        <v>71</v>
      </c>
      <c r="I1827" t="s">
        <v>9</v>
      </c>
      <c r="J1827" t="s">
        <v>20</v>
      </c>
      <c r="K1827" t="s">
        <v>19</v>
      </c>
      <c r="L1827" t="s">
        <v>73</v>
      </c>
      <c r="M1827" t="s">
        <v>59</v>
      </c>
      <c r="N1827" t="s">
        <v>37</v>
      </c>
      <c r="O1827" t="s">
        <v>18</v>
      </c>
      <c r="P1827">
        <v>4</v>
      </c>
    </row>
    <row r="1828" spans="1:16" x14ac:dyDescent="0.3">
      <c r="A1828">
        <v>2351</v>
      </c>
      <c r="B1828">
        <v>43823</v>
      </c>
      <c r="C1828">
        <v>76</v>
      </c>
      <c r="D1828">
        <v>15764</v>
      </c>
      <c r="E1828" t="s">
        <v>14</v>
      </c>
      <c r="F1828" t="s">
        <v>22</v>
      </c>
      <c r="G1828" t="s">
        <v>17</v>
      </c>
      <c r="H1828" t="s">
        <v>78</v>
      </c>
      <c r="I1828" t="s">
        <v>9</v>
      </c>
      <c r="J1828" t="s">
        <v>10</v>
      </c>
      <c r="K1828" t="s">
        <v>26</v>
      </c>
      <c r="L1828" t="s">
        <v>12</v>
      </c>
      <c r="M1828" t="s">
        <v>42</v>
      </c>
      <c r="N1828" t="s">
        <v>23</v>
      </c>
      <c r="O1828" t="s">
        <v>18</v>
      </c>
      <c r="P1828">
        <v>3</v>
      </c>
    </row>
    <row r="1829" spans="1:16" x14ac:dyDescent="0.3">
      <c r="A1829">
        <v>2352</v>
      </c>
      <c r="B1829">
        <v>44120</v>
      </c>
      <c r="C1829">
        <v>27</v>
      </c>
      <c r="D1829">
        <v>34334</v>
      </c>
      <c r="E1829" t="s">
        <v>14</v>
      </c>
      <c r="F1829" t="s">
        <v>22</v>
      </c>
      <c r="G1829" t="s">
        <v>17</v>
      </c>
      <c r="H1829" t="s">
        <v>78</v>
      </c>
      <c r="I1829" t="s">
        <v>9</v>
      </c>
      <c r="J1829" t="s">
        <v>25</v>
      </c>
      <c r="K1829" t="s">
        <v>26</v>
      </c>
      <c r="L1829" t="s">
        <v>12</v>
      </c>
      <c r="M1829" t="s">
        <v>32</v>
      </c>
      <c r="N1829" t="s">
        <v>16</v>
      </c>
      <c r="O1829" t="s">
        <v>18</v>
      </c>
      <c r="P1829">
        <v>3</v>
      </c>
    </row>
    <row r="1830" spans="1:16" x14ac:dyDescent="0.3">
      <c r="A1830">
        <v>2353</v>
      </c>
      <c r="B1830">
        <v>43350</v>
      </c>
      <c r="C1830">
        <v>21</v>
      </c>
      <c r="D1830">
        <v>35637</v>
      </c>
      <c r="E1830" t="s">
        <v>14</v>
      </c>
      <c r="F1830" t="s">
        <v>15</v>
      </c>
      <c r="G1830" t="s">
        <v>34</v>
      </c>
      <c r="H1830" t="s">
        <v>80</v>
      </c>
      <c r="I1830" t="s">
        <v>9</v>
      </c>
      <c r="J1830" t="s">
        <v>20</v>
      </c>
      <c r="K1830" t="s">
        <v>26</v>
      </c>
      <c r="L1830" t="s">
        <v>53</v>
      </c>
      <c r="M1830" t="s">
        <v>35</v>
      </c>
      <c r="N1830" t="s">
        <v>23</v>
      </c>
      <c r="O1830" t="s">
        <v>18</v>
      </c>
      <c r="P1830">
        <v>4</v>
      </c>
    </row>
    <row r="1831" spans="1:16" x14ac:dyDescent="0.3">
      <c r="A1831">
        <v>2354</v>
      </c>
      <c r="B1831">
        <v>44568</v>
      </c>
      <c r="C1831">
        <v>51</v>
      </c>
      <c r="D1831">
        <v>26178</v>
      </c>
      <c r="E1831" t="s">
        <v>14</v>
      </c>
      <c r="F1831" t="s">
        <v>15</v>
      </c>
      <c r="G1831" t="s">
        <v>40</v>
      </c>
      <c r="H1831" t="s">
        <v>78</v>
      </c>
      <c r="I1831" t="s">
        <v>9</v>
      </c>
      <c r="J1831" t="s">
        <v>20</v>
      </c>
      <c r="K1831" t="s">
        <v>11</v>
      </c>
      <c r="L1831" t="s">
        <v>53</v>
      </c>
      <c r="M1831" t="s">
        <v>59</v>
      </c>
      <c r="N1831" t="s">
        <v>16</v>
      </c>
      <c r="O1831" t="s">
        <v>18</v>
      </c>
      <c r="P1831">
        <v>1</v>
      </c>
    </row>
    <row r="1832" spans="1:16" x14ac:dyDescent="0.3">
      <c r="A1832">
        <v>2355</v>
      </c>
      <c r="B1832">
        <v>43549</v>
      </c>
      <c r="C1832">
        <v>76</v>
      </c>
      <c r="D1832">
        <v>15723</v>
      </c>
      <c r="E1832" t="s">
        <v>14</v>
      </c>
      <c r="F1832" t="s">
        <v>22</v>
      </c>
      <c r="G1832" t="s">
        <v>31</v>
      </c>
      <c r="H1832" t="s">
        <v>78</v>
      </c>
      <c r="I1832" t="s">
        <v>9</v>
      </c>
      <c r="J1832" t="s">
        <v>10</v>
      </c>
      <c r="K1832" t="s">
        <v>11</v>
      </c>
      <c r="L1832" t="s">
        <v>53</v>
      </c>
      <c r="M1832" t="s">
        <v>35</v>
      </c>
      <c r="N1832" t="s">
        <v>46</v>
      </c>
      <c r="O1832" t="s">
        <v>18</v>
      </c>
      <c r="P1832">
        <v>1</v>
      </c>
    </row>
    <row r="1833" spans="1:16" x14ac:dyDescent="0.3">
      <c r="A1833">
        <v>2356</v>
      </c>
      <c r="B1833">
        <v>44518</v>
      </c>
      <c r="C1833">
        <v>66</v>
      </c>
      <c r="D1833">
        <v>20284</v>
      </c>
      <c r="E1833" t="s">
        <v>14</v>
      </c>
      <c r="F1833" t="s">
        <v>22</v>
      </c>
      <c r="G1833" t="s">
        <v>31</v>
      </c>
      <c r="H1833" t="s">
        <v>78</v>
      </c>
      <c r="I1833" t="s">
        <v>9</v>
      </c>
      <c r="J1833" t="s">
        <v>20</v>
      </c>
      <c r="K1833" t="s">
        <v>11</v>
      </c>
      <c r="L1833" t="s">
        <v>53</v>
      </c>
      <c r="M1833" t="s">
        <v>60</v>
      </c>
      <c r="N1833" t="s">
        <v>37</v>
      </c>
      <c r="O1833" t="s">
        <v>18</v>
      </c>
      <c r="P1833">
        <v>1</v>
      </c>
    </row>
    <row r="1834" spans="1:16" x14ac:dyDescent="0.3">
      <c r="A1834">
        <v>2357</v>
      </c>
      <c r="B1834">
        <v>44926</v>
      </c>
      <c r="C1834">
        <v>79</v>
      </c>
      <c r="D1834">
        <v>15964</v>
      </c>
      <c r="E1834" t="s">
        <v>14</v>
      </c>
      <c r="F1834" t="s">
        <v>15</v>
      </c>
      <c r="G1834" t="s">
        <v>34</v>
      </c>
      <c r="H1834" t="s">
        <v>91</v>
      </c>
      <c r="I1834" t="s">
        <v>9</v>
      </c>
      <c r="J1834" t="s">
        <v>10</v>
      </c>
      <c r="K1834" t="s">
        <v>26</v>
      </c>
      <c r="L1834" t="s">
        <v>12</v>
      </c>
      <c r="M1834" t="s">
        <v>32</v>
      </c>
      <c r="N1834" t="s">
        <v>37</v>
      </c>
      <c r="O1834" t="s">
        <v>18</v>
      </c>
      <c r="P1834">
        <v>2</v>
      </c>
    </row>
    <row r="1835" spans="1:16" x14ac:dyDescent="0.3">
      <c r="A1835">
        <v>2358</v>
      </c>
      <c r="B1835">
        <v>43965</v>
      </c>
      <c r="C1835">
        <v>27</v>
      </c>
      <c r="D1835">
        <v>34048</v>
      </c>
      <c r="E1835" t="s">
        <v>14</v>
      </c>
      <c r="F1835" t="s">
        <v>22</v>
      </c>
      <c r="G1835" t="s">
        <v>34</v>
      </c>
      <c r="H1835" t="s">
        <v>91</v>
      </c>
      <c r="I1835" t="s">
        <v>9</v>
      </c>
      <c r="J1835" t="s">
        <v>20</v>
      </c>
      <c r="K1835" t="s">
        <v>26</v>
      </c>
      <c r="L1835" t="s">
        <v>12</v>
      </c>
      <c r="M1835" t="s">
        <v>44</v>
      </c>
      <c r="N1835" t="s">
        <v>37</v>
      </c>
      <c r="O1835" t="s">
        <v>18</v>
      </c>
      <c r="P1835">
        <v>3</v>
      </c>
    </row>
    <row r="1836" spans="1:16" x14ac:dyDescent="0.3">
      <c r="A1836">
        <v>2359</v>
      </c>
      <c r="B1836">
        <v>44178</v>
      </c>
      <c r="C1836">
        <v>24</v>
      </c>
      <c r="D1836">
        <v>35247</v>
      </c>
      <c r="E1836" t="s">
        <v>14</v>
      </c>
      <c r="F1836" t="s">
        <v>15</v>
      </c>
      <c r="G1836" t="s">
        <v>34</v>
      </c>
      <c r="H1836" t="s">
        <v>91</v>
      </c>
      <c r="I1836" t="s">
        <v>9</v>
      </c>
      <c r="J1836" t="s">
        <v>25</v>
      </c>
      <c r="K1836" t="s">
        <v>26</v>
      </c>
      <c r="L1836" t="s">
        <v>12</v>
      </c>
      <c r="M1836" t="s">
        <v>42</v>
      </c>
      <c r="N1836" t="s">
        <v>30</v>
      </c>
      <c r="O1836" t="s">
        <v>18</v>
      </c>
      <c r="P1836">
        <v>4</v>
      </c>
    </row>
    <row r="1837" spans="1:16" x14ac:dyDescent="0.3">
      <c r="A1837">
        <v>2360</v>
      </c>
      <c r="B1837">
        <v>44516</v>
      </c>
      <c r="C1837">
        <v>31</v>
      </c>
      <c r="D1837">
        <v>33152</v>
      </c>
      <c r="E1837" t="s">
        <v>14</v>
      </c>
      <c r="F1837" t="s">
        <v>15</v>
      </c>
      <c r="G1837" t="s">
        <v>17</v>
      </c>
      <c r="H1837" t="s">
        <v>91</v>
      </c>
      <c r="I1837" t="s">
        <v>66</v>
      </c>
      <c r="J1837" t="s">
        <v>20</v>
      </c>
      <c r="K1837" t="s">
        <v>26</v>
      </c>
      <c r="L1837" t="s">
        <v>12</v>
      </c>
      <c r="M1837" t="s">
        <v>55</v>
      </c>
      <c r="N1837" t="s">
        <v>46</v>
      </c>
      <c r="O1837" t="s">
        <v>18</v>
      </c>
      <c r="P1837">
        <v>4</v>
      </c>
    </row>
    <row r="1838" spans="1:16" x14ac:dyDescent="0.3">
      <c r="A1838">
        <v>2361</v>
      </c>
      <c r="B1838">
        <v>44896</v>
      </c>
      <c r="C1838">
        <v>26</v>
      </c>
      <c r="D1838">
        <v>35404</v>
      </c>
      <c r="E1838" t="s">
        <v>14</v>
      </c>
      <c r="F1838" t="s">
        <v>15</v>
      </c>
      <c r="G1838" t="s">
        <v>40</v>
      </c>
      <c r="H1838" t="s">
        <v>91</v>
      </c>
      <c r="I1838" t="s">
        <v>66</v>
      </c>
      <c r="J1838" t="s">
        <v>25</v>
      </c>
      <c r="K1838" t="s">
        <v>11</v>
      </c>
      <c r="L1838" t="s">
        <v>12</v>
      </c>
      <c r="M1838" t="s">
        <v>54</v>
      </c>
      <c r="N1838" t="s">
        <v>46</v>
      </c>
      <c r="O1838" t="s">
        <v>18</v>
      </c>
      <c r="P1838">
        <v>4</v>
      </c>
    </row>
    <row r="1839" spans="1:16" x14ac:dyDescent="0.3">
      <c r="A1839">
        <v>2362</v>
      </c>
      <c r="B1839">
        <v>44134</v>
      </c>
      <c r="C1839">
        <v>46</v>
      </c>
      <c r="D1839">
        <v>27155</v>
      </c>
      <c r="E1839" t="s">
        <v>14</v>
      </c>
      <c r="F1839" t="s">
        <v>15</v>
      </c>
      <c r="G1839" t="s">
        <v>34</v>
      </c>
      <c r="H1839" t="s">
        <v>91</v>
      </c>
      <c r="I1839" t="s">
        <v>9</v>
      </c>
      <c r="J1839" t="s">
        <v>25</v>
      </c>
      <c r="K1839" t="s">
        <v>11</v>
      </c>
      <c r="L1839" t="s">
        <v>12</v>
      </c>
      <c r="M1839" t="s">
        <v>35</v>
      </c>
      <c r="N1839" t="s">
        <v>46</v>
      </c>
      <c r="O1839" t="s">
        <v>18</v>
      </c>
      <c r="P1839">
        <v>4</v>
      </c>
    </row>
    <row r="1840" spans="1:16" x14ac:dyDescent="0.3">
      <c r="A1840">
        <v>2363</v>
      </c>
      <c r="B1840">
        <v>44235</v>
      </c>
      <c r="C1840">
        <v>38</v>
      </c>
      <c r="D1840">
        <v>30364</v>
      </c>
      <c r="E1840" t="s">
        <v>14</v>
      </c>
      <c r="F1840" t="s">
        <v>15</v>
      </c>
      <c r="G1840" t="s">
        <v>17</v>
      </c>
      <c r="H1840" t="s">
        <v>91</v>
      </c>
      <c r="I1840" t="s">
        <v>9</v>
      </c>
      <c r="J1840" t="s">
        <v>25</v>
      </c>
      <c r="K1840" t="s">
        <v>11</v>
      </c>
      <c r="L1840" t="s">
        <v>12</v>
      </c>
      <c r="M1840" t="s">
        <v>59</v>
      </c>
      <c r="N1840" t="s">
        <v>23</v>
      </c>
      <c r="O1840" t="s">
        <v>18</v>
      </c>
      <c r="P1840">
        <v>5</v>
      </c>
    </row>
    <row r="1841" spans="1:16" x14ac:dyDescent="0.3">
      <c r="A1841">
        <v>2364</v>
      </c>
      <c r="B1841">
        <v>43682</v>
      </c>
      <c r="C1841">
        <v>59</v>
      </c>
      <c r="D1841">
        <v>22152</v>
      </c>
      <c r="E1841" t="s">
        <v>14</v>
      </c>
      <c r="F1841" t="s">
        <v>22</v>
      </c>
      <c r="G1841" t="s">
        <v>17</v>
      </c>
      <c r="H1841" t="s">
        <v>91</v>
      </c>
      <c r="I1841" t="s">
        <v>9</v>
      </c>
      <c r="J1841" t="s">
        <v>25</v>
      </c>
      <c r="K1841" t="s">
        <v>19</v>
      </c>
      <c r="L1841" t="s">
        <v>12</v>
      </c>
      <c r="M1841" t="s">
        <v>35</v>
      </c>
      <c r="N1841" t="s">
        <v>37</v>
      </c>
      <c r="O1841" t="s">
        <v>18</v>
      </c>
      <c r="P1841">
        <v>2</v>
      </c>
    </row>
    <row r="1842" spans="1:16" x14ac:dyDescent="0.3">
      <c r="A1842">
        <v>2365</v>
      </c>
      <c r="B1842">
        <v>43433</v>
      </c>
      <c r="C1842">
        <v>65</v>
      </c>
      <c r="D1842">
        <v>19596</v>
      </c>
      <c r="E1842" t="s">
        <v>14</v>
      </c>
      <c r="F1842" t="s">
        <v>15</v>
      </c>
      <c r="G1842" t="s">
        <v>34</v>
      </c>
      <c r="H1842" t="s">
        <v>91</v>
      </c>
      <c r="I1842" t="s">
        <v>66</v>
      </c>
      <c r="J1842" t="s">
        <v>10</v>
      </c>
      <c r="K1842" t="s">
        <v>19</v>
      </c>
      <c r="L1842" t="s">
        <v>12</v>
      </c>
      <c r="M1842" t="s">
        <v>42</v>
      </c>
      <c r="N1842" t="s">
        <v>37</v>
      </c>
      <c r="O1842" t="s">
        <v>18</v>
      </c>
      <c r="P1842">
        <v>1</v>
      </c>
    </row>
    <row r="1843" spans="1:16" x14ac:dyDescent="0.3">
      <c r="A1843">
        <v>2366</v>
      </c>
      <c r="B1843">
        <v>43420</v>
      </c>
      <c r="C1843">
        <v>74</v>
      </c>
      <c r="D1843">
        <v>16275</v>
      </c>
      <c r="E1843" t="s">
        <v>14</v>
      </c>
      <c r="F1843" t="s">
        <v>15</v>
      </c>
      <c r="G1843" t="s">
        <v>40</v>
      </c>
      <c r="H1843" t="s">
        <v>91</v>
      </c>
      <c r="I1843" t="s">
        <v>66</v>
      </c>
      <c r="J1843" t="s">
        <v>25</v>
      </c>
      <c r="K1843" t="s">
        <v>26</v>
      </c>
      <c r="L1843" t="s">
        <v>12</v>
      </c>
      <c r="M1843" t="s">
        <v>55</v>
      </c>
      <c r="N1843" t="s">
        <v>46</v>
      </c>
      <c r="O1843" t="s">
        <v>18</v>
      </c>
      <c r="P1843">
        <v>2</v>
      </c>
    </row>
    <row r="1844" spans="1:16" x14ac:dyDescent="0.3">
      <c r="A1844">
        <v>2367</v>
      </c>
      <c r="B1844">
        <v>44066</v>
      </c>
      <c r="C1844">
        <v>61</v>
      </c>
      <c r="D1844">
        <v>21760</v>
      </c>
      <c r="E1844" t="s">
        <v>14</v>
      </c>
      <c r="F1844" t="s">
        <v>15</v>
      </c>
      <c r="G1844" t="s">
        <v>17</v>
      </c>
      <c r="H1844" t="s">
        <v>91</v>
      </c>
      <c r="I1844" t="s">
        <v>9</v>
      </c>
      <c r="J1844" t="s">
        <v>10</v>
      </c>
      <c r="K1844" t="s">
        <v>11</v>
      </c>
      <c r="L1844" t="s">
        <v>12</v>
      </c>
      <c r="M1844" t="s">
        <v>59</v>
      </c>
      <c r="N1844" t="s">
        <v>23</v>
      </c>
      <c r="O1844" t="s">
        <v>18</v>
      </c>
      <c r="P1844">
        <v>2</v>
      </c>
    </row>
    <row r="1845" spans="1:16" x14ac:dyDescent="0.3">
      <c r="A1845">
        <v>2368</v>
      </c>
      <c r="B1845">
        <v>44065</v>
      </c>
      <c r="C1845">
        <v>70</v>
      </c>
      <c r="D1845">
        <v>18353</v>
      </c>
      <c r="E1845" t="s">
        <v>14</v>
      </c>
      <c r="F1845" t="s">
        <v>15</v>
      </c>
      <c r="G1845" t="s">
        <v>31</v>
      </c>
      <c r="H1845" t="s">
        <v>94</v>
      </c>
      <c r="I1845" t="s">
        <v>9</v>
      </c>
      <c r="J1845" t="s">
        <v>25</v>
      </c>
      <c r="K1845" t="s">
        <v>26</v>
      </c>
      <c r="L1845" t="s">
        <v>12</v>
      </c>
      <c r="M1845" t="s">
        <v>59</v>
      </c>
      <c r="N1845" t="s">
        <v>16</v>
      </c>
      <c r="O1845" t="s">
        <v>18</v>
      </c>
      <c r="P1845">
        <v>2</v>
      </c>
    </row>
    <row r="1846" spans="1:16" x14ac:dyDescent="0.3">
      <c r="A1846">
        <v>2369</v>
      </c>
      <c r="B1846">
        <v>44488</v>
      </c>
      <c r="C1846">
        <v>34</v>
      </c>
      <c r="D1846">
        <v>32036</v>
      </c>
      <c r="E1846" t="s">
        <v>14</v>
      </c>
      <c r="F1846" t="s">
        <v>22</v>
      </c>
      <c r="G1846" t="s">
        <v>40</v>
      </c>
      <c r="H1846" t="s">
        <v>71</v>
      </c>
      <c r="I1846" t="s">
        <v>9</v>
      </c>
      <c r="J1846" t="s">
        <v>20</v>
      </c>
      <c r="K1846" t="s">
        <v>26</v>
      </c>
      <c r="L1846" t="s">
        <v>12</v>
      </c>
      <c r="M1846" t="s">
        <v>35</v>
      </c>
      <c r="N1846" t="s">
        <v>30</v>
      </c>
      <c r="O1846" t="s">
        <v>18</v>
      </c>
      <c r="P1846">
        <v>2</v>
      </c>
    </row>
    <row r="1847" spans="1:16" x14ac:dyDescent="0.3">
      <c r="A1847">
        <v>2370</v>
      </c>
      <c r="B1847">
        <v>43882</v>
      </c>
      <c r="C1847">
        <v>68</v>
      </c>
      <c r="D1847">
        <v>19024</v>
      </c>
      <c r="E1847" t="s">
        <v>14</v>
      </c>
      <c r="F1847" t="s">
        <v>22</v>
      </c>
      <c r="G1847" t="s">
        <v>17</v>
      </c>
      <c r="H1847" t="s">
        <v>71</v>
      </c>
      <c r="I1847" t="s">
        <v>9</v>
      </c>
      <c r="J1847" t="s">
        <v>10</v>
      </c>
      <c r="K1847" t="s">
        <v>26</v>
      </c>
      <c r="L1847" t="s">
        <v>12</v>
      </c>
      <c r="M1847" t="s">
        <v>35</v>
      </c>
      <c r="N1847" t="s">
        <v>30</v>
      </c>
      <c r="O1847" t="s">
        <v>18</v>
      </c>
      <c r="P1847">
        <v>2</v>
      </c>
    </row>
    <row r="1848" spans="1:16" x14ac:dyDescent="0.3">
      <c r="A1848">
        <v>2371</v>
      </c>
      <c r="B1848">
        <v>44886</v>
      </c>
      <c r="C1848">
        <v>22</v>
      </c>
      <c r="D1848">
        <v>36676</v>
      </c>
      <c r="E1848" t="s">
        <v>14</v>
      </c>
      <c r="F1848" t="s">
        <v>22</v>
      </c>
      <c r="G1848" t="s">
        <v>34</v>
      </c>
      <c r="H1848" t="s">
        <v>78</v>
      </c>
      <c r="I1848" t="s">
        <v>9</v>
      </c>
      <c r="J1848" t="s">
        <v>10</v>
      </c>
      <c r="K1848" t="s">
        <v>26</v>
      </c>
      <c r="L1848" t="s">
        <v>12</v>
      </c>
      <c r="M1848" t="s">
        <v>35</v>
      </c>
      <c r="N1848" t="s">
        <v>16</v>
      </c>
      <c r="O1848" t="s">
        <v>18</v>
      </c>
      <c r="P1848">
        <v>1</v>
      </c>
    </row>
    <row r="1849" spans="1:16" x14ac:dyDescent="0.3">
      <c r="A1849">
        <v>2372</v>
      </c>
      <c r="B1849">
        <v>43682</v>
      </c>
      <c r="C1849">
        <v>27</v>
      </c>
      <c r="D1849">
        <v>33673</v>
      </c>
      <c r="E1849" t="s">
        <v>14</v>
      </c>
      <c r="F1849" t="s">
        <v>15</v>
      </c>
      <c r="G1849" t="s">
        <v>31</v>
      </c>
      <c r="H1849" t="s">
        <v>78</v>
      </c>
      <c r="I1849" t="s">
        <v>9</v>
      </c>
      <c r="J1849" t="s">
        <v>25</v>
      </c>
      <c r="K1849" t="s">
        <v>19</v>
      </c>
      <c r="L1849" t="s">
        <v>12</v>
      </c>
      <c r="M1849" t="s">
        <v>35</v>
      </c>
      <c r="N1849" t="s">
        <v>23</v>
      </c>
      <c r="O1849" t="s">
        <v>18</v>
      </c>
      <c r="P1849">
        <v>4</v>
      </c>
    </row>
    <row r="1850" spans="1:16" x14ac:dyDescent="0.3">
      <c r="A1850">
        <v>2373</v>
      </c>
      <c r="B1850">
        <v>44140</v>
      </c>
      <c r="C1850">
        <v>38</v>
      </c>
      <c r="D1850">
        <v>30246</v>
      </c>
      <c r="E1850" t="s">
        <v>14</v>
      </c>
      <c r="F1850" t="s">
        <v>15</v>
      </c>
      <c r="G1850" t="s">
        <v>40</v>
      </c>
      <c r="H1850" t="s">
        <v>80</v>
      </c>
      <c r="I1850" t="s">
        <v>9</v>
      </c>
      <c r="J1850" t="s">
        <v>25</v>
      </c>
      <c r="K1850" t="s">
        <v>19</v>
      </c>
      <c r="L1850" t="s">
        <v>53</v>
      </c>
      <c r="M1850" t="s">
        <v>60</v>
      </c>
      <c r="N1850" t="s">
        <v>30</v>
      </c>
      <c r="O1850" t="s">
        <v>18</v>
      </c>
      <c r="P1850">
        <v>5</v>
      </c>
    </row>
    <row r="1851" spans="1:16" x14ac:dyDescent="0.3">
      <c r="A1851">
        <v>2374</v>
      </c>
      <c r="B1851">
        <v>44359</v>
      </c>
      <c r="C1851">
        <v>59</v>
      </c>
      <c r="D1851">
        <v>22867</v>
      </c>
      <c r="E1851" t="s">
        <v>14</v>
      </c>
      <c r="F1851" t="s">
        <v>15</v>
      </c>
      <c r="G1851" t="s">
        <v>40</v>
      </c>
      <c r="H1851" t="s">
        <v>78</v>
      </c>
      <c r="I1851" t="s">
        <v>9</v>
      </c>
      <c r="J1851" t="s">
        <v>20</v>
      </c>
      <c r="K1851" t="s">
        <v>19</v>
      </c>
      <c r="L1851" t="s">
        <v>53</v>
      </c>
      <c r="M1851" t="s">
        <v>35</v>
      </c>
      <c r="N1851" t="s">
        <v>46</v>
      </c>
      <c r="O1851" t="s">
        <v>18</v>
      </c>
      <c r="P1851">
        <v>2</v>
      </c>
    </row>
    <row r="1852" spans="1:16" x14ac:dyDescent="0.3">
      <c r="A1852">
        <v>2375</v>
      </c>
      <c r="B1852">
        <v>43356</v>
      </c>
      <c r="C1852">
        <v>60</v>
      </c>
      <c r="D1852">
        <v>21491</v>
      </c>
      <c r="E1852" t="s">
        <v>14</v>
      </c>
      <c r="F1852" t="s">
        <v>22</v>
      </c>
      <c r="G1852" t="s">
        <v>31</v>
      </c>
      <c r="H1852" t="s">
        <v>78</v>
      </c>
      <c r="I1852" t="s">
        <v>9</v>
      </c>
      <c r="J1852" t="s">
        <v>10</v>
      </c>
      <c r="K1852" t="s">
        <v>26</v>
      </c>
      <c r="L1852" t="s">
        <v>53</v>
      </c>
      <c r="M1852" t="s">
        <v>32</v>
      </c>
      <c r="N1852" t="s">
        <v>37</v>
      </c>
      <c r="O1852" t="s">
        <v>18</v>
      </c>
      <c r="P1852">
        <v>4</v>
      </c>
    </row>
    <row r="1853" spans="1:16" x14ac:dyDescent="0.3">
      <c r="A1853">
        <v>2376</v>
      </c>
      <c r="B1853">
        <v>45025</v>
      </c>
      <c r="C1853">
        <v>40</v>
      </c>
      <c r="D1853">
        <v>30599</v>
      </c>
      <c r="E1853" t="s">
        <v>14</v>
      </c>
      <c r="F1853" t="s">
        <v>15</v>
      </c>
      <c r="G1853" t="s">
        <v>40</v>
      </c>
      <c r="H1853" t="s">
        <v>91</v>
      </c>
      <c r="I1853" t="s">
        <v>9</v>
      </c>
      <c r="J1853" t="s">
        <v>25</v>
      </c>
      <c r="K1853" t="s">
        <v>19</v>
      </c>
      <c r="L1853" t="s">
        <v>12</v>
      </c>
      <c r="M1853" t="s">
        <v>35</v>
      </c>
      <c r="N1853" t="s">
        <v>46</v>
      </c>
      <c r="O1853" t="s">
        <v>18</v>
      </c>
      <c r="P1853">
        <v>2</v>
      </c>
    </row>
    <row r="1854" spans="1:16" x14ac:dyDescent="0.3">
      <c r="A1854">
        <v>2377</v>
      </c>
      <c r="B1854">
        <v>44205</v>
      </c>
      <c r="C1854">
        <v>61</v>
      </c>
      <c r="D1854">
        <v>22081</v>
      </c>
      <c r="E1854" t="s">
        <v>14</v>
      </c>
      <c r="F1854" t="s">
        <v>22</v>
      </c>
      <c r="G1854" t="s">
        <v>31</v>
      </c>
      <c r="H1854" t="s">
        <v>91</v>
      </c>
      <c r="I1854" t="s">
        <v>9</v>
      </c>
      <c r="J1854" t="s">
        <v>10</v>
      </c>
      <c r="K1854" t="s">
        <v>26</v>
      </c>
      <c r="L1854" t="s">
        <v>12</v>
      </c>
      <c r="M1854" t="s">
        <v>44</v>
      </c>
      <c r="N1854" t="s">
        <v>16</v>
      </c>
      <c r="O1854" t="s">
        <v>18</v>
      </c>
      <c r="P1854">
        <v>2</v>
      </c>
    </row>
    <row r="1855" spans="1:16" x14ac:dyDescent="0.3">
      <c r="A1855">
        <v>2378</v>
      </c>
      <c r="B1855">
        <v>43913</v>
      </c>
      <c r="C1855">
        <v>76</v>
      </c>
      <c r="D1855">
        <v>16399</v>
      </c>
      <c r="E1855" t="s">
        <v>14</v>
      </c>
      <c r="F1855" t="s">
        <v>15</v>
      </c>
      <c r="G1855" t="s">
        <v>34</v>
      </c>
      <c r="H1855" t="s">
        <v>91</v>
      </c>
      <c r="I1855" t="s">
        <v>9</v>
      </c>
      <c r="J1855" t="s">
        <v>20</v>
      </c>
      <c r="K1855" t="s">
        <v>19</v>
      </c>
      <c r="L1855" t="s">
        <v>12</v>
      </c>
      <c r="M1855" t="s">
        <v>57</v>
      </c>
      <c r="N1855" t="s">
        <v>30</v>
      </c>
      <c r="O1855" t="s">
        <v>18</v>
      </c>
      <c r="P1855">
        <v>5</v>
      </c>
    </row>
    <row r="1856" spans="1:16" x14ac:dyDescent="0.3">
      <c r="A1856">
        <v>2379</v>
      </c>
      <c r="B1856">
        <v>43757</v>
      </c>
      <c r="C1856">
        <v>28</v>
      </c>
      <c r="D1856">
        <v>33594</v>
      </c>
      <c r="E1856" t="s">
        <v>14</v>
      </c>
      <c r="F1856" t="s">
        <v>15</v>
      </c>
      <c r="G1856" t="s">
        <v>40</v>
      </c>
      <c r="H1856" t="s">
        <v>91</v>
      </c>
      <c r="I1856" t="s">
        <v>66</v>
      </c>
      <c r="J1856" t="s">
        <v>25</v>
      </c>
      <c r="K1856" t="s">
        <v>11</v>
      </c>
      <c r="L1856" t="s">
        <v>12</v>
      </c>
      <c r="M1856" t="s">
        <v>55</v>
      </c>
      <c r="N1856" t="s">
        <v>46</v>
      </c>
      <c r="O1856" t="s">
        <v>18</v>
      </c>
      <c r="P1856">
        <v>5</v>
      </c>
    </row>
    <row r="1857" spans="1:16" x14ac:dyDescent="0.3">
      <c r="A1857">
        <v>2380</v>
      </c>
      <c r="B1857">
        <v>45109</v>
      </c>
      <c r="C1857">
        <v>67</v>
      </c>
      <c r="D1857">
        <v>20808</v>
      </c>
      <c r="E1857" t="s">
        <v>14</v>
      </c>
      <c r="F1857" t="s">
        <v>15</v>
      </c>
      <c r="G1857" t="s">
        <v>34</v>
      </c>
      <c r="H1857" t="s">
        <v>91</v>
      </c>
      <c r="I1857" t="s">
        <v>9</v>
      </c>
      <c r="J1857" t="s">
        <v>25</v>
      </c>
      <c r="K1857" t="s">
        <v>19</v>
      </c>
      <c r="L1857" t="s">
        <v>12</v>
      </c>
      <c r="M1857" t="s">
        <v>32</v>
      </c>
      <c r="N1857" t="s">
        <v>30</v>
      </c>
      <c r="O1857" t="s">
        <v>18</v>
      </c>
      <c r="P1857">
        <v>1</v>
      </c>
    </row>
    <row r="1858" spans="1:16" x14ac:dyDescent="0.3">
      <c r="A1858">
        <v>2381</v>
      </c>
      <c r="B1858">
        <v>43706</v>
      </c>
      <c r="C1858">
        <v>31</v>
      </c>
      <c r="D1858">
        <v>32241</v>
      </c>
      <c r="E1858" t="s">
        <v>14</v>
      </c>
      <c r="F1858" t="s">
        <v>15</v>
      </c>
      <c r="G1858" t="s">
        <v>40</v>
      </c>
      <c r="H1858" t="s">
        <v>91</v>
      </c>
      <c r="I1858" t="s">
        <v>9</v>
      </c>
      <c r="J1858" t="s">
        <v>20</v>
      </c>
      <c r="K1858" t="s">
        <v>26</v>
      </c>
      <c r="L1858" t="s">
        <v>12</v>
      </c>
      <c r="M1858" t="s">
        <v>60</v>
      </c>
      <c r="N1858" t="s">
        <v>30</v>
      </c>
      <c r="O1858" t="s">
        <v>18</v>
      </c>
      <c r="P1858">
        <v>3</v>
      </c>
    </row>
    <row r="1859" spans="1:16" x14ac:dyDescent="0.3">
      <c r="A1859">
        <v>2382</v>
      </c>
      <c r="B1859">
        <v>45124</v>
      </c>
      <c r="C1859">
        <v>80</v>
      </c>
      <c r="D1859">
        <v>16050</v>
      </c>
      <c r="E1859" t="s">
        <v>14</v>
      </c>
      <c r="F1859" t="s">
        <v>22</v>
      </c>
      <c r="G1859" t="s">
        <v>31</v>
      </c>
      <c r="H1859" t="s">
        <v>91</v>
      </c>
      <c r="I1859" t="s">
        <v>9</v>
      </c>
      <c r="J1859" t="s">
        <v>20</v>
      </c>
      <c r="K1859" t="s">
        <v>11</v>
      </c>
      <c r="L1859" t="s">
        <v>12</v>
      </c>
      <c r="M1859" t="s">
        <v>60</v>
      </c>
      <c r="N1859" t="s">
        <v>46</v>
      </c>
      <c r="O1859" t="s">
        <v>18</v>
      </c>
      <c r="P1859">
        <v>3</v>
      </c>
    </row>
    <row r="1860" spans="1:16" x14ac:dyDescent="0.3">
      <c r="A1860">
        <v>2383</v>
      </c>
      <c r="B1860">
        <v>43863</v>
      </c>
      <c r="C1860">
        <v>47</v>
      </c>
      <c r="D1860">
        <v>26762</v>
      </c>
      <c r="E1860" t="s">
        <v>14</v>
      </c>
      <c r="F1860" t="s">
        <v>22</v>
      </c>
      <c r="G1860" t="s">
        <v>17</v>
      </c>
      <c r="H1860" t="s">
        <v>91</v>
      </c>
      <c r="I1860" t="s">
        <v>9</v>
      </c>
      <c r="J1860" t="s">
        <v>25</v>
      </c>
      <c r="K1860" t="s">
        <v>19</v>
      </c>
      <c r="L1860" t="s">
        <v>12</v>
      </c>
      <c r="M1860" t="s">
        <v>35</v>
      </c>
      <c r="N1860" t="s">
        <v>46</v>
      </c>
      <c r="O1860" t="s">
        <v>18</v>
      </c>
      <c r="P1860">
        <v>3</v>
      </c>
    </row>
    <row r="1861" spans="1:16" x14ac:dyDescent="0.3">
      <c r="A1861">
        <v>2384</v>
      </c>
      <c r="B1861">
        <v>44483</v>
      </c>
      <c r="C1861">
        <v>42</v>
      </c>
      <c r="D1861">
        <v>29109</v>
      </c>
      <c r="E1861" t="s">
        <v>14</v>
      </c>
      <c r="F1861" t="s">
        <v>15</v>
      </c>
      <c r="G1861" t="s">
        <v>34</v>
      </c>
      <c r="H1861" t="s">
        <v>91</v>
      </c>
      <c r="I1861" t="s">
        <v>66</v>
      </c>
      <c r="J1861" t="s">
        <v>25</v>
      </c>
      <c r="K1861" t="s">
        <v>19</v>
      </c>
      <c r="L1861" t="s">
        <v>12</v>
      </c>
      <c r="M1861" t="s">
        <v>35</v>
      </c>
      <c r="N1861" t="s">
        <v>23</v>
      </c>
      <c r="O1861" t="s">
        <v>18</v>
      </c>
      <c r="P1861">
        <v>2</v>
      </c>
    </row>
    <row r="1862" spans="1:16" x14ac:dyDescent="0.3">
      <c r="A1862">
        <v>2385</v>
      </c>
      <c r="B1862">
        <v>43931</v>
      </c>
      <c r="C1862">
        <v>67</v>
      </c>
      <c r="D1862">
        <v>19682</v>
      </c>
      <c r="E1862" t="s">
        <v>14</v>
      </c>
      <c r="F1862" t="s">
        <v>15</v>
      </c>
      <c r="G1862" t="s">
        <v>31</v>
      </c>
      <c r="H1862" t="s">
        <v>91</v>
      </c>
      <c r="I1862" t="s">
        <v>9</v>
      </c>
      <c r="J1862" t="s">
        <v>10</v>
      </c>
      <c r="K1862" t="s">
        <v>19</v>
      </c>
      <c r="L1862" t="s">
        <v>12</v>
      </c>
      <c r="M1862" t="s">
        <v>63</v>
      </c>
      <c r="N1862" t="s">
        <v>46</v>
      </c>
      <c r="O1862" t="s">
        <v>18</v>
      </c>
      <c r="P1862">
        <v>1</v>
      </c>
    </row>
    <row r="1863" spans="1:16" x14ac:dyDescent="0.3">
      <c r="A1863">
        <v>2386</v>
      </c>
      <c r="B1863">
        <v>43448</v>
      </c>
      <c r="C1863">
        <v>43</v>
      </c>
      <c r="D1863">
        <v>27753</v>
      </c>
      <c r="E1863" t="s">
        <v>14</v>
      </c>
      <c r="F1863" t="s">
        <v>15</v>
      </c>
      <c r="G1863" t="s">
        <v>17</v>
      </c>
      <c r="H1863" t="s">
        <v>91</v>
      </c>
      <c r="I1863" t="s">
        <v>9</v>
      </c>
      <c r="J1863" t="s">
        <v>20</v>
      </c>
      <c r="K1863" t="s">
        <v>26</v>
      </c>
      <c r="L1863" t="s">
        <v>12</v>
      </c>
      <c r="M1863" t="s">
        <v>13</v>
      </c>
      <c r="N1863" t="s">
        <v>37</v>
      </c>
      <c r="O1863" t="s">
        <v>18</v>
      </c>
      <c r="P1863">
        <v>4</v>
      </c>
    </row>
    <row r="1864" spans="1:16" x14ac:dyDescent="0.3">
      <c r="A1864">
        <v>2387</v>
      </c>
      <c r="B1864">
        <v>44739</v>
      </c>
      <c r="C1864">
        <v>28</v>
      </c>
      <c r="D1864">
        <v>34482</v>
      </c>
      <c r="E1864" t="s">
        <v>14</v>
      </c>
      <c r="F1864" t="s">
        <v>22</v>
      </c>
      <c r="G1864" t="s">
        <v>17</v>
      </c>
      <c r="H1864" t="s">
        <v>94</v>
      </c>
      <c r="I1864" t="s">
        <v>9</v>
      </c>
      <c r="J1864" t="s">
        <v>10</v>
      </c>
      <c r="K1864" t="s">
        <v>11</v>
      </c>
      <c r="L1864" t="s">
        <v>12</v>
      </c>
      <c r="M1864" t="s">
        <v>93</v>
      </c>
      <c r="N1864" t="s">
        <v>23</v>
      </c>
      <c r="O1864" t="s">
        <v>18</v>
      </c>
      <c r="P1864">
        <v>2</v>
      </c>
    </row>
    <row r="1865" spans="1:16" x14ac:dyDescent="0.3">
      <c r="A1865">
        <v>2388</v>
      </c>
      <c r="B1865">
        <v>44081</v>
      </c>
      <c r="C1865">
        <v>67</v>
      </c>
      <c r="D1865">
        <v>19494</v>
      </c>
      <c r="E1865" t="s">
        <v>14</v>
      </c>
      <c r="F1865" t="s">
        <v>22</v>
      </c>
      <c r="G1865" t="s">
        <v>31</v>
      </c>
      <c r="H1865" t="s">
        <v>71</v>
      </c>
      <c r="I1865" t="s">
        <v>9</v>
      </c>
      <c r="J1865" t="s">
        <v>10</v>
      </c>
      <c r="K1865" t="s">
        <v>11</v>
      </c>
      <c r="L1865" t="s">
        <v>12</v>
      </c>
      <c r="M1865" t="s">
        <v>55</v>
      </c>
      <c r="N1865" t="s">
        <v>30</v>
      </c>
      <c r="O1865" t="s">
        <v>18</v>
      </c>
      <c r="P1865">
        <v>2</v>
      </c>
    </row>
    <row r="1866" spans="1:16" x14ac:dyDescent="0.3">
      <c r="A1866">
        <v>2389</v>
      </c>
      <c r="B1866">
        <v>43772</v>
      </c>
      <c r="C1866">
        <v>43</v>
      </c>
      <c r="D1866">
        <v>27902</v>
      </c>
      <c r="E1866" t="s">
        <v>14</v>
      </c>
      <c r="F1866" t="s">
        <v>22</v>
      </c>
      <c r="G1866" t="s">
        <v>17</v>
      </c>
      <c r="H1866" t="s">
        <v>78</v>
      </c>
      <c r="I1866" t="s">
        <v>9</v>
      </c>
      <c r="J1866" t="s">
        <v>10</v>
      </c>
      <c r="K1866" t="s">
        <v>11</v>
      </c>
      <c r="L1866" t="s">
        <v>12</v>
      </c>
      <c r="M1866" t="s">
        <v>38</v>
      </c>
      <c r="N1866" t="s">
        <v>16</v>
      </c>
      <c r="O1866" t="s">
        <v>18</v>
      </c>
      <c r="P1866">
        <v>4</v>
      </c>
    </row>
    <row r="1867" spans="1:16" x14ac:dyDescent="0.3">
      <c r="A1867">
        <v>2390</v>
      </c>
      <c r="B1867">
        <v>43966</v>
      </c>
      <c r="C1867">
        <v>77</v>
      </c>
      <c r="D1867">
        <v>15750</v>
      </c>
      <c r="E1867" t="s">
        <v>14</v>
      </c>
      <c r="F1867" t="s">
        <v>15</v>
      </c>
      <c r="G1867" t="s">
        <v>40</v>
      </c>
      <c r="H1867" t="s">
        <v>78</v>
      </c>
      <c r="I1867" t="s">
        <v>9</v>
      </c>
      <c r="J1867" t="s">
        <v>20</v>
      </c>
      <c r="K1867" t="s">
        <v>11</v>
      </c>
      <c r="L1867" t="s">
        <v>12</v>
      </c>
      <c r="M1867" t="s">
        <v>42</v>
      </c>
      <c r="N1867" t="s">
        <v>46</v>
      </c>
      <c r="O1867" t="s">
        <v>18</v>
      </c>
      <c r="P1867">
        <v>5</v>
      </c>
    </row>
    <row r="1868" spans="1:16" x14ac:dyDescent="0.3">
      <c r="A1868">
        <v>2391</v>
      </c>
      <c r="B1868">
        <v>45044</v>
      </c>
      <c r="C1868">
        <v>59</v>
      </c>
      <c r="D1868">
        <v>23418</v>
      </c>
      <c r="E1868" t="s">
        <v>14</v>
      </c>
      <c r="F1868" t="s">
        <v>15</v>
      </c>
      <c r="G1868" t="s">
        <v>17</v>
      </c>
      <c r="H1868" t="s">
        <v>80</v>
      </c>
      <c r="I1868" t="s">
        <v>9</v>
      </c>
      <c r="J1868" t="s">
        <v>20</v>
      </c>
      <c r="K1868" t="s">
        <v>26</v>
      </c>
      <c r="L1868" t="s">
        <v>53</v>
      </c>
      <c r="M1868" t="s">
        <v>49</v>
      </c>
      <c r="N1868" t="s">
        <v>46</v>
      </c>
      <c r="O1868" t="s">
        <v>18</v>
      </c>
      <c r="P1868">
        <v>3</v>
      </c>
    </row>
    <row r="1869" spans="1:16" x14ac:dyDescent="0.3">
      <c r="A1869">
        <v>2392</v>
      </c>
      <c r="B1869">
        <v>43682</v>
      </c>
      <c r="C1869">
        <v>75</v>
      </c>
      <c r="D1869">
        <v>16342</v>
      </c>
      <c r="E1869" t="s">
        <v>14</v>
      </c>
      <c r="F1869" t="s">
        <v>22</v>
      </c>
      <c r="G1869" t="s">
        <v>31</v>
      </c>
      <c r="H1869" t="s">
        <v>78</v>
      </c>
      <c r="I1869" t="s">
        <v>9</v>
      </c>
      <c r="J1869" t="s">
        <v>25</v>
      </c>
      <c r="K1869" t="s">
        <v>19</v>
      </c>
      <c r="L1869" t="s">
        <v>53</v>
      </c>
      <c r="M1869" t="s">
        <v>62</v>
      </c>
      <c r="N1869" t="s">
        <v>37</v>
      </c>
      <c r="O1869" t="s">
        <v>18</v>
      </c>
      <c r="P1869">
        <v>3</v>
      </c>
    </row>
    <row r="1870" spans="1:16" x14ac:dyDescent="0.3">
      <c r="A1870">
        <v>2393</v>
      </c>
      <c r="B1870">
        <v>43439</v>
      </c>
      <c r="C1870">
        <v>25</v>
      </c>
      <c r="D1870">
        <v>34216</v>
      </c>
      <c r="E1870" t="s">
        <v>14</v>
      </c>
      <c r="F1870" t="s">
        <v>15</v>
      </c>
      <c r="G1870" t="s">
        <v>17</v>
      </c>
      <c r="H1870" t="s">
        <v>91</v>
      </c>
      <c r="I1870" t="s">
        <v>9</v>
      </c>
      <c r="J1870" t="s">
        <v>25</v>
      </c>
      <c r="K1870" t="s">
        <v>11</v>
      </c>
      <c r="L1870" t="s">
        <v>12</v>
      </c>
      <c r="M1870" t="s">
        <v>42</v>
      </c>
      <c r="N1870" t="s">
        <v>30</v>
      </c>
      <c r="O1870" t="s">
        <v>18</v>
      </c>
      <c r="P1870">
        <v>2</v>
      </c>
    </row>
    <row r="1871" spans="1:16" x14ac:dyDescent="0.3">
      <c r="A1871">
        <v>2394</v>
      </c>
      <c r="B1871">
        <v>44676</v>
      </c>
      <c r="C1871">
        <v>42</v>
      </c>
      <c r="D1871">
        <v>29481</v>
      </c>
      <c r="E1871" t="s">
        <v>14</v>
      </c>
      <c r="F1871" t="s">
        <v>22</v>
      </c>
      <c r="G1871" t="s">
        <v>31</v>
      </c>
      <c r="H1871" t="s">
        <v>91</v>
      </c>
      <c r="I1871" t="s">
        <v>9</v>
      </c>
      <c r="J1871" t="s">
        <v>25</v>
      </c>
      <c r="K1871" t="s">
        <v>11</v>
      </c>
      <c r="L1871" t="s">
        <v>12</v>
      </c>
      <c r="M1871" t="s">
        <v>35</v>
      </c>
      <c r="N1871" t="s">
        <v>16</v>
      </c>
      <c r="O1871" t="s">
        <v>18</v>
      </c>
      <c r="P1871">
        <v>1</v>
      </c>
    </row>
    <row r="1872" spans="1:16" x14ac:dyDescent="0.3">
      <c r="A1872">
        <v>2395</v>
      </c>
      <c r="B1872">
        <v>43809</v>
      </c>
      <c r="C1872">
        <v>36</v>
      </c>
      <c r="D1872">
        <v>30491</v>
      </c>
      <c r="E1872" t="s">
        <v>14</v>
      </c>
      <c r="F1872" t="s">
        <v>22</v>
      </c>
      <c r="G1872" t="s">
        <v>40</v>
      </c>
      <c r="H1872" t="s">
        <v>91</v>
      </c>
      <c r="I1872" t="s">
        <v>9</v>
      </c>
      <c r="J1872" t="s">
        <v>20</v>
      </c>
      <c r="K1872" t="s">
        <v>11</v>
      </c>
      <c r="L1872" t="s">
        <v>12</v>
      </c>
      <c r="M1872" t="s">
        <v>38</v>
      </c>
      <c r="N1872" t="s">
        <v>37</v>
      </c>
      <c r="O1872" t="s">
        <v>18</v>
      </c>
      <c r="P1872">
        <v>1</v>
      </c>
    </row>
    <row r="1873" spans="1:16" x14ac:dyDescent="0.3">
      <c r="A1873">
        <v>2396</v>
      </c>
      <c r="B1873">
        <v>44742</v>
      </c>
      <c r="C1873">
        <v>62</v>
      </c>
      <c r="D1873">
        <v>22115</v>
      </c>
      <c r="E1873" t="s">
        <v>14</v>
      </c>
      <c r="F1873" t="s">
        <v>15</v>
      </c>
      <c r="G1873" t="s">
        <v>31</v>
      </c>
      <c r="H1873" t="s">
        <v>91</v>
      </c>
      <c r="I1873" t="s">
        <v>66</v>
      </c>
      <c r="J1873" t="s">
        <v>10</v>
      </c>
      <c r="K1873" t="s">
        <v>11</v>
      </c>
      <c r="L1873" t="s">
        <v>12</v>
      </c>
      <c r="M1873" t="s">
        <v>38</v>
      </c>
      <c r="N1873" t="s">
        <v>30</v>
      </c>
      <c r="O1873" t="s">
        <v>18</v>
      </c>
      <c r="P1873">
        <v>4</v>
      </c>
    </row>
    <row r="1874" spans="1:16" x14ac:dyDescent="0.3">
      <c r="A1874">
        <v>2397</v>
      </c>
      <c r="B1874">
        <v>43362</v>
      </c>
      <c r="C1874">
        <v>28</v>
      </c>
      <c r="D1874">
        <v>33107</v>
      </c>
      <c r="E1874" t="s">
        <v>14</v>
      </c>
      <c r="F1874" t="s">
        <v>15</v>
      </c>
      <c r="G1874" t="s">
        <v>17</v>
      </c>
      <c r="H1874" t="s">
        <v>91</v>
      </c>
      <c r="I1874" t="s">
        <v>9</v>
      </c>
      <c r="J1874" t="s">
        <v>20</v>
      </c>
      <c r="K1874" t="s">
        <v>26</v>
      </c>
      <c r="L1874" t="s">
        <v>12</v>
      </c>
      <c r="M1874" t="s">
        <v>35</v>
      </c>
      <c r="N1874" t="s">
        <v>30</v>
      </c>
      <c r="O1874" t="s">
        <v>18</v>
      </c>
      <c r="P1874">
        <v>5</v>
      </c>
    </row>
    <row r="1875" spans="1:16" x14ac:dyDescent="0.3">
      <c r="A1875">
        <v>2398</v>
      </c>
      <c r="B1875">
        <v>43654</v>
      </c>
      <c r="C1875">
        <v>60</v>
      </c>
      <c r="D1875">
        <v>21712</v>
      </c>
      <c r="E1875" t="s">
        <v>14</v>
      </c>
      <c r="F1875" t="s">
        <v>15</v>
      </c>
      <c r="G1875" t="s">
        <v>17</v>
      </c>
      <c r="H1875" t="s">
        <v>91</v>
      </c>
      <c r="I1875" t="s">
        <v>9</v>
      </c>
      <c r="J1875" t="s">
        <v>10</v>
      </c>
      <c r="K1875" t="s">
        <v>11</v>
      </c>
      <c r="L1875" t="s">
        <v>12</v>
      </c>
      <c r="M1875" t="s">
        <v>32</v>
      </c>
      <c r="N1875" t="s">
        <v>16</v>
      </c>
      <c r="O1875" t="s">
        <v>18</v>
      </c>
      <c r="P1875">
        <v>3</v>
      </c>
    </row>
    <row r="1876" spans="1:16" x14ac:dyDescent="0.3">
      <c r="A1876">
        <v>2399</v>
      </c>
      <c r="B1876">
        <v>45071</v>
      </c>
      <c r="C1876">
        <v>65</v>
      </c>
      <c r="D1876">
        <v>21349</v>
      </c>
      <c r="E1876" t="s">
        <v>14</v>
      </c>
      <c r="F1876" t="s">
        <v>22</v>
      </c>
      <c r="G1876" t="s">
        <v>34</v>
      </c>
      <c r="H1876" t="s">
        <v>91</v>
      </c>
      <c r="I1876" t="s">
        <v>9</v>
      </c>
      <c r="J1876" t="s">
        <v>25</v>
      </c>
      <c r="K1876" t="s">
        <v>26</v>
      </c>
      <c r="L1876" t="s">
        <v>12</v>
      </c>
      <c r="M1876" t="s">
        <v>59</v>
      </c>
      <c r="N1876" t="s">
        <v>16</v>
      </c>
      <c r="O1876" t="s">
        <v>18</v>
      </c>
      <c r="P1876">
        <v>4</v>
      </c>
    </row>
    <row r="1877" spans="1:16" x14ac:dyDescent="0.3">
      <c r="A1877">
        <v>2400</v>
      </c>
      <c r="B1877">
        <v>43407</v>
      </c>
      <c r="C1877">
        <v>57</v>
      </c>
      <c r="D1877">
        <v>22444</v>
      </c>
      <c r="E1877" t="s">
        <v>14</v>
      </c>
      <c r="F1877" t="s">
        <v>22</v>
      </c>
      <c r="G1877" t="s">
        <v>34</v>
      </c>
      <c r="H1877" t="s">
        <v>91</v>
      </c>
      <c r="I1877" t="s">
        <v>9</v>
      </c>
      <c r="J1877" t="s">
        <v>10</v>
      </c>
      <c r="K1877" t="s">
        <v>19</v>
      </c>
      <c r="L1877" t="s">
        <v>12</v>
      </c>
      <c r="M1877" t="s">
        <v>28</v>
      </c>
      <c r="N1877" t="s">
        <v>37</v>
      </c>
      <c r="O1877" t="s">
        <v>18</v>
      </c>
      <c r="P1877">
        <v>4</v>
      </c>
    </row>
    <row r="1878" spans="1:16" x14ac:dyDescent="0.3">
      <c r="A1878">
        <v>2401</v>
      </c>
      <c r="B1878">
        <v>44874</v>
      </c>
      <c r="C1878">
        <v>77</v>
      </c>
      <c r="D1878">
        <v>16703</v>
      </c>
      <c r="E1878" t="s">
        <v>14</v>
      </c>
      <c r="F1878" t="s">
        <v>15</v>
      </c>
      <c r="G1878" t="s">
        <v>40</v>
      </c>
      <c r="H1878" t="s">
        <v>91</v>
      </c>
      <c r="I1878" t="s">
        <v>66</v>
      </c>
      <c r="J1878" t="s">
        <v>25</v>
      </c>
      <c r="K1878" t="s">
        <v>11</v>
      </c>
      <c r="L1878" t="s">
        <v>12</v>
      </c>
      <c r="M1878" t="s">
        <v>35</v>
      </c>
      <c r="N1878" t="s">
        <v>46</v>
      </c>
      <c r="O1878" t="s">
        <v>18</v>
      </c>
      <c r="P1878">
        <v>1</v>
      </c>
    </row>
    <row r="1879" spans="1:16" x14ac:dyDescent="0.3">
      <c r="A1879">
        <v>2402</v>
      </c>
      <c r="B1879">
        <v>44665</v>
      </c>
      <c r="C1879">
        <v>37</v>
      </c>
      <c r="D1879">
        <v>31309</v>
      </c>
      <c r="E1879" t="s">
        <v>14</v>
      </c>
      <c r="F1879" t="s">
        <v>15</v>
      </c>
      <c r="G1879" t="s">
        <v>17</v>
      </c>
      <c r="H1879" t="s">
        <v>91</v>
      </c>
      <c r="I1879" t="s">
        <v>66</v>
      </c>
      <c r="J1879" t="s">
        <v>25</v>
      </c>
      <c r="K1879" t="s">
        <v>11</v>
      </c>
      <c r="L1879" t="s">
        <v>12</v>
      </c>
      <c r="M1879" t="s">
        <v>58</v>
      </c>
      <c r="N1879" t="s">
        <v>37</v>
      </c>
      <c r="O1879" t="s">
        <v>18</v>
      </c>
      <c r="P1879">
        <v>2</v>
      </c>
    </row>
    <row r="1880" spans="1:16" x14ac:dyDescent="0.3">
      <c r="A1880">
        <v>2403</v>
      </c>
      <c r="B1880">
        <v>44049</v>
      </c>
      <c r="C1880">
        <v>62</v>
      </c>
      <c r="D1880">
        <v>21266</v>
      </c>
      <c r="E1880" t="s">
        <v>14</v>
      </c>
      <c r="F1880" t="s">
        <v>15</v>
      </c>
      <c r="G1880" t="s">
        <v>34</v>
      </c>
      <c r="H1880" t="s">
        <v>91</v>
      </c>
      <c r="I1880" t="s">
        <v>9</v>
      </c>
      <c r="J1880" t="s">
        <v>25</v>
      </c>
      <c r="K1880" t="s">
        <v>11</v>
      </c>
      <c r="L1880" t="s">
        <v>12</v>
      </c>
      <c r="M1880" t="s">
        <v>13</v>
      </c>
      <c r="N1880" t="s">
        <v>23</v>
      </c>
      <c r="O1880" t="s">
        <v>18</v>
      </c>
      <c r="P1880">
        <v>3</v>
      </c>
    </row>
    <row r="1881" spans="1:16" x14ac:dyDescent="0.3">
      <c r="A1881">
        <v>2404</v>
      </c>
      <c r="B1881">
        <v>43642</v>
      </c>
      <c r="C1881">
        <v>70</v>
      </c>
      <c r="D1881">
        <v>18037</v>
      </c>
      <c r="E1881" t="s">
        <v>14</v>
      </c>
      <c r="F1881" t="s">
        <v>15</v>
      </c>
      <c r="G1881" t="s">
        <v>40</v>
      </c>
      <c r="H1881" t="s">
        <v>91</v>
      </c>
      <c r="I1881" t="s">
        <v>9</v>
      </c>
      <c r="J1881" t="s">
        <v>10</v>
      </c>
      <c r="K1881" t="s">
        <v>11</v>
      </c>
      <c r="L1881" t="s">
        <v>12</v>
      </c>
      <c r="M1881" t="s">
        <v>32</v>
      </c>
      <c r="N1881" t="s">
        <v>16</v>
      </c>
      <c r="O1881" t="s">
        <v>18</v>
      </c>
      <c r="P1881">
        <v>3</v>
      </c>
    </row>
    <row r="1882" spans="1:16" x14ac:dyDescent="0.3">
      <c r="A1882">
        <v>2405</v>
      </c>
      <c r="B1882">
        <v>44087</v>
      </c>
      <c r="C1882">
        <v>70</v>
      </c>
      <c r="D1882">
        <v>18359</v>
      </c>
      <c r="E1882" t="s">
        <v>14</v>
      </c>
      <c r="F1882" t="s">
        <v>22</v>
      </c>
      <c r="G1882" t="s">
        <v>40</v>
      </c>
      <c r="H1882" t="s">
        <v>94</v>
      </c>
      <c r="I1882" t="s">
        <v>66</v>
      </c>
      <c r="J1882" t="s">
        <v>25</v>
      </c>
      <c r="K1882" t="s">
        <v>26</v>
      </c>
      <c r="L1882" t="s">
        <v>12</v>
      </c>
      <c r="M1882" t="s">
        <v>35</v>
      </c>
      <c r="N1882" t="s">
        <v>16</v>
      </c>
      <c r="O1882" t="s">
        <v>18</v>
      </c>
      <c r="P1882">
        <v>1</v>
      </c>
    </row>
    <row r="1883" spans="1:16" x14ac:dyDescent="0.3">
      <c r="A1883">
        <v>2406</v>
      </c>
      <c r="B1883">
        <v>43417</v>
      </c>
      <c r="C1883">
        <v>47</v>
      </c>
      <c r="D1883">
        <v>26017</v>
      </c>
      <c r="E1883" t="s">
        <v>14</v>
      </c>
      <c r="F1883" t="s">
        <v>22</v>
      </c>
      <c r="G1883" t="s">
        <v>17</v>
      </c>
      <c r="H1883" t="s">
        <v>71</v>
      </c>
      <c r="I1883" t="s">
        <v>9</v>
      </c>
      <c r="J1883" t="s">
        <v>20</v>
      </c>
      <c r="K1883" t="s">
        <v>26</v>
      </c>
      <c r="L1883" t="s">
        <v>12</v>
      </c>
      <c r="M1883" t="s">
        <v>42</v>
      </c>
      <c r="N1883" t="s">
        <v>37</v>
      </c>
      <c r="O1883" t="s">
        <v>18</v>
      </c>
      <c r="P1883">
        <v>4</v>
      </c>
    </row>
    <row r="1884" spans="1:16" x14ac:dyDescent="0.3">
      <c r="A1884">
        <v>2407</v>
      </c>
      <c r="B1884">
        <v>43744</v>
      </c>
      <c r="C1884">
        <v>66</v>
      </c>
      <c r="D1884">
        <v>19466</v>
      </c>
      <c r="E1884" t="s">
        <v>14</v>
      </c>
      <c r="F1884" t="s">
        <v>22</v>
      </c>
      <c r="G1884" t="s">
        <v>17</v>
      </c>
      <c r="H1884" t="s">
        <v>78</v>
      </c>
      <c r="I1884" t="s">
        <v>9</v>
      </c>
      <c r="J1884" t="s">
        <v>25</v>
      </c>
      <c r="K1884" t="s">
        <v>11</v>
      </c>
      <c r="L1884" t="s">
        <v>12</v>
      </c>
      <c r="M1884" t="s">
        <v>13</v>
      </c>
      <c r="N1884" t="s">
        <v>30</v>
      </c>
      <c r="O1884" t="s">
        <v>18</v>
      </c>
      <c r="P1884">
        <v>5</v>
      </c>
    </row>
    <row r="1885" spans="1:16" x14ac:dyDescent="0.3">
      <c r="A1885">
        <v>2408</v>
      </c>
      <c r="B1885">
        <v>44454</v>
      </c>
      <c r="C1885">
        <v>59</v>
      </c>
      <c r="D1885">
        <v>22656</v>
      </c>
      <c r="E1885" t="s">
        <v>14</v>
      </c>
      <c r="F1885" t="s">
        <v>15</v>
      </c>
      <c r="G1885" t="s">
        <v>40</v>
      </c>
      <c r="H1885" t="s">
        <v>78</v>
      </c>
      <c r="I1885" t="s">
        <v>9</v>
      </c>
      <c r="J1885" t="s">
        <v>25</v>
      </c>
      <c r="K1885" t="s">
        <v>26</v>
      </c>
      <c r="L1885" t="s">
        <v>53</v>
      </c>
      <c r="M1885" t="s">
        <v>35</v>
      </c>
      <c r="N1885" t="s">
        <v>37</v>
      </c>
      <c r="O1885" t="s">
        <v>18</v>
      </c>
      <c r="P1885">
        <v>5</v>
      </c>
    </row>
    <row r="1886" spans="1:16" x14ac:dyDescent="0.3">
      <c r="A1886">
        <v>2409</v>
      </c>
      <c r="B1886">
        <v>43867</v>
      </c>
      <c r="C1886">
        <v>24</v>
      </c>
      <c r="D1886">
        <v>35368</v>
      </c>
      <c r="E1886" t="s">
        <v>14</v>
      </c>
      <c r="F1886" t="s">
        <v>15</v>
      </c>
      <c r="G1886" t="s">
        <v>31</v>
      </c>
      <c r="H1886" t="s">
        <v>80</v>
      </c>
      <c r="I1886" t="s">
        <v>9</v>
      </c>
      <c r="J1886" t="s">
        <v>25</v>
      </c>
      <c r="K1886" t="s">
        <v>26</v>
      </c>
      <c r="L1886" t="s">
        <v>53</v>
      </c>
      <c r="M1886" t="s">
        <v>42</v>
      </c>
      <c r="N1886" t="s">
        <v>16</v>
      </c>
      <c r="O1886" t="s">
        <v>18</v>
      </c>
      <c r="P1886">
        <v>3</v>
      </c>
    </row>
    <row r="1887" spans="1:16" x14ac:dyDescent="0.3">
      <c r="A1887">
        <v>2410</v>
      </c>
      <c r="B1887">
        <v>44855</v>
      </c>
      <c r="C1887">
        <v>65</v>
      </c>
      <c r="D1887">
        <v>21143</v>
      </c>
      <c r="E1887" t="s">
        <v>14</v>
      </c>
      <c r="F1887" t="s">
        <v>22</v>
      </c>
      <c r="G1887" t="s">
        <v>40</v>
      </c>
      <c r="H1887" t="s">
        <v>78</v>
      </c>
      <c r="I1887" t="s">
        <v>9</v>
      </c>
      <c r="J1887" t="s">
        <v>25</v>
      </c>
      <c r="K1887" t="s">
        <v>26</v>
      </c>
      <c r="L1887" t="s">
        <v>53</v>
      </c>
      <c r="M1887" t="s">
        <v>42</v>
      </c>
      <c r="N1887" t="s">
        <v>16</v>
      </c>
      <c r="O1887" t="s">
        <v>18</v>
      </c>
      <c r="P1887">
        <v>4</v>
      </c>
    </row>
    <row r="1888" spans="1:16" x14ac:dyDescent="0.3">
      <c r="A1888">
        <v>2411</v>
      </c>
      <c r="B1888">
        <v>44845</v>
      </c>
      <c r="C1888">
        <v>28</v>
      </c>
      <c r="D1888">
        <v>34531</v>
      </c>
      <c r="E1888" t="s">
        <v>14</v>
      </c>
      <c r="F1888" t="s">
        <v>15</v>
      </c>
      <c r="G1888" t="s">
        <v>17</v>
      </c>
      <c r="H1888" t="s">
        <v>91</v>
      </c>
      <c r="I1888" t="s">
        <v>9</v>
      </c>
      <c r="J1888" t="s">
        <v>20</v>
      </c>
      <c r="K1888" t="s">
        <v>26</v>
      </c>
      <c r="L1888" t="s">
        <v>12</v>
      </c>
      <c r="M1888" t="s">
        <v>32</v>
      </c>
      <c r="N1888" t="s">
        <v>37</v>
      </c>
      <c r="O1888" t="s">
        <v>18</v>
      </c>
      <c r="P1888">
        <v>3</v>
      </c>
    </row>
    <row r="1889" spans="1:16" x14ac:dyDescent="0.3">
      <c r="A1889">
        <v>2412</v>
      </c>
      <c r="B1889">
        <v>44591</v>
      </c>
      <c r="C1889">
        <v>28</v>
      </c>
      <c r="D1889">
        <v>34620</v>
      </c>
      <c r="E1889" t="s">
        <v>14</v>
      </c>
      <c r="F1889" t="s">
        <v>22</v>
      </c>
      <c r="G1889" t="s">
        <v>17</v>
      </c>
      <c r="H1889" t="s">
        <v>91</v>
      </c>
      <c r="I1889" t="s">
        <v>9</v>
      </c>
      <c r="J1889" t="s">
        <v>25</v>
      </c>
      <c r="K1889" t="s">
        <v>26</v>
      </c>
      <c r="L1889" t="s">
        <v>12</v>
      </c>
      <c r="M1889" t="s">
        <v>42</v>
      </c>
      <c r="N1889" t="s">
        <v>16</v>
      </c>
      <c r="O1889" t="s">
        <v>18</v>
      </c>
      <c r="P1889">
        <v>4</v>
      </c>
    </row>
    <row r="1890" spans="1:16" x14ac:dyDescent="0.3">
      <c r="A1890">
        <v>2413</v>
      </c>
      <c r="B1890">
        <v>44769</v>
      </c>
      <c r="C1890">
        <v>80</v>
      </c>
      <c r="D1890">
        <v>15441</v>
      </c>
      <c r="E1890" t="s">
        <v>14</v>
      </c>
      <c r="F1890" t="s">
        <v>15</v>
      </c>
      <c r="G1890" t="s">
        <v>31</v>
      </c>
      <c r="H1890" t="s">
        <v>91</v>
      </c>
      <c r="I1890" t="s">
        <v>9</v>
      </c>
      <c r="J1890" t="s">
        <v>25</v>
      </c>
      <c r="K1890" t="s">
        <v>26</v>
      </c>
      <c r="L1890" t="s">
        <v>12</v>
      </c>
      <c r="M1890" t="s">
        <v>32</v>
      </c>
      <c r="N1890" t="s">
        <v>16</v>
      </c>
      <c r="O1890" t="s">
        <v>18</v>
      </c>
      <c r="P1890">
        <v>2</v>
      </c>
    </row>
    <row r="1891" spans="1:16" x14ac:dyDescent="0.3">
      <c r="A1891">
        <v>2414</v>
      </c>
      <c r="B1891">
        <v>44707</v>
      </c>
      <c r="C1891">
        <v>70</v>
      </c>
      <c r="D1891">
        <v>19191</v>
      </c>
      <c r="E1891" t="s">
        <v>14</v>
      </c>
      <c r="F1891" t="s">
        <v>15</v>
      </c>
      <c r="G1891" t="s">
        <v>31</v>
      </c>
      <c r="H1891" t="s">
        <v>91</v>
      </c>
      <c r="I1891" t="s">
        <v>9</v>
      </c>
      <c r="J1891" t="s">
        <v>20</v>
      </c>
      <c r="K1891" t="s">
        <v>26</v>
      </c>
      <c r="L1891" t="s">
        <v>12</v>
      </c>
      <c r="M1891" t="s">
        <v>32</v>
      </c>
      <c r="N1891" t="s">
        <v>46</v>
      </c>
      <c r="O1891" t="s">
        <v>18</v>
      </c>
      <c r="P1891">
        <v>1</v>
      </c>
    </row>
    <row r="1892" spans="1:16" x14ac:dyDescent="0.3">
      <c r="A1892">
        <v>2415</v>
      </c>
      <c r="B1892">
        <v>44235</v>
      </c>
      <c r="C1892">
        <v>69</v>
      </c>
      <c r="D1892">
        <v>19247</v>
      </c>
      <c r="E1892" t="s">
        <v>14</v>
      </c>
      <c r="F1892" t="s">
        <v>15</v>
      </c>
      <c r="G1892" t="s">
        <v>34</v>
      </c>
      <c r="H1892" t="s">
        <v>91</v>
      </c>
      <c r="I1892" t="s">
        <v>9</v>
      </c>
      <c r="J1892" t="s">
        <v>25</v>
      </c>
      <c r="K1892" t="s">
        <v>26</v>
      </c>
      <c r="L1892" t="s">
        <v>12</v>
      </c>
      <c r="M1892" t="s">
        <v>35</v>
      </c>
      <c r="N1892" t="s">
        <v>16</v>
      </c>
      <c r="O1892" t="s">
        <v>18</v>
      </c>
      <c r="P1892">
        <v>2</v>
      </c>
    </row>
    <row r="1893" spans="1:16" x14ac:dyDescent="0.3">
      <c r="A1893">
        <v>2416</v>
      </c>
      <c r="B1893">
        <v>44718</v>
      </c>
      <c r="C1893">
        <v>28</v>
      </c>
      <c r="D1893">
        <v>34493</v>
      </c>
      <c r="E1893" t="s">
        <v>14</v>
      </c>
      <c r="F1893" t="s">
        <v>22</v>
      </c>
      <c r="G1893" t="s">
        <v>31</v>
      </c>
      <c r="H1893" t="s">
        <v>91</v>
      </c>
      <c r="I1893" t="s">
        <v>9</v>
      </c>
      <c r="J1893" t="s">
        <v>10</v>
      </c>
      <c r="K1893" t="s">
        <v>11</v>
      </c>
      <c r="L1893" t="s">
        <v>12</v>
      </c>
      <c r="M1893" t="s">
        <v>32</v>
      </c>
      <c r="N1893" t="s">
        <v>46</v>
      </c>
      <c r="O1893" t="s">
        <v>18</v>
      </c>
      <c r="P1893">
        <v>5</v>
      </c>
    </row>
    <row r="1894" spans="1:16" x14ac:dyDescent="0.3">
      <c r="A1894">
        <v>2417</v>
      </c>
      <c r="B1894">
        <v>44254</v>
      </c>
      <c r="C1894">
        <v>35</v>
      </c>
      <c r="D1894">
        <v>31726</v>
      </c>
      <c r="E1894" t="s">
        <v>14</v>
      </c>
      <c r="F1894" t="s">
        <v>22</v>
      </c>
      <c r="G1894" t="s">
        <v>31</v>
      </c>
      <c r="H1894" t="s">
        <v>91</v>
      </c>
      <c r="I1894" t="s">
        <v>9</v>
      </c>
      <c r="J1894" t="s">
        <v>10</v>
      </c>
      <c r="K1894" t="s">
        <v>11</v>
      </c>
      <c r="L1894" t="s">
        <v>12</v>
      </c>
      <c r="M1894" t="s">
        <v>42</v>
      </c>
      <c r="N1894" t="s">
        <v>16</v>
      </c>
      <c r="O1894" t="s">
        <v>18</v>
      </c>
      <c r="P1894">
        <v>3</v>
      </c>
    </row>
    <row r="1895" spans="1:16" x14ac:dyDescent="0.3">
      <c r="A1895">
        <v>2418</v>
      </c>
      <c r="B1895">
        <v>44587</v>
      </c>
      <c r="C1895">
        <v>80</v>
      </c>
      <c r="D1895">
        <v>15512</v>
      </c>
      <c r="E1895" t="s">
        <v>14</v>
      </c>
      <c r="F1895" t="s">
        <v>22</v>
      </c>
      <c r="G1895" t="s">
        <v>34</v>
      </c>
      <c r="H1895" t="s">
        <v>91</v>
      </c>
      <c r="I1895" t="s">
        <v>66</v>
      </c>
      <c r="J1895" t="s">
        <v>10</v>
      </c>
      <c r="K1895" t="s">
        <v>26</v>
      </c>
      <c r="L1895" t="s">
        <v>12</v>
      </c>
      <c r="M1895" t="s">
        <v>54</v>
      </c>
      <c r="N1895" t="s">
        <v>37</v>
      </c>
      <c r="O1895" t="s">
        <v>18</v>
      </c>
      <c r="P1895">
        <v>2</v>
      </c>
    </row>
    <row r="1896" spans="1:16" x14ac:dyDescent="0.3">
      <c r="A1896">
        <v>2419</v>
      </c>
      <c r="B1896">
        <v>43922</v>
      </c>
      <c r="C1896">
        <v>20</v>
      </c>
      <c r="D1896">
        <v>36754</v>
      </c>
      <c r="E1896" t="s">
        <v>14</v>
      </c>
      <c r="F1896" t="s">
        <v>15</v>
      </c>
      <c r="G1896" t="s">
        <v>34</v>
      </c>
      <c r="H1896" t="s">
        <v>91</v>
      </c>
      <c r="I1896" t="s">
        <v>9</v>
      </c>
      <c r="J1896" t="s">
        <v>20</v>
      </c>
      <c r="K1896" t="s">
        <v>19</v>
      </c>
      <c r="L1896" t="s">
        <v>12</v>
      </c>
      <c r="M1896" t="s">
        <v>59</v>
      </c>
      <c r="N1896" t="s">
        <v>16</v>
      </c>
      <c r="O1896" t="s">
        <v>18</v>
      </c>
      <c r="P1896">
        <v>2</v>
      </c>
    </row>
    <row r="1897" spans="1:16" x14ac:dyDescent="0.3">
      <c r="A1897">
        <v>2420</v>
      </c>
      <c r="B1897">
        <v>43985</v>
      </c>
      <c r="C1897">
        <v>71</v>
      </c>
      <c r="D1897">
        <v>17989</v>
      </c>
      <c r="E1897" t="s">
        <v>14</v>
      </c>
      <c r="F1897" t="s">
        <v>15</v>
      </c>
      <c r="G1897" t="s">
        <v>31</v>
      </c>
      <c r="H1897" t="s">
        <v>91</v>
      </c>
      <c r="I1897" t="s">
        <v>9</v>
      </c>
      <c r="J1897" t="s">
        <v>10</v>
      </c>
      <c r="K1897" t="s">
        <v>26</v>
      </c>
      <c r="L1897" t="s">
        <v>12</v>
      </c>
      <c r="M1897" t="s">
        <v>54</v>
      </c>
      <c r="N1897" t="s">
        <v>16</v>
      </c>
      <c r="O1897" t="s">
        <v>18</v>
      </c>
      <c r="P1897">
        <v>3</v>
      </c>
    </row>
    <row r="1898" spans="1:16" x14ac:dyDescent="0.3">
      <c r="A1898">
        <v>2421</v>
      </c>
      <c r="B1898">
        <v>44520</v>
      </c>
      <c r="C1898">
        <v>35</v>
      </c>
      <c r="D1898">
        <v>31658</v>
      </c>
      <c r="E1898" t="s">
        <v>14</v>
      </c>
      <c r="F1898" t="s">
        <v>15</v>
      </c>
      <c r="G1898" t="s">
        <v>34</v>
      </c>
      <c r="H1898" t="s">
        <v>91</v>
      </c>
      <c r="I1898" t="s">
        <v>9</v>
      </c>
      <c r="J1898" t="s">
        <v>25</v>
      </c>
      <c r="K1898" t="s">
        <v>11</v>
      </c>
      <c r="L1898" t="s">
        <v>12</v>
      </c>
      <c r="M1898" t="s">
        <v>42</v>
      </c>
      <c r="N1898" t="s">
        <v>46</v>
      </c>
      <c r="O1898" t="s">
        <v>18</v>
      </c>
      <c r="P1898">
        <v>3</v>
      </c>
    </row>
    <row r="1899" spans="1:16" x14ac:dyDescent="0.3">
      <c r="A1899">
        <v>2422</v>
      </c>
      <c r="B1899">
        <v>44551</v>
      </c>
      <c r="C1899">
        <v>72</v>
      </c>
      <c r="D1899">
        <v>17973</v>
      </c>
      <c r="E1899" t="s">
        <v>14</v>
      </c>
      <c r="F1899" t="s">
        <v>22</v>
      </c>
      <c r="G1899" t="s">
        <v>17</v>
      </c>
      <c r="H1899" t="s">
        <v>91</v>
      </c>
      <c r="I1899" t="s">
        <v>66</v>
      </c>
      <c r="J1899" t="s">
        <v>20</v>
      </c>
      <c r="K1899" t="s">
        <v>19</v>
      </c>
      <c r="L1899" t="s">
        <v>12</v>
      </c>
      <c r="M1899" t="s">
        <v>32</v>
      </c>
      <c r="N1899" t="s">
        <v>23</v>
      </c>
      <c r="O1899" t="s">
        <v>18</v>
      </c>
      <c r="P1899">
        <v>4</v>
      </c>
    </row>
    <row r="1900" spans="1:16" x14ac:dyDescent="0.3">
      <c r="A1900">
        <v>2423</v>
      </c>
      <c r="B1900">
        <v>43383</v>
      </c>
      <c r="C1900">
        <v>41</v>
      </c>
      <c r="D1900">
        <v>28439</v>
      </c>
      <c r="E1900" t="s">
        <v>14</v>
      </c>
      <c r="F1900" t="s">
        <v>22</v>
      </c>
      <c r="G1900" t="s">
        <v>40</v>
      </c>
      <c r="H1900" t="s">
        <v>94</v>
      </c>
      <c r="I1900" t="s">
        <v>9</v>
      </c>
      <c r="J1900" t="s">
        <v>10</v>
      </c>
      <c r="K1900" t="s">
        <v>19</v>
      </c>
      <c r="L1900" t="s">
        <v>12</v>
      </c>
      <c r="M1900" t="s">
        <v>32</v>
      </c>
      <c r="N1900" t="s">
        <v>46</v>
      </c>
      <c r="O1900" t="s">
        <v>18</v>
      </c>
      <c r="P1900">
        <v>3</v>
      </c>
    </row>
    <row r="1901" spans="1:16" x14ac:dyDescent="0.3">
      <c r="A1901">
        <v>2424</v>
      </c>
      <c r="B1901">
        <v>43522</v>
      </c>
      <c r="C1901">
        <v>45</v>
      </c>
      <c r="D1901">
        <v>27259</v>
      </c>
      <c r="E1901" t="s">
        <v>14</v>
      </c>
      <c r="F1901" t="s">
        <v>22</v>
      </c>
      <c r="G1901" t="s">
        <v>40</v>
      </c>
      <c r="H1901" t="s">
        <v>71</v>
      </c>
      <c r="I1901" t="s">
        <v>9</v>
      </c>
      <c r="J1901" t="s">
        <v>25</v>
      </c>
      <c r="K1901" t="s">
        <v>11</v>
      </c>
      <c r="L1901" t="s">
        <v>73</v>
      </c>
      <c r="M1901" t="s">
        <v>42</v>
      </c>
      <c r="N1901" t="s">
        <v>23</v>
      </c>
      <c r="O1901" t="s">
        <v>18</v>
      </c>
      <c r="P1901">
        <v>1</v>
      </c>
    </row>
    <row r="1902" spans="1:16" x14ac:dyDescent="0.3">
      <c r="A1902">
        <v>2425</v>
      </c>
      <c r="B1902">
        <v>44731</v>
      </c>
      <c r="C1902">
        <v>40</v>
      </c>
      <c r="D1902">
        <v>30117</v>
      </c>
      <c r="E1902" t="s">
        <v>14</v>
      </c>
      <c r="F1902" t="s">
        <v>22</v>
      </c>
      <c r="G1902" t="s">
        <v>40</v>
      </c>
      <c r="H1902" t="s">
        <v>106</v>
      </c>
      <c r="I1902" t="s">
        <v>9</v>
      </c>
      <c r="J1902" t="s">
        <v>10</v>
      </c>
      <c r="K1902" t="s">
        <v>11</v>
      </c>
      <c r="L1902" t="s">
        <v>12</v>
      </c>
      <c r="M1902" t="s">
        <v>59</v>
      </c>
      <c r="N1902" t="s">
        <v>46</v>
      </c>
      <c r="O1902" t="s">
        <v>18</v>
      </c>
      <c r="P1902">
        <v>2</v>
      </c>
    </row>
    <row r="1903" spans="1:16" x14ac:dyDescent="0.3">
      <c r="A1903">
        <v>2426</v>
      </c>
      <c r="B1903">
        <v>44032</v>
      </c>
      <c r="C1903">
        <v>61</v>
      </c>
      <c r="D1903">
        <v>21612</v>
      </c>
      <c r="E1903" t="s">
        <v>14</v>
      </c>
      <c r="F1903" t="s">
        <v>15</v>
      </c>
      <c r="G1903" t="s">
        <v>17</v>
      </c>
      <c r="H1903" t="s">
        <v>78</v>
      </c>
      <c r="I1903" t="s">
        <v>9</v>
      </c>
      <c r="J1903" t="s">
        <v>25</v>
      </c>
      <c r="K1903" t="s">
        <v>11</v>
      </c>
      <c r="L1903" t="s">
        <v>12</v>
      </c>
      <c r="M1903" t="s">
        <v>32</v>
      </c>
      <c r="N1903" t="s">
        <v>16</v>
      </c>
      <c r="O1903" t="s">
        <v>18</v>
      </c>
      <c r="P1903">
        <v>5</v>
      </c>
    </row>
    <row r="1904" spans="1:16" x14ac:dyDescent="0.3">
      <c r="A1904">
        <v>2427</v>
      </c>
      <c r="B1904">
        <v>43847</v>
      </c>
      <c r="C1904">
        <v>64</v>
      </c>
      <c r="D1904">
        <v>20781</v>
      </c>
      <c r="E1904" t="s">
        <v>14</v>
      </c>
      <c r="F1904" t="s">
        <v>15</v>
      </c>
      <c r="G1904" t="s">
        <v>40</v>
      </c>
      <c r="H1904" t="s">
        <v>78</v>
      </c>
      <c r="I1904" t="s">
        <v>9</v>
      </c>
      <c r="J1904" t="s">
        <v>20</v>
      </c>
      <c r="K1904" t="s">
        <v>11</v>
      </c>
      <c r="L1904" t="s">
        <v>53</v>
      </c>
      <c r="M1904" t="s">
        <v>35</v>
      </c>
      <c r="N1904" t="s">
        <v>46</v>
      </c>
      <c r="O1904" t="s">
        <v>18</v>
      </c>
      <c r="P1904">
        <v>2</v>
      </c>
    </row>
    <row r="1905" spans="1:16" x14ac:dyDescent="0.3">
      <c r="A1905">
        <v>2428</v>
      </c>
      <c r="B1905">
        <v>44351</v>
      </c>
      <c r="C1905">
        <v>58</v>
      </c>
      <c r="D1905">
        <v>23033</v>
      </c>
      <c r="E1905" t="s">
        <v>14</v>
      </c>
      <c r="F1905" t="s">
        <v>15</v>
      </c>
      <c r="G1905" t="s">
        <v>40</v>
      </c>
      <c r="H1905" t="s">
        <v>80</v>
      </c>
      <c r="I1905" t="s">
        <v>9</v>
      </c>
      <c r="J1905" t="s">
        <v>20</v>
      </c>
      <c r="K1905" t="s">
        <v>26</v>
      </c>
      <c r="L1905" t="s">
        <v>53</v>
      </c>
      <c r="M1905" t="s">
        <v>63</v>
      </c>
      <c r="N1905" t="s">
        <v>16</v>
      </c>
      <c r="O1905" t="s">
        <v>18</v>
      </c>
      <c r="P1905">
        <v>5</v>
      </c>
    </row>
    <row r="1906" spans="1:16" x14ac:dyDescent="0.3">
      <c r="A1906">
        <v>2429</v>
      </c>
      <c r="B1906">
        <v>43574</v>
      </c>
      <c r="C1906">
        <v>20</v>
      </c>
      <c r="D1906">
        <v>36281</v>
      </c>
      <c r="E1906" t="s">
        <v>14</v>
      </c>
      <c r="F1906" t="s">
        <v>22</v>
      </c>
      <c r="G1906" t="s">
        <v>17</v>
      </c>
      <c r="H1906" t="s">
        <v>91</v>
      </c>
      <c r="I1906" t="s">
        <v>9</v>
      </c>
      <c r="J1906" t="s">
        <v>20</v>
      </c>
      <c r="K1906" t="s">
        <v>11</v>
      </c>
      <c r="L1906" t="s">
        <v>12</v>
      </c>
      <c r="M1906" t="s">
        <v>35</v>
      </c>
      <c r="N1906" t="s">
        <v>37</v>
      </c>
      <c r="O1906" t="s">
        <v>18</v>
      </c>
      <c r="P1906">
        <v>4</v>
      </c>
    </row>
    <row r="1907" spans="1:16" x14ac:dyDescent="0.3">
      <c r="A1907">
        <v>2430</v>
      </c>
      <c r="B1907">
        <v>43421</v>
      </c>
      <c r="C1907">
        <v>70</v>
      </c>
      <c r="D1907">
        <v>17648</v>
      </c>
      <c r="E1907" t="s">
        <v>14</v>
      </c>
      <c r="F1907" t="s">
        <v>22</v>
      </c>
      <c r="G1907" t="s">
        <v>31</v>
      </c>
      <c r="H1907" t="s">
        <v>91</v>
      </c>
      <c r="I1907" t="s">
        <v>9</v>
      </c>
      <c r="J1907" t="s">
        <v>25</v>
      </c>
      <c r="K1907" t="s">
        <v>26</v>
      </c>
      <c r="L1907" t="s">
        <v>12</v>
      </c>
      <c r="M1907" t="s">
        <v>32</v>
      </c>
      <c r="N1907" t="s">
        <v>16</v>
      </c>
      <c r="O1907" t="s">
        <v>18</v>
      </c>
      <c r="P1907">
        <v>1</v>
      </c>
    </row>
    <row r="1908" spans="1:16" x14ac:dyDescent="0.3">
      <c r="A1908">
        <v>2431</v>
      </c>
      <c r="B1908">
        <v>44791</v>
      </c>
      <c r="C1908">
        <v>80</v>
      </c>
      <c r="D1908">
        <v>15412</v>
      </c>
      <c r="E1908" t="s">
        <v>14</v>
      </c>
      <c r="F1908" t="s">
        <v>15</v>
      </c>
      <c r="G1908" t="s">
        <v>17</v>
      </c>
      <c r="H1908" t="s">
        <v>91</v>
      </c>
      <c r="I1908" t="s">
        <v>9</v>
      </c>
      <c r="J1908" t="s">
        <v>10</v>
      </c>
      <c r="K1908" t="s">
        <v>19</v>
      </c>
      <c r="L1908" t="s">
        <v>12</v>
      </c>
      <c r="M1908" t="s">
        <v>32</v>
      </c>
      <c r="N1908" t="s">
        <v>46</v>
      </c>
      <c r="O1908" t="s">
        <v>18</v>
      </c>
      <c r="P1908">
        <v>2</v>
      </c>
    </row>
    <row r="1909" spans="1:16" x14ac:dyDescent="0.3">
      <c r="A1909">
        <v>2432</v>
      </c>
      <c r="B1909">
        <v>44967</v>
      </c>
      <c r="C1909">
        <v>60</v>
      </c>
      <c r="D1909">
        <v>23119</v>
      </c>
      <c r="E1909" t="s">
        <v>14</v>
      </c>
      <c r="F1909" t="s">
        <v>15</v>
      </c>
      <c r="G1909" t="s">
        <v>34</v>
      </c>
      <c r="H1909" t="s">
        <v>91</v>
      </c>
      <c r="I1909" t="s">
        <v>66</v>
      </c>
      <c r="J1909" t="s">
        <v>10</v>
      </c>
      <c r="K1909" t="s">
        <v>11</v>
      </c>
      <c r="L1909" t="s">
        <v>12</v>
      </c>
      <c r="M1909" t="s">
        <v>63</v>
      </c>
      <c r="N1909" t="s">
        <v>46</v>
      </c>
      <c r="O1909" t="s">
        <v>18</v>
      </c>
      <c r="P1909">
        <v>1</v>
      </c>
    </row>
    <row r="1910" spans="1:16" x14ac:dyDescent="0.3">
      <c r="A1910">
        <v>2433</v>
      </c>
      <c r="B1910">
        <v>43943</v>
      </c>
      <c r="C1910">
        <v>44</v>
      </c>
      <c r="D1910">
        <v>28002</v>
      </c>
      <c r="E1910" t="s">
        <v>14</v>
      </c>
      <c r="F1910" t="s">
        <v>22</v>
      </c>
      <c r="G1910" t="s">
        <v>17</v>
      </c>
      <c r="H1910" t="s">
        <v>91</v>
      </c>
      <c r="I1910" t="s">
        <v>9</v>
      </c>
      <c r="J1910" t="s">
        <v>10</v>
      </c>
      <c r="K1910" t="s">
        <v>11</v>
      </c>
      <c r="L1910" t="s">
        <v>12</v>
      </c>
      <c r="M1910" t="s">
        <v>42</v>
      </c>
      <c r="N1910" t="s">
        <v>16</v>
      </c>
      <c r="O1910" t="s">
        <v>18</v>
      </c>
      <c r="P1910">
        <v>5</v>
      </c>
    </row>
    <row r="1911" spans="1:16" x14ac:dyDescent="0.3">
      <c r="A1911">
        <v>2434</v>
      </c>
      <c r="B1911">
        <v>44940</v>
      </c>
      <c r="C1911">
        <v>32</v>
      </c>
      <c r="D1911">
        <v>33503</v>
      </c>
      <c r="E1911" t="s">
        <v>14</v>
      </c>
      <c r="F1911" t="s">
        <v>22</v>
      </c>
      <c r="G1911" t="s">
        <v>31</v>
      </c>
      <c r="H1911" t="s">
        <v>91</v>
      </c>
      <c r="I1911" t="s">
        <v>9</v>
      </c>
      <c r="J1911" t="s">
        <v>20</v>
      </c>
      <c r="K1911" t="s">
        <v>19</v>
      </c>
      <c r="L1911" t="s">
        <v>12</v>
      </c>
      <c r="M1911" t="s">
        <v>32</v>
      </c>
      <c r="N1911" t="s">
        <v>46</v>
      </c>
      <c r="O1911" t="s">
        <v>18</v>
      </c>
      <c r="P1911">
        <v>2</v>
      </c>
    </row>
    <row r="1912" spans="1:16" x14ac:dyDescent="0.3">
      <c r="A1912">
        <v>2435</v>
      </c>
      <c r="B1912">
        <v>44998</v>
      </c>
      <c r="C1912">
        <v>41</v>
      </c>
      <c r="D1912">
        <v>30107</v>
      </c>
      <c r="E1912" t="s">
        <v>14</v>
      </c>
      <c r="F1912" t="s">
        <v>22</v>
      </c>
      <c r="G1912" t="s">
        <v>17</v>
      </c>
      <c r="H1912" t="s">
        <v>91</v>
      </c>
      <c r="I1912" t="s">
        <v>66</v>
      </c>
      <c r="J1912" t="s">
        <v>25</v>
      </c>
      <c r="K1912" t="s">
        <v>11</v>
      </c>
      <c r="L1912" t="s">
        <v>12</v>
      </c>
      <c r="M1912" t="s">
        <v>42</v>
      </c>
      <c r="N1912" t="s">
        <v>30</v>
      </c>
      <c r="O1912" t="s">
        <v>18</v>
      </c>
      <c r="P1912">
        <v>3</v>
      </c>
    </row>
    <row r="1913" spans="1:16" x14ac:dyDescent="0.3">
      <c r="A1913">
        <v>2436</v>
      </c>
      <c r="B1913">
        <v>44925</v>
      </c>
      <c r="C1913">
        <v>64</v>
      </c>
      <c r="D1913">
        <v>21298</v>
      </c>
      <c r="E1913" t="s">
        <v>14</v>
      </c>
      <c r="F1913" t="s">
        <v>22</v>
      </c>
      <c r="G1913" t="s">
        <v>17</v>
      </c>
      <c r="H1913" t="s">
        <v>91</v>
      </c>
      <c r="I1913" t="s">
        <v>66</v>
      </c>
      <c r="J1913" t="s">
        <v>25</v>
      </c>
      <c r="K1913" t="s">
        <v>26</v>
      </c>
      <c r="L1913" t="s">
        <v>12</v>
      </c>
      <c r="M1913" t="s">
        <v>35</v>
      </c>
      <c r="N1913" t="s">
        <v>46</v>
      </c>
      <c r="O1913" t="s">
        <v>18</v>
      </c>
      <c r="P1913">
        <v>3</v>
      </c>
    </row>
    <row r="1914" spans="1:16" x14ac:dyDescent="0.3">
      <c r="A1914">
        <v>2437</v>
      </c>
      <c r="B1914">
        <v>43986</v>
      </c>
      <c r="C1914">
        <v>43</v>
      </c>
      <c r="D1914">
        <v>28275</v>
      </c>
      <c r="E1914" t="s">
        <v>14</v>
      </c>
      <c r="F1914" t="s">
        <v>15</v>
      </c>
      <c r="G1914" t="s">
        <v>31</v>
      </c>
      <c r="H1914" t="s">
        <v>91</v>
      </c>
      <c r="I1914" t="s">
        <v>66</v>
      </c>
      <c r="J1914" t="s">
        <v>25</v>
      </c>
      <c r="K1914" t="s">
        <v>19</v>
      </c>
      <c r="L1914" t="s">
        <v>12</v>
      </c>
      <c r="M1914" t="s">
        <v>58</v>
      </c>
      <c r="N1914" t="s">
        <v>30</v>
      </c>
      <c r="O1914" t="s">
        <v>18</v>
      </c>
      <c r="P1914">
        <v>5</v>
      </c>
    </row>
    <row r="1915" spans="1:16" x14ac:dyDescent="0.3">
      <c r="A1915">
        <v>2438</v>
      </c>
      <c r="B1915">
        <v>44633</v>
      </c>
      <c r="C1915">
        <v>58</v>
      </c>
      <c r="D1915">
        <v>23642</v>
      </c>
      <c r="E1915" t="s">
        <v>14</v>
      </c>
      <c r="F1915" t="s">
        <v>15</v>
      </c>
      <c r="G1915" t="s">
        <v>40</v>
      </c>
      <c r="H1915" t="s">
        <v>91</v>
      </c>
      <c r="I1915" t="s">
        <v>9</v>
      </c>
      <c r="J1915" t="s">
        <v>10</v>
      </c>
      <c r="K1915" t="s">
        <v>19</v>
      </c>
      <c r="L1915" t="s">
        <v>12</v>
      </c>
      <c r="M1915" t="s">
        <v>61</v>
      </c>
      <c r="N1915" t="s">
        <v>37</v>
      </c>
      <c r="O1915" t="s">
        <v>18</v>
      </c>
      <c r="P1915">
        <v>1</v>
      </c>
    </row>
    <row r="1916" spans="1:16" x14ac:dyDescent="0.3">
      <c r="A1916">
        <v>2439</v>
      </c>
      <c r="B1916">
        <v>44429</v>
      </c>
      <c r="C1916">
        <v>77</v>
      </c>
      <c r="D1916">
        <v>16202</v>
      </c>
      <c r="E1916" t="s">
        <v>14</v>
      </c>
      <c r="F1916" t="s">
        <v>15</v>
      </c>
      <c r="G1916" t="s">
        <v>31</v>
      </c>
      <c r="H1916" t="s">
        <v>91</v>
      </c>
      <c r="I1916" t="s">
        <v>9</v>
      </c>
      <c r="J1916" t="s">
        <v>10</v>
      </c>
      <c r="K1916" t="s">
        <v>26</v>
      </c>
      <c r="L1916" t="s">
        <v>12</v>
      </c>
      <c r="M1916" t="s">
        <v>42</v>
      </c>
      <c r="N1916" t="s">
        <v>16</v>
      </c>
      <c r="O1916" t="s">
        <v>18</v>
      </c>
      <c r="P1916">
        <v>3</v>
      </c>
    </row>
    <row r="1917" spans="1:16" x14ac:dyDescent="0.3">
      <c r="A1917">
        <v>2440</v>
      </c>
      <c r="B1917">
        <v>44331</v>
      </c>
      <c r="C1917">
        <v>59</v>
      </c>
      <c r="D1917">
        <v>22850</v>
      </c>
      <c r="E1917" t="s">
        <v>14</v>
      </c>
      <c r="F1917" t="s">
        <v>22</v>
      </c>
      <c r="G1917" t="s">
        <v>40</v>
      </c>
      <c r="H1917" t="s">
        <v>91</v>
      </c>
      <c r="I1917" t="s">
        <v>9</v>
      </c>
      <c r="J1917" t="s">
        <v>10</v>
      </c>
      <c r="K1917" t="s">
        <v>26</v>
      </c>
      <c r="L1917" t="s">
        <v>12</v>
      </c>
      <c r="M1917" t="s">
        <v>32</v>
      </c>
      <c r="N1917" t="s">
        <v>30</v>
      </c>
      <c r="O1917" t="s">
        <v>18</v>
      </c>
      <c r="P1917">
        <v>5</v>
      </c>
    </row>
    <row r="1918" spans="1:16" x14ac:dyDescent="0.3">
      <c r="A1918">
        <v>2441</v>
      </c>
      <c r="B1918">
        <v>44391</v>
      </c>
      <c r="C1918">
        <v>48</v>
      </c>
      <c r="D1918">
        <v>27017</v>
      </c>
      <c r="E1918" t="s">
        <v>14</v>
      </c>
      <c r="F1918" t="s">
        <v>22</v>
      </c>
      <c r="G1918" t="s">
        <v>34</v>
      </c>
      <c r="H1918" t="s">
        <v>94</v>
      </c>
      <c r="I1918" t="s">
        <v>9</v>
      </c>
      <c r="J1918" t="s">
        <v>10</v>
      </c>
      <c r="K1918" t="s">
        <v>26</v>
      </c>
      <c r="L1918" t="s">
        <v>12</v>
      </c>
      <c r="M1918" t="s">
        <v>28</v>
      </c>
      <c r="N1918" t="s">
        <v>23</v>
      </c>
      <c r="O1918" t="s">
        <v>18</v>
      </c>
      <c r="P1918">
        <v>4</v>
      </c>
    </row>
    <row r="1919" spans="1:16" x14ac:dyDescent="0.3">
      <c r="A1919">
        <v>2442</v>
      </c>
      <c r="B1919">
        <v>44957</v>
      </c>
      <c r="C1919">
        <v>50</v>
      </c>
      <c r="D1919">
        <v>26770</v>
      </c>
      <c r="E1919" t="s">
        <v>14</v>
      </c>
      <c r="F1919" t="s">
        <v>15</v>
      </c>
      <c r="G1919" t="s">
        <v>40</v>
      </c>
      <c r="H1919" t="s">
        <v>106</v>
      </c>
      <c r="I1919" t="s">
        <v>9</v>
      </c>
      <c r="J1919" t="s">
        <v>10</v>
      </c>
      <c r="K1919" t="s">
        <v>11</v>
      </c>
      <c r="L1919" t="s">
        <v>12</v>
      </c>
      <c r="M1919" t="s">
        <v>44</v>
      </c>
      <c r="N1919" t="s">
        <v>37</v>
      </c>
      <c r="O1919" t="s">
        <v>18</v>
      </c>
      <c r="P1919">
        <v>1</v>
      </c>
    </row>
    <row r="1920" spans="1:16" x14ac:dyDescent="0.3">
      <c r="A1920">
        <v>2443</v>
      </c>
      <c r="B1920">
        <v>44039</v>
      </c>
      <c r="C1920">
        <v>44</v>
      </c>
      <c r="D1920">
        <v>27847</v>
      </c>
      <c r="E1920" t="s">
        <v>14</v>
      </c>
      <c r="F1920" t="s">
        <v>15</v>
      </c>
      <c r="G1920" t="s">
        <v>17</v>
      </c>
      <c r="H1920" t="s">
        <v>78</v>
      </c>
      <c r="I1920" t="s">
        <v>9</v>
      </c>
      <c r="J1920" t="s">
        <v>20</v>
      </c>
      <c r="K1920" t="s">
        <v>26</v>
      </c>
      <c r="L1920" t="s">
        <v>12</v>
      </c>
      <c r="M1920" t="s">
        <v>59</v>
      </c>
      <c r="N1920" t="s">
        <v>16</v>
      </c>
      <c r="O1920" t="s">
        <v>18</v>
      </c>
      <c r="P1920">
        <v>3</v>
      </c>
    </row>
    <row r="1921" spans="1:16" x14ac:dyDescent="0.3">
      <c r="A1921">
        <v>2444</v>
      </c>
      <c r="B1921">
        <v>45032</v>
      </c>
      <c r="C1921">
        <v>66</v>
      </c>
      <c r="D1921">
        <v>21070</v>
      </c>
      <c r="E1921" t="s">
        <v>14</v>
      </c>
      <c r="F1921" t="s">
        <v>15</v>
      </c>
      <c r="G1921" t="s">
        <v>31</v>
      </c>
      <c r="H1921" t="s">
        <v>78</v>
      </c>
      <c r="I1921" t="s">
        <v>9</v>
      </c>
      <c r="J1921" t="s">
        <v>20</v>
      </c>
      <c r="K1921" t="s">
        <v>11</v>
      </c>
      <c r="L1921" t="s">
        <v>53</v>
      </c>
      <c r="M1921" t="s">
        <v>59</v>
      </c>
      <c r="N1921" t="s">
        <v>37</v>
      </c>
      <c r="O1921" t="s">
        <v>18</v>
      </c>
      <c r="P1921">
        <v>1</v>
      </c>
    </row>
    <row r="1922" spans="1:16" x14ac:dyDescent="0.3">
      <c r="A1922">
        <v>2445</v>
      </c>
      <c r="B1922">
        <v>43829</v>
      </c>
      <c r="C1922">
        <v>50</v>
      </c>
      <c r="D1922">
        <v>25568</v>
      </c>
      <c r="E1922" t="s">
        <v>14</v>
      </c>
      <c r="F1922" t="s">
        <v>15</v>
      </c>
      <c r="G1922" t="s">
        <v>17</v>
      </c>
      <c r="H1922" t="s">
        <v>91</v>
      </c>
      <c r="I1922" t="s">
        <v>9</v>
      </c>
      <c r="J1922" t="s">
        <v>10</v>
      </c>
      <c r="K1922" t="s">
        <v>26</v>
      </c>
      <c r="L1922" t="s">
        <v>12</v>
      </c>
      <c r="M1922" t="s">
        <v>32</v>
      </c>
      <c r="N1922" t="s">
        <v>46</v>
      </c>
      <c r="O1922" t="s">
        <v>18</v>
      </c>
      <c r="P1922">
        <v>4</v>
      </c>
    </row>
    <row r="1923" spans="1:16" x14ac:dyDescent="0.3">
      <c r="A1923">
        <v>2446</v>
      </c>
      <c r="B1923">
        <v>44536</v>
      </c>
      <c r="C1923">
        <v>73</v>
      </c>
      <c r="D1923">
        <v>17826</v>
      </c>
      <c r="E1923" t="s">
        <v>14</v>
      </c>
      <c r="F1923" t="s">
        <v>22</v>
      </c>
      <c r="G1923" t="s">
        <v>40</v>
      </c>
      <c r="H1923" t="s">
        <v>91</v>
      </c>
      <c r="I1923" t="s">
        <v>9</v>
      </c>
      <c r="J1923" t="s">
        <v>10</v>
      </c>
      <c r="K1923" t="s">
        <v>11</v>
      </c>
      <c r="L1923" t="s">
        <v>12</v>
      </c>
      <c r="M1923" t="s">
        <v>44</v>
      </c>
      <c r="N1923" t="s">
        <v>37</v>
      </c>
      <c r="O1923" t="s">
        <v>18</v>
      </c>
      <c r="P1923">
        <v>2</v>
      </c>
    </row>
    <row r="1924" spans="1:16" x14ac:dyDescent="0.3">
      <c r="A1924">
        <v>2447</v>
      </c>
      <c r="B1924">
        <v>43863</v>
      </c>
      <c r="C1924">
        <v>28</v>
      </c>
      <c r="D1924">
        <v>33707</v>
      </c>
      <c r="E1924" t="s">
        <v>14</v>
      </c>
      <c r="F1924" t="s">
        <v>15</v>
      </c>
      <c r="G1924" t="s">
        <v>17</v>
      </c>
      <c r="H1924" t="s">
        <v>91</v>
      </c>
      <c r="I1924" t="s">
        <v>9</v>
      </c>
      <c r="J1924" t="s">
        <v>25</v>
      </c>
      <c r="K1924" t="s">
        <v>19</v>
      </c>
      <c r="L1924" t="s">
        <v>12</v>
      </c>
      <c r="M1924" t="s">
        <v>42</v>
      </c>
      <c r="N1924" t="s">
        <v>16</v>
      </c>
      <c r="O1924" t="s">
        <v>18</v>
      </c>
      <c r="P1924">
        <v>3</v>
      </c>
    </row>
    <row r="1925" spans="1:16" x14ac:dyDescent="0.3">
      <c r="A1925">
        <v>2448</v>
      </c>
      <c r="B1925">
        <v>44127</v>
      </c>
      <c r="C1925">
        <v>31</v>
      </c>
      <c r="D1925">
        <v>32525</v>
      </c>
      <c r="E1925" t="s">
        <v>14</v>
      </c>
      <c r="F1925" t="s">
        <v>15</v>
      </c>
      <c r="G1925" t="s">
        <v>31</v>
      </c>
      <c r="H1925" t="s">
        <v>91</v>
      </c>
      <c r="I1925" t="s">
        <v>66</v>
      </c>
      <c r="J1925" t="s">
        <v>25</v>
      </c>
      <c r="K1925" t="s">
        <v>11</v>
      </c>
      <c r="L1925" t="s">
        <v>12</v>
      </c>
      <c r="M1925" t="s">
        <v>38</v>
      </c>
      <c r="N1925" t="s">
        <v>46</v>
      </c>
      <c r="O1925" t="s">
        <v>18</v>
      </c>
      <c r="P1925">
        <v>2</v>
      </c>
    </row>
    <row r="1926" spans="1:16" x14ac:dyDescent="0.3">
      <c r="A1926">
        <v>2449</v>
      </c>
      <c r="B1926">
        <v>43950</v>
      </c>
      <c r="C1926">
        <v>34</v>
      </c>
      <c r="D1926">
        <v>31453</v>
      </c>
      <c r="E1926" t="s">
        <v>14</v>
      </c>
      <c r="F1926" t="s">
        <v>15</v>
      </c>
      <c r="G1926" t="s">
        <v>31</v>
      </c>
      <c r="H1926" t="s">
        <v>91</v>
      </c>
      <c r="I1926" t="s">
        <v>66</v>
      </c>
      <c r="J1926" t="s">
        <v>20</v>
      </c>
      <c r="K1926" t="s">
        <v>26</v>
      </c>
      <c r="L1926" t="s">
        <v>12</v>
      </c>
      <c r="M1926" t="s">
        <v>21</v>
      </c>
      <c r="N1926" t="s">
        <v>23</v>
      </c>
      <c r="O1926" t="s">
        <v>18</v>
      </c>
      <c r="P1926">
        <v>5</v>
      </c>
    </row>
    <row r="1927" spans="1:16" x14ac:dyDescent="0.3">
      <c r="A1927">
        <v>2450</v>
      </c>
      <c r="B1927">
        <v>44791</v>
      </c>
      <c r="C1927">
        <v>26</v>
      </c>
      <c r="D1927">
        <v>35353</v>
      </c>
      <c r="E1927" t="s">
        <v>14</v>
      </c>
      <c r="F1927" t="s">
        <v>22</v>
      </c>
      <c r="G1927" t="s">
        <v>31</v>
      </c>
      <c r="H1927" t="s">
        <v>91</v>
      </c>
      <c r="I1927" t="s">
        <v>9</v>
      </c>
      <c r="J1927" t="s">
        <v>25</v>
      </c>
      <c r="K1927" t="s">
        <v>19</v>
      </c>
      <c r="L1927" t="s">
        <v>12</v>
      </c>
      <c r="M1927" t="s">
        <v>21</v>
      </c>
      <c r="N1927" t="s">
        <v>46</v>
      </c>
      <c r="O1927" t="s">
        <v>18</v>
      </c>
      <c r="P1927">
        <v>3</v>
      </c>
    </row>
    <row r="1928" spans="1:16" x14ac:dyDescent="0.3">
      <c r="A1928">
        <v>2451</v>
      </c>
      <c r="B1928">
        <v>44082</v>
      </c>
      <c r="C1928">
        <v>77</v>
      </c>
      <c r="D1928">
        <v>16024</v>
      </c>
      <c r="E1928" t="s">
        <v>14</v>
      </c>
      <c r="F1928" t="s">
        <v>22</v>
      </c>
      <c r="G1928" t="s">
        <v>34</v>
      </c>
      <c r="H1928" t="s">
        <v>91</v>
      </c>
      <c r="I1928" t="s">
        <v>9</v>
      </c>
      <c r="J1928" t="s">
        <v>10</v>
      </c>
      <c r="K1928" t="s">
        <v>19</v>
      </c>
      <c r="L1928" t="s">
        <v>12</v>
      </c>
      <c r="M1928" t="s">
        <v>49</v>
      </c>
      <c r="N1928" t="s">
        <v>37</v>
      </c>
      <c r="O1928" t="s">
        <v>18</v>
      </c>
      <c r="P1928">
        <v>3</v>
      </c>
    </row>
    <row r="1929" spans="1:16" x14ac:dyDescent="0.3">
      <c r="A1929">
        <v>2452</v>
      </c>
      <c r="B1929">
        <v>44848</v>
      </c>
      <c r="C1929">
        <v>50</v>
      </c>
      <c r="D1929">
        <v>26595</v>
      </c>
      <c r="E1929" t="s">
        <v>14</v>
      </c>
      <c r="F1929" t="s">
        <v>22</v>
      </c>
      <c r="G1929" t="s">
        <v>34</v>
      </c>
      <c r="H1929" t="s">
        <v>91</v>
      </c>
      <c r="I1929" t="s">
        <v>9</v>
      </c>
      <c r="J1929" t="s">
        <v>25</v>
      </c>
      <c r="K1929" t="s">
        <v>11</v>
      </c>
      <c r="L1929" t="s">
        <v>12</v>
      </c>
      <c r="M1929" t="s">
        <v>54</v>
      </c>
      <c r="N1929" t="s">
        <v>46</v>
      </c>
      <c r="O1929" t="s">
        <v>18</v>
      </c>
      <c r="P1929">
        <v>3</v>
      </c>
    </row>
    <row r="1930" spans="1:16" x14ac:dyDescent="0.3">
      <c r="A1930">
        <v>2453</v>
      </c>
      <c r="B1930">
        <v>45059</v>
      </c>
      <c r="C1930">
        <v>35</v>
      </c>
      <c r="D1930">
        <v>32408</v>
      </c>
      <c r="E1930" t="s">
        <v>14</v>
      </c>
      <c r="F1930" t="s">
        <v>22</v>
      </c>
      <c r="G1930" t="s">
        <v>17</v>
      </c>
      <c r="H1930" t="s">
        <v>91</v>
      </c>
      <c r="I1930" t="s">
        <v>9</v>
      </c>
      <c r="J1930" t="s">
        <v>25</v>
      </c>
      <c r="K1930" t="s">
        <v>11</v>
      </c>
      <c r="L1930" t="s">
        <v>12</v>
      </c>
      <c r="M1930" t="s">
        <v>69</v>
      </c>
      <c r="N1930" t="s">
        <v>30</v>
      </c>
      <c r="O1930" t="s">
        <v>18</v>
      </c>
      <c r="P1930">
        <v>3</v>
      </c>
    </row>
    <row r="1931" spans="1:16" x14ac:dyDescent="0.3">
      <c r="A1931">
        <v>2454</v>
      </c>
      <c r="B1931">
        <v>44255</v>
      </c>
      <c r="C1931">
        <v>32</v>
      </c>
      <c r="D1931">
        <v>32579</v>
      </c>
      <c r="E1931" t="s">
        <v>14</v>
      </c>
      <c r="F1931" t="s">
        <v>15</v>
      </c>
      <c r="G1931" t="s">
        <v>34</v>
      </c>
      <c r="H1931" t="s">
        <v>91</v>
      </c>
      <c r="I1931" t="s">
        <v>9</v>
      </c>
      <c r="J1931" t="s">
        <v>25</v>
      </c>
      <c r="K1931" t="s">
        <v>19</v>
      </c>
      <c r="L1931" t="s">
        <v>12</v>
      </c>
      <c r="M1931" t="s">
        <v>55</v>
      </c>
      <c r="N1931" t="s">
        <v>46</v>
      </c>
      <c r="O1931" t="s">
        <v>18</v>
      </c>
      <c r="P1931">
        <v>4</v>
      </c>
    </row>
    <row r="1932" spans="1:16" x14ac:dyDescent="0.3">
      <c r="A1932">
        <v>2455</v>
      </c>
      <c r="B1932">
        <v>43893</v>
      </c>
      <c r="C1932">
        <v>29</v>
      </c>
      <c r="D1932">
        <v>33578</v>
      </c>
      <c r="E1932" t="s">
        <v>14</v>
      </c>
      <c r="F1932" t="s">
        <v>15</v>
      </c>
      <c r="G1932" t="s">
        <v>31</v>
      </c>
      <c r="H1932" t="s">
        <v>91</v>
      </c>
      <c r="I1932" t="s">
        <v>9</v>
      </c>
      <c r="J1932" t="s">
        <v>25</v>
      </c>
      <c r="K1932" t="s">
        <v>26</v>
      </c>
      <c r="L1932" t="s">
        <v>12</v>
      </c>
      <c r="M1932" t="s">
        <v>32</v>
      </c>
      <c r="N1932" t="s">
        <v>23</v>
      </c>
      <c r="O1932" t="s">
        <v>18</v>
      </c>
      <c r="P1932">
        <v>3</v>
      </c>
    </row>
    <row r="1933" spans="1:16" x14ac:dyDescent="0.3">
      <c r="A1933">
        <v>2456</v>
      </c>
      <c r="B1933">
        <v>44529</v>
      </c>
      <c r="C1933">
        <v>51</v>
      </c>
      <c r="D1933">
        <v>25807</v>
      </c>
      <c r="E1933" t="s">
        <v>14</v>
      </c>
      <c r="F1933" t="s">
        <v>22</v>
      </c>
      <c r="G1933" t="s">
        <v>31</v>
      </c>
      <c r="H1933" t="s">
        <v>91</v>
      </c>
      <c r="I1933" t="s">
        <v>9</v>
      </c>
      <c r="J1933" t="s">
        <v>25</v>
      </c>
      <c r="K1933" t="s">
        <v>19</v>
      </c>
      <c r="L1933" t="s">
        <v>12</v>
      </c>
      <c r="M1933" t="s">
        <v>59</v>
      </c>
      <c r="N1933" t="s">
        <v>46</v>
      </c>
      <c r="O1933" t="s">
        <v>18</v>
      </c>
      <c r="P1933">
        <v>5</v>
      </c>
    </row>
    <row r="1934" spans="1:16" x14ac:dyDescent="0.3">
      <c r="A1934">
        <v>2457</v>
      </c>
      <c r="B1934">
        <v>43336</v>
      </c>
      <c r="C1934">
        <v>57</v>
      </c>
      <c r="D1934">
        <v>22385</v>
      </c>
      <c r="E1934" t="s">
        <v>14</v>
      </c>
      <c r="F1934" t="s">
        <v>22</v>
      </c>
      <c r="G1934" t="s">
        <v>31</v>
      </c>
      <c r="H1934" t="s">
        <v>91</v>
      </c>
      <c r="I1934" t="s">
        <v>9</v>
      </c>
      <c r="J1934" t="s">
        <v>20</v>
      </c>
      <c r="K1934" t="s">
        <v>19</v>
      </c>
      <c r="L1934" t="s">
        <v>12</v>
      </c>
      <c r="M1934" t="s">
        <v>35</v>
      </c>
      <c r="N1934" t="s">
        <v>23</v>
      </c>
      <c r="O1934" t="s">
        <v>18</v>
      </c>
      <c r="P1934">
        <v>2</v>
      </c>
    </row>
    <row r="1935" spans="1:16" x14ac:dyDescent="0.3">
      <c r="A1935">
        <v>2458</v>
      </c>
      <c r="B1935">
        <v>44125</v>
      </c>
      <c r="C1935">
        <v>41</v>
      </c>
      <c r="D1935">
        <v>28924</v>
      </c>
      <c r="E1935" t="s">
        <v>14</v>
      </c>
      <c r="F1935" t="s">
        <v>22</v>
      </c>
      <c r="G1935" t="s">
        <v>17</v>
      </c>
      <c r="H1935" t="s">
        <v>94</v>
      </c>
      <c r="I1935" t="s">
        <v>9</v>
      </c>
      <c r="J1935" t="s">
        <v>20</v>
      </c>
      <c r="K1935" t="s">
        <v>26</v>
      </c>
      <c r="L1935" t="s">
        <v>12</v>
      </c>
      <c r="M1935" t="s">
        <v>58</v>
      </c>
      <c r="N1935" t="s">
        <v>30</v>
      </c>
      <c r="O1935" t="s">
        <v>18</v>
      </c>
      <c r="P1935">
        <v>3</v>
      </c>
    </row>
    <row r="1936" spans="1:16" x14ac:dyDescent="0.3">
      <c r="A1936">
        <v>2459</v>
      </c>
      <c r="B1936">
        <v>44180</v>
      </c>
      <c r="C1936">
        <v>25</v>
      </c>
      <c r="D1936">
        <v>34890</v>
      </c>
      <c r="E1936" t="s">
        <v>105</v>
      </c>
      <c r="F1936" t="s">
        <v>15</v>
      </c>
      <c r="G1936" t="s">
        <v>34</v>
      </c>
      <c r="H1936" t="s">
        <v>106</v>
      </c>
      <c r="I1936" t="s">
        <v>9</v>
      </c>
      <c r="J1936" t="s">
        <v>25</v>
      </c>
      <c r="K1936" t="s">
        <v>19</v>
      </c>
      <c r="L1936" t="s">
        <v>12</v>
      </c>
      <c r="M1936" t="s">
        <v>35</v>
      </c>
      <c r="N1936" t="s">
        <v>46</v>
      </c>
      <c r="O1936" t="s">
        <v>18</v>
      </c>
      <c r="P1936">
        <v>5</v>
      </c>
    </row>
    <row r="1937" spans="1:16" x14ac:dyDescent="0.3">
      <c r="A1937">
        <v>2460</v>
      </c>
      <c r="B1937">
        <v>43348</v>
      </c>
      <c r="C1937">
        <v>59</v>
      </c>
      <c r="D1937">
        <v>21844</v>
      </c>
      <c r="E1937" t="s">
        <v>14</v>
      </c>
      <c r="F1937" t="s">
        <v>15</v>
      </c>
      <c r="G1937" t="s">
        <v>17</v>
      </c>
      <c r="H1937" t="s">
        <v>78</v>
      </c>
      <c r="I1937" t="s">
        <v>9</v>
      </c>
      <c r="J1937" t="s">
        <v>10</v>
      </c>
      <c r="K1937" t="s">
        <v>11</v>
      </c>
      <c r="L1937" t="s">
        <v>53</v>
      </c>
      <c r="M1937" t="s">
        <v>13</v>
      </c>
      <c r="N1937" t="s">
        <v>16</v>
      </c>
      <c r="O1937" t="s">
        <v>18</v>
      </c>
      <c r="P1937">
        <v>4</v>
      </c>
    </row>
    <row r="1938" spans="1:16" x14ac:dyDescent="0.3">
      <c r="A1938">
        <v>2461</v>
      </c>
      <c r="B1938">
        <v>44466</v>
      </c>
      <c r="C1938">
        <v>42</v>
      </c>
      <c r="D1938">
        <v>29011</v>
      </c>
      <c r="E1938" t="s">
        <v>14</v>
      </c>
      <c r="F1938" t="s">
        <v>22</v>
      </c>
      <c r="G1938" t="s">
        <v>40</v>
      </c>
      <c r="H1938" t="s">
        <v>88</v>
      </c>
      <c r="I1938" t="s">
        <v>9</v>
      </c>
      <c r="J1938" t="s">
        <v>20</v>
      </c>
      <c r="K1938" t="s">
        <v>19</v>
      </c>
      <c r="L1938" t="s">
        <v>90</v>
      </c>
      <c r="M1938" t="s">
        <v>49</v>
      </c>
      <c r="N1938" t="s">
        <v>37</v>
      </c>
      <c r="O1938" t="s">
        <v>18</v>
      </c>
      <c r="P1938">
        <v>2</v>
      </c>
    </row>
    <row r="1939" spans="1:16" x14ac:dyDescent="0.3">
      <c r="A1939">
        <v>2462</v>
      </c>
      <c r="B1939">
        <v>43839</v>
      </c>
      <c r="C1939">
        <v>72</v>
      </c>
      <c r="D1939">
        <v>17840</v>
      </c>
      <c r="E1939" t="s">
        <v>14</v>
      </c>
      <c r="F1939" t="s">
        <v>15</v>
      </c>
      <c r="G1939" t="s">
        <v>34</v>
      </c>
      <c r="H1939" t="s">
        <v>91</v>
      </c>
      <c r="I1939" t="s">
        <v>9</v>
      </c>
      <c r="J1939" t="s">
        <v>20</v>
      </c>
      <c r="K1939" t="s">
        <v>11</v>
      </c>
      <c r="L1939" t="s">
        <v>12</v>
      </c>
      <c r="M1939" t="s">
        <v>32</v>
      </c>
      <c r="N1939" t="s">
        <v>16</v>
      </c>
      <c r="O1939" t="s">
        <v>18</v>
      </c>
      <c r="P1939">
        <v>1</v>
      </c>
    </row>
    <row r="1940" spans="1:16" x14ac:dyDescent="0.3">
      <c r="A1940">
        <v>2463</v>
      </c>
      <c r="B1940">
        <v>43440</v>
      </c>
      <c r="C1940">
        <v>32</v>
      </c>
      <c r="D1940">
        <v>31505</v>
      </c>
      <c r="E1940" t="s">
        <v>14</v>
      </c>
      <c r="F1940" t="s">
        <v>15</v>
      </c>
      <c r="G1940" t="s">
        <v>17</v>
      </c>
      <c r="H1940" t="s">
        <v>91</v>
      </c>
      <c r="I1940" t="s">
        <v>9</v>
      </c>
      <c r="J1940" t="s">
        <v>20</v>
      </c>
      <c r="K1940" t="s">
        <v>19</v>
      </c>
      <c r="L1940" t="s">
        <v>12</v>
      </c>
      <c r="M1940" t="s">
        <v>55</v>
      </c>
      <c r="N1940" t="s">
        <v>23</v>
      </c>
      <c r="O1940" t="s">
        <v>18</v>
      </c>
      <c r="P1940">
        <v>5</v>
      </c>
    </row>
    <row r="1941" spans="1:16" x14ac:dyDescent="0.3">
      <c r="A1941">
        <v>2464</v>
      </c>
      <c r="B1941">
        <v>44784</v>
      </c>
      <c r="C1941">
        <v>67</v>
      </c>
      <c r="D1941">
        <v>20233</v>
      </c>
      <c r="E1941" t="s">
        <v>14</v>
      </c>
      <c r="F1941" t="s">
        <v>22</v>
      </c>
      <c r="G1941" t="s">
        <v>17</v>
      </c>
      <c r="H1941" t="s">
        <v>91</v>
      </c>
      <c r="I1941" t="s">
        <v>9</v>
      </c>
      <c r="J1941" t="s">
        <v>25</v>
      </c>
      <c r="K1941" t="s">
        <v>26</v>
      </c>
      <c r="L1941" t="s">
        <v>12</v>
      </c>
      <c r="M1941" t="s">
        <v>35</v>
      </c>
      <c r="N1941" t="s">
        <v>16</v>
      </c>
      <c r="O1941" t="s">
        <v>18</v>
      </c>
      <c r="P1941">
        <v>3</v>
      </c>
    </row>
    <row r="1942" spans="1:16" x14ac:dyDescent="0.3">
      <c r="A1942">
        <v>2465</v>
      </c>
      <c r="B1942">
        <v>43934</v>
      </c>
      <c r="C1942">
        <v>59</v>
      </c>
      <c r="D1942">
        <v>22594</v>
      </c>
      <c r="E1942" t="s">
        <v>14</v>
      </c>
      <c r="F1942" t="s">
        <v>15</v>
      </c>
      <c r="G1942" t="s">
        <v>31</v>
      </c>
      <c r="H1942" t="s">
        <v>91</v>
      </c>
      <c r="I1942" t="s">
        <v>9</v>
      </c>
      <c r="J1942" t="s">
        <v>10</v>
      </c>
      <c r="K1942" t="s">
        <v>19</v>
      </c>
      <c r="L1942" t="s">
        <v>12</v>
      </c>
      <c r="M1942" t="s">
        <v>35</v>
      </c>
      <c r="N1942" t="s">
        <v>16</v>
      </c>
      <c r="O1942" t="s">
        <v>18</v>
      </c>
      <c r="P1942">
        <v>3</v>
      </c>
    </row>
    <row r="1943" spans="1:16" x14ac:dyDescent="0.3">
      <c r="A1943">
        <v>2466</v>
      </c>
      <c r="B1943">
        <v>44514</v>
      </c>
      <c r="C1943">
        <v>54</v>
      </c>
      <c r="D1943">
        <v>24728</v>
      </c>
      <c r="E1943" t="s">
        <v>14</v>
      </c>
      <c r="F1943" t="s">
        <v>15</v>
      </c>
      <c r="G1943" t="s">
        <v>17</v>
      </c>
      <c r="H1943" t="s">
        <v>91</v>
      </c>
      <c r="I1943" t="s">
        <v>66</v>
      </c>
      <c r="J1943" t="s">
        <v>10</v>
      </c>
      <c r="K1943" t="s">
        <v>19</v>
      </c>
      <c r="L1943" t="s">
        <v>12</v>
      </c>
      <c r="M1943" t="s">
        <v>55</v>
      </c>
      <c r="N1943" t="s">
        <v>16</v>
      </c>
      <c r="O1943" t="s">
        <v>18</v>
      </c>
      <c r="P1943">
        <v>4</v>
      </c>
    </row>
    <row r="1944" spans="1:16" x14ac:dyDescent="0.3">
      <c r="A1944">
        <v>2467</v>
      </c>
      <c r="B1944">
        <v>44637</v>
      </c>
      <c r="C1944">
        <v>43</v>
      </c>
      <c r="D1944">
        <v>28857</v>
      </c>
      <c r="E1944" t="s">
        <v>14</v>
      </c>
      <c r="F1944" t="s">
        <v>15</v>
      </c>
      <c r="G1944" t="s">
        <v>34</v>
      </c>
      <c r="H1944" t="s">
        <v>91</v>
      </c>
      <c r="I1944" t="s">
        <v>66</v>
      </c>
      <c r="J1944" t="s">
        <v>25</v>
      </c>
      <c r="K1944" t="s">
        <v>26</v>
      </c>
      <c r="L1944" t="s">
        <v>12</v>
      </c>
      <c r="M1944" t="s">
        <v>42</v>
      </c>
      <c r="N1944" t="s">
        <v>30</v>
      </c>
      <c r="O1944" t="s">
        <v>18</v>
      </c>
      <c r="P1944">
        <v>1</v>
      </c>
    </row>
    <row r="1945" spans="1:16" x14ac:dyDescent="0.3">
      <c r="A1945">
        <v>2468</v>
      </c>
      <c r="B1945">
        <v>43591</v>
      </c>
      <c r="C1945">
        <v>62</v>
      </c>
      <c r="D1945">
        <v>21139</v>
      </c>
      <c r="E1945" t="s">
        <v>14</v>
      </c>
      <c r="F1945" t="s">
        <v>22</v>
      </c>
      <c r="G1945" t="s">
        <v>34</v>
      </c>
      <c r="H1945" t="s">
        <v>91</v>
      </c>
      <c r="I1945" t="s">
        <v>9</v>
      </c>
      <c r="J1945" t="s">
        <v>20</v>
      </c>
      <c r="K1945" t="s">
        <v>19</v>
      </c>
      <c r="L1945" t="s">
        <v>12</v>
      </c>
      <c r="M1945" t="s">
        <v>32</v>
      </c>
      <c r="N1945" t="s">
        <v>23</v>
      </c>
      <c r="O1945" t="s">
        <v>18</v>
      </c>
      <c r="P1945">
        <v>4</v>
      </c>
    </row>
    <row r="1946" spans="1:16" x14ac:dyDescent="0.3">
      <c r="A1946">
        <v>2469</v>
      </c>
      <c r="B1946">
        <v>44527</v>
      </c>
      <c r="C1946">
        <v>20</v>
      </c>
      <c r="D1946">
        <v>36926</v>
      </c>
      <c r="E1946" t="s">
        <v>14</v>
      </c>
      <c r="F1946" t="s">
        <v>22</v>
      </c>
      <c r="G1946" t="s">
        <v>40</v>
      </c>
      <c r="H1946" t="s">
        <v>91</v>
      </c>
      <c r="I1946" t="s">
        <v>9</v>
      </c>
      <c r="J1946" t="s">
        <v>20</v>
      </c>
      <c r="K1946" t="s">
        <v>11</v>
      </c>
      <c r="L1946" t="s">
        <v>12</v>
      </c>
      <c r="M1946" t="s">
        <v>35</v>
      </c>
      <c r="N1946" t="s">
        <v>23</v>
      </c>
      <c r="O1946" t="s">
        <v>18</v>
      </c>
      <c r="P1946">
        <v>1</v>
      </c>
    </row>
    <row r="1947" spans="1:16" x14ac:dyDescent="0.3">
      <c r="A1947">
        <v>2470</v>
      </c>
      <c r="B1947">
        <v>44236</v>
      </c>
      <c r="C1947">
        <v>33</v>
      </c>
      <c r="D1947">
        <v>32440</v>
      </c>
      <c r="E1947" t="s">
        <v>14</v>
      </c>
      <c r="F1947" t="s">
        <v>22</v>
      </c>
      <c r="G1947" t="s">
        <v>31</v>
      </c>
      <c r="H1947" t="s">
        <v>91</v>
      </c>
      <c r="I1947" t="s">
        <v>9</v>
      </c>
      <c r="J1947" t="s">
        <v>25</v>
      </c>
      <c r="K1947" t="s">
        <v>11</v>
      </c>
      <c r="L1947" t="s">
        <v>12</v>
      </c>
      <c r="M1947" t="s">
        <v>32</v>
      </c>
      <c r="N1947" t="s">
        <v>46</v>
      </c>
      <c r="O1947" t="s">
        <v>18</v>
      </c>
      <c r="P1947">
        <v>5</v>
      </c>
    </row>
    <row r="1948" spans="1:16" x14ac:dyDescent="0.3">
      <c r="A1948">
        <v>2471</v>
      </c>
      <c r="B1948">
        <v>44567</v>
      </c>
      <c r="C1948">
        <v>63</v>
      </c>
      <c r="D1948">
        <v>21756</v>
      </c>
      <c r="E1948" t="s">
        <v>14</v>
      </c>
      <c r="F1948" t="s">
        <v>22</v>
      </c>
      <c r="G1948" t="s">
        <v>40</v>
      </c>
      <c r="H1948" t="s">
        <v>91</v>
      </c>
      <c r="I1948" t="s">
        <v>9</v>
      </c>
      <c r="J1948" t="s">
        <v>20</v>
      </c>
      <c r="K1948" t="s">
        <v>11</v>
      </c>
      <c r="L1948" t="s">
        <v>12</v>
      </c>
      <c r="M1948" t="s">
        <v>55</v>
      </c>
      <c r="N1948" t="s">
        <v>30</v>
      </c>
      <c r="O1948" t="s">
        <v>18</v>
      </c>
      <c r="P1948">
        <v>5</v>
      </c>
    </row>
    <row r="1949" spans="1:16" x14ac:dyDescent="0.3">
      <c r="A1949">
        <v>2472</v>
      </c>
      <c r="B1949">
        <v>45135</v>
      </c>
      <c r="C1949">
        <v>48</v>
      </c>
      <c r="D1949">
        <v>27693</v>
      </c>
      <c r="E1949" t="s">
        <v>14</v>
      </c>
      <c r="F1949" t="s">
        <v>15</v>
      </c>
      <c r="G1949" t="s">
        <v>34</v>
      </c>
      <c r="H1949" t="s">
        <v>91</v>
      </c>
      <c r="I1949" t="s">
        <v>9</v>
      </c>
      <c r="J1949" t="s">
        <v>25</v>
      </c>
      <c r="K1949" t="s">
        <v>26</v>
      </c>
      <c r="L1949" t="s">
        <v>12</v>
      </c>
      <c r="M1949" t="s">
        <v>21</v>
      </c>
      <c r="N1949" t="s">
        <v>46</v>
      </c>
      <c r="O1949" t="s">
        <v>18</v>
      </c>
      <c r="P1949">
        <v>2</v>
      </c>
    </row>
    <row r="1950" spans="1:16" x14ac:dyDescent="0.3">
      <c r="A1950">
        <v>2473</v>
      </c>
      <c r="B1950">
        <v>44282</v>
      </c>
      <c r="C1950">
        <v>39</v>
      </c>
      <c r="D1950">
        <v>30147</v>
      </c>
      <c r="E1950" t="s">
        <v>14</v>
      </c>
      <c r="F1950" t="s">
        <v>22</v>
      </c>
      <c r="G1950" t="s">
        <v>31</v>
      </c>
      <c r="H1950" t="s">
        <v>91</v>
      </c>
      <c r="I1950" t="s">
        <v>9</v>
      </c>
      <c r="J1950" t="s">
        <v>10</v>
      </c>
      <c r="K1950" t="s">
        <v>26</v>
      </c>
      <c r="L1950" t="s">
        <v>12</v>
      </c>
      <c r="M1950" t="s">
        <v>107</v>
      </c>
      <c r="N1950" t="s">
        <v>23</v>
      </c>
      <c r="O1950" t="s">
        <v>18</v>
      </c>
      <c r="P1950">
        <v>4</v>
      </c>
    </row>
    <row r="1951" spans="1:16" x14ac:dyDescent="0.3">
      <c r="A1951">
        <v>2474</v>
      </c>
      <c r="B1951">
        <v>44997</v>
      </c>
      <c r="C1951">
        <v>64</v>
      </c>
      <c r="D1951">
        <v>21563</v>
      </c>
      <c r="E1951" t="s">
        <v>14</v>
      </c>
      <c r="F1951" t="s">
        <v>22</v>
      </c>
      <c r="G1951" t="s">
        <v>34</v>
      </c>
      <c r="H1951" t="s">
        <v>91</v>
      </c>
      <c r="I1951" t="s">
        <v>9</v>
      </c>
      <c r="J1951" t="s">
        <v>10</v>
      </c>
      <c r="K1951" t="s">
        <v>19</v>
      </c>
      <c r="L1951" t="s">
        <v>12</v>
      </c>
      <c r="M1951" t="s">
        <v>35</v>
      </c>
      <c r="N1951" t="s">
        <v>37</v>
      </c>
      <c r="O1951" t="s">
        <v>18</v>
      </c>
      <c r="P1951">
        <v>5</v>
      </c>
    </row>
    <row r="1952" spans="1:16" x14ac:dyDescent="0.3">
      <c r="A1952">
        <v>2475</v>
      </c>
      <c r="B1952">
        <v>44839</v>
      </c>
      <c r="C1952">
        <v>80</v>
      </c>
      <c r="D1952">
        <v>15398</v>
      </c>
      <c r="E1952" t="s">
        <v>14</v>
      </c>
      <c r="F1952" t="s">
        <v>22</v>
      </c>
      <c r="G1952" t="s">
        <v>31</v>
      </c>
      <c r="H1952" t="s">
        <v>91</v>
      </c>
      <c r="I1952" t="s">
        <v>66</v>
      </c>
      <c r="J1952" t="s">
        <v>20</v>
      </c>
      <c r="K1952" t="s">
        <v>11</v>
      </c>
      <c r="L1952" t="s">
        <v>12</v>
      </c>
      <c r="M1952" t="s">
        <v>32</v>
      </c>
      <c r="N1952" t="s">
        <v>16</v>
      </c>
      <c r="O1952" t="s">
        <v>18</v>
      </c>
      <c r="P1952">
        <v>4</v>
      </c>
    </row>
    <row r="1953" spans="1:16" x14ac:dyDescent="0.3">
      <c r="A1953">
        <v>2476</v>
      </c>
      <c r="B1953">
        <v>44470</v>
      </c>
      <c r="C1953">
        <v>54</v>
      </c>
      <c r="D1953">
        <v>24664</v>
      </c>
      <c r="E1953" t="s">
        <v>14</v>
      </c>
      <c r="F1953" t="s">
        <v>22</v>
      </c>
      <c r="G1953" t="s">
        <v>31</v>
      </c>
      <c r="H1953" t="s">
        <v>94</v>
      </c>
      <c r="I1953" t="s">
        <v>9</v>
      </c>
      <c r="J1953" t="s">
        <v>20</v>
      </c>
      <c r="K1953" t="s">
        <v>26</v>
      </c>
      <c r="L1953" t="s">
        <v>73</v>
      </c>
      <c r="M1953" t="s">
        <v>63</v>
      </c>
      <c r="N1953" t="s">
        <v>30</v>
      </c>
      <c r="O1953" t="s">
        <v>18</v>
      </c>
      <c r="P1953">
        <v>5</v>
      </c>
    </row>
    <row r="1954" spans="1:16" x14ac:dyDescent="0.3">
      <c r="A1954">
        <v>2477</v>
      </c>
      <c r="B1954">
        <v>44592</v>
      </c>
      <c r="C1954">
        <v>40</v>
      </c>
      <c r="D1954">
        <v>30208</v>
      </c>
      <c r="E1954" t="s">
        <v>105</v>
      </c>
      <c r="F1954" t="s">
        <v>15</v>
      </c>
      <c r="G1954" t="s">
        <v>40</v>
      </c>
      <c r="H1954" t="s">
        <v>104</v>
      </c>
      <c r="I1954" t="s">
        <v>9</v>
      </c>
      <c r="J1954" t="s">
        <v>10</v>
      </c>
      <c r="K1954" t="s">
        <v>19</v>
      </c>
      <c r="L1954" t="s">
        <v>27</v>
      </c>
      <c r="M1954" t="s">
        <v>35</v>
      </c>
      <c r="N1954" t="s">
        <v>46</v>
      </c>
      <c r="O1954" t="s">
        <v>18</v>
      </c>
      <c r="P1954">
        <v>4</v>
      </c>
    </row>
    <row r="1955" spans="1:16" x14ac:dyDescent="0.3">
      <c r="A1955">
        <v>2478</v>
      </c>
      <c r="B1955">
        <v>43983</v>
      </c>
      <c r="C1955">
        <v>26</v>
      </c>
      <c r="D1955">
        <v>34541</v>
      </c>
      <c r="E1955" t="s">
        <v>105</v>
      </c>
      <c r="F1955" t="s">
        <v>15</v>
      </c>
      <c r="G1955" t="s">
        <v>31</v>
      </c>
      <c r="H1955" t="s">
        <v>106</v>
      </c>
      <c r="I1955" t="s">
        <v>9</v>
      </c>
      <c r="J1955" t="s">
        <v>25</v>
      </c>
      <c r="K1955" t="s">
        <v>19</v>
      </c>
      <c r="L1955" t="s">
        <v>12</v>
      </c>
      <c r="M1955" t="s">
        <v>32</v>
      </c>
      <c r="N1955" t="s">
        <v>16</v>
      </c>
      <c r="O1955" t="s">
        <v>18</v>
      </c>
      <c r="P1955">
        <v>4</v>
      </c>
    </row>
    <row r="1956" spans="1:16" x14ac:dyDescent="0.3">
      <c r="A1956">
        <v>2479</v>
      </c>
      <c r="B1956">
        <v>45034</v>
      </c>
      <c r="C1956">
        <v>77</v>
      </c>
      <c r="D1956">
        <v>17153</v>
      </c>
      <c r="E1956" t="s">
        <v>14</v>
      </c>
      <c r="F1956" t="s">
        <v>15</v>
      </c>
      <c r="G1956" t="s">
        <v>40</v>
      </c>
      <c r="H1956" t="s">
        <v>78</v>
      </c>
      <c r="I1956" t="s">
        <v>9</v>
      </c>
      <c r="J1956" t="s">
        <v>10</v>
      </c>
      <c r="K1956" t="s">
        <v>11</v>
      </c>
      <c r="L1956" t="s">
        <v>53</v>
      </c>
      <c r="M1956" t="s">
        <v>32</v>
      </c>
      <c r="N1956" t="s">
        <v>23</v>
      </c>
      <c r="O1956" t="s">
        <v>18</v>
      </c>
      <c r="P1956">
        <v>1</v>
      </c>
    </row>
    <row r="1957" spans="1:16" x14ac:dyDescent="0.3">
      <c r="A1957">
        <v>2480</v>
      </c>
      <c r="B1957">
        <v>44037</v>
      </c>
      <c r="C1957">
        <v>43</v>
      </c>
      <c r="D1957">
        <v>28210</v>
      </c>
      <c r="E1957" t="s">
        <v>14</v>
      </c>
      <c r="F1957" t="s">
        <v>22</v>
      </c>
      <c r="G1957" t="s">
        <v>17</v>
      </c>
      <c r="H1957" t="s">
        <v>108</v>
      </c>
      <c r="I1957" t="s">
        <v>9</v>
      </c>
      <c r="J1957" t="s">
        <v>20</v>
      </c>
      <c r="K1957" t="s">
        <v>11</v>
      </c>
      <c r="L1957" t="s">
        <v>53</v>
      </c>
      <c r="M1957" t="s">
        <v>49</v>
      </c>
      <c r="N1957" t="s">
        <v>16</v>
      </c>
      <c r="O1957" t="s">
        <v>18</v>
      </c>
      <c r="P1957">
        <v>2</v>
      </c>
    </row>
    <row r="1958" spans="1:16" x14ac:dyDescent="0.3">
      <c r="A1958">
        <v>2481</v>
      </c>
      <c r="B1958">
        <v>43446</v>
      </c>
      <c r="C1958">
        <v>21</v>
      </c>
      <c r="D1958">
        <v>35614</v>
      </c>
      <c r="E1958" t="s">
        <v>14</v>
      </c>
      <c r="F1958" t="s">
        <v>22</v>
      </c>
      <c r="G1958" t="s">
        <v>40</v>
      </c>
      <c r="H1958" t="s">
        <v>103</v>
      </c>
      <c r="I1958" t="s">
        <v>9</v>
      </c>
      <c r="J1958" t="s">
        <v>25</v>
      </c>
      <c r="K1958" t="s">
        <v>19</v>
      </c>
      <c r="L1958" t="s">
        <v>53</v>
      </c>
      <c r="M1958" t="s">
        <v>21</v>
      </c>
      <c r="N1958" t="s">
        <v>37</v>
      </c>
      <c r="O1958" t="s">
        <v>18</v>
      </c>
      <c r="P1958">
        <v>5</v>
      </c>
    </row>
    <row r="1959" spans="1:16" x14ac:dyDescent="0.3">
      <c r="A1959">
        <v>2482</v>
      </c>
      <c r="B1959">
        <v>43344</v>
      </c>
      <c r="C1959">
        <v>68</v>
      </c>
      <c r="D1959">
        <v>18370</v>
      </c>
      <c r="E1959" t="s">
        <v>14</v>
      </c>
      <c r="F1959" t="s">
        <v>22</v>
      </c>
      <c r="G1959" t="s">
        <v>34</v>
      </c>
      <c r="H1959" t="s">
        <v>101</v>
      </c>
      <c r="I1959" t="s">
        <v>9</v>
      </c>
      <c r="J1959" t="s">
        <v>10</v>
      </c>
      <c r="K1959" t="s">
        <v>11</v>
      </c>
      <c r="L1959" t="s">
        <v>53</v>
      </c>
      <c r="M1959" t="s">
        <v>92</v>
      </c>
      <c r="N1959" t="s">
        <v>37</v>
      </c>
      <c r="O1959" t="s">
        <v>18</v>
      </c>
      <c r="P1959">
        <v>2</v>
      </c>
    </row>
    <row r="1960" spans="1:16" x14ac:dyDescent="0.3">
      <c r="A1960">
        <v>2483</v>
      </c>
      <c r="B1960">
        <v>43793</v>
      </c>
      <c r="C1960">
        <v>75</v>
      </c>
      <c r="D1960">
        <v>16214</v>
      </c>
      <c r="E1960" t="s">
        <v>14</v>
      </c>
      <c r="F1960" t="s">
        <v>22</v>
      </c>
      <c r="G1960" t="s">
        <v>40</v>
      </c>
      <c r="H1960" t="s">
        <v>102</v>
      </c>
      <c r="I1960" t="s">
        <v>9</v>
      </c>
      <c r="J1960" t="s">
        <v>20</v>
      </c>
      <c r="K1960" t="s">
        <v>19</v>
      </c>
      <c r="L1960" t="s">
        <v>53</v>
      </c>
      <c r="M1960" t="s">
        <v>55</v>
      </c>
      <c r="N1960" t="s">
        <v>37</v>
      </c>
      <c r="O1960" t="s">
        <v>18</v>
      </c>
      <c r="P1960">
        <v>1</v>
      </c>
    </row>
    <row r="1961" spans="1:16" x14ac:dyDescent="0.3">
      <c r="A1961">
        <v>2484</v>
      </c>
      <c r="B1961">
        <v>44556</v>
      </c>
      <c r="C1961">
        <v>74</v>
      </c>
      <c r="D1961">
        <v>17498</v>
      </c>
      <c r="E1961" t="s">
        <v>14</v>
      </c>
      <c r="F1961" t="s">
        <v>22</v>
      </c>
      <c r="G1961" t="s">
        <v>31</v>
      </c>
      <c r="H1961" t="s">
        <v>83</v>
      </c>
      <c r="I1961" t="s">
        <v>9</v>
      </c>
      <c r="J1961" t="s">
        <v>20</v>
      </c>
      <c r="K1961" t="s">
        <v>19</v>
      </c>
      <c r="L1961" t="s">
        <v>53</v>
      </c>
      <c r="M1961" t="s">
        <v>35</v>
      </c>
      <c r="N1961" t="s">
        <v>37</v>
      </c>
      <c r="O1961" t="s">
        <v>18</v>
      </c>
      <c r="P1961">
        <v>2</v>
      </c>
    </row>
    <row r="1962" spans="1:16" x14ac:dyDescent="0.3">
      <c r="A1962">
        <v>2485</v>
      </c>
      <c r="B1962">
        <v>43894</v>
      </c>
      <c r="C1962">
        <v>75</v>
      </c>
      <c r="D1962">
        <v>16735</v>
      </c>
      <c r="E1962" t="s">
        <v>14</v>
      </c>
      <c r="F1962" t="s">
        <v>22</v>
      </c>
      <c r="G1962" t="s">
        <v>17</v>
      </c>
      <c r="H1962" t="s">
        <v>85</v>
      </c>
      <c r="I1962" t="s">
        <v>9</v>
      </c>
      <c r="J1962" t="s">
        <v>20</v>
      </c>
      <c r="K1962" t="s">
        <v>26</v>
      </c>
      <c r="L1962" t="s">
        <v>87</v>
      </c>
      <c r="M1962" t="s">
        <v>61</v>
      </c>
      <c r="N1962" t="s">
        <v>16</v>
      </c>
      <c r="O1962" t="s">
        <v>18</v>
      </c>
      <c r="P1962">
        <v>5</v>
      </c>
    </row>
    <row r="1963" spans="1:16" x14ac:dyDescent="0.3">
      <c r="A1963">
        <v>2486</v>
      </c>
      <c r="B1963">
        <v>43954</v>
      </c>
      <c r="C1963">
        <v>35</v>
      </c>
      <c r="D1963">
        <v>31283</v>
      </c>
      <c r="E1963" t="s">
        <v>14</v>
      </c>
      <c r="F1963" t="s">
        <v>22</v>
      </c>
      <c r="G1963" t="s">
        <v>34</v>
      </c>
      <c r="H1963" t="s">
        <v>103</v>
      </c>
      <c r="I1963" t="s">
        <v>9</v>
      </c>
      <c r="J1963" t="s">
        <v>20</v>
      </c>
      <c r="K1963" t="s">
        <v>19</v>
      </c>
      <c r="L1963" t="s">
        <v>53</v>
      </c>
      <c r="M1963" t="s">
        <v>32</v>
      </c>
      <c r="N1963" t="s">
        <v>37</v>
      </c>
      <c r="O1963" t="s">
        <v>18</v>
      </c>
      <c r="P1963">
        <v>1</v>
      </c>
    </row>
    <row r="1964" spans="1:16" x14ac:dyDescent="0.3">
      <c r="A1964">
        <v>2487</v>
      </c>
      <c r="B1964">
        <v>43666</v>
      </c>
      <c r="C1964">
        <v>41</v>
      </c>
      <c r="D1964">
        <v>28833</v>
      </c>
      <c r="E1964" t="s">
        <v>14</v>
      </c>
      <c r="F1964" t="s">
        <v>22</v>
      </c>
      <c r="G1964" t="s">
        <v>31</v>
      </c>
      <c r="H1964" t="s">
        <v>103</v>
      </c>
      <c r="I1964" t="s">
        <v>9</v>
      </c>
      <c r="J1964" t="s">
        <v>20</v>
      </c>
      <c r="K1964" t="s">
        <v>19</v>
      </c>
      <c r="L1964" t="s">
        <v>53</v>
      </c>
      <c r="M1964" t="s">
        <v>49</v>
      </c>
      <c r="N1964" t="s">
        <v>16</v>
      </c>
      <c r="O1964" t="s">
        <v>18</v>
      </c>
      <c r="P1964">
        <v>1</v>
      </c>
    </row>
    <row r="1965" spans="1:16" x14ac:dyDescent="0.3">
      <c r="A1965">
        <v>2488</v>
      </c>
      <c r="B1965">
        <v>44707</v>
      </c>
      <c r="C1965">
        <v>33</v>
      </c>
      <c r="D1965">
        <v>32539</v>
      </c>
      <c r="E1965" t="s">
        <v>14</v>
      </c>
      <c r="F1965" t="s">
        <v>22</v>
      </c>
      <c r="G1965" t="s">
        <v>34</v>
      </c>
      <c r="H1965" t="s">
        <v>108</v>
      </c>
      <c r="I1965" t="s">
        <v>9</v>
      </c>
      <c r="J1965" t="s">
        <v>10</v>
      </c>
      <c r="K1965" t="s">
        <v>19</v>
      </c>
      <c r="L1965" t="s">
        <v>53</v>
      </c>
      <c r="M1965" t="s">
        <v>35</v>
      </c>
      <c r="N1965" t="s">
        <v>30</v>
      </c>
      <c r="O1965" t="s">
        <v>18</v>
      </c>
      <c r="P1965">
        <v>4</v>
      </c>
    </row>
    <row r="1966" spans="1:16" x14ac:dyDescent="0.3">
      <c r="A1966">
        <v>2489</v>
      </c>
      <c r="B1966">
        <v>44401</v>
      </c>
      <c r="C1966">
        <v>67</v>
      </c>
      <c r="D1966">
        <v>19928</v>
      </c>
      <c r="E1966" t="s">
        <v>14</v>
      </c>
      <c r="F1966" t="s">
        <v>22</v>
      </c>
      <c r="G1966" t="s">
        <v>31</v>
      </c>
      <c r="H1966" t="s">
        <v>104</v>
      </c>
      <c r="I1966" t="s">
        <v>9</v>
      </c>
      <c r="J1966" t="s">
        <v>10</v>
      </c>
      <c r="K1966" t="s">
        <v>19</v>
      </c>
      <c r="L1966" t="s">
        <v>53</v>
      </c>
      <c r="M1966" t="s">
        <v>35</v>
      </c>
      <c r="N1966" t="s">
        <v>23</v>
      </c>
      <c r="O1966" t="s">
        <v>18</v>
      </c>
      <c r="P1966">
        <v>3</v>
      </c>
    </row>
    <row r="1967" spans="1:16" x14ac:dyDescent="0.3">
      <c r="A1967">
        <v>2490</v>
      </c>
      <c r="B1967">
        <v>44466</v>
      </c>
      <c r="C1967">
        <v>67</v>
      </c>
      <c r="D1967">
        <v>19926</v>
      </c>
      <c r="E1967" t="s">
        <v>14</v>
      </c>
      <c r="F1967" t="s">
        <v>22</v>
      </c>
      <c r="G1967" t="s">
        <v>17</v>
      </c>
      <c r="H1967" t="s">
        <v>106</v>
      </c>
      <c r="I1967" t="s">
        <v>9</v>
      </c>
      <c r="J1967" t="s">
        <v>10</v>
      </c>
      <c r="K1967" t="s">
        <v>19</v>
      </c>
      <c r="L1967" t="s">
        <v>53</v>
      </c>
      <c r="M1967" t="s">
        <v>32</v>
      </c>
      <c r="N1967" t="s">
        <v>30</v>
      </c>
      <c r="O1967" t="s">
        <v>18</v>
      </c>
      <c r="P1967">
        <v>2</v>
      </c>
    </row>
    <row r="1968" spans="1:16" x14ac:dyDescent="0.3">
      <c r="A1968">
        <v>2491</v>
      </c>
      <c r="B1968">
        <v>43562</v>
      </c>
      <c r="C1968">
        <v>75</v>
      </c>
      <c r="D1968">
        <v>16220</v>
      </c>
      <c r="E1968" t="s">
        <v>14</v>
      </c>
      <c r="F1968" t="s">
        <v>22</v>
      </c>
      <c r="G1968" t="s">
        <v>31</v>
      </c>
      <c r="H1968" t="s">
        <v>86</v>
      </c>
      <c r="I1968" t="s">
        <v>9</v>
      </c>
      <c r="J1968" t="s">
        <v>10</v>
      </c>
      <c r="K1968" t="s">
        <v>19</v>
      </c>
      <c r="L1968" t="s">
        <v>87</v>
      </c>
      <c r="M1968" t="s">
        <v>32</v>
      </c>
      <c r="N1968" t="s">
        <v>37</v>
      </c>
      <c r="O1968" t="s">
        <v>18</v>
      </c>
      <c r="P1968">
        <v>5</v>
      </c>
    </row>
    <row r="1969" spans="1:16" x14ac:dyDescent="0.3">
      <c r="A1969">
        <v>2492</v>
      </c>
      <c r="B1969">
        <v>43666</v>
      </c>
      <c r="C1969">
        <v>62</v>
      </c>
      <c r="D1969">
        <v>21158</v>
      </c>
      <c r="E1969" t="s">
        <v>14</v>
      </c>
      <c r="F1969" t="s">
        <v>22</v>
      </c>
      <c r="G1969" t="s">
        <v>34</v>
      </c>
      <c r="H1969" t="s">
        <v>86</v>
      </c>
      <c r="I1969" t="s">
        <v>9</v>
      </c>
      <c r="J1969" t="s">
        <v>25</v>
      </c>
      <c r="K1969" t="s">
        <v>11</v>
      </c>
      <c r="L1969" t="s">
        <v>87</v>
      </c>
      <c r="M1969" t="s">
        <v>32</v>
      </c>
      <c r="N1969" t="s">
        <v>16</v>
      </c>
      <c r="O1969" t="s">
        <v>18</v>
      </c>
      <c r="P1969">
        <v>2</v>
      </c>
    </row>
    <row r="1970" spans="1:16" x14ac:dyDescent="0.3">
      <c r="A1970">
        <v>2493</v>
      </c>
      <c r="B1970">
        <v>44898</v>
      </c>
      <c r="C1970">
        <v>41</v>
      </c>
      <c r="D1970">
        <v>29722</v>
      </c>
      <c r="E1970" t="s">
        <v>14</v>
      </c>
      <c r="F1970" t="s">
        <v>22</v>
      </c>
      <c r="G1970" t="s">
        <v>40</v>
      </c>
      <c r="H1970" t="s">
        <v>86</v>
      </c>
      <c r="I1970" t="s">
        <v>9</v>
      </c>
      <c r="J1970" t="s">
        <v>10</v>
      </c>
      <c r="K1970" t="s">
        <v>11</v>
      </c>
      <c r="L1970" t="s">
        <v>87</v>
      </c>
      <c r="M1970" t="s">
        <v>35</v>
      </c>
      <c r="N1970" t="s">
        <v>37</v>
      </c>
      <c r="O1970" t="s">
        <v>18</v>
      </c>
      <c r="P1970">
        <v>3</v>
      </c>
    </row>
    <row r="1971" spans="1:16" x14ac:dyDescent="0.3">
      <c r="A1971">
        <v>2494</v>
      </c>
      <c r="B1971">
        <v>43925</v>
      </c>
      <c r="C1971">
        <v>42</v>
      </c>
      <c r="D1971">
        <v>28706</v>
      </c>
      <c r="E1971" t="s">
        <v>14</v>
      </c>
      <c r="F1971" t="s">
        <v>22</v>
      </c>
      <c r="G1971" t="s">
        <v>34</v>
      </c>
      <c r="H1971" t="s">
        <v>103</v>
      </c>
      <c r="I1971" t="s">
        <v>9</v>
      </c>
      <c r="J1971" t="s">
        <v>10</v>
      </c>
      <c r="K1971" t="s">
        <v>19</v>
      </c>
      <c r="L1971" t="s">
        <v>53</v>
      </c>
      <c r="M1971" t="s">
        <v>35</v>
      </c>
      <c r="N1971" t="s">
        <v>46</v>
      </c>
      <c r="O1971" t="s">
        <v>18</v>
      </c>
      <c r="P1971">
        <v>1</v>
      </c>
    </row>
    <row r="1972" spans="1:16" x14ac:dyDescent="0.3">
      <c r="A1972">
        <v>2495</v>
      </c>
      <c r="B1972">
        <v>43898</v>
      </c>
      <c r="C1972">
        <v>50</v>
      </c>
      <c r="D1972">
        <v>25594</v>
      </c>
      <c r="E1972" t="s">
        <v>14</v>
      </c>
      <c r="F1972" t="s">
        <v>22</v>
      </c>
      <c r="G1972" t="s">
        <v>34</v>
      </c>
      <c r="H1972" t="s">
        <v>108</v>
      </c>
      <c r="I1972" t="s">
        <v>9</v>
      </c>
      <c r="J1972" t="s">
        <v>10</v>
      </c>
      <c r="K1972" t="s">
        <v>26</v>
      </c>
      <c r="L1972" t="s">
        <v>53</v>
      </c>
      <c r="M1972" t="s">
        <v>55</v>
      </c>
      <c r="N1972" t="s">
        <v>37</v>
      </c>
      <c r="O1972" t="s">
        <v>18</v>
      </c>
      <c r="P1972">
        <v>1</v>
      </c>
    </row>
    <row r="1973" spans="1:16" x14ac:dyDescent="0.3">
      <c r="A1973">
        <v>2496</v>
      </c>
      <c r="B1973">
        <v>44102</v>
      </c>
      <c r="C1973">
        <v>59</v>
      </c>
      <c r="D1973">
        <v>22358</v>
      </c>
      <c r="E1973" t="s">
        <v>14</v>
      </c>
      <c r="F1973" t="s">
        <v>22</v>
      </c>
      <c r="G1973" t="s">
        <v>31</v>
      </c>
      <c r="H1973" t="s">
        <v>104</v>
      </c>
      <c r="I1973" t="s">
        <v>9</v>
      </c>
      <c r="J1973" t="s">
        <v>20</v>
      </c>
      <c r="K1973" t="s">
        <v>26</v>
      </c>
      <c r="L1973" t="s">
        <v>53</v>
      </c>
      <c r="M1973" t="s">
        <v>69</v>
      </c>
      <c r="N1973" t="s">
        <v>30</v>
      </c>
      <c r="O1973" t="s">
        <v>18</v>
      </c>
      <c r="P1973">
        <v>3</v>
      </c>
    </row>
    <row r="1974" spans="1:16" x14ac:dyDescent="0.3">
      <c r="A1974">
        <v>2497</v>
      </c>
      <c r="B1974">
        <v>44391</v>
      </c>
      <c r="C1974">
        <v>66</v>
      </c>
      <c r="D1974">
        <v>20337</v>
      </c>
      <c r="E1974" t="s">
        <v>14</v>
      </c>
      <c r="F1974" t="s">
        <v>22</v>
      </c>
      <c r="G1974" t="s">
        <v>31</v>
      </c>
      <c r="H1974" t="s">
        <v>106</v>
      </c>
      <c r="I1974" t="s">
        <v>9</v>
      </c>
      <c r="J1974" t="s">
        <v>25</v>
      </c>
      <c r="K1974" t="s">
        <v>11</v>
      </c>
      <c r="L1974" t="s">
        <v>53</v>
      </c>
      <c r="M1974" t="s">
        <v>35</v>
      </c>
      <c r="N1974" t="s">
        <v>16</v>
      </c>
      <c r="O1974" t="s">
        <v>18</v>
      </c>
      <c r="P1974">
        <v>2</v>
      </c>
    </row>
    <row r="1975" spans="1:16" x14ac:dyDescent="0.3">
      <c r="A1975">
        <v>2498</v>
      </c>
      <c r="B1975">
        <v>43755</v>
      </c>
      <c r="C1975">
        <v>20</v>
      </c>
      <c r="D1975">
        <v>36411</v>
      </c>
      <c r="E1975" t="s">
        <v>14</v>
      </c>
      <c r="F1975" t="s">
        <v>15</v>
      </c>
      <c r="G1975" t="s">
        <v>40</v>
      </c>
      <c r="H1975" t="s">
        <v>97</v>
      </c>
      <c r="I1975" t="s">
        <v>66</v>
      </c>
      <c r="J1975" t="s">
        <v>25</v>
      </c>
      <c r="K1975" t="s">
        <v>19</v>
      </c>
      <c r="L1975" t="s">
        <v>53</v>
      </c>
      <c r="M1975" t="s">
        <v>35</v>
      </c>
      <c r="N1975" t="s">
        <v>46</v>
      </c>
      <c r="O1975" t="s">
        <v>18</v>
      </c>
      <c r="P1975">
        <v>3</v>
      </c>
    </row>
    <row r="1976" spans="1:16" x14ac:dyDescent="0.3">
      <c r="A1976">
        <v>2499</v>
      </c>
      <c r="B1976">
        <v>45024</v>
      </c>
      <c r="C1976">
        <v>34</v>
      </c>
      <c r="D1976">
        <v>32755</v>
      </c>
      <c r="E1976" t="s">
        <v>14</v>
      </c>
      <c r="F1976" t="s">
        <v>22</v>
      </c>
      <c r="G1976" t="s">
        <v>34</v>
      </c>
      <c r="H1976" t="s">
        <v>86</v>
      </c>
      <c r="I1976" t="s">
        <v>9</v>
      </c>
      <c r="J1976" t="s">
        <v>10</v>
      </c>
      <c r="K1976" t="s">
        <v>26</v>
      </c>
      <c r="L1976" t="s">
        <v>87</v>
      </c>
      <c r="M1976" t="s">
        <v>54</v>
      </c>
      <c r="N1976" t="s">
        <v>46</v>
      </c>
      <c r="O1976" t="s">
        <v>18</v>
      </c>
      <c r="P1976">
        <v>5</v>
      </c>
    </row>
    <row r="1977" spans="1:16" x14ac:dyDescent="0.3">
      <c r="A1977">
        <v>2500</v>
      </c>
      <c r="B1977">
        <v>43671</v>
      </c>
      <c r="C1977">
        <v>71</v>
      </c>
      <c r="D1977">
        <v>17701</v>
      </c>
      <c r="E1977" t="s">
        <v>14</v>
      </c>
      <c r="F1977" t="s">
        <v>22</v>
      </c>
      <c r="G1977" t="s">
        <v>34</v>
      </c>
      <c r="H1977" t="s">
        <v>86</v>
      </c>
      <c r="I1977" t="s">
        <v>9</v>
      </c>
      <c r="J1977" t="s">
        <v>25</v>
      </c>
      <c r="K1977" t="s">
        <v>11</v>
      </c>
      <c r="L1977" t="s">
        <v>87</v>
      </c>
      <c r="M1977" t="s">
        <v>35</v>
      </c>
      <c r="N1977" t="s">
        <v>23</v>
      </c>
      <c r="O1977" t="s">
        <v>18</v>
      </c>
      <c r="P1977">
        <v>3</v>
      </c>
    </row>
    <row r="1978" spans="1:16" x14ac:dyDescent="0.3">
      <c r="A1978">
        <v>2501</v>
      </c>
      <c r="B1978">
        <v>44920</v>
      </c>
      <c r="C1978">
        <v>70</v>
      </c>
      <c r="D1978">
        <v>19279</v>
      </c>
      <c r="E1978" t="s">
        <v>14</v>
      </c>
      <c r="F1978" t="s">
        <v>22</v>
      </c>
      <c r="G1978" t="s">
        <v>40</v>
      </c>
      <c r="H1978" t="s">
        <v>86</v>
      </c>
      <c r="I1978" t="s">
        <v>9</v>
      </c>
      <c r="J1978" t="s">
        <v>25</v>
      </c>
      <c r="K1978" t="s">
        <v>19</v>
      </c>
      <c r="L1978" t="s">
        <v>87</v>
      </c>
      <c r="M1978" t="s">
        <v>13</v>
      </c>
      <c r="N1978" t="s">
        <v>37</v>
      </c>
      <c r="O1978" t="s">
        <v>18</v>
      </c>
      <c r="P1978">
        <v>5</v>
      </c>
    </row>
    <row r="1979" spans="1:16" x14ac:dyDescent="0.3">
      <c r="A1979">
        <v>2502</v>
      </c>
      <c r="B1979">
        <v>43492</v>
      </c>
      <c r="C1979">
        <v>20</v>
      </c>
      <c r="D1979">
        <v>36317</v>
      </c>
      <c r="E1979" t="s">
        <v>14</v>
      </c>
      <c r="F1979" t="s">
        <v>22</v>
      </c>
      <c r="G1979" t="s">
        <v>40</v>
      </c>
      <c r="H1979" t="s">
        <v>86</v>
      </c>
      <c r="I1979" t="s">
        <v>9</v>
      </c>
      <c r="J1979" t="s">
        <v>20</v>
      </c>
      <c r="K1979" t="s">
        <v>11</v>
      </c>
      <c r="L1979" t="s">
        <v>87</v>
      </c>
      <c r="M1979" t="s">
        <v>59</v>
      </c>
      <c r="N1979" t="s">
        <v>16</v>
      </c>
      <c r="O1979" t="s">
        <v>18</v>
      </c>
      <c r="P1979">
        <v>3</v>
      </c>
    </row>
    <row r="1980" spans="1:16" x14ac:dyDescent="0.3">
      <c r="A1980">
        <v>2503</v>
      </c>
      <c r="B1980">
        <v>44556</v>
      </c>
      <c r="C1980">
        <v>72</v>
      </c>
      <c r="D1980">
        <v>18255</v>
      </c>
      <c r="E1980" t="s">
        <v>14</v>
      </c>
      <c r="F1980" t="s">
        <v>22</v>
      </c>
      <c r="G1980" t="s">
        <v>34</v>
      </c>
      <c r="H1980" t="s">
        <v>103</v>
      </c>
      <c r="I1980" t="s">
        <v>9</v>
      </c>
      <c r="J1980" t="s">
        <v>10</v>
      </c>
      <c r="K1980" t="s">
        <v>11</v>
      </c>
      <c r="L1980" t="s">
        <v>53</v>
      </c>
      <c r="M1980" t="s">
        <v>32</v>
      </c>
      <c r="N1980" t="s">
        <v>16</v>
      </c>
      <c r="O1980" t="s">
        <v>18</v>
      </c>
      <c r="P1980">
        <v>1</v>
      </c>
    </row>
    <row r="1981" spans="1:16" x14ac:dyDescent="0.3">
      <c r="A1981">
        <v>2504</v>
      </c>
      <c r="B1981">
        <v>44938</v>
      </c>
      <c r="C1981">
        <v>47</v>
      </c>
      <c r="D1981">
        <v>27806</v>
      </c>
      <c r="E1981" t="s">
        <v>14</v>
      </c>
      <c r="F1981" t="s">
        <v>22</v>
      </c>
      <c r="G1981" t="s">
        <v>31</v>
      </c>
      <c r="H1981" t="s">
        <v>108</v>
      </c>
      <c r="I1981" t="s">
        <v>9</v>
      </c>
      <c r="J1981" t="s">
        <v>25</v>
      </c>
      <c r="K1981" t="s">
        <v>19</v>
      </c>
      <c r="L1981" t="s">
        <v>53</v>
      </c>
      <c r="M1981" t="s">
        <v>42</v>
      </c>
      <c r="N1981" t="s">
        <v>37</v>
      </c>
      <c r="O1981" t="s">
        <v>18</v>
      </c>
      <c r="P1981">
        <v>5</v>
      </c>
    </row>
    <row r="1982" spans="1:16" x14ac:dyDescent="0.3">
      <c r="A1982">
        <v>2505</v>
      </c>
      <c r="B1982">
        <v>43648</v>
      </c>
      <c r="C1982">
        <v>31</v>
      </c>
      <c r="D1982">
        <v>32264</v>
      </c>
      <c r="E1982" t="s">
        <v>14</v>
      </c>
      <c r="F1982" t="s">
        <v>22</v>
      </c>
      <c r="G1982" t="s">
        <v>31</v>
      </c>
      <c r="H1982" t="s">
        <v>104</v>
      </c>
      <c r="I1982" t="s">
        <v>9</v>
      </c>
      <c r="J1982" t="s">
        <v>10</v>
      </c>
      <c r="K1982" t="s">
        <v>26</v>
      </c>
      <c r="L1982" t="s">
        <v>53</v>
      </c>
      <c r="M1982" t="s">
        <v>49</v>
      </c>
      <c r="N1982" t="s">
        <v>46</v>
      </c>
      <c r="O1982" t="s">
        <v>18</v>
      </c>
      <c r="P1982">
        <v>2</v>
      </c>
    </row>
    <row r="1983" spans="1:16" x14ac:dyDescent="0.3">
      <c r="A1983">
        <v>2506</v>
      </c>
      <c r="B1983">
        <v>44742</v>
      </c>
      <c r="C1983">
        <v>75</v>
      </c>
      <c r="D1983">
        <v>17360</v>
      </c>
      <c r="E1983" t="s">
        <v>14</v>
      </c>
      <c r="F1983" t="s">
        <v>22</v>
      </c>
      <c r="G1983" t="s">
        <v>31</v>
      </c>
      <c r="H1983" t="s">
        <v>106</v>
      </c>
      <c r="I1983" t="s">
        <v>9</v>
      </c>
      <c r="J1983" t="s">
        <v>25</v>
      </c>
      <c r="K1983" t="s">
        <v>11</v>
      </c>
      <c r="L1983" t="s">
        <v>53</v>
      </c>
      <c r="M1983" t="s">
        <v>35</v>
      </c>
      <c r="N1983" t="s">
        <v>16</v>
      </c>
      <c r="O1983" t="s">
        <v>18</v>
      </c>
      <c r="P1983">
        <v>3</v>
      </c>
    </row>
    <row r="1984" spans="1:16" x14ac:dyDescent="0.3">
      <c r="A1984">
        <v>2507</v>
      </c>
      <c r="B1984">
        <v>44931</v>
      </c>
      <c r="C1984">
        <v>38</v>
      </c>
      <c r="D1984">
        <v>31296</v>
      </c>
      <c r="E1984" t="s">
        <v>14</v>
      </c>
      <c r="F1984" t="s">
        <v>15</v>
      </c>
      <c r="G1984" t="s">
        <v>31</v>
      </c>
      <c r="H1984" t="s">
        <v>97</v>
      </c>
      <c r="I1984" t="s">
        <v>66</v>
      </c>
      <c r="J1984" t="s">
        <v>20</v>
      </c>
      <c r="K1984" t="s">
        <v>26</v>
      </c>
      <c r="L1984" t="s">
        <v>53</v>
      </c>
      <c r="M1984" t="s">
        <v>21</v>
      </c>
      <c r="N1984" t="s">
        <v>16</v>
      </c>
      <c r="O1984" t="s">
        <v>18</v>
      </c>
      <c r="P1984">
        <v>3</v>
      </c>
    </row>
    <row r="1985" spans="1:16" x14ac:dyDescent="0.3">
      <c r="A1985">
        <v>2508</v>
      </c>
      <c r="B1985">
        <v>43422</v>
      </c>
      <c r="C1985">
        <v>46</v>
      </c>
      <c r="D1985">
        <v>26470</v>
      </c>
      <c r="E1985" t="s">
        <v>14</v>
      </c>
      <c r="F1985" t="s">
        <v>22</v>
      </c>
      <c r="G1985" t="s">
        <v>31</v>
      </c>
      <c r="H1985" t="s">
        <v>97</v>
      </c>
      <c r="I1985" t="s">
        <v>9</v>
      </c>
      <c r="J1985" t="s">
        <v>25</v>
      </c>
      <c r="K1985" t="s">
        <v>19</v>
      </c>
      <c r="L1985" t="s">
        <v>53</v>
      </c>
      <c r="M1985" t="s">
        <v>35</v>
      </c>
      <c r="N1985" t="s">
        <v>30</v>
      </c>
      <c r="O1985" t="s">
        <v>18</v>
      </c>
      <c r="P1985">
        <v>4</v>
      </c>
    </row>
    <row r="1986" spans="1:16" x14ac:dyDescent="0.3">
      <c r="A1986">
        <v>2509</v>
      </c>
      <c r="B1986">
        <v>44095</v>
      </c>
      <c r="C1986">
        <v>22</v>
      </c>
      <c r="D1986">
        <v>35873</v>
      </c>
      <c r="E1986" t="s">
        <v>14</v>
      </c>
      <c r="F1986" t="s">
        <v>15</v>
      </c>
      <c r="G1986" t="s">
        <v>34</v>
      </c>
      <c r="H1986" t="s">
        <v>86</v>
      </c>
      <c r="I1986" t="s">
        <v>9</v>
      </c>
      <c r="J1986" t="s">
        <v>20</v>
      </c>
      <c r="K1986" t="s">
        <v>11</v>
      </c>
      <c r="L1986" t="s">
        <v>87</v>
      </c>
      <c r="M1986" t="s">
        <v>67</v>
      </c>
      <c r="N1986" t="s">
        <v>23</v>
      </c>
      <c r="O1986" t="s">
        <v>18</v>
      </c>
      <c r="P1986">
        <v>2</v>
      </c>
    </row>
    <row r="1987" spans="1:16" x14ac:dyDescent="0.3">
      <c r="A1987">
        <v>2510</v>
      </c>
      <c r="B1987">
        <v>43794</v>
      </c>
      <c r="C1987">
        <v>31</v>
      </c>
      <c r="D1987">
        <v>32226</v>
      </c>
      <c r="E1987" t="s">
        <v>14</v>
      </c>
      <c r="F1987" t="s">
        <v>22</v>
      </c>
      <c r="G1987" t="s">
        <v>31</v>
      </c>
      <c r="H1987" t="s">
        <v>86</v>
      </c>
      <c r="I1987" t="s">
        <v>9</v>
      </c>
      <c r="J1987" t="s">
        <v>10</v>
      </c>
      <c r="K1987" t="s">
        <v>11</v>
      </c>
      <c r="L1987" t="s">
        <v>87</v>
      </c>
      <c r="M1987" t="s">
        <v>21</v>
      </c>
      <c r="N1987" t="s">
        <v>46</v>
      </c>
      <c r="O1987" t="s">
        <v>18</v>
      </c>
      <c r="P1987">
        <v>2</v>
      </c>
    </row>
    <row r="1988" spans="1:16" x14ac:dyDescent="0.3">
      <c r="A1988">
        <v>2511</v>
      </c>
      <c r="B1988">
        <v>44232</v>
      </c>
      <c r="C1988">
        <v>75</v>
      </c>
      <c r="D1988">
        <v>17163</v>
      </c>
      <c r="E1988" t="s">
        <v>14</v>
      </c>
      <c r="F1988" t="s">
        <v>22</v>
      </c>
      <c r="G1988" t="s">
        <v>31</v>
      </c>
      <c r="H1988" t="s">
        <v>86</v>
      </c>
      <c r="I1988" t="s">
        <v>9</v>
      </c>
      <c r="J1988" t="s">
        <v>25</v>
      </c>
      <c r="K1988" t="s">
        <v>11</v>
      </c>
      <c r="L1988" t="s">
        <v>87</v>
      </c>
      <c r="M1988" t="s">
        <v>42</v>
      </c>
      <c r="N1988" t="s">
        <v>46</v>
      </c>
      <c r="O1988" t="s">
        <v>18</v>
      </c>
      <c r="P1988">
        <v>3</v>
      </c>
    </row>
    <row r="1989" spans="1:16" x14ac:dyDescent="0.3">
      <c r="A1989">
        <v>2512</v>
      </c>
      <c r="B1989">
        <v>45032</v>
      </c>
      <c r="C1989">
        <v>56</v>
      </c>
      <c r="D1989">
        <v>24537</v>
      </c>
      <c r="E1989" t="s">
        <v>14</v>
      </c>
      <c r="F1989" t="s">
        <v>22</v>
      </c>
      <c r="G1989" t="s">
        <v>17</v>
      </c>
      <c r="H1989" t="s">
        <v>86</v>
      </c>
      <c r="I1989" t="s">
        <v>9</v>
      </c>
      <c r="J1989" t="s">
        <v>20</v>
      </c>
      <c r="K1989" t="s">
        <v>26</v>
      </c>
      <c r="L1989" t="s">
        <v>87</v>
      </c>
      <c r="M1989" t="s">
        <v>35</v>
      </c>
      <c r="N1989" t="s">
        <v>23</v>
      </c>
      <c r="O1989" t="s">
        <v>18</v>
      </c>
      <c r="P1989">
        <v>4</v>
      </c>
    </row>
    <row r="1990" spans="1:16" x14ac:dyDescent="0.3">
      <c r="A1990">
        <v>2513</v>
      </c>
      <c r="B1990">
        <v>44427</v>
      </c>
      <c r="C1990">
        <v>80</v>
      </c>
      <c r="D1990">
        <v>15267</v>
      </c>
      <c r="E1990" t="s">
        <v>14</v>
      </c>
      <c r="F1990" t="s">
        <v>22</v>
      </c>
      <c r="G1990" t="s">
        <v>40</v>
      </c>
      <c r="H1990" t="s">
        <v>103</v>
      </c>
      <c r="I1990" t="s">
        <v>9</v>
      </c>
      <c r="J1990" t="s">
        <v>25</v>
      </c>
      <c r="K1990" t="s">
        <v>19</v>
      </c>
      <c r="L1990" t="s">
        <v>53</v>
      </c>
      <c r="M1990" t="s">
        <v>38</v>
      </c>
      <c r="N1990" t="s">
        <v>46</v>
      </c>
      <c r="O1990" t="s">
        <v>18</v>
      </c>
      <c r="P1990">
        <v>2</v>
      </c>
    </row>
    <row r="1991" spans="1:16" x14ac:dyDescent="0.3">
      <c r="A1991">
        <v>2514</v>
      </c>
      <c r="B1991">
        <v>44575</v>
      </c>
      <c r="C1991">
        <v>65</v>
      </c>
      <c r="D1991">
        <v>21072</v>
      </c>
      <c r="E1991" t="s">
        <v>14</v>
      </c>
      <c r="F1991" t="s">
        <v>22</v>
      </c>
      <c r="G1991" t="s">
        <v>31</v>
      </c>
      <c r="H1991" t="s">
        <v>108</v>
      </c>
      <c r="I1991" t="s">
        <v>9</v>
      </c>
      <c r="J1991" t="s">
        <v>20</v>
      </c>
      <c r="K1991" t="s">
        <v>19</v>
      </c>
      <c r="L1991" t="s">
        <v>53</v>
      </c>
      <c r="M1991" t="s">
        <v>42</v>
      </c>
      <c r="N1991" t="s">
        <v>16</v>
      </c>
      <c r="O1991" t="s">
        <v>18</v>
      </c>
      <c r="P1991">
        <v>2</v>
      </c>
    </row>
    <row r="1992" spans="1:16" x14ac:dyDescent="0.3">
      <c r="A1992">
        <v>2515</v>
      </c>
      <c r="B1992">
        <v>43354</v>
      </c>
      <c r="C1992">
        <v>22</v>
      </c>
      <c r="D1992">
        <v>35226</v>
      </c>
      <c r="E1992" t="s">
        <v>14</v>
      </c>
      <c r="F1992" t="s">
        <v>22</v>
      </c>
      <c r="G1992" t="s">
        <v>31</v>
      </c>
      <c r="H1992" t="s">
        <v>104</v>
      </c>
      <c r="I1992" t="s">
        <v>9</v>
      </c>
      <c r="J1992" t="s">
        <v>10</v>
      </c>
      <c r="K1992" t="s">
        <v>19</v>
      </c>
      <c r="L1992" t="s">
        <v>53</v>
      </c>
      <c r="M1992" t="s">
        <v>28</v>
      </c>
      <c r="N1992" t="s">
        <v>23</v>
      </c>
      <c r="O1992" t="s">
        <v>18</v>
      </c>
      <c r="P1992">
        <v>1</v>
      </c>
    </row>
    <row r="1993" spans="1:16" x14ac:dyDescent="0.3">
      <c r="A1993">
        <v>2516</v>
      </c>
      <c r="B1993">
        <v>44610</v>
      </c>
      <c r="C1993">
        <v>33</v>
      </c>
      <c r="D1993">
        <v>32714</v>
      </c>
      <c r="E1993" t="s">
        <v>14</v>
      </c>
      <c r="F1993" t="s">
        <v>22</v>
      </c>
      <c r="G1993" t="s">
        <v>17</v>
      </c>
      <c r="H1993" t="s">
        <v>106</v>
      </c>
      <c r="I1993" t="s">
        <v>9</v>
      </c>
      <c r="J1993" t="s">
        <v>25</v>
      </c>
      <c r="K1993" t="s">
        <v>11</v>
      </c>
      <c r="L1993" t="s">
        <v>53</v>
      </c>
      <c r="M1993" t="s">
        <v>35</v>
      </c>
      <c r="N1993" t="s">
        <v>23</v>
      </c>
      <c r="O1993" t="s">
        <v>18</v>
      </c>
      <c r="P1993">
        <v>1</v>
      </c>
    </row>
    <row r="1994" spans="1:16" x14ac:dyDescent="0.3">
      <c r="A1994">
        <v>2517</v>
      </c>
      <c r="B1994">
        <v>43800</v>
      </c>
      <c r="C1994">
        <v>56</v>
      </c>
      <c r="D1994">
        <v>23052</v>
      </c>
      <c r="E1994" t="s">
        <v>14</v>
      </c>
      <c r="F1994" t="s">
        <v>22</v>
      </c>
      <c r="G1994" t="s">
        <v>31</v>
      </c>
      <c r="H1994" t="s">
        <v>97</v>
      </c>
      <c r="I1994" t="s">
        <v>9</v>
      </c>
      <c r="J1994" t="s">
        <v>25</v>
      </c>
      <c r="K1994" t="s">
        <v>19</v>
      </c>
      <c r="L1994" t="s">
        <v>53</v>
      </c>
      <c r="M1994" t="s">
        <v>21</v>
      </c>
      <c r="N1994" t="s">
        <v>46</v>
      </c>
      <c r="O1994" t="s">
        <v>18</v>
      </c>
      <c r="P1994">
        <v>5</v>
      </c>
    </row>
    <row r="1995" spans="1:16" x14ac:dyDescent="0.3">
      <c r="A1995">
        <v>2518</v>
      </c>
      <c r="B1995">
        <v>44255</v>
      </c>
      <c r="C1995">
        <v>58</v>
      </c>
      <c r="D1995">
        <v>23371</v>
      </c>
      <c r="E1995" t="s">
        <v>14</v>
      </c>
      <c r="F1995" t="s">
        <v>22</v>
      </c>
      <c r="G1995" t="s">
        <v>17</v>
      </c>
      <c r="H1995" t="s">
        <v>97</v>
      </c>
      <c r="I1995" t="s">
        <v>9</v>
      </c>
      <c r="J1995" t="s">
        <v>25</v>
      </c>
      <c r="K1995" t="s">
        <v>19</v>
      </c>
      <c r="L1995" t="s">
        <v>53</v>
      </c>
      <c r="M1995" t="s">
        <v>59</v>
      </c>
      <c r="N1995" t="s">
        <v>16</v>
      </c>
      <c r="O1995" t="s">
        <v>18</v>
      </c>
      <c r="P1995">
        <v>2</v>
      </c>
    </row>
    <row r="1996" spans="1:16" x14ac:dyDescent="0.3">
      <c r="A1996">
        <v>2519</v>
      </c>
      <c r="B1996">
        <v>44513</v>
      </c>
      <c r="C1996">
        <v>58</v>
      </c>
      <c r="D1996">
        <v>23145</v>
      </c>
      <c r="E1996" t="s">
        <v>14</v>
      </c>
      <c r="F1996" t="s">
        <v>15</v>
      </c>
      <c r="G1996" t="s">
        <v>34</v>
      </c>
      <c r="H1996" t="s">
        <v>86</v>
      </c>
      <c r="I1996" t="s">
        <v>9</v>
      </c>
      <c r="J1996" t="s">
        <v>20</v>
      </c>
      <c r="K1996" t="s">
        <v>19</v>
      </c>
      <c r="L1996" t="s">
        <v>87</v>
      </c>
      <c r="M1996" t="s">
        <v>49</v>
      </c>
      <c r="N1996" t="s">
        <v>16</v>
      </c>
      <c r="O1996" t="s">
        <v>18</v>
      </c>
      <c r="P1996">
        <v>5</v>
      </c>
    </row>
    <row r="1997" spans="1:16" x14ac:dyDescent="0.3">
      <c r="A1997">
        <v>2520</v>
      </c>
      <c r="B1997">
        <v>44101</v>
      </c>
      <c r="C1997">
        <v>72</v>
      </c>
      <c r="D1997">
        <v>17701</v>
      </c>
      <c r="E1997" t="s">
        <v>14</v>
      </c>
      <c r="F1997" t="s">
        <v>22</v>
      </c>
      <c r="G1997" t="s">
        <v>40</v>
      </c>
      <c r="H1997" t="s">
        <v>86</v>
      </c>
      <c r="I1997" t="s">
        <v>9</v>
      </c>
      <c r="J1997" t="s">
        <v>20</v>
      </c>
      <c r="K1997" t="s">
        <v>11</v>
      </c>
      <c r="L1997" t="s">
        <v>87</v>
      </c>
      <c r="M1997" t="s">
        <v>54</v>
      </c>
      <c r="N1997" t="s">
        <v>46</v>
      </c>
      <c r="O1997" t="s">
        <v>18</v>
      </c>
      <c r="P1997">
        <v>1</v>
      </c>
    </row>
    <row r="1998" spans="1:16" x14ac:dyDescent="0.3">
      <c r="A1998">
        <v>2521</v>
      </c>
      <c r="B1998">
        <v>44807</v>
      </c>
      <c r="C1998">
        <v>68</v>
      </c>
      <c r="D1998">
        <v>19960</v>
      </c>
      <c r="E1998" t="s">
        <v>14</v>
      </c>
      <c r="F1998" t="s">
        <v>22</v>
      </c>
      <c r="G1998" t="s">
        <v>40</v>
      </c>
      <c r="H1998" t="s">
        <v>86</v>
      </c>
      <c r="I1998" t="s">
        <v>9</v>
      </c>
      <c r="J1998" t="s">
        <v>10</v>
      </c>
      <c r="K1998" t="s">
        <v>11</v>
      </c>
      <c r="L1998" t="s">
        <v>87</v>
      </c>
      <c r="M1998" t="s">
        <v>42</v>
      </c>
      <c r="N1998" t="s">
        <v>16</v>
      </c>
      <c r="O1998" t="s">
        <v>18</v>
      </c>
      <c r="P1998">
        <v>4</v>
      </c>
    </row>
    <row r="1999" spans="1:16" x14ac:dyDescent="0.3">
      <c r="A1999">
        <v>2522</v>
      </c>
      <c r="B1999">
        <v>44113</v>
      </c>
      <c r="C1999">
        <v>71</v>
      </c>
      <c r="D1999">
        <v>17919</v>
      </c>
      <c r="E1999" t="s">
        <v>14</v>
      </c>
      <c r="F1999" t="s">
        <v>22</v>
      </c>
      <c r="G1999" t="s">
        <v>34</v>
      </c>
      <c r="H1999" t="s">
        <v>103</v>
      </c>
      <c r="I1999" t="s">
        <v>9</v>
      </c>
      <c r="J1999" t="s">
        <v>25</v>
      </c>
      <c r="K1999" t="s">
        <v>11</v>
      </c>
      <c r="L1999" t="s">
        <v>53</v>
      </c>
      <c r="M1999" t="s">
        <v>35</v>
      </c>
      <c r="N1999" t="s">
        <v>30</v>
      </c>
      <c r="O1999" t="s">
        <v>18</v>
      </c>
      <c r="P1999">
        <v>3</v>
      </c>
    </row>
    <row r="2000" spans="1:16" x14ac:dyDescent="0.3">
      <c r="A2000">
        <v>2523</v>
      </c>
      <c r="B2000">
        <v>44506</v>
      </c>
      <c r="C2000">
        <v>51</v>
      </c>
      <c r="D2000">
        <v>25819</v>
      </c>
      <c r="E2000" t="s">
        <v>14</v>
      </c>
      <c r="F2000" t="s">
        <v>22</v>
      </c>
      <c r="G2000" t="s">
        <v>31</v>
      </c>
      <c r="H2000" t="s">
        <v>108</v>
      </c>
      <c r="I2000" t="s">
        <v>9</v>
      </c>
      <c r="J2000" t="s">
        <v>25</v>
      </c>
      <c r="K2000" t="s">
        <v>19</v>
      </c>
      <c r="L2000" t="s">
        <v>53</v>
      </c>
      <c r="M2000" t="s">
        <v>32</v>
      </c>
      <c r="N2000" t="s">
        <v>23</v>
      </c>
      <c r="O2000" t="s">
        <v>18</v>
      </c>
      <c r="P2000">
        <v>1</v>
      </c>
    </row>
    <row r="2001" spans="1:16" x14ac:dyDescent="0.3">
      <c r="A2001">
        <v>2524</v>
      </c>
      <c r="B2001">
        <v>45101</v>
      </c>
      <c r="C2001">
        <v>54</v>
      </c>
      <c r="D2001">
        <v>25279</v>
      </c>
      <c r="E2001" t="s">
        <v>14</v>
      </c>
      <c r="F2001" t="s">
        <v>22</v>
      </c>
      <c r="G2001" t="s">
        <v>34</v>
      </c>
      <c r="H2001" t="s">
        <v>104</v>
      </c>
      <c r="I2001" t="s">
        <v>9</v>
      </c>
      <c r="J2001" t="s">
        <v>10</v>
      </c>
      <c r="K2001" t="s">
        <v>19</v>
      </c>
      <c r="L2001" t="s">
        <v>53</v>
      </c>
      <c r="M2001" t="s">
        <v>13</v>
      </c>
      <c r="N2001" t="s">
        <v>37</v>
      </c>
      <c r="O2001" t="s">
        <v>18</v>
      </c>
      <c r="P2001">
        <v>3</v>
      </c>
    </row>
    <row r="2002" spans="1:16" x14ac:dyDescent="0.3">
      <c r="A2002">
        <v>2525</v>
      </c>
      <c r="B2002">
        <v>44454</v>
      </c>
      <c r="C2002">
        <v>69</v>
      </c>
      <c r="D2002">
        <v>19031</v>
      </c>
      <c r="E2002" t="s">
        <v>14</v>
      </c>
      <c r="F2002" t="s">
        <v>22</v>
      </c>
      <c r="G2002" t="s">
        <v>34</v>
      </c>
      <c r="H2002" t="s">
        <v>106</v>
      </c>
      <c r="I2002" t="s">
        <v>9</v>
      </c>
      <c r="J2002" t="s">
        <v>25</v>
      </c>
      <c r="K2002" t="s">
        <v>26</v>
      </c>
      <c r="L2002" t="s">
        <v>27</v>
      </c>
      <c r="M2002" t="s">
        <v>32</v>
      </c>
      <c r="N2002" t="s">
        <v>30</v>
      </c>
      <c r="O2002" t="s">
        <v>18</v>
      </c>
      <c r="P2002">
        <v>5</v>
      </c>
    </row>
    <row r="2003" spans="1:16" x14ac:dyDescent="0.3">
      <c r="A2003">
        <v>2526</v>
      </c>
      <c r="B2003">
        <v>44848</v>
      </c>
      <c r="C2003">
        <v>58</v>
      </c>
      <c r="D2003">
        <v>23464</v>
      </c>
      <c r="E2003" t="s">
        <v>14</v>
      </c>
      <c r="F2003" t="s">
        <v>15</v>
      </c>
      <c r="G2003" t="s">
        <v>31</v>
      </c>
      <c r="H2003" t="s">
        <v>97</v>
      </c>
      <c r="I2003" t="s">
        <v>9</v>
      </c>
      <c r="J2003" t="s">
        <v>10</v>
      </c>
      <c r="K2003" t="s">
        <v>11</v>
      </c>
      <c r="L2003" t="s">
        <v>53</v>
      </c>
      <c r="M2003" t="s">
        <v>42</v>
      </c>
      <c r="N2003" t="s">
        <v>30</v>
      </c>
      <c r="O2003" t="s">
        <v>18</v>
      </c>
      <c r="P2003">
        <v>1</v>
      </c>
    </row>
    <row r="2004" spans="1:16" x14ac:dyDescent="0.3">
      <c r="A2004">
        <v>2527</v>
      </c>
      <c r="B2004">
        <v>43668</v>
      </c>
      <c r="C2004">
        <v>28</v>
      </c>
      <c r="D2004">
        <v>33403</v>
      </c>
      <c r="E2004" t="s">
        <v>14</v>
      </c>
      <c r="F2004" t="s">
        <v>22</v>
      </c>
      <c r="G2004" t="s">
        <v>34</v>
      </c>
      <c r="H2004" t="s">
        <v>97</v>
      </c>
      <c r="I2004" t="s">
        <v>9</v>
      </c>
      <c r="J2004" t="s">
        <v>25</v>
      </c>
      <c r="K2004" t="s">
        <v>19</v>
      </c>
      <c r="L2004" t="s">
        <v>53</v>
      </c>
      <c r="M2004" t="s">
        <v>42</v>
      </c>
      <c r="N2004" t="s">
        <v>46</v>
      </c>
      <c r="O2004" t="s">
        <v>18</v>
      </c>
      <c r="P2004">
        <v>4</v>
      </c>
    </row>
    <row r="2005" spans="1:16" x14ac:dyDescent="0.3">
      <c r="A2005">
        <v>2528</v>
      </c>
      <c r="B2005">
        <v>45005</v>
      </c>
      <c r="C2005">
        <v>38</v>
      </c>
      <c r="D2005">
        <v>31207</v>
      </c>
      <c r="E2005" t="s">
        <v>14</v>
      </c>
      <c r="F2005" t="s">
        <v>22</v>
      </c>
      <c r="G2005" t="s">
        <v>34</v>
      </c>
      <c r="H2005" t="s">
        <v>97</v>
      </c>
      <c r="I2005" t="s">
        <v>9</v>
      </c>
      <c r="J2005" t="s">
        <v>20</v>
      </c>
      <c r="K2005" t="s">
        <v>11</v>
      </c>
      <c r="L2005" t="s">
        <v>53</v>
      </c>
      <c r="M2005" t="s">
        <v>54</v>
      </c>
      <c r="N2005" t="s">
        <v>16</v>
      </c>
      <c r="O2005" t="s">
        <v>18</v>
      </c>
      <c r="P2005">
        <v>4</v>
      </c>
    </row>
    <row r="2006" spans="1:16" x14ac:dyDescent="0.3">
      <c r="A2006">
        <v>2529</v>
      </c>
      <c r="B2006">
        <v>44683</v>
      </c>
      <c r="C2006">
        <v>69</v>
      </c>
      <c r="D2006">
        <v>19496</v>
      </c>
      <c r="E2006" t="s">
        <v>14</v>
      </c>
      <c r="F2006" t="s">
        <v>15</v>
      </c>
      <c r="G2006" t="s">
        <v>31</v>
      </c>
      <c r="H2006" t="s">
        <v>86</v>
      </c>
      <c r="I2006" t="s">
        <v>9</v>
      </c>
      <c r="J2006" t="s">
        <v>25</v>
      </c>
      <c r="K2006" t="s">
        <v>26</v>
      </c>
      <c r="L2006" t="s">
        <v>87</v>
      </c>
      <c r="M2006" t="s">
        <v>69</v>
      </c>
      <c r="N2006" t="s">
        <v>30</v>
      </c>
      <c r="O2006" t="s">
        <v>18</v>
      </c>
      <c r="P2006">
        <v>5</v>
      </c>
    </row>
    <row r="2007" spans="1:16" x14ac:dyDescent="0.3">
      <c r="A2007">
        <v>2530</v>
      </c>
      <c r="B2007">
        <v>44854</v>
      </c>
      <c r="C2007">
        <v>42</v>
      </c>
      <c r="D2007">
        <v>29322</v>
      </c>
      <c r="E2007" t="s">
        <v>14</v>
      </c>
      <c r="F2007" t="s">
        <v>22</v>
      </c>
      <c r="G2007" t="s">
        <v>40</v>
      </c>
      <c r="H2007" t="s">
        <v>86</v>
      </c>
      <c r="I2007" t="s">
        <v>9</v>
      </c>
      <c r="J2007" t="s">
        <v>20</v>
      </c>
      <c r="K2007" t="s">
        <v>11</v>
      </c>
      <c r="L2007" t="s">
        <v>87</v>
      </c>
      <c r="M2007" t="s">
        <v>63</v>
      </c>
      <c r="N2007" t="s">
        <v>16</v>
      </c>
      <c r="O2007" t="s">
        <v>18</v>
      </c>
      <c r="P2007">
        <v>1</v>
      </c>
    </row>
    <row r="2008" spans="1:16" x14ac:dyDescent="0.3">
      <c r="A2008">
        <v>2531</v>
      </c>
      <c r="B2008">
        <v>45131</v>
      </c>
      <c r="C2008">
        <v>72</v>
      </c>
      <c r="D2008">
        <v>18769</v>
      </c>
      <c r="E2008" t="s">
        <v>14</v>
      </c>
      <c r="F2008" t="s">
        <v>22</v>
      </c>
      <c r="G2008" t="s">
        <v>17</v>
      </c>
      <c r="H2008" t="s">
        <v>86</v>
      </c>
      <c r="I2008" t="s">
        <v>9</v>
      </c>
      <c r="J2008" t="s">
        <v>20</v>
      </c>
      <c r="K2008" t="s">
        <v>26</v>
      </c>
      <c r="L2008" t="s">
        <v>87</v>
      </c>
      <c r="M2008" t="s">
        <v>44</v>
      </c>
      <c r="N2008" t="s">
        <v>37</v>
      </c>
      <c r="O2008" t="s">
        <v>18</v>
      </c>
      <c r="P2008">
        <v>5</v>
      </c>
    </row>
    <row r="2009" spans="1:16" x14ac:dyDescent="0.3">
      <c r="A2009">
        <v>2532</v>
      </c>
      <c r="B2009">
        <v>44030</v>
      </c>
      <c r="C2009">
        <v>48</v>
      </c>
      <c r="D2009">
        <v>26546</v>
      </c>
      <c r="E2009" t="s">
        <v>14</v>
      </c>
      <c r="F2009" t="s">
        <v>22</v>
      </c>
      <c r="G2009" t="s">
        <v>17</v>
      </c>
      <c r="H2009" t="s">
        <v>103</v>
      </c>
      <c r="I2009" t="s">
        <v>9</v>
      </c>
      <c r="J2009" t="s">
        <v>10</v>
      </c>
      <c r="K2009" t="s">
        <v>19</v>
      </c>
      <c r="L2009" t="s">
        <v>53</v>
      </c>
      <c r="M2009" t="s">
        <v>32</v>
      </c>
      <c r="N2009" t="s">
        <v>30</v>
      </c>
      <c r="O2009" t="s">
        <v>18</v>
      </c>
      <c r="P2009">
        <v>1</v>
      </c>
    </row>
    <row r="2010" spans="1:16" x14ac:dyDescent="0.3">
      <c r="A2010">
        <v>2533</v>
      </c>
      <c r="B2010">
        <v>44321</v>
      </c>
      <c r="C2010">
        <v>55</v>
      </c>
      <c r="D2010">
        <v>24271</v>
      </c>
      <c r="E2010" t="s">
        <v>14</v>
      </c>
      <c r="F2010" t="s">
        <v>22</v>
      </c>
      <c r="G2010" t="s">
        <v>40</v>
      </c>
      <c r="H2010" t="s">
        <v>103</v>
      </c>
      <c r="I2010" t="s">
        <v>9</v>
      </c>
      <c r="J2010" t="s">
        <v>25</v>
      </c>
      <c r="K2010" t="s">
        <v>19</v>
      </c>
      <c r="L2010" t="s">
        <v>53</v>
      </c>
      <c r="M2010" t="s">
        <v>35</v>
      </c>
      <c r="N2010" t="s">
        <v>16</v>
      </c>
      <c r="O2010" t="s">
        <v>18</v>
      </c>
      <c r="P2010">
        <v>1</v>
      </c>
    </row>
    <row r="2011" spans="1:16" x14ac:dyDescent="0.3">
      <c r="A2011">
        <v>2534</v>
      </c>
      <c r="B2011">
        <v>43570</v>
      </c>
      <c r="C2011">
        <v>59</v>
      </c>
      <c r="D2011">
        <v>22102</v>
      </c>
      <c r="E2011" t="s">
        <v>14</v>
      </c>
      <c r="F2011" t="s">
        <v>22</v>
      </c>
      <c r="G2011" t="s">
        <v>40</v>
      </c>
      <c r="H2011" t="s">
        <v>108</v>
      </c>
      <c r="I2011" t="s">
        <v>9</v>
      </c>
      <c r="J2011" t="s">
        <v>20</v>
      </c>
      <c r="K2011" t="s">
        <v>26</v>
      </c>
      <c r="L2011" t="s">
        <v>53</v>
      </c>
      <c r="M2011" t="s">
        <v>54</v>
      </c>
      <c r="N2011" t="s">
        <v>30</v>
      </c>
      <c r="O2011" t="s">
        <v>18</v>
      </c>
      <c r="P2011">
        <v>2</v>
      </c>
    </row>
    <row r="2012" spans="1:16" x14ac:dyDescent="0.3">
      <c r="A2012">
        <v>2535</v>
      </c>
      <c r="B2012">
        <v>44067</v>
      </c>
      <c r="C2012">
        <v>42</v>
      </c>
      <c r="D2012">
        <v>28755</v>
      </c>
      <c r="E2012" t="s">
        <v>14</v>
      </c>
      <c r="F2012" t="s">
        <v>22</v>
      </c>
      <c r="G2012" t="s">
        <v>31</v>
      </c>
      <c r="H2012" t="s">
        <v>104</v>
      </c>
      <c r="I2012" t="s">
        <v>9</v>
      </c>
      <c r="J2012" t="s">
        <v>10</v>
      </c>
      <c r="K2012" t="s">
        <v>26</v>
      </c>
      <c r="L2012" t="s">
        <v>27</v>
      </c>
      <c r="M2012" t="s">
        <v>35</v>
      </c>
      <c r="N2012" t="s">
        <v>30</v>
      </c>
      <c r="O2012" t="s">
        <v>18</v>
      </c>
      <c r="P2012">
        <v>5</v>
      </c>
    </row>
    <row r="2013" spans="1:16" x14ac:dyDescent="0.3">
      <c r="A2013">
        <v>2536</v>
      </c>
      <c r="B2013">
        <v>44926</v>
      </c>
      <c r="C2013">
        <v>71</v>
      </c>
      <c r="D2013">
        <v>18662</v>
      </c>
      <c r="E2013" t="s">
        <v>14</v>
      </c>
      <c r="F2013" t="s">
        <v>22</v>
      </c>
      <c r="G2013" t="s">
        <v>34</v>
      </c>
      <c r="H2013" t="s">
        <v>106</v>
      </c>
      <c r="I2013" t="s">
        <v>9</v>
      </c>
      <c r="J2013" t="s">
        <v>10</v>
      </c>
      <c r="K2013" t="s">
        <v>11</v>
      </c>
      <c r="L2013" t="s">
        <v>27</v>
      </c>
      <c r="M2013" t="s">
        <v>35</v>
      </c>
      <c r="N2013" t="s">
        <v>23</v>
      </c>
      <c r="O2013" t="s">
        <v>18</v>
      </c>
      <c r="P2013">
        <v>1</v>
      </c>
    </row>
    <row r="2014" spans="1:16" x14ac:dyDescent="0.3">
      <c r="A2014">
        <v>2537</v>
      </c>
      <c r="B2014">
        <v>44822</v>
      </c>
      <c r="C2014">
        <v>71</v>
      </c>
      <c r="D2014">
        <v>18833</v>
      </c>
      <c r="E2014" t="s">
        <v>14</v>
      </c>
      <c r="F2014" t="s">
        <v>15</v>
      </c>
      <c r="G2014" t="s">
        <v>31</v>
      </c>
      <c r="H2014" t="s">
        <v>97</v>
      </c>
      <c r="I2014" t="s">
        <v>9</v>
      </c>
      <c r="J2014" t="s">
        <v>25</v>
      </c>
      <c r="K2014" t="s">
        <v>19</v>
      </c>
      <c r="L2014" t="s">
        <v>53</v>
      </c>
      <c r="M2014" t="s">
        <v>35</v>
      </c>
      <c r="N2014" t="s">
        <v>16</v>
      </c>
      <c r="O2014" t="s">
        <v>18</v>
      </c>
      <c r="P2014">
        <v>5</v>
      </c>
    </row>
    <row r="2015" spans="1:16" x14ac:dyDescent="0.3">
      <c r="A2015">
        <v>2538</v>
      </c>
      <c r="B2015">
        <v>43722</v>
      </c>
      <c r="C2015">
        <v>33</v>
      </c>
      <c r="D2015">
        <v>31462</v>
      </c>
      <c r="E2015" t="s">
        <v>14</v>
      </c>
      <c r="F2015" t="s">
        <v>15</v>
      </c>
      <c r="G2015" t="s">
        <v>31</v>
      </c>
      <c r="H2015" t="s">
        <v>97</v>
      </c>
      <c r="I2015" t="s">
        <v>9</v>
      </c>
      <c r="J2015" t="s">
        <v>25</v>
      </c>
      <c r="K2015" t="s">
        <v>11</v>
      </c>
      <c r="L2015" t="s">
        <v>53</v>
      </c>
      <c r="M2015" t="s">
        <v>59</v>
      </c>
      <c r="N2015" t="s">
        <v>23</v>
      </c>
      <c r="O2015" t="s">
        <v>18</v>
      </c>
      <c r="P2015">
        <v>4</v>
      </c>
    </row>
    <row r="2016" spans="1:16" x14ac:dyDescent="0.3">
      <c r="A2016">
        <v>2539</v>
      </c>
      <c r="B2016">
        <v>43543</v>
      </c>
      <c r="C2016">
        <v>66</v>
      </c>
      <c r="D2016">
        <v>19636</v>
      </c>
      <c r="E2016" t="s">
        <v>14</v>
      </c>
      <c r="F2016" t="s">
        <v>22</v>
      </c>
      <c r="G2016" t="s">
        <v>34</v>
      </c>
      <c r="H2016" t="s">
        <v>97</v>
      </c>
      <c r="I2016" t="s">
        <v>9</v>
      </c>
      <c r="J2016" t="s">
        <v>20</v>
      </c>
      <c r="K2016" t="s">
        <v>26</v>
      </c>
      <c r="L2016" t="s">
        <v>53</v>
      </c>
      <c r="M2016" t="s">
        <v>59</v>
      </c>
      <c r="N2016" t="s">
        <v>37</v>
      </c>
      <c r="O2016" t="s">
        <v>18</v>
      </c>
      <c r="P2016">
        <v>2</v>
      </c>
    </row>
    <row r="2017" spans="1:16" x14ac:dyDescent="0.3">
      <c r="A2017">
        <v>2540</v>
      </c>
      <c r="B2017">
        <v>44852</v>
      </c>
      <c r="C2017">
        <v>28</v>
      </c>
      <c r="D2017">
        <v>34572</v>
      </c>
      <c r="E2017" t="s">
        <v>14</v>
      </c>
      <c r="F2017" t="s">
        <v>15</v>
      </c>
      <c r="G2017" t="s">
        <v>40</v>
      </c>
      <c r="H2017" t="s">
        <v>85</v>
      </c>
      <c r="I2017" t="s">
        <v>9</v>
      </c>
      <c r="J2017" t="s">
        <v>10</v>
      </c>
      <c r="K2017" t="s">
        <v>26</v>
      </c>
      <c r="L2017" t="s">
        <v>87</v>
      </c>
      <c r="M2017" t="s">
        <v>13</v>
      </c>
      <c r="N2017" t="s">
        <v>37</v>
      </c>
      <c r="O2017" t="s">
        <v>18</v>
      </c>
      <c r="P2017">
        <v>4</v>
      </c>
    </row>
    <row r="2018" spans="1:16" x14ac:dyDescent="0.3">
      <c r="A2018">
        <v>2541</v>
      </c>
      <c r="B2018">
        <v>44773</v>
      </c>
      <c r="C2018">
        <v>49</v>
      </c>
      <c r="D2018">
        <v>26673</v>
      </c>
      <c r="E2018" t="s">
        <v>14</v>
      </c>
      <c r="F2018" t="s">
        <v>15</v>
      </c>
      <c r="G2018" t="s">
        <v>34</v>
      </c>
      <c r="H2018" t="s">
        <v>86</v>
      </c>
      <c r="I2018" t="s">
        <v>9</v>
      </c>
      <c r="J2018" t="s">
        <v>25</v>
      </c>
      <c r="K2018" t="s">
        <v>26</v>
      </c>
      <c r="L2018" t="s">
        <v>87</v>
      </c>
      <c r="M2018" t="s">
        <v>42</v>
      </c>
      <c r="N2018" t="s">
        <v>30</v>
      </c>
      <c r="O2018" t="s">
        <v>18</v>
      </c>
      <c r="P2018">
        <v>4</v>
      </c>
    </row>
    <row r="2019" spans="1:16" x14ac:dyDescent="0.3">
      <c r="A2019">
        <v>2542</v>
      </c>
      <c r="B2019">
        <v>44991</v>
      </c>
      <c r="C2019">
        <v>64</v>
      </c>
      <c r="D2019">
        <v>21794</v>
      </c>
      <c r="E2019" t="s">
        <v>14</v>
      </c>
      <c r="F2019" t="s">
        <v>22</v>
      </c>
      <c r="G2019" t="s">
        <v>31</v>
      </c>
      <c r="H2019" t="s">
        <v>86</v>
      </c>
      <c r="I2019" t="s">
        <v>9</v>
      </c>
      <c r="J2019" t="s">
        <v>20</v>
      </c>
      <c r="K2019" t="s">
        <v>19</v>
      </c>
      <c r="L2019" t="s">
        <v>87</v>
      </c>
      <c r="M2019" t="s">
        <v>42</v>
      </c>
      <c r="N2019" t="s">
        <v>37</v>
      </c>
      <c r="O2019" t="s">
        <v>18</v>
      </c>
      <c r="P2019">
        <v>1</v>
      </c>
    </row>
    <row r="2020" spans="1:16" x14ac:dyDescent="0.3">
      <c r="A2020">
        <v>2543</v>
      </c>
      <c r="B2020">
        <v>43495</v>
      </c>
      <c r="C2020">
        <v>28</v>
      </c>
      <c r="D2020">
        <v>33597</v>
      </c>
      <c r="E2020" t="s">
        <v>14</v>
      </c>
      <c r="F2020" t="s">
        <v>22</v>
      </c>
      <c r="G2020" t="s">
        <v>40</v>
      </c>
      <c r="H2020" t="s">
        <v>86</v>
      </c>
      <c r="I2020" t="s">
        <v>66</v>
      </c>
      <c r="J2020" t="s">
        <v>25</v>
      </c>
      <c r="K2020" t="s">
        <v>19</v>
      </c>
      <c r="L2020" t="s">
        <v>87</v>
      </c>
      <c r="M2020" t="s">
        <v>32</v>
      </c>
      <c r="N2020" t="s">
        <v>16</v>
      </c>
      <c r="O2020" t="s">
        <v>18</v>
      </c>
      <c r="P2020">
        <v>4</v>
      </c>
    </row>
    <row r="2021" spans="1:16" x14ac:dyDescent="0.3">
      <c r="A2021">
        <v>2544</v>
      </c>
      <c r="B2021">
        <v>45068</v>
      </c>
      <c r="C2021">
        <v>77</v>
      </c>
      <c r="D2021">
        <v>16906</v>
      </c>
      <c r="E2021" t="s">
        <v>14</v>
      </c>
      <c r="F2021" t="s">
        <v>22</v>
      </c>
      <c r="G2021" t="s">
        <v>34</v>
      </c>
      <c r="H2021" t="s">
        <v>103</v>
      </c>
      <c r="I2021" t="s">
        <v>9</v>
      </c>
      <c r="J2021" t="s">
        <v>25</v>
      </c>
      <c r="K2021" t="s">
        <v>11</v>
      </c>
      <c r="L2021" t="s">
        <v>53</v>
      </c>
      <c r="M2021" t="s">
        <v>49</v>
      </c>
      <c r="N2021" t="s">
        <v>16</v>
      </c>
      <c r="O2021" t="s">
        <v>18</v>
      </c>
      <c r="P2021">
        <v>3</v>
      </c>
    </row>
    <row r="2022" spans="1:16" x14ac:dyDescent="0.3">
      <c r="A2022">
        <v>2545</v>
      </c>
      <c r="B2022">
        <v>43456</v>
      </c>
      <c r="C2022">
        <v>67</v>
      </c>
      <c r="D2022">
        <v>18909</v>
      </c>
      <c r="E2022" t="s">
        <v>14</v>
      </c>
      <c r="F2022" t="s">
        <v>22</v>
      </c>
      <c r="G2022" t="s">
        <v>17</v>
      </c>
      <c r="H2022" t="s">
        <v>103</v>
      </c>
      <c r="I2022" t="s">
        <v>9</v>
      </c>
      <c r="J2022" t="s">
        <v>10</v>
      </c>
      <c r="K2022" t="s">
        <v>26</v>
      </c>
      <c r="L2022" t="s">
        <v>53</v>
      </c>
      <c r="M2022" t="s">
        <v>54</v>
      </c>
      <c r="N2022" t="s">
        <v>23</v>
      </c>
      <c r="O2022" t="s">
        <v>18</v>
      </c>
      <c r="P2022">
        <v>2</v>
      </c>
    </row>
    <row r="2023" spans="1:16" x14ac:dyDescent="0.3">
      <c r="A2023">
        <v>2546</v>
      </c>
      <c r="B2023">
        <v>44873</v>
      </c>
      <c r="C2023">
        <v>32</v>
      </c>
      <c r="D2023">
        <v>32918</v>
      </c>
      <c r="E2023" t="s">
        <v>14</v>
      </c>
      <c r="F2023" t="s">
        <v>22</v>
      </c>
      <c r="G2023" t="s">
        <v>34</v>
      </c>
      <c r="H2023" t="s">
        <v>108</v>
      </c>
      <c r="I2023" t="s">
        <v>9</v>
      </c>
      <c r="J2023" t="s">
        <v>20</v>
      </c>
      <c r="K2023" t="s">
        <v>19</v>
      </c>
      <c r="L2023" t="s">
        <v>53</v>
      </c>
      <c r="M2023" t="s">
        <v>13</v>
      </c>
      <c r="N2023" t="s">
        <v>30</v>
      </c>
      <c r="O2023" t="s">
        <v>18</v>
      </c>
      <c r="P2023">
        <v>4</v>
      </c>
    </row>
    <row r="2024" spans="1:16" x14ac:dyDescent="0.3">
      <c r="A2024">
        <v>2547</v>
      </c>
      <c r="B2024">
        <v>44380</v>
      </c>
      <c r="C2024">
        <v>51</v>
      </c>
      <c r="D2024">
        <v>25764</v>
      </c>
      <c r="E2024" t="s">
        <v>14</v>
      </c>
      <c r="F2024" t="s">
        <v>22</v>
      </c>
      <c r="G2024" t="s">
        <v>17</v>
      </c>
      <c r="H2024" t="s">
        <v>104</v>
      </c>
      <c r="I2024" t="s">
        <v>9</v>
      </c>
      <c r="J2024" t="s">
        <v>25</v>
      </c>
      <c r="K2024" t="s">
        <v>19</v>
      </c>
      <c r="L2024" t="s">
        <v>27</v>
      </c>
      <c r="M2024" t="s">
        <v>32</v>
      </c>
      <c r="N2024" t="s">
        <v>23</v>
      </c>
      <c r="O2024" t="s">
        <v>18</v>
      </c>
      <c r="P2024">
        <v>5</v>
      </c>
    </row>
    <row r="2025" spans="1:16" x14ac:dyDescent="0.3">
      <c r="A2025">
        <v>2548</v>
      </c>
      <c r="B2025">
        <v>43418</v>
      </c>
      <c r="C2025">
        <v>64</v>
      </c>
      <c r="D2025">
        <v>19771</v>
      </c>
      <c r="E2025" t="s">
        <v>14</v>
      </c>
      <c r="F2025" t="s">
        <v>15</v>
      </c>
      <c r="G2025" t="s">
        <v>40</v>
      </c>
      <c r="H2025" t="s">
        <v>97</v>
      </c>
      <c r="I2025" t="s">
        <v>9</v>
      </c>
      <c r="J2025" t="s">
        <v>10</v>
      </c>
      <c r="K2025" t="s">
        <v>19</v>
      </c>
      <c r="L2025" t="s">
        <v>53</v>
      </c>
      <c r="M2025" t="s">
        <v>28</v>
      </c>
      <c r="N2025" t="s">
        <v>30</v>
      </c>
      <c r="O2025" t="s">
        <v>18</v>
      </c>
      <c r="P2025">
        <v>5</v>
      </c>
    </row>
    <row r="2026" spans="1:16" x14ac:dyDescent="0.3">
      <c r="A2026">
        <v>2549</v>
      </c>
      <c r="B2026">
        <v>44457</v>
      </c>
      <c r="C2026">
        <v>58</v>
      </c>
      <c r="D2026">
        <v>23196</v>
      </c>
      <c r="E2026" t="s">
        <v>14</v>
      </c>
      <c r="F2026" t="s">
        <v>15</v>
      </c>
      <c r="G2026" t="s">
        <v>40</v>
      </c>
      <c r="H2026" t="s">
        <v>97</v>
      </c>
      <c r="I2026" t="s">
        <v>9</v>
      </c>
      <c r="J2026" t="s">
        <v>10</v>
      </c>
      <c r="K2026" t="s">
        <v>19</v>
      </c>
      <c r="L2026" t="s">
        <v>53</v>
      </c>
      <c r="M2026" t="s">
        <v>35</v>
      </c>
      <c r="N2026" t="s">
        <v>16</v>
      </c>
      <c r="O2026" t="s">
        <v>18</v>
      </c>
      <c r="P2026">
        <v>3</v>
      </c>
    </row>
    <row r="2027" spans="1:16" x14ac:dyDescent="0.3">
      <c r="A2027">
        <v>2550</v>
      </c>
      <c r="B2027">
        <v>44154</v>
      </c>
      <c r="C2027">
        <v>68</v>
      </c>
      <c r="D2027">
        <v>19109</v>
      </c>
      <c r="E2027" t="s">
        <v>14</v>
      </c>
      <c r="F2027" t="s">
        <v>15</v>
      </c>
      <c r="G2027" t="s">
        <v>17</v>
      </c>
      <c r="H2027" t="s">
        <v>85</v>
      </c>
      <c r="I2027" t="s">
        <v>9</v>
      </c>
      <c r="J2027" t="s">
        <v>10</v>
      </c>
      <c r="K2027" t="s">
        <v>19</v>
      </c>
      <c r="L2027" t="s">
        <v>87</v>
      </c>
      <c r="M2027" t="s">
        <v>32</v>
      </c>
      <c r="N2027" t="s">
        <v>16</v>
      </c>
      <c r="O2027" t="s">
        <v>18</v>
      </c>
      <c r="P2027">
        <v>1</v>
      </c>
    </row>
    <row r="2028" spans="1:16" x14ac:dyDescent="0.3">
      <c r="A2028">
        <v>2551</v>
      </c>
      <c r="B2028">
        <v>45050</v>
      </c>
      <c r="C2028">
        <v>35</v>
      </c>
      <c r="D2028">
        <v>32275</v>
      </c>
      <c r="E2028" t="s">
        <v>14</v>
      </c>
      <c r="F2028" t="s">
        <v>15</v>
      </c>
      <c r="G2028" t="s">
        <v>17</v>
      </c>
      <c r="H2028" t="s">
        <v>86</v>
      </c>
      <c r="I2028" t="s">
        <v>9</v>
      </c>
      <c r="J2028" t="s">
        <v>25</v>
      </c>
      <c r="K2028" t="s">
        <v>26</v>
      </c>
      <c r="L2028" t="s">
        <v>87</v>
      </c>
      <c r="M2028" t="s">
        <v>32</v>
      </c>
      <c r="N2028" t="s">
        <v>30</v>
      </c>
      <c r="O2028" t="s">
        <v>18</v>
      </c>
      <c r="P2028">
        <v>2</v>
      </c>
    </row>
    <row r="2029" spans="1:16" x14ac:dyDescent="0.3">
      <c r="A2029">
        <v>2552</v>
      </c>
      <c r="B2029">
        <v>44947</v>
      </c>
      <c r="C2029">
        <v>69</v>
      </c>
      <c r="D2029">
        <v>20031</v>
      </c>
      <c r="E2029" t="s">
        <v>14</v>
      </c>
      <c r="F2029" t="s">
        <v>22</v>
      </c>
      <c r="G2029" t="s">
        <v>31</v>
      </c>
      <c r="H2029" t="s">
        <v>86</v>
      </c>
      <c r="I2029" t="s">
        <v>9</v>
      </c>
      <c r="J2029" t="s">
        <v>25</v>
      </c>
      <c r="K2029" t="s">
        <v>26</v>
      </c>
      <c r="L2029" t="s">
        <v>87</v>
      </c>
      <c r="M2029" t="s">
        <v>54</v>
      </c>
      <c r="N2029" t="s">
        <v>16</v>
      </c>
      <c r="O2029" t="s">
        <v>18</v>
      </c>
      <c r="P2029">
        <v>2</v>
      </c>
    </row>
    <row r="2030" spans="1:16" x14ac:dyDescent="0.3">
      <c r="A2030">
        <v>2553</v>
      </c>
      <c r="B2030">
        <v>44792</v>
      </c>
      <c r="C2030">
        <v>49</v>
      </c>
      <c r="D2030">
        <v>26946</v>
      </c>
      <c r="E2030" t="s">
        <v>14</v>
      </c>
      <c r="F2030" t="s">
        <v>22</v>
      </c>
      <c r="G2030" t="s">
        <v>40</v>
      </c>
      <c r="H2030" t="s">
        <v>103</v>
      </c>
      <c r="I2030" t="s">
        <v>9</v>
      </c>
      <c r="J2030" t="s">
        <v>10</v>
      </c>
      <c r="K2030" t="s">
        <v>26</v>
      </c>
      <c r="L2030" t="s">
        <v>53</v>
      </c>
      <c r="M2030" t="s">
        <v>21</v>
      </c>
      <c r="N2030" t="s">
        <v>30</v>
      </c>
      <c r="O2030" t="s">
        <v>18</v>
      </c>
      <c r="P2030">
        <v>2</v>
      </c>
    </row>
    <row r="2031" spans="1:16" x14ac:dyDescent="0.3">
      <c r="A2031">
        <v>2554</v>
      </c>
      <c r="B2031">
        <v>44760</v>
      </c>
      <c r="C2031">
        <v>31</v>
      </c>
      <c r="D2031">
        <v>33514</v>
      </c>
      <c r="E2031" t="s">
        <v>14</v>
      </c>
      <c r="F2031" t="s">
        <v>22</v>
      </c>
      <c r="G2031" t="s">
        <v>17</v>
      </c>
      <c r="H2031" t="s">
        <v>103</v>
      </c>
      <c r="I2031" t="s">
        <v>9</v>
      </c>
      <c r="J2031" t="s">
        <v>20</v>
      </c>
      <c r="K2031" t="s">
        <v>19</v>
      </c>
      <c r="L2031" t="s">
        <v>53</v>
      </c>
      <c r="M2031" t="s">
        <v>38</v>
      </c>
      <c r="N2031" t="s">
        <v>23</v>
      </c>
      <c r="O2031" t="s">
        <v>18</v>
      </c>
      <c r="P2031">
        <v>1</v>
      </c>
    </row>
    <row r="2032" spans="1:16" x14ac:dyDescent="0.3">
      <c r="A2032">
        <v>2555</v>
      </c>
      <c r="B2032">
        <v>43691</v>
      </c>
      <c r="C2032">
        <v>63</v>
      </c>
      <c r="D2032">
        <v>20754</v>
      </c>
      <c r="E2032" t="s">
        <v>14</v>
      </c>
      <c r="F2032" t="s">
        <v>22</v>
      </c>
      <c r="G2032" t="s">
        <v>17</v>
      </c>
      <c r="H2032" t="s">
        <v>108</v>
      </c>
      <c r="I2032" t="s">
        <v>9</v>
      </c>
      <c r="J2032" t="s">
        <v>25</v>
      </c>
      <c r="K2032" t="s">
        <v>19</v>
      </c>
      <c r="L2032" t="s">
        <v>53</v>
      </c>
      <c r="M2032" t="s">
        <v>61</v>
      </c>
      <c r="N2032" t="s">
        <v>30</v>
      </c>
      <c r="O2032" t="s">
        <v>18</v>
      </c>
      <c r="P2032">
        <v>1</v>
      </c>
    </row>
    <row r="2033" spans="1:16" x14ac:dyDescent="0.3">
      <c r="A2033">
        <v>2556</v>
      </c>
      <c r="B2033">
        <v>44175</v>
      </c>
      <c r="C2033">
        <v>24</v>
      </c>
      <c r="D2033">
        <v>35180</v>
      </c>
      <c r="E2033" t="s">
        <v>14</v>
      </c>
      <c r="F2033" t="s">
        <v>22</v>
      </c>
      <c r="G2033" t="s">
        <v>34</v>
      </c>
      <c r="H2033" t="s">
        <v>104</v>
      </c>
      <c r="I2033" t="s">
        <v>9</v>
      </c>
      <c r="J2033" t="s">
        <v>20</v>
      </c>
      <c r="K2033" t="s">
        <v>19</v>
      </c>
      <c r="L2033" t="s">
        <v>27</v>
      </c>
      <c r="M2033" t="s">
        <v>57</v>
      </c>
      <c r="N2033" t="s">
        <v>16</v>
      </c>
      <c r="O2033" t="s">
        <v>18</v>
      </c>
      <c r="P2033">
        <v>1</v>
      </c>
    </row>
    <row r="2034" spans="1:16" x14ac:dyDescent="0.3">
      <c r="A2034">
        <v>2557</v>
      </c>
      <c r="B2034">
        <v>43728</v>
      </c>
      <c r="C2034">
        <v>55</v>
      </c>
      <c r="D2034">
        <v>23545</v>
      </c>
      <c r="E2034" t="s">
        <v>14</v>
      </c>
      <c r="F2034" t="s">
        <v>15</v>
      </c>
      <c r="G2034" t="s">
        <v>34</v>
      </c>
      <c r="H2034" t="s">
        <v>97</v>
      </c>
      <c r="I2034" t="s">
        <v>9</v>
      </c>
      <c r="J2034" t="s">
        <v>25</v>
      </c>
      <c r="K2034" t="s">
        <v>26</v>
      </c>
      <c r="L2034" t="s">
        <v>53</v>
      </c>
      <c r="M2034" t="s">
        <v>42</v>
      </c>
      <c r="N2034" t="s">
        <v>37</v>
      </c>
      <c r="O2034" t="s">
        <v>18</v>
      </c>
      <c r="P2034">
        <v>3</v>
      </c>
    </row>
    <row r="2035" spans="1:16" x14ac:dyDescent="0.3">
      <c r="A2035">
        <v>2558</v>
      </c>
      <c r="B2035">
        <v>44519</v>
      </c>
      <c r="C2035">
        <v>56</v>
      </c>
      <c r="D2035">
        <v>24071</v>
      </c>
      <c r="E2035" t="s">
        <v>14</v>
      </c>
      <c r="F2035" t="s">
        <v>15</v>
      </c>
      <c r="G2035" t="s">
        <v>17</v>
      </c>
      <c r="H2035" t="s">
        <v>85</v>
      </c>
      <c r="I2035" t="s">
        <v>9</v>
      </c>
      <c r="J2035" t="s">
        <v>25</v>
      </c>
      <c r="K2035" t="s">
        <v>26</v>
      </c>
      <c r="L2035" t="s">
        <v>87</v>
      </c>
      <c r="M2035" t="s">
        <v>35</v>
      </c>
      <c r="N2035" t="s">
        <v>46</v>
      </c>
      <c r="O2035" t="s">
        <v>18</v>
      </c>
      <c r="P2035">
        <v>4</v>
      </c>
    </row>
    <row r="2036" spans="1:16" x14ac:dyDescent="0.3">
      <c r="A2036">
        <v>2559</v>
      </c>
      <c r="B2036">
        <v>44680</v>
      </c>
      <c r="C2036">
        <v>65</v>
      </c>
      <c r="D2036">
        <v>21147</v>
      </c>
      <c r="E2036" t="s">
        <v>14</v>
      </c>
      <c r="F2036" t="s">
        <v>22</v>
      </c>
      <c r="G2036" t="s">
        <v>17</v>
      </c>
      <c r="H2036" t="s">
        <v>86</v>
      </c>
      <c r="I2036" t="s">
        <v>9</v>
      </c>
      <c r="J2036" t="s">
        <v>20</v>
      </c>
      <c r="K2036" t="s">
        <v>26</v>
      </c>
      <c r="L2036" t="s">
        <v>87</v>
      </c>
      <c r="M2036" t="s">
        <v>35</v>
      </c>
      <c r="N2036" t="s">
        <v>16</v>
      </c>
      <c r="O2036" t="s">
        <v>18</v>
      </c>
      <c r="P2036">
        <v>5</v>
      </c>
    </row>
    <row r="2037" spans="1:16" x14ac:dyDescent="0.3">
      <c r="A2037">
        <v>2560</v>
      </c>
      <c r="B2037">
        <v>44377</v>
      </c>
      <c r="C2037">
        <v>44</v>
      </c>
      <c r="D2037">
        <v>28130</v>
      </c>
      <c r="E2037" t="s">
        <v>14</v>
      </c>
      <c r="F2037" t="s">
        <v>22</v>
      </c>
      <c r="G2037" t="s">
        <v>17</v>
      </c>
      <c r="H2037" t="s">
        <v>102</v>
      </c>
      <c r="I2037" t="s">
        <v>9</v>
      </c>
      <c r="J2037" t="s">
        <v>20</v>
      </c>
      <c r="K2037" t="s">
        <v>19</v>
      </c>
      <c r="L2037" t="s">
        <v>53</v>
      </c>
      <c r="M2037" t="s">
        <v>35</v>
      </c>
      <c r="N2037" t="s">
        <v>37</v>
      </c>
      <c r="O2037" t="s">
        <v>18</v>
      </c>
      <c r="P2037">
        <v>1</v>
      </c>
    </row>
    <row r="2038" spans="1:16" x14ac:dyDescent="0.3">
      <c r="A2038">
        <v>2561</v>
      </c>
      <c r="B2038">
        <v>44392</v>
      </c>
      <c r="C2038">
        <v>65</v>
      </c>
      <c r="D2038">
        <v>20617</v>
      </c>
      <c r="E2038" t="s">
        <v>14</v>
      </c>
      <c r="F2038" t="s">
        <v>22</v>
      </c>
      <c r="G2038" t="s">
        <v>34</v>
      </c>
      <c r="H2038" t="s">
        <v>103</v>
      </c>
      <c r="I2038" t="s">
        <v>9</v>
      </c>
      <c r="J2038" t="s">
        <v>10</v>
      </c>
      <c r="K2038" t="s">
        <v>26</v>
      </c>
      <c r="L2038" t="s">
        <v>53</v>
      </c>
      <c r="M2038" t="s">
        <v>32</v>
      </c>
      <c r="N2038" t="s">
        <v>23</v>
      </c>
      <c r="O2038" t="s">
        <v>18</v>
      </c>
      <c r="P2038">
        <v>5</v>
      </c>
    </row>
    <row r="2039" spans="1:16" x14ac:dyDescent="0.3">
      <c r="A2039">
        <v>2562</v>
      </c>
      <c r="B2039">
        <v>44298</v>
      </c>
      <c r="C2039">
        <v>54</v>
      </c>
      <c r="D2039">
        <v>24794</v>
      </c>
      <c r="E2039" t="s">
        <v>14</v>
      </c>
      <c r="F2039" t="s">
        <v>22</v>
      </c>
      <c r="G2039" t="s">
        <v>34</v>
      </c>
      <c r="H2039" t="s">
        <v>103</v>
      </c>
      <c r="I2039" t="s">
        <v>9</v>
      </c>
      <c r="J2039" t="s">
        <v>10</v>
      </c>
      <c r="K2039" t="s">
        <v>26</v>
      </c>
      <c r="L2039" t="s">
        <v>53</v>
      </c>
      <c r="M2039" t="s">
        <v>35</v>
      </c>
      <c r="N2039" t="s">
        <v>30</v>
      </c>
      <c r="O2039" t="s">
        <v>18</v>
      </c>
      <c r="P2039">
        <v>4</v>
      </c>
    </row>
    <row r="2040" spans="1:16" x14ac:dyDescent="0.3">
      <c r="A2040">
        <v>2563</v>
      </c>
      <c r="B2040">
        <v>44173</v>
      </c>
      <c r="C2040">
        <v>67</v>
      </c>
      <c r="D2040">
        <v>19680</v>
      </c>
      <c r="E2040" t="s">
        <v>14</v>
      </c>
      <c r="F2040" t="s">
        <v>22</v>
      </c>
      <c r="G2040" t="s">
        <v>17</v>
      </c>
      <c r="H2040" t="s">
        <v>108</v>
      </c>
      <c r="I2040" t="s">
        <v>9</v>
      </c>
      <c r="J2040" t="s">
        <v>10</v>
      </c>
      <c r="K2040" t="s">
        <v>26</v>
      </c>
      <c r="L2040" t="s">
        <v>53</v>
      </c>
      <c r="M2040" t="s">
        <v>55</v>
      </c>
      <c r="N2040" t="s">
        <v>30</v>
      </c>
      <c r="O2040" t="s">
        <v>18</v>
      </c>
      <c r="P2040">
        <v>2</v>
      </c>
    </row>
    <row r="2041" spans="1:16" x14ac:dyDescent="0.3">
      <c r="A2041">
        <v>2564</v>
      </c>
      <c r="B2041">
        <v>43769</v>
      </c>
      <c r="C2041">
        <v>24</v>
      </c>
      <c r="D2041">
        <v>34891</v>
      </c>
      <c r="E2041" t="s">
        <v>14</v>
      </c>
      <c r="F2041" t="s">
        <v>22</v>
      </c>
      <c r="G2041" t="s">
        <v>34</v>
      </c>
      <c r="H2041" t="s">
        <v>104</v>
      </c>
      <c r="I2041" t="s">
        <v>9</v>
      </c>
      <c r="J2041" t="s">
        <v>10</v>
      </c>
      <c r="K2041" t="s">
        <v>26</v>
      </c>
      <c r="L2041" t="s">
        <v>27</v>
      </c>
      <c r="M2041" t="s">
        <v>32</v>
      </c>
      <c r="N2041" t="s">
        <v>23</v>
      </c>
      <c r="O2041" t="s">
        <v>18</v>
      </c>
      <c r="P2041">
        <v>4</v>
      </c>
    </row>
    <row r="2042" spans="1:16" x14ac:dyDescent="0.3">
      <c r="A2042">
        <v>2565</v>
      </c>
      <c r="B2042">
        <v>43852</v>
      </c>
      <c r="C2042">
        <v>35</v>
      </c>
      <c r="D2042">
        <v>31365</v>
      </c>
      <c r="E2042" t="s">
        <v>14</v>
      </c>
      <c r="F2042" t="s">
        <v>15</v>
      </c>
      <c r="G2042" t="s">
        <v>34</v>
      </c>
      <c r="H2042" t="s">
        <v>97</v>
      </c>
      <c r="I2042" t="s">
        <v>9</v>
      </c>
      <c r="J2042" t="s">
        <v>10</v>
      </c>
      <c r="K2042" t="s">
        <v>11</v>
      </c>
      <c r="L2042" t="s">
        <v>53</v>
      </c>
      <c r="M2042" t="s">
        <v>35</v>
      </c>
      <c r="N2042" t="s">
        <v>16</v>
      </c>
      <c r="O2042" t="s">
        <v>18</v>
      </c>
      <c r="P2042">
        <v>5</v>
      </c>
    </row>
    <row r="2043" spans="1:16" x14ac:dyDescent="0.3">
      <c r="A2043">
        <v>2566</v>
      </c>
      <c r="B2043">
        <v>44824</v>
      </c>
      <c r="C2043">
        <v>56</v>
      </c>
      <c r="D2043">
        <v>24380</v>
      </c>
      <c r="E2043" t="s">
        <v>14</v>
      </c>
      <c r="F2043" t="s">
        <v>22</v>
      </c>
      <c r="G2043" t="s">
        <v>34</v>
      </c>
      <c r="H2043" t="s">
        <v>85</v>
      </c>
      <c r="I2043" t="s">
        <v>9</v>
      </c>
      <c r="J2043" t="s">
        <v>25</v>
      </c>
      <c r="K2043" t="s">
        <v>26</v>
      </c>
      <c r="L2043" t="s">
        <v>87</v>
      </c>
      <c r="M2043" t="s">
        <v>32</v>
      </c>
      <c r="N2043" t="s">
        <v>30</v>
      </c>
      <c r="O2043" t="s">
        <v>18</v>
      </c>
      <c r="P2043">
        <v>2</v>
      </c>
    </row>
    <row r="2044" spans="1:16" x14ac:dyDescent="0.3">
      <c r="A2044">
        <v>2567</v>
      </c>
      <c r="B2044">
        <v>44917</v>
      </c>
      <c r="C2044">
        <v>63</v>
      </c>
      <c r="D2044">
        <v>21838</v>
      </c>
      <c r="E2044" t="s">
        <v>14</v>
      </c>
      <c r="F2044" t="s">
        <v>22</v>
      </c>
      <c r="G2044" t="s">
        <v>17</v>
      </c>
      <c r="H2044" t="s">
        <v>102</v>
      </c>
      <c r="I2044" t="s">
        <v>9</v>
      </c>
      <c r="J2044" t="s">
        <v>25</v>
      </c>
      <c r="K2044" t="s">
        <v>26</v>
      </c>
      <c r="L2044" t="s">
        <v>53</v>
      </c>
      <c r="M2044" t="s">
        <v>35</v>
      </c>
      <c r="N2044" t="s">
        <v>37</v>
      </c>
      <c r="O2044" t="s">
        <v>18</v>
      </c>
      <c r="P2044">
        <v>3</v>
      </c>
    </row>
    <row r="2045" spans="1:16" x14ac:dyDescent="0.3">
      <c r="A2045">
        <v>2568</v>
      </c>
      <c r="B2045">
        <v>43536</v>
      </c>
      <c r="C2045">
        <v>29</v>
      </c>
      <c r="D2045">
        <v>32990</v>
      </c>
      <c r="E2045" t="s">
        <v>14</v>
      </c>
      <c r="F2045" t="s">
        <v>22</v>
      </c>
      <c r="G2045" t="s">
        <v>17</v>
      </c>
      <c r="H2045" t="s">
        <v>103</v>
      </c>
      <c r="I2045" t="s">
        <v>9</v>
      </c>
      <c r="J2045" t="s">
        <v>25</v>
      </c>
      <c r="K2045" t="s">
        <v>11</v>
      </c>
      <c r="L2045" t="s">
        <v>53</v>
      </c>
      <c r="M2045" t="s">
        <v>21</v>
      </c>
      <c r="N2045" t="s">
        <v>46</v>
      </c>
      <c r="O2045" t="s">
        <v>18</v>
      </c>
      <c r="P2045">
        <v>5</v>
      </c>
    </row>
    <row r="2046" spans="1:16" x14ac:dyDescent="0.3">
      <c r="A2046">
        <v>2569</v>
      </c>
      <c r="B2046">
        <v>44476</v>
      </c>
      <c r="C2046">
        <v>26</v>
      </c>
      <c r="D2046">
        <v>34786</v>
      </c>
      <c r="E2046" t="s">
        <v>14</v>
      </c>
      <c r="F2046" t="s">
        <v>22</v>
      </c>
      <c r="G2046" t="s">
        <v>31</v>
      </c>
      <c r="H2046" t="s">
        <v>103</v>
      </c>
      <c r="I2046" t="s">
        <v>9</v>
      </c>
      <c r="J2046" t="s">
        <v>25</v>
      </c>
      <c r="K2046" t="s">
        <v>11</v>
      </c>
      <c r="L2046" t="s">
        <v>53</v>
      </c>
      <c r="M2046" t="s">
        <v>32</v>
      </c>
      <c r="N2046" t="s">
        <v>37</v>
      </c>
      <c r="O2046" t="s">
        <v>18</v>
      </c>
      <c r="P2046">
        <v>4</v>
      </c>
    </row>
    <row r="2047" spans="1:16" x14ac:dyDescent="0.3">
      <c r="A2047">
        <v>2570</v>
      </c>
      <c r="B2047">
        <v>43632</v>
      </c>
      <c r="C2047">
        <v>28</v>
      </c>
      <c r="D2047">
        <v>33560</v>
      </c>
      <c r="E2047" t="s">
        <v>14</v>
      </c>
      <c r="F2047" t="s">
        <v>22</v>
      </c>
      <c r="G2047" t="s">
        <v>31</v>
      </c>
      <c r="H2047" t="s">
        <v>108</v>
      </c>
      <c r="I2047" t="s">
        <v>9</v>
      </c>
      <c r="J2047" t="s">
        <v>10</v>
      </c>
      <c r="K2047" t="s">
        <v>19</v>
      </c>
      <c r="L2047" t="s">
        <v>53</v>
      </c>
      <c r="M2047" t="s">
        <v>35</v>
      </c>
      <c r="N2047" t="s">
        <v>37</v>
      </c>
      <c r="O2047" t="s">
        <v>18</v>
      </c>
      <c r="P2047">
        <v>3</v>
      </c>
    </row>
    <row r="2048" spans="1:16" x14ac:dyDescent="0.3">
      <c r="A2048">
        <v>2571</v>
      </c>
      <c r="B2048">
        <v>44272</v>
      </c>
      <c r="C2048">
        <v>32</v>
      </c>
      <c r="D2048">
        <v>32550</v>
      </c>
      <c r="E2048" t="s">
        <v>14</v>
      </c>
      <c r="F2048" t="s">
        <v>15</v>
      </c>
      <c r="G2048" t="s">
        <v>40</v>
      </c>
      <c r="H2048" t="s">
        <v>83</v>
      </c>
      <c r="I2048" t="s">
        <v>9</v>
      </c>
      <c r="J2048" t="s">
        <v>20</v>
      </c>
      <c r="K2048" t="s">
        <v>19</v>
      </c>
      <c r="L2048" t="s">
        <v>53</v>
      </c>
      <c r="M2048" t="s">
        <v>35</v>
      </c>
      <c r="N2048" t="s">
        <v>46</v>
      </c>
      <c r="O2048" t="s">
        <v>18</v>
      </c>
      <c r="P2048">
        <v>3</v>
      </c>
    </row>
    <row r="2049" spans="1:16" x14ac:dyDescent="0.3">
      <c r="A2049">
        <v>2572</v>
      </c>
      <c r="B2049">
        <v>44780</v>
      </c>
      <c r="C2049">
        <v>28</v>
      </c>
      <c r="D2049">
        <v>34474</v>
      </c>
      <c r="E2049" t="s">
        <v>14</v>
      </c>
      <c r="F2049" t="s">
        <v>22</v>
      </c>
      <c r="G2049" t="s">
        <v>17</v>
      </c>
      <c r="H2049" t="s">
        <v>97</v>
      </c>
      <c r="I2049" t="s">
        <v>9</v>
      </c>
      <c r="J2049" t="s">
        <v>10</v>
      </c>
      <c r="K2049" t="s">
        <v>19</v>
      </c>
      <c r="L2049" t="s">
        <v>53</v>
      </c>
      <c r="M2049" t="s">
        <v>42</v>
      </c>
      <c r="N2049" t="s">
        <v>46</v>
      </c>
      <c r="O2049" t="s">
        <v>18</v>
      </c>
      <c r="P2049">
        <v>1</v>
      </c>
    </row>
    <row r="2050" spans="1:16" x14ac:dyDescent="0.3">
      <c r="A2050">
        <v>2573</v>
      </c>
      <c r="B2050">
        <v>43847</v>
      </c>
      <c r="C2050">
        <v>33</v>
      </c>
      <c r="D2050">
        <v>31779</v>
      </c>
      <c r="E2050" t="s">
        <v>109</v>
      </c>
      <c r="F2050" t="s">
        <v>15</v>
      </c>
      <c r="G2050" t="s">
        <v>40</v>
      </c>
      <c r="H2050" t="s">
        <v>24</v>
      </c>
      <c r="I2050" t="s">
        <v>66</v>
      </c>
      <c r="J2050" t="s">
        <v>10</v>
      </c>
      <c r="K2050" t="s">
        <v>19</v>
      </c>
      <c r="L2050" t="s">
        <v>27</v>
      </c>
      <c r="M2050" t="s">
        <v>35</v>
      </c>
      <c r="N2050" t="s">
        <v>37</v>
      </c>
      <c r="O2050" t="s">
        <v>18</v>
      </c>
      <c r="P2050">
        <v>4</v>
      </c>
    </row>
    <row r="2051" spans="1:16" x14ac:dyDescent="0.3">
      <c r="A2051">
        <v>2574</v>
      </c>
      <c r="B2051">
        <v>44723</v>
      </c>
      <c r="C2051">
        <v>51</v>
      </c>
      <c r="D2051">
        <v>26255</v>
      </c>
      <c r="E2051" t="s">
        <v>110</v>
      </c>
      <c r="F2051" t="s">
        <v>22</v>
      </c>
      <c r="G2051" t="s">
        <v>17</v>
      </c>
      <c r="H2051" t="s">
        <v>24</v>
      </c>
      <c r="I2051" t="s">
        <v>9</v>
      </c>
      <c r="J2051" t="s">
        <v>25</v>
      </c>
      <c r="K2051" t="s">
        <v>11</v>
      </c>
      <c r="L2051" t="s">
        <v>27</v>
      </c>
      <c r="M2051" t="s">
        <v>67</v>
      </c>
      <c r="N2051" t="s">
        <v>23</v>
      </c>
      <c r="O2051" t="s">
        <v>18</v>
      </c>
      <c r="P2051">
        <v>1</v>
      </c>
    </row>
    <row r="2052" spans="1:16" x14ac:dyDescent="0.3">
      <c r="A2052">
        <v>2575</v>
      </c>
      <c r="B2052">
        <v>44258</v>
      </c>
      <c r="C2052">
        <v>70</v>
      </c>
      <c r="D2052">
        <v>18800</v>
      </c>
      <c r="E2052" t="s">
        <v>111</v>
      </c>
      <c r="F2052" t="s">
        <v>22</v>
      </c>
      <c r="G2052" t="s">
        <v>17</v>
      </c>
      <c r="H2052" t="s">
        <v>24</v>
      </c>
      <c r="I2052" t="s">
        <v>9</v>
      </c>
      <c r="J2052" t="s">
        <v>10</v>
      </c>
      <c r="K2052" t="s">
        <v>11</v>
      </c>
      <c r="L2052" t="s">
        <v>27</v>
      </c>
      <c r="M2052" t="s">
        <v>49</v>
      </c>
      <c r="N2052" t="s">
        <v>30</v>
      </c>
      <c r="O2052" t="s">
        <v>18</v>
      </c>
      <c r="P2052">
        <v>3</v>
      </c>
    </row>
    <row r="2053" spans="1:16" x14ac:dyDescent="0.3">
      <c r="A2053">
        <v>2576</v>
      </c>
      <c r="B2053">
        <v>43937</v>
      </c>
      <c r="C2053">
        <v>51</v>
      </c>
      <c r="D2053">
        <v>25564</v>
      </c>
      <c r="E2053" t="s">
        <v>112</v>
      </c>
      <c r="F2053" t="s">
        <v>15</v>
      </c>
      <c r="G2053" t="s">
        <v>17</v>
      </c>
      <c r="H2053" t="s">
        <v>24</v>
      </c>
      <c r="I2053" t="s">
        <v>9</v>
      </c>
      <c r="J2053" t="s">
        <v>10</v>
      </c>
      <c r="K2053" t="s">
        <v>26</v>
      </c>
      <c r="L2053" t="s">
        <v>27</v>
      </c>
      <c r="M2053" t="s">
        <v>28</v>
      </c>
      <c r="N2053" t="s">
        <v>46</v>
      </c>
      <c r="O2053" t="s">
        <v>18</v>
      </c>
      <c r="P2053">
        <v>4</v>
      </c>
    </row>
    <row r="2054" spans="1:16" x14ac:dyDescent="0.3">
      <c r="A2054">
        <v>2577</v>
      </c>
      <c r="B2054">
        <v>44826</v>
      </c>
      <c r="C2054">
        <v>59</v>
      </c>
      <c r="D2054">
        <v>23220</v>
      </c>
      <c r="E2054" t="s">
        <v>113</v>
      </c>
      <c r="F2054" t="s">
        <v>15</v>
      </c>
      <c r="G2054" t="s">
        <v>34</v>
      </c>
      <c r="H2054" t="s">
        <v>24</v>
      </c>
      <c r="I2054" t="s">
        <v>9</v>
      </c>
      <c r="J2054" t="s">
        <v>25</v>
      </c>
      <c r="K2054" t="s">
        <v>19</v>
      </c>
      <c r="L2054" t="s">
        <v>27</v>
      </c>
      <c r="M2054" t="s">
        <v>59</v>
      </c>
      <c r="N2054" t="s">
        <v>30</v>
      </c>
      <c r="O2054" t="s">
        <v>18</v>
      </c>
      <c r="P2054">
        <v>2</v>
      </c>
    </row>
    <row r="2055" spans="1:16" x14ac:dyDescent="0.3">
      <c r="A2055">
        <v>2578</v>
      </c>
      <c r="B2055">
        <v>45076</v>
      </c>
      <c r="C2055">
        <v>27</v>
      </c>
      <c r="D2055">
        <v>35092</v>
      </c>
      <c r="E2055" t="s">
        <v>99</v>
      </c>
      <c r="F2055" t="s">
        <v>15</v>
      </c>
      <c r="G2055" t="s">
        <v>31</v>
      </c>
      <c r="H2055" t="s">
        <v>24</v>
      </c>
      <c r="I2055" t="s">
        <v>9</v>
      </c>
      <c r="J2055" t="s">
        <v>20</v>
      </c>
      <c r="K2055" t="s">
        <v>19</v>
      </c>
      <c r="L2055" t="s">
        <v>27</v>
      </c>
      <c r="M2055" t="s">
        <v>58</v>
      </c>
      <c r="N2055" t="s">
        <v>37</v>
      </c>
      <c r="O2055" t="s">
        <v>18</v>
      </c>
      <c r="P2055">
        <v>5</v>
      </c>
    </row>
    <row r="2056" spans="1:16" x14ac:dyDescent="0.3">
      <c r="A2056">
        <v>2579</v>
      </c>
      <c r="B2056">
        <v>44210</v>
      </c>
      <c r="C2056">
        <v>44</v>
      </c>
      <c r="D2056">
        <v>28305</v>
      </c>
      <c r="E2056" t="s">
        <v>114</v>
      </c>
      <c r="F2056" t="s">
        <v>15</v>
      </c>
      <c r="G2056" t="s">
        <v>34</v>
      </c>
      <c r="H2056" t="s">
        <v>24</v>
      </c>
      <c r="I2056" t="s">
        <v>9</v>
      </c>
      <c r="J2056" t="s">
        <v>25</v>
      </c>
      <c r="K2056" t="s">
        <v>11</v>
      </c>
      <c r="L2056" t="s">
        <v>27</v>
      </c>
      <c r="M2056" t="s">
        <v>38</v>
      </c>
      <c r="N2056" t="s">
        <v>16</v>
      </c>
      <c r="O2056" t="s">
        <v>18</v>
      </c>
      <c r="P2056">
        <v>4</v>
      </c>
    </row>
    <row r="2057" spans="1:16" x14ac:dyDescent="0.3">
      <c r="A2057">
        <v>2580</v>
      </c>
      <c r="B2057">
        <v>43950</v>
      </c>
      <c r="C2057">
        <v>66</v>
      </c>
      <c r="D2057">
        <v>19821</v>
      </c>
      <c r="E2057" t="s">
        <v>115</v>
      </c>
      <c r="F2057" t="s">
        <v>22</v>
      </c>
      <c r="G2057" t="s">
        <v>31</v>
      </c>
      <c r="H2057" t="s">
        <v>24</v>
      </c>
      <c r="I2057" t="s">
        <v>9</v>
      </c>
      <c r="J2057" t="s">
        <v>25</v>
      </c>
      <c r="K2057" t="s">
        <v>19</v>
      </c>
      <c r="L2057" t="s">
        <v>27</v>
      </c>
      <c r="M2057" t="s">
        <v>13</v>
      </c>
      <c r="N2057" t="s">
        <v>16</v>
      </c>
      <c r="O2057" t="s">
        <v>18</v>
      </c>
      <c r="P2057">
        <v>2</v>
      </c>
    </row>
    <row r="2058" spans="1:16" x14ac:dyDescent="0.3">
      <c r="A2058">
        <v>2581</v>
      </c>
      <c r="B2058">
        <v>44384</v>
      </c>
      <c r="C2058">
        <v>51</v>
      </c>
      <c r="D2058">
        <v>25884</v>
      </c>
      <c r="E2058" t="s">
        <v>116</v>
      </c>
      <c r="F2058" t="s">
        <v>22</v>
      </c>
      <c r="G2058" t="s">
        <v>40</v>
      </c>
      <c r="H2058" t="s">
        <v>24</v>
      </c>
      <c r="I2058" t="s">
        <v>9</v>
      </c>
      <c r="J2058" t="s">
        <v>25</v>
      </c>
      <c r="K2058" t="s">
        <v>19</v>
      </c>
      <c r="L2058" t="s">
        <v>27</v>
      </c>
      <c r="M2058" t="s">
        <v>35</v>
      </c>
      <c r="N2058" t="s">
        <v>30</v>
      </c>
      <c r="O2058" t="s">
        <v>18</v>
      </c>
      <c r="P2058">
        <v>3</v>
      </c>
    </row>
    <row r="2059" spans="1:16" x14ac:dyDescent="0.3">
      <c r="A2059">
        <v>2582</v>
      </c>
      <c r="B2059">
        <v>44040</v>
      </c>
      <c r="C2059">
        <v>28</v>
      </c>
      <c r="D2059">
        <v>33847</v>
      </c>
      <c r="E2059" t="s">
        <v>117</v>
      </c>
      <c r="F2059" t="s">
        <v>15</v>
      </c>
      <c r="G2059" t="s">
        <v>31</v>
      </c>
      <c r="H2059" t="s">
        <v>24</v>
      </c>
      <c r="I2059" t="s">
        <v>9</v>
      </c>
      <c r="J2059" t="s">
        <v>20</v>
      </c>
      <c r="K2059" t="s">
        <v>11</v>
      </c>
      <c r="L2059" t="s">
        <v>27</v>
      </c>
      <c r="M2059" t="s">
        <v>59</v>
      </c>
      <c r="N2059" t="s">
        <v>23</v>
      </c>
      <c r="O2059" t="s">
        <v>18</v>
      </c>
      <c r="P2059">
        <v>2</v>
      </c>
    </row>
    <row r="2060" spans="1:16" x14ac:dyDescent="0.3">
      <c r="A2060">
        <v>2583</v>
      </c>
      <c r="B2060">
        <v>44090</v>
      </c>
      <c r="C2060">
        <v>24</v>
      </c>
      <c r="D2060">
        <v>35124</v>
      </c>
      <c r="E2060" t="s">
        <v>118</v>
      </c>
      <c r="F2060" t="s">
        <v>22</v>
      </c>
      <c r="G2060" t="s">
        <v>34</v>
      </c>
      <c r="H2060" t="s">
        <v>24</v>
      </c>
      <c r="I2060" t="s">
        <v>9</v>
      </c>
      <c r="J2060" t="s">
        <v>10</v>
      </c>
      <c r="K2060" t="s">
        <v>26</v>
      </c>
      <c r="L2060" t="s">
        <v>27</v>
      </c>
      <c r="M2060" t="s">
        <v>42</v>
      </c>
      <c r="N2060" t="s">
        <v>37</v>
      </c>
      <c r="O2060" t="s">
        <v>18</v>
      </c>
      <c r="P2060">
        <v>5</v>
      </c>
    </row>
    <row r="2061" spans="1:16" x14ac:dyDescent="0.3">
      <c r="A2061">
        <v>2584</v>
      </c>
      <c r="B2061">
        <v>45039</v>
      </c>
      <c r="C2061">
        <v>67</v>
      </c>
      <c r="D2061">
        <v>20725</v>
      </c>
      <c r="E2061" t="s">
        <v>119</v>
      </c>
      <c r="F2061" t="s">
        <v>22</v>
      </c>
      <c r="G2061" t="s">
        <v>31</v>
      </c>
      <c r="H2061" t="s">
        <v>24</v>
      </c>
      <c r="I2061" t="s">
        <v>9</v>
      </c>
      <c r="J2061" t="s">
        <v>20</v>
      </c>
      <c r="K2061" t="s">
        <v>11</v>
      </c>
      <c r="L2061" t="s">
        <v>27</v>
      </c>
      <c r="M2061" t="s">
        <v>42</v>
      </c>
      <c r="N2061" t="s">
        <v>16</v>
      </c>
      <c r="O2061" t="s">
        <v>18</v>
      </c>
      <c r="P2061">
        <v>4</v>
      </c>
    </row>
    <row r="2062" spans="1:16" x14ac:dyDescent="0.3">
      <c r="A2062">
        <v>2585</v>
      </c>
      <c r="B2062">
        <v>44351</v>
      </c>
      <c r="C2062">
        <v>20</v>
      </c>
      <c r="D2062">
        <v>37032</v>
      </c>
      <c r="E2062" t="s">
        <v>120</v>
      </c>
      <c r="F2062" t="s">
        <v>22</v>
      </c>
      <c r="G2062" t="s">
        <v>40</v>
      </c>
      <c r="H2062" t="s">
        <v>24</v>
      </c>
      <c r="I2062" t="s">
        <v>9</v>
      </c>
      <c r="J2062" t="s">
        <v>10</v>
      </c>
      <c r="K2062" t="s">
        <v>19</v>
      </c>
      <c r="L2062" t="s">
        <v>27</v>
      </c>
      <c r="M2062" t="s">
        <v>32</v>
      </c>
      <c r="N2062" t="s">
        <v>46</v>
      </c>
      <c r="O2062" t="s">
        <v>18</v>
      </c>
      <c r="P2062">
        <v>1</v>
      </c>
    </row>
    <row r="2063" spans="1:16" x14ac:dyDescent="0.3">
      <c r="A2063">
        <v>2586</v>
      </c>
      <c r="B2063">
        <v>43936</v>
      </c>
      <c r="C2063">
        <v>40</v>
      </c>
      <c r="D2063">
        <v>29336</v>
      </c>
      <c r="E2063" t="s">
        <v>121</v>
      </c>
      <c r="F2063" t="s">
        <v>22</v>
      </c>
      <c r="G2063" t="s">
        <v>40</v>
      </c>
      <c r="H2063" t="s">
        <v>24</v>
      </c>
      <c r="I2063" t="s">
        <v>9</v>
      </c>
      <c r="J2063" t="s">
        <v>25</v>
      </c>
      <c r="K2063" t="s">
        <v>26</v>
      </c>
      <c r="L2063" t="s">
        <v>27</v>
      </c>
      <c r="M2063" t="s">
        <v>35</v>
      </c>
      <c r="N2063" t="s">
        <v>46</v>
      </c>
      <c r="O2063" t="s">
        <v>18</v>
      </c>
      <c r="P2063">
        <v>4</v>
      </c>
    </row>
    <row r="2064" spans="1:16" x14ac:dyDescent="0.3">
      <c r="A2064">
        <v>2587</v>
      </c>
      <c r="B2064">
        <v>43712</v>
      </c>
      <c r="C2064">
        <v>19</v>
      </c>
      <c r="D2064">
        <v>36738</v>
      </c>
      <c r="E2064" t="s">
        <v>14</v>
      </c>
      <c r="F2064" t="s">
        <v>22</v>
      </c>
      <c r="G2064" t="s">
        <v>17</v>
      </c>
      <c r="H2064" t="s">
        <v>24</v>
      </c>
      <c r="I2064" t="s">
        <v>9</v>
      </c>
      <c r="J2064" t="s">
        <v>25</v>
      </c>
      <c r="K2064" t="s">
        <v>19</v>
      </c>
      <c r="L2064" t="s">
        <v>27</v>
      </c>
      <c r="M2064" t="s">
        <v>35</v>
      </c>
      <c r="N2064" t="s">
        <v>30</v>
      </c>
      <c r="O2064" t="s">
        <v>18</v>
      </c>
      <c r="P2064">
        <v>4</v>
      </c>
    </row>
    <row r="2065" spans="1:16" x14ac:dyDescent="0.3">
      <c r="A2065">
        <v>2588</v>
      </c>
      <c r="B2065">
        <v>44061</v>
      </c>
      <c r="C2065">
        <v>32</v>
      </c>
      <c r="D2065">
        <v>32348</v>
      </c>
      <c r="E2065" t="s">
        <v>14</v>
      </c>
      <c r="F2065" t="s">
        <v>22</v>
      </c>
      <c r="G2065" t="s">
        <v>31</v>
      </c>
      <c r="H2065" t="s">
        <v>24</v>
      </c>
      <c r="I2065" t="s">
        <v>9</v>
      </c>
      <c r="J2065" t="s">
        <v>25</v>
      </c>
      <c r="K2065" t="s">
        <v>11</v>
      </c>
      <c r="L2065" t="s">
        <v>27</v>
      </c>
      <c r="M2065" t="s">
        <v>35</v>
      </c>
      <c r="N2065" t="s">
        <v>30</v>
      </c>
      <c r="O2065" t="s">
        <v>18</v>
      </c>
      <c r="P2065">
        <v>1</v>
      </c>
    </row>
    <row r="2066" spans="1:16" x14ac:dyDescent="0.3">
      <c r="A2066">
        <v>2589</v>
      </c>
      <c r="B2066">
        <v>44170</v>
      </c>
      <c r="C2066">
        <v>70</v>
      </c>
      <c r="D2066">
        <v>18623</v>
      </c>
      <c r="E2066" t="s">
        <v>114</v>
      </c>
      <c r="F2066" t="s">
        <v>22</v>
      </c>
      <c r="G2066" t="s">
        <v>31</v>
      </c>
      <c r="H2066" t="s">
        <v>24</v>
      </c>
      <c r="I2066" t="s">
        <v>9</v>
      </c>
      <c r="J2066" t="s">
        <v>10</v>
      </c>
      <c r="K2066" t="s">
        <v>19</v>
      </c>
      <c r="L2066" t="s">
        <v>27</v>
      </c>
      <c r="M2066" t="s">
        <v>55</v>
      </c>
      <c r="N2066" t="s">
        <v>46</v>
      </c>
      <c r="O2066" t="s">
        <v>18</v>
      </c>
      <c r="P2066">
        <v>5</v>
      </c>
    </row>
    <row r="2067" spans="1:16" x14ac:dyDescent="0.3">
      <c r="A2067">
        <v>2590</v>
      </c>
      <c r="B2067">
        <v>44939</v>
      </c>
      <c r="C2067">
        <v>25</v>
      </c>
      <c r="D2067">
        <v>35833</v>
      </c>
      <c r="E2067" t="s">
        <v>114</v>
      </c>
      <c r="F2067" t="s">
        <v>22</v>
      </c>
      <c r="G2067" t="s">
        <v>34</v>
      </c>
      <c r="H2067" t="s">
        <v>24</v>
      </c>
      <c r="I2067" t="s">
        <v>9</v>
      </c>
      <c r="J2067" t="s">
        <v>20</v>
      </c>
      <c r="K2067" t="s">
        <v>19</v>
      </c>
      <c r="L2067" t="s">
        <v>27</v>
      </c>
      <c r="M2067" t="s">
        <v>42</v>
      </c>
      <c r="N2067" t="s">
        <v>46</v>
      </c>
      <c r="O2067" t="s">
        <v>18</v>
      </c>
      <c r="P2067">
        <v>1</v>
      </c>
    </row>
    <row r="2068" spans="1:16" x14ac:dyDescent="0.3">
      <c r="A2068">
        <v>2591</v>
      </c>
      <c r="B2068">
        <v>43725</v>
      </c>
      <c r="C2068">
        <v>26</v>
      </c>
      <c r="D2068">
        <v>34189</v>
      </c>
      <c r="E2068" t="s">
        <v>114</v>
      </c>
      <c r="F2068" t="s">
        <v>22</v>
      </c>
      <c r="G2068" t="s">
        <v>31</v>
      </c>
      <c r="H2068" t="s">
        <v>24</v>
      </c>
      <c r="I2068" t="s">
        <v>9</v>
      </c>
      <c r="J2068" t="s">
        <v>25</v>
      </c>
      <c r="K2068" t="s">
        <v>26</v>
      </c>
      <c r="L2068" t="s">
        <v>27</v>
      </c>
      <c r="M2068" t="s">
        <v>32</v>
      </c>
      <c r="N2068" t="s">
        <v>46</v>
      </c>
      <c r="O2068" t="s">
        <v>18</v>
      </c>
      <c r="P2068">
        <v>5</v>
      </c>
    </row>
    <row r="2069" spans="1:16" x14ac:dyDescent="0.3">
      <c r="A2069">
        <v>2592</v>
      </c>
      <c r="B2069">
        <v>44119</v>
      </c>
      <c r="C2069">
        <v>71</v>
      </c>
      <c r="D2069">
        <v>18061</v>
      </c>
      <c r="E2069" t="s">
        <v>120</v>
      </c>
      <c r="F2069" t="s">
        <v>22</v>
      </c>
      <c r="G2069" t="s">
        <v>31</v>
      </c>
      <c r="H2069" t="s">
        <v>24</v>
      </c>
      <c r="I2069" t="s">
        <v>9</v>
      </c>
      <c r="J2069" t="s">
        <v>10</v>
      </c>
      <c r="K2069" t="s">
        <v>26</v>
      </c>
      <c r="L2069" t="s">
        <v>27</v>
      </c>
      <c r="M2069" t="s">
        <v>35</v>
      </c>
      <c r="N2069" t="s">
        <v>46</v>
      </c>
      <c r="O2069" t="s">
        <v>18</v>
      </c>
      <c r="P2069">
        <v>1</v>
      </c>
    </row>
    <row r="2070" spans="1:16" x14ac:dyDescent="0.3">
      <c r="A2070">
        <v>2593</v>
      </c>
      <c r="B2070">
        <v>43435</v>
      </c>
      <c r="C2070">
        <v>46</v>
      </c>
      <c r="D2070">
        <v>26337</v>
      </c>
      <c r="E2070" t="s">
        <v>120</v>
      </c>
      <c r="F2070" t="s">
        <v>22</v>
      </c>
      <c r="G2070" t="s">
        <v>17</v>
      </c>
      <c r="H2070" t="s">
        <v>24</v>
      </c>
      <c r="I2070" t="s">
        <v>9</v>
      </c>
      <c r="J2070" t="s">
        <v>10</v>
      </c>
      <c r="K2070" t="s">
        <v>19</v>
      </c>
      <c r="L2070" t="s">
        <v>27</v>
      </c>
      <c r="M2070" t="s">
        <v>32</v>
      </c>
      <c r="N2070" t="s">
        <v>30</v>
      </c>
      <c r="O2070" t="s">
        <v>18</v>
      </c>
      <c r="P2070">
        <v>1</v>
      </c>
    </row>
    <row r="2071" spans="1:16" x14ac:dyDescent="0.3">
      <c r="A2071">
        <v>2594</v>
      </c>
      <c r="B2071">
        <v>45131</v>
      </c>
      <c r="C2071">
        <v>67</v>
      </c>
      <c r="D2071">
        <v>20541</v>
      </c>
      <c r="E2071" t="s">
        <v>120</v>
      </c>
      <c r="F2071" t="s">
        <v>22</v>
      </c>
      <c r="G2071" t="s">
        <v>40</v>
      </c>
      <c r="H2071" t="s">
        <v>24</v>
      </c>
      <c r="I2071" t="s">
        <v>9</v>
      </c>
      <c r="J2071" t="s">
        <v>20</v>
      </c>
      <c r="K2071" t="s">
        <v>11</v>
      </c>
      <c r="L2071" t="s">
        <v>27</v>
      </c>
      <c r="M2071" t="s">
        <v>55</v>
      </c>
      <c r="N2071" t="s">
        <v>30</v>
      </c>
      <c r="O2071" t="s">
        <v>18</v>
      </c>
      <c r="P2071">
        <v>5</v>
      </c>
    </row>
    <row r="2072" spans="1:16" x14ac:dyDescent="0.3">
      <c r="A2072">
        <v>2595</v>
      </c>
      <c r="B2072">
        <v>43746</v>
      </c>
      <c r="C2072">
        <v>21</v>
      </c>
      <c r="D2072">
        <v>35879</v>
      </c>
      <c r="E2072" t="s">
        <v>120</v>
      </c>
      <c r="F2072" t="s">
        <v>22</v>
      </c>
      <c r="G2072" t="s">
        <v>40</v>
      </c>
      <c r="H2072" t="s">
        <v>24</v>
      </c>
      <c r="I2072" t="s">
        <v>9</v>
      </c>
      <c r="J2072" t="s">
        <v>20</v>
      </c>
      <c r="K2072" t="s">
        <v>19</v>
      </c>
      <c r="L2072" t="s">
        <v>27</v>
      </c>
      <c r="M2072" t="s">
        <v>21</v>
      </c>
      <c r="N2072" t="s">
        <v>46</v>
      </c>
      <c r="O2072" t="s">
        <v>18</v>
      </c>
      <c r="P2072">
        <v>5</v>
      </c>
    </row>
    <row r="2073" spans="1:16" x14ac:dyDescent="0.3">
      <c r="A2073">
        <v>2596</v>
      </c>
      <c r="B2073">
        <v>44485</v>
      </c>
      <c r="C2073">
        <v>44</v>
      </c>
      <c r="D2073">
        <v>28265</v>
      </c>
      <c r="E2073" t="s">
        <v>111</v>
      </c>
      <c r="F2073" t="s">
        <v>22</v>
      </c>
      <c r="G2073" t="s">
        <v>40</v>
      </c>
      <c r="H2073" t="s">
        <v>24</v>
      </c>
      <c r="I2073" t="s">
        <v>9</v>
      </c>
      <c r="J2073" t="s">
        <v>10</v>
      </c>
      <c r="K2073" t="s">
        <v>19</v>
      </c>
      <c r="L2073" t="s">
        <v>27</v>
      </c>
      <c r="M2073" t="s">
        <v>107</v>
      </c>
      <c r="N2073" t="s">
        <v>37</v>
      </c>
      <c r="O2073" t="s">
        <v>18</v>
      </c>
      <c r="P2073">
        <v>1</v>
      </c>
    </row>
    <row r="2074" spans="1:16" x14ac:dyDescent="0.3">
      <c r="A2074">
        <v>2597</v>
      </c>
      <c r="B2074">
        <v>43924</v>
      </c>
      <c r="C2074">
        <v>76</v>
      </c>
      <c r="D2074">
        <v>16340</v>
      </c>
      <c r="E2074" t="s">
        <v>111</v>
      </c>
      <c r="F2074" t="s">
        <v>22</v>
      </c>
      <c r="G2074" t="s">
        <v>40</v>
      </c>
      <c r="H2074" t="s">
        <v>24</v>
      </c>
      <c r="I2074" t="s">
        <v>9</v>
      </c>
      <c r="J2074" t="s">
        <v>10</v>
      </c>
      <c r="K2074" t="s">
        <v>19</v>
      </c>
      <c r="L2074" t="s">
        <v>27</v>
      </c>
      <c r="M2074" t="s">
        <v>35</v>
      </c>
      <c r="N2074" t="s">
        <v>46</v>
      </c>
      <c r="O2074" t="s">
        <v>18</v>
      </c>
      <c r="P2074">
        <v>5</v>
      </c>
    </row>
    <row r="2075" spans="1:16" x14ac:dyDescent="0.3">
      <c r="A2075">
        <v>2598</v>
      </c>
      <c r="B2075">
        <v>43838</v>
      </c>
      <c r="C2075">
        <v>56</v>
      </c>
      <c r="D2075">
        <v>23625</v>
      </c>
      <c r="E2075" t="s">
        <v>111</v>
      </c>
      <c r="F2075" t="s">
        <v>22</v>
      </c>
      <c r="G2075" t="s">
        <v>40</v>
      </c>
      <c r="H2075" t="s">
        <v>24</v>
      </c>
      <c r="I2075" t="s">
        <v>9</v>
      </c>
      <c r="J2075" t="s">
        <v>20</v>
      </c>
      <c r="K2075" t="s">
        <v>19</v>
      </c>
      <c r="L2075" t="s">
        <v>27</v>
      </c>
      <c r="M2075" t="s">
        <v>32</v>
      </c>
      <c r="N2075" t="s">
        <v>46</v>
      </c>
      <c r="O2075" t="s">
        <v>18</v>
      </c>
      <c r="P2075">
        <v>3</v>
      </c>
    </row>
    <row r="2076" spans="1:16" x14ac:dyDescent="0.3">
      <c r="A2076">
        <v>2599</v>
      </c>
      <c r="B2076">
        <v>44647</v>
      </c>
      <c r="C2076">
        <v>80</v>
      </c>
      <c r="D2076">
        <v>15533</v>
      </c>
      <c r="E2076" t="s">
        <v>111</v>
      </c>
      <c r="F2076" t="s">
        <v>15</v>
      </c>
      <c r="G2076" t="s">
        <v>17</v>
      </c>
      <c r="H2076" t="s">
        <v>95</v>
      </c>
      <c r="I2076" t="s">
        <v>9</v>
      </c>
      <c r="J2076" t="s">
        <v>10</v>
      </c>
      <c r="K2076" t="s">
        <v>19</v>
      </c>
      <c r="L2076" t="s">
        <v>27</v>
      </c>
      <c r="M2076" t="s">
        <v>63</v>
      </c>
      <c r="N2076" t="s">
        <v>37</v>
      </c>
      <c r="O2076" t="s">
        <v>18</v>
      </c>
      <c r="P2076">
        <v>4</v>
      </c>
    </row>
    <row r="2077" spans="1:16" x14ac:dyDescent="0.3">
      <c r="A2077">
        <v>2600</v>
      </c>
      <c r="B2077">
        <v>43361</v>
      </c>
      <c r="C2077">
        <v>53</v>
      </c>
      <c r="D2077">
        <v>23758</v>
      </c>
      <c r="E2077" t="s">
        <v>113</v>
      </c>
      <c r="F2077" t="s">
        <v>15</v>
      </c>
      <c r="G2077" t="s">
        <v>17</v>
      </c>
      <c r="H2077" t="s">
        <v>95</v>
      </c>
      <c r="I2077" t="s">
        <v>9</v>
      </c>
      <c r="J2077" t="s">
        <v>25</v>
      </c>
      <c r="K2077" t="s">
        <v>11</v>
      </c>
      <c r="L2077" t="s">
        <v>27</v>
      </c>
      <c r="M2077" t="s">
        <v>21</v>
      </c>
      <c r="N2077" t="s">
        <v>46</v>
      </c>
      <c r="O2077" t="s">
        <v>18</v>
      </c>
      <c r="P2077">
        <v>2</v>
      </c>
    </row>
    <row r="2078" spans="1:16" x14ac:dyDescent="0.3">
      <c r="A2078">
        <v>2601</v>
      </c>
      <c r="B2078">
        <v>43798</v>
      </c>
      <c r="C2078">
        <v>18</v>
      </c>
      <c r="D2078">
        <v>36952</v>
      </c>
      <c r="E2078" t="s">
        <v>113</v>
      </c>
      <c r="F2078" t="s">
        <v>15</v>
      </c>
      <c r="G2078" t="s">
        <v>17</v>
      </c>
      <c r="H2078" t="s">
        <v>95</v>
      </c>
      <c r="I2078" t="s">
        <v>9</v>
      </c>
      <c r="J2078" t="s">
        <v>25</v>
      </c>
      <c r="K2078" t="s">
        <v>11</v>
      </c>
      <c r="L2078" t="s">
        <v>27</v>
      </c>
      <c r="M2078" t="s">
        <v>32</v>
      </c>
      <c r="N2078" t="s">
        <v>23</v>
      </c>
      <c r="O2078" t="s">
        <v>18</v>
      </c>
      <c r="P2078">
        <v>5</v>
      </c>
    </row>
    <row r="2079" spans="1:16" x14ac:dyDescent="0.3">
      <c r="A2079">
        <v>2602</v>
      </c>
      <c r="B2079">
        <v>43571</v>
      </c>
      <c r="C2079">
        <v>37</v>
      </c>
      <c r="D2079">
        <v>30170</v>
      </c>
      <c r="E2079" t="s">
        <v>14</v>
      </c>
      <c r="F2079" t="s">
        <v>15</v>
      </c>
      <c r="G2079" t="s">
        <v>17</v>
      </c>
      <c r="H2079" t="s">
        <v>96</v>
      </c>
      <c r="I2079" t="s">
        <v>9</v>
      </c>
      <c r="J2079" t="s">
        <v>25</v>
      </c>
      <c r="K2079" t="s">
        <v>11</v>
      </c>
      <c r="L2079" t="s">
        <v>90</v>
      </c>
      <c r="M2079" t="s">
        <v>59</v>
      </c>
      <c r="N2079" t="s">
        <v>30</v>
      </c>
      <c r="O2079" t="s">
        <v>18</v>
      </c>
      <c r="P2079">
        <v>5</v>
      </c>
    </row>
    <row r="2080" spans="1:16" x14ac:dyDescent="0.3">
      <c r="A2080">
        <v>2603</v>
      </c>
      <c r="B2080">
        <v>43529</v>
      </c>
      <c r="C2080">
        <v>20</v>
      </c>
      <c r="D2080">
        <v>36319</v>
      </c>
      <c r="E2080" t="s">
        <v>14</v>
      </c>
      <c r="F2080" t="s">
        <v>22</v>
      </c>
      <c r="G2080" t="s">
        <v>40</v>
      </c>
      <c r="H2080" t="s">
        <v>24</v>
      </c>
      <c r="I2080" t="s">
        <v>9</v>
      </c>
      <c r="J2080" t="s">
        <v>20</v>
      </c>
      <c r="K2080" t="s">
        <v>19</v>
      </c>
      <c r="L2080" t="s">
        <v>27</v>
      </c>
      <c r="M2080" t="s">
        <v>49</v>
      </c>
      <c r="N2080" t="s">
        <v>30</v>
      </c>
      <c r="O2080" t="s">
        <v>18</v>
      </c>
      <c r="P2080">
        <v>1</v>
      </c>
    </row>
    <row r="2081" spans="1:16" x14ac:dyDescent="0.3">
      <c r="A2081">
        <v>2604</v>
      </c>
      <c r="B2081">
        <v>43454</v>
      </c>
      <c r="C2081">
        <v>31</v>
      </c>
      <c r="D2081">
        <v>31846</v>
      </c>
      <c r="E2081" t="s">
        <v>14</v>
      </c>
      <c r="F2081" t="s">
        <v>22</v>
      </c>
      <c r="G2081" t="s">
        <v>40</v>
      </c>
      <c r="H2081" t="s">
        <v>24</v>
      </c>
      <c r="I2081" t="s">
        <v>9</v>
      </c>
      <c r="J2081" t="s">
        <v>10</v>
      </c>
      <c r="K2081" t="s">
        <v>11</v>
      </c>
      <c r="L2081" t="s">
        <v>27</v>
      </c>
      <c r="M2081" t="s">
        <v>21</v>
      </c>
      <c r="N2081" t="s">
        <v>30</v>
      </c>
      <c r="O2081" t="s">
        <v>18</v>
      </c>
      <c r="P2081">
        <v>1</v>
      </c>
    </row>
    <row r="2082" spans="1:16" x14ac:dyDescent="0.3">
      <c r="A2082">
        <v>2605</v>
      </c>
      <c r="B2082">
        <v>44263</v>
      </c>
      <c r="C2082">
        <v>53</v>
      </c>
      <c r="D2082">
        <v>25061</v>
      </c>
      <c r="E2082" t="s">
        <v>114</v>
      </c>
      <c r="F2082" t="s">
        <v>22</v>
      </c>
      <c r="G2082" t="s">
        <v>34</v>
      </c>
      <c r="H2082" t="s">
        <v>24</v>
      </c>
      <c r="I2082" t="s">
        <v>9</v>
      </c>
      <c r="J2082" t="s">
        <v>25</v>
      </c>
      <c r="K2082" t="s">
        <v>11</v>
      </c>
      <c r="L2082" t="s">
        <v>27</v>
      </c>
      <c r="M2082" t="s">
        <v>59</v>
      </c>
      <c r="N2082" t="s">
        <v>37</v>
      </c>
      <c r="O2082" t="s">
        <v>18</v>
      </c>
      <c r="P2082">
        <v>4</v>
      </c>
    </row>
    <row r="2083" spans="1:16" x14ac:dyDescent="0.3">
      <c r="A2083">
        <v>2606</v>
      </c>
      <c r="B2083">
        <v>44127</v>
      </c>
      <c r="C2083">
        <v>69</v>
      </c>
      <c r="D2083">
        <v>18842</v>
      </c>
      <c r="E2083" t="s">
        <v>114</v>
      </c>
      <c r="F2083" t="s">
        <v>22</v>
      </c>
      <c r="G2083" t="s">
        <v>31</v>
      </c>
      <c r="H2083" t="s">
        <v>24</v>
      </c>
      <c r="I2083" t="s">
        <v>9</v>
      </c>
      <c r="J2083" t="s">
        <v>25</v>
      </c>
      <c r="K2083" t="s">
        <v>11</v>
      </c>
      <c r="L2083" t="s">
        <v>27</v>
      </c>
      <c r="M2083" t="s">
        <v>54</v>
      </c>
      <c r="N2083" t="s">
        <v>16</v>
      </c>
      <c r="O2083" t="s">
        <v>18</v>
      </c>
      <c r="P2083">
        <v>5</v>
      </c>
    </row>
    <row r="2084" spans="1:16" x14ac:dyDescent="0.3">
      <c r="A2084">
        <v>2607</v>
      </c>
      <c r="B2084">
        <v>43553</v>
      </c>
      <c r="C2084">
        <v>43</v>
      </c>
      <c r="D2084">
        <v>28047</v>
      </c>
      <c r="E2084" t="s">
        <v>116</v>
      </c>
      <c r="F2084" t="s">
        <v>22</v>
      </c>
      <c r="G2084" t="s">
        <v>34</v>
      </c>
      <c r="H2084" t="s">
        <v>24</v>
      </c>
      <c r="I2084" t="s">
        <v>9</v>
      </c>
      <c r="J2084" t="s">
        <v>10</v>
      </c>
      <c r="K2084" t="s">
        <v>26</v>
      </c>
      <c r="L2084" t="s">
        <v>27</v>
      </c>
      <c r="M2084" t="s">
        <v>55</v>
      </c>
      <c r="N2084" t="s">
        <v>16</v>
      </c>
      <c r="O2084" t="s">
        <v>18</v>
      </c>
      <c r="P2084">
        <v>1</v>
      </c>
    </row>
    <row r="2085" spans="1:16" x14ac:dyDescent="0.3">
      <c r="A2085">
        <v>2608</v>
      </c>
      <c r="B2085">
        <v>44129</v>
      </c>
      <c r="C2085">
        <v>43</v>
      </c>
      <c r="D2085">
        <v>28460</v>
      </c>
      <c r="E2085" t="s">
        <v>120</v>
      </c>
      <c r="F2085" t="s">
        <v>22</v>
      </c>
      <c r="G2085" t="s">
        <v>34</v>
      </c>
      <c r="H2085" t="s">
        <v>24</v>
      </c>
      <c r="I2085" t="s">
        <v>9</v>
      </c>
      <c r="J2085" t="s">
        <v>10</v>
      </c>
      <c r="K2085" t="s">
        <v>19</v>
      </c>
      <c r="L2085" t="s">
        <v>27</v>
      </c>
      <c r="M2085" t="s">
        <v>35</v>
      </c>
      <c r="N2085" t="s">
        <v>46</v>
      </c>
      <c r="O2085" t="s">
        <v>18</v>
      </c>
      <c r="P2085">
        <v>4</v>
      </c>
    </row>
    <row r="2086" spans="1:16" x14ac:dyDescent="0.3">
      <c r="A2086">
        <v>2609</v>
      </c>
      <c r="B2086">
        <v>43805</v>
      </c>
      <c r="C2086">
        <v>48</v>
      </c>
      <c r="D2086">
        <v>26158</v>
      </c>
      <c r="E2086" t="s">
        <v>120</v>
      </c>
      <c r="F2086" t="s">
        <v>22</v>
      </c>
      <c r="G2086" t="s">
        <v>17</v>
      </c>
      <c r="H2086" t="s">
        <v>24</v>
      </c>
      <c r="I2086" t="s">
        <v>9</v>
      </c>
      <c r="J2086" t="s">
        <v>20</v>
      </c>
      <c r="K2086" t="s">
        <v>26</v>
      </c>
      <c r="L2086" t="s">
        <v>27</v>
      </c>
      <c r="M2086" t="s">
        <v>28</v>
      </c>
      <c r="N2086" t="s">
        <v>46</v>
      </c>
      <c r="O2086" t="s">
        <v>18</v>
      </c>
      <c r="P2086">
        <v>3</v>
      </c>
    </row>
    <row r="2087" spans="1:16" x14ac:dyDescent="0.3">
      <c r="A2087">
        <v>2610</v>
      </c>
      <c r="B2087">
        <v>44827</v>
      </c>
      <c r="C2087">
        <v>75</v>
      </c>
      <c r="D2087">
        <v>17531</v>
      </c>
      <c r="E2087" t="s">
        <v>120</v>
      </c>
      <c r="F2087" t="s">
        <v>22</v>
      </c>
      <c r="G2087" t="s">
        <v>17</v>
      </c>
      <c r="H2087" t="s">
        <v>24</v>
      </c>
      <c r="I2087" t="s">
        <v>9</v>
      </c>
      <c r="J2087" t="s">
        <v>25</v>
      </c>
      <c r="K2087" t="s">
        <v>26</v>
      </c>
      <c r="L2087" t="s">
        <v>27</v>
      </c>
      <c r="M2087" t="s">
        <v>32</v>
      </c>
      <c r="N2087" t="s">
        <v>16</v>
      </c>
      <c r="O2087" t="s">
        <v>18</v>
      </c>
      <c r="P2087">
        <v>1</v>
      </c>
    </row>
    <row r="2088" spans="1:16" x14ac:dyDescent="0.3">
      <c r="A2088">
        <v>2611</v>
      </c>
      <c r="B2088">
        <v>43825</v>
      </c>
      <c r="C2088">
        <v>63</v>
      </c>
      <c r="D2088">
        <v>20720</v>
      </c>
      <c r="E2088" t="s">
        <v>120</v>
      </c>
      <c r="F2088" t="s">
        <v>22</v>
      </c>
      <c r="G2088" t="s">
        <v>17</v>
      </c>
      <c r="H2088" t="s">
        <v>24</v>
      </c>
      <c r="I2088" t="s">
        <v>9</v>
      </c>
      <c r="J2088" t="s">
        <v>20</v>
      </c>
      <c r="K2088" t="s">
        <v>19</v>
      </c>
      <c r="L2088" t="s">
        <v>27</v>
      </c>
      <c r="M2088" t="s">
        <v>59</v>
      </c>
      <c r="N2088" t="s">
        <v>37</v>
      </c>
      <c r="O2088" t="s">
        <v>18</v>
      </c>
      <c r="P2088">
        <v>3</v>
      </c>
    </row>
    <row r="2089" spans="1:16" x14ac:dyDescent="0.3">
      <c r="A2089">
        <v>2612</v>
      </c>
      <c r="B2089">
        <v>43339</v>
      </c>
      <c r="C2089">
        <v>55</v>
      </c>
      <c r="D2089">
        <v>23193</v>
      </c>
      <c r="E2089" t="s">
        <v>111</v>
      </c>
      <c r="F2089" t="s">
        <v>22</v>
      </c>
      <c r="G2089" t="s">
        <v>34</v>
      </c>
      <c r="H2089" t="s">
        <v>24</v>
      </c>
      <c r="I2089" t="s">
        <v>9</v>
      </c>
      <c r="J2089" t="s">
        <v>20</v>
      </c>
      <c r="K2089" t="s">
        <v>26</v>
      </c>
      <c r="L2089" t="s">
        <v>27</v>
      </c>
      <c r="M2089" t="s">
        <v>35</v>
      </c>
      <c r="N2089" t="s">
        <v>16</v>
      </c>
      <c r="O2089" t="s">
        <v>18</v>
      </c>
      <c r="P2089">
        <v>2</v>
      </c>
    </row>
    <row r="2090" spans="1:16" x14ac:dyDescent="0.3">
      <c r="A2090">
        <v>2613</v>
      </c>
      <c r="B2090">
        <v>44907</v>
      </c>
      <c r="C2090">
        <v>78</v>
      </c>
      <c r="D2090">
        <v>16269</v>
      </c>
      <c r="E2090" t="s">
        <v>111</v>
      </c>
      <c r="F2090" t="s">
        <v>22</v>
      </c>
      <c r="G2090" t="s">
        <v>31</v>
      </c>
      <c r="H2090" t="s">
        <v>24</v>
      </c>
      <c r="I2090" t="s">
        <v>9</v>
      </c>
      <c r="J2090" t="s">
        <v>20</v>
      </c>
      <c r="K2090" t="s">
        <v>26</v>
      </c>
      <c r="L2090" t="s">
        <v>27</v>
      </c>
      <c r="M2090" t="s">
        <v>57</v>
      </c>
      <c r="N2090" t="s">
        <v>37</v>
      </c>
      <c r="O2090" t="s">
        <v>18</v>
      </c>
      <c r="P2090">
        <v>1</v>
      </c>
    </row>
    <row r="2091" spans="1:16" x14ac:dyDescent="0.3">
      <c r="A2091">
        <v>2614</v>
      </c>
      <c r="B2091">
        <v>44329</v>
      </c>
      <c r="C2091">
        <v>34</v>
      </c>
      <c r="D2091">
        <v>31850</v>
      </c>
      <c r="E2091" t="s">
        <v>111</v>
      </c>
      <c r="F2091" t="s">
        <v>22</v>
      </c>
      <c r="G2091" t="s">
        <v>40</v>
      </c>
      <c r="H2091" t="s">
        <v>24</v>
      </c>
      <c r="I2091" t="s">
        <v>9</v>
      </c>
      <c r="J2091" t="s">
        <v>20</v>
      </c>
      <c r="K2091" t="s">
        <v>19</v>
      </c>
      <c r="L2091" t="s">
        <v>27</v>
      </c>
      <c r="M2091" t="s">
        <v>35</v>
      </c>
      <c r="N2091" t="s">
        <v>37</v>
      </c>
      <c r="O2091" t="s">
        <v>18</v>
      </c>
      <c r="P2091">
        <v>1</v>
      </c>
    </row>
    <row r="2092" spans="1:16" x14ac:dyDescent="0.3">
      <c r="A2092">
        <v>2615</v>
      </c>
      <c r="B2092">
        <v>44286</v>
      </c>
      <c r="C2092">
        <v>59</v>
      </c>
      <c r="D2092">
        <v>22791</v>
      </c>
      <c r="E2092" t="s">
        <v>113</v>
      </c>
      <c r="F2092" t="s">
        <v>15</v>
      </c>
      <c r="G2092" t="s">
        <v>31</v>
      </c>
      <c r="H2092" t="s">
        <v>95</v>
      </c>
      <c r="I2092" t="s">
        <v>9</v>
      </c>
      <c r="J2092" t="s">
        <v>10</v>
      </c>
      <c r="K2092" t="s">
        <v>26</v>
      </c>
      <c r="L2092" t="s">
        <v>27</v>
      </c>
      <c r="M2092" t="s">
        <v>13</v>
      </c>
      <c r="N2092" t="s">
        <v>37</v>
      </c>
      <c r="O2092" t="s">
        <v>18</v>
      </c>
      <c r="P2092">
        <v>1</v>
      </c>
    </row>
    <row r="2093" spans="1:16" x14ac:dyDescent="0.3">
      <c r="A2093">
        <v>2616</v>
      </c>
      <c r="B2093">
        <v>43691</v>
      </c>
      <c r="C2093">
        <v>47</v>
      </c>
      <c r="D2093">
        <v>26651</v>
      </c>
      <c r="E2093" t="s">
        <v>113</v>
      </c>
      <c r="F2093" t="s">
        <v>15</v>
      </c>
      <c r="G2093" t="s">
        <v>34</v>
      </c>
      <c r="H2093" t="s">
        <v>95</v>
      </c>
      <c r="I2093" t="s">
        <v>9</v>
      </c>
      <c r="J2093" t="s">
        <v>25</v>
      </c>
      <c r="K2093" t="s">
        <v>19</v>
      </c>
      <c r="L2093" t="s">
        <v>27</v>
      </c>
      <c r="M2093" t="s">
        <v>42</v>
      </c>
      <c r="N2093" t="s">
        <v>37</v>
      </c>
      <c r="O2093" t="s">
        <v>18</v>
      </c>
      <c r="P2093">
        <v>1</v>
      </c>
    </row>
    <row r="2094" spans="1:16" x14ac:dyDescent="0.3">
      <c r="A2094">
        <v>2617</v>
      </c>
      <c r="B2094">
        <v>44045</v>
      </c>
      <c r="C2094">
        <v>25</v>
      </c>
      <c r="D2094">
        <v>34815</v>
      </c>
      <c r="E2094" t="s">
        <v>113</v>
      </c>
      <c r="F2094" t="s">
        <v>15</v>
      </c>
      <c r="G2094" t="s">
        <v>31</v>
      </c>
      <c r="H2094" t="s">
        <v>95</v>
      </c>
      <c r="I2094" t="s">
        <v>9</v>
      </c>
      <c r="J2094" t="s">
        <v>25</v>
      </c>
      <c r="K2094" t="s">
        <v>11</v>
      </c>
      <c r="L2094" t="s">
        <v>27</v>
      </c>
      <c r="M2094" t="s">
        <v>60</v>
      </c>
      <c r="N2094" t="s">
        <v>23</v>
      </c>
      <c r="O2094" t="s">
        <v>18</v>
      </c>
      <c r="P2094">
        <v>4</v>
      </c>
    </row>
    <row r="2095" spans="1:16" x14ac:dyDescent="0.3">
      <c r="A2095">
        <v>2618</v>
      </c>
      <c r="B2095">
        <v>43620</v>
      </c>
      <c r="C2095">
        <v>25</v>
      </c>
      <c r="D2095">
        <v>34658</v>
      </c>
      <c r="E2095" t="s">
        <v>14</v>
      </c>
      <c r="F2095" t="s">
        <v>15</v>
      </c>
      <c r="G2095" t="s">
        <v>34</v>
      </c>
      <c r="H2095" t="s">
        <v>96</v>
      </c>
      <c r="I2095" t="s">
        <v>9</v>
      </c>
      <c r="J2095" t="s">
        <v>20</v>
      </c>
      <c r="K2095" t="s">
        <v>19</v>
      </c>
      <c r="L2095" t="s">
        <v>90</v>
      </c>
      <c r="M2095" t="s">
        <v>59</v>
      </c>
      <c r="N2095" t="s">
        <v>16</v>
      </c>
      <c r="O2095" t="s">
        <v>18</v>
      </c>
      <c r="P2095">
        <v>3</v>
      </c>
    </row>
    <row r="2096" spans="1:16" x14ac:dyDescent="0.3">
      <c r="A2096">
        <v>2619</v>
      </c>
      <c r="B2096">
        <v>43999</v>
      </c>
      <c r="C2096">
        <v>74</v>
      </c>
      <c r="D2096">
        <v>16898</v>
      </c>
      <c r="E2096" t="s">
        <v>14</v>
      </c>
      <c r="F2096" t="s">
        <v>22</v>
      </c>
      <c r="G2096" t="s">
        <v>40</v>
      </c>
      <c r="H2096" t="s">
        <v>24</v>
      </c>
      <c r="I2096" t="s">
        <v>9</v>
      </c>
      <c r="J2096" t="s">
        <v>10</v>
      </c>
      <c r="K2096" t="s">
        <v>19</v>
      </c>
      <c r="L2096" t="s">
        <v>27</v>
      </c>
      <c r="M2096" t="s">
        <v>35</v>
      </c>
      <c r="N2096" t="s">
        <v>23</v>
      </c>
      <c r="O2096" t="s">
        <v>18</v>
      </c>
      <c r="P2096">
        <v>2</v>
      </c>
    </row>
    <row r="2097" spans="1:16" x14ac:dyDescent="0.3">
      <c r="A2097">
        <v>2620</v>
      </c>
      <c r="B2097">
        <v>44259</v>
      </c>
      <c r="C2097">
        <v>48</v>
      </c>
      <c r="D2097">
        <v>26939</v>
      </c>
      <c r="E2097" t="s">
        <v>14</v>
      </c>
      <c r="F2097" t="s">
        <v>22</v>
      </c>
      <c r="G2097" t="s">
        <v>34</v>
      </c>
      <c r="H2097" t="s">
        <v>24</v>
      </c>
      <c r="I2097" t="s">
        <v>9</v>
      </c>
      <c r="J2097" t="s">
        <v>25</v>
      </c>
      <c r="K2097" t="s">
        <v>26</v>
      </c>
      <c r="L2097" t="s">
        <v>27</v>
      </c>
      <c r="M2097" t="s">
        <v>32</v>
      </c>
      <c r="N2097" t="s">
        <v>46</v>
      </c>
      <c r="O2097" t="s">
        <v>18</v>
      </c>
      <c r="P2097">
        <v>3</v>
      </c>
    </row>
    <row r="2098" spans="1:16" x14ac:dyDescent="0.3">
      <c r="A2098">
        <v>2621</v>
      </c>
      <c r="B2098">
        <v>43357</v>
      </c>
      <c r="C2098">
        <v>76</v>
      </c>
      <c r="D2098">
        <v>15559</v>
      </c>
      <c r="E2098" t="s">
        <v>114</v>
      </c>
      <c r="F2098" t="s">
        <v>22</v>
      </c>
      <c r="G2098" t="s">
        <v>31</v>
      </c>
      <c r="H2098" t="s">
        <v>24</v>
      </c>
      <c r="I2098" t="s">
        <v>9</v>
      </c>
      <c r="J2098" t="s">
        <v>20</v>
      </c>
      <c r="K2098" t="s">
        <v>26</v>
      </c>
      <c r="L2098" t="s">
        <v>27</v>
      </c>
      <c r="M2098" t="s">
        <v>68</v>
      </c>
      <c r="N2098" t="s">
        <v>16</v>
      </c>
      <c r="O2098" t="s">
        <v>18</v>
      </c>
      <c r="P2098">
        <v>5</v>
      </c>
    </row>
    <row r="2099" spans="1:16" x14ac:dyDescent="0.3">
      <c r="A2099">
        <v>2622</v>
      </c>
      <c r="B2099">
        <v>44032</v>
      </c>
      <c r="C2099">
        <v>29</v>
      </c>
      <c r="D2099">
        <v>33511</v>
      </c>
      <c r="E2099" t="s">
        <v>114</v>
      </c>
      <c r="F2099" t="s">
        <v>22</v>
      </c>
      <c r="G2099" t="s">
        <v>17</v>
      </c>
      <c r="H2099" t="s">
        <v>24</v>
      </c>
      <c r="I2099" t="s">
        <v>9</v>
      </c>
      <c r="J2099" t="s">
        <v>10</v>
      </c>
      <c r="K2099" t="s">
        <v>26</v>
      </c>
      <c r="L2099" t="s">
        <v>27</v>
      </c>
      <c r="M2099" t="s">
        <v>44</v>
      </c>
      <c r="N2099" t="s">
        <v>46</v>
      </c>
      <c r="O2099" t="s">
        <v>18</v>
      </c>
      <c r="P2099">
        <v>5</v>
      </c>
    </row>
    <row r="2100" spans="1:16" x14ac:dyDescent="0.3">
      <c r="A2100">
        <v>2623</v>
      </c>
      <c r="B2100">
        <v>43972</v>
      </c>
      <c r="C2100">
        <v>67</v>
      </c>
      <c r="D2100">
        <v>19553</v>
      </c>
      <c r="E2100" t="s">
        <v>114</v>
      </c>
      <c r="F2100" t="s">
        <v>22</v>
      </c>
      <c r="G2100" t="s">
        <v>40</v>
      </c>
      <c r="H2100" t="s">
        <v>24</v>
      </c>
      <c r="I2100" t="s">
        <v>9</v>
      </c>
      <c r="J2100" t="s">
        <v>10</v>
      </c>
      <c r="K2100" t="s">
        <v>11</v>
      </c>
      <c r="L2100" t="s">
        <v>27</v>
      </c>
      <c r="M2100" t="s">
        <v>35</v>
      </c>
      <c r="N2100" t="s">
        <v>46</v>
      </c>
      <c r="O2100" t="s">
        <v>18</v>
      </c>
      <c r="P2100">
        <v>5</v>
      </c>
    </row>
    <row r="2101" spans="1:16" x14ac:dyDescent="0.3">
      <c r="A2101">
        <v>2624</v>
      </c>
      <c r="B2101">
        <v>45088</v>
      </c>
      <c r="C2101">
        <v>39</v>
      </c>
      <c r="D2101">
        <v>30885</v>
      </c>
      <c r="E2101" t="s">
        <v>116</v>
      </c>
      <c r="F2101" t="s">
        <v>22</v>
      </c>
      <c r="G2101" t="s">
        <v>31</v>
      </c>
      <c r="H2101" t="s">
        <v>24</v>
      </c>
      <c r="I2101" t="s">
        <v>9</v>
      </c>
      <c r="J2101" t="s">
        <v>20</v>
      </c>
      <c r="K2101" t="s">
        <v>11</v>
      </c>
      <c r="L2101" t="s">
        <v>27</v>
      </c>
      <c r="M2101" t="s">
        <v>59</v>
      </c>
      <c r="N2101" t="s">
        <v>30</v>
      </c>
      <c r="O2101" t="s">
        <v>18</v>
      </c>
      <c r="P2101">
        <v>4</v>
      </c>
    </row>
    <row r="2102" spans="1:16" x14ac:dyDescent="0.3">
      <c r="A2102">
        <v>2625</v>
      </c>
      <c r="B2102">
        <v>44892</v>
      </c>
      <c r="C2102">
        <v>79</v>
      </c>
      <c r="D2102">
        <v>16019</v>
      </c>
      <c r="E2102" t="s">
        <v>120</v>
      </c>
      <c r="F2102" t="s">
        <v>22</v>
      </c>
      <c r="G2102" t="s">
        <v>40</v>
      </c>
      <c r="H2102" t="s">
        <v>24</v>
      </c>
      <c r="I2102" t="s">
        <v>9</v>
      </c>
      <c r="J2102" t="s">
        <v>25</v>
      </c>
      <c r="K2102" t="s">
        <v>26</v>
      </c>
      <c r="L2102" t="s">
        <v>27</v>
      </c>
      <c r="M2102" t="s">
        <v>49</v>
      </c>
      <c r="N2102" t="s">
        <v>46</v>
      </c>
      <c r="O2102" t="s">
        <v>18</v>
      </c>
      <c r="P2102">
        <v>5</v>
      </c>
    </row>
    <row r="2103" spans="1:16" x14ac:dyDescent="0.3">
      <c r="A2103">
        <v>2626</v>
      </c>
      <c r="B2103">
        <v>43892</v>
      </c>
      <c r="C2103">
        <v>44</v>
      </c>
      <c r="D2103">
        <v>28007</v>
      </c>
      <c r="E2103" t="s">
        <v>120</v>
      </c>
      <c r="F2103" t="s">
        <v>22</v>
      </c>
      <c r="G2103" t="s">
        <v>17</v>
      </c>
      <c r="H2103" t="s">
        <v>24</v>
      </c>
      <c r="I2103" t="s">
        <v>9</v>
      </c>
      <c r="J2103" t="s">
        <v>25</v>
      </c>
      <c r="K2103" t="s">
        <v>11</v>
      </c>
      <c r="L2103" t="s">
        <v>27</v>
      </c>
      <c r="M2103" t="s">
        <v>54</v>
      </c>
      <c r="N2103" t="s">
        <v>46</v>
      </c>
      <c r="O2103" t="s">
        <v>18</v>
      </c>
      <c r="P2103">
        <v>4</v>
      </c>
    </row>
    <row r="2104" spans="1:16" x14ac:dyDescent="0.3">
      <c r="A2104">
        <v>2627</v>
      </c>
      <c r="B2104">
        <v>44955</v>
      </c>
      <c r="C2104">
        <v>33</v>
      </c>
      <c r="D2104">
        <v>33019</v>
      </c>
      <c r="E2104" t="s">
        <v>120</v>
      </c>
      <c r="F2104" t="s">
        <v>22</v>
      </c>
      <c r="G2104" t="s">
        <v>40</v>
      </c>
      <c r="H2104" t="s">
        <v>24</v>
      </c>
      <c r="I2104" t="s">
        <v>9</v>
      </c>
      <c r="J2104" t="s">
        <v>25</v>
      </c>
      <c r="K2104" t="s">
        <v>11</v>
      </c>
      <c r="L2104" t="s">
        <v>27</v>
      </c>
      <c r="M2104" t="s">
        <v>59</v>
      </c>
      <c r="N2104" t="s">
        <v>30</v>
      </c>
      <c r="O2104" t="s">
        <v>18</v>
      </c>
      <c r="P2104">
        <v>3</v>
      </c>
    </row>
    <row r="2105" spans="1:16" x14ac:dyDescent="0.3">
      <c r="A2105">
        <v>2628</v>
      </c>
      <c r="B2105">
        <v>44537</v>
      </c>
      <c r="C2105">
        <v>30</v>
      </c>
      <c r="D2105">
        <v>33561</v>
      </c>
      <c r="E2105" t="s">
        <v>120</v>
      </c>
      <c r="F2105" t="s">
        <v>22</v>
      </c>
      <c r="G2105" t="s">
        <v>40</v>
      </c>
      <c r="H2105" t="s">
        <v>24</v>
      </c>
      <c r="I2105" t="s">
        <v>9</v>
      </c>
      <c r="J2105" t="s">
        <v>20</v>
      </c>
      <c r="K2105" t="s">
        <v>19</v>
      </c>
      <c r="L2105" t="s">
        <v>27</v>
      </c>
      <c r="M2105" t="s">
        <v>76</v>
      </c>
      <c r="N2105" t="s">
        <v>23</v>
      </c>
      <c r="O2105" t="s">
        <v>18</v>
      </c>
      <c r="P2105">
        <v>4</v>
      </c>
    </row>
    <row r="2106" spans="1:16" x14ac:dyDescent="0.3">
      <c r="A2106">
        <v>2629</v>
      </c>
      <c r="B2106">
        <v>45004</v>
      </c>
      <c r="C2106">
        <v>48</v>
      </c>
      <c r="D2106">
        <v>27429</v>
      </c>
      <c r="E2106" t="s">
        <v>111</v>
      </c>
      <c r="F2106" t="s">
        <v>22</v>
      </c>
      <c r="G2106" t="s">
        <v>31</v>
      </c>
      <c r="H2106" t="s">
        <v>24</v>
      </c>
      <c r="I2106" t="s">
        <v>9</v>
      </c>
      <c r="J2106" t="s">
        <v>10</v>
      </c>
      <c r="K2106" t="s">
        <v>26</v>
      </c>
      <c r="L2106" t="s">
        <v>27</v>
      </c>
      <c r="M2106" t="s">
        <v>69</v>
      </c>
      <c r="N2106" t="s">
        <v>16</v>
      </c>
      <c r="O2106" t="s">
        <v>18</v>
      </c>
      <c r="P2106">
        <v>5</v>
      </c>
    </row>
    <row r="2107" spans="1:16" x14ac:dyDescent="0.3">
      <c r="A2107">
        <v>2630</v>
      </c>
      <c r="B2107">
        <v>44722</v>
      </c>
      <c r="C2107">
        <v>28</v>
      </c>
      <c r="D2107">
        <v>34642</v>
      </c>
      <c r="E2107" t="s">
        <v>111</v>
      </c>
      <c r="F2107" t="s">
        <v>22</v>
      </c>
      <c r="G2107" t="s">
        <v>17</v>
      </c>
      <c r="H2107" t="s">
        <v>24</v>
      </c>
      <c r="I2107" t="s">
        <v>9</v>
      </c>
      <c r="J2107" t="s">
        <v>20</v>
      </c>
      <c r="K2107" t="s">
        <v>26</v>
      </c>
      <c r="L2107" t="s">
        <v>27</v>
      </c>
      <c r="M2107" t="s">
        <v>35</v>
      </c>
      <c r="N2107" t="s">
        <v>46</v>
      </c>
      <c r="O2107" t="s">
        <v>18</v>
      </c>
      <c r="P2107">
        <v>5</v>
      </c>
    </row>
    <row r="2108" spans="1:16" x14ac:dyDescent="0.3">
      <c r="A2108">
        <v>2631</v>
      </c>
      <c r="B2108">
        <v>44258</v>
      </c>
      <c r="C2108">
        <v>23</v>
      </c>
      <c r="D2108">
        <v>35894</v>
      </c>
      <c r="E2108" t="s">
        <v>111</v>
      </c>
      <c r="F2108" t="s">
        <v>15</v>
      </c>
      <c r="G2108" t="s">
        <v>17</v>
      </c>
      <c r="H2108" t="s">
        <v>24</v>
      </c>
      <c r="I2108" t="s">
        <v>9</v>
      </c>
      <c r="J2108" t="s">
        <v>25</v>
      </c>
      <c r="K2108" t="s">
        <v>11</v>
      </c>
      <c r="L2108" t="s">
        <v>27</v>
      </c>
      <c r="M2108" t="s">
        <v>60</v>
      </c>
      <c r="N2108" t="s">
        <v>37</v>
      </c>
      <c r="O2108" t="s">
        <v>18</v>
      </c>
      <c r="P2108">
        <v>1</v>
      </c>
    </row>
    <row r="2109" spans="1:16" x14ac:dyDescent="0.3">
      <c r="A2109">
        <v>2632</v>
      </c>
      <c r="B2109">
        <v>44626</v>
      </c>
      <c r="C2109">
        <v>47</v>
      </c>
      <c r="D2109">
        <v>27687</v>
      </c>
      <c r="E2109" t="s">
        <v>113</v>
      </c>
      <c r="F2109" t="s">
        <v>15</v>
      </c>
      <c r="G2109" t="s">
        <v>40</v>
      </c>
      <c r="H2109" t="s">
        <v>95</v>
      </c>
      <c r="I2109" t="s">
        <v>9</v>
      </c>
      <c r="J2109" t="s">
        <v>10</v>
      </c>
      <c r="K2109" t="s">
        <v>11</v>
      </c>
      <c r="L2109" t="s">
        <v>27</v>
      </c>
      <c r="M2109" t="s">
        <v>35</v>
      </c>
      <c r="N2109" t="s">
        <v>23</v>
      </c>
      <c r="O2109" t="s">
        <v>18</v>
      </c>
      <c r="P2109">
        <v>4</v>
      </c>
    </row>
    <row r="2110" spans="1:16" x14ac:dyDescent="0.3">
      <c r="A2110">
        <v>2633</v>
      </c>
      <c r="B2110">
        <v>44781</v>
      </c>
      <c r="C2110">
        <v>37</v>
      </c>
      <c r="D2110">
        <v>31299</v>
      </c>
      <c r="E2110" t="s">
        <v>113</v>
      </c>
      <c r="F2110" t="s">
        <v>15</v>
      </c>
      <c r="G2110" t="s">
        <v>31</v>
      </c>
      <c r="H2110" t="s">
        <v>95</v>
      </c>
      <c r="I2110" t="s">
        <v>9</v>
      </c>
      <c r="J2110" t="s">
        <v>20</v>
      </c>
      <c r="K2110" t="s">
        <v>11</v>
      </c>
      <c r="L2110" t="s">
        <v>27</v>
      </c>
      <c r="M2110" t="s">
        <v>54</v>
      </c>
      <c r="N2110" t="s">
        <v>16</v>
      </c>
      <c r="O2110" t="s">
        <v>18</v>
      </c>
      <c r="P2110">
        <v>2</v>
      </c>
    </row>
    <row r="2111" spans="1:16" x14ac:dyDescent="0.3">
      <c r="A2111">
        <v>2634</v>
      </c>
      <c r="B2111">
        <v>44997</v>
      </c>
      <c r="C2111">
        <v>80</v>
      </c>
      <c r="D2111">
        <v>15753</v>
      </c>
      <c r="E2111" t="s">
        <v>113</v>
      </c>
      <c r="F2111" t="s">
        <v>15</v>
      </c>
      <c r="G2111" t="s">
        <v>31</v>
      </c>
      <c r="H2111" t="s">
        <v>95</v>
      </c>
      <c r="I2111" t="s">
        <v>9</v>
      </c>
      <c r="J2111" t="s">
        <v>20</v>
      </c>
      <c r="K2111" t="s">
        <v>26</v>
      </c>
      <c r="L2111" t="s">
        <v>27</v>
      </c>
      <c r="M2111" t="s">
        <v>35</v>
      </c>
      <c r="N2111" t="s">
        <v>46</v>
      </c>
      <c r="O2111" t="s">
        <v>18</v>
      </c>
      <c r="P2111">
        <v>5</v>
      </c>
    </row>
    <row r="2112" spans="1:16" x14ac:dyDescent="0.3">
      <c r="A2112">
        <v>2635</v>
      </c>
      <c r="B2112">
        <v>43586</v>
      </c>
      <c r="C2112">
        <v>62</v>
      </c>
      <c r="D2112">
        <v>21027</v>
      </c>
      <c r="E2112" t="s">
        <v>14</v>
      </c>
      <c r="F2112" t="s">
        <v>15</v>
      </c>
      <c r="G2112" t="s">
        <v>40</v>
      </c>
      <c r="H2112" t="s">
        <v>96</v>
      </c>
      <c r="I2112" t="s">
        <v>9</v>
      </c>
      <c r="J2112" t="s">
        <v>25</v>
      </c>
      <c r="K2112" t="s">
        <v>26</v>
      </c>
      <c r="L2112" t="s">
        <v>90</v>
      </c>
      <c r="M2112" t="s">
        <v>32</v>
      </c>
      <c r="N2112" t="s">
        <v>46</v>
      </c>
      <c r="O2112" t="s">
        <v>18</v>
      </c>
      <c r="P2112">
        <v>1</v>
      </c>
    </row>
    <row r="2113" spans="1:16" x14ac:dyDescent="0.3">
      <c r="A2113">
        <v>2636</v>
      </c>
      <c r="B2113">
        <v>43356</v>
      </c>
      <c r="C2113">
        <v>48</v>
      </c>
      <c r="D2113">
        <v>25892</v>
      </c>
      <c r="E2113" t="s">
        <v>14</v>
      </c>
      <c r="F2113" t="s">
        <v>22</v>
      </c>
      <c r="G2113" t="s">
        <v>34</v>
      </c>
      <c r="H2113" t="s">
        <v>24</v>
      </c>
      <c r="I2113" t="s">
        <v>9</v>
      </c>
      <c r="J2113" t="s">
        <v>25</v>
      </c>
      <c r="K2113" t="s">
        <v>26</v>
      </c>
      <c r="L2113" t="s">
        <v>27</v>
      </c>
      <c r="M2113" t="s">
        <v>38</v>
      </c>
      <c r="N2113" t="s">
        <v>46</v>
      </c>
      <c r="O2113" t="s">
        <v>18</v>
      </c>
      <c r="P2113">
        <v>3</v>
      </c>
    </row>
    <row r="2114" spans="1:16" x14ac:dyDescent="0.3">
      <c r="A2114">
        <v>2637</v>
      </c>
      <c r="B2114">
        <v>44881</v>
      </c>
      <c r="C2114">
        <v>55</v>
      </c>
      <c r="D2114">
        <v>24749</v>
      </c>
      <c r="E2114" t="s">
        <v>14</v>
      </c>
      <c r="F2114" t="s">
        <v>22</v>
      </c>
      <c r="G2114" t="s">
        <v>40</v>
      </c>
      <c r="H2114" t="s">
        <v>24</v>
      </c>
      <c r="I2114" t="s">
        <v>9</v>
      </c>
      <c r="J2114" t="s">
        <v>10</v>
      </c>
      <c r="K2114" t="s">
        <v>19</v>
      </c>
      <c r="L2114" t="s">
        <v>27</v>
      </c>
      <c r="M2114" t="s">
        <v>54</v>
      </c>
      <c r="N2114" t="s">
        <v>46</v>
      </c>
      <c r="O2114" t="s">
        <v>18</v>
      </c>
      <c r="P2114">
        <v>2</v>
      </c>
    </row>
    <row r="2115" spans="1:16" x14ac:dyDescent="0.3">
      <c r="A2115">
        <v>2638</v>
      </c>
      <c r="B2115">
        <v>44520</v>
      </c>
      <c r="C2115">
        <v>64</v>
      </c>
      <c r="D2115">
        <v>20830</v>
      </c>
      <c r="E2115" t="s">
        <v>114</v>
      </c>
      <c r="F2115" t="s">
        <v>22</v>
      </c>
      <c r="G2115" t="s">
        <v>40</v>
      </c>
      <c r="H2115" t="s">
        <v>24</v>
      </c>
      <c r="I2115" t="s">
        <v>9</v>
      </c>
      <c r="J2115" t="s">
        <v>10</v>
      </c>
      <c r="K2115" t="s">
        <v>26</v>
      </c>
      <c r="L2115" t="s">
        <v>27</v>
      </c>
      <c r="M2115" t="s">
        <v>60</v>
      </c>
      <c r="N2115" t="s">
        <v>46</v>
      </c>
      <c r="O2115" t="s">
        <v>18</v>
      </c>
      <c r="P2115">
        <v>2</v>
      </c>
    </row>
    <row r="2116" spans="1:16" x14ac:dyDescent="0.3">
      <c r="A2116">
        <v>2639</v>
      </c>
      <c r="B2116">
        <v>44103</v>
      </c>
      <c r="C2116">
        <v>45</v>
      </c>
      <c r="D2116">
        <v>27659</v>
      </c>
      <c r="E2116" t="s">
        <v>114</v>
      </c>
      <c r="F2116" t="s">
        <v>22</v>
      </c>
      <c r="G2116" t="s">
        <v>34</v>
      </c>
      <c r="H2116" t="s">
        <v>24</v>
      </c>
      <c r="I2116" t="s">
        <v>9</v>
      </c>
      <c r="J2116" t="s">
        <v>20</v>
      </c>
      <c r="K2116" t="s">
        <v>11</v>
      </c>
      <c r="L2116" t="s">
        <v>27</v>
      </c>
      <c r="M2116" t="s">
        <v>54</v>
      </c>
      <c r="N2116" t="s">
        <v>46</v>
      </c>
      <c r="O2116" t="s">
        <v>18</v>
      </c>
      <c r="P2116">
        <v>3</v>
      </c>
    </row>
    <row r="2117" spans="1:16" x14ac:dyDescent="0.3">
      <c r="A2117">
        <v>2640</v>
      </c>
      <c r="B2117">
        <v>44436</v>
      </c>
      <c r="C2117">
        <v>59</v>
      </c>
      <c r="D2117">
        <v>22956</v>
      </c>
      <c r="E2117" t="s">
        <v>114</v>
      </c>
      <c r="F2117" t="s">
        <v>22</v>
      </c>
      <c r="G2117" t="s">
        <v>31</v>
      </c>
      <c r="H2117" t="s">
        <v>24</v>
      </c>
      <c r="I2117" t="s">
        <v>9</v>
      </c>
      <c r="J2117" t="s">
        <v>10</v>
      </c>
      <c r="K2117" t="s">
        <v>26</v>
      </c>
      <c r="L2117" t="s">
        <v>27</v>
      </c>
      <c r="M2117" t="s">
        <v>59</v>
      </c>
      <c r="N2117" t="s">
        <v>37</v>
      </c>
      <c r="O2117" t="s">
        <v>18</v>
      </c>
      <c r="P2117">
        <v>5</v>
      </c>
    </row>
    <row r="2118" spans="1:16" x14ac:dyDescent="0.3">
      <c r="A2118">
        <v>2641</v>
      </c>
      <c r="B2118">
        <v>44314</v>
      </c>
      <c r="C2118">
        <v>46</v>
      </c>
      <c r="D2118">
        <v>27595</v>
      </c>
      <c r="E2118" t="s">
        <v>114</v>
      </c>
      <c r="F2118" t="s">
        <v>22</v>
      </c>
      <c r="G2118" t="s">
        <v>34</v>
      </c>
      <c r="H2118" t="s">
        <v>24</v>
      </c>
      <c r="I2118" t="s">
        <v>9</v>
      </c>
      <c r="J2118" t="s">
        <v>25</v>
      </c>
      <c r="K2118" t="s">
        <v>19</v>
      </c>
      <c r="L2118" t="s">
        <v>27</v>
      </c>
      <c r="M2118" t="s">
        <v>21</v>
      </c>
      <c r="N2118" t="s">
        <v>46</v>
      </c>
      <c r="O2118" t="s">
        <v>18</v>
      </c>
      <c r="P2118">
        <v>3</v>
      </c>
    </row>
    <row r="2119" spans="1:16" x14ac:dyDescent="0.3">
      <c r="A2119">
        <v>2642</v>
      </c>
      <c r="B2119">
        <v>44727</v>
      </c>
      <c r="C2119">
        <v>71</v>
      </c>
      <c r="D2119">
        <v>18792</v>
      </c>
      <c r="E2119" t="s">
        <v>116</v>
      </c>
      <c r="F2119" t="s">
        <v>22</v>
      </c>
      <c r="G2119" t="s">
        <v>40</v>
      </c>
      <c r="H2119" t="s">
        <v>24</v>
      </c>
      <c r="I2119" t="s">
        <v>9</v>
      </c>
      <c r="J2119" t="s">
        <v>25</v>
      </c>
      <c r="K2119" t="s">
        <v>11</v>
      </c>
      <c r="L2119" t="s">
        <v>27</v>
      </c>
      <c r="M2119" t="s">
        <v>35</v>
      </c>
      <c r="N2119" t="s">
        <v>46</v>
      </c>
      <c r="O2119" t="s">
        <v>18</v>
      </c>
      <c r="P2119">
        <v>3</v>
      </c>
    </row>
    <row r="2120" spans="1:16" x14ac:dyDescent="0.3">
      <c r="A2120">
        <v>2643</v>
      </c>
      <c r="B2120">
        <v>44666</v>
      </c>
      <c r="C2120">
        <v>56</v>
      </c>
      <c r="D2120">
        <v>24465</v>
      </c>
      <c r="E2120" t="s">
        <v>120</v>
      </c>
      <c r="F2120" t="s">
        <v>22</v>
      </c>
      <c r="G2120" t="s">
        <v>40</v>
      </c>
      <c r="H2120" t="s">
        <v>24</v>
      </c>
      <c r="I2120" t="s">
        <v>9</v>
      </c>
      <c r="J2120" t="s">
        <v>25</v>
      </c>
      <c r="K2120" t="s">
        <v>19</v>
      </c>
      <c r="L2120" t="s">
        <v>27</v>
      </c>
      <c r="M2120" t="s">
        <v>59</v>
      </c>
      <c r="N2120" t="s">
        <v>37</v>
      </c>
      <c r="O2120" t="s">
        <v>18</v>
      </c>
      <c r="P2120">
        <v>3</v>
      </c>
    </row>
    <row r="2121" spans="1:16" x14ac:dyDescent="0.3">
      <c r="A2121">
        <v>2644</v>
      </c>
      <c r="B2121">
        <v>44031</v>
      </c>
      <c r="C2121">
        <v>21</v>
      </c>
      <c r="D2121">
        <v>36183</v>
      </c>
      <c r="E2121" t="s">
        <v>120</v>
      </c>
      <c r="F2121" t="s">
        <v>22</v>
      </c>
      <c r="G2121" t="s">
        <v>31</v>
      </c>
      <c r="H2121" t="s">
        <v>24</v>
      </c>
      <c r="I2121" t="s">
        <v>9</v>
      </c>
      <c r="J2121" t="s">
        <v>25</v>
      </c>
      <c r="K2121" t="s">
        <v>11</v>
      </c>
      <c r="L2121" t="s">
        <v>27</v>
      </c>
      <c r="M2121" t="s">
        <v>21</v>
      </c>
      <c r="N2121" t="s">
        <v>30</v>
      </c>
      <c r="O2121" t="s">
        <v>18</v>
      </c>
      <c r="P2121">
        <v>1</v>
      </c>
    </row>
    <row r="2122" spans="1:16" x14ac:dyDescent="0.3">
      <c r="A2122">
        <v>2645</v>
      </c>
      <c r="B2122">
        <v>44014</v>
      </c>
      <c r="C2122">
        <v>73</v>
      </c>
      <c r="D2122">
        <v>17345</v>
      </c>
      <c r="E2122" t="s">
        <v>120</v>
      </c>
      <c r="F2122" t="s">
        <v>22</v>
      </c>
      <c r="G2122" t="s">
        <v>34</v>
      </c>
      <c r="H2122" t="s">
        <v>24</v>
      </c>
      <c r="I2122" t="s">
        <v>9</v>
      </c>
      <c r="J2122" t="s">
        <v>10</v>
      </c>
      <c r="K2122" t="s">
        <v>11</v>
      </c>
      <c r="L2122" t="s">
        <v>27</v>
      </c>
      <c r="M2122" t="s">
        <v>59</v>
      </c>
      <c r="N2122" t="s">
        <v>46</v>
      </c>
      <c r="O2122" t="s">
        <v>18</v>
      </c>
      <c r="P2122">
        <v>3</v>
      </c>
    </row>
    <row r="2123" spans="1:16" x14ac:dyDescent="0.3">
      <c r="A2123">
        <v>2646</v>
      </c>
      <c r="B2123">
        <v>43681</v>
      </c>
      <c r="C2123">
        <v>18</v>
      </c>
      <c r="D2123">
        <v>37059</v>
      </c>
      <c r="E2123" t="s">
        <v>111</v>
      </c>
      <c r="F2123" t="s">
        <v>22</v>
      </c>
      <c r="G2123" t="s">
        <v>17</v>
      </c>
      <c r="H2123" t="s">
        <v>24</v>
      </c>
      <c r="I2123" t="s">
        <v>9</v>
      </c>
      <c r="J2123" t="s">
        <v>10</v>
      </c>
      <c r="K2123" t="s">
        <v>19</v>
      </c>
      <c r="L2123" t="s">
        <v>27</v>
      </c>
      <c r="M2123" t="s">
        <v>54</v>
      </c>
      <c r="N2123" t="s">
        <v>37</v>
      </c>
      <c r="O2123" t="s">
        <v>18</v>
      </c>
      <c r="P2123">
        <v>2</v>
      </c>
    </row>
    <row r="2124" spans="1:16" x14ac:dyDescent="0.3">
      <c r="A2124">
        <v>2647</v>
      </c>
      <c r="B2124">
        <v>43474</v>
      </c>
      <c r="C2124">
        <v>69</v>
      </c>
      <c r="D2124">
        <v>18570</v>
      </c>
      <c r="E2124" t="s">
        <v>111</v>
      </c>
      <c r="F2124" t="s">
        <v>22</v>
      </c>
      <c r="G2124" t="s">
        <v>31</v>
      </c>
      <c r="H2124" t="s">
        <v>24</v>
      </c>
      <c r="I2124" t="s">
        <v>9</v>
      </c>
      <c r="J2124" t="s">
        <v>10</v>
      </c>
      <c r="K2124" t="s">
        <v>19</v>
      </c>
      <c r="L2124" t="s">
        <v>27</v>
      </c>
      <c r="M2124" t="s">
        <v>54</v>
      </c>
      <c r="N2124" t="s">
        <v>23</v>
      </c>
      <c r="O2124" t="s">
        <v>18</v>
      </c>
      <c r="P2124">
        <v>5</v>
      </c>
    </row>
    <row r="2125" spans="1:16" x14ac:dyDescent="0.3">
      <c r="A2125">
        <v>2648</v>
      </c>
      <c r="B2125">
        <v>44835</v>
      </c>
      <c r="C2125">
        <v>28</v>
      </c>
      <c r="D2125">
        <v>34520</v>
      </c>
      <c r="E2125" t="s">
        <v>111</v>
      </c>
      <c r="F2125" t="s">
        <v>22</v>
      </c>
      <c r="G2125" t="s">
        <v>34</v>
      </c>
      <c r="H2125" t="s">
        <v>24</v>
      </c>
      <c r="I2125" t="s">
        <v>9</v>
      </c>
      <c r="J2125" t="s">
        <v>20</v>
      </c>
      <c r="K2125" t="s">
        <v>19</v>
      </c>
      <c r="L2125" t="s">
        <v>27</v>
      </c>
      <c r="M2125" t="s">
        <v>55</v>
      </c>
      <c r="N2125" t="s">
        <v>30</v>
      </c>
      <c r="O2125" t="s">
        <v>18</v>
      </c>
      <c r="P2125">
        <v>2</v>
      </c>
    </row>
    <row r="2126" spans="1:16" x14ac:dyDescent="0.3">
      <c r="A2126">
        <v>2649</v>
      </c>
      <c r="B2126">
        <v>44102</v>
      </c>
      <c r="C2126">
        <v>47</v>
      </c>
      <c r="D2126">
        <v>26744</v>
      </c>
      <c r="E2126" t="s">
        <v>118</v>
      </c>
      <c r="F2126" t="s">
        <v>15</v>
      </c>
      <c r="G2126" t="s">
        <v>17</v>
      </c>
      <c r="H2126" t="s">
        <v>24</v>
      </c>
      <c r="I2126" t="s">
        <v>9</v>
      </c>
      <c r="J2126" t="s">
        <v>20</v>
      </c>
      <c r="K2126" t="s">
        <v>19</v>
      </c>
      <c r="L2126" t="s">
        <v>27</v>
      </c>
      <c r="M2126" t="s">
        <v>54</v>
      </c>
      <c r="N2126" t="s">
        <v>16</v>
      </c>
      <c r="O2126" t="s">
        <v>18</v>
      </c>
      <c r="P2126">
        <v>4</v>
      </c>
    </row>
    <row r="2127" spans="1:16" x14ac:dyDescent="0.3">
      <c r="A2127">
        <v>2650</v>
      </c>
      <c r="B2127">
        <v>43419</v>
      </c>
      <c r="C2127">
        <v>54</v>
      </c>
      <c r="D2127">
        <v>23604</v>
      </c>
      <c r="E2127" t="s">
        <v>113</v>
      </c>
      <c r="F2127" t="s">
        <v>15</v>
      </c>
      <c r="G2127" t="s">
        <v>31</v>
      </c>
      <c r="H2127" t="s">
        <v>95</v>
      </c>
      <c r="I2127" t="s">
        <v>9</v>
      </c>
      <c r="J2127" t="s">
        <v>20</v>
      </c>
      <c r="K2127" t="s">
        <v>26</v>
      </c>
      <c r="L2127" t="s">
        <v>27</v>
      </c>
      <c r="M2127" t="s">
        <v>54</v>
      </c>
      <c r="N2127" t="s">
        <v>37</v>
      </c>
      <c r="O2127" t="s">
        <v>18</v>
      </c>
      <c r="P2127">
        <v>1</v>
      </c>
    </row>
    <row r="2128" spans="1:16" x14ac:dyDescent="0.3">
      <c r="A2128">
        <v>2651</v>
      </c>
      <c r="B2128">
        <v>44159</v>
      </c>
      <c r="C2128">
        <v>28</v>
      </c>
      <c r="D2128">
        <v>33665</v>
      </c>
      <c r="E2128" t="s">
        <v>113</v>
      </c>
      <c r="F2128" t="s">
        <v>15</v>
      </c>
      <c r="G2128" t="s">
        <v>40</v>
      </c>
      <c r="H2128" t="s">
        <v>95</v>
      </c>
      <c r="I2128" t="s">
        <v>9</v>
      </c>
      <c r="J2128" t="s">
        <v>10</v>
      </c>
      <c r="K2128" t="s">
        <v>11</v>
      </c>
      <c r="L2128" t="s">
        <v>27</v>
      </c>
      <c r="M2128" t="s">
        <v>54</v>
      </c>
      <c r="N2128" t="s">
        <v>23</v>
      </c>
      <c r="O2128" t="s">
        <v>18</v>
      </c>
      <c r="P2128">
        <v>3</v>
      </c>
    </row>
    <row r="2129" spans="1:16" x14ac:dyDescent="0.3">
      <c r="A2129">
        <v>2652</v>
      </c>
      <c r="B2129">
        <v>45116</v>
      </c>
      <c r="C2129">
        <v>69</v>
      </c>
      <c r="D2129">
        <v>19791</v>
      </c>
      <c r="E2129" t="s">
        <v>14</v>
      </c>
      <c r="F2129" t="s">
        <v>15</v>
      </c>
      <c r="G2129" t="s">
        <v>17</v>
      </c>
      <c r="H2129" t="s">
        <v>95</v>
      </c>
      <c r="I2129" t="s">
        <v>9</v>
      </c>
      <c r="J2129" t="s">
        <v>10</v>
      </c>
      <c r="K2129" t="s">
        <v>11</v>
      </c>
      <c r="L2129" t="s">
        <v>27</v>
      </c>
      <c r="M2129" t="s">
        <v>28</v>
      </c>
      <c r="N2129" t="s">
        <v>30</v>
      </c>
      <c r="O2129" t="s">
        <v>18</v>
      </c>
      <c r="P2129">
        <v>4</v>
      </c>
    </row>
    <row r="2130" spans="1:16" x14ac:dyDescent="0.3">
      <c r="A2130">
        <v>2653</v>
      </c>
      <c r="B2130">
        <v>45036</v>
      </c>
      <c r="C2130">
        <v>79</v>
      </c>
      <c r="D2130">
        <v>16183</v>
      </c>
      <c r="E2130" t="s">
        <v>14</v>
      </c>
      <c r="F2130" t="s">
        <v>22</v>
      </c>
      <c r="G2130" t="s">
        <v>17</v>
      </c>
      <c r="H2130" t="s">
        <v>24</v>
      </c>
      <c r="I2130" t="s">
        <v>9</v>
      </c>
      <c r="J2130" t="s">
        <v>25</v>
      </c>
      <c r="K2130" t="s">
        <v>11</v>
      </c>
      <c r="L2130" t="s">
        <v>27</v>
      </c>
      <c r="M2130" t="s">
        <v>59</v>
      </c>
      <c r="N2130" t="s">
        <v>16</v>
      </c>
      <c r="O2130" t="s">
        <v>18</v>
      </c>
      <c r="P2130">
        <v>5</v>
      </c>
    </row>
    <row r="2131" spans="1:16" x14ac:dyDescent="0.3">
      <c r="A2131">
        <v>2654</v>
      </c>
      <c r="B2131">
        <v>43699</v>
      </c>
      <c r="C2131">
        <v>64</v>
      </c>
      <c r="D2131">
        <v>20279</v>
      </c>
      <c r="E2131" t="s">
        <v>14</v>
      </c>
      <c r="F2131" t="s">
        <v>22</v>
      </c>
      <c r="G2131" t="s">
        <v>40</v>
      </c>
      <c r="H2131" t="s">
        <v>24</v>
      </c>
      <c r="I2131" t="s">
        <v>9</v>
      </c>
      <c r="J2131" t="s">
        <v>25</v>
      </c>
      <c r="K2131" t="s">
        <v>11</v>
      </c>
      <c r="L2131" t="s">
        <v>27</v>
      </c>
      <c r="M2131" t="s">
        <v>32</v>
      </c>
      <c r="N2131" t="s">
        <v>37</v>
      </c>
      <c r="O2131" t="s">
        <v>18</v>
      </c>
      <c r="P2131">
        <v>1</v>
      </c>
    </row>
    <row r="2132" spans="1:16" x14ac:dyDescent="0.3">
      <c r="A2132">
        <v>2655</v>
      </c>
      <c r="B2132">
        <v>44775</v>
      </c>
      <c r="C2132">
        <v>58</v>
      </c>
      <c r="D2132">
        <v>23689</v>
      </c>
      <c r="E2132" t="s">
        <v>114</v>
      </c>
      <c r="F2132" t="s">
        <v>22</v>
      </c>
      <c r="G2132" t="s">
        <v>40</v>
      </c>
      <c r="H2132" t="s">
        <v>24</v>
      </c>
      <c r="I2132" t="s">
        <v>9</v>
      </c>
      <c r="J2132" t="s">
        <v>10</v>
      </c>
      <c r="K2132" t="s">
        <v>19</v>
      </c>
      <c r="L2132" t="s">
        <v>27</v>
      </c>
      <c r="M2132" t="s">
        <v>32</v>
      </c>
      <c r="N2132" t="s">
        <v>37</v>
      </c>
      <c r="O2132" t="s">
        <v>18</v>
      </c>
      <c r="P2132">
        <v>5</v>
      </c>
    </row>
    <row r="2133" spans="1:16" x14ac:dyDescent="0.3">
      <c r="A2133">
        <v>2656</v>
      </c>
      <c r="B2133">
        <v>43404</v>
      </c>
      <c r="C2133">
        <v>61</v>
      </c>
      <c r="D2133">
        <v>20861</v>
      </c>
      <c r="E2133" t="s">
        <v>114</v>
      </c>
      <c r="F2133" t="s">
        <v>22</v>
      </c>
      <c r="G2133" t="s">
        <v>31</v>
      </c>
      <c r="H2133" t="s">
        <v>24</v>
      </c>
      <c r="I2133" t="s">
        <v>9</v>
      </c>
      <c r="J2133" t="s">
        <v>20</v>
      </c>
      <c r="K2133" t="s">
        <v>26</v>
      </c>
      <c r="L2133" t="s">
        <v>27</v>
      </c>
      <c r="M2133" t="s">
        <v>21</v>
      </c>
      <c r="N2133" t="s">
        <v>23</v>
      </c>
      <c r="O2133" t="s">
        <v>18</v>
      </c>
      <c r="P2133">
        <v>4</v>
      </c>
    </row>
    <row r="2134" spans="1:16" x14ac:dyDescent="0.3">
      <c r="A2134">
        <v>2657</v>
      </c>
      <c r="B2134">
        <v>44523</v>
      </c>
      <c r="C2134">
        <v>26</v>
      </c>
      <c r="D2134">
        <v>34856</v>
      </c>
      <c r="E2134" t="s">
        <v>114</v>
      </c>
      <c r="F2134" t="s">
        <v>22</v>
      </c>
      <c r="G2134" t="s">
        <v>17</v>
      </c>
      <c r="H2134" t="s">
        <v>24</v>
      </c>
      <c r="I2134" t="s">
        <v>9</v>
      </c>
      <c r="J2134" t="s">
        <v>10</v>
      </c>
      <c r="K2134" t="s">
        <v>26</v>
      </c>
      <c r="L2134" t="s">
        <v>27</v>
      </c>
      <c r="M2134" t="s">
        <v>92</v>
      </c>
      <c r="N2134" t="s">
        <v>16</v>
      </c>
      <c r="O2134" t="s">
        <v>18</v>
      </c>
      <c r="P2134">
        <v>3</v>
      </c>
    </row>
    <row r="2135" spans="1:16" x14ac:dyDescent="0.3">
      <c r="A2135">
        <v>2658</v>
      </c>
      <c r="B2135">
        <v>45108</v>
      </c>
      <c r="C2135">
        <v>63</v>
      </c>
      <c r="D2135">
        <v>22003</v>
      </c>
      <c r="E2135" t="s">
        <v>114</v>
      </c>
      <c r="F2135" t="s">
        <v>22</v>
      </c>
      <c r="G2135" t="s">
        <v>34</v>
      </c>
      <c r="H2135" t="s">
        <v>24</v>
      </c>
      <c r="I2135" t="s">
        <v>9</v>
      </c>
      <c r="J2135" t="s">
        <v>25</v>
      </c>
      <c r="K2135" t="s">
        <v>19</v>
      </c>
      <c r="L2135" t="s">
        <v>27</v>
      </c>
      <c r="M2135" t="s">
        <v>42</v>
      </c>
      <c r="N2135" t="s">
        <v>37</v>
      </c>
      <c r="O2135" t="s">
        <v>18</v>
      </c>
      <c r="P2135">
        <v>1</v>
      </c>
    </row>
    <row r="2136" spans="1:16" x14ac:dyDescent="0.3">
      <c r="A2136">
        <v>2659</v>
      </c>
      <c r="B2136">
        <v>44760</v>
      </c>
      <c r="C2136">
        <v>32</v>
      </c>
      <c r="D2136">
        <v>33067</v>
      </c>
      <c r="E2136" t="s">
        <v>116</v>
      </c>
      <c r="F2136" t="s">
        <v>22</v>
      </c>
      <c r="G2136" t="s">
        <v>31</v>
      </c>
      <c r="H2136" t="s">
        <v>24</v>
      </c>
      <c r="I2136" t="s">
        <v>9</v>
      </c>
      <c r="J2136" t="s">
        <v>20</v>
      </c>
      <c r="K2136" t="s">
        <v>26</v>
      </c>
      <c r="L2136" t="s">
        <v>27</v>
      </c>
      <c r="M2136" t="s">
        <v>32</v>
      </c>
      <c r="N2136" t="s">
        <v>37</v>
      </c>
      <c r="O2136" t="s">
        <v>18</v>
      </c>
      <c r="P2136">
        <v>3</v>
      </c>
    </row>
    <row r="2137" spans="1:16" x14ac:dyDescent="0.3">
      <c r="A2137">
        <v>2660</v>
      </c>
      <c r="B2137">
        <v>43686</v>
      </c>
      <c r="C2137">
        <v>60</v>
      </c>
      <c r="D2137">
        <v>21850</v>
      </c>
      <c r="E2137" t="s">
        <v>120</v>
      </c>
      <c r="F2137" t="s">
        <v>22</v>
      </c>
      <c r="G2137" t="s">
        <v>40</v>
      </c>
      <c r="H2137" t="s">
        <v>24</v>
      </c>
      <c r="I2137" t="s">
        <v>9</v>
      </c>
      <c r="J2137" t="s">
        <v>20</v>
      </c>
      <c r="K2137" t="s">
        <v>11</v>
      </c>
      <c r="L2137" t="s">
        <v>27</v>
      </c>
      <c r="M2137" t="s">
        <v>58</v>
      </c>
      <c r="N2137" t="s">
        <v>46</v>
      </c>
      <c r="O2137" t="s">
        <v>18</v>
      </c>
      <c r="P2137">
        <v>1</v>
      </c>
    </row>
    <row r="2138" spans="1:16" x14ac:dyDescent="0.3">
      <c r="A2138">
        <v>2661</v>
      </c>
      <c r="B2138">
        <v>44383</v>
      </c>
      <c r="C2138">
        <v>51</v>
      </c>
      <c r="D2138">
        <v>25791</v>
      </c>
      <c r="E2138" t="s">
        <v>120</v>
      </c>
      <c r="F2138" t="s">
        <v>22</v>
      </c>
      <c r="G2138" t="s">
        <v>34</v>
      </c>
      <c r="H2138" t="s">
        <v>24</v>
      </c>
      <c r="I2138" t="s">
        <v>9</v>
      </c>
      <c r="J2138" t="s">
        <v>20</v>
      </c>
      <c r="K2138" t="s">
        <v>19</v>
      </c>
      <c r="L2138" t="s">
        <v>27</v>
      </c>
      <c r="M2138" t="s">
        <v>42</v>
      </c>
      <c r="N2138" t="s">
        <v>37</v>
      </c>
      <c r="O2138" t="s">
        <v>18</v>
      </c>
      <c r="P2138">
        <v>3</v>
      </c>
    </row>
    <row r="2139" spans="1:16" x14ac:dyDescent="0.3">
      <c r="A2139">
        <v>2662</v>
      </c>
      <c r="B2139">
        <v>44229</v>
      </c>
      <c r="C2139">
        <v>76</v>
      </c>
      <c r="D2139">
        <v>16692</v>
      </c>
      <c r="E2139" t="s">
        <v>111</v>
      </c>
      <c r="F2139" t="s">
        <v>22</v>
      </c>
      <c r="G2139" t="s">
        <v>31</v>
      </c>
      <c r="H2139" t="s">
        <v>24</v>
      </c>
      <c r="I2139" t="s">
        <v>9</v>
      </c>
      <c r="J2139" t="s">
        <v>10</v>
      </c>
      <c r="K2139" t="s">
        <v>19</v>
      </c>
      <c r="L2139" t="s">
        <v>27</v>
      </c>
      <c r="M2139" t="s">
        <v>32</v>
      </c>
      <c r="N2139" t="s">
        <v>46</v>
      </c>
      <c r="O2139" t="s">
        <v>18</v>
      </c>
      <c r="P2139">
        <v>1</v>
      </c>
    </row>
    <row r="2140" spans="1:16" x14ac:dyDescent="0.3">
      <c r="A2140">
        <v>2663</v>
      </c>
      <c r="B2140">
        <v>44932</v>
      </c>
      <c r="C2140">
        <v>52</v>
      </c>
      <c r="D2140">
        <v>26135</v>
      </c>
      <c r="E2140" t="s">
        <v>111</v>
      </c>
      <c r="F2140" t="s">
        <v>22</v>
      </c>
      <c r="G2140" t="s">
        <v>40</v>
      </c>
      <c r="H2140" t="s">
        <v>24</v>
      </c>
      <c r="I2140" t="s">
        <v>9</v>
      </c>
      <c r="J2140" t="s">
        <v>20</v>
      </c>
      <c r="K2140" t="s">
        <v>26</v>
      </c>
      <c r="L2140" t="s">
        <v>27</v>
      </c>
      <c r="M2140" t="s">
        <v>49</v>
      </c>
      <c r="N2140" t="s">
        <v>23</v>
      </c>
      <c r="O2140" t="s">
        <v>18</v>
      </c>
      <c r="P2140">
        <v>4</v>
      </c>
    </row>
    <row r="2141" spans="1:16" x14ac:dyDescent="0.3">
      <c r="A2141">
        <v>2664</v>
      </c>
      <c r="B2141">
        <v>44513</v>
      </c>
      <c r="C2141">
        <v>60</v>
      </c>
      <c r="D2141">
        <v>22457</v>
      </c>
      <c r="E2141" t="s">
        <v>111</v>
      </c>
      <c r="F2141" t="s">
        <v>22</v>
      </c>
      <c r="G2141" t="s">
        <v>40</v>
      </c>
      <c r="H2141" t="s">
        <v>24</v>
      </c>
      <c r="I2141" t="s">
        <v>9</v>
      </c>
      <c r="J2141" t="s">
        <v>25</v>
      </c>
      <c r="K2141" t="s">
        <v>11</v>
      </c>
      <c r="L2141" t="s">
        <v>27</v>
      </c>
      <c r="M2141" t="s">
        <v>54</v>
      </c>
      <c r="N2141" t="s">
        <v>23</v>
      </c>
      <c r="O2141" t="s">
        <v>18</v>
      </c>
      <c r="P2141">
        <v>2</v>
      </c>
    </row>
    <row r="2142" spans="1:16" x14ac:dyDescent="0.3">
      <c r="A2142">
        <v>2665</v>
      </c>
      <c r="B2142">
        <v>43905</v>
      </c>
      <c r="C2142">
        <v>29</v>
      </c>
      <c r="D2142">
        <v>33433</v>
      </c>
      <c r="E2142" t="s">
        <v>118</v>
      </c>
      <c r="F2142" t="s">
        <v>22</v>
      </c>
      <c r="G2142" t="s">
        <v>34</v>
      </c>
      <c r="H2142" t="s">
        <v>24</v>
      </c>
      <c r="I2142" t="s">
        <v>9</v>
      </c>
      <c r="J2142" t="s">
        <v>10</v>
      </c>
      <c r="K2142" t="s">
        <v>19</v>
      </c>
      <c r="L2142" t="s">
        <v>27</v>
      </c>
      <c r="M2142" t="s">
        <v>49</v>
      </c>
      <c r="N2142" t="s">
        <v>23</v>
      </c>
      <c r="O2142" t="s">
        <v>18</v>
      </c>
      <c r="P2142">
        <v>5</v>
      </c>
    </row>
    <row r="2143" spans="1:16" x14ac:dyDescent="0.3">
      <c r="A2143">
        <v>2666</v>
      </c>
      <c r="B2143">
        <v>43411</v>
      </c>
      <c r="C2143">
        <v>72</v>
      </c>
      <c r="D2143">
        <v>16821</v>
      </c>
      <c r="E2143" t="s">
        <v>113</v>
      </c>
      <c r="F2143" t="s">
        <v>15</v>
      </c>
      <c r="G2143" t="s">
        <v>31</v>
      </c>
      <c r="H2143" t="s">
        <v>24</v>
      </c>
      <c r="I2143" t="s">
        <v>9</v>
      </c>
      <c r="J2143" t="s">
        <v>20</v>
      </c>
      <c r="K2143" t="s">
        <v>11</v>
      </c>
      <c r="L2143" t="s">
        <v>27</v>
      </c>
      <c r="M2143" t="s">
        <v>63</v>
      </c>
      <c r="N2143" t="s">
        <v>30</v>
      </c>
      <c r="O2143" t="s">
        <v>18</v>
      </c>
      <c r="P2143">
        <v>5</v>
      </c>
    </row>
    <row r="2144" spans="1:16" x14ac:dyDescent="0.3">
      <c r="A2144">
        <v>2667</v>
      </c>
      <c r="B2144">
        <v>43741</v>
      </c>
      <c r="C2144">
        <v>54</v>
      </c>
      <c r="D2144">
        <v>24023</v>
      </c>
      <c r="E2144" t="s">
        <v>113</v>
      </c>
      <c r="F2144" t="s">
        <v>15</v>
      </c>
      <c r="G2144" t="s">
        <v>17</v>
      </c>
      <c r="H2144" t="s">
        <v>95</v>
      </c>
      <c r="I2144" t="s">
        <v>9</v>
      </c>
      <c r="J2144" t="s">
        <v>25</v>
      </c>
      <c r="K2144" t="s">
        <v>26</v>
      </c>
      <c r="L2144" t="s">
        <v>27</v>
      </c>
      <c r="M2144" t="s">
        <v>67</v>
      </c>
      <c r="N2144" t="s">
        <v>30</v>
      </c>
      <c r="O2144" t="s">
        <v>18</v>
      </c>
      <c r="P2144">
        <v>2</v>
      </c>
    </row>
    <row r="2145" spans="1:16" x14ac:dyDescent="0.3">
      <c r="A2145">
        <v>2668</v>
      </c>
      <c r="B2145">
        <v>44785</v>
      </c>
      <c r="C2145">
        <v>44</v>
      </c>
      <c r="D2145">
        <v>28806</v>
      </c>
      <c r="E2145" t="s">
        <v>14</v>
      </c>
      <c r="F2145" t="s">
        <v>15</v>
      </c>
      <c r="G2145" t="s">
        <v>34</v>
      </c>
      <c r="H2145" t="s">
        <v>95</v>
      </c>
      <c r="I2145" t="s">
        <v>9</v>
      </c>
      <c r="J2145" t="s">
        <v>10</v>
      </c>
      <c r="K2145" t="s">
        <v>11</v>
      </c>
      <c r="L2145" t="s">
        <v>27</v>
      </c>
      <c r="M2145" t="s">
        <v>32</v>
      </c>
      <c r="N2145" t="s">
        <v>46</v>
      </c>
      <c r="O2145" t="s">
        <v>18</v>
      </c>
      <c r="P2145">
        <v>4</v>
      </c>
    </row>
    <row r="2146" spans="1:16" x14ac:dyDescent="0.3">
      <c r="A2146">
        <v>2669</v>
      </c>
      <c r="B2146">
        <v>43456</v>
      </c>
      <c r="C2146">
        <v>66</v>
      </c>
      <c r="D2146">
        <v>19012</v>
      </c>
      <c r="E2146" t="s">
        <v>14</v>
      </c>
      <c r="F2146" t="s">
        <v>15</v>
      </c>
      <c r="G2146" t="s">
        <v>31</v>
      </c>
      <c r="H2146" t="s">
        <v>95</v>
      </c>
      <c r="I2146" t="s">
        <v>9</v>
      </c>
      <c r="J2146" t="s">
        <v>20</v>
      </c>
      <c r="K2146" t="s">
        <v>11</v>
      </c>
      <c r="L2146" t="s">
        <v>27</v>
      </c>
      <c r="M2146" t="s">
        <v>35</v>
      </c>
      <c r="N2146" t="s">
        <v>37</v>
      </c>
      <c r="O2146" t="s">
        <v>18</v>
      </c>
      <c r="P2146">
        <v>2</v>
      </c>
    </row>
    <row r="2147" spans="1:16" x14ac:dyDescent="0.3">
      <c r="A2147">
        <v>2670</v>
      </c>
      <c r="B2147">
        <v>44282</v>
      </c>
      <c r="C2147">
        <v>27</v>
      </c>
      <c r="D2147">
        <v>34399</v>
      </c>
      <c r="E2147" t="s">
        <v>14</v>
      </c>
      <c r="F2147" t="s">
        <v>22</v>
      </c>
      <c r="G2147" t="s">
        <v>17</v>
      </c>
      <c r="H2147" t="s">
        <v>24</v>
      </c>
      <c r="I2147" t="s">
        <v>9</v>
      </c>
      <c r="J2147" t="s">
        <v>20</v>
      </c>
      <c r="K2147" t="s">
        <v>19</v>
      </c>
      <c r="L2147" t="s">
        <v>27</v>
      </c>
      <c r="M2147" t="s">
        <v>42</v>
      </c>
      <c r="N2147" t="s">
        <v>30</v>
      </c>
      <c r="O2147" t="s">
        <v>18</v>
      </c>
      <c r="P2147">
        <v>2</v>
      </c>
    </row>
    <row r="2148" spans="1:16" x14ac:dyDescent="0.3">
      <c r="A2148">
        <v>2671</v>
      </c>
      <c r="B2148">
        <v>44760</v>
      </c>
      <c r="C2148">
        <v>78</v>
      </c>
      <c r="D2148">
        <v>16246</v>
      </c>
      <c r="E2148" t="s">
        <v>14</v>
      </c>
      <c r="F2148" t="s">
        <v>22</v>
      </c>
      <c r="G2148" t="s">
        <v>17</v>
      </c>
      <c r="H2148" t="s">
        <v>24</v>
      </c>
      <c r="I2148" t="s">
        <v>9</v>
      </c>
      <c r="J2148" t="s">
        <v>20</v>
      </c>
      <c r="K2148" t="s">
        <v>11</v>
      </c>
      <c r="L2148" t="s">
        <v>27</v>
      </c>
      <c r="M2148" t="s">
        <v>35</v>
      </c>
      <c r="N2148" t="s">
        <v>46</v>
      </c>
      <c r="O2148" t="s">
        <v>18</v>
      </c>
      <c r="P2148">
        <v>2</v>
      </c>
    </row>
    <row r="2149" spans="1:16" x14ac:dyDescent="0.3">
      <c r="A2149">
        <v>2672</v>
      </c>
      <c r="B2149">
        <v>43930</v>
      </c>
      <c r="C2149">
        <v>21</v>
      </c>
      <c r="D2149">
        <v>36364</v>
      </c>
      <c r="E2149" t="s">
        <v>114</v>
      </c>
      <c r="F2149" t="s">
        <v>22</v>
      </c>
      <c r="G2149" t="s">
        <v>34</v>
      </c>
      <c r="H2149" t="s">
        <v>24</v>
      </c>
      <c r="I2149" t="s">
        <v>9</v>
      </c>
      <c r="J2149" t="s">
        <v>10</v>
      </c>
      <c r="K2149" t="s">
        <v>19</v>
      </c>
      <c r="L2149" t="s">
        <v>27</v>
      </c>
      <c r="M2149" t="s">
        <v>55</v>
      </c>
      <c r="N2149" t="s">
        <v>46</v>
      </c>
      <c r="O2149" t="s">
        <v>18</v>
      </c>
      <c r="P2149">
        <v>2</v>
      </c>
    </row>
    <row r="2150" spans="1:16" x14ac:dyDescent="0.3">
      <c r="A2150">
        <v>2673</v>
      </c>
      <c r="B2150">
        <v>44568</v>
      </c>
      <c r="C2150">
        <v>23</v>
      </c>
      <c r="D2150">
        <v>36360</v>
      </c>
      <c r="E2150" t="s">
        <v>114</v>
      </c>
      <c r="F2150" t="s">
        <v>22</v>
      </c>
      <c r="G2150" t="s">
        <v>31</v>
      </c>
      <c r="H2150" t="s">
        <v>24</v>
      </c>
      <c r="I2150" t="s">
        <v>9</v>
      </c>
      <c r="J2150" t="s">
        <v>25</v>
      </c>
      <c r="K2150" t="s">
        <v>26</v>
      </c>
      <c r="L2150" t="s">
        <v>27</v>
      </c>
      <c r="M2150" t="s">
        <v>49</v>
      </c>
      <c r="N2150" t="s">
        <v>30</v>
      </c>
      <c r="O2150" t="s">
        <v>18</v>
      </c>
      <c r="P2150">
        <v>1</v>
      </c>
    </row>
    <row r="2151" spans="1:16" x14ac:dyDescent="0.3">
      <c r="A2151">
        <v>2674</v>
      </c>
      <c r="B2151">
        <v>44757</v>
      </c>
      <c r="C2151">
        <v>54</v>
      </c>
      <c r="D2151">
        <v>25188</v>
      </c>
      <c r="E2151" t="s">
        <v>114</v>
      </c>
      <c r="F2151" t="s">
        <v>22</v>
      </c>
      <c r="G2151" t="s">
        <v>17</v>
      </c>
      <c r="H2151" t="s">
        <v>24</v>
      </c>
      <c r="I2151" t="s">
        <v>9</v>
      </c>
      <c r="J2151" t="s">
        <v>20</v>
      </c>
      <c r="K2151" t="s">
        <v>19</v>
      </c>
      <c r="L2151" t="s">
        <v>27</v>
      </c>
      <c r="M2151" t="s">
        <v>55</v>
      </c>
      <c r="N2151" t="s">
        <v>16</v>
      </c>
      <c r="O2151" t="s">
        <v>18</v>
      </c>
      <c r="P2151">
        <v>1</v>
      </c>
    </row>
    <row r="2152" spans="1:16" x14ac:dyDescent="0.3">
      <c r="A2152">
        <v>2675</v>
      </c>
      <c r="B2152">
        <v>44164</v>
      </c>
      <c r="C2152">
        <v>74</v>
      </c>
      <c r="D2152">
        <v>16960</v>
      </c>
      <c r="E2152" t="s">
        <v>116</v>
      </c>
      <c r="F2152" t="s">
        <v>22</v>
      </c>
      <c r="G2152" t="s">
        <v>40</v>
      </c>
      <c r="H2152" t="s">
        <v>24</v>
      </c>
      <c r="I2152" t="s">
        <v>9</v>
      </c>
      <c r="J2152" t="s">
        <v>20</v>
      </c>
      <c r="K2152" t="s">
        <v>11</v>
      </c>
      <c r="L2152" t="s">
        <v>27</v>
      </c>
      <c r="M2152" t="s">
        <v>42</v>
      </c>
      <c r="N2152" t="s">
        <v>23</v>
      </c>
      <c r="O2152" t="s">
        <v>18</v>
      </c>
      <c r="P2152">
        <v>4</v>
      </c>
    </row>
    <row r="2153" spans="1:16" x14ac:dyDescent="0.3">
      <c r="A2153">
        <v>2676</v>
      </c>
      <c r="B2153">
        <v>43544</v>
      </c>
      <c r="C2153">
        <v>47</v>
      </c>
      <c r="D2153">
        <v>26512</v>
      </c>
      <c r="E2153" t="s">
        <v>116</v>
      </c>
      <c r="F2153" t="s">
        <v>22</v>
      </c>
      <c r="G2153" t="s">
        <v>31</v>
      </c>
      <c r="H2153" t="s">
        <v>24</v>
      </c>
      <c r="I2153" t="s">
        <v>9</v>
      </c>
      <c r="J2153" t="s">
        <v>20</v>
      </c>
      <c r="K2153" t="s">
        <v>11</v>
      </c>
      <c r="L2153" t="s">
        <v>27</v>
      </c>
      <c r="M2153" t="s">
        <v>42</v>
      </c>
      <c r="N2153" t="s">
        <v>46</v>
      </c>
      <c r="O2153" t="s">
        <v>18</v>
      </c>
      <c r="P2153">
        <v>3</v>
      </c>
    </row>
    <row r="2154" spans="1:16" x14ac:dyDescent="0.3">
      <c r="A2154">
        <v>2677</v>
      </c>
      <c r="B2154">
        <v>43540</v>
      </c>
      <c r="C2154">
        <v>29</v>
      </c>
      <c r="D2154">
        <v>33159</v>
      </c>
      <c r="E2154" t="s">
        <v>120</v>
      </c>
      <c r="F2154" t="s">
        <v>22</v>
      </c>
      <c r="G2154" t="s">
        <v>40</v>
      </c>
      <c r="H2154" t="s">
        <v>24</v>
      </c>
      <c r="I2154" t="s">
        <v>9</v>
      </c>
      <c r="J2154" t="s">
        <v>10</v>
      </c>
      <c r="K2154" t="s">
        <v>26</v>
      </c>
      <c r="L2154" t="s">
        <v>27</v>
      </c>
      <c r="M2154" t="s">
        <v>49</v>
      </c>
      <c r="N2154" t="s">
        <v>23</v>
      </c>
      <c r="O2154" t="s">
        <v>18</v>
      </c>
      <c r="P2154">
        <v>1</v>
      </c>
    </row>
    <row r="2155" spans="1:16" x14ac:dyDescent="0.3">
      <c r="A2155">
        <v>2678</v>
      </c>
      <c r="B2155">
        <v>44346</v>
      </c>
      <c r="C2155">
        <v>55</v>
      </c>
      <c r="D2155">
        <v>24228</v>
      </c>
      <c r="E2155" t="s">
        <v>111</v>
      </c>
      <c r="F2155" t="s">
        <v>22</v>
      </c>
      <c r="G2155" t="s">
        <v>31</v>
      </c>
      <c r="H2155" t="s">
        <v>24</v>
      </c>
      <c r="I2155" t="s">
        <v>9</v>
      </c>
      <c r="J2155" t="s">
        <v>25</v>
      </c>
      <c r="K2155" t="s">
        <v>11</v>
      </c>
      <c r="L2155" t="s">
        <v>27</v>
      </c>
      <c r="M2155" t="s">
        <v>35</v>
      </c>
      <c r="N2155" t="s">
        <v>16</v>
      </c>
      <c r="O2155" t="s">
        <v>18</v>
      </c>
      <c r="P2155">
        <v>3</v>
      </c>
    </row>
    <row r="2156" spans="1:16" x14ac:dyDescent="0.3">
      <c r="A2156">
        <v>2679</v>
      </c>
      <c r="B2156">
        <v>44882</v>
      </c>
      <c r="C2156">
        <v>71</v>
      </c>
      <c r="D2156">
        <v>18921</v>
      </c>
      <c r="E2156" t="s">
        <v>111</v>
      </c>
      <c r="F2156" t="s">
        <v>22</v>
      </c>
      <c r="G2156" t="s">
        <v>40</v>
      </c>
      <c r="H2156" t="s">
        <v>24</v>
      </c>
      <c r="I2156" t="s">
        <v>9</v>
      </c>
      <c r="J2156" t="s">
        <v>10</v>
      </c>
      <c r="K2156" t="s">
        <v>19</v>
      </c>
      <c r="L2156" t="s">
        <v>27</v>
      </c>
      <c r="M2156" t="s">
        <v>32</v>
      </c>
      <c r="N2156" t="s">
        <v>23</v>
      </c>
      <c r="O2156" t="s">
        <v>18</v>
      </c>
      <c r="P2156">
        <v>4</v>
      </c>
    </row>
    <row r="2157" spans="1:16" x14ac:dyDescent="0.3">
      <c r="A2157">
        <v>2680</v>
      </c>
      <c r="B2157">
        <v>44190</v>
      </c>
      <c r="C2157">
        <v>72</v>
      </c>
      <c r="D2157">
        <v>17556</v>
      </c>
      <c r="E2157" t="s">
        <v>111</v>
      </c>
      <c r="F2157" t="s">
        <v>22</v>
      </c>
      <c r="G2157" t="s">
        <v>31</v>
      </c>
      <c r="H2157" t="s">
        <v>24</v>
      </c>
      <c r="I2157" t="s">
        <v>9</v>
      </c>
      <c r="J2157" t="s">
        <v>10</v>
      </c>
      <c r="K2157" t="s">
        <v>19</v>
      </c>
      <c r="L2157" t="s">
        <v>27</v>
      </c>
      <c r="M2157" t="s">
        <v>67</v>
      </c>
      <c r="N2157" t="s">
        <v>37</v>
      </c>
      <c r="O2157" t="s">
        <v>18</v>
      </c>
      <c r="P2157">
        <v>4</v>
      </c>
    </row>
    <row r="2158" spans="1:16" x14ac:dyDescent="0.3">
      <c r="A2158">
        <v>2681</v>
      </c>
      <c r="B2158">
        <v>43998</v>
      </c>
      <c r="C2158">
        <v>36</v>
      </c>
      <c r="D2158">
        <v>30716</v>
      </c>
      <c r="E2158" t="s">
        <v>111</v>
      </c>
      <c r="F2158" t="s">
        <v>22</v>
      </c>
      <c r="G2158" t="s">
        <v>34</v>
      </c>
      <c r="H2158" t="s">
        <v>24</v>
      </c>
      <c r="I2158" t="s">
        <v>9</v>
      </c>
      <c r="J2158" t="s">
        <v>20</v>
      </c>
      <c r="K2158" t="s">
        <v>11</v>
      </c>
      <c r="L2158" t="s">
        <v>27</v>
      </c>
      <c r="M2158" t="s">
        <v>35</v>
      </c>
      <c r="N2158" t="s">
        <v>37</v>
      </c>
      <c r="O2158" t="s">
        <v>18</v>
      </c>
      <c r="P2158">
        <v>3</v>
      </c>
    </row>
    <row r="2159" spans="1:16" x14ac:dyDescent="0.3">
      <c r="A2159">
        <v>2682</v>
      </c>
      <c r="B2159">
        <v>44040</v>
      </c>
      <c r="C2159">
        <v>44</v>
      </c>
      <c r="D2159">
        <v>27916</v>
      </c>
      <c r="E2159" t="s">
        <v>118</v>
      </c>
      <c r="F2159" t="s">
        <v>22</v>
      </c>
      <c r="G2159" t="s">
        <v>17</v>
      </c>
      <c r="H2159" t="s">
        <v>24</v>
      </c>
      <c r="I2159" t="s">
        <v>9</v>
      </c>
      <c r="J2159" t="s">
        <v>10</v>
      </c>
      <c r="K2159" t="s">
        <v>19</v>
      </c>
      <c r="L2159" t="s">
        <v>27</v>
      </c>
      <c r="M2159" t="s">
        <v>35</v>
      </c>
      <c r="N2159" t="s">
        <v>46</v>
      </c>
      <c r="O2159" t="s">
        <v>18</v>
      </c>
      <c r="P2159">
        <v>2</v>
      </c>
    </row>
    <row r="2160" spans="1:16" x14ac:dyDescent="0.3">
      <c r="A2160">
        <v>2683</v>
      </c>
      <c r="B2160">
        <v>44561</v>
      </c>
      <c r="C2160">
        <v>69</v>
      </c>
      <c r="D2160">
        <v>19281</v>
      </c>
      <c r="E2160" t="s">
        <v>113</v>
      </c>
      <c r="F2160" t="s">
        <v>15</v>
      </c>
      <c r="G2160" t="s">
        <v>40</v>
      </c>
      <c r="H2160" t="s">
        <v>24</v>
      </c>
      <c r="I2160" t="s">
        <v>9</v>
      </c>
      <c r="J2160" t="s">
        <v>10</v>
      </c>
      <c r="K2160" t="s">
        <v>19</v>
      </c>
      <c r="L2160" t="s">
        <v>27</v>
      </c>
      <c r="M2160" t="s">
        <v>32</v>
      </c>
      <c r="N2160" t="s">
        <v>30</v>
      </c>
      <c r="O2160" t="s">
        <v>18</v>
      </c>
      <c r="P2160">
        <v>4</v>
      </c>
    </row>
    <row r="2161" spans="1:16" x14ac:dyDescent="0.3">
      <c r="A2161">
        <v>2684</v>
      </c>
      <c r="B2161">
        <v>44599</v>
      </c>
      <c r="C2161">
        <v>39</v>
      </c>
      <c r="D2161">
        <v>30596</v>
      </c>
      <c r="E2161" t="s">
        <v>14</v>
      </c>
      <c r="F2161" t="s">
        <v>15</v>
      </c>
      <c r="G2161" t="s">
        <v>17</v>
      </c>
      <c r="H2161" t="s">
        <v>95</v>
      </c>
      <c r="I2161" t="s">
        <v>9</v>
      </c>
      <c r="J2161" t="s">
        <v>25</v>
      </c>
      <c r="K2161" t="s">
        <v>11</v>
      </c>
      <c r="L2161" t="s">
        <v>27</v>
      </c>
      <c r="M2161" t="s">
        <v>28</v>
      </c>
      <c r="N2161" t="s">
        <v>16</v>
      </c>
      <c r="O2161" t="s">
        <v>18</v>
      </c>
      <c r="P2161">
        <v>4</v>
      </c>
    </row>
    <row r="2162" spans="1:16" x14ac:dyDescent="0.3">
      <c r="A2162">
        <v>2685</v>
      </c>
      <c r="B2162">
        <v>44523</v>
      </c>
      <c r="C2162">
        <v>57</v>
      </c>
      <c r="D2162">
        <v>23597</v>
      </c>
      <c r="E2162" t="s">
        <v>14</v>
      </c>
      <c r="F2162" t="s">
        <v>15</v>
      </c>
      <c r="G2162" t="s">
        <v>40</v>
      </c>
      <c r="H2162" t="s">
        <v>95</v>
      </c>
      <c r="I2162" t="s">
        <v>9</v>
      </c>
      <c r="J2162" t="s">
        <v>25</v>
      </c>
      <c r="K2162" t="s">
        <v>26</v>
      </c>
      <c r="L2162" t="s">
        <v>27</v>
      </c>
      <c r="M2162" t="s">
        <v>28</v>
      </c>
      <c r="N2162" t="s">
        <v>37</v>
      </c>
      <c r="O2162" t="s">
        <v>18</v>
      </c>
      <c r="P2162">
        <v>1</v>
      </c>
    </row>
    <row r="2163" spans="1:16" x14ac:dyDescent="0.3">
      <c r="A2163">
        <v>2686</v>
      </c>
      <c r="B2163">
        <v>44423</v>
      </c>
      <c r="C2163">
        <v>66</v>
      </c>
      <c r="D2163">
        <v>20218</v>
      </c>
      <c r="E2163" t="s">
        <v>14</v>
      </c>
      <c r="F2163" t="s">
        <v>22</v>
      </c>
      <c r="G2163" t="s">
        <v>31</v>
      </c>
      <c r="H2163" t="s">
        <v>24</v>
      </c>
      <c r="I2163" t="s">
        <v>9</v>
      </c>
      <c r="J2163" t="s">
        <v>10</v>
      </c>
      <c r="K2163" t="s">
        <v>11</v>
      </c>
      <c r="L2163" t="s">
        <v>27</v>
      </c>
      <c r="M2163" t="s">
        <v>54</v>
      </c>
      <c r="N2163" t="s">
        <v>30</v>
      </c>
      <c r="O2163" t="s">
        <v>18</v>
      </c>
      <c r="P2163">
        <v>3</v>
      </c>
    </row>
    <row r="2164" spans="1:16" x14ac:dyDescent="0.3">
      <c r="A2164">
        <v>2687</v>
      </c>
      <c r="B2164">
        <v>44368</v>
      </c>
      <c r="C2164">
        <v>76</v>
      </c>
      <c r="D2164">
        <v>16512</v>
      </c>
      <c r="E2164" t="s">
        <v>114</v>
      </c>
      <c r="F2164" t="s">
        <v>22</v>
      </c>
      <c r="G2164" t="s">
        <v>31</v>
      </c>
      <c r="H2164" t="s">
        <v>24</v>
      </c>
      <c r="I2164" t="s">
        <v>9</v>
      </c>
      <c r="J2164" t="s">
        <v>20</v>
      </c>
      <c r="K2164" t="s">
        <v>19</v>
      </c>
      <c r="L2164" t="s">
        <v>27</v>
      </c>
      <c r="M2164" t="s">
        <v>42</v>
      </c>
      <c r="N2164" t="s">
        <v>16</v>
      </c>
      <c r="O2164" t="s">
        <v>18</v>
      </c>
      <c r="P2164">
        <v>5</v>
      </c>
    </row>
    <row r="2165" spans="1:16" x14ac:dyDescent="0.3">
      <c r="A2165">
        <v>2688</v>
      </c>
      <c r="B2165">
        <v>44240</v>
      </c>
      <c r="C2165">
        <v>54</v>
      </c>
      <c r="D2165">
        <v>24512</v>
      </c>
      <c r="E2165" t="s">
        <v>114</v>
      </c>
      <c r="F2165" t="s">
        <v>22</v>
      </c>
      <c r="G2165" t="s">
        <v>34</v>
      </c>
      <c r="H2165" t="s">
        <v>24</v>
      </c>
      <c r="I2165" t="s">
        <v>9</v>
      </c>
      <c r="J2165" t="s">
        <v>10</v>
      </c>
      <c r="K2165" t="s">
        <v>26</v>
      </c>
      <c r="L2165" t="s">
        <v>27</v>
      </c>
      <c r="M2165" t="s">
        <v>42</v>
      </c>
      <c r="N2165" t="s">
        <v>37</v>
      </c>
      <c r="O2165" t="s">
        <v>18</v>
      </c>
      <c r="P2165">
        <v>3</v>
      </c>
    </row>
    <row r="2166" spans="1:16" x14ac:dyDescent="0.3">
      <c r="A2166">
        <v>2689</v>
      </c>
      <c r="B2166">
        <v>44193</v>
      </c>
      <c r="C2166">
        <v>66</v>
      </c>
      <c r="D2166">
        <v>19853</v>
      </c>
      <c r="E2166" t="s">
        <v>114</v>
      </c>
      <c r="F2166" t="s">
        <v>22</v>
      </c>
      <c r="G2166" t="s">
        <v>31</v>
      </c>
      <c r="H2166" t="s">
        <v>24</v>
      </c>
      <c r="I2166" t="s">
        <v>9</v>
      </c>
      <c r="J2166" t="s">
        <v>20</v>
      </c>
      <c r="K2166" t="s">
        <v>11</v>
      </c>
      <c r="L2166" t="s">
        <v>27</v>
      </c>
      <c r="M2166" t="s">
        <v>59</v>
      </c>
      <c r="N2166" t="s">
        <v>30</v>
      </c>
      <c r="O2166" t="s">
        <v>18</v>
      </c>
      <c r="P2166">
        <v>1</v>
      </c>
    </row>
    <row r="2167" spans="1:16" x14ac:dyDescent="0.3">
      <c r="A2167">
        <v>2690</v>
      </c>
      <c r="B2167">
        <v>44663</v>
      </c>
      <c r="C2167">
        <v>25</v>
      </c>
      <c r="D2167">
        <v>35534</v>
      </c>
      <c r="E2167" t="s">
        <v>114</v>
      </c>
      <c r="F2167" t="s">
        <v>22</v>
      </c>
      <c r="G2167" t="s">
        <v>34</v>
      </c>
      <c r="H2167" t="s">
        <v>24</v>
      </c>
      <c r="I2167" t="s">
        <v>9</v>
      </c>
      <c r="J2167" t="s">
        <v>20</v>
      </c>
      <c r="K2167" t="s">
        <v>26</v>
      </c>
      <c r="L2167" t="s">
        <v>27</v>
      </c>
      <c r="M2167" t="s">
        <v>54</v>
      </c>
      <c r="N2167" t="s">
        <v>37</v>
      </c>
      <c r="O2167" t="s">
        <v>18</v>
      </c>
      <c r="P2167">
        <v>3</v>
      </c>
    </row>
    <row r="2168" spans="1:16" x14ac:dyDescent="0.3">
      <c r="A2168">
        <v>2691</v>
      </c>
      <c r="B2168">
        <v>43467</v>
      </c>
      <c r="C2168">
        <v>47</v>
      </c>
      <c r="D2168">
        <v>26632</v>
      </c>
      <c r="E2168" t="s">
        <v>116</v>
      </c>
      <c r="F2168" t="s">
        <v>22</v>
      </c>
      <c r="G2168" t="s">
        <v>17</v>
      </c>
      <c r="H2168" t="s">
        <v>24</v>
      </c>
      <c r="I2168" t="s">
        <v>9</v>
      </c>
      <c r="J2168" t="s">
        <v>20</v>
      </c>
      <c r="K2168" t="s">
        <v>11</v>
      </c>
      <c r="L2168" t="s">
        <v>27</v>
      </c>
      <c r="M2168" t="s">
        <v>28</v>
      </c>
      <c r="N2168" t="s">
        <v>37</v>
      </c>
      <c r="O2168" t="s">
        <v>18</v>
      </c>
      <c r="P2168">
        <v>1</v>
      </c>
    </row>
    <row r="2169" spans="1:16" x14ac:dyDescent="0.3">
      <c r="A2169">
        <v>2692</v>
      </c>
      <c r="B2169">
        <v>44044</v>
      </c>
      <c r="C2169">
        <v>23</v>
      </c>
      <c r="D2169">
        <v>35756</v>
      </c>
      <c r="E2169" t="s">
        <v>120</v>
      </c>
      <c r="F2169" t="s">
        <v>22</v>
      </c>
      <c r="G2169" t="s">
        <v>17</v>
      </c>
      <c r="H2169" t="s">
        <v>24</v>
      </c>
      <c r="I2169" t="s">
        <v>9</v>
      </c>
      <c r="J2169" t="s">
        <v>25</v>
      </c>
      <c r="K2169" t="s">
        <v>19</v>
      </c>
      <c r="L2169" t="s">
        <v>27</v>
      </c>
      <c r="M2169" t="s">
        <v>69</v>
      </c>
      <c r="N2169" t="s">
        <v>16</v>
      </c>
      <c r="O2169" t="s">
        <v>18</v>
      </c>
      <c r="P2169">
        <v>5</v>
      </c>
    </row>
    <row r="2170" spans="1:16" x14ac:dyDescent="0.3">
      <c r="A2170">
        <v>2693</v>
      </c>
      <c r="B2170">
        <v>44118</v>
      </c>
      <c r="C2170">
        <v>33</v>
      </c>
      <c r="D2170">
        <v>32046</v>
      </c>
      <c r="E2170" t="s">
        <v>120</v>
      </c>
      <c r="F2170" t="s">
        <v>22</v>
      </c>
      <c r="G2170" t="s">
        <v>34</v>
      </c>
      <c r="H2170" t="s">
        <v>24</v>
      </c>
      <c r="I2170" t="s">
        <v>9</v>
      </c>
      <c r="J2170" t="s">
        <v>20</v>
      </c>
      <c r="K2170" t="s">
        <v>11</v>
      </c>
      <c r="L2170" t="s">
        <v>27</v>
      </c>
      <c r="M2170" t="s">
        <v>28</v>
      </c>
      <c r="N2170" t="s">
        <v>16</v>
      </c>
      <c r="O2170" t="s">
        <v>18</v>
      </c>
      <c r="P2170">
        <v>5</v>
      </c>
    </row>
    <row r="2171" spans="1:16" x14ac:dyDescent="0.3">
      <c r="A2171">
        <v>2694</v>
      </c>
      <c r="B2171">
        <v>45072</v>
      </c>
      <c r="C2171">
        <v>43</v>
      </c>
      <c r="D2171">
        <v>29570</v>
      </c>
      <c r="E2171" t="s">
        <v>111</v>
      </c>
      <c r="F2171" t="s">
        <v>22</v>
      </c>
      <c r="G2171" t="s">
        <v>17</v>
      </c>
      <c r="H2171" t="s">
        <v>24</v>
      </c>
      <c r="I2171" t="s">
        <v>9</v>
      </c>
      <c r="J2171" t="s">
        <v>25</v>
      </c>
      <c r="K2171" t="s">
        <v>11</v>
      </c>
      <c r="L2171" t="s">
        <v>27</v>
      </c>
      <c r="M2171" t="s">
        <v>42</v>
      </c>
      <c r="N2171" t="s">
        <v>37</v>
      </c>
      <c r="O2171" t="s">
        <v>18</v>
      </c>
      <c r="P2171">
        <v>4</v>
      </c>
    </row>
    <row r="2172" spans="1:16" x14ac:dyDescent="0.3">
      <c r="A2172">
        <v>2695</v>
      </c>
      <c r="B2172">
        <v>44434</v>
      </c>
      <c r="C2172">
        <v>61</v>
      </c>
      <c r="D2172">
        <v>22213</v>
      </c>
      <c r="E2172" t="s">
        <v>111</v>
      </c>
      <c r="F2172" t="s">
        <v>22</v>
      </c>
      <c r="G2172" t="s">
        <v>34</v>
      </c>
      <c r="H2172" t="s">
        <v>24</v>
      </c>
      <c r="I2172" t="s">
        <v>9</v>
      </c>
      <c r="J2172" t="s">
        <v>25</v>
      </c>
      <c r="K2172" t="s">
        <v>19</v>
      </c>
      <c r="L2172" t="s">
        <v>27</v>
      </c>
      <c r="M2172" t="s">
        <v>69</v>
      </c>
      <c r="N2172" t="s">
        <v>30</v>
      </c>
      <c r="O2172" t="s">
        <v>18</v>
      </c>
      <c r="P2172">
        <v>2</v>
      </c>
    </row>
    <row r="2173" spans="1:16" x14ac:dyDescent="0.3">
      <c r="A2173">
        <v>2696</v>
      </c>
      <c r="B2173">
        <v>44885</v>
      </c>
      <c r="C2173">
        <v>69</v>
      </c>
      <c r="D2173">
        <v>19427</v>
      </c>
      <c r="E2173" t="s">
        <v>111</v>
      </c>
      <c r="F2173" t="s">
        <v>22</v>
      </c>
      <c r="G2173" t="s">
        <v>34</v>
      </c>
      <c r="H2173" t="s">
        <v>24</v>
      </c>
      <c r="I2173" t="s">
        <v>9</v>
      </c>
      <c r="J2173" t="s">
        <v>10</v>
      </c>
      <c r="K2173" t="s">
        <v>19</v>
      </c>
      <c r="L2173" t="s">
        <v>27</v>
      </c>
      <c r="M2173" t="s">
        <v>54</v>
      </c>
      <c r="N2173" t="s">
        <v>30</v>
      </c>
      <c r="O2173" t="s">
        <v>18</v>
      </c>
      <c r="P2173">
        <v>1</v>
      </c>
    </row>
    <row r="2174" spans="1:16" x14ac:dyDescent="0.3">
      <c r="A2174">
        <v>2697</v>
      </c>
      <c r="B2174">
        <v>43883</v>
      </c>
      <c r="C2174">
        <v>56</v>
      </c>
      <c r="D2174">
        <v>23415</v>
      </c>
      <c r="E2174" t="s">
        <v>118</v>
      </c>
      <c r="F2174" t="s">
        <v>22</v>
      </c>
      <c r="G2174" t="s">
        <v>34</v>
      </c>
      <c r="H2174" t="s">
        <v>24</v>
      </c>
      <c r="I2174" t="s">
        <v>9</v>
      </c>
      <c r="J2174" t="s">
        <v>25</v>
      </c>
      <c r="K2174" t="s">
        <v>19</v>
      </c>
      <c r="L2174" t="s">
        <v>27</v>
      </c>
      <c r="M2174" t="s">
        <v>49</v>
      </c>
      <c r="N2174" t="s">
        <v>16</v>
      </c>
      <c r="O2174" t="s">
        <v>18</v>
      </c>
      <c r="P2174">
        <v>5</v>
      </c>
    </row>
    <row r="2175" spans="1:16" x14ac:dyDescent="0.3">
      <c r="A2175">
        <v>2698</v>
      </c>
      <c r="B2175">
        <v>44290</v>
      </c>
      <c r="C2175">
        <v>52</v>
      </c>
      <c r="D2175">
        <v>25235</v>
      </c>
      <c r="E2175" t="s">
        <v>118</v>
      </c>
      <c r="F2175" t="s">
        <v>22</v>
      </c>
      <c r="G2175" t="s">
        <v>31</v>
      </c>
      <c r="H2175" t="s">
        <v>24</v>
      </c>
      <c r="I2175" t="s">
        <v>9</v>
      </c>
      <c r="J2175" t="s">
        <v>10</v>
      </c>
      <c r="K2175" t="s">
        <v>26</v>
      </c>
      <c r="L2175" t="s">
        <v>27</v>
      </c>
      <c r="M2175" t="s">
        <v>35</v>
      </c>
      <c r="N2175" t="s">
        <v>23</v>
      </c>
      <c r="O2175" t="s">
        <v>18</v>
      </c>
      <c r="P2175">
        <v>4</v>
      </c>
    </row>
    <row r="2176" spans="1:16" x14ac:dyDescent="0.3">
      <c r="A2176">
        <v>2699</v>
      </c>
      <c r="B2176">
        <v>45143</v>
      </c>
      <c r="C2176">
        <v>38</v>
      </c>
      <c r="D2176">
        <v>31283</v>
      </c>
      <c r="E2176" t="s">
        <v>113</v>
      </c>
      <c r="F2176" t="s">
        <v>15</v>
      </c>
      <c r="G2176" t="s">
        <v>34</v>
      </c>
      <c r="H2176" t="s">
        <v>24</v>
      </c>
      <c r="I2176" t="s">
        <v>9</v>
      </c>
      <c r="J2176" t="s">
        <v>10</v>
      </c>
      <c r="K2176" t="s">
        <v>11</v>
      </c>
      <c r="L2176" t="s">
        <v>27</v>
      </c>
      <c r="M2176" t="s">
        <v>42</v>
      </c>
      <c r="N2176" t="s">
        <v>30</v>
      </c>
      <c r="O2176" t="s">
        <v>18</v>
      </c>
      <c r="P2176">
        <v>1</v>
      </c>
    </row>
    <row r="2177" spans="1:16" x14ac:dyDescent="0.3">
      <c r="A2177">
        <v>2700</v>
      </c>
      <c r="B2177">
        <v>44936</v>
      </c>
      <c r="C2177">
        <v>31</v>
      </c>
      <c r="D2177">
        <v>33848</v>
      </c>
      <c r="E2177" t="s">
        <v>14</v>
      </c>
      <c r="F2177" t="s">
        <v>15</v>
      </c>
      <c r="G2177" t="s">
        <v>31</v>
      </c>
      <c r="H2177" t="s">
        <v>95</v>
      </c>
      <c r="I2177" t="s">
        <v>9</v>
      </c>
      <c r="J2177" t="s">
        <v>25</v>
      </c>
      <c r="K2177" t="s">
        <v>26</v>
      </c>
      <c r="L2177" t="s">
        <v>27</v>
      </c>
      <c r="M2177" t="s">
        <v>54</v>
      </c>
      <c r="N2177" t="s">
        <v>30</v>
      </c>
      <c r="O2177" t="s">
        <v>18</v>
      </c>
      <c r="P2177">
        <v>5</v>
      </c>
    </row>
    <row r="2178" spans="1:16" x14ac:dyDescent="0.3">
      <c r="A2178">
        <v>2701</v>
      </c>
      <c r="B2178">
        <v>43574</v>
      </c>
      <c r="C2178">
        <v>60</v>
      </c>
      <c r="D2178">
        <v>21799</v>
      </c>
      <c r="E2178" t="s">
        <v>14</v>
      </c>
      <c r="F2178" t="s">
        <v>15</v>
      </c>
      <c r="G2178" t="s">
        <v>34</v>
      </c>
      <c r="H2178" t="s">
        <v>95</v>
      </c>
      <c r="I2178" t="s">
        <v>9</v>
      </c>
      <c r="J2178" t="s">
        <v>10</v>
      </c>
      <c r="K2178" t="s">
        <v>19</v>
      </c>
      <c r="L2178" t="s">
        <v>27</v>
      </c>
      <c r="M2178" t="s">
        <v>35</v>
      </c>
      <c r="N2178" t="s">
        <v>37</v>
      </c>
      <c r="O2178" t="s">
        <v>18</v>
      </c>
      <c r="P2178">
        <v>5</v>
      </c>
    </row>
    <row r="2179" spans="1:16" x14ac:dyDescent="0.3">
      <c r="A2179">
        <v>2702</v>
      </c>
      <c r="B2179">
        <v>43740</v>
      </c>
      <c r="C2179">
        <v>57</v>
      </c>
      <c r="D2179">
        <v>22907</v>
      </c>
      <c r="E2179" t="s">
        <v>14</v>
      </c>
      <c r="F2179" t="s">
        <v>22</v>
      </c>
      <c r="G2179" t="s">
        <v>34</v>
      </c>
      <c r="H2179" t="s">
        <v>24</v>
      </c>
      <c r="I2179" t="s">
        <v>9</v>
      </c>
      <c r="J2179" t="s">
        <v>10</v>
      </c>
      <c r="K2179" t="s">
        <v>26</v>
      </c>
      <c r="L2179" t="s">
        <v>27</v>
      </c>
      <c r="M2179" t="s">
        <v>21</v>
      </c>
      <c r="N2179" t="s">
        <v>46</v>
      </c>
      <c r="O2179" t="s">
        <v>18</v>
      </c>
      <c r="P2179">
        <v>1</v>
      </c>
    </row>
    <row r="2180" spans="1:16" x14ac:dyDescent="0.3">
      <c r="A2180">
        <v>2703</v>
      </c>
      <c r="B2180">
        <v>43418</v>
      </c>
      <c r="C2180">
        <v>32</v>
      </c>
      <c r="D2180">
        <v>31509</v>
      </c>
      <c r="E2180" t="s">
        <v>114</v>
      </c>
      <c r="F2180" t="s">
        <v>22</v>
      </c>
      <c r="G2180" t="s">
        <v>31</v>
      </c>
      <c r="H2180" t="s">
        <v>24</v>
      </c>
      <c r="I2180" t="s">
        <v>9</v>
      </c>
      <c r="J2180" t="s">
        <v>25</v>
      </c>
      <c r="K2180" t="s">
        <v>19</v>
      </c>
      <c r="L2180" t="s">
        <v>27</v>
      </c>
      <c r="M2180" t="s">
        <v>32</v>
      </c>
      <c r="N2180" t="s">
        <v>30</v>
      </c>
      <c r="O2180" t="s">
        <v>18</v>
      </c>
      <c r="P2180">
        <v>5</v>
      </c>
    </row>
    <row r="2181" spans="1:16" x14ac:dyDescent="0.3">
      <c r="A2181">
        <v>2704</v>
      </c>
      <c r="B2181">
        <v>43857</v>
      </c>
      <c r="C2181">
        <v>22</v>
      </c>
      <c r="D2181">
        <v>36006</v>
      </c>
      <c r="E2181" t="s">
        <v>114</v>
      </c>
      <c r="F2181" t="s">
        <v>22</v>
      </c>
      <c r="G2181" t="s">
        <v>17</v>
      </c>
      <c r="H2181" t="s">
        <v>24</v>
      </c>
      <c r="I2181" t="s">
        <v>9</v>
      </c>
      <c r="J2181" t="s">
        <v>20</v>
      </c>
      <c r="K2181" t="s">
        <v>19</v>
      </c>
      <c r="L2181" t="s">
        <v>27</v>
      </c>
      <c r="M2181" t="s">
        <v>35</v>
      </c>
      <c r="N2181" t="s">
        <v>37</v>
      </c>
      <c r="O2181" t="s">
        <v>18</v>
      </c>
      <c r="P2181">
        <v>4</v>
      </c>
    </row>
    <row r="2182" spans="1:16" x14ac:dyDescent="0.3">
      <c r="A2182">
        <v>2705</v>
      </c>
      <c r="B2182">
        <v>43408</v>
      </c>
      <c r="C2182">
        <v>18</v>
      </c>
      <c r="D2182">
        <v>36823</v>
      </c>
      <c r="E2182" t="s">
        <v>114</v>
      </c>
      <c r="F2182" t="s">
        <v>15</v>
      </c>
      <c r="G2182" t="s">
        <v>40</v>
      </c>
      <c r="H2182" t="s">
        <v>24</v>
      </c>
      <c r="I2182" t="s">
        <v>9</v>
      </c>
      <c r="J2182" t="s">
        <v>25</v>
      </c>
      <c r="K2182" t="s">
        <v>26</v>
      </c>
      <c r="L2182" t="s">
        <v>27</v>
      </c>
      <c r="M2182" t="s">
        <v>32</v>
      </c>
      <c r="N2182" t="s">
        <v>23</v>
      </c>
      <c r="O2182" t="s">
        <v>18</v>
      </c>
      <c r="P2182">
        <v>2</v>
      </c>
    </row>
    <row r="2183" spans="1:16" x14ac:dyDescent="0.3">
      <c r="A2183">
        <v>2706</v>
      </c>
      <c r="B2183">
        <v>43447</v>
      </c>
      <c r="C2183">
        <v>43</v>
      </c>
      <c r="D2183">
        <v>27661</v>
      </c>
      <c r="E2183" t="s">
        <v>121</v>
      </c>
      <c r="F2183" t="s">
        <v>22</v>
      </c>
      <c r="G2183" t="s">
        <v>17</v>
      </c>
      <c r="H2183" t="s">
        <v>24</v>
      </c>
      <c r="I2183" t="s">
        <v>9</v>
      </c>
      <c r="J2183" t="s">
        <v>20</v>
      </c>
      <c r="K2183" t="s">
        <v>19</v>
      </c>
      <c r="L2183" t="s">
        <v>27</v>
      </c>
      <c r="M2183" t="s">
        <v>35</v>
      </c>
      <c r="N2183" t="s">
        <v>46</v>
      </c>
      <c r="O2183" t="s">
        <v>18</v>
      </c>
      <c r="P2183">
        <v>2</v>
      </c>
    </row>
    <row r="2184" spans="1:16" x14ac:dyDescent="0.3">
      <c r="A2184">
        <v>2707</v>
      </c>
      <c r="B2184">
        <v>44893</v>
      </c>
      <c r="C2184">
        <v>30</v>
      </c>
      <c r="D2184">
        <v>33836</v>
      </c>
      <c r="E2184" t="s">
        <v>116</v>
      </c>
      <c r="F2184" t="s">
        <v>22</v>
      </c>
      <c r="G2184" t="s">
        <v>34</v>
      </c>
      <c r="H2184" t="s">
        <v>24</v>
      </c>
      <c r="I2184" t="s">
        <v>9</v>
      </c>
      <c r="J2184" t="s">
        <v>25</v>
      </c>
      <c r="K2184" t="s">
        <v>26</v>
      </c>
      <c r="L2184" t="s">
        <v>27</v>
      </c>
      <c r="M2184" t="s">
        <v>32</v>
      </c>
      <c r="N2184" t="s">
        <v>16</v>
      </c>
      <c r="O2184" t="s">
        <v>18</v>
      </c>
      <c r="P2184">
        <v>2</v>
      </c>
    </row>
    <row r="2185" spans="1:16" x14ac:dyDescent="0.3">
      <c r="A2185">
        <v>2708</v>
      </c>
      <c r="B2185">
        <v>44720</v>
      </c>
      <c r="C2185">
        <v>57</v>
      </c>
      <c r="D2185">
        <v>23954</v>
      </c>
      <c r="E2185" t="s">
        <v>120</v>
      </c>
      <c r="F2185" t="s">
        <v>22</v>
      </c>
      <c r="G2185" t="s">
        <v>34</v>
      </c>
      <c r="H2185" t="s">
        <v>24</v>
      </c>
      <c r="I2185" t="s">
        <v>9</v>
      </c>
      <c r="J2185" t="s">
        <v>25</v>
      </c>
      <c r="K2185" t="s">
        <v>11</v>
      </c>
      <c r="L2185" t="s">
        <v>27</v>
      </c>
      <c r="M2185" t="s">
        <v>32</v>
      </c>
      <c r="N2185" t="s">
        <v>46</v>
      </c>
      <c r="O2185" t="s">
        <v>18</v>
      </c>
      <c r="P2185">
        <v>3</v>
      </c>
    </row>
    <row r="2186" spans="1:16" x14ac:dyDescent="0.3">
      <c r="A2186">
        <v>2709</v>
      </c>
      <c r="B2186">
        <v>44654</v>
      </c>
      <c r="C2186">
        <v>37</v>
      </c>
      <c r="D2186">
        <v>31075</v>
      </c>
      <c r="E2186" t="s">
        <v>111</v>
      </c>
      <c r="F2186" t="s">
        <v>22</v>
      </c>
      <c r="G2186" t="s">
        <v>34</v>
      </c>
      <c r="H2186" t="s">
        <v>24</v>
      </c>
      <c r="I2186" t="s">
        <v>9</v>
      </c>
      <c r="J2186" t="s">
        <v>25</v>
      </c>
      <c r="K2186" t="s">
        <v>19</v>
      </c>
      <c r="L2186" t="s">
        <v>27</v>
      </c>
      <c r="M2186" t="s">
        <v>35</v>
      </c>
      <c r="N2186" t="s">
        <v>46</v>
      </c>
      <c r="O2186" t="s">
        <v>18</v>
      </c>
      <c r="P2186">
        <v>2</v>
      </c>
    </row>
    <row r="2187" spans="1:16" x14ac:dyDescent="0.3">
      <c r="A2187">
        <v>2710</v>
      </c>
      <c r="B2187">
        <v>44620</v>
      </c>
      <c r="C2187">
        <v>28</v>
      </c>
      <c r="D2187">
        <v>34438</v>
      </c>
      <c r="E2187" t="s">
        <v>111</v>
      </c>
      <c r="F2187" t="s">
        <v>22</v>
      </c>
      <c r="G2187" t="s">
        <v>31</v>
      </c>
      <c r="H2187" t="s">
        <v>24</v>
      </c>
      <c r="I2187" t="s">
        <v>9</v>
      </c>
      <c r="J2187" t="s">
        <v>20</v>
      </c>
      <c r="K2187" t="s">
        <v>11</v>
      </c>
      <c r="L2187" t="s">
        <v>27</v>
      </c>
      <c r="M2187" t="s">
        <v>35</v>
      </c>
      <c r="N2187" t="s">
        <v>37</v>
      </c>
      <c r="O2187" t="s">
        <v>18</v>
      </c>
      <c r="P2187">
        <v>2</v>
      </c>
    </row>
    <row r="2188" spans="1:16" x14ac:dyDescent="0.3">
      <c r="A2188">
        <v>2711</v>
      </c>
      <c r="B2188">
        <v>44427</v>
      </c>
      <c r="C2188">
        <v>48</v>
      </c>
      <c r="D2188">
        <v>26824</v>
      </c>
      <c r="E2188" t="s">
        <v>111</v>
      </c>
      <c r="F2188" t="s">
        <v>22</v>
      </c>
      <c r="G2188" t="s">
        <v>40</v>
      </c>
      <c r="H2188" t="s">
        <v>24</v>
      </c>
      <c r="I2188" t="s">
        <v>9</v>
      </c>
      <c r="J2188" t="s">
        <v>10</v>
      </c>
      <c r="K2188" t="s">
        <v>11</v>
      </c>
      <c r="L2188" t="s">
        <v>27</v>
      </c>
      <c r="M2188" t="s">
        <v>35</v>
      </c>
      <c r="N2188" t="s">
        <v>37</v>
      </c>
      <c r="O2188" t="s">
        <v>18</v>
      </c>
      <c r="P2188">
        <v>2</v>
      </c>
    </row>
    <row r="2189" spans="1:16" x14ac:dyDescent="0.3">
      <c r="A2189">
        <v>2712</v>
      </c>
      <c r="B2189">
        <v>43331</v>
      </c>
      <c r="C2189">
        <v>26</v>
      </c>
      <c r="D2189">
        <v>33793</v>
      </c>
      <c r="E2189" t="s">
        <v>118</v>
      </c>
      <c r="F2189" t="s">
        <v>22</v>
      </c>
      <c r="G2189" t="s">
        <v>34</v>
      </c>
      <c r="H2189" t="s">
        <v>24</v>
      </c>
      <c r="I2189" t="s">
        <v>9</v>
      </c>
      <c r="J2189" t="s">
        <v>25</v>
      </c>
      <c r="K2189" t="s">
        <v>19</v>
      </c>
      <c r="L2189" t="s">
        <v>27</v>
      </c>
      <c r="M2189" t="s">
        <v>32</v>
      </c>
      <c r="N2189" t="s">
        <v>30</v>
      </c>
      <c r="O2189" t="s">
        <v>18</v>
      </c>
      <c r="P2189">
        <v>2</v>
      </c>
    </row>
    <row r="2190" spans="1:16" x14ac:dyDescent="0.3">
      <c r="A2190">
        <v>2713</v>
      </c>
      <c r="B2190">
        <v>43753</v>
      </c>
      <c r="C2190">
        <v>22</v>
      </c>
      <c r="D2190">
        <v>35470</v>
      </c>
      <c r="E2190" t="s">
        <v>118</v>
      </c>
      <c r="F2190" t="s">
        <v>22</v>
      </c>
      <c r="G2190" t="s">
        <v>34</v>
      </c>
      <c r="H2190" t="s">
        <v>24</v>
      </c>
      <c r="I2190" t="s">
        <v>9</v>
      </c>
      <c r="J2190" t="s">
        <v>25</v>
      </c>
      <c r="K2190" t="s">
        <v>19</v>
      </c>
      <c r="L2190" t="s">
        <v>27</v>
      </c>
      <c r="M2190" t="s">
        <v>21</v>
      </c>
      <c r="N2190" t="s">
        <v>37</v>
      </c>
      <c r="O2190" t="s">
        <v>18</v>
      </c>
      <c r="P2190">
        <v>2</v>
      </c>
    </row>
    <row r="2191" spans="1:16" x14ac:dyDescent="0.3">
      <c r="A2191">
        <v>2714</v>
      </c>
      <c r="B2191">
        <v>44980</v>
      </c>
      <c r="C2191">
        <v>51</v>
      </c>
      <c r="D2191">
        <v>26491</v>
      </c>
      <c r="E2191" t="s">
        <v>113</v>
      </c>
      <c r="F2191" t="s">
        <v>22</v>
      </c>
      <c r="G2191" t="s">
        <v>17</v>
      </c>
      <c r="H2191" t="s">
        <v>24</v>
      </c>
      <c r="I2191" t="s">
        <v>9</v>
      </c>
      <c r="J2191" t="s">
        <v>20</v>
      </c>
      <c r="K2191" t="s">
        <v>11</v>
      </c>
      <c r="L2191" t="s">
        <v>27</v>
      </c>
      <c r="M2191" t="s">
        <v>35</v>
      </c>
      <c r="N2191" t="s">
        <v>46</v>
      </c>
      <c r="O2191" t="s">
        <v>18</v>
      </c>
      <c r="P2191">
        <v>1</v>
      </c>
    </row>
    <row r="2192" spans="1:16" x14ac:dyDescent="0.3">
      <c r="A2192">
        <v>2715</v>
      </c>
      <c r="B2192">
        <v>44958</v>
      </c>
      <c r="C2192">
        <v>28</v>
      </c>
      <c r="D2192">
        <v>34929</v>
      </c>
      <c r="E2192" t="s">
        <v>113</v>
      </c>
      <c r="F2192" t="s">
        <v>15</v>
      </c>
      <c r="G2192" t="s">
        <v>40</v>
      </c>
      <c r="H2192" t="s">
        <v>24</v>
      </c>
      <c r="I2192" t="s">
        <v>9</v>
      </c>
      <c r="J2192" t="s">
        <v>25</v>
      </c>
      <c r="K2192" t="s">
        <v>26</v>
      </c>
      <c r="L2192" t="s">
        <v>27</v>
      </c>
      <c r="M2192" t="s">
        <v>35</v>
      </c>
      <c r="N2192" t="s">
        <v>46</v>
      </c>
      <c r="O2192" t="s">
        <v>18</v>
      </c>
      <c r="P2192">
        <v>5</v>
      </c>
    </row>
    <row r="2193" spans="1:16" x14ac:dyDescent="0.3">
      <c r="A2193">
        <v>2716</v>
      </c>
      <c r="B2193">
        <v>45053</v>
      </c>
      <c r="C2193">
        <v>54</v>
      </c>
      <c r="D2193">
        <v>25558</v>
      </c>
      <c r="E2193" t="s">
        <v>14</v>
      </c>
      <c r="F2193" t="s">
        <v>15</v>
      </c>
      <c r="G2193" t="s">
        <v>17</v>
      </c>
      <c r="H2193" t="s">
        <v>95</v>
      </c>
      <c r="I2193" t="s">
        <v>9</v>
      </c>
      <c r="J2193" t="s">
        <v>10</v>
      </c>
      <c r="K2193" t="s">
        <v>19</v>
      </c>
      <c r="L2193" t="s">
        <v>27</v>
      </c>
      <c r="M2193" t="s">
        <v>44</v>
      </c>
      <c r="N2193" t="s">
        <v>46</v>
      </c>
      <c r="O2193" t="s">
        <v>18</v>
      </c>
      <c r="P2193">
        <v>2</v>
      </c>
    </row>
    <row r="2194" spans="1:16" x14ac:dyDescent="0.3">
      <c r="A2194">
        <v>2717</v>
      </c>
      <c r="B2194">
        <v>43977</v>
      </c>
      <c r="C2194">
        <v>25</v>
      </c>
      <c r="D2194">
        <v>35008</v>
      </c>
      <c r="E2194" t="s">
        <v>14</v>
      </c>
      <c r="F2194" t="s">
        <v>22</v>
      </c>
      <c r="G2194" t="s">
        <v>40</v>
      </c>
      <c r="H2194" t="s">
        <v>24</v>
      </c>
      <c r="I2194" t="s">
        <v>9</v>
      </c>
      <c r="J2194" t="s">
        <v>25</v>
      </c>
      <c r="K2194" t="s">
        <v>19</v>
      </c>
      <c r="L2194" t="s">
        <v>27</v>
      </c>
      <c r="M2194" t="s">
        <v>35</v>
      </c>
      <c r="N2194" t="s">
        <v>37</v>
      </c>
      <c r="O2194" t="s">
        <v>18</v>
      </c>
      <c r="P2194">
        <v>1</v>
      </c>
    </row>
    <row r="2195" spans="1:16" x14ac:dyDescent="0.3">
      <c r="A2195">
        <v>2718</v>
      </c>
      <c r="B2195">
        <v>44601</v>
      </c>
      <c r="C2195">
        <v>23</v>
      </c>
      <c r="D2195">
        <v>36186</v>
      </c>
      <c r="E2195" t="s">
        <v>114</v>
      </c>
      <c r="F2195" t="s">
        <v>22</v>
      </c>
      <c r="G2195" t="s">
        <v>34</v>
      </c>
      <c r="H2195" t="s">
        <v>24</v>
      </c>
      <c r="I2195" t="s">
        <v>9</v>
      </c>
      <c r="J2195" t="s">
        <v>20</v>
      </c>
      <c r="K2195" t="s">
        <v>19</v>
      </c>
      <c r="L2195" t="s">
        <v>27</v>
      </c>
      <c r="M2195" t="s">
        <v>21</v>
      </c>
      <c r="N2195" t="s">
        <v>30</v>
      </c>
      <c r="O2195" t="s">
        <v>18</v>
      </c>
      <c r="P2195">
        <v>5</v>
      </c>
    </row>
    <row r="2196" spans="1:16" x14ac:dyDescent="0.3">
      <c r="A2196">
        <v>2719</v>
      </c>
      <c r="B2196">
        <v>44732</v>
      </c>
      <c r="C2196">
        <v>26</v>
      </c>
      <c r="D2196">
        <v>35106</v>
      </c>
      <c r="E2196" t="s">
        <v>114</v>
      </c>
      <c r="F2196" t="s">
        <v>22</v>
      </c>
      <c r="G2196" t="s">
        <v>40</v>
      </c>
      <c r="H2196" t="s">
        <v>24</v>
      </c>
      <c r="I2196" t="s">
        <v>9</v>
      </c>
      <c r="J2196" t="s">
        <v>10</v>
      </c>
      <c r="K2196" t="s">
        <v>11</v>
      </c>
      <c r="L2196" t="s">
        <v>27</v>
      </c>
      <c r="M2196" t="s">
        <v>13</v>
      </c>
      <c r="N2196" t="s">
        <v>23</v>
      </c>
      <c r="O2196" t="s">
        <v>18</v>
      </c>
      <c r="P2196">
        <v>5</v>
      </c>
    </row>
    <row r="2197" spans="1:16" x14ac:dyDescent="0.3">
      <c r="A2197">
        <v>2720</v>
      </c>
      <c r="B2197">
        <v>44569</v>
      </c>
      <c r="C2197">
        <v>28</v>
      </c>
      <c r="D2197">
        <v>34559</v>
      </c>
      <c r="E2197" t="s">
        <v>121</v>
      </c>
      <c r="F2197" t="s">
        <v>15</v>
      </c>
      <c r="G2197" t="s">
        <v>17</v>
      </c>
      <c r="H2197" t="s">
        <v>24</v>
      </c>
      <c r="I2197" t="s">
        <v>9</v>
      </c>
      <c r="J2197" t="s">
        <v>10</v>
      </c>
      <c r="K2197" t="s">
        <v>19</v>
      </c>
      <c r="L2197" t="s">
        <v>27</v>
      </c>
      <c r="M2197" t="s">
        <v>35</v>
      </c>
      <c r="N2197" t="s">
        <v>46</v>
      </c>
      <c r="O2197" t="s">
        <v>18</v>
      </c>
      <c r="P2197">
        <v>3</v>
      </c>
    </row>
    <row r="2198" spans="1:16" x14ac:dyDescent="0.3">
      <c r="A2198">
        <v>2721</v>
      </c>
      <c r="B2198">
        <v>43891</v>
      </c>
      <c r="C2198">
        <v>39</v>
      </c>
      <c r="D2198">
        <v>29905</v>
      </c>
      <c r="E2198" t="s">
        <v>121</v>
      </c>
      <c r="F2198" t="s">
        <v>22</v>
      </c>
      <c r="G2198" t="s">
        <v>34</v>
      </c>
      <c r="H2198" t="s">
        <v>24</v>
      </c>
      <c r="I2198" t="s">
        <v>9</v>
      </c>
      <c r="J2198" t="s">
        <v>25</v>
      </c>
      <c r="K2198" t="s">
        <v>19</v>
      </c>
      <c r="L2198" t="s">
        <v>27</v>
      </c>
      <c r="M2198" t="s">
        <v>58</v>
      </c>
      <c r="N2198" t="s">
        <v>23</v>
      </c>
      <c r="O2198" t="s">
        <v>18</v>
      </c>
      <c r="P2198">
        <v>4</v>
      </c>
    </row>
    <row r="2199" spans="1:16" x14ac:dyDescent="0.3">
      <c r="A2199">
        <v>2722</v>
      </c>
      <c r="B2199">
        <v>44109</v>
      </c>
      <c r="C2199">
        <v>41</v>
      </c>
      <c r="D2199">
        <v>29191</v>
      </c>
      <c r="E2199" t="s">
        <v>116</v>
      </c>
      <c r="F2199" t="s">
        <v>22</v>
      </c>
      <c r="G2199" t="s">
        <v>31</v>
      </c>
      <c r="H2199" t="s">
        <v>24</v>
      </c>
      <c r="I2199" t="s">
        <v>9</v>
      </c>
      <c r="J2199" t="s">
        <v>10</v>
      </c>
      <c r="K2199" t="s">
        <v>11</v>
      </c>
      <c r="L2199" t="s">
        <v>27</v>
      </c>
      <c r="M2199" t="s">
        <v>32</v>
      </c>
      <c r="N2199" t="s">
        <v>16</v>
      </c>
      <c r="O2199" t="s">
        <v>18</v>
      </c>
      <c r="P2199">
        <v>4</v>
      </c>
    </row>
    <row r="2200" spans="1:16" x14ac:dyDescent="0.3">
      <c r="A2200">
        <v>2723</v>
      </c>
      <c r="B2200">
        <v>44328</v>
      </c>
      <c r="C2200">
        <v>46</v>
      </c>
      <c r="D2200">
        <v>27470</v>
      </c>
      <c r="E2200" t="s">
        <v>120</v>
      </c>
      <c r="F2200" t="s">
        <v>22</v>
      </c>
      <c r="G2200" t="s">
        <v>17</v>
      </c>
      <c r="H2200" t="s">
        <v>24</v>
      </c>
      <c r="I2200" t="s">
        <v>9</v>
      </c>
      <c r="J2200" t="s">
        <v>20</v>
      </c>
      <c r="K2200" t="s">
        <v>11</v>
      </c>
      <c r="L2200" t="s">
        <v>27</v>
      </c>
      <c r="M2200" t="s">
        <v>35</v>
      </c>
      <c r="N2200" t="s">
        <v>16</v>
      </c>
      <c r="O2200" t="s">
        <v>18</v>
      </c>
      <c r="P2200">
        <v>1</v>
      </c>
    </row>
    <row r="2201" spans="1:16" x14ac:dyDescent="0.3">
      <c r="A2201">
        <v>2724</v>
      </c>
      <c r="B2201">
        <v>44927</v>
      </c>
      <c r="C2201">
        <v>80</v>
      </c>
      <c r="D2201">
        <v>15721</v>
      </c>
      <c r="E2201" t="s">
        <v>111</v>
      </c>
      <c r="F2201" t="s">
        <v>22</v>
      </c>
      <c r="G2201" t="s">
        <v>40</v>
      </c>
      <c r="H2201" t="s">
        <v>24</v>
      </c>
      <c r="I2201" t="s">
        <v>9</v>
      </c>
      <c r="J2201" t="s">
        <v>20</v>
      </c>
      <c r="K2201" t="s">
        <v>26</v>
      </c>
      <c r="L2201" t="s">
        <v>27</v>
      </c>
      <c r="M2201" t="s">
        <v>60</v>
      </c>
      <c r="N2201" t="s">
        <v>30</v>
      </c>
      <c r="O2201" t="s">
        <v>18</v>
      </c>
      <c r="P2201">
        <v>3</v>
      </c>
    </row>
    <row r="2202" spans="1:16" x14ac:dyDescent="0.3">
      <c r="A2202">
        <v>2725</v>
      </c>
      <c r="B2202">
        <v>43787</v>
      </c>
      <c r="C2202">
        <v>50</v>
      </c>
      <c r="D2202">
        <v>25405</v>
      </c>
      <c r="E2202" t="s">
        <v>111</v>
      </c>
      <c r="F2202" t="s">
        <v>22</v>
      </c>
      <c r="G2202" t="s">
        <v>31</v>
      </c>
      <c r="H2202" t="s">
        <v>24</v>
      </c>
      <c r="I2202" t="s">
        <v>9</v>
      </c>
      <c r="J2202" t="s">
        <v>10</v>
      </c>
      <c r="K2202" t="s">
        <v>26</v>
      </c>
      <c r="L2202" t="s">
        <v>27</v>
      </c>
      <c r="M2202" t="s">
        <v>35</v>
      </c>
      <c r="N2202" t="s">
        <v>16</v>
      </c>
      <c r="O2202" t="s">
        <v>18</v>
      </c>
      <c r="P2202">
        <v>1</v>
      </c>
    </row>
    <row r="2203" spans="1:16" x14ac:dyDescent="0.3">
      <c r="A2203">
        <v>2726</v>
      </c>
      <c r="B2203">
        <v>44328</v>
      </c>
      <c r="C2203">
        <v>50</v>
      </c>
      <c r="D2203">
        <v>25987</v>
      </c>
      <c r="E2203" t="s">
        <v>118</v>
      </c>
      <c r="F2203" t="s">
        <v>22</v>
      </c>
      <c r="G2203" t="s">
        <v>31</v>
      </c>
      <c r="H2203" t="s">
        <v>24</v>
      </c>
      <c r="I2203" t="s">
        <v>9</v>
      </c>
      <c r="J2203" t="s">
        <v>10</v>
      </c>
      <c r="K2203" t="s">
        <v>26</v>
      </c>
      <c r="L2203" t="s">
        <v>27</v>
      </c>
      <c r="M2203" t="s">
        <v>59</v>
      </c>
      <c r="N2203" t="s">
        <v>46</v>
      </c>
      <c r="O2203" t="s">
        <v>18</v>
      </c>
      <c r="P2203">
        <v>4</v>
      </c>
    </row>
    <row r="2204" spans="1:16" x14ac:dyDescent="0.3">
      <c r="A2204">
        <v>2727</v>
      </c>
      <c r="B2204">
        <v>43875</v>
      </c>
      <c r="C2204">
        <v>36</v>
      </c>
      <c r="D2204">
        <v>30967</v>
      </c>
      <c r="E2204" t="s">
        <v>118</v>
      </c>
      <c r="F2204" t="s">
        <v>22</v>
      </c>
      <c r="G2204" t="s">
        <v>40</v>
      </c>
      <c r="H2204" t="s">
        <v>24</v>
      </c>
      <c r="I2204" t="s">
        <v>9</v>
      </c>
      <c r="J2204" t="s">
        <v>10</v>
      </c>
      <c r="K2204" t="s">
        <v>11</v>
      </c>
      <c r="L2204" t="s">
        <v>27</v>
      </c>
      <c r="M2204" t="s">
        <v>32</v>
      </c>
      <c r="N2204" t="s">
        <v>16</v>
      </c>
      <c r="O2204" t="s">
        <v>18</v>
      </c>
      <c r="P2204">
        <v>3</v>
      </c>
    </row>
    <row r="2205" spans="1:16" x14ac:dyDescent="0.3">
      <c r="A2205">
        <v>2728</v>
      </c>
      <c r="B2205">
        <v>43959</v>
      </c>
      <c r="C2205">
        <v>64</v>
      </c>
      <c r="D2205">
        <v>20705</v>
      </c>
      <c r="E2205" t="s">
        <v>113</v>
      </c>
      <c r="F2205" t="s">
        <v>22</v>
      </c>
      <c r="G2205" t="s">
        <v>31</v>
      </c>
      <c r="H2205" t="s">
        <v>24</v>
      </c>
      <c r="I2205" t="s">
        <v>9</v>
      </c>
      <c r="J2205" t="s">
        <v>25</v>
      </c>
      <c r="K2205" t="s">
        <v>26</v>
      </c>
      <c r="L2205" t="s">
        <v>27</v>
      </c>
      <c r="M2205" t="s">
        <v>49</v>
      </c>
      <c r="N2205" t="s">
        <v>23</v>
      </c>
      <c r="O2205" t="s">
        <v>18</v>
      </c>
      <c r="P2205">
        <v>2</v>
      </c>
    </row>
    <row r="2206" spans="1:16" x14ac:dyDescent="0.3">
      <c r="A2206">
        <v>2729</v>
      </c>
      <c r="B2206">
        <v>43444</v>
      </c>
      <c r="C2206">
        <v>70</v>
      </c>
      <c r="D2206">
        <v>17602</v>
      </c>
      <c r="E2206" t="s">
        <v>113</v>
      </c>
      <c r="F2206" t="s">
        <v>15</v>
      </c>
      <c r="G2206" t="s">
        <v>40</v>
      </c>
      <c r="H2206" t="s">
        <v>24</v>
      </c>
      <c r="I2206" t="s">
        <v>9</v>
      </c>
      <c r="J2206" t="s">
        <v>20</v>
      </c>
      <c r="K2206" t="s">
        <v>26</v>
      </c>
      <c r="L2206" t="s">
        <v>27</v>
      </c>
      <c r="M2206" t="s">
        <v>42</v>
      </c>
      <c r="N2206" t="s">
        <v>23</v>
      </c>
      <c r="O2206" t="s">
        <v>18</v>
      </c>
      <c r="P2206">
        <v>5</v>
      </c>
    </row>
    <row r="2207" spans="1:16" x14ac:dyDescent="0.3">
      <c r="A2207">
        <v>2730</v>
      </c>
      <c r="B2207">
        <v>44538</v>
      </c>
      <c r="C2207">
        <v>54</v>
      </c>
      <c r="D2207">
        <v>24681</v>
      </c>
      <c r="E2207" t="s">
        <v>99</v>
      </c>
      <c r="F2207" t="s">
        <v>15</v>
      </c>
      <c r="G2207" t="s">
        <v>31</v>
      </c>
      <c r="H2207" t="s">
        <v>24</v>
      </c>
      <c r="I2207" t="s">
        <v>9</v>
      </c>
      <c r="J2207" t="s">
        <v>10</v>
      </c>
      <c r="K2207" t="s">
        <v>26</v>
      </c>
      <c r="L2207" t="s">
        <v>27</v>
      </c>
      <c r="M2207" t="s">
        <v>69</v>
      </c>
      <c r="N2207" t="s">
        <v>23</v>
      </c>
      <c r="O2207" t="s">
        <v>18</v>
      </c>
      <c r="P2207">
        <v>3</v>
      </c>
    </row>
    <row r="2208" spans="1:16" x14ac:dyDescent="0.3">
      <c r="A2208">
        <v>2731</v>
      </c>
      <c r="B2208">
        <v>43496</v>
      </c>
      <c r="C2208">
        <v>70</v>
      </c>
      <c r="D2208">
        <v>18262</v>
      </c>
      <c r="E2208" t="s">
        <v>14</v>
      </c>
      <c r="F2208" t="s">
        <v>15</v>
      </c>
      <c r="G2208" t="s">
        <v>34</v>
      </c>
      <c r="H2208" t="s">
        <v>95</v>
      </c>
      <c r="I2208" t="s">
        <v>9</v>
      </c>
      <c r="J2208" t="s">
        <v>20</v>
      </c>
      <c r="K2208" t="s">
        <v>11</v>
      </c>
      <c r="L2208" t="s">
        <v>27</v>
      </c>
      <c r="M2208" t="s">
        <v>32</v>
      </c>
      <c r="N2208" t="s">
        <v>30</v>
      </c>
      <c r="O2208" t="s">
        <v>18</v>
      </c>
      <c r="P2208">
        <v>3</v>
      </c>
    </row>
    <row r="2209" spans="1:16" x14ac:dyDescent="0.3">
      <c r="A2209">
        <v>2732</v>
      </c>
      <c r="B2209">
        <v>44804</v>
      </c>
      <c r="C2209">
        <v>33</v>
      </c>
      <c r="D2209">
        <v>32605</v>
      </c>
      <c r="E2209" t="s">
        <v>119</v>
      </c>
      <c r="F2209" t="s">
        <v>22</v>
      </c>
      <c r="G2209" t="s">
        <v>31</v>
      </c>
      <c r="H2209" t="s">
        <v>24</v>
      </c>
      <c r="I2209" t="s">
        <v>9</v>
      </c>
      <c r="J2209" t="s">
        <v>10</v>
      </c>
      <c r="K2209" t="s">
        <v>19</v>
      </c>
      <c r="L2209" t="s">
        <v>27</v>
      </c>
      <c r="M2209" t="s">
        <v>58</v>
      </c>
      <c r="N2209" t="s">
        <v>37</v>
      </c>
      <c r="O2209" t="s">
        <v>18</v>
      </c>
      <c r="P2209">
        <v>5</v>
      </c>
    </row>
    <row r="2210" spans="1:16" x14ac:dyDescent="0.3">
      <c r="A2210">
        <v>2733</v>
      </c>
      <c r="B2210">
        <v>44593</v>
      </c>
      <c r="C2210">
        <v>26</v>
      </c>
      <c r="D2210">
        <v>35069</v>
      </c>
      <c r="E2210" t="s">
        <v>114</v>
      </c>
      <c r="F2210" t="s">
        <v>22</v>
      </c>
      <c r="G2210" t="s">
        <v>31</v>
      </c>
      <c r="H2210" t="s">
        <v>24</v>
      </c>
      <c r="I2210" t="s">
        <v>9</v>
      </c>
      <c r="J2210" t="s">
        <v>10</v>
      </c>
      <c r="K2210" t="s">
        <v>19</v>
      </c>
      <c r="L2210" t="s">
        <v>27</v>
      </c>
      <c r="M2210" t="s">
        <v>28</v>
      </c>
      <c r="N2210" t="s">
        <v>37</v>
      </c>
      <c r="O2210" t="s">
        <v>18</v>
      </c>
      <c r="P2210">
        <v>4</v>
      </c>
    </row>
    <row r="2211" spans="1:16" x14ac:dyDescent="0.3">
      <c r="A2211">
        <v>2734</v>
      </c>
      <c r="B2211">
        <v>44167</v>
      </c>
      <c r="C2211">
        <v>72</v>
      </c>
      <c r="D2211">
        <v>17870</v>
      </c>
      <c r="E2211" t="s">
        <v>114</v>
      </c>
      <c r="F2211" t="s">
        <v>15</v>
      </c>
      <c r="G2211" t="s">
        <v>34</v>
      </c>
      <c r="H2211" t="s">
        <v>24</v>
      </c>
      <c r="I2211" t="s">
        <v>9</v>
      </c>
      <c r="J2211" t="s">
        <v>10</v>
      </c>
      <c r="K2211" t="s">
        <v>11</v>
      </c>
      <c r="L2211" t="s">
        <v>27</v>
      </c>
      <c r="M2211" t="s">
        <v>32</v>
      </c>
      <c r="N2211" t="s">
        <v>37</v>
      </c>
      <c r="O2211" t="s">
        <v>18</v>
      </c>
      <c r="P2211">
        <v>2</v>
      </c>
    </row>
    <row r="2212" spans="1:16" x14ac:dyDescent="0.3">
      <c r="A2212">
        <v>2735</v>
      </c>
      <c r="B2212">
        <v>44120</v>
      </c>
      <c r="C2212">
        <v>19</v>
      </c>
      <c r="D2212">
        <v>36991</v>
      </c>
      <c r="E2212" t="s">
        <v>121</v>
      </c>
      <c r="F2212" t="s">
        <v>15</v>
      </c>
      <c r="G2212" t="s">
        <v>31</v>
      </c>
      <c r="H2212" t="s">
        <v>24</v>
      </c>
      <c r="I2212" t="s">
        <v>9</v>
      </c>
      <c r="J2212" t="s">
        <v>10</v>
      </c>
      <c r="K2212" t="s">
        <v>26</v>
      </c>
      <c r="L2212" t="s">
        <v>27</v>
      </c>
      <c r="M2212" t="s">
        <v>35</v>
      </c>
      <c r="N2212" t="s">
        <v>46</v>
      </c>
      <c r="O2212" t="s">
        <v>18</v>
      </c>
      <c r="P2212">
        <v>1</v>
      </c>
    </row>
    <row r="2213" spans="1:16" x14ac:dyDescent="0.3">
      <c r="A2213">
        <v>2736</v>
      </c>
      <c r="B2213">
        <v>43978</v>
      </c>
      <c r="C2213">
        <v>57</v>
      </c>
      <c r="D2213">
        <v>23055</v>
      </c>
      <c r="E2213" t="s">
        <v>116</v>
      </c>
      <c r="F2213" t="s">
        <v>22</v>
      </c>
      <c r="G2213" t="s">
        <v>34</v>
      </c>
      <c r="H2213" t="s">
        <v>24</v>
      </c>
      <c r="I2213" t="s">
        <v>9</v>
      </c>
      <c r="J2213" t="s">
        <v>10</v>
      </c>
      <c r="K2213" t="s">
        <v>19</v>
      </c>
      <c r="L2213" t="s">
        <v>27</v>
      </c>
      <c r="M2213" t="s">
        <v>32</v>
      </c>
      <c r="N2213" t="s">
        <v>30</v>
      </c>
      <c r="O2213" t="s">
        <v>18</v>
      </c>
      <c r="P2213">
        <v>2</v>
      </c>
    </row>
    <row r="2214" spans="1:16" x14ac:dyDescent="0.3">
      <c r="A2214">
        <v>2737</v>
      </c>
      <c r="B2214">
        <v>44428</v>
      </c>
      <c r="C2214">
        <v>49</v>
      </c>
      <c r="D2214">
        <v>26445</v>
      </c>
      <c r="E2214" t="s">
        <v>110</v>
      </c>
      <c r="F2214" t="s">
        <v>22</v>
      </c>
      <c r="G2214" t="s">
        <v>34</v>
      </c>
      <c r="H2214" t="s">
        <v>24</v>
      </c>
      <c r="I2214" t="s">
        <v>9</v>
      </c>
      <c r="J2214" t="s">
        <v>25</v>
      </c>
      <c r="K2214" t="s">
        <v>11</v>
      </c>
      <c r="L2214" t="s">
        <v>27</v>
      </c>
      <c r="M2214" t="s">
        <v>32</v>
      </c>
      <c r="N2214" t="s">
        <v>37</v>
      </c>
      <c r="O2214" t="s">
        <v>18</v>
      </c>
      <c r="P2214">
        <v>5</v>
      </c>
    </row>
    <row r="2215" spans="1:16" x14ac:dyDescent="0.3">
      <c r="A2215">
        <v>2738</v>
      </c>
      <c r="B2215">
        <v>43503</v>
      </c>
      <c r="C2215">
        <v>62</v>
      </c>
      <c r="D2215">
        <v>21086</v>
      </c>
      <c r="E2215" t="s">
        <v>120</v>
      </c>
      <c r="F2215" t="s">
        <v>22</v>
      </c>
      <c r="G2215" t="s">
        <v>34</v>
      </c>
      <c r="H2215" t="s">
        <v>24</v>
      </c>
      <c r="I2215" t="s">
        <v>9</v>
      </c>
      <c r="J2215" t="s">
        <v>25</v>
      </c>
      <c r="K2215" t="s">
        <v>11</v>
      </c>
      <c r="L2215" t="s">
        <v>27</v>
      </c>
      <c r="M2215" t="s">
        <v>35</v>
      </c>
      <c r="N2215" t="s">
        <v>23</v>
      </c>
      <c r="O2215" t="s">
        <v>18</v>
      </c>
      <c r="P2215">
        <v>3</v>
      </c>
    </row>
    <row r="2216" spans="1:16" x14ac:dyDescent="0.3">
      <c r="A2216">
        <v>2739</v>
      </c>
      <c r="B2216">
        <v>44245</v>
      </c>
      <c r="C2216">
        <v>77</v>
      </c>
      <c r="D2216">
        <v>16336</v>
      </c>
      <c r="E2216" t="s">
        <v>111</v>
      </c>
      <c r="F2216" t="s">
        <v>22</v>
      </c>
      <c r="G2216" t="s">
        <v>31</v>
      </c>
      <c r="H2216" t="s">
        <v>24</v>
      </c>
      <c r="I2216" t="s">
        <v>9</v>
      </c>
      <c r="J2216" t="s">
        <v>10</v>
      </c>
      <c r="K2216" t="s">
        <v>19</v>
      </c>
      <c r="L2216" t="s">
        <v>27</v>
      </c>
      <c r="M2216" t="s">
        <v>32</v>
      </c>
      <c r="N2216" t="s">
        <v>37</v>
      </c>
      <c r="O2216" t="s">
        <v>18</v>
      </c>
      <c r="P2216">
        <v>2</v>
      </c>
    </row>
    <row r="2217" spans="1:16" x14ac:dyDescent="0.3">
      <c r="A2217">
        <v>2740</v>
      </c>
      <c r="B2217">
        <v>44897</v>
      </c>
      <c r="C2217">
        <v>39</v>
      </c>
      <c r="D2217">
        <v>30584</v>
      </c>
      <c r="E2217" t="s">
        <v>111</v>
      </c>
      <c r="F2217" t="s">
        <v>22</v>
      </c>
      <c r="G2217" t="s">
        <v>31</v>
      </c>
      <c r="H2217" t="s">
        <v>24</v>
      </c>
      <c r="I2217" t="s">
        <v>9</v>
      </c>
      <c r="J2217" t="s">
        <v>25</v>
      </c>
      <c r="K2217" t="s">
        <v>26</v>
      </c>
      <c r="L2217" t="s">
        <v>27</v>
      </c>
      <c r="M2217" t="s">
        <v>28</v>
      </c>
      <c r="N2217" t="s">
        <v>37</v>
      </c>
      <c r="O2217" t="s">
        <v>18</v>
      </c>
      <c r="P2217">
        <v>5</v>
      </c>
    </row>
    <row r="2218" spans="1:16" x14ac:dyDescent="0.3">
      <c r="A2218">
        <v>2741</v>
      </c>
      <c r="B2218">
        <v>44406</v>
      </c>
      <c r="C2218">
        <v>47</v>
      </c>
      <c r="D2218">
        <v>27329</v>
      </c>
      <c r="E2218" t="s">
        <v>118</v>
      </c>
      <c r="F2218" t="s">
        <v>22</v>
      </c>
      <c r="G2218" t="s">
        <v>40</v>
      </c>
      <c r="H2218" t="s">
        <v>24</v>
      </c>
      <c r="I2218" t="s">
        <v>9</v>
      </c>
      <c r="J2218" t="s">
        <v>25</v>
      </c>
      <c r="K2218" t="s">
        <v>19</v>
      </c>
      <c r="L2218" t="s">
        <v>27</v>
      </c>
      <c r="M2218" t="s">
        <v>59</v>
      </c>
      <c r="N2218" t="s">
        <v>46</v>
      </c>
      <c r="O2218" t="s">
        <v>18</v>
      </c>
      <c r="P2218">
        <v>3</v>
      </c>
    </row>
    <row r="2219" spans="1:16" x14ac:dyDescent="0.3">
      <c r="A2219">
        <v>2742</v>
      </c>
      <c r="B2219">
        <v>44674</v>
      </c>
      <c r="C2219">
        <v>31</v>
      </c>
      <c r="D2219">
        <v>33520</v>
      </c>
      <c r="E2219" t="s">
        <v>115</v>
      </c>
      <c r="F2219" t="s">
        <v>22</v>
      </c>
      <c r="G2219" t="s">
        <v>34</v>
      </c>
      <c r="H2219" t="s">
        <v>24</v>
      </c>
      <c r="I2219" t="s">
        <v>9</v>
      </c>
      <c r="J2219" t="s">
        <v>25</v>
      </c>
      <c r="K2219" t="s">
        <v>26</v>
      </c>
      <c r="L2219" t="s">
        <v>27</v>
      </c>
      <c r="M2219" t="s">
        <v>35</v>
      </c>
      <c r="N2219" t="s">
        <v>46</v>
      </c>
      <c r="O2219" t="s">
        <v>18</v>
      </c>
      <c r="P2219">
        <v>3</v>
      </c>
    </row>
    <row r="2220" spans="1:16" x14ac:dyDescent="0.3">
      <c r="A2220">
        <v>2743</v>
      </c>
      <c r="B2220">
        <v>44408</v>
      </c>
      <c r="C2220">
        <v>39</v>
      </c>
      <c r="D2220">
        <v>29979</v>
      </c>
      <c r="E2220" t="s">
        <v>113</v>
      </c>
      <c r="F2220" t="s">
        <v>22</v>
      </c>
      <c r="G2220" t="s">
        <v>34</v>
      </c>
      <c r="H2220" t="s">
        <v>24</v>
      </c>
      <c r="I2220" t="s">
        <v>9</v>
      </c>
      <c r="J2220" t="s">
        <v>25</v>
      </c>
      <c r="K2220" t="s">
        <v>26</v>
      </c>
      <c r="L2220" t="s">
        <v>27</v>
      </c>
      <c r="M2220" t="s">
        <v>35</v>
      </c>
      <c r="N2220" t="s">
        <v>37</v>
      </c>
      <c r="O2220" t="s">
        <v>18</v>
      </c>
      <c r="P2220">
        <v>2</v>
      </c>
    </row>
    <row r="2221" spans="1:16" x14ac:dyDescent="0.3">
      <c r="A2221">
        <v>2744</v>
      </c>
      <c r="B2221">
        <v>43994</v>
      </c>
      <c r="C2221">
        <v>66</v>
      </c>
      <c r="D2221">
        <v>19926</v>
      </c>
      <c r="E2221" t="s">
        <v>99</v>
      </c>
      <c r="F2221" t="s">
        <v>15</v>
      </c>
      <c r="G2221" t="s">
        <v>34</v>
      </c>
      <c r="H2221" t="s">
        <v>24</v>
      </c>
      <c r="I2221" t="s">
        <v>9</v>
      </c>
      <c r="J2221" t="s">
        <v>10</v>
      </c>
      <c r="K2221" t="s">
        <v>11</v>
      </c>
      <c r="L2221" t="s">
        <v>27</v>
      </c>
      <c r="M2221" t="s">
        <v>35</v>
      </c>
      <c r="N2221" t="s">
        <v>46</v>
      </c>
      <c r="O2221" t="s">
        <v>18</v>
      </c>
      <c r="P2221">
        <v>4</v>
      </c>
    </row>
    <row r="2222" spans="1:16" x14ac:dyDescent="0.3">
      <c r="A2222">
        <v>2745</v>
      </c>
      <c r="B2222">
        <v>43490</v>
      </c>
      <c r="C2222">
        <v>18</v>
      </c>
      <c r="D2222">
        <v>37010</v>
      </c>
      <c r="E2222" t="s">
        <v>109</v>
      </c>
      <c r="F2222" t="s">
        <v>15</v>
      </c>
      <c r="G2222" t="s">
        <v>40</v>
      </c>
      <c r="H2222" t="s">
        <v>24</v>
      </c>
      <c r="I2222" t="s">
        <v>9</v>
      </c>
      <c r="J2222" t="s">
        <v>10</v>
      </c>
      <c r="K2222" t="s">
        <v>26</v>
      </c>
      <c r="L2222" t="s">
        <v>27</v>
      </c>
      <c r="M2222" t="s">
        <v>44</v>
      </c>
      <c r="N2222" t="s">
        <v>23</v>
      </c>
      <c r="O2222" t="s">
        <v>18</v>
      </c>
      <c r="P2222">
        <v>2</v>
      </c>
    </row>
    <row r="2223" spans="1:16" x14ac:dyDescent="0.3">
      <c r="A2223">
        <v>2746</v>
      </c>
      <c r="B2223">
        <v>44128</v>
      </c>
      <c r="C2223">
        <v>43</v>
      </c>
      <c r="D2223">
        <v>28262</v>
      </c>
      <c r="E2223" t="s">
        <v>14</v>
      </c>
      <c r="F2223" t="s">
        <v>15</v>
      </c>
      <c r="G2223" t="s">
        <v>17</v>
      </c>
      <c r="H2223" t="s">
        <v>95</v>
      </c>
      <c r="I2223" t="s">
        <v>66</v>
      </c>
      <c r="J2223" t="s">
        <v>25</v>
      </c>
      <c r="K2223" t="s">
        <v>19</v>
      </c>
      <c r="L2223" t="s">
        <v>27</v>
      </c>
      <c r="M2223" t="s">
        <v>54</v>
      </c>
      <c r="N2223" t="s">
        <v>23</v>
      </c>
      <c r="O2223" t="s">
        <v>18</v>
      </c>
      <c r="P2223">
        <v>4</v>
      </c>
    </row>
    <row r="2224" spans="1:16" x14ac:dyDescent="0.3">
      <c r="A2224">
        <v>2747</v>
      </c>
      <c r="B2224">
        <v>43330</v>
      </c>
      <c r="C2224">
        <v>58</v>
      </c>
      <c r="D2224">
        <v>22243</v>
      </c>
      <c r="E2224" t="s">
        <v>14</v>
      </c>
      <c r="F2224" t="s">
        <v>15</v>
      </c>
      <c r="G2224" t="s">
        <v>34</v>
      </c>
      <c r="H2224" t="s">
        <v>8</v>
      </c>
      <c r="I2224" t="s">
        <v>9</v>
      </c>
      <c r="J2224" t="s">
        <v>20</v>
      </c>
      <c r="K2224" t="s">
        <v>26</v>
      </c>
      <c r="L2224" t="s">
        <v>12</v>
      </c>
      <c r="M2224" t="s">
        <v>32</v>
      </c>
      <c r="N2224" t="s">
        <v>23</v>
      </c>
      <c r="O2224" t="s">
        <v>18</v>
      </c>
      <c r="P2224">
        <v>1</v>
      </c>
    </row>
    <row r="2225" spans="1:16" x14ac:dyDescent="0.3">
      <c r="A2225">
        <v>2748</v>
      </c>
      <c r="B2225">
        <v>44753</v>
      </c>
      <c r="C2225">
        <v>58</v>
      </c>
      <c r="D2225">
        <v>23543</v>
      </c>
      <c r="E2225" t="s">
        <v>14</v>
      </c>
      <c r="F2225" t="s">
        <v>15</v>
      </c>
      <c r="G2225" t="s">
        <v>17</v>
      </c>
      <c r="H2225" t="s">
        <v>8</v>
      </c>
      <c r="I2225" t="s">
        <v>9</v>
      </c>
      <c r="J2225" t="s">
        <v>25</v>
      </c>
      <c r="K2225" t="s">
        <v>11</v>
      </c>
      <c r="L2225" t="s">
        <v>12</v>
      </c>
      <c r="M2225" t="s">
        <v>28</v>
      </c>
      <c r="N2225" t="s">
        <v>23</v>
      </c>
      <c r="O2225" t="s">
        <v>18</v>
      </c>
      <c r="P2225">
        <v>2</v>
      </c>
    </row>
    <row r="2226" spans="1:16" x14ac:dyDescent="0.3">
      <c r="A2226">
        <v>2749</v>
      </c>
      <c r="B2226">
        <v>43419</v>
      </c>
      <c r="C2226">
        <v>69</v>
      </c>
      <c r="D2226">
        <v>17996</v>
      </c>
      <c r="E2226" t="s">
        <v>14</v>
      </c>
      <c r="F2226" t="s">
        <v>15</v>
      </c>
      <c r="G2226" t="s">
        <v>17</v>
      </c>
      <c r="H2226" t="s">
        <v>8</v>
      </c>
      <c r="I2226" t="s">
        <v>66</v>
      </c>
      <c r="J2226" t="s">
        <v>25</v>
      </c>
      <c r="K2226" t="s">
        <v>26</v>
      </c>
      <c r="L2226" t="s">
        <v>12</v>
      </c>
      <c r="M2226" t="s">
        <v>68</v>
      </c>
      <c r="N2226" t="s">
        <v>37</v>
      </c>
      <c r="O2226" t="s">
        <v>18</v>
      </c>
      <c r="P2226">
        <v>3</v>
      </c>
    </row>
    <row r="2227" spans="1:16" x14ac:dyDescent="0.3">
      <c r="A2227">
        <v>2750</v>
      </c>
      <c r="B2227">
        <v>44716</v>
      </c>
      <c r="C2227">
        <v>73</v>
      </c>
      <c r="D2227">
        <v>17991</v>
      </c>
      <c r="E2227" t="s">
        <v>14</v>
      </c>
      <c r="F2227" t="s">
        <v>22</v>
      </c>
      <c r="G2227" t="s">
        <v>40</v>
      </c>
      <c r="H2227" t="s">
        <v>64</v>
      </c>
      <c r="I2227" t="s">
        <v>9</v>
      </c>
      <c r="J2227" t="s">
        <v>25</v>
      </c>
      <c r="K2227" t="s">
        <v>26</v>
      </c>
      <c r="L2227" t="s">
        <v>12</v>
      </c>
      <c r="M2227" t="s">
        <v>35</v>
      </c>
      <c r="N2227" t="s">
        <v>46</v>
      </c>
      <c r="O2227" t="s">
        <v>18</v>
      </c>
      <c r="P2227">
        <v>4</v>
      </c>
    </row>
    <row r="2228" spans="1:16" x14ac:dyDescent="0.3">
      <c r="A2228">
        <v>2752</v>
      </c>
      <c r="B2228">
        <v>44855</v>
      </c>
      <c r="C2228">
        <v>46</v>
      </c>
      <c r="D2228">
        <v>27908</v>
      </c>
      <c r="E2228" t="s">
        <v>14</v>
      </c>
      <c r="F2228" t="s">
        <v>22</v>
      </c>
      <c r="G2228" t="s">
        <v>40</v>
      </c>
      <c r="H2228" t="s">
        <v>8</v>
      </c>
      <c r="I2228" t="s">
        <v>9</v>
      </c>
      <c r="J2228" t="s">
        <v>20</v>
      </c>
      <c r="K2228" t="s">
        <v>19</v>
      </c>
      <c r="L2228" t="s">
        <v>12</v>
      </c>
      <c r="M2228" t="s">
        <v>32</v>
      </c>
      <c r="N2228" t="s">
        <v>23</v>
      </c>
      <c r="O2228" t="s">
        <v>18</v>
      </c>
      <c r="P2228">
        <v>5</v>
      </c>
    </row>
    <row r="2229" spans="1:16" x14ac:dyDescent="0.3">
      <c r="A2229">
        <v>2753</v>
      </c>
      <c r="B2229">
        <v>44939</v>
      </c>
      <c r="C2229">
        <v>39</v>
      </c>
      <c r="D2229">
        <v>30844</v>
      </c>
      <c r="E2229" t="s">
        <v>14</v>
      </c>
      <c r="F2229" t="s">
        <v>15</v>
      </c>
      <c r="G2229" t="s">
        <v>17</v>
      </c>
      <c r="H2229" t="s">
        <v>8</v>
      </c>
      <c r="I2229" t="s">
        <v>9</v>
      </c>
      <c r="J2229" t="s">
        <v>10</v>
      </c>
      <c r="K2229" t="s">
        <v>26</v>
      </c>
      <c r="L2229" t="s">
        <v>12</v>
      </c>
      <c r="M2229" t="s">
        <v>35</v>
      </c>
      <c r="N2229" t="s">
        <v>37</v>
      </c>
      <c r="O2229" t="s">
        <v>18</v>
      </c>
      <c r="P2229">
        <v>1</v>
      </c>
    </row>
    <row r="2230" spans="1:16" x14ac:dyDescent="0.3">
      <c r="A2230">
        <v>2754</v>
      </c>
      <c r="B2230">
        <v>43926</v>
      </c>
      <c r="C2230">
        <v>43</v>
      </c>
      <c r="D2230">
        <v>28250</v>
      </c>
      <c r="E2230" t="s">
        <v>14</v>
      </c>
      <c r="F2230" t="s">
        <v>22</v>
      </c>
      <c r="G2230" t="s">
        <v>34</v>
      </c>
      <c r="H2230" t="s">
        <v>8</v>
      </c>
      <c r="I2230" t="s">
        <v>9</v>
      </c>
      <c r="J2230" t="s">
        <v>25</v>
      </c>
      <c r="K2230" t="s">
        <v>11</v>
      </c>
      <c r="L2230" t="s">
        <v>12</v>
      </c>
      <c r="M2230" t="s">
        <v>42</v>
      </c>
      <c r="N2230" t="s">
        <v>30</v>
      </c>
      <c r="O2230" t="s">
        <v>18</v>
      </c>
      <c r="P2230">
        <v>5</v>
      </c>
    </row>
    <row r="2231" spans="1:16" x14ac:dyDescent="0.3">
      <c r="A2231">
        <v>2755</v>
      </c>
      <c r="B2231">
        <v>44707</v>
      </c>
      <c r="C2231">
        <v>67</v>
      </c>
      <c r="D2231">
        <v>20413</v>
      </c>
      <c r="E2231" t="s">
        <v>14</v>
      </c>
      <c r="F2231" t="s">
        <v>22</v>
      </c>
      <c r="G2231" t="s">
        <v>31</v>
      </c>
      <c r="H2231" t="s">
        <v>8</v>
      </c>
      <c r="I2231" t="s">
        <v>9</v>
      </c>
      <c r="J2231" t="s">
        <v>10</v>
      </c>
      <c r="K2231" t="s">
        <v>26</v>
      </c>
      <c r="L2231" t="s">
        <v>12</v>
      </c>
      <c r="M2231" t="s">
        <v>32</v>
      </c>
      <c r="N2231" t="s">
        <v>30</v>
      </c>
      <c r="O2231" t="s">
        <v>18</v>
      </c>
      <c r="P2231">
        <v>5</v>
      </c>
    </row>
    <row r="2232" spans="1:16" x14ac:dyDescent="0.3">
      <c r="A2232">
        <v>2756</v>
      </c>
      <c r="B2232">
        <v>44321</v>
      </c>
      <c r="C2232">
        <v>35</v>
      </c>
      <c r="D2232">
        <v>31614</v>
      </c>
      <c r="E2232" t="s">
        <v>14</v>
      </c>
      <c r="F2232" t="s">
        <v>22</v>
      </c>
      <c r="G2232" t="s">
        <v>40</v>
      </c>
      <c r="H2232" t="s">
        <v>64</v>
      </c>
      <c r="I2232" t="s">
        <v>9</v>
      </c>
      <c r="J2232" t="s">
        <v>20</v>
      </c>
      <c r="K2232" t="s">
        <v>19</v>
      </c>
      <c r="L2232" t="s">
        <v>12</v>
      </c>
      <c r="M2232" t="s">
        <v>35</v>
      </c>
      <c r="N2232" t="s">
        <v>16</v>
      </c>
      <c r="O2232" t="s">
        <v>18</v>
      </c>
      <c r="P2232">
        <v>3</v>
      </c>
    </row>
    <row r="2233" spans="1:16" x14ac:dyDescent="0.3">
      <c r="A2233">
        <v>2758</v>
      </c>
      <c r="B2233">
        <v>43454</v>
      </c>
      <c r="C2233">
        <v>72</v>
      </c>
      <c r="D2233">
        <v>16845</v>
      </c>
      <c r="E2233" t="s">
        <v>14</v>
      </c>
      <c r="F2233" t="s">
        <v>22</v>
      </c>
      <c r="G2233" t="s">
        <v>40</v>
      </c>
      <c r="H2233" t="s">
        <v>8</v>
      </c>
      <c r="I2233" t="s">
        <v>66</v>
      </c>
      <c r="J2233" t="s">
        <v>20</v>
      </c>
      <c r="K2233" t="s">
        <v>19</v>
      </c>
      <c r="L2233" t="s">
        <v>12</v>
      </c>
      <c r="M2233" t="s">
        <v>59</v>
      </c>
      <c r="N2233" t="s">
        <v>30</v>
      </c>
      <c r="O2233" t="s">
        <v>18</v>
      </c>
      <c r="P2233">
        <v>3</v>
      </c>
    </row>
    <row r="2234" spans="1:16" x14ac:dyDescent="0.3">
      <c r="A2234">
        <v>2759</v>
      </c>
      <c r="B2234">
        <v>43338</v>
      </c>
      <c r="C2234">
        <v>29</v>
      </c>
      <c r="D2234">
        <v>32632</v>
      </c>
      <c r="E2234" t="s">
        <v>14</v>
      </c>
      <c r="F2234" t="s">
        <v>22</v>
      </c>
      <c r="G2234" t="s">
        <v>40</v>
      </c>
      <c r="H2234" t="s">
        <v>8</v>
      </c>
      <c r="I2234" t="s">
        <v>9</v>
      </c>
      <c r="J2234" t="s">
        <v>25</v>
      </c>
      <c r="K2234" t="s">
        <v>26</v>
      </c>
      <c r="L2234" t="s">
        <v>12</v>
      </c>
      <c r="M2234" t="s">
        <v>21</v>
      </c>
      <c r="N2234" t="s">
        <v>16</v>
      </c>
      <c r="O2234" t="s">
        <v>18</v>
      </c>
      <c r="P2234">
        <v>1</v>
      </c>
    </row>
    <row r="2235" spans="1:16" x14ac:dyDescent="0.3">
      <c r="A2235">
        <v>2760</v>
      </c>
      <c r="B2235">
        <v>44171</v>
      </c>
      <c r="C2235">
        <v>51</v>
      </c>
      <c r="D2235">
        <v>25404</v>
      </c>
      <c r="E2235" t="s">
        <v>14</v>
      </c>
      <c r="F2235" t="s">
        <v>22</v>
      </c>
      <c r="G2235" t="s">
        <v>31</v>
      </c>
      <c r="H2235" t="s">
        <v>64</v>
      </c>
      <c r="I2235" t="s">
        <v>9</v>
      </c>
      <c r="J2235" t="s">
        <v>20</v>
      </c>
      <c r="K2235" t="s">
        <v>26</v>
      </c>
      <c r="L2235" t="s">
        <v>12</v>
      </c>
      <c r="M2235" t="s">
        <v>55</v>
      </c>
      <c r="N2235" t="s">
        <v>30</v>
      </c>
      <c r="O2235" t="s">
        <v>18</v>
      </c>
      <c r="P2235">
        <v>1</v>
      </c>
    </row>
    <row r="2236" spans="1:16" x14ac:dyDescent="0.3">
      <c r="A2236">
        <v>2761</v>
      </c>
      <c r="B2236">
        <v>44543</v>
      </c>
      <c r="C2236">
        <v>24</v>
      </c>
      <c r="D2236">
        <v>35468</v>
      </c>
      <c r="E2236" t="s">
        <v>14</v>
      </c>
      <c r="F2236" t="s">
        <v>15</v>
      </c>
      <c r="G2236" t="s">
        <v>34</v>
      </c>
      <c r="H2236" t="s">
        <v>8</v>
      </c>
      <c r="I2236" t="s">
        <v>9</v>
      </c>
      <c r="J2236" t="s">
        <v>10</v>
      </c>
      <c r="K2236" t="s">
        <v>11</v>
      </c>
      <c r="L2236" t="s">
        <v>12</v>
      </c>
      <c r="M2236" t="s">
        <v>59</v>
      </c>
      <c r="N2236" t="s">
        <v>46</v>
      </c>
      <c r="O2236" t="s">
        <v>18</v>
      </c>
      <c r="P2236">
        <v>4</v>
      </c>
    </row>
    <row r="2237" spans="1:16" x14ac:dyDescent="0.3">
      <c r="A2237">
        <v>2762</v>
      </c>
      <c r="B2237">
        <v>44374</v>
      </c>
      <c r="C2237">
        <v>77</v>
      </c>
      <c r="D2237">
        <v>16415</v>
      </c>
      <c r="E2237" t="s">
        <v>14</v>
      </c>
      <c r="F2237" t="s">
        <v>15</v>
      </c>
      <c r="G2237" t="s">
        <v>31</v>
      </c>
      <c r="H2237" t="s">
        <v>64</v>
      </c>
      <c r="I2237" t="s">
        <v>66</v>
      </c>
      <c r="J2237" t="s">
        <v>20</v>
      </c>
      <c r="K2237" t="s">
        <v>19</v>
      </c>
      <c r="L2237" t="s">
        <v>12</v>
      </c>
      <c r="M2237" t="s">
        <v>35</v>
      </c>
      <c r="N2237" t="s">
        <v>46</v>
      </c>
      <c r="O2237" t="s">
        <v>18</v>
      </c>
      <c r="P2237">
        <v>1</v>
      </c>
    </row>
    <row r="2238" spans="1:16" x14ac:dyDescent="0.3">
      <c r="A2238">
        <v>2763</v>
      </c>
      <c r="B2238">
        <v>43757</v>
      </c>
      <c r="C2238">
        <v>28</v>
      </c>
      <c r="D2238">
        <v>33376</v>
      </c>
      <c r="E2238" t="s">
        <v>14</v>
      </c>
      <c r="F2238" t="s">
        <v>15</v>
      </c>
      <c r="G2238" t="s">
        <v>31</v>
      </c>
      <c r="H2238" t="s">
        <v>8</v>
      </c>
      <c r="I2238" t="s">
        <v>9</v>
      </c>
      <c r="J2238" t="s">
        <v>20</v>
      </c>
      <c r="K2238" t="s">
        <v>11</v>
      </c>
      <c r="L2238" t="s">
        <v>12</v>
      </c>
      <c r="M2238" t="s">
        <v>35</v>
      </c>
      <c r="N2238" t="s">
        <v>23</v>
      </c>
      <c r="O2238" t="s">
        <v>18</v>
      </c>
      <c r="P2238">
        <v>2</v>
      </c>
    </row>
    <row r="2239" spans="1:16" x14ac:dyDescent="0.3">
      <c r="A2239">
        <v>2764</v>
      </c>
      <c r="B2239">
        <v>44891</v>
      </c>
      <c r="C2239">
        <v>29</v>
      </c>
      <c r="D2239">
        <v>34052</v>
      </c>
      <c r="E2239" t="s">
        <v>14</v>
      </c>
      <c r="F2239" t="s">
        <v>22</v>
      </c>
      <c r="G2239" t="s">
        <v>31</v>
      </c>
      <c r="H2239" t="s">
        <v>8</v>
      </c>
      <c r="I2239" t="s">
        <v>9</v>
      </c>
      <c r="J2239" t="s">
        <v>20</v>
      </c>
      <c r="K2239" t="s">
        <v>11</v>
      </c>
      <c r="L2239" t="s">
        <v>12</v>
      </c>
      <c r="M2239" t="s">
        <v>42</v>
      </c>
      <c r="N2239" t="s">
        <v>37</v>
      </c>
      <c r="O2239" t="s">
        <v>18</v>
      </c>
      <c r="P2239">
        <v>4</v>
      </c>
    </row>
    <row r="2240" spans="1:16" x14ac:dyDescent="0.3">
      <c r="A2240">
        <v>2765</v>
      </c>
      <c r="B2240">
        <v>43696</v>
      </c>
      <c r="C2240">
        <v>52</v>
      </c>
      <c r="D2240">
        <v>24662</v>
      </c>
      <c r="E2240" t="s">
        <v>14</v>
      </c>
      <c r="F2240" t="s">
        <v>22</v>
      </c>
      <c r="G2240" t="s">
        <v>17</v>
      </c>
      <c r="H2240" t="s">
        <v>8</v>
      </c>
      <c r="I2240" t="s">
        <v>9</v>
      </c>
      <c r="J2240" t="s">
        <v>25</v>
      </c>
      <c r="K2240" t="s">
        <v>11</v>
      </c>
      <c r="L2240" t="s">
        <v>12</v>
      </c>
      <c r="M2240" t="s">
        <v>59</v>
      </c>
      <c r="N2240" t="s">
        <v>37</v>
      </c>
      <c r="O2240" t="s">
        <v>18</v>
      </c>
      <c r="P2240">
        <v>1</v>
      </c>
    </row>
    <row r="2241" spans="1:16" x14ac:dyDescent="0.3">
      <c r="A2241">
        <v>2766</v>
      </c>
      <c r="B2241">
        <v>43334</v>
      </c>
      <c r="C2241">
        <v>61</v>
      </c>
      <c r="D2241">
        <v>20999</v>
      </c>
      <c r="E2241" t="s">
        <v>14</v>
      </c>
      <c r="F2241" t="s">
        <v>15</v>
      </c>
      <c r="G2241" t="s">
        <v>34</v>
      </c>
      <c r="H2241" t="s">
        <v>64</v>
      </c>
      <c r="I2241" t="s">
        <v>66</v>
      </c>
      <c r="J2241" t="s">
        <v>20</v>
      </c>
      <c r="K2241" t="s">
        <v>19</v>
      </c>
      <c r="L2241" t="s">
        <v>12</v>
      </c>
      <c r="M2241" t="s">
        <v>42</v>
      </c>
      <c r="N2241" t="s">
        <v>23</v>
      </c>
      <c r="O2241" t="s">
        <v>18</v>
      </c>
      <c r="P2241">
        <v>5</v>
      </c>
    </row>
    <row r="2242" spans="1:16" x14ac:dyDescent="0.3">
      <c r="A2242">
        <v>2767</v>
      </c>
      <c r="B2242">
        <v>44685</v>
      </c>
      <c r="C2242">
        <v>73</v>
      </c>
      <c r="D2242">
        <v>17913</v>
      </c>
      <c r="E2242" t="s">
        <v>14</v>
      </c>
      <c r="F2242" t="s">
        <v>15</v>
      </c>
      <c r="G2242" t="s">
        <v>40</v>
      </c>
      <c r="H2242" t="s">
        <v>8</v>
      </c>
      <c r="I2242" t="s">
        <v>9</v>
      </c>
      <c r="J2242" t="s">
        <v>25</v>
      </c>
      <c r="K2242" t="s">
        <v>19</v>
      </c>
      <c r="L2242" t="s">
        <v>12</v>
      </c>
      <c r="M2242" t="s">
        <v>35</v>
      </c>
      <c r="N2242" t="s">
        <v>46</v>
      </c>
      <c r="O2242" t="s">
        <v>18</v>
      </c>
      <c r="P2242">
        <v>3</v>
      </c>
    </row>
    <row r="2243" spans="1:16" x14ac:dyDescent="0.3">
      <c r="A2243">
        <v>2768</v>
      </c>
      <c r="B2243">
        <v>44724</v>
      </c>
      <c r="C2243">
        <v>41</v>
      </c>
      <c r="D2243">
        <v>29637</v>
      </c>
      <c r="E2243" t="s">
        <v>14</v>
      </c>
      <c r="F2243" t="s">
        <v>22</v>
      </c>
      <c r="G2243" t="s">
        <v>34</v>
      </c>
      <c r="H2243" t="s">
        <v>8</v>
      </c>
      <c r="I2243" t="s">
        <v>9</v>
      </c>
      <c r="J2243" t="s">
        <v>20</v>
      </c>
      <c r="K2243" t="s">
        <v>26</v>
      </c>
      <c r="L2243" t="s">
        <v>12</v>
      </c>
      <c r="M2243" t="s">
        <v>69</v>
      </c>
      <c r="N2243" t="s">
        <v>46</v>
      </c>
      <c r="O2243" t="s">
        <v>18</v>
      </c>
      <c r="P2243">
        <v>1</v>
      </c>
    </row>
    <row r="2244" spans="1:16" x14ac:dyDescent="0.3">
      <c r="A2244">
        <v>2769</v>
      </c>
      <c r="B2244">
        <v>43412</v>
      </c>
      <c r="C2244">
        <v>68</v>
      </c>
      <c r="D2244">
        <v>18506</v>
      </c>
      <c r="E2244" t="s">
        <v>14</v>
      </c>
      <c r="F2244" t="s">
        <v>22</v>
      </c>
      <c r="G2244" t="s">
        <v>17</v>
      </c>
      <c r="H2244" t="s">
        <v>8</v>
      </c>
      <c r="I2244" t="s">
        <v>9</v>
      </c>
      <c r="J2244" t="s">
        <v>10</v>
      </c>
      <c r="K2244" t="s">
        <v>19</v>
      </c>
      <c r="L2244" t="s">
        <v>12</v>
      </c>
      <c r="M2244" t="s">
        <v>21</v>
      </c>
      <c r="N2244" t="s">
        <v>30</v>
      </c>
      <c r="O2244" t="s">
        <v>18</v>
      </c>
      <c r="P2244">
        <v>1</v>
      </c>
    </row>
    <row r="2245" spans="1:16" x14ac:dyDescent="0.3">
      <c r="A2245">
        <v>2770</v>
      </c>
      <c r="B2245">
        <v>44382</v>
      </c>
      <c r="C2245">
        <v>76</v>
      </c>
      <c r="D2245">
        <v>16760</v>
      </c>
      <c r="E2245" t="s">
        <v>14</v>
      </c>
      <c r="F2245" t="s">
        <v>22</v>
      </c>
      <c r="G2245" t="s">
        <v>40</v>
      </c>
      <c r="H2245" t="s">
        <v>8</v>
      </c>
      <c r="I2245" t="s">
        <v>9</v>
      </c>
      <c r="J2245" t="s">
        <v>20</v>
      </c>
      <c r="K2245" t="s">
        <v>19</v>
      </c>
      <c r="L2245" t="s">
        <v>12</v>
      </c>
      <c r="M2245" t="s">
        <v>35</v>
      </c>
      <c r="N2245" t="s">
        <v>37</v>
      </c>
      <c r="O2245" t="s">
        <v>18</v>
      </c>
      <c r="P2245">
        <v>2</v>
      </c>
    </row>
    <row r="2246" spans="1:16" x14ac:dyDescent="0.3">
      <c r="A2246">
        <v>2771</v>
      </c>
      <c r="B2246">
        <v>44020</v>
      </c>
      <c r="C2246">
        <v>70</v>
      </c>
      <c r="D2246">
        <v>18332</v>
      </c>
      <c r="E2246" t="s">
        <v>14</v>
      </c>
      <c r="F2246" t="s">
        <v>22</v>
      </c>
      <c r="G2246" t="s">
        <v>40</v>
      </c>
      <c r="H2246" t="s">
        <v>8</v>
      </c>
      <c r="I2246" t="s">
        <v>66</v>
      </c>
      <c r="J2246" t="s">
        <v>25</v>
      </c>
      <c r="K2246" t="s">
        <v>19</v>
      </c>
      <c r="L2246" t="s">
        <v>12</v>
      </c>
      <c r="M2246" t="s">
        <v>59</v>
      </c>
      <c r="N2246" t="s">
        <v>30</v>
      </c>
      <c r="O2246" t="s">
        <v>18</v>
      </c>
      <c r="P2246">
        <v>4</v>
      </c>
    </row>
    <row r="2247" spans="1:16" x14ac:dyDescent="0.3">
      <c r="A2247">
        <v>2772</v>
      </c>
      <c r="B2247">
        <v>43903</v>
      </c>
      <c r="C2247">
        <v>47</v>
      </c>
      <c r="D2247">
        <v>26769</v>
      </c>
      <c r="E2247" t="s">
        <v>14</v>
      </c>
      <c r="F2247" t="s">
        <v>22</v>
      </c>
      <c r="G2247" t="s">
        <v>34</v>
      </c>
      <c r="H2247" t="s">
        <v>8</v>
      </c>
      <c r="I2247" t="s">
        <v>9</v>
      </c>
      <c r="J2247" t="s">
        <v>25</v>
      </c>
      <c r="K2247" t="s">
        <v>19</v>
      </c>
      <c r="L2247" t="s">
        <v>12</v>
      </c>
      <c r="M2247" t="s">
        <v>59</v>
      </c>
      <c r="N2247" t="s">
        <v>30</v>
      </c>
      <c r="O2247" t="s">
        <v>18</v>
      </c>
      <c r="P2247">
        <v>4</v>
      </c>
    </row>
    <row r="2248" spans="1:16" x14ac:dyDescent="0.3">
      <c r="A2248">
        <v>2773</v>
      </c>
      <c r="B2248">
        <v>44923</v>
      </c>
      <c r="C2248">
        <v>58</v>
      </c>
      <c r="D2248">
        <v>23548</v>
      </c>
      <c r="E2248" t="s">
        <v>14</v>
      </c>
      <c r="F2248" t="s">
        <v>22</v>
      </c>
      <c r="G2248" t="s">
        <v>17</v>
      </c>
      <c r="H2248" t="s">
        <v>8</v>
      </c>
      <c r="I2248" t="s">
        <v>9</v>
      </c>
      <c r="J2248" t="s">
        <v>25</v>
      </c>
      <c r="K2248" t="s">
        <v>26</v>
      </c>
      <c r="L2248" t="s">
        <v>12</v>
      </c>
      <c r="M2248" t="s">
        <v>49</v>
      </c>
      <c r="N2248" t="s">
        <v>16</v>
      </c>
      <c r="O2248" t="s">
        <v>18</v>
      </c>
      <c r="P2248">
        <v>5</v>
      </c>
    </row>
    <row r="2249" spans="1:16" x14ac:dyDescent="0.3">
      <c r="A2249">
        <v>2774</v>
      </c>
      <c r="B2249">
        <v>43907</v>
      </c>
      <c r="C2249">
        <v>27</v>
      </c>
      <c r="D2249">
        <v>34125</v>
      </c>
      <c r="E2249" t="s">
        <v>14</v>
      </c>
      <c r="F2249" t="s">
        <v>22</v>
      </c>
      <c r="G2249" t="s">
        <v>40</v>
      </c>
      <c r="H2249" t="s">
        <v>8</v>
      </c>
      <c r="I2249" t="s">
        <v>9</v>
      </c>
      <c r="J2249" t="s">
        <v>25</v>
      </c>
      <c r="K2249" t="s">
        <v>26</v>
      </c>
      <c r="L2249" t="s">
        <v>12</v>
      </c>
      <c r="M2249" t="s">
        <v>35</v>
      </c>
      <c r="N2249" t="s">
        <v>30</v>
      </c>
      <c r="O2249" t="s">
        <v>18</v>
      </c>
      <c r="P2249">
        <v>5</v>
      </c>
    </row>
    <row r="2250" spans="1:16" x14ac:dyDescent="0.3">
      <c r="A2250">
        <v>2775</v>
      </c>
      <c r="B2250">
        <v>44933</v>
      </c>
      <c r="C2250">
        <v>57</v>
      </c>
      <c r="D2250">
        <v>24157</v>
      </c>
      <c r="E2250" t="s">
        <v>14</v>
      </c>
      <c r="F2250" t="s">
        <v>15</v>
      </c>
      <c r="G2250" t="s">
        <v>31</v>
      </c>
      <c r="H2250" t="s">
        <v>8</v>
      </c>
      <c r="I2250" t="s">
        <v>9</v>
      </c>
      <c r="J2250" t="s">
        <v>20</v>
      </c>
      <c r="K2250" t="s">
        <v>26</v>
      </c>
      <c r="L2250" t="s">
        <v>12</v>
      </c>
      <c r="M2250" t="s">
        <v>35</v>
      </c>
      <c r="N2250" t="s">
        <v>16</v>
      </c>
      <c r="O2250" t="s">
        <v>18</v>
      </c>
      <c r="P2250">
        <v>4</v>
      </c>
    </row>
    <row r="2251" spans="1:16" x14ac:dyDescent="0.3">
      <c r="A2251">
        <v>2776</v>
      </c>
      <c r="B2251">
        <v>44552</v>
      </c>
      <c r="C2251">
        <v>46</v>
      </c>
      <c r="D2251">
        <v>27431</v>
      </c>
      <c r="E2251" t="s">
        <v>14</v>
      </c>
      <c r="F2251" t="s">
        <v>22</v>
      </c>
      <c r="G2251" t="s">
        <v>31</v>
      </c>
      <c r="H2251" t="s">
        <v>8</v>
      </c>
      <c r="I2251" t="s">
        <v>9</v>
      </c>
      <c r="J2251" t="s">
        <v>25</v>
      </c>
      <c r="K2251" t="s">
        <v>26</v>
      </c>
      <c r="L2251" t="s">
        <v>12</v>
      </c>
      <c r="M2251" t="s">
        <v>38</v>
      </c>
      <c r="N2251" t="s">
        <v>16</v>
      </c>
      <c r="O2251" t="s">
        <v>18</v>
      </c>
      <c r="P2251">
        <v>3</v>
      </c>
    </row>
    <row r="2252" spans="1:16" x14ac:dyDescent="0.3">
      <c r="A2252">
        <v>2777</v>
      </c>
      <c r="B2252">
        <v>43950</v>
      </c>
      <c r="C2252">
        <v>76</v>
      </c>
      <c r="D2252">
        <v>16284</v>
      </c>
      <c r="E2252" t="s">
        <v>14</v>
      </c>
      <c r="F2252" t="s">
        <v>22</v>
      </c>
      <c r="G2252" t="s">
        <v>31</v>
      </c>
      <c r="H2252" t="s">
        <v>8</v>
      </c>
      <c r="I2252" t="s">
        <v>9</v>
      </c>
      <c r="J2252" t="s">
        <v>20</v>
      </c>
      <c r="K2252" t="s">
        <v>26</v>
      </c>
      <c r="L2252" t="s">
        <v>12</v>
      </c>
      <c r="M2252" t="s">
        <v>32</v>
      </c>
      <c r="N2252" t="s">
        <v>23</v>
      </c>
      <c r="O2252" t="s">
        <v>18</v>
      </c>
      <c r="P2252">
        <v>1</v>
      </c>
    </row>
    <row r="2253" spans="1:16" x14ac:dyDescent="0.3">
      <c r="A2253">
        <v>2778</v>
      </c>
      <c r="B2253">
        <v>44167</v>
      </c>
      <c r="C2253">
        <v>65</v>
      </c>
      <c r="D2253">
        <v>20148</v>
      </c>
      <c r="E2253" t="s">
        <v>14</v>
      </c>
      <c r="F2253" t="s">
        <v>22</v>
      </c>
      <c r="G2253" t="s">
        <v>40</v>
      </c>
      <c r="H2253" t="s">
        <v>8</v>
      </c>
      <c r="I2253" t="s">
        <v>9</v>
      </c>
      <c r="J2253" t="s">
        <v>20</v>
      </c>
      <c r="K2253" t="s">
        <v>11</v>
      </c>
      <c r="L2253" t="s">
        <v>12</v>
      </c>
      <c r="M2253" t="s">
        <v>61</v>
      </c>
      <c r="N2253" t="s">
        <v>46</v>
      </c>
      <c r="O2253" t="s">
        <v>18</v>
      </c>
      <c r="P2253">
        <v>1</v>
      </c>
    </row>
    <row r="2254" spans="1:16" x14ac:dyDescent="0.3">
      <c r="A2254">
        <v>2779</v>
      </c>
      <c r="B2254">
        <v>44538</v>
      </c>
      <c r="C2254">
        <v>64</v>
      </c>
      <c r="D2254">
        <v>21017</v>
      </c>
      <c r="E2254" t="s">
        <v>14</v>
      </c>
      <c r="F2254" t="s">
        <v>22</v>
      </c>
      <c r="G2254" t="s">
        <v>34</v>
      </c>
      <c r="H2254" t="s">
        <v>8</v>
      </c>
      <c r="I2254" t="s">
        <v>9</v>
      </c>
      <c r="J2254" t="s">
        <v>10</v>
      </c>
      <c r="K2254" t="s">
        <v>19</v>
      </c>
      <c r="L2254" t="s">
        <v>12</v>
      </c>
      <c r="M2254" t="s">
        <v>35</v>
      </c>
      <c r="N2254" t="s">
        <v>23</v>
      </c>
      <c r="O2254" t="s">
        <v>18</v>
      </c>
      <c r="P2254">
        <v>1</v>
      </c>
    </row>
    <row r="2255" spans="1:16" x14ac:dyDescent="0.3">
      <c r="A2255">
        <v>2780</v>
      </c>
      <c r="B2255">
        <v>44664</v>
      </c>
      <c r="C2255">
        <v>71</v>
      </c>
      <c r="D2255">
        <v>18744</v>
      </c>
      <c r="E2255" t="s">
        <v>14</v>
      </c>
      <c r="F2255" t="s">
        <v>22</v>
      </c>
      <c r="G2255" t="s">
        <v>34</v>
      </c>
      <c r="H2255" t="s">
        <v>8</v>
      </c>
      <c r="I2255" t="s">
        <v>9</v>
      </c>
      <c r="J2255" t="s">
        <v>10</v>
      </c>
      <c r="K2255" t="s">
        <v>26</v>
      </c>
      <c r="L2255" t="s">
        <v>12</v>
      </c>
      <c r="M2255" t="s">
        <v>32</v>
      </c>
      <c r="N2255" t="s">
        <v>16</v>
      </c>
      <c r="O2255" t="s">
        <v>18</v>
      </c>
      <c r="P2255">
        <v>5</v>
      </c>
    </row>
    <row r="2256" spans="1:16" x14ac:dyDescent="0.3">
      <c r="A2256">
        <v>2781</v>
      </c>
      <c r="B2256">
        <v>44188</v>
      </c>
      <c r="C2256">
        <v>51</v>
      </c>
      <c r="D2256">
        <v>25498</v>
      </c>
      <c r="E2256" t="s">
        <v>14</v>
      </c>
      <c r="F2256" t="s">
        <v>22</v>
      </c>
      <c r="G2256" t="s">
        <v>40</v>
      </c>
      <c r="H2256" t="s">
        <v>8</v>
      </c>
      <c r="I2256" t="s">
        <v>66</v>
      </c>
      <c r="J2256" t="s">
        <v>10</v>
      </c>
      <c r="K2256" t="s">
        <v>19</v>
      </c>
      <c r="L2256" t="s">
        <v>12</v>
      </c>
      <c r="M2256" t="s">
        <v>35</v>
      </c>
      <c r="N2256" t="s">
        <v>46</v>
      </c>
      <c r="O2256" t="s">
        <v>18</v>
      </c>
      <c r="P2256">
        <v>2</v>
      </c>
    </row>
    <row r="2257" spans="1:16" x14ac:dyDescent="0.3">
      <c r="A2257">
        <v>2782</v>
      </c>
      <c r="B2257">
        <v>43555</v>
      </c>
      <c r="C2257">
        <v>32</v>
      </c>
      <c r="D2257">
        <v>31946</v>
      </c>
      <c r="E2257" t="s">
        <v>14</v>
      </c>
      <c r="F2257" t="s">
        <v>15</v>
      </c>
      <c r="G2257" t="s">
        <v>31</v>
      </c>
      <c r="H2257" t="s">
        <v>8</v>
      </c>
      <c r="I2257" t="s">
        <v>9</v>
      </c>
      <c r="J2257" t="s">
        <v>25</v>
      </c>
      <c r="K2257" t="s">
        <v>11</v>
      </c>
      <c r="L2257" t="s">
        <v>12</v>
      </c>
      <c r="M2257" t="s">
        <v>32</v>
      </c>
      <c r="N2257" t="s">
        <v>37</v>
      </c>
      <c r="O2257" t="s">
        <v>18</v>
      </c>
      <c r="P2257">
        <v>5</v>
      </c>
    </row>
    <row r="2258" spans="1:16" x14ac:dyDescent="0.3">
      <c r="A2258">
        <v>2783</v>
      </c>
      <c r="B2258">
        <v>45088</v>
      </c>
      <c r="C2258">
        <v>46</v>
      </c>
      <c r="D2258">
        <v>28419</v>
      </c>
      <c r="E2258" t="s">
        <v>14</v>
      </c>
      <c r="F2258" t="s">
        <v>22</v>
      </c>
      <c r="G2258" t="s">
        <v>34</v>
      </c>
      <c r="H2258" t="s">
        <v>64</v>
      </c>
      <c r="I2258" t="s">
        <v>9</v>
      </c>
      <c r="J2258" t="s">
        <v>20</v>
      </c>
      <c r="K2258" t="s">
        <v>19</v>
      </c>
      <c r="L2258" t="s">
        <v>12</v>
      </c>
      <c r="M2258" t="s">
        <v>59</v>
      </c>
      <c r="N2258" t="s">
        <v>16</v>
      </c>
      <c r="O2258" t="s">
        <v>18</v>
      </c>
      <c r="P2258">
        <v>1</v>
      </c>
    </row>
    <row r="2259" spans="1:16" x14ac:dyDescent="0.3">
      <c r="A2259">
        <v>2784</v>
      </c>
      <c r="B2259">
        <v>44336</v>
      </c>
      <c r="C2259">
        <v>40</v>
      </c>
      <c r="D2259">
        <v>29653</v>
      </c>
      <c r="E2259" t="s">
        <v>14</v>
      </c>
      <c r="F2259" t="s">
        <v>22</v>
      </c>
      <c r="G2259" t="s">
        <v>40</v>
      </c>
      <c r="H2259" t="s">
        <v>64</v>
      </c>
      <c r="I2259" t="s">
        <v>9</v>
      </c>
      <c r="J2259" t="s">
        <v>10</v>
      </c>
      <c r="K2259" t="s">
        <v>26</v>
      </c>
      <c r="L2259" t="s">
        <v>12</v>
      </c>
      <c r="M2259" t="s">
        <v>35</v>
      </c>
      <c r="N2259" t="s">
        <v>16</v>
      </c>
      <c r="O2259" t="s">
        <v>18</v>
      </c>
      <c r="P2259">
        <v>3</v>
      </c>
    </row>
    <row r="2260" spans="1:16" x14ac:dyDescent="0.3">
      <c r="A2260">
        <v>2785</v>
      </c>
      <c r="B2260">
        <v>44149</v>
      </c>
      <c r="C2260">
        <v>53</v>
      </c>
      <c r="D2260">
        <v>24659</v>
      </c>
      <c r="E2260" t="s">
        <v>14</v>
      </c>
      <c r="F2260" t="s">
        <v>22</v>
      </c>
      <c r="G2260" t="s">
        <v>17</v>
      </c>
      <c r="H2260" t="s">
        <v>64</v>
      </c>
      <c r="I2260" t="s">
        <v>9</v>
      </c>
      <c r="J2260" t="s">
        <v>25</v>
      </c>
      <c r="K2260" t="s">
        <v>11</v>
      </c>
      <c r="L2260" t="s">
        <v>12</v>
      </c>
      <c r="M2260" t="s">
        <v>35</v>
      </c>
      <c r="N2260" t="s">
        <v>23</v>
      </c>
      <c r="O2260" t="s">
        <v>18</v>
      </c>
      <c r="P2260">
        <v>1</v>
      </c>
    </row>
    <row r="2261" spans="1:16" x14ac:dyDescent="0.3">
      <c r="A2261">
        <v>2786</v>
      </c>
      <c r="B2261">
        <v>43463</v>
      </c>
      <c r="C2261">
        <v>18</v>
      </c>
      <c r="D2261">
        <v>36720</v>
      </c>
      <c r="E2261" t="s">
        <v>14</v>
      </c>
      <c r="F2261" t="s">
        <v>15</v>
      </c>
      <c r="G2261" t="s">
        <v>17</v>
      </c>
      <c r="H2261" t="s">
        <v>64</v>
      </c>
      <c r="I2261" t="s">
        <v>9</v>
      </c>
      <c r="J2261" t="s">
        <v>10</v>
      </c>
      <c r="K2261" t="s">
        <v>19</v>
      </c>
      <c r="L2261" t="s">
        <v>12</v>
      </c>
      <c r="M2261" t="s">
        <v>35</v>
      </c>
      <c r="N2261" t="s">
        <v>46</v>
      </c>
      <c r="O2261" t="s">
        <v>18</v>
      </c>
      <c r="P2261">
        <v>3</v>
      </c>
    </row>
    <row r="2262" spans="1:16" x14ac:dyDescent="0.3">
      <c r="A2262">
        <v>2787</v>
      </c>
      <c r="B2262">
        <v>44308</v>
      </c>
      <c r="C2262">
        <v>73</v>
      </c>
      <c r="D2262">
        <v>17877</v>
      </c>
      <c r="E2262" t="s">
        <v>14</v>
      </c>
      <c r="F2262" t="s">
        <v>15</v>
      </c>
      <c r="G2262" t="s">
        <v>40</v>
      </c>
      <c r="H2262" t="s">
        <v>64</v>
      </c>
      <c r="I2262" t="s">
        <v>9</v>
      </c>
      <c r="J2262" t="s">
        <v>10</v>
      </c>
      <c r="K2262" t="s">
        <v>19</v>
      </c>
      <c r="L2262" t="s">
        <v>12</v>
      </c>
      <c r="M2262" t="s">
        <v>44</v>
      </c>
      <c r="N2262" t="s">
        <v>16</v>
      </c>
      <c r="O2262" t="s">
        <v>18</v>
      </c>
      <c r="P2262">
        <v>2</v>
      </c>
    </row>
    <row r="2263" spans="1:16" x14ac:dyDescent="0.3">
      <c r="A2263">
        <v>2788</v>
      </c>
      <c r="B2263">
        <v>45080</v>
      </c>
      <c r="C2263">
        <v>74</v>
      </c>
      <c r="D2263">
        <v>17936</v>
      </c>
      <c r="E2263" t="s">
        <v>14</v>
      </c>
      <c r="F2263" t="s">
        <v>15</v>
      </c>
      <c r="G2263" t="s">
        <v>17</v>
      </c>
      <c r="H2263" t="s">
        <v>64</v>
      </c>
      <c r="I2263" t="s">
        <v>66</v>
      </c>
      <c r="J2263" t="s">
        <v>10</v>
      </c>
      <c r="K2263" t="s">
        <v>11</v>
      </c>
      <c r="L2263" t="s">
        <v>12</v>
      </c>
      <c r="M2263" t="s">
        <v>54</v>
      </c>
      <c r="N2263" t="s">
        <v>37</v>
      </c>
      <c r="O2263" t="s">
        <v>18</v>
      </c>
      <c r="P2263">
        <v>1</v>
      </c>
    </row>
    <row r="2264" spans="1:16" x14ac:dyDescent="0.3">
      <c r="A2264">
        <v>2789</v>
      </c>
      <c r="B2264">
        <v>44312</v>
      </c>
      <c r="C2264">
        <v>79</v>
      </c>
      <c r="D2264">
        <v>15496</v>
      </c>
      <c r="E2264" t="s">
        <v>14</v>
      </c>
      <c r="F2264" t="s">
        <v>22</v>
      </c>
      <c r="G2264" t="s">
        <v>40</v>
      </c>
      <c r="H2264" t="s">
        <v>8</v>
      </c>
      <c r="I2264" t="s">
        <v>9</v>
      </c>
      <c r="J2264" t="s">
        <v>10</v>
      </c>
      <c r="K2264" t="s">
        <v>26</v>
      </c>
      <c r="L2264" t="s">
        <v>12</v>
      </c>
      <c r="M2264" t="s">
        <v>61</v>
      </c>
      <c r="N2264" t="s">
        <v>46</v>
      </c>
      <c r="O2264" t="s">
        <v>18</v>
      </c>
      <c r="P2264">
        <v>2</v>
      </c>
    </row>
    <row r="2265" spans="1:16" x14ac:dyDescent="0.3">
      <c r="A2265">
        <v>2790</v>
      </c>
      <c r="B2265">
        <v>43585</v>
      </c>
      <c r="C2265">
        <v>60</v>
      </c>
      <c r="D2265">
        <v>21770</v>
      </c>
      <c r="E2265" t="s">
        <v>14</v>
      </c>
      <c r="F2265" t="s">
        <v>22</v>
      </c>
      <c r="G2265" t="s">
        <v>17</v>
      </c>
      <c r="H2265" t="s">
        <v>8</v>
      </c>
      <c r="I2265" t="s">
        <v>9</v>
      </c>
      <c r="J2265" t="s">
        <v>10</v>
      </c>
      <c r="K2265" t="s">
        <v>26</v>
      </c>
      <c r="L2265" t="s">
        <v>12</v>
      </c>
      <c r="M2265" t="s">
        <v>60</v>
      </c>
      <c r="N2265" t="s">
        <v>23</v>
      </c>
      <c r="O2265" t="s">
        <v>18</v>
      </c>
      <c r="P2265">
        <v>5</v>
      </c>
    </row>
    <row r="2266" spans="1:16" x14ac:dyDescent="0.3">
      <c r="A2266">
        <v>2791</v>
      </c>
      <c r="B2266">
        <v>44381</v>
      </c>
      <c r="C2266">
        <v>75</v>
      </c>
      <c r="D2266">
        <v>17103</v>
      </c>
      <c r="E2266" t="s">
        <v>14</v>
      </c>
      <c r="F2266" t="s">
        <v>22</v>
      </c>
      <c r="G2266" t="s">
        <v>17</v>
      </c>
      <c r="H2266" t="s">
        <v>8</v>
      </c>
      <c r="I2266" t="s">
        <v>9</v>
      </c>
      <c r="J2266" t="s">
        <v>10</v>
      </c>
      <c r="K2266" t="s">
        <v>26</v>
      </c>
      <c r="L2266" t="s">
        <v>12</v>
      </c>
      <c r="M2266" t="s">
        <v>35</v>
      </c>
      <c r="N2266" t="s">
        <v>16</v>
      </c>
      <c r="O2266" t="s">
        <v>18</v>
      </c>
      <c r="P2266">
        <v>3</v>
      </c>
    </row>
    <row r="2267" spans="1:16" x14ac:dyDescent="0.3">
      <c r="A2267">
        <v>2792</v>
      </c>
      <c r="B2267">
        <v>44981</v>
      </c>
      <c r="C2267">
        <v>70</v>
      </c>
      <c r="D2267">
        <v>19489</v>
      </c>
      <c r="E2267" t="s">
        <v>14</v>
      </c>
      <c r="F2267" t="s">
        <v>22</v>
      </c>
      <c r="G2267" t="s">
        <v>31</v>
      </c>
      <c r="H2267" t="s">
        <v>8</v>
      </c>
      <c r="I2267" t="s">
        <v>9</v>
      </c>
      <c r="J2267" t="s">
        <v>20</v>
      </c>
      <c r="K2267" t="s">
        <v>19</v>
      </c>
      <c r="L2267" t="s">
        <v>12</v>
      </c>
      <c r="M2267" t="s">
        <v>42</v>
      </c>
      <c r="N2267" t="s">
        <v>37</v>
      </c>
      <c r="O2267" t="s">
        <v>18</v>
      </c>
      <c r="P2267">
        <v>4</v>
      </c>
    </row>
    <row r="2268" spans="1:16" x14ac:dyDescent="0.3">
      <c r="A2268">
        <v>2793</v>
      </c>
      <c r="B2268">
        <v>44257</v>
      </c>
      <c r="C2268">
        <v>40</v>
      </c>
      <c r="D2268">
        <v>29817</v>
      </c>
      <c r="E2268" t="s">
        <v>14</v>
      </c>
      <c r="F2268" t="s">
        <v>22</v>
      </c>
      <c r="G2268" t="s">
        <v>40</v>
      </c>
      <c r="H2268" t="s">
        <v>8</v>
      </c>
      <c r="I2268" t="s">
        <v>9</v>
      </c>
      <c r="J2268" t="s">
        <v>25</v>
      </c>
      <c r="K2268" t="s">
        <v>19</v>
      </c>
      <c r="L2268" t="s">
        <v>12</v>
      </c>
      <c r="M2268" t="s">
        <v>63</v>
      </c>
      <c r="N2268" t="s">
        <v>37</v>
      </c>
      <c r="O2268" t="s">
        <v>18</v>
      </c>
      <c r="P2268">
        <v>5</v>
      </c>
    </row>
    <row r="2269" spans="1:16" x14ac:dyDescent="0.3">
      <c r="A2269">
        <v>2794</v>
      </c>
      <c r="B2269">
        <v>44557</v>
      </c>
      <c r="C2269">
        <v>45</v>
      </c>
      <c r="D2269">
        <v>27896</v>
      </c>
      <c r="E2269" t="s">
        <v>14</v>
      </c>
      <c r="F2269" t="s">
        <v>22</v>
      </c>
      <c r="G2269" t="s">
        <v>31</v>
      </c>
      <c r="H2269" t="s">
        <v>8</v>
      </c>
      <c r="I2269" t="s">
        <v>9</v>
      </c>
      <c r="J2269" t="s">
        <v>10</v>
      </c>
      <c r="K2269" t="s">
        <v>26</v>
      </c>
      <c r="L2269" t="s">
        <v>12</v>
      </c>
      <c r="M2269" t="s">
        <v>35</v>
      </c>
      <c r="N2269" t="s">
        <v>23</v>
      </c>
      <c r="O2269" t="s">
        <v>18</v>
      </c>
      <c r="P2269">
        <v>4</v>
      </c>
    </row>
    <row r="2270" spans="1:16" x14ac:dyDescent="0.3">
      <c r="A2270">
        <v>2795</v>
      </c>
      <c r="B2270">
        <v>44752</v>
      </c>
      <c r="C2270">
        <v>73</v>
      </c>
      <c r="D2270">
        <v>17924</v>
      </c>
      <c r="E2270" t="s">
        <v>14</v>
      </c>
      <c r="F2270" t="s">
        <v>15</v>
      </c>
      <c r="G2270" t="s">
        <v>31</v>
      </c>
      <c r="H2270" t="s">
        <v>8</v>
      </c>
      <c r="I2270" t="s">
        <v>9</v>
      </c>
      <c r="J2270" t="s">
        <v>20</v>
      </c>
      <c r="K2270" t="s">
        <v>11</v>
      </c>
      <c r="L2270" t="s">
        <v>12</v>
      </c>
      <c r="M2270" t="s">
        <v>38</v>
      </c>
      <c r="N2270" t="s">
        <v>46</v>
      </c>
      <c r="O2270" t="s">
        <v>18</v>
      </c>
      <c r="P2270">
        <v>1</v>
      </c>
    </row>
    <row r="2271" spans="1:16" x14ac:dyDescent="0.3">
      <c r="A2271">
        <v>2796</v>
      </c>
      <c r="B2271">
        <v>44823</v>
      </c>
      <c r="C2271">
        <v>31</v>
      </c>
      <c r="D2271">
        <v>33482</v>
      </c>
      <c r="E2271" t="s">
        <v>14</v>
      </c>
      <c r="F2271" t="s">
        <v>15</v>
      </c>
      <c r="G2271" t="s">
        <v>34</v>
      </c>
      <c r="H2271" t="s">
        <v>8</v>
      </c>
      <c r="I2271" t="s">
        <v>9</v>
      </c>
      <c r="J2271" t="s">
        <v>10</v>
      </c>
      <c r="K2271" t="s">
        <v>19</v>
      </c>
      <c r="L2271" t="s">
        <v>12</v>
      </c>
      <c r="M2271" t="s">
        <v>42</v>
      </c>
      <c r="N2271" t="s">
        <v>46</v>
      </c>
      <c r="O2271" t="s">
        <v>18</v>
      </c>
      <c r="P2271">
        <v>4</v>
      </c>
    </row>
    <row r="2272" spans="1:16" x14ac:dyDescent="0.3">
      <c r="A2272">
        <v>2797</v>
      </c>
      <c r="B2272">
        <v>44346</v>
      </c>
      <c r="C2272">
        <v>57</v>
      </c>
      <c r="D2272">
        <v>23694</v>
      </c>
      <c r="E2272" t="s">
        <v>14</v>
      </c>
      <c r="F2272" t="s">
        <v>22</v>
      </c>
      <c r="G2272" t="s">
        <v>34</v>
      </c>
      <c r="H2272" t="s">
        <v>8</v>
      </c>
      <c r="I2272" t="s">
        <v>9</v>
      </c>
      <c r="J2272" t="s">
        <v>10</v>
      </c>
      <c r="K2272" t="s">
        <v>19</v>
      </c>
      <c r="L2272" t="s">
        <v>12</v>
      </c>
      <c r="M2272" t="s">
        <v>21</v>
      </c>
      <c r="N2272" t="s">
        <v>30</v>
      </c>
      <c r="O2272" t="s">
        <v>41</v>
      </c>
      <c r="P2272">
        <v>1</v>
      </c>
    </row>
    <row r="2273" spans="1:16" x14ac:dyDescent="0.3">
      <c r="A2273">
        <v>2798</v>
      </c>
      <c r="B2273">
        <v>43928</v>
      </c>
      <c r="C2273">
        <v>51</v>
      </c>
      <c r="D2273">
        <v>25340</v>
      </c>
      <c r="E2273" t="s">
        <v>14</v>
      </c>
      <c r="F2273" t="s">
        <v>22</v>
      </c>
      <c r="G2273" t="s">
        <v>40</v>
      </c>
      <c r="H2273" t="s">
        <v>8</v>
      </c>
      <c r="I2273" t="s">
        <v>9</v>
      </c>
      <c r="J2273" t="s">
        <v>10</v>
      </c>
      <c r="K2273" t="s">
        <v>19</v>
      </c>
      <c r="L2273" t="s">
        <v>12</v>
      </c>
      <c r="M2273" t="s">
        <v>42</v>
      </c>
      <c r="N2273" t="s">
        <v>46</v>
      </c>
      <c r="O2273" t="s">
        <v>18</v>
      </c>
      <c r="P2273">
        <v>4</v>
      </c>
    </row>
    <row r="2274" spans="1:16" x14ac:dyDescent="0.3">
      <c r="A2274">
        <v>2799</v>
      </c>
      <c r="B2274">
        <v>44306</v>
      </c>
      <c r="C2274">
        <v>33</v>
      </c>
      <c r="D2274">
        <v>32194</v>
      </c>
      <c r="E2274" t="s">
        <v>14</v>
      </c>
      <c r="F2274" t="s">
        <v>22</v>
      </c>
      <c r="G2274" t="s">
        <v>40</v>
      </c>
      <c r="H2274" t="s">
        <v>8</v>
      </c>
      <c r="I2274" t="s">
        <v>9</v>
      </c>
      <c r="J2274" t="s">
        <v>20</v>
      </c>
      <c r="K2274" t="s">
        <v>19</v>
      </c>
      <c r="L2274" t="s">
        <v>12</v>
      </c>
      <c r="M2274" t="s">
        <v>42</v>
      </c>
      <c r="N2274" t="s">
        <v>16</v>
      </c>
      <c r="O2274" t="s">
        <v>18</v>
      </c>
      <c r="P2274">
        <v>1</v>
      </c>
    </row>
    <row r="2275" spans="1:16" x14ac:dyDescent="0.3">
      <c r="A2275">
        <v>2800</v>
      </c>
      <c r="B2275">
        <v>43679</v>
      </c>
      <c r="C2275">
        <v>71</v>
      </c>
      <c r="D2275">
        <v>17724</v>
      </c>
      <c r="E2275" t="s">
        <v>14</v>
      </c>
      <c r="F2275" t="s">
        <v>22</v>
      </c>
      <c r="G2275" t="s">
        <v>34</v>
      </c>
      <c r="H2275" t="s">
        <v>8</v>
      </c>
      <c r="I2275" t="s">
        <v>9</v>
      </c>
      <c r="J2275" t="s">
        <v>10</v>
      </c>
      <c r="K2275" t="s">
        <v>26</v>
      </c>
      <c r="L2275" t="s">
        <v>12</v>
      </c>
      <c r="M2275" t="s">
        <v>32</v>
      </c>
      <c r="N2275" t="s">
        <v>37</v>
      </c>
      <c r="O2275" t="s">
        <v>18</v>
      </c>
      <c r="P2275">
        <v>2</v>
      </c>
    </row>
    <row r="2276" spans="1:16" x14ac:dyDescent="0.3">
      <c r="A2276">
        <v>2801</v>
      </c>
      <c r="B2276">
        <v>44572</v>
      </c>
      <c r="C2276">
        <v>27</v>
      </c>
      <c r="D2276">
        <v>34970</v>
      </c>
      <c r="E2276" t="s">
        <v>14</v>
      </c>
      <c r="F2276" t="s">
        <v>22</v>
      </c>
      <c r="G2276" t="s">
        <v>40</v>
      </c>
      <c r="H2276" t="s">
        <v>8</v>
      </c>
      <c r="I2276" t="s">
        <v>9</v>
      </c>
      <c r="J2276" t="s">
        <v>25</v>
      </c>
      <c r="K2276" t="s">
        <v>11</v>
      </c>
      <c r="L2276" t="s">
        <v>12</v>
      </c>
      <c r="M2276" t="s">
        <v>35</v>
      </c>
      <c r="N2276" t="s">
        <v>16</v>
      </c>
      <c r="O2276" t="s">
        <v>18</v>
      </c>
      <c r="P2276">
        <v>3</v>
      </c>
    </row>
    <row r="2277" spans="1:16" x14ac:dyDescent="0.3">
      <c r="A2277">
        <v>2802</v>
      </c>
      <c r="B2277">
        <v>44150</v>
      </c>
      <c r="C2277">
        <v>43</v>
      </c>
      <c r="D2277">
        <v>28348</v>
      </c>
      <c r="E2277" t="s">
        <v>14</v>
      </c>
      <c r="F2277" t="s">
        <v>15</v>
      </c>
      <c r="G2277" t="s">
        <v>34</v>
      </c>
      <c r="H2277" t="s">
        <v>8</v>
      </c>
      <c r="I2277" t="s">
        <v>9</v>
      </c>
      <c r="J2277" t="s">
        <v>10</v>
      </c>
      <c r="K2277" t="s">
        <v>11</v>
      </c>
      <c r="L2277" t="s">
        <v>12</v>
      </c>
      <c r="M2277" t="s">
        <v>32</v>
      </c>
      <c r="N2277" t="s">
        <v>16</v>
      </c>
      <c r="O2277" t="s">
        <v>18</v>
      </c>
      <c r="P2277">
        <v>3</v>
      </c>
    </row>
    <row r="2278" spans="1:16" x14ac:dyDescent="0.3">
      <c r="A2278">
        <v>2803</v>
      </c>
      <c r="B2278">
        <v>43959</v>
      </c>
      <c r="C2278">
        <v>55</v>
      </c>
      <c r="D2278">
        <v>23988</v>
      </c>
      <c r="E2278" t="s">
        <v>14</v>
      </c>
      <c r="F2278" t="s">
        <v>15</v>
      </c>
      <c r="G2278" t="s">
        <v>34</v>
      </c>
      <c r="H2278" t="s">
        <v>8</v>
      </c>
      <c r="I2278" t="s">
        <v>9</v>
      </c>
      <c r="J2278" t="s">
        <v>20</v>
      </c>
      <c r="K2278" t="s">
        <v>26</v>
      </c>
      <c r="L2278" t="s">
        <v>12</v>
      </c>
      <c r="M2278" t="s">
        <v>32</v>
      </c>
      <c r="N2278" t="s">
        <v>46</v>
      </c>
      <c r="O2278" t="s">
        <v>18</v>
      </c>
      <c r="P2278">
        <v>4</v>
      </c>
    </row>
    <row r="2279" spans="1:16" x14ac:dyDescent="0.3">
      <c r="A2279">
        <v>2804</v>
      </c>
      <c r="B2279">
        <v>43534</v>
      </c>
      <c r="C2279">
        <v>66</v>
      </c>
      <c r="D2279">
        <v>19419</v>
      </c>
      <c r="E2279" t="s">
        <v>14</v>
      </c>
      <c r="F2279" t="s">
        <v>22</v>
      </c>
      <c r="G2279" t="s">
        <v>34</v>
      </c>
      <c r="H2279" t="s">
        <v>64</v>
      </c>
      <c r="I2279" t="s">
        <v>9</v>
      </c>
      <c r="J2279" t="s">
        <v>20</v>
      </c>
      <c r="K2279" t="s">
        <v>26</v>
      </c>
      <c r="L2279" t="s">
        <v>12</v>
      </c>
      <c r="M2279" t="s">
        <v>54</v>
      </c>
      <c r="N2279" t="s">
        <v>23</v>
      </c>
      <c r="O2279" t="s">
        <v>18</v>
      </c>
      <c r="P2279">
        <v>4</v>
      </c>
    </row>
    <row r="2280" spans="1:16" x14ac:dyDescent="0.3">
      <c r="A2280">
        <v>2805</v>
      </c>
      <c r="B2280">
        <v>44670</v>
      </c>
      <c r="C2280">
        <v>34</v>
      </c>
      <c r="D2280">
        <v>32354</v>
      </c>
      <c r="E2280" t="s">
        <v>14</v>
      </c>
      <c r="F2280" t="s">
        <v>22</v>
      </c>
      <c r="G2280" t="s">
        <v>17</v>
      </c>
      <c r="H2280" t="s">
        <v>64</v>
      </c>
      <c r="I2280" t="s">
        <v>9</v>
      </c>
      <c r="J2280" t="s">
        <v>25</v>
      </c>
      <c r="K2280" t="s">
        <v>11</v>
      </c>
      <c r="L2280" t="s">
        <v>12</v>
      </c>
      <c r="M2280" t="s">
        <v>35</v>
      </c>
      <c r="N2280" t="s">
        <v>16</v>
      </c>
      <c r="O2280" t="s">
        <v>18</v>
      </c>
      <c r="P2280">
        <v>3</v>
      </c>
    </row>
    <row r="2281" spans="1:16" x14ac:dyDescent="0.3">
      <c r="A2281">
        <v>2806</v>
      </c>
      <c r="B2281">
        <v>43799</v>
      </c>
      <c r="C2281">
        <v>57</v>
      </c>
      <c r="D2281">
        <v>22819</v>
      </c>
      <c r="E2281" t="s">
        <v>14</v>
      </c>
      <c r="F2281" t="s">
        <v>15</v>
      </c>
      <c r="G2281" t="s">
        <v>40</v>
      </c>
      <c r="H2281" t="s">
        <v>64</v>
      </c>
      <c r="I2281" t="s">
        <v>9</v>
      </c>
      <c r="J2281" t="s">
        <v>25</v>
      </c>
      <c r="K2281" t="s">
        <v>19</v>
      </c>
      <c r="L2281" t="s">
        <v>12</v>
      </c>
      <c r="M2281" t="s">
        <v>60</v>
      </c>
      <c r="N2281" t="s">
        <v>46</v>
      </c>
      <c r="O2281" t="s">
        <v>18</v>
      </c>
      <c r="P2281">
        <v>3</v>
      </c>
    </row>
    <row r="2282" spans="1:16" x14ac:dyDescent="0.3">
      <c r="A2282">
        <v>2807</v>
      </c>
      <c r="B2282">
        <v>44383</v>
      </c>
      <c r="C2282">
        <v>44</v>
      </c>
      <c r="D2282">
        <v>28232</v>
      </c>
      <c r="E2282" t="s">
        <v>14</v>
      </c>
      <c r="F2282" t="s">
        <v>15</v>
      </c>
      <c r="G2282" t="s">
        <v>34</v>
      </c>
      <c r="H2282" t="s">
        <v>64</v>
      </c>
      <c r="I2282" t="s">
        <v>66</v>
      </c>
      <c r="J2282" t="s">
        <v>20</v>
      </c>
      <c r="K2282" t="s">
        <v>19</v>
      </c>
      <c r="L2282" t="s">
        <v>12</v>
      </c>
      <c r="M2282" t="s">
        <v>59</v>
      </c>
      <c r="N2282" t="s">
        <v>16</v>
      </c>
      <c r="O2282" t="s">
        <v>18</v>
      </c>
      <c r="P2282">
        <v>2</v>
      </c>
    </row>
    <row r="2283" spans="1:16" x14ac:dyDescent="0.3">
      <c r="A2283">
        <v>2808</v>
      </c>
      <c r="B2283">
        <v>43431</v>
      </c>
      <c r="C2283">
        <v>25</v>
      </c>
      <c r="D2283">
        <v>34328</v>
      </c>
      <c r="E2283" t="s">
        <v>14</v>
      </c>
      <c r="F2283" t="s">
        <v>15</v>
      </c>
      <c r="G2283" t="s">
        <v>40</v>
      </c>
      <c r="H2283" t="s">
        <v>64</v>
      </c>
      <c r="I2283" t="s">
        <v>9</v>
      </c>
      <c r="J2283" t="s">
        <v>20</v>
      </c>
      <c r="K2283" t="s">
        <v>26</v>
      </c>
      <c r="L2283" t="s">
        <v>12</v>
      </c>
      <c r="M2283" t="s">
        <v>67</v>
      </c>
      <c r="N2283" t="s">
        <v>46</v>
      </c>
      <c r="O2283" t="s">
        <v>18</v>
      </c>
      <c r="P2283">
        <v>2</v>
      </c>
    </row>
    <row r="2284" spans="1:16" x14ac:dyDescent="0.3">
      <c r="A2284">
        <v>2809</v>
      </c>
      <c r="B2284">
        <v>44956</v>
      </c>
      <c r="C2284">
        <v>59</v>
      </c>
      <c r="D2284">
        <v>23431</v>
      </c>
      <c r="E2284" t="s">
        <v>14</v>
      </c>
      <c r="F2284" t="s">
        <v>22</v>
      </c>
      <c r="G2284" t="s">
        <v>31</v>
      </c>
      <c r="H2284" t="s">
        <v>8</v>
      </c>
      <c r="I2284" t="s">
        <v>9</v>
      </c>
      <c r="J2284" t="s">
        <v>25</v>
      </c>
      <c r="K2284" t="s">
        <v>11</v>
      </c>
      <c r="L2284" t="s">
        <v>12</v>
      </c>
      <c r="M2284" t="s">
        <v>49</v>
      </c>
      <c r="N2284" t="s">
        <v>23</v>
      </c>
      <c r="O2284" t="s">
        <v>18</v>
      </c>
      <c r="P2284">
        <v>1</v>
      </c>
    </row>
    <row r="2285" spans="1:16" x14ac:dyDescent="0.3">
      <c r="A2285">
        <v>2810</v>
      </c>
      <c r="B2285">
        <v>44882</v>
      </c>
      <c r="C2285">
        <v>63</v>
      </c>
      <c r="D2285">
        <v>21650</v>
      </c>
      <c r="E2285" t="s">
        <v>14</v>
      </c>
      <c r="F2285" t="s">
        <v>22</v>
      </c>
      <c r="G2285" t="s">
        <v>34</v>
      </c>
      <c r="H2285" t="s">
        <v>8</v>
      </c>
      <c r="I2285" t="s">
        <v>9</v>
      </c>
      <c r="J2285" t="s">
        <v>25</v>
      </c>
      <c r="K2285" t="s">
        <v>19</v>
      </c>
      <c r="L2285" t="s">
        <v>12</v>
      </c>
      <c r="M2285" t="s">
        <v>35</v>
      </c>
      <c r="N2285" t="s">
        <v>30</v>
      </c>
      <c r="O2285" t="s">
        <v>18</v>
      </c>
      <c r="P2285">
        <v>5</v>
      </c>
    </row>
    <row r="2286" spans="1:16" x14ac:dyDescent="0.3">
      <c r="A2286">
        <v>2811</v>
      </c>
      <c r="B2286">
        <v>43325</v>
      </c>
      <c r="C2286">
        <v>22</v>
      </c>
      <c r="D2286">
        <v>35068</v>
      </c>
      <c r="E2286" t="s">
        <v>14</v>
      </c>
      <c r="F2286" t="s">
        <v>22</v>
      </c>
      <c r="G2286" t="s">
        <v>17</v>
      </c>
      <c r="H2286" t="s">
        <v>8</v>
      </c>
      <c r="I2286" t="s">
        <v>9</v>
      </c>
      <c r="J2286" t="s">
        <v>20</v>
      </c>
      <c r="K2286" t="s">
        <v>19</v>
      </c>
      <c r="L2286" t="s">
        <v>12</v>
      </c>
      <c r="M2286" t="s">
        <v>35</v>
      </c>
      <c r="N2286" t="s">
        <v>23</v>
      </c>
      <c r="O2286" t="s">
        <v>18</v>
      </c>
      <c r="P2286">
        <v>4</v>
      </c>
    </row>
    <row r="2287" spans="1:16" x14ac:dyDescent="0.3">
      <c r="A2287">
        <v>2812</v>
      </c>
      <c r="B2287">
        <v>44379</v>
      </c>
      <c r="C2287">
        <v>75</v>
      </c>
      <c r="D2287">
        <v>16938</v>
      </c>
      <c r="E2287" t="s">
        <v>14</v>
      </c>
      <c r="F2287" t="s">
        <v>22</v>
      </c>
      <c r="G2287" t="s">
        <v>40</v>
      </c>
      <c r="H2287" t="s">
        <v>8</v>
      </c>
      <c r="I2287" t="s">
        <v>66</v>
      </c>
      <c r="J2287" t="s">
        <v>20</v>
      </c>
      <c r="K2287" t="s">
        <v>26</v>
      </c>
      <c r="L2287" t="s">
        <v>12</v>
      </c>
      <c r="M2287" t="s">
        <v>38</v>
      </c>
      <c r="N2287" t="s">
        <v>16</v>
      </c>
      <c r="O2287" t="s">
        <v>18</v>
      </c>
      <c r="P2287">
        <v>2</v>
      </c>
    </row>
    <row r="2288" spans="1:16" x14ac:dyDescent="0.3">
      <c r="A2288">
        <v>2813</v>
      </c>
      <c r="B2288">
        <v>44740</v>
      </c>
      <c r="C2288">
        <v>49</v>
      </c>
      <c r="D2288">
        <v>26903</v>
      </c>
      <c r="E2288" t="s">
        <v>14</v>
      </c>
      <c r="F2288" t="s">
        <v>22</v>
      </c>
      <c r="G2288" t="s">
        <v>31</v>
      </c>
      <c r="H2288" t="s">
        <v>8</v>
      </c>
      <c r="I2288" t="s">
        <v>9</v>
      </c>
      <c r="J2288" t="s">
        <v>10</v>
      </c>
      <c r="K2288" t="s">
        <v>26</v>
      </c>
      <c r="L2288" t="s">
        <v>12</v>
      </c>
      <c r="M2288" t="s">
        <v>59</v>
      </c>
      <c r="N2288" t="s">
        <v>30</v>
      </c>
      <c r="O2288" t="s">
        <v>18</v>
      </c>
      <c r="P2288">
        <v>4</v>
      </c>
    </row>
    <row r="2289" spans="1:16" x14ac:dyDescent="0.3">
      <c r="A2289">
        <v>2814</v>
      </c>
      <c r="B2289">
        <v>43490</v>
      </c>
      <c r="C2289">
        <v>44</v>
      </c>
      <c r="D2289">
        <v>27665</v>
      </c>
      <c r="E2289" t="s">
        <v>14</v>
      </c>
      <c r="F2289" t="s">
        <v>22</v>
      </c>
      <c r="G2289" t="s">
        <v>31</v>
      </c>
      <c r="H2289" t="s">
        <v>8</v>
      </c>
      <c r="I2289" t="s">
        <v>9</v>
      </c>
      <c r="J2289" t="s">
        <v>20</v>
      </c>
      <c r="K2289" t="s">
        <v>19</v>
      </c>
      <c r="L2289" t="s">
        <v>12</v>
      </c>
      <c r="M2289" t="s">
        <v>35</v>
      </c>
      <c r="N2289" t="s">
        <v>23</v>
      </c>
      <c r="O2289" t="s">
        <v>18</v>
      </c>
      <c r="P2289">
        <v>1</v>
      </c>
    </row>
    <row r="2290" spans="1:16" x14ac:dyDescent="0.3">
      <c r="A2290">
        <v>2815</v>
      </c>
      <c r="B2290">
        <v>45130</v>
      </c>
      <c r="C2290">
        <v>45</v>
      </c>
      <c r="D2290">
        <v>28700</v>
      </c>
      <c r="E2290" t="s">
        <v>14</v>
      </c>
      <c r="F2290" t="s">
        <v>15</v>
      </c>
      <c r="G2290" t="s">
        <v>31</v>
      </c>
      <c r="H2290" t="s">
        <v>8</v>
      </c>
      <c r="I2290" t="s">
        <v>9</v>
      </c>
      <c r="J2290" t="s">
        <v>10</v>
      </c>
      <c r="K2290" t="s">
        <v>11</v>
      </c>
      <c r="L2290" t="s">
        <v>12</v>
      </c>
      <c r="M2290" t="s">
        <v>54</v>
      </c>
      <c r="N2290" t="s">
        <v>46</v>
      </c>
      <c r="O2290" t="s">
        <v>18</v>
      </c>
      <c r="P2290">
        <v>5</v>
      </c>
    </row>
    <row r="2291" spans="1:16" x14ac:dyDescent="0.3">
      <c r="A2291">
        <v>2816</v>
      </c>
      <c r="B2291">
        <v>44767</v>
      </c>
      <c r="C2291">
        <v>30</v>
      </c>
      <c r="D2291">
        <v>33942</v>
      </c>
      <c r="E2291" t="s">
        <v>14</v>
      </c>
      <c r="F2291" t="s">
        <v>15</v>
      </c>
      <c r="G2291" t="s">
        <v>34</v>
      </c>
      <c r="H2291" t="s">
        <v>8</v>
      </c>
      <c r="I2291" t="s">
        <v>9</v>
      </c>
      <c r="J2291" t="s">
        <v>25</v>
      </c>
      <c r="K2291" t="s">
        <v>11</v>
      </c>
      <c r="L2291" t="s">
        <v>12</v>
      </c>
      <c r="M2291" t="s">
        <v>32</v>
      </c>
      <c r="N2291" t="s">
        <v>37</v>
      </c>
      <c r="O2291" t="s">
        <v>18</v>
      </c>
      <c r="P2291">
        <v>2</v>
      </c>
    </row>
    <row r="2292" spans="1:16" x14ac:dyDescent="0.3">
      <c r="A2292">
        <v>2817</v>
      </c>
      <c r="B2292">
        <v>44937</v>
      </c>
      <c r="C2292">
        <v>25</v>
      </c>
      <c r="D2292">
        <v>36050</v>
      </c>
      <c r="E2292" t="s">
        <v>14</v>
      </c>
      <c r="F2292" t="s">
        <v>22</v>
      </c>
      <c r="G2292" t="s">
        <v>17</v>
      </c>
      <c r="H2292" t="s">
        <v>8</v>
      </c>
      <c r="I2292" t="s">
        <v>9</v>
      </c>
      <c r="J2292" t="s">
        <v>10</v>
      </c>
      <c r="K2292" t="s">
        <v>19</v>
      </c>
      <c r="L2292" t="s">
        <v>12</v>
      </c>
      <c r="M2292" t="s">
        <v>35</v>
      </c>
      <c r="N2292" t="s">
        <v>16</v>
      </c>
      <c r="O2292" t="s">
        <v>18</v>
      </c>
      <c r="P2292">
        <v>1</v>
      </c>
    </row>
    <row r="2293" spans="1:16" x14ac:dyDescent="0.3">
      <c r="A2293">
        <v>2818</v>
      </c>
      <c r="B2293">
        <v>45135</v>
      </c>
      <c r="C2293">
        <v>59</v>
      </c>
      <c r="D2293">
        <v>23395</v>
      </c>
      <c r="E2293" t="s">
        <v>14</v>
      </c>
      <c r="F2293" t="s">
        <v>22</v>
      </c>
      <c r="G2293" t="s">
        <v>31</v>
      </c>
      <c r="H2293" t="s">
        <v>8</v>
      </c>
      <c r="I2293" t="s">
        <v>9</v>
      </c>
      <c r="J2293" t="s">
        <v>20</v>
      </c>
      <c r="K2293" t="s">
        <v>26</v>
      </c>
      <c r="L2293" t="s">
        <v>12</v>
      </c>
      <c r="M2293" t="s">
        <v>55</v>
      </c>
      <c r="N2293" t="s">
        <v>23</v>
      </c>
      <c r="O2293" t="s">
        <v>41</v>
      </c>
      <c r="P2293">
        <v>3</v>
      </c>
    </row>
    <row r="2294" spans="1:16" x14ac:dyDescent="0.3">
      <c r="A2294">
        <v>2819</v>
      </c>
      <c r="B2294">
        <v>45052</v>
      </c>
      <c r="C2294">
        <v>23</v>
      </c>
      <c r="D2294">
        <v>36559</v>
      </c>
      <c r="E2294" t="s">
        <v>14</v>
      </c>
      <c r="F2294" t="s">
        <v>22</v>
      </c>
      <c r="G2294" t="s">
        <v>17</v>
      </c>
      <c r="H2294" t="s">
        <v>8</v>
      </c>
      <c r="I2294" t="s">
        <v>9</v>
      </c>
      <c r="J2294" t="s">
        <v>25</v>
      </c>
      <c r="K2294" t="s">
        <v>11</v>
      </c>
      <c r="L2294" t="s">
        <v>12</v>
      </c>
      <c r="M2294" t="s">
        <v>32</v>
      </c>
      <c r="N2294" t="s">
        <v>16</v>
      </c>
      <c r="O2294" t="s">
        <v>18</v>
      </c>
      <c r="P2294">
        <v>3</v>
      </c>
    </row>
    <row r="2295" spans="1:16" x14ac:dyDescent="0.3">
      <c r="A2295">
        <v>2820</v>
      </c>
      <c r="B2295">
        <v>44822</v>
      </c>
      <c r="C2295">
        <v>43</v>
      </c>
      <c r="D2295">
        <v>29045</v>
      </c>
      <c r="E2295" t="s">
        <v>14</v>
      </c>
      <c r="F2295" t="s">
        <v>22</v>
      </c>
      <c r="G2295" t="s">
        <v>40</v>
      </c>
      <c r="H2295" t="s">
        <v>8</v>
      </c>
      <c r="I2295" t="s">
        <v>9</v>
      </c>
      <c r="J2295" t="s">
        <v>25</v>
      </c>
      <c r="K2295" t="s">
        <v>11</v>
      </c>
      <c r="L2295" t="s">
        <v>12</v>
      </c>
      <c r="M2295" t="s">
        <v>59</v>
      </c>
      <c r="N2295" t="s">
        <v>23</v>
      </c>
      <c r="O2295" t="s">
        <v>18</v>
      </c>
      <c r="P2295">
        <v>1</v>
      </c>
    </row>
    <row r="2296" spans="1:16" x14ac:dyDescent="0.3">
      <c r="A2296">
        <v>2821</v>
      </c>
      <c r="B2296">
        <v>43716</v>
      </c>
      <c r="C2296">
        <v>21</v>
      </c>
      <c r="D2296">
        <v>36060</v>
      </c>
      <c r="E2296" t="s">
        <v>14</v>
      </c>
      <c r="F2296" t="s">
        <v>22</v>
      </c>
      <c r="G2296" t="s">
        <v>31</v>
      </c>
      <c r="H2296" t="s">
        <v>8</v>
      </c>
      <c r="I2296" t="s">
        <v>9</v>
      </c>
      <c r="J2296" t="s">
        <v>25</v>
      </c>
      <c r="K2296" t="s">
        <v>26</v>
      </c>
      <c r="L2296" t="s">
        <v>12</v>
      </c>
      <c r="M2296" t="s">
        <v>35</v>
      </c>
      <c r="N2296" t="s">
        <v>23</v>
      </c>
      <c r="O2296" t="s">
        <v>18</v>
      </c>
      <c r="P2296">
        <v>5</v>
      </c>
    </row>
    <row r="2297" spans="1:16" x14ac:dyDescent="0.3">
      <c r="A2297">
        <v>2822</v>
      </c>
      <c r="B2297">
        <v>43707</v>
      </c>
      <c r="C2297">
        <v>60</v>
      </c>
      <c r="D2297">
        <v>21624</v>
      </c>
      <c r="E2297" t="s">
        <v>14</v>
      </c>
      <c r="F2297" t="s">
        <v>15</v>
      </c>
      <c r="G2297" t="s">
        <v>40</v>
      </c>
      <c r="H2297" t="s">
        <v>8</v>
      </c>
      <c r="I2297" t="s">
        <v>9</v>
      </c>
      <c r="J2297" t="s">
        <v>20</v>
      </c>
      <c r="K2297" t="s">
        <v>26</v>
      </c>
      <c r="L2297" t="s">
        <v>12</v>
      </c>
      <c r="M2297" t="s">
        <v>21</v>
      </c>
      <c r="N2297" t="s">
        <v>16</v>
      </c>
      <c r="O2297" t="s">
        <v>18</v>
      </c>
      <c r="P2297">
        <v>3</v>
      </c>
    </row>
    <row r="2298" spans="1:16" x14ac:dyDescent="0.3">
      <c r="A2298">
        <v>2823</v>
      </c>
      <c r="B2298">
        <v>45068</v>
      </c>
      <c r="C2298">
        <v>38</v>
      </c>
      <c r="D2298">
        <v>31388</v>
      </c>
      <c r="E2298" t="s">
        <v>14</v>
      </c>
      <c r="F2298" t="s">
        <v>15</v>
      </c>
      <c r="G2298" t="s">
        <v>40</v>
      </c>
      <c r="H2298" t="s">
        <v>8</v>
      </c>
      <c r="I2298" t="s">
        <v>9</v>
      </c>
      <c r="J2298" t="s">
        <v>10</v>
      </c>
      <c r="K2298" t="s">
        <v>26</v>
      </c>
      <c r="L2298" t="s">
        <v>12</v>
      </c>
      <c r="M2298" t="s">
        <v>32</v>
      </c>
      <c r="N2298" t="s">
        <v>16</v>
      </c>
      <c r="O2298" t="s">
        <v>18</v>
      </c>
      <c r="P2298">
        <v>2</v>
      </c>
    </row>
    <row r="2299" spans="1:16" x14ac:dyDescent="0.3">
      <c r="A2299">
        <v>2824</v>
      </c>
      <c r="B2299">
        <v>44257</v>
      </c>
      <c r="C2299">
        <v>59</v>
      </c>
      <c r="D2299">
        <v>23005</v>
      </c>
      <c r="E2299" t="s">
        <v>14</v>
      </c>
      <c r="F2299" t="s">
        <v>22</v>
      </c>
      <c r="G2299" t="s">
        <v>17</v>
      </c>
      <c r="H2299" t="s">
        <v>64</v>
      </c>
      <c r="I2299" t="s">
        <v>9</v>
      </c>
      <c r="J2299" t="s">
        <v>20</v>
      </c>
      <c r="K2299" t="s">
        <v>19</v>
      </c>
      <c r="L2299" t="s">
        <v>12</v>
      </c>
      <c r="M2299" t="s">
        <v>59</v>
      </c>
      <c r="N2299" t="s">
        <v>23</v>
      </c>
      <c r="O2299" t="s">
        <v>18</v>
      </c>
      <c r="P2299">
        <v>4</v>
      </c>
    </row>
    <row r="2300" spans="1:16" x14ac:dyDescent="0.3">
      <c r="A2300">
        <v>2825</v>
      </c>
      <c r="B2300">
        <v>44970</v>
      </c>
      <c r="C2300">
        <v>41</v>
      </c>
      <c r="D2300">
        <v>30314</v>
      </c>
      <c r="E2300" t="s">
        <v>14</v>
      </c>
      <c r="F2300" t="s">
        <v>22</v>
      </c>
      <c r="G2300" t="s">
        <v>17</v>
      </c>
      <c r="H2300" t="s">
        <v>64</v>
      </c>
      <c r="I2300" t="s">
        <v>9</v>
      </c>
      <c r="J2300" t="s">
        <v>25</v>
      </c>
      <c r="K2300" t="s">
        <v>11</v>
      </c>
      <c r="L2300" t="s">
        <v>12</v>
      </c>
      <c r="M2300" t="s">
        <v>57</v>
      </c>
      <c r="N2300" t="s">
        <v>23</v>
      </c>
      <c r="O2300" t="s">
        <v>18</v>
      </c>
      <c r="P2300">
        <v>4</v>
      </c>
    </row>
    <row r="2301" spans="1:16" x14ac:dyDescent="0.3">
      <c r="A2301">
        <v>2827</v>
      </c>
      <c r="B2301">
        <v>43880</v>
      </c>
      <c r="C2301">
        <v>40</v>
      </c>
      <c r="D2301">
        <v>29442</v>
      </c>
      <c r="E2301" t="s">
        <v>14</v>
      </c>
      <c r="F2301" t="s">
        <v>15</v>
      </c>
      <c r="G2301" t="s">
        <v>34</v>
      </c>
      <c r="H2301" t="s">
        <v>64</v>
      </c>
      <c r="I2301" t="s">
        <v>66</v>
      </c>
      <c r="J2301" t="s">
        <v>25</v>
      </c>
      <c r="K2301" t="s">
        <v>19</v>
      </c>
      <c r="L2301" t="s">
        <v>12</v>
      </c>
      <c r="M2301" t="s">
        <v>35</v>
      </c>
      <c r="N2301" t="s">
        <v>30</v>
      </c>
      <c r="O2301" t="s">
        <v>18</v>
      </c>
      <c r="P2301">
        <v>4</v>
      </c>
    </row>
    <row r="2302" spans="1:16" x14ac:dyDescent="0.3">
      <c r="A2302">
        <v>2828</v>
      </c>
      <c r="B2302">
        <v>44484</v>
      </c>
      <c r="C2302">
        <v>77</v>
      </c>
      <c r="D2302">
        <v>16203</v>
      </c>
      <c r="E2302" t="s">
        <v>14</v>
      </c>
      <c r="F2302" t="s">
        <v>15</v>
      </c>
      <c r="G2302" t="s">
        <v>31</v>
      </c>
      <c r="H2302" t="s">
        <v>64</v>
      </c>
      <c r="I2302" t="s">
        <v>66</v>
      </c>
      <c r="J2302" t="s">
        <v>25</v>
      </c>
      <c r="K2302" t="s">
        <v>19</v>
      </c>
      <c r="L2302" t="s">
        <v>12</v>
      </c>
      <c r="M2302" t="s">
        <v>35</v>
      </c>
      <c r="N2302" t="s">
        <v>37</v>
      </c>
      <c r="O2302" t="s">
        <v>18</v>
      </c>
      <c r="P2302">
        <v>5</v>
      </c>
    </row>
    <row r="2303" spans="1:16" x14ac:dyDescent="0.3">
      <c r="A2303">
        <v>2829</v>
      </c>
      <c r="B2303">
        <v>44881</v>
      </c>
      <c r="C2303">
        <v>75</v>
      </c>
      <c r="D2303">
        <v>17271</v>
      </c>
      <c r="E2303" t="s">
        <v>14</v>
      </c>
      <c r="F2303" t="s">
        <v>22</v>
      </c>
      <c r="G2303" t="s">
        <v>31</v>
      </c>
      <c r="H2303" t="s">
        <v>8</v>
      </c>
      <c r="I2303" t="s">
        <v>9</v>
      </c>
      <c r="J2303" t="s">
        <v>20</v>
      </c>
      <c r="K2303" t="s">
        <v>26</v>
      </c>
      <c r="L2303" t="s">
        <v>12</v>
      </c>
      <c r="M2303" t="s">
        <v>42</v>
      </c>
      <c r="N2303" t="s">
        <v>30</v>
      </c>
      <c r="O2303" t="s">
        <v>18</v>
      </c>
      <c r="P2303">
        <v>5</v>
      </c>
    </row>
    <row r="2304" spans="1:16" x14ac:dyDescent="0.3">
      <c r="A2304">
        <v>2830</v>
      </c>
      <c r="B2304">
        <v>44742</v>
      </c>
      <c r="C2304">
        <v>28</v>
      </c>
      <c r="D2304">
        <v>34480</v>
      </c>
      <c r="E2304" t="s">
        <v>14</v>
      </c>
      <c r="F2304" t="s">
        <v>22</v>
      </c>
      <c r="G2304" t="s">
        <v>34</v>
      </c>
      <c r="H2304" t="s">
        <v>8</v>
      </c>
      <c r="I2304" t="s">
        <v>9</v>
      </c>
      <c r="J2304" t="s">
        <v>25</v>
      </c>
      <c r="K2304" t="s">
        <v>26</v>
      </c>
      <c r="L2304" t="s">
        <v>12</v>
      </c>
      <c r="M2304" t="s">
        <v>38</v>
      </c>
      <c r="N2304" t="s">
        <v>16</v>
      </c>
      <c r="O2304" t="s">
        <v>18</v>
      </c>
      <c r="P2304">
        <v>2</v>
      </c>
    </row>
    <row r="2305" spans="1:16" x14ac:dyDescent="0.3">
      <c r="A2305">
        <v>2831</v>
      </c>
      <c r="B2305">
        <v>44405</v>
      </c>
      <c r="C2305">
        <v>69</v>
      </c>
      <c r="D2305">
        <v>19113</v>
      </c>
      <c r="E2305" t="s">
        <v>14</v>
      </c>
      <c r="F2305" t="s">
        <v>22</v>
      </c>
      <c r="G2305" t="s">
        <v>17</v>
      </c>
      <c r="H2305" t="s">
        <v>8</v>
      </c>
      <c r="I2305" t="s">
        <v>9</v>
      </c>
      <c r="J2305" t="s">
        <v>25</v>
      </c>
      <c r="K2305" t="s">
        <v>11</v>
      </c>
      <c r="L2305" t="s">
        <v>12</v>
      </c>
      <c r="M2305" t="s">
        <v>21</v>
      </c>
      <c r="N2305" t="s">
        <v>16</v>
      </c>
      <c r="O2305" t="s">
        <v>18</v>
      </c>
      <c r="P2305">
        <v>1</v>
      </c>
    </row>
    <row r="2306" spans="1:16" x14ac:dyDescent="0.3">
      <c r="A2306">
        <v>2832</v>
      </c>
      <c r="B2306">
        <v>44521</v>
      </c>
      <c r="C2306">
        <v>46</v>
      </c>
      <c r="D2306">
        <v>27397</v>
      </c>
      <c r="E2306" t="s">
        <v>14</v>
      </c>
      <c r="F2306" t="s">
        <v>22</v>
      </c>
      <c r="G2306" t="s">
        <v>34</v>
      </c>
      <c r="H2306" t="s">
        <v>8</v>
      </c>
      <c r="I2306" t="s">
        <v>9</v>
      </c>
      <c r="J2306" t="s">
        <v>10</v>
      </c>
      <c r="K2306" t="s">
        <v>11</v>
      </c>
      <c r="L2306" t="s">
        <v>12</v>
      </c>
      <c r="M2306" t="s">
        <v>35</v>
      </c>
      <c r="N2306" t="s">
        <v>16</v>
      </c>
      <c r="O2306" t="s">
        <v>18</v>
      </c>
      <c r="P2306">
        <v>5</v>
      </c>
    </row>
    <row r="2307" spans="1:16" x14ac:dyDescent="0.3">
      <c r="A2307">
        <v>2833</v>
      </c>
      <c r="B2307">
        <v>44116</v>
      </c>
      <c r="C2307">
        <v>31</v>
      </c>
      <c r="D2307">
        <v>32592</v>
      </c>
      <c r="E2307" t="s">
        <v>14</v>
      </c>
      <c r="F2307" t="s">
        <v>22</v>
      </c>
      <c r="G2307" t="s">
        <v>34</v>
      </c>
      <c r="H2307" t="s">
        <v>8</v>
      </c>
      <c r="I2307" t="s">
        <v>9</v>
      </c>
      <c r="J2307" t="s">
        <v>10</v>
      </c>
      <c r="K2307" t="s">
        <v>19</v>
      </c>
      <c r="L2307" t="s">
        <v>12</v>
      </c>
      <c r="M2307" t="s">
        <v>32</v>
      </c>
      <c r="N2307" t="s">
        <v>46</v>
      </c>
      <c r="O2307" t="s">
        <v>18</v>
      </c>
      <c r="P2307">
        <v>5</v>
      </c>
    </row>
    <row r="2308" spans="1:16" x14ac:dyDescent="0.3">
      <c r="A2308">
        <v>2834</v>
      </c>
      <c r="B2308">
        <v>43375</v>
      </c>
      <c r="C2308">
        <v>75</v>
      </c>
      <c r="D2308">
        <v>16026</v>
      </c>
      <c r="E2308" t="s">
        <v>14</v>
      </c>
      <c r="F2308" t="s">
        <v>15</v>
      </c>
      <c r="G2308" t="s">
        <v>40</v>
      </c>
      <c r="H2308" t="s">
        <v>8</v>
      </c>
      <c r="I2308" t="s">
        <v>9</v>
      </c>
      <c r="J2308" t="s">
        <v>25</v>
      </c>
      <c r="K2308" t="s">
        <v>19</v>
      </c>
      <c r="L2308" t="s">
        <v>12</v>
      </c>
      <c r="M2308" t="s">
        <v>32</v>
      </c>
      <c r="N2308" t="s">
        <v>46</v>
      </c>
      <c r="O2308" t="s">
        <v>18</v>
      </c>
      <c r="P2308">
        <v>3</v>
      </c>
    </row>
    <row r="2309" spans="1:16" x14ac:dyDescent="0.3">
      <c r="A2309">
        <v>2835</v>
      </c>
      <c r="B2309">
        <v>44394</v>
      </c>
      <c r="C2309">
        <v>26</v>
      </c>
      <c r="D2309">
        <v>34800</v>
      </c>
      <c r="E2309" t="s">
        <v>14</v>
      </c>
      <c r="F2309" t="s">
        <v>15</v>
      </c>
      <c r="G2309" t="s">
        <v>40</v>
      </c>
      <c r="H2309" t="s">
        <v>8</v>
      </c>
      <c r="I2309" t="s">
        <v>9</v>
      </c>
      <c r="J2309" t="s">
        <v>10</v>
      </c>
      <c r="K2309" t="s">
        <v>11</v>
      </c>
      <c r="L2309" t="s">
        <v>12</v>
      </c>
      <c r="M2309" t="s">
        <v>42</v>
      </c>
      <c r="N2309" t="s">
        <v>16</v>
      </c>
      <c r="O2309" t="s">
        <v>18</v>
      </c>
      <c r="P2309">
        <v>5</v>
      </c>
    </row>
    <row r="2310" spans="1:16" x14ac:dyDescent="0.3">
      <c r="A2310">
        <v>2836</v>
      </c>
      <c r="B2310">
        <v>44664</v>
      </c>
      <c r="C2310">
        <v>34</v>
      </c>
      <c r="D2310">
        <v>32423</v>
      </c>
      <c r="E2310" t="s">
        <v>14</v>
      </c>
      <c r="F2310" t="s">
        <v>15</v>
      </c>
      <c r="G2310" t="s">
        <v>40</v>
      </c>
      <c r="H2310" t="s">
        <v>8</v>
      </c>
      <c r="I2310" t="s">
        <v>9</v>
      </c>
      <c r="J2310" t="s">
        <v>10</v>
      </c>
      <c r="K2310" t="s">
        <v>11</v>
      </c>
      <c r="L2310" t="s">
        <v>12</v>
      </c>
      <c r="M2310" t="s">
        <v>60</v>
      </c>
      <c r="N2310" t="s">
        <v>37</v>
      </c>
      <c r="O2310" t="s">
        <v>18</v>
      </c>
      <c r="P2310">
        <v>4</v>
      </c>
    </row>
    <row r="2311" spans="1:16" x14ac:dyDescent="0.3">
      <c r="A2311">
        <v>2837</v>
      </c>
      <c r="B2311">
        <v>44275</v>
      </c>
      <c r="C2311">
        <v>77</v>
      </c>
      <c r="D2311">
        <v>16263</v>
      </c>
      <c r="E2311" t="s">
        <v>14</v>
      </c>
      <c r="F2311" t="s">
        <v>22</v>
      </c>
      <c r="G2311" t="s">
        <v>31</v>
      </c>
      <c r="H2311" t="s">
        <v>8</v>
      </c>
      <c r="I2311" t="s">
        <v>9</v>
      </c>
      <c r="J2311" t="s">
        <v>20</v>
      </c>
      <c r="K2311" t="s">
        <v>11</v>
      </c>
      <c r="L2311" t="s">
        <v>12</v>
      </c>
      <c r="M2311" t="s">
        <v>49</v>
      </c>
      <c r="N2311" t="s">
        <v>46</v>
      </c>
      <c r="O2311" t="s">
        <v>18</v>
      </c>
      <c r="P2311">
        <v>1</v>
      </c>
    </row>
    <row r="2312" spans="1:16" x14ac:dyDescent="0.3">
      <c r="A2312">
        <v>2838</v>
      </c>
      <c r="B2312">
        <v>44448</v>
      </c>
      <c r="C2312">
        <v>76</v>
      </c>
      <c r="D2312">
        <v>16570</v>
      </c>
      <c r="E2312" t="s">
        <v>14</v>
      </c>
      <c r="F2312" t="s">
        <v>22</v>
      </c>
      <c r="G2312" t="s">
        <v>31</v>
      </c>
      <c r="H2312" t="s">
        <v>8</v>
      </c>
      <c r="I2312" t="s">
        <v>9</v>
      </c>
      <c r="J2312" t="s">
        <v>20</v>
      </c>
      <c r="K2312" t="s">
        <v>19</v>
      </c>
      <c r="L2312" t="s">
        <v>12</v>
      </c>
      <c r="M2312" t="s">
        <v>28</v>
      </c>
      <c r="N2312" t="s">
        <v>37</v>
      </c>
      <c r="O2312" t="s">
        <v>18</v>
      </c>
      <c r="P2312">
        <v>4</v>
      </c>
    </row>
    <row r="2313" spans="1:16" x14ac:dyDescent="0.3">
      <c r="A2313">
        <v>2839</v>
      </c>
      <c r="B2313">
        <v>43805</v>
      </c>
      <c r="C2313">
        <v>50</v>
      </c>
      <c r="D2313">
        <v>25452</v>
      </c>
      <c r="E2313" t="s">
        <v>14</v>
      </c>
      <c r="F2313" t="s">
        <v>22</v>
      </c>
      <c r="G2313" t="s">
        <v>34</v>
      </c>
      <c r="H2313" t="s">
        <v>8</v>
      </c>
      <c r="I2313" t="s">
        <v>9</v>
      </c>
      <c r="J2313" t="s">
        <v>20</v>
      </c>
      <c r="K2313" t="s">
        <v>11</v>
      </c>
      <c r="L2313" t="s">
        <v>12</v>
      </c>
      <c r="M2313" t="s">
        <v>32</v>
      </c>
      <c r="N2313" t="s">
        <v>37</v>
      </c>
      <c r="O2313" t="s">
        <v>18</v>
      </c>
      <c r="P2313">
        <v>4</v>
      </c>
    </row>
    <row r="2314" spans="1:16" x14ac:dyDescent="0.3">
      <c r="A2314">
        <v>2840</v>
      </c>
      <c r="B2314">
        <v>45042</v>
      </c>
      <c r="C2314">
        <v>23</v>
      </c>
      <c r="D2314">
        <v>36645</v>
      </c>
      <c r="E2314" t="s">
        <v>14</v>
      </c>
      <c r="F2314" t="s">
        <v>22</v>
      </c>
      <c r="G2314" t="s">
        <v>40</v>
      </c>
      <c r="H2314" t="s">
        <v>8</v>
      </c>
      <c r="I2314" t="s">
        <v>9</v>
      </c>
      <c r="J2314" t="s">
        <v>10</v>
      </c>
      <c r="K2314" t="s">
        <v>26</v>
      </c>
      <c r="L2314" t="s">
        <v>12</v>
      </c>
      <c r="M2314" t="s">
        <v>55</v>
      </c>
      <c r="N2314" t="s">
        <v>23</v>
      </c>
      <c r="O2314" t="s">
        <v>18</v>
      </c>
      <c r="P2314">
        <v>2</v>
      </c>
    </row>
    <row r="2315" spans="1:16" x14ac:dyDescent="0.3">
      <c r="A2315">
        <v>2841</v>
      </c>
      <c r="B2315">
        <v>43561</v>
      </c>
      <c r="C2315">
        <v>58</v>
      </c>
      <c r="D2315">
        <v>22568</v>
      </c>
      <c r="E2315" t="s">
        <v>14</v>
      </c>
      <c r="F2315" t="s">
        <v>22</v>
      </c>
      <c r="G2315" t="s">
        <v>34</v>
      </c>
      <c r="H2315" t="s">
        <v>8</v>
      </c>
      <c r="I2315" t="s">
        <v>9</v>
      </c>
      <c r="J2315" t="s">
        <v>10</v>
      </c>
      <c r="K2315" t="s">
        <v>26</v>
      </c>
      <c r="L2315" t="s">
        <v>12</v>
      </c>
      <c r="M2315" t="s">
        <v>32</v>
      </c>
      <c r="N2315" t="s">
        <v>23</v>
      </c>
      <c r="O2315" t="s">
        <v>18</v>
      </c>
      <c r="P2315">
        <v>2</v>
      </c>
    </row>
    <row r="2316" spans="1:16" x14ac:dyDescent="0.3">
      <c r="A2316">
        <v>2842</v>
      </c>
      <c r="B2316">
        <v>44123</v>
      </c>
      <c r="C2316">
        <v>55</v>
      </c>
      <c r="D2316">
        <v>23939</v>
      </c>
      <c r="E2316" t="s">
        <v>14</v>
      </c>
      <c r="F2316" t="s">
        <v>15</v>
      </c>
      <c r="G2316" t="s">
        <v>17</v>
      </c>
      <c r="H2316" t="s">
        <v>8</v>
      </c>
      <c r="I2316" t="s">
        <v>66</v>
      </c>
      <c r="J2316" t="s">
        <v>20</v>
      </c>
      <c r="K2316" t="s">
        <v>26</v>
      </c>
      <c r="L2316" t="s">
        <v>12</v>
      </c>
      <c r="M2316" t="s">
        <v>32</v>
      </c>
      <c r="N2316" t="s">
        <v>37</v>
      </c>
      <c r="O2316" t="s">
        <v>18</v>
      </c>
      <c r="P2316">
        <v>1</v>
      </c>
    </row>
    <row r="2317" spans="1:16" x14ac:dyDescent="0.3">
      <c r="A2317">
        <v>2843</v>
      </c>
      <c r="B2317">
        <v>44522</v>
      </c>
      <c r="C2317">
        <v>79</v>
      </c>
      <c r="D2317">
        <v>15677</v>
      </c>
      <c r="E2317" t="s">
        <v>14</v>
      </c>
      <c r="F2317" t="s">
        <v>22</v>
      </c>
      <c r="G2317" t="s">
        <v>34</v>
      </c>
      <c r="H2317" t="s">
        <v>64</v>
      </c>
      <c r="I2317" t="s">
        <v>9</v>
      </c>
      <c r="J2317" t="s">
        <v>25</v>
      </c>
      <c r="K2317" t="s">
        <v>11</v>
      </c>
      <c r="L2317" t="s">
        <v>12</v>
      </c>
      <c r="M2317" t="s">
        <v>32</v>
      </c>
      <c r="N2317" t="s">
        <v>37</v>
      </c>
      <c r="O2317" t="s">
        <v>18</v>
      </c>
      <c r="P2317">
        <v>1</v>
      </c>
    </row>
    <row r="2318" spans="1:16" x14ac:dyDescent="0.3">
      <c r="A2318">
        <v>2845</v>
      </c>
      <c r="B2318">
        <v>44077</v>
      </c>
      <c r="C2318">
        <v>41</v>
      </c>
      <c r="D2318">
        <v>29024</v>
      </c>
      <c r="E2318" t="s">
        <v>14</v>
      </c>
      <c r="F2318" t="s">
        <v>15</v>
      </c>
      <c r="G2318" t="s">
        <v>31</v>
      </c>
      <c r="H2318" t="s">
        <v>64</v>
      </c>
      <c r="I2318" t="s">
        <v>9</v>
      </c>
      <c r="J2318" t="s">
        <v>25</v>
      </c>
      <c r="K2318" t="s">
        <v>26</v>
      </c>
      <c r="L2318" t="s">
        <v>12</v>
      </c>
      <c r="M2318" t="s">
        <v>32</v>
      </c>
      <c r="N2318" t="s">
        <v>16</v>
      </c>
      <c r="O2318" t="s">
        <v>18</v>
      </c>
      <c r="P2318">
        <v>4</v>
      </c>
    </row>
    <row r="2319" spans="1:16" x14ac:dyDescent="0.3">
      <c r="A2319">
        <v>2846</v>
      </c>
      <c r="B2319">
        <v>43752</v>
      </c>
      <c r="C2319">
        <v>64</v>
      </c>
      <c r="D2319">
        <v>20334</v>
      </c>
      <c r="E2319" t="s">
        <v>14</v>
      </c>
      <c r="F2319" t="s">
        <v>15</v>
      </c>
      <c r="G2319" t="s">
        <v>40</v>
      </c>
      <c r="H2319" t="s">
        <v>64</v>
      </c>
      <c r="I2319" t="s">
        <v>66</v>
      </c>
      <c r="J2319" t="s">
        <v>10</v>
      </c>
      <c r="K2319" t="s">
        <v>11</v>
      </c>
      <c r="L2319" t="s">
        <v>12</v>
      </c>
      <c r="M2319" t="s">
        <v>61</v>
      </c>
      <c r="N2319" t="s">
        <v>16</v>
      </c>
      <c r="O2319" t="s">
        <v>18</v>
      </c>
      <c r="P2319">
        <v>1</v>
      </c>
    </row>
    <row r="2320" spans="1:16" x14ac:dyDescent="0.3">
      <c r="A2320">
        <v>2848</v>
      </c>
      <c r="B2320">
        <v>44633</v>
      </c>
      <c r="C2320">
        <v>76</v>
      </c>
      <c r="D2320">
        <v>16830</v>
      </c>
      <c r="E2320" t="s">
        <v>14</v>
      </c>
      <c r="F2320" t="s">
        <v>22</v>
      </c>
      <c r="G2320" t="s">
        <v>31</v>
      </c>
      <c r="H2320" t="s">
        <v>8</v>
      </c>
      <c r="I2320" t="s">
        <v>66</v>
      </c>
      <c r="J2320" t="s">
        <v>25</v>
      </c>
      <c r="K2320" t="s">
        <v>19</v>
      </c>
      <c r="L2320" t="s">
        <v>12</v>
      </c>
      <c r="M2320" t="s">
        <v>54</v>
      </c>
      <c r="N2320" t="s">
        <v>16</v>
      </c>
      <c r="O2320" t="s">
        <v>41</v>
      </c>
      <c r="P2320">
        <v>1</v>
      </c>
    </row>
    <row r="2321" spans="1:16" x14ac:dyDescent="0.3">
      <c r="A2321">
        <v>2849</v>
      </c>
      <c r="B2321">
        <v>43375</v>
      </c>
      <c r="C2321">
        <v>69</v>
      </c>
      <c r="D2321">
        <v>18106</v>
      </c>
      <c r="E2321" t="s">
        <v>14</v>
      </c>
      <c r="F2321" t="s">
        <v>22</v>
      </c>
      <c r="G2321" t="s">
        <v>31</v>
      </c>
      <c r="H2321" t="s">
        <v>8</v>
      </c>
      <c r="I2321" t="s">
        <v>9</v>
      </c>
      <c r="J2321" t="s">
        <v>20</v>
      </c>
      <c r="K2321" t="s">
        <v>11</v>
      </c>
      <c r="L2321" t="s">
        <v>12</v>
      </c>
      <c r="M2321" t="s">
        <v>32</v>
      </c>
      <c r="N2321" t="s">
        <v>23</v>
      </c>
      <c r="O2321" t="s">
        <v>18</v>
      </c>
      <c r="P2321">
        <v>1</v>
      </c>
    </row>
    <row r="2322" spans="1:16" x14ac:dyDescent="0.3">
      <c r="A2322">
        <v>2850</v>
      </c>
      <c r="B2322">
        <v>44840</v>
      </c>
      <c r="C2322">
        <v>50</v>
      </c>
      <c r="D2322">
        <v>26509</v>
      </c>
      <c r="E2322" t="s">
        <v>14</v>
      </c>
      <c r="F2322" t="s">
        <v>22</v>
      </c>
      <c r="G2322" t="s">
        <v>40</v>
      </c>
      <c r="H2322" t="s">
        <v>8</v>
      </c>
      <c r="I2322" t="s">
        <v>9</v>
      </c>
      <c r="J2322" t="s">
        <v>25</v>
      </c>
      <c r="K2322" t="s">
        <v>11</v>
      </c>
      <c r="L2322" t="s">
        <v>12</v>
      </c>
      <c r="M2322" t="s">
        <v>32</v>
      </c>
      <c r="N2322" t="s">
        <v>23</v>
      </c>
      <c r="O2322" t="s">
        <v>41</v>
      </c>
      <c r="P2322">
        <v>1</v>
      </c>
    </row>
    <row r="2323" spans="1:16" x14ac:dyDescent="0.3">
      <c r="A2323">
        <v>2851</v>
      </c>
      <c r="B2323">
        <v>44095</v>
      </c>
      <c r="C2323">
        <v>53</v>
      </c>
      <c r="D2323">
        <v>24536</v>
      </c>
      <c r="E2323" t="s">
        <v>14</v>
      </c>
      <c r="F2323" t="s">
        <v>22</v>
      </c>
      <c r="G2323" t="s">
        <v>40</v>
      </c>
      <c r="H2323" t="s">
        <v>8</v>
      </c>
      <c r="I2323" t="s">
        <v>9</v>
      </c>
      <c r="J2323" t="s">
        <v>25</v>
      </c>
      <c r="K2323" t="s">
        <v>26</v>
      </c>
      <c r="L2323" t="s">
        <v>12</v>
      </c>
      <c r="M2323" t="s">
        <v>35</v>
      </c>
      <c r="N2323" t="s">
        <v>37</v>
      </c>
      <c r="O2323" t="s">
        <v>18</v>
      </c>
      <c r="P2323">
        <v>3</v>
      </c>
    </row>
    <row r="2324" spans="1:16" x14ac:dyDescent="0.3">
      <c r="A2324">
        <v>2852</v>
      </c>
      <c r="B2324">
        <v>44536</v>
      </c>
      <c r="C2324">
        <v>75</v>
      </c>
      <c r="D2324">
        <v>17126</v>
      </c>
      <c r="E2324" t="s">
        <v>14</v>
      </c>
      <c r="F2324" t="s">
        <v>22</v>
      </c>
      <c r="G2324" t="s">
        <v>17</v>
      </c>
      <c r="H2324" t="s">
        <v>8</v>
      </c>
      <c r="I2324" t="s">
        <v>9</v>
      </c>
      <c r="J2324" t="s">
        <v>20</v>
      </c>
      <c r="K2324" t="s">
        <v>11</v>
      </c>
      <c r="L2324" t="s">
        <v>12</v>
      </c>
      <c r="M2324" t="s">
        <v>35</v>
      </c>
      <c r="N2324" t="s">
        <v>30</v>
      </c>
      <c r="O2324" t="s">
        <v>18</v>
      </c>
      <c r="P2324">
        <v>1</v>
      </c>
    </row>
    <row r="2325" spans="1:16" x14ac:dyDescent="0.3">
      <c r="A2325">
        <v>2853</v>
      </c>
      <c r="B2325">
        <v>44881</v>
      </c>
      <c r="C2325">
        <v>28</v>
      </c>
      <c r="D2325">
        <v>34430</v>
      </c>
      <c r="E2325" t="s">
        <v>14</v>
      </c>
      <c r="F2325" t="s">
        <v>22</v>
      </c>
      <c r="G2325" t="s">
        <v>17</v>
      </c>
      <c r="H2325" t="s">
        <v>8</v>
      </c>
      <c r="I2325" t="s">
        <v>66</v>
      </c>
      <c r="J2325" t="s">
        <v>10</v>
      </c>
      <c r="K2325" t="s">
        <v>26</v>
      </c>
      <c r="L2325" t="s">
        <v>12</v>
      </c>
      <c r="M2325" t="s">
        <v>32</v>
      </c>
      <c r="N2325" t="s">
        <v>30</v>
      </c>
      <c r="O2325" t="s">
        <v>56</v>
      </c>
      <c r="P2325">
        <v>1</v>
      </c>
    </row>
    <row r="2326" spans="1:16" x14ac:dyDescent="0.3">
      <c r="A2326">
        <v>2854</v>
      </c>
      <c r="B2326">
        <v>44775</v>
      </c>
      <c r="C2326">
        <v>77</v>
      </c>
      <c r="D2326">
        <v>16789</v>
      </c>
      <c r="E2326" t="s">
        <v>14</v>
      </c>
      <c r="F2326" t="s">
        <v>15</v>
      </c>
      <c r="G2326" t="s">
        <v>34</v>
      </c>
      <c r="H2326" t="s">
        <v>8</v>
      </c>
      <c r="I2326" t="s">
        <v>9</v>
      </c>
      <c r="J2326" t="s">
        <v>20</v>
      </c>
      <c r="K2326" t="s">
        <v>19</v>
      </c>
      <c r="L2326" t="s">
        <v>12</v>
      </c>
      <c r="M2326" t="s">
        <v>44</v>
      </c>
      <c r="N2326" t="s">
        <v>23</v>
      </c>
      <c r="O2326" t="s">
        <v>56</v>
      </c>
      <c r="P2326">
        <v>3</v>
      </c>
    </row>
    <row r="2327" spans="1:16" x14ac:dyDescent="0.3">
      <c r="A2327">
        <v>2855</v>
      </c>
      <c r="B2327">
        <v>44580</v>
      </c>
      <c r="C2327">
        <v>43</v>
      </c>
      <c r="D2327">
        <v>28904</v>
      </c>
      <c r="E2327" t="s">
        <v>14</v>
      </c>
      <c r="F2327" t="s">
        <v>15</v>
      </c>
      <c r="G2327" t="s">
        <v>31</v>
      </c>
      <c r="H2327" t="s">
        <v>8</v>
      </c>
      <c r="I2327" t="s">
        <v>9</v>
      </c>
      <c r="J2327" t="s">
        <v>20</v>
      </c>
      <c r="K2327" t="s">
        <v>11</v>
      </c>
      <c r="L2327" t="s">
        <v>12</v>
      </c>
      <c r="M2327" t="s">
        <v>35</v>
      </c>
      <c r="N2327" t="s">
        <v>37</v>
      </c>
      <c r="O2327" t="s">
        <v>56</v>
      </c>
      <c r="P2327">
        <v>5</v>
      </c>
    </row>
    <row r="2328" spans="1:16" x14ac:dyDescent="0.3">
      <c r="A2328">
        <v>2856</v>
      </c>
      <c r="B2328">
        <v>44660</v>
      </c>
      <c r="C2328">
        <v>70</v>
      </c>
      <c r="D2328">
        <v>19222</v>
      </c>
      <c r="E2328" t="s">
        <v>14</v>
      </c>
      <c r="F2328" t="s">
        <v>15</v>
      </c>
      <c r="G2328" t="s">
        <v>34</v>
      </c>
      <c r="H2328" t="s">
        <v>8</v>
      </c>
      <c r="I2328" t="s">
        <v>9</v>
      </c>
      <c r="J2328" t="s">
        <v>25</v>
      </c>
      <c r="K2328" t="s">
        <v>19</v>
      </c>
      <c r="L2328" t="s">
        <v>12</v>
      </c>
      <c r="M2328" t="s">
        <v>76</v>
      </c>
      <c r="N2328" t="s">
        <v>16</v>
      </c>
      <c r="O2328" t="s">
        <v>56</v>
      </c>
      <c r="P2328">
        <v>5</v>
      </c>
    </row>
    <row r="2329" spans="1:16" x14ac:dyDescent="0.3">
      <c r="A2329">
        <v>2857</v>
      </c>
      <c r="B2329">
        <v>43665</v>
      </c>
      <c r="C2329">
        <v>45</v>
      </c>
      <c r="D2329">
        <v>27334</v>
      </c>
      <c r="E2329" t="s">
        <v>14</v>
      </c>
      <c r="F2329" t="s">
        <v>22</v>
      </c>
      <c r="G2329" t="s">
        <v>31</v>
      </c>
      <c r="H2329" t="s">
        <v>8</v>
      </c>
      <c r="I2329" t="s">
        <v>9</v>
      </c>
      <c r="J2329" t="s">
        <v>25</v>
      </c>
      <c r="K2329" t="s">
        <v>19</v>
      </c>
      <c r="L2329" t="s">
        <v>12</v>
      </c>
      <c r="M2329" t="s">
        <v>32</v>
      </c>
      <c r="N2329" t="s">
        <v>16</v>
      </c>
      <c r="O2329" t="s">
        <v>18</v>
      </c>
      <c r="P2329">
        <v>2</v>
      </c>
    </row>
    <row r="2330" spans="1:16" x14ac:dyDescent="0.3">
      <c r="A2330">
        <v>2858</v>
      </c>
      <c r="B2330">
        <v>44441</v>
      </c>
      <c r="C2330">
        <v>47</v>
      </c>
      <c r="D2330">
        <v>27043</v>
      </c>
      <c r="E2330" t="s">
        <v>14</v>
      </c>
      <c r="F2330" t="s">
        <v>22</v>
      </c>
      <c r="G2330" t="s">
        <v>34</v>
      </c>
      <c r="H2330" t="s">
        <v>8</v>
      </c>
      <c r="I2330" t="s">
        <v>9</v>
      </c>
      <c r="J2330" t="s">
        <v>25</v>
      </c>
      <c r="K2330" t="s">
        <v>11</v>
      </c>
      <c r="L2330" t="s">
        <v>12</v>
      </c>
      <c r="M2330" t="s">
        <v>42</v>
      </c>
      <c r="N2330" t="s">
        <v>30</v>
      </c>
      <c r="O2330" t="s">
        <v>18</v>
      </c>
      <c r="P2330">
        <v>2</v>
      </c>
    </row>
    <row r="2331" spans="1:16" x14ac:dyDescent="0.3">
      <c r="A2331">
        <v>2859</v>
      </c>
      <c r="B2331">
        <v>43497</v>
      </c>
      <c r="C2331">
        <v>74</v>
      </c>
      <c r="D2331">
        <v>16503</v>
      </c>
      <c r="E2331" t="s">
        <v>14</v>
      </c>
      <c r="F2331" t="s">
        <v>22</v>
      </c>
      <c r="G2331" t="s">
        <v>40</v>
      </c>
      <c r="H2331" t="s">
        <v>8</v>
      </c>
      <c r="I2331" t="s">
        <v>9</v>
      </c>
      <c r="J2331" t="s">
        <v>25</v>
      </c>
      <c r="K2331" t="s">
        <v>11</v>
      </c>
      <c r="L2331" t="s">
        <v>12</v>
      </c>
      <c r="M2331" t="s">
        <v>35</v>
      </c>
      <c r="N2331" t="s">
        <v>30</v>
      </c>
      <c r="O2331" t="s">
        <v>56</v>
      </c>
      <c r="P2331">
        <v>3</v>
      </c>
    </row>
    <row r="2332" spans="1:16" x14ac:dyDescent="0.3">
      <c r="A2332">
        <v>2860</v>
      </c>
      <c r="B2332">
        <v>45029</v>
      </c>
      <c r="C2332">
        <v>62</v>
      </c>
      <c r="D2332">
        <v>22585</v>
      </c>
      <c r="E2332" t="s">
        <v>14</v>
      </c>
      <c r="F2332" t="s">
        <v>22</v>
      </c>
      <c r="G2332" t="s">
        <v>34</v>
      </c>
      <c r="H2332" t="s">
        <v>8</v>
      </c>
      <c r="I2332" t="s">
        <v>9</v>
      </c>
      <c r="J2332" t="s">
        <v>20</v>
      </c>
      <c r="K2332" t="s">
        <v>11</v>
      </c>
      <c r="L2332" t="s">
        <v>12</v>
      </c>
      <c r="M2332" t="s">
        <v>32</v>
      </c>
      <c r="N2332" t="s">
        <v>37</v>
      </c>
      <c r="O2332" t="s">
        <v>18</v>
      </c>
      <c r="P2332">
        <v>1</v>
      </c>
    </row>
    <row r="2333" spans="1:16" x14ac:dyDescent="0.3">
      <c r="A2333">
        <v>2861</v>
      </c>
      <c r="B2333">
        <v>43379</v>
      </c>
      <c r="C2333">
        <v>32</v>
      </c>
      <c r="D2333">
        <v>31606</v>
      </c>
      <c r="E2333" t="s">
        <v>14</v>
      </c>
      <c r="F2333" t="s">
        <v>22</v>
      </c>
      <c r="G2333" t="s">
        <v>17</v>
      </c>
      <c r="H2333" t="s">
        <v>8</v>
      </c>
      <c r="I2333" t="s">
        <v>9</v>
      </c>
      <c r="J2333" t="s">
        <v>25</v>
      </c>
      <c r="K2333" t="s">
        <v>11</v>
      </c>
      <c r="L2333" t="s">
        <v>12</v>
      </c>
      <c r="M2333" t="s">
        <v>32</v>
      </c>
      <c r="N2333" t="s">
        <v>16</v>
      </c>
      <c r="O2333" t="s">
        <v>18</v>
      </c>
      <c r="P2333">
        <v>4</v>
      </c>
    </row>
    <row r="2334" spans="1:16" x14ac:dyDescent="0.3">
      <c r="A2334">
        <v>2862</v>
      </c>
      <c r="B2334">
        <v>43914</v>
      </c>
      <c r="C2334">
        <v>77</v>
      </c>
      <c r="D2334">
        <v>15901</v>
      </c>
      <c r="E2334" t="s">
        <v>14</v>
      </c>
      <c r="F2334" t="s">
        <v>22</v>
      </c>
      <c r="G2334" t="s">
        <v>31</v>
      </c>
      <c r="H2334" t="s">
        <v>64</v>
      </c>
      <c r="I2334" t="s">
        <v>9</v>
      </c>
      <c r="J2334" t="s">
        <v>20</v>
      </c>
      <c r="K2334" t="s">
        <v>26</v>
      </c>
      <c r="L2334" t="s">
        <v>12</v>
      </c>
      <c r="M2334" t="s">
        <v>42</v>
      </c>
      <c r="N2334" t="s">
        <v>30</v>
      </c>
      <c r="O2334" t="s">
        <v>18</v>
      </c>
      <c r="P2334">
        <v>2</v>
      </c>
    </row>
    <row r="2335" spans="1:16" x14ac:dyDescent="0.3">
      <c r="A2335">
        <v>2863</v>
      </c>
      <c r="B2335">
        <v>44477</v>
      </c>
      <c r="C2335">
        <v>78</v>
      </c>
      <c r="D2335">
        <v>16049</v>
      </c>
      <c r="E2335" t="s">
        <v>14</v>
      </c>
      <c r="F2335" t="s">
        <v>22</v>
      </c>
      <c r="G2335" t="s">
        <v>17</v>
      </c>
      <c r="H2335" t="s">
        <v>64</v>
      </c>
      <c r="I2335" t="s">
        <v>9</v>
      </c>
      <c r="J2335" t="s">
        <v>25</v>
      </c>
      <c r="K2335" t="s">
        <v>26</v>
      </c>
      <c r="L2335" t="s">
        <v>12</v>
      </c>
      <c r="M2335" t="s">
        <v>63</v>
      </c>
      <c r="N2335" t="s">
        <v>30</v>
      </c>
      <c r="O2335" t="s">
        <v>56</v>
      </c>
      <c r="P2335">
        <v>2</v>
      </c>
    </row>
    <row r="2336" spans="1:16" x14ac:dyDescent="0.3">
      <c r="A2336">
        <v>2864</v>
      </c>
      <c r="B2336">
        <v>44697</v>
      </c>
      <c r="C2336">
        <v>27</v>
      </c>
      <c r="D2336">
        <v>35059</v>
      </c>
      <c r="E2336" t="s">
        <v>14</v>
      </c>
      <c r="F2336" t="s">
        <v>22</v>
      </c>
      <c r="G2336" t="s">
        <v>31</v>
      </c>
      <c r="H2336" t="s">
        <v>64</v>
      </c>
      <c r="I2336" t="s">
        <v>9</v>
      </c>
      <c r="J2336" t="s">
        <v>20</v>
      </c>
      <c r="K2336" t="s">
        <v>26</v>
      </c>
      <c r="L2336" t="s">
        <v>12</v>
      </c>
      <c r="M2336" t="s">
        <v>35</v>
      </c>
      <c r="N2336" t="s">
        <v>46</v>
      </c>
      <c r="O2336" t="s">
        <v>18</v>
      </c>
      <c r="P2336">
        <v>3</v>
      </c>
    </row>
    <row r="2337" spans="1:16" x14ac:dyDescent="0.3">
      <c r="A2337">
        <v>2865</v>
      </c>
      <c r="B2337">
        <v>44691</v>
      </c>
      <c r="C2337">
        <v>53</v>
      </c>
      <c r="D2337">
        <v>25442</v>
      </c>
      <c r="E2337" t="s">
        <v>14</v>
      </c>
      <c r="F2337" t="s">
        <v>15</v>
      </c>
      <c r="G2337" t="s">
        <v>40</v>
      </c>
      <c r="H2337" t="s">
        <v>64</v>
      </c>
      <c r="I2337" t="s">
        <v>66</v>
      </c>
      <c r="J2337" t="s">
        <v>20</v>
      </c>
      <c r="K2337" t="s">
        <v>11</v>
      </c>
      <c r="L2337" t="s">
        <v>12</v>
      </c>
      <c r="M2337" t="s">
        <v>32</v>
      </c>
      <c r="N2337" t="s">
        <v>16</v>
      </c>
      <c r="O2337" t="s">
        <v>18</v>
      </c>
      <c r="P2337">
        <v>2</v>
      </c>
    </row>
    <row r="2338" spans="1:16" x14ac:dyDescent="0.3">
      <c r="A2338">
        <v>2866</v>
      </c>
      <c r="B2338">
        <v>44516</v>
      </c>
      <c r="C2338">
        <v>70</v>
      </c>
      <c r="D2338">
        <v>18878</v>
      </c>
      <c r="E2338" t="s">
        <v>14</v>
      </c>
      <c r="F2338" t="s">
        <v>15</v>
      </c>
      <c r="G2338" t="s">
        <v>31</v>
      </c>
      <c r="H2338" t="s">
        <v>64</v>
      </c>
      <c r="I2338" t="s">
        <v>9</v>
      </c>
      <c r="J2338" t="s">
        <v>20</v>
      </c>
      <c r="K2338" t="s">
        <v>11</v>
      </c>
      <c r="L2338" t="s">
        <v>12</v>
      </c>
      <c r="M2338" t="s">
        <v>35</v>
      </c>
      <c r="N2338" t="s">
        <v>23</v>
      </c>
      <c r="O2338" t="s">
        <v>18</v>
      </c>
      <c r="P2338">
        <v>3</v>
      </c>
    </row>
    <row r="2339" spans="1:16" x14ac:dyDescent="0.3">
      <c r="A2339">
        <v>2867</v>
      </c>
      <c r="B2339">
        <v>43521</v>
      </c>
      <c r="C2339">
        <v>25</v>
      </c>
      <c r="D2339">
        <v>34500</v>
      </c>
      <c r="E2339" t="s">
        <v>14</v>
      </c>
      <c r="F2339" t="s">
        <v>15</v>
      </c>
      <c r="G2339" t="s">
        <v>31</v>
      </c>
      <c r="H2339" t="s">
        <v>64</v>
      </c>
      <c r="I2339" t="s">
        <v>9</v>
      </c>
      <c r="J2339" t="s">
        <v>20</v>
      </c>
      <c r="K2339" t="s">
        <v>19</v>
      </c>
      <c r="L2339" t="s">
        <v>12</v>
      </c>
      <c r="M2339" t="s">
        <v>68</v>
      </c>
      <c r="N2339" t="s">
        <v>16</v>
      </c>
      <c r="O2339" t="s">
        <v>18</v>
      </c>
      <c r="P2339">
        <v>1</v>
      </c>
    </row>
    <row r="2340" spans="1:16" x14ac:dyDescent="0.3">
      <c r="A2340">
        <v>2868</v>
      </c>
      <c r="B2340">
        <v>44743</v>
      </c>
      <c r="C2340">
        <v>76</v>
      </c>
      <c r="D2340">
        <v>16947</v>
      </c>
      <c r="E2340" t="s">
        <v>14</v>
      </c>
      <c r="F2340" t="s">
        <v>22</v>
      </c>
      <c r="G2340" t="s">
        <v>34</v>
      </c>
      <c r="H2340" t="s">
        <v>8</v>
      </c>
      <c r="I2340" t="s">
        <v>9</v>
      </c>
      <c r="J2340" t="s">
        <v>25</v>
      </c>
      <c r="K2340" t="s">
        <v>19</v>
      </c>
      <c r="L2340" t="s">
        <v>12</v>
      </c>
      <c r="M2340" t="s">
        <v>44</v>
      </c>
      <c r="N2340" t="s">
        <v>37</v>
      </c>
      <c r="O2340" t="s">
        <v>18</v>
      </c>
      <c r="P2340">
        <v>4</v>
      </c>
    </row>
    <row r="2341" spans="1:16" x14ac:dyDescent="0.3">
      <c r="A2341">
        <v>2869</v>
      </c>
      <c r="B2341">
        <v>44912</v>
      </c>
      <c r="C2341">
        <v>79</v>
      </c>
      <c r="D2341">
        <v>15787</v>
      </c>
      <c r="E2341" t="s">
        <v>14</v>
      </c>
      <c r="F2341" t="s">
        <v>22</v>
      </c>
      <c r="G2341" t="s">
        <v>17</v>
      </c>
      <c r="H2341" t="s">
        <v>8</v>
      </c>
      <c r="I2341" t="s">
        <v>9</v>
      </c>
      <c r="J2341" t="s">
        <v>10</v>
      </c>
      <c r="K2341" t="s">
        <v>19</v>
      </c>
      <c r="L2341" t="s">
        <v>12</v>
      </c>
      <c r="M2341" t="s">
        <v>21</v>
      </c>
      <c r="N2341" t="s">
        <v>37</v>
      </c>
      <c r="O2341" t="s">
        <v>18</v>
      </c>
      <c r="P2341">
        <v>5</v>
      </c>
    </row>
    <row r="2342" spans="1:16" x14ac:dyDescent="0.3">
      <c r="A2342">
        <v>2870</v>
      </c>
      <c r="B2342">
        <v>45133</v>
      </c>
      <c r="C2342">
        <v>73</v>
      </c>
      <c r="D2342">
        <v>18514</v>
      </c>
      <c r="E2342" t="s">
        <v>14</v>
      </c>
      <c r="F2342" t="s">
        <v>22</v>
      </c>
      <c r="G2342" t="s">
        <v>34</v>
      </c>
      <c r="H2342" t="s">
        <v>8</v>
      </c>
      <c r="I2342" t="s">
        <v>9</v>
      </c>
      <c r="J2342" t="s">
        <v>20</v>
      </c>
      <c r="K2342" t="s">
        <v>26</v>
      </c>
      <c r="L2342" t="s">
        <v>12</v>
      </c>
      <c r="M2342" t="s">
        <v>76</v>
      </c>
      <c r="N2342" t="s">
        <v>37</v>
      </c>
      <c r="O2342" t="s">
        <v>18</v>
      </c>
      <c r="P2342">
        <v>3</v>
      </c>
    </row>
    <row r="2343" spans="1:16" x14ac:dyDescent="0.3">
      <c r="A2343">
        <v>2871</v>
      </c>
      <c r="B2343">
        <v>44631</v>
      </c>
      <c r="C2343">
        <v>69</v>
      </c>
      <c r="D2343">
        <v>19476</v>
      </c>
      <c r="E2343" t="s">
        <v>14</v>
      </c>
      <c r="F2343" t="s">
        <v>22</v>
      </c>
      <c r="G2343" t="s">
        <v>40</v>
      </c>
      <c r="H2343" t="s">
        <v>8</v>
      </c>
      <c r="I2343" t="s">
        <v>9</v>
      </c>
      <c r="J2343" t="s">
        <v>10</v>
      </c>
      <c r="K2343" t="s">
        <v>19</v>
      </c>
      <c r="L2343" t="s">
        <v>12</v>
      </c>
      <c r="M2343" t="s">
        <v>60</v>
      </c>
      <c r="N2343" t="s">
        <v>23</v>
      </c>
      <c r="O2343" t="s">
        <v>18</v>
      </c>
      <c r="P2343">
        <v>5</v>
      </c>
    </row>
    <row r="2344" spans="1:16" x14ac:dyDescent="0.3">
      <c r="A2344">
        <v>2872</v>
      </c>
      <c r="B2344">
        <v>44011</v>
      </c>
      <c r="C2344">
        <v>53</v>
      </c>
      <c r="D2344">
        <v>24809</v>
      </c>
      <c r="E2344" t="s">
        <v>14</v>
      </c>
      <c r="F2344" t="s">
        <v>22</v>
      </c>
      <c r="G2344" t="s">
        <v>34</v>
      </c>
      <c r="H2344" t="s">
        <v>8</v>
      </c>
      <c r="I2344" t="s">
        <v>9</v>
      </c>
      <c r="J2344" t="s">
        <v>10</v>
      </c>
      <c r="K2344" t="s">
        <v>26</v>
      </c>
      <c r="L2344" t="s">
        <v>12</v>
      </c>
      <c r="M2344" t="s">
        <v>59</v>
      </c>
      <c r="N2344" t="s">
        <v>23</v>
      </c>
      <c r="O2344" t="s">
        <v>18</v>
      </c>
      <c r="P2344">
        <v>5</v>
      </c>
    </row>
    <row r="2345" spans="1:16" x14ac:dyDescent="0.3">
      <c r="A2345">
        <v>2873</v>
      </c>
      <c r="B2345">
        <v>44648</v>
      </c>
      <c r="C2345">
        <v>24</v>
      </c>
      <c r="D2345">
        <v>36050</v>
      </c>
      <c r="E2345" t="s">
        <v>14</v>
      </c>
      <c r="F2345" t="s">
        <v>22</v>
      </c>
      <c r="G2345" t="s">
        <v>40</v>
      </c>
      <c r="H2345" t="s">
        <v>8</v>
      </c>
      <c r="I2345" t="s">
        <v>9</v>
      </c>
      <c r="J2345" t="s">
        <v>20</v>
      </c>
      <c r="K2345" t="s">
        <v>19</v>
      </c>
      <c r="L2345" t="s">
        <v>12</v>
      </c>
      <c r="M2345" t="s">
        <v>35</v>
      </c>
      <c r="N2345" t="s">
        <v>23</v>
      </c>
      <c r="O2345" t="s">
        <v>18</v>
      </c>
      <c r="P2345">
        <v>2</v>
      </c>
    </row>
    <row r="2346" spans="1:16" x14ac:dyDescent="0.3">
      <c r="A2346">
        <v>2874</v>
      </c>
      <c r="B2346">
        <v>44606</v>
      </c>
      <c r="C2346">
        <v>69</v>
      </c>
      <c r="D2346">
        <v>19705</v>
      </c>
      <c r="E2346" t="s">
        <v>14</v>
      </c>
      <c r="F2346" t="s">
        <v>22</v>
      </c>
      <c r="G2346" t="s">
        <v>40</v>
      </c>
      <c r="H2346" t="s">
        <v>8</v>
      </c>
      <c r="I2346" t="s">
        <v>9</v>
      </c>
      <c r="J2346" t="s">
        <v>20</v>
      </c>
      <c r="K2346" t="s">
        <v>19</v>
      </c>
      <c r="L2346" t="s">
        <v>12</v>
      </c>
      <c r="M2346" t="s">
        <v>55</v>
      </c>
      <c r="N2346" t="s">
        <v>16</v>
      </c>
      <c r="O2346" t="s">
        <v>18</v>
      </c>
      <c r="P2346">
        <v>5</v>
      </c>
    </row>
    <row r="2347" spans="1:16" x14ac:dyDescent="0.3">
      <c r="A2347">
        <v>2875</v>
      </c>
      <c r="B2347">
        <v>44190</v>
      </c>
      <c r="C2347">
        <v>39</v>
      </c>
      <c r="D2347">
        <v>29740</v>
      </c>
      <c r="E2347" t="s">
        <v>14</v>
      </c>
      <c r="F2347" t="s">
        <v>15</v>
      </c>
      <c r="G2347" t="s">
        <v>40</v>
      </c>
      <c r="H2347" t="s">
        <v>8</v>
      </c>
      <c r="I2347" t="s">
        <v>9</v>
      </c>
      <c r="J2347" t="s">
        <v>25</v>
      </c>
      <c r="K2347" t="s">
        <v>11</v>
      </c>
      <c r="L2347" t="s">
        <v>12</v>
      </c>
      <c r="M2347" t="s">
        <v>32</v>
      </c>
      <c r="N2347" t="s">
        <v>37</v>
      </c>
      <c r="O2347" t="s">
        <v>18</v>
      </c>
      <c r="P2347">
        <v>5</v>
      </c>
    </row>
    <row r="2348" spans="1:16" x14ac:dyDescent="0.3">
      <c r="A2348">
        <v>2876</v>
      </c>
      <c r="B2348">
        <v>45043</v>
      </c>
      <c r="C2348">
        <v>66</v>
      </c>
      <c r="D2348">
        <v>20919</v>
      </c>
      <c r="E2348" t="s">
        <v>14</v>
      </c>
      <c r="F2348" t="s">
        <v>15</v>
      </c>
      <c r="G2348" t="s">
        <v>40</v>
      </c>
      <c r="H2348" t="s">
        <v>8</v>
      </c>
      <c r="I2348" t="s">
        <v>9</v>
      </c>
      <c r="J2348" t="s">
        <v>20</v>
      </c>
      <c r="K2348" t="s">
        <v>19</v>
      </c>
      <c r="L2348" t="s">
        <v>12</v>
      </c>
      <c r="M2348" t="s">
        <v>35</v>
      </c>
      <c r="N2348" t="s">
        <v>46</v>
      </c>
      <c r="O2348" t="s">
        <v>18</v>
      </c>
      <c r="P2348">
        <v>3</v>
      </c>
    </row>
    <row r="2349" spans="1:16" x14ac:dyDescent="0.3">
      <c r="A2349">
        <v>2877</v>
      </c>
      <c r="B2349">
        <v>44876</v>
      </c>
      <c r="C2349">
        <v>78</v>
      </c>
      <c r="D2349">
        <v>16434</v>
      </c>
      <c r="E2349" t="s">
        <v>14</v>
      </c>
      <c r="F2349" t="s">
        <v>15</v>
      </c>
      <c r="G2349" t="s">
        <v>17</v>
      </c>
      <c r="H2349" t="s">
        <v>8</v>
      </c>
      <c r="I2349" t="s">
        <v>9</v>
      </c>
      <c r="J2349" t="s">
        <v>10</v>
      </c>
      <c r="K2349" t="s">
        <v>26</v>
      </c>
      <c r="L2349" t="s">
        <v>12</v>
      </c>
      <c r="M2349" t="s">
        <v>54</v>
      </c>
      <c r="N2349" t="s">
        <v>46</v>
      </c>
      <c r="O2349" t="s">
        <v>18</v>
      </c>
      <c r="P2349">
        <v>4</v>
      </c>
    </row>
    <row r="2350" spans="1:16" x14ac:dyDescent="0.3">
      <c r="A2350">
        <v>2878</v>
      </c>
      <c r="B2350">
        <v>44320</v>
      </c>
      <c r="C2350">
        <v>64</v>
      </c>
      <c r="D2350">
        <v>21043</v>
      </c>
      <c r="E2350" t="s">
        <v>14</v>
      </c>
      <c r="F2350" t="s">
        <v>22</v>
      </c>
      <c r="G2350" t="s">
        <v>34</v>
      </c>
      <c r="H2350" t="s">
        <v>8</v>
      </c>
      <c r="I2350" t="s">
        <v>9</v>
      </c>
      <c r="J2350" t="s">
        <v>20</v>
      </c>
      <c r="K2350" t="s">
        <v>19</v>
      </c>
      <c r="L2350" t="s">
        <v>12</v>
      </c>
      <c r="M2350" t="s">
        <v>28</v>
      </c>
      <c r="N2350" t="s">
        <v>37</v>
      </c>
      <c r="O2350" t="s">
        <v>18</v>
      </c>
      <c r="P2350">
        <v>3</v>
      </c>
    </row>
    <row r="2351" spans="1:16" x14ac:dyDescent="0.3">
      <c r="A2351">
        <v>2879</v>
      </c>
      <c r="B2351">
        <v>43454</v>
      </c>
      <c r="C2351">
        <v>56</v>
      </c>
      <c r="D2351">
        <v>22965</v>
      </c>
      <c r="E2351" t="s">
        <v>14</v>
      </c>
      <c r="F2351" t="s">
        <v>22</v>
      </c>
      <c r="G2351" t="s">
        <v>34</v>
      </c>
      <c r="H2351" t="s">
        <v>8</v>
      </c>
      <c r="I2351" t="s">
        <v>9</v>
      </c>
      <c r="J2351" t="s">
        <v>25</v>
      </c>
      <c r="K2351" t="s">
        <v>19</v>
      </c>
      <c r="L2351" t="s">
        <v>12</v>
      </c>
      <c r="M2351" t="s">
        <v>44</v>
      </c>
      <c r="N2351" t="s">
        <v>37</v>
      </c>
      <c r="O2351" t="s">
        <v>18</v>
      </c>
      <c r="P2351">
        <v>5</v>
      </c>
    </row>
    <row r="2352" spans="1:16" x14ac:dyDescent="0.3">
      <c r="A2352">
        <v>2880</v>
      </c>
      <c r="B2352">
        <v>44358</v>
      </c>
      <c r="C2352">
        <v>21</v>
      </c>
      <c r="D2352">
        <v>36759</v>
      </c>
      <c r="E2352" t="s">
        <v>14</v>
      </c>
      <c r="F2352" t="s">
        <v>15</v>
      </c>
      <c r="G2352" t="s">
        <v>31</v>
      </c>
      <c r="H2352" t="s">
        <v>8</v>
      </c>
      <c r="I2352" t="s">
        <v>9</v>
      </c>
      <c r="J2352" t="s">
        <v>10</v>
      </c>
      <c r="K2352" t="s">
        <v>19</v>
      </c>
      <c r="L2352" t="s">
        <v>12</v>
      </c>
      <c r="M2352" t="s">
        <v>32</v>
      </c>
      <c r="N2352" t="s">
        <v>37</v>
      </c>
      <c r="O2352" t="s">
        <v>18</v>
      </c>
      <c r="P2352">
        <v>1</v>
      </c>
    </row>
    <row r="2353" spans="1:16" x14ac:dyDescent="0.3">
      <c r="A2353">
        <v>2881</v>
      </c>
      <c r="B2353">
        <v>45084</v>
      </c>
      <c r="C2353">
        <v>67</v>
      </c>
      <c r="D2353">
        <v>20567</v>
      </c>
      <c r="E2353" t="s">
        <v>14</v>
      </c>
      <c r="F2353" t="s">
        <v>22</v>
      </c>
      <c r="G2353" t="s">
        <v>40</v>
      </c>
      <c r="H2353" t="s">
        <v>8</v>
      </c>
      <c r="I2353" t="s">
        <v>9</v>
      </c>
      <c r="J2353" t="s">
        <v>10</v>
      </c>
      <c r="K2353" t="s">
        <v>26</v>
      </c>
      <c r="L2353" t="s">
        <v>12</v>
      </c>
      <c r="M2353" t="s">
        <v>35</v>
      </c>
      <c r="N2353" t="s">
        <v>46</v>
      </c>
      <c r="O2353" t="s">
        <v>18</v>
      </c>
      <c r="P2353">
        <v>4</v>
      </c>
    </row>
    <row r="2354" spans="1:16" x14ac:dyDescent="0.3">
      <c r="A2354">
        <v>2882</v>
      </c>
      <c r="B2354">
        <v>43606</v>
      </c>
      <c r="C2354">
        <v>41</v>
      </c>
      <c r="D2354">
        <v>28823</v>
      </c>
      <c r="E2354" t="s">
        <v>14</v>
      </c>
      <c r="F2354" t="s">
        <v>22</v>
      </c>
      <c r="G2354" t="s">
        <v>17</v>
      </c>
      <c r="H2354" t="s">
        <v>8</v>
      </c>
      <c r="I2354" t="s">
        <v>66</v>
      </c>
      <c r="J2354" t="s">
        <v>20</v>
      </c>
      <c r="K2354" t="s">
        <v>26</v>
      </c>
      <c r="L2354" t="s">
        <v>12</v>
      </c>
      <c r="M2354" t="s">
        <v>58</v>
      </c>
      <c r="N2354" t="s">
        <v>46</v>
      </c>
      <c r="O2354" t="s">
        <v>18</v>
      </c>
      <c r="P2354">
        <v>2</v>
      </c>
    </row>
    <row r="2355" spans="1:16" x14ac:dyDescent="0.3">
      <c r="A2355">
        <v>2883</v>
      </c>
      <c r="B2355">
        <v>43525</v>
      </c>
      <c r="C2355">
        <v>59</v>
      </c>
      <c r="D2355">
        <v>22099</v>
      </c>
      <c r="E2355" t="s">
        <v>14</v>
      </c>
      <c r="F2355" t="s">
        <v>22</v>
      </c>
      <c r="G2355" t="s">
        <v>34</v>
      </c>
      <c r="H2355" t="s">
        <v>64</v>
      </c>
      <c r="I2355" t="s">
        <v>9</v>
      </c>
      <c r="J2355" t="s">
        <v>20</v>
      </c>
      <c r="K2355" t="s">
        <v>11</v>
      </c>
      <c r="L2355" t="s">
        <v>12</v>
      </c>
      <c r="M2355" t="s">
        <v>32</v>
      </c>
      <c r="N2355" t="s">
        <v>23</v>
      </c>
      <c r="O2355" t="s">
        <v>18</v>
      </c>
      <c r="P2355">
        <v>3</v>
      </c>
    </row>
    <row r="2356" spans="1:16" x14ac:dyDescent="0.3">
      <c r="A2356">
        <v>2884</v>
      </c>
      <c r="B2356">
        <v>44618</v>
      </c>
      <c r="C2356">
        <v>43</v>
      </c>
      <c r="D2356">
        <v>29112</v>
      </c>
      <c r="E2356" t="s">
        <v>14</v>
      </c>
      <c r="F2356" t="s">
        <v>22</v>
      </c>
      <c r="G2356" t="s">
        <v>34</v>
      </c>
      <c r="H2356" t="s">
        <v>64</v>
      </c>
      <c r="I2356" t="s">
        <v>9</v>
      </c>
      <c r="J2356" t="s">
        <v>20</v>
      </c>
      <c r="K2356" t="s">
        <v>19</v>
      </c>
      <c r="L2356" t="s">
        <v>12</v>
      </c>
      <c r="M2356" t="s">
        <v>59</v>
      </c>
      <c r="N2356" t="s">
        <v>30</v>
      </c>
      <c r="O2356" t="s">
        <v>18</v>
      </c>
      <c r="P2356">
        <v>2</v>
      </c>
    </row>
    <row r="2357" spans="1:16" x14ac:dyDescent="0.3">
      <c r="A2357">
        <v>2886</v>
      </c>
      <c r="B2357">
        <v>44049</v>
      </c>
      <c r="C2357">
        <v>37</v>
      </c>
      <c r="D2357">
        <v>30619</v>
      </c>
      <c r="E2357" t="s">
        <v>14</v>
      </c>
      <c r="F2357" t="s">
        <v>22</v>
      </c>
      <c r="G2357" t="s">
        <v>34</v>
      </c>
      <c r="H2357" t="s">
        <v>64</v>
      </c>
      <c r="I2357" t="s">
        <v>9</v>
      </c>
      <c r="J2357" t="s">
        <v>10</v>
      </c>
      <c r="K2357" t="s">
        <v>19</v>
      </c>
      <c r="L2357" t="s">
        <v>12</v>
      </c>
      <c r="M2357" t="s">
        <v>35</v>
      </c>
      <c r="N2357" t="s">
        <v>46</v>
      </c>
      <c r="O2357" t="s">
        <v>18</v>
      </c>
      <c r="P2357">
        <v>5</v>
      </c>
    </row>
    <row r="2358" spans="1:16" x14ac:dyDescent="0.3">
      <c r="A2358">
        <v>2887</v>
      </c>
      <c r="B2358">
        <v>43858</v>
      </c>
      <c r="C2358">
        <v>33</v>
      </c>
      <c r="D2358">
        <v>31894</v>
      </c>
      <c r="E2358" t="s">
        <v>14</v>
      </c>
      <c r="F2358" t="s">
        <v>15</v>
      </c>
      <c r="G2358" t="s">
        <v>34</v>
      </c>
      <c r="H2358" t="s">
        <v>64</v>
      </c>
      <c r="I2358" t="s">
        <v>66</v>
      </c>
      <c r="J2358" t="s">
        <v>25</v>
      </c>
      <c r="K2358" t="s">
        <v>19</v>
      </c>
      <c r="L2358" t="s">
        <v>12</v>
      </c>
      <c r="M2358" t="s">
        <v>58</v>
      </c>
      <c r="N2358" t="s">
        <v>37</v>
      </c>
      <c r="O2358" t="s">
        <v>18</v>
      </c>
      <c r="P2358">
        <v>1</v>
      </c>
    </row>
    <row r="2359" spans="1:16" x14ac:dyDescent="0.3">
      <c r="A2359">
        <v>2890</v>
      </c>
      <c r="B2359">
        <v>44841</v>
      </c>
      <c r="C2359">
        <v>34</v>
      </c>
      <c r="D2359">
        <v>32344</v>
      </c>
      <c r="E2359" t="s">
        <v>14</v>
      </c>
      <c r="F2359" t="s">
        <v>22</v>
      </c>
      <c r="G2359" t="s">
        <v>31</v>
      </c>
      <c r="H2359" t="s">
        <v>8</v>
      </c>
      <c r="I2359" t="s">
        <v>9</v>
      </c>
      <c r="J2359" t="s">
        <v>25</v>
      </c>
      <c r="K2359" t="s">
        <v>19</v>
      </c>
      <c r="L2359" t="s">
        <v>12</v>
      </c>
      <c r="M2359" t="s">
        <v>28</v>
      </c>
      <c r="N2359" t="s">
        <v>37</v>
      </c>
      <c r="O2359" t="s">
        <v>18</v>
      </c>
      <c r="P2359">
        <v>5</v>
      </c>
    </row>
    <row r="2360" spans="1:16" x14ac:dyDescent="0.3">
      <c r="A2360">
        <v>2891</v>
      </c>
      <c r="B2360">
        <v>44419</v>
      </c>
      <c r="C2360">
        <v>26</v>
      </c>
      <c r="D2360">
        <v>34927</v>
      </c>
      <c r="E2360" t="s">
        <v>14</v>
      </c>
      <c r="F2360" t="s">
        <v>22</v>
      </c>
      <c r="G2360" t="s">
        <v>17</v>
      </c>
      <c r="H2360" t="s">
        <v>8</v>
      </c>
      <c r="I2360" t="s">
        <v>9</v>
      </c>
      <c r="J2360" t="s">
        <v>10</v>
      </c>
      <c r="K2360" t="s">
        <v>19</v>
      </c>
      <c r="L2360" t="s">
        <v>12</v>
      </c>
      <c r="M2360" t="s">
        <v>59</v>
      </c>
      <c r="N2360" t="s">
        <v>37</v>
      </c>
      <c r="O2360" t="s">
        <v>18</v>
      </c>
      <c r="P2360">
        <v>2</v>
      </c>
    </row>
    <row r="2361" spans="1:16" x14ac:dyDescent="0.3">
      <c r="A2361">
        <v>2892</v>
      </c>
      <c r="B2361">
        <v>44296</v>
      </c>
      <c r="C2361">
        <v>61</v>
      </c>
      <c r="D2361">
        <v>22256</v>
      </c>
      <c r="E2361" t="s">
        <v>14</v>
      </c>
      <c r="F2361" t="s">
        <v>22</v>
      </c>
      <c r="G2361" t="s">
        <v>40</v>
      </c>
      <c r="H2361" t="s">
        <v>8</v>
      </c>
      <c r="I2361" t="s">
        <v>9</v>
      </c>
      <c r="J2361" t="s">
        <v>10</v>
      </c>
      <c r="K2361" t="s">
        <v>19</v>
      </c>
      <c r="L2361" t="s">
        <v>12</v>
      </c>
      <c r="M2361" t="s">
        <v>60</v>
      </c>
      <c r="N2361" t="s">
        <v>23</v>
      </c>
      <c r="O2361" t="s">
        <v>18</v>
      </c>
      <c r="P2361">
        <v>1</v>
      </c>
    </row>
    <row r="2362" spans="1:16" x14ac:dyDescent="0.3">
      <c r="A2362">
        <v>2893</v>
      </c>
      <c r="B2362">
        <v>44616</v>
      </c>
      <c r="C2362">
        <v>77</v>
      </c>
      <c r="D2362">
        <v>16462</v>
      </c>
      <c r="E2362" t="s">
        <v>14</v>
      </c>
      <c r="F2362" t="s">
        <v>22</v>
      </c>
      <c r="G2362" t="s">
        <v>40</v>
      </c>
      <c r="H2362" t="s">
        <v>8</v>
      </c>
      <c r="I2362" t="s">
        <v>9</v>
      </c>
      <c r="J2362" t="s">
        <v>25</v>
      </c>
      <c r="K2362" t="s">
        <v>19</v>
      </c>
      <c r="L2362" t="s">
        <v>12</v>
      </c>
      <c r="M2362" t="s">
        <v>35</v>
      </c>
      <c r="N2362" t="s">
        <v>16</v>
      </c>
      <c r="O2362" t="s">
        <v>18</v>
      </c>
      <c r="P2362">
        <v>1</v>
      </c>
    </row>
    <row r="2363" spans="1:16" x14ac:dyDescent="0.3">
      <c r="A2363">
        <v>2894</v>
      </c>
      <c r="B2363">
        <v>44743</v>
      </c>
      <c r="C2363">
        <v>73</v>
      </c>
      <c r="D2363">
        <v>18101</v>
      </c>
      <c r="E2363" t="s">
        <v>14</v>
      </c>
      <c r="F2363" t="s">
        <v>22</v>
      </c>
      <c r="G2363" t="s">
        <v>31</v>
      </c>
      <c r="H2363" t="s">
        <v>8</v>
      </c>
      <c r="I2363" t="s">
        <v>9</v>
      </c>
      <c r="J2363" t="s">
        <v>20</v>
      </c>
      <c r="K2363" t="s">
        <v>26</v>
      </c>
      <c r="L2363" t="s">
        <v>12</v>
      </c>
      <c r="M2363" t="s">
        <v>35</v>
      </c>
      <c r="N2363" t="s">
        <v>16</v>
      </c>
      <c r="O2363" t="s">
        <v>18</v>
      </c>
      <c r="P2363">
        <v>4</v>
      </c>
    </row>
    <row r="2364" spans="1:16" x14ac:dyDescent="0.3">
      <c r="A2364">
        <v>2895</v>
      </c>
      <c r="B2364">
        <v>45020</v>
      </c>
      <c r="C2364">
        <v>25</v>
      </c>
      <c r="D2364">
        <v>35896</v>
      </c>
      <c r="E2364" t="s">
        <v>14</v>
      </c>
      <c r="F2364" t="s">
        <v>22</v>
      </c>
      <c r="G2364" t="s">
        <v>34</v>
      </c>
      <c r="H2364" t="s">
        <v>8</v>
      </c>
      <c r="I2364" t="s">
        <v>66</v>
      </c>
      <c r="J2364" t="s">
        <v>25</v>
      </c>
      <c r="K2364" t="s">
        <v>19</v>
      </c>
      <c r="L2364" t="s">
        <v>12</v>
      </c>
      <c r="M2364" t="s">
        <v>35</v>
      </c>
      <c r="N2364" t="s">
        <v>46</v>
      </c>
      <c r="O2364" t="s">
        <v>18</v>
      </c>
      <c r="P2364">
        <v>2</v>
      </c>
    </row>
    <row r="2365" spans="1:16" x14ac:dyDescent="0.3">
      <c r="A2365">
        <v>2896</v>
      </c>
      <c r="B2365">
        <v>44494</v>
      </c>
      <c r="C2365">
        <v>42</v>
      </c>
      <c r="D2365">
        <v>29187</v>
      </c>
      <c r="E2365" t="s">
        <v>14</v>
      </c>
      <c r="F2365" t="s">
        <v>22</v>
      </c>
      <c r="G2365" t="s">
        <v>40</v>
      </c>
      <c r="H2365" t="s">
        <v>8</v>
      </c>
      <c r="I2365" t="s">
        <v>9</v>
      </c>
      <c r="J2365" t="s">
        <v>25</v>
      </c>
      <c r="K2365" t="s">
        <v>26</v>
      </c>
      <c r="L2365" t="s">
        <v>12</v>
      </c>
      <c r="M2365" t="s">
        <v>35</v>
      </c>
      <c r="N2365" t="s">
        <v>30</v>
      </c>
      <c r="O2365" t="s">
        <v>18</v>
      </c>
      <c r="P2365">
        <v>4</v>
      </c>
    </row>
    <row r="2366" spans="1:16" x14ac:dyDescent="0.3">
      <c r="A2366">
        <v>2897</v>
      </c>
      <c r="B2366">
        <v>44624</v>
      </c>
      <c r="C2366">
        <v>59</v>
      </c>
      <c r="D2366">
        <v>23172</v>
      </c>
      <c r="E2366" t="s">
        <v>14</v>
      </c>
      <c r="F2366" t="s">
        <v>15</v>
      </c>
      <c r="G2366" t="s">
        <v>17</v>
      </c>
      <c r="H2366" t="s">
        <v>8</v>
      </c>
      <c r="I2366" t="s">
        <v>9</v>
      </c>
      <c r="J2366" t="s">
        <v>25</v>
      </c>
      <c r="K2366" t="s">
        <v>11</v>
      </c>
      <c r="L2366" t="s">
        <v>12</v>
      </c>
      <c r="M2366" t="s">
        <v>35</v>
      </c>
      <c r="N2366" t="s">
        <v>23</v>
      </c>
      <c r="O2366" t="s">
        <v>18</v>
      </c>
      <c r="P2366">
        <v>5</v>
      </c>
    </row>
    <row r="2367" spans="1:16" x14ac:dyDescent="0.3">
      <c r="A2367">
        <v>2898</v>
      </c>
      <c r="B2367">
        <v>43819</v>
      </c>
      <c r="C2367">
        <v>32</v>
      </c>
      <c r="D2367">
        <v>31786</v>
      </c>
      <c r="E2367" t="s">
        <v>14</v>
      </c>
      <c r="F2367" t="s">
        <v>15</v>
      </c>
      <c r="G2367" t="s">
        <v>31</v>
      </c>
      <c r="H2367" t="s">
        <v>8</v>
      </c>
      <c r="I2367" t="s">
        <v>9</v>
      </c>
      <c r="J2367" t="s">
        <v>10</v>
      </c>
      <c r="K2367" t="s">
        <v>19</v>
      </c>
      <c r="L2367" t="s">
        <v>12</v>
      </c>
      <c r="M2367" t="s">
        <v>35</v>
      </c>
      <c r="N2367" t="s">
        <v>30</v>
      </c>
      <c r="O2367" t="s">
        <v>18</v>
      </c>
      <c r="P2367">
        <v>4</v>
      </c>
    </row>
    <row r="2368" spans="1:16" x14ac:dyDescent="0.3">
      <c r="A2368">
        <v>2899</v>
      </c>
      <c r="B2368">
        <v>44085</v>
      </c>
      <c r="C2368">
        <v>28</v>
      </c>
      <c r="D2368">
        <v>33723</v>
      </c>
      <c r="E2368" t="s">
        <v>14</v>
      </c>
      <c r="F2368" t="s">
        <v>22</v>
      </c>
      <c r="G2368" t="s">
        <v>31</v>
      </c>
      <c r="H2368" t="s">
        <v>8</v>
      </c>
      <c r="I2368" t="s">
        <v>9</v>
      </c>
      <c r="J2368" t="s">
        <v>20</v>
      </c>
      <c r="K2368" t="s">
        <v>26</v>
      </c>
      <c r="L2368" t="s">
        <v>12</v>
      </c>
      <c r="M2368" t="s">
        <v>54</v>
      </c>
      <c r="N2368" t="s">
        <v>30</v>
      </c>
      <c r="O2368" t="s">
        <v>18</v>
      </c>
      <c r="P2368">
        <v>5</v>
      </c>
    </row>
    <row r="2369" spans="1:16" x14ac:dyDescent="0.3">
      <c r="A2369">
        <v>2900</v>
      </c>
      <c r="B2369">
        <v>44500</v>
      </c>
      <c r="C2369">
        <v>69</v>
      </c>
      <c r="D2369">
        <v>19268</v>
      </c>
      <c r="E2369" t="s">
        <v>14</v>
      </c>
      <c r="F2369" t="s">
        <v>22</v>
      </c>
      <c r="G2369" t="s">
        <v>17</v>
      </c>
      <c r="H2369" t="s">
        <v>8</v>
      </c>
      <c r="I2369" t="s">
        <v>9</v>
      </c>
      <c r="J2369" t="s">
        <v>20</v>
      </c>
      <c r="K2369" t="s">
        <v>26</v>
      </c>
      <c r="L2369" t="s">
        <v>12</v>
      </c>
      <c r="M2369" t="s">
        <v>32</v>
      </c>
      <c r="N2369" t="s">
        <v>16</v>
      </c>
      <c r="O2369" t="s">
        <v>41</v>
      </c>
      <c r="P2369">
        <v>4</v>
      </c>
    </row>
    <row r="2370" spans="1:16" x14ac:dyDescent="0.3">
      <c r="A2370">
        <v>2901</v>
      </c>
      <c r="B2370">
        <v>43394</v>
      </c>
      <c r="C2370">
        <v>27</v>
      </c>
      <c r="D2370">
        <v>33593</v>
      </c>
      <c r="E2370" t="s">
        <v>14</v>
      </c>
      <c r="F2370" t="s">
        <v>15</v>
      </c>
      <c r="G2370" t="s">
        <v>31</v>
      </c>
      <c r="H2370" t="s">
        <v>8</v>
      </c>
      <c r="I2370" t="s">
        <v>9</v>
      </c>
      <c r="J2370" t="s">
        <v>20</v>
      </c>
      <c r="K2370" t="s">
        <v>19</v>
      </c>
      <c r="L2370" t="s">
        <v>12</v>
      </c>
      <c r="M2370" t="s">
        <v>59</v>
      </c>
      <c r="N2370" t="s">
        <v>16</v>
      </c>
      <c r="O2370" t="s">
        <v>18</v>
      </c>
      <c r="P2370">
        <v>4</v>
      </c>
    </row>
    <row r="2371" spans="1:16" x14ac:dyDescent="0.3">
      <c r="A2371">
        <v>2902</v>
      </c>
      <c r="B2371">
        <v>44203</v>
      </c>
      <c r="C2371">
        <v>60</v>
      </c>
      <c r="D2371">
        <v>22351</v>
      </c>
      <c r="E2371" t="s">
        <v>14</v>
      </c>
      <c r="F2371" t="s">
        <v>15</v>
      </c>
      <c r="G2371" t="s">
        <v>17</v>
      </c>
      <c r="H2371" t="s">
        <v>8</v>
      </c>
      <c r="I2371" t="s">
        <v>9</v>
      </c>
      <c r="J2371" t="s">
        <v>20</v>
      </c>
      <c r="K2371" t="s">
        <v>26</v>
      </c>
      <c r="L2371" t="s">
        <v>12</v>
      </c>
      <c r="M2371" t="s">
        <v>35</v>
      </c>
      <c r="N2371" t="s">
        <v>37</v>
      </c>
      <c r="O2371" t="s">
        <v>18</v>
      </c>
      <c r="P2371">
        <v>4</v>
      </c>
    </row>
    <row r="2372" spans="1:16" x14ac:dyDescent="0.3">
      <c r="A2372">
        <v>2903</v>
      </c>
      <c r="B2372">
        <v>44966</v>
      </c>
      <c r="C2372">
        <v>25</v>
      </c>
      <c r="D2372">
        <v>35852</v>
      </c>
      <c r="E2372" t="s">
        <v>14</v>
      </c>
      <c r="F2372" t="s">
        <v>22</v>
      </c>
      <c r="G2372" t="s">
        <v>31</v>
      </c>
      <c r="H2372" t="s">
        <v>8</v>
      </c>
      <c r="I2372" t="s">
        <v>9</v>
      </c>
      <c r="J2372" t="s">
        <v>20</v>
      </c>
      <c r="K2372" t="s">
        <v>19</v>
      </c>
      <c r="L2372" t="s">
        <v>12</v>
      </c>
      <c r="M2372" t="s">
        <v>42</v>
      </c>
      <c r="N2372" t="s">
        <v>46</v>
      </c>
      <c r="O2372" t="s">
        <v>56</v>
      </c>
      <c r="P2372">
        <v>3</v>
      </c>
    </row>
    <row r="2373" spans="1:16" x14ac:dyDescent="0.3">
      <c r="A2373">
        <v>2904</v>
      </c>
      <c r="B2373">
        <v>43876</v>
      </c>
      <c r="C2373">
        <v>74</v>
      </c>
      <c r="D2373">
        <v>17080</v>
      </c>
      <c r="E2373" t="s">
        <v>14</v>
      </c>
      <c r="F2373" t="s">
        <v>15</v>
      </c>
      <c r="G2373" t="s">
        <v>17</v>
      </c>
      <c r="H2373" t="s">
        <v>8</v>
      </c>
      <c r="I2373" t="s">
        <v>66</v>
      </c>
      <c r="J2373" t="s">
        <v>25</v>
      </c>
      <c r="K2373" t="s">
        <v>19</v>
      </c>
      <c r="L2373" t="s">
        <v>12</v>
      </c>
      <c r="M2373" t="s">
        <v>54</v>
      </c>
      <c r="N2373" t="s">
        <v>30</v>
      </c>
      <c r="O2373" t="s">
        <v>41</v>
      </c>
      <c r="P2373">
        <v>2</v>
      </c>
    </row>
    <row r="2374" spans="1:16" x14ac:dyDescent="0.3">
      <c r="A2374">
        <v>2905</v>
      </c>
      <c r="B2374">
        <v>44848</v>
      </c>
      <c r="C2374">
        <v>49</v>
      </c>
      <c r="D2374">
        <v>27003</v>
      </c>
      <c r="E2374" t="s">
        <v>14</v>
      </c>
      <c r="F2374" t="s">
        <v>22</v>
      </c>
      <c r="G2374" t="s">
        <v>40</v>
      </c>
      <c r="H2374" t="s">
        <v>64</v>
      </c>
      <c r="I2374" t="s">
        <v>9</v>
      </c>
      <c r="J2374" t="s">
        <v>25</v>
      </c>
      <c r="K2374" t="s">
        <v>11</v>
      </c>
      <c r="L2374" t="s">
        <v>12</v>
      </c>
      <c r="M2374" t="s">
        <v>63</v>
      </c>
      <c r="N2374" t="s">
        <v>46</v>
      </c>
      <c r="O2374" t="s">
        <v>18</v>
      </c>
      <c r="P2374">
        <v>5</v>
      </c>
    </row>
    <row r="2375" spans="1:16" x14ac:dyDescent="0.3">
      <c r="A2375">
        <v>2906</v>
      </c>
      <c r="B2375">
        <v>43375</v>
      </c>
      <c r="C2375">
        <v>39</v>
      </c>
      <c r="D2375">
        <v>28897</v>
      </c>
      <c r="E2375" t="s">
        <v>14</v>
      </c>
      <c r="F2375" t="s">
        <v>22</v>
      </c>
      <c r="G2375" t="s">
        <v>40</v>
      </c>
      <c r="H2375" t="s">
        <v>64</v>
      </c>
      <c r="I2375" t="s">
        <v>9</v>
      </c>
      <c r="J2375" t="s">
        <v>10</v>
      </c>
      <c r="K2375" t="s">
        <v>26</v>
      </c>
      <c r="L2375" t="s">
        <v>12</v>
      </c>
      <c r="M2375" t="s">
        <v>35</v>
      </c>
      <c r="N2375" t="s">
        <v>46</v>
      </c>
      <c r="O2375" t="s">
        <v>56</v>
      </c>
      <c r="P2375">
        <v>5</v>
      </c>
    </row>
    <row r="2376" spans="1:16" x14ac:dyDescent="0.3">
      <c r="A2376">
        <v>2907</v>
      </c>
      <c r="B2376">
        <v>44004</v>
      </c>
      <c r="C2376">
        <v>58</v>
      </c>
      <c r="D2376">
        <v>22709</v>
      </c>
      <c r="E2376" t="s">
        <v>14</v>
      </c>
      <c r="F2376" t="s">
        <v>22</v>
      </c>
      <c r="G2376" t="s">
        <v>17</v>
      </c>
      <c r="H2376" t="s">
        <v>64</v>
      </c>
      <c r="I2376" t="s">
        <v>9</v>
      </c>
      <c r="J2376" t="s">
        <v>25</v>
      </c>
      <c r="K2376" t="s">
        <v>11</v>
      </c>
      <c r="L2376" t="s">
        <v>12</v>
      </c>
      <c r="M2376" t="s">
        <v>63</v>
      </c>
      <c r="N2376" t="s">
        <v>16</v>
      </c>
      <c r="O2376" t="s">
        <v>56</v>
      </c>
      <c r="P2376">
        <v>4</v>
      </c>
    </row>
    <row r="2377" spans="1:16" x14ac:dyDescent="0.3">
      <c r="A2377">
        <v>2908</v>
      </c>
      <c r="B2377">
        <v>44274</v>
      </c>
      <c r="C2377">
        <v>41</v>
      </c>
      <c r="D2377">
        <v>29317</v>
      </c>
      <c r="E2377" t="s">
        <v>14</v>
      </c>
      <c r="F2377" t="s">
        <v>22</v>
      </c>
      <c r="G2377" t="s">
        <v>31</v>
      </c>
      <c r="H2377" t="s">
        <v>64</v>
      </c>
      <c r="I2377" t="s">
        <v>9</v>
      </c>
      <c r="J2377" t="s">
        <v>10</v>
      </c>
      <c r="K2377" t="s">
        <v>11</v>
      </c>
      <c r="L2377" t="s">
        <v>12</v>
      </c>
      <c r="M2377" t="s">
        <v>54</v>
      </c>
      <c r="N2377" t="s">
        <v>46</v>
      </c>
      <c r="O2377" t="s">
        <v>41</v>
      </c>
      <c r="P2377">
        <v>2</v>
      </c>
    </row>
    <row r="2378" spans="1:16" x14ac:dyDescent="0.3">
      <c r="A2378">
        <v>2909</v>
      </c>
      <c r="B2378">
        <v>43552</v>
      </c>
      <c r="C2378">
        <v>78</v>
      </c>
      <c r="D2378">
        <v>15251</v>
      </c>
      <c r="E2378" t="s">
        <v>14</v>
      </c>
      <c r="F2378" t="s">
        <v>15</v>
      </c>
      <c r="G2378" t="s">
        <v>31</v>
      </c>
      <c r="H2378" t="s">
        <v>64</v>
      </c>
      <c r="I2378" t="s">
        <v>9</v>
      </c>
      <c r="J2378" t="s">
        <v>25</v>
      </c>
      <c r="K2378" t="s">
        <v>11</v>
      </c>
      <c r="L2378" t="s">
        <v>12</v>
      </c>
      <c r="M2378" t="s">
        <v>35</v>
      </c>
      <c r="N2378" t="s">
        <v>23</v>
      </c>
      <c r="O2378" t="s">
        <v>56</v>
      </c>
      <c r="P2378">
        <v>4</v>
      </c>
    </row>
    <row r="2379" spans="1:16" x14ac:dyDescent="0.3">
      <c r="A2379">
        <v>2910</v>
      </c>
      <c r="B2379">
        <v>44682</v>
      </c>
      <c r="C2379">
        <v>76</v>
      </c>
      <c r="D2379">
        <v>16812</v>
      </c>
      <c r="E2379" t="s">
        <v>14</v>
      </c>
      <c r="F2379" t="s">
        <v>15</v>
      </c>
      <c r="G2379" t="s">
        <v>40</v>
      </c>
      <c r="H2379" t="s">
        <v>64</v>
      </c>
      <c r="I2379" t="s">
        <v>9</v>
      </c>
      <c r="J2379" t="s">
        <v>20</v>
      </c>
      <c r="K2379" t="s">
        <v>19</v>
      </c>
      <c r="L2379" t="s">
        <v>12</v>
      </c>
      <c r="M2379" t="s">
        <v>35</v>
      </c>
      <c r="N2379" t="s">
        <v>16</v>
      </c>
      <c r="O2379" t="s">
        <v>41</v>
      </c>
      <c r="P2379">
        <v>1</v>
      </c>
    </row>
    <row r="2380" spans="1:16" x14ac:dyDescent="0.3">
      <c r="A2380">
        <v>2911</v>
      </c>
      <c r="B2380">
        <v>43319</v>
      </c>
      <c r="C2380">
        <v>66</v>
      </c>
      <c r="D2380">
        <v>19345</v>
      </c>
      <c r="E2380" t="s">
        <v>14</v>
      </c>
      <c r="F2380" t="s">
        <v>22</v>
      </c>
      <c r="G2380" t="s">
        <v>40</v>
      </c>
      <c r="H2380" t="s">
        <v>8</v>
      </c>
      <c r="I2380" t="s">
        <v>9</v>
      </c>
      <c r="J2380" t="s">
        <v>20</v>
      </c>
      <c r="K2380" t="s">
        <v>19</v>
      </c>
      <c r="L2380" t="s">
        <v>12</v>
      </c>
      <c r="M2380" t="s">
        <v>13</v>
      </c>
      <c r="N2380" t="s">
        <v>46</v>
      </c>
      <c r="O2380" t="s">
        <v>41</v>
      </c>
      <c r="P2380">
        <v>2</v>
      </c>
    </row>
    <row r="2381" spans="1:16" x14ac:dyDescent="0.3">
      <c r="A2381">
        <v>2912</v>
      </c>
      <c r="B2381">
        <v>44682</v>
      </c>
      <c r="C2381">
        <v>60</v>
      </c>
      <c r="D2381">
        <v>22796</v>
      </c>
      <c r="E2381" t="s">
        <v>14</v>
      </c>
      <c r="F2381" t="s">
        <v>22</v>
      </c>
      <c r="G2381" t="s">
        <v>17</v>
      </c>
      <c r="H2381" t="s">
        <v>8</v>
      </c>
      <c r="I2381" t="s">
        <v>9</v>
      </c>
      <c r="J2381" t="s">
        <v>25</v>
      </c>
      <c r="K2381" t="s">
        <v>11</v>
      </c>
      <c r="L2381" t="s">
        <v>12</v>
      </c>
      <c r="M2381" t="s">
        <v>54</v>
      </c>
      <c r="N2381" t="s">
        <v>37</v>
      </c>
      <c r="O2381" t="s">
        <v>56</v>
      </c>
      <c r="P2381">
        <v>5</v>
      </c>
    </row>
    <row r="2382" spans="1:16" x14ac:dyDescent="0.3">
      <c r="A2382">
        <v>2913</v>
      </c>
      <c r="B2382">
        <v>43802</v>
      </c>
      <c r="C2382">
        <v>69</v>
      </c>
      <c r="D2382">
        <v>18551</v>
      </c>
      <c r="E2382" t="s">
        <v>14</v>
      </c>
      <c r="F2382" t="s">
        <v>22</v>
      </c>
      <c r="G2382" t="s">
        <v>40</v>
      </c>
      <c r="H2382" t="s">
        <v>8</v>
      </c>
      <c r="I2382" t="s">
        <v>9</v>
      </c>
      <c r="J2382" t="s">
        <v>25</v>
      </c>
      <c r="K2382" t="s">
        <v>26</v>
      </c>
      <c r="L2382" t="s">
        <v>12</v>
      </c>
      <c r="M2382" t="s">
        <v>49</v>
      </c>
      <c r="N2382" t="s">
        <v>23</v>
      </c>
      <c r="O2382" t="s">
        <v>56</v>
      </c>
      <c r="P2382">
        <v>1</v>
      </c>
    </row>
    <row r="2383" spans="1:16" x14ac:dyDescent="0.3">
      <c r="A2383">
        <v>2914</v>
      </c>
      <c r="B2383">
        <v>43832</v>
      </c>
      <c r="C2383">
        <v>48</v>
      </c>
      <c r="D2383">
        <v>26635</v>
      </c>
      <c r="E2383" t="s">
        <v>14</v>
      </c>
      <c r="F2383" t="s">
        <v>22</v>
      </c>
      <c r="G2383" t="s">
        <v>17</v>
      </c>
      <c r="H2383" t="s">
        <v>8</v>
      </c>
      <c r="I2383" t="s">
        <v>9</v>
      </c>
      <c r="J2383" t="s">
        <v>25</v>
      </c>
      <c r="K2383" t="s">
        <v>11</v>
      </c>
      <c r="L2383" t="s">
        <v>12</v>
      </c>
      <c r="M2383" t="s">
        <v>49</v>
      </c>
      <c r="N2383" t="s">
        <v>23</v>
      </c>
      <c r="O2383" t="s">
        <v>41</v>
      </c>
      <c r="P2383">
        <v>3</v>
      </c>
    </row>
    <row r="2384" spans="1:16" x14ac:dyDescent="0.3">
      <c r="A2384">
        <v>2915</v>
      </c>
      <c r="B2384">
        <v>44681</v>
      </c>
      <c r="C2384">
        <v>30</v>
      </c>
      <c r="D2384">
        <v>33850</v>
      </c>
      <c r="E2384" t="s">
        <v>14</v>
      </c>
      <c r="F2384" t="s">
        <v>22</v>
      </c>
      <c r="G2384" t="s">
        <v>17</v>
      </c>
      <c r="H2384" t="s">
        <v>8</v>
      </c>
      <c r="I2384" t="s">
        <v>66</v>
      </c>
      <c r="J2384" t="s">
        <v>25</v>
      </c>
      <c r="K2384" t="s">
        <v>26</v>
      </c>
      <c r="L2384" t="s">
        <v>12</v>
      </c>
      <c r="M2384" t="s">
        <v>35</v>
      </c>
      <c r="N2384" t="s">
        <v>46</v>
      </c>
      <c r="O2384" t="s">
        <v>41</v>
      </c>
      <c r="P2384">
        <v>4</v>
      </c>
    </row>
    <row r="2385" spans="1:16" x14ac:dyDescent="0.3">
      <c r="A2385">
        <v>2916</v>
      </c>
      <c r="B2385">
        <v>44016</v>
      </c>
      <c r="C2385">
        <v>67</v>
      </c>
      <c r="D2385">
        <v>19386</v>
      </c>
      <c r="E2385" t="s">
        <v>14</v>
      </c>
      <c r="F2385" t="s">
        <v>22</v>
      </c>
      <c r="G2385" t="s">
        <v>31</v>
      </c>
      <c r="H2385" t="s">
        <v>8</v>
      </c>
      <c r="I2385" t="s">
        <v>66</v>
      </c>
      <c r="J2385" t="s">
        <v>20</v>
      </c>
      <c r="K2385" t="s">
        <v>11</v>
      </c>
      <c r="L2385" t="s">
        <v>12</v>
      </c>
      <c r="M2385" t="s">
        <v>28</v>
      </c>
      <c r="N2385" t="s">
        <v>16</v>
      </c>
      <c r="O2385" t="s">
        <v>56</v>
      </c>
      <c r="P2385">
        <v>4</v>
      </c>
    </row>
    <row r="2386" spans="1:16" x14ac:dyDescent="0.3">
      <c r="A2386">
        <v>2917</v>
      </c>
      <c r="B2386">
        <v>43866</v>
      </c>
      <c r="C2386">
        <v>29</v>
      </c>
      <c r="D2386">
        <v>33597</v>
      </c>
      <c r="E2386" t="s">
        <v>14</v>
      </c>
      <c r="F2386" t="s">
        <v>22</v>
      </c>
      <c r="G2386" t="s">
        <v>17</v>
      </c>
      <c r="H2386" t="s">
        <v>8</v>
      </c>
      <c r="I2386" t="s">
        <v>9</v>
      </c>
      <c r="J2386" t="s">
        <v>10</v>
      </c>
      <c r="K2386" t="s">
        <v>19</v>
      </c>
      <c r="L2386" t="s">
        <v>12</v>
      </c>
      <c r="M2386" t="s">
        <v>35</v>
      </c>
      <c r="N2386" t="s">
        <v>30</v>
      </c>
      <c r="O2386" t="s">
        <v>41</v>
      </c>
      <c r="P2386">
        <v>4</v>
      </c>
    </row>
    <row r="2387" spans="1:16" x14ac:dyDescent="0.3">
      <c r="A2387">
        <v>2918</v>
      </c>
      <c r="B2387">
        <v>43456</v>
      </c>
      <c r="C2387">
        <v>39</v>
      </c>
      <c r="D2387">
        <v>28983</v>
      </c>
      <c r="E2387" t="s">
        <v>14</v>
      </c>
      <c r="F2387" t="s">
        <v>15</v>
      </c>
      <c r="G2387" t="s">
        <v>17</v>
      </c>
      <c r="H2387" t="s">
        <v>8</v>
      </c>
      <c r="I2387" t="s">
        <v>9</v>
      </c>
      <c r="J2387" t="s">
        <v>20</v>
      </c>
      <c r="K2387" t="s">
        <v>26</v>
      </c>
      <c r="L2387" t="s">
        <v>12</v>
      </c>
      <c r="M2387" t="s">
        <v>35</v>
      </c>
      <c r="N2387" t="s">
        <v>37</v>
      </c>
      <c r="O2387" t="s">
        <v>41</v>
      </c>
      <c r="P2387">
        <v>3</v>
      </c>
    </row>
    <row r="2388" spans="1:16" x14ac:dyDescent="0.3">
      <c r="A2388">
        <v>2919</v>
      </c>
      <c r="B2388">
        <v>43576</v>
      </c>
      <c r="C2388">
        <v>31</v>
      </c>
      <c r="D2388">
        <v>32454</v>
      </c>
      <c r="E2388" t="s">
        <v>14</v>
      </c>
      <c r="F2388" t="s">
        <v>15</v>
      </c>
      <c r="G2388" t="s">
        <v>31</v>
      </c>
      <c r="H2388" t="s">
        <v>8</v>
      </c>
      <c r="I2388" t="s">
        <v>9</v>
      </c>
      <c r="J2388" t="s">
        <v>25</v>
      </c>
      <c r="K2388" t="s">
        <v>19</v>
      </c>
      <c r="L2388" t="s">
        <v>12</v>
      </c>
      <c r="M2388" t="s">
        <v>35</v>
      </c>
      <c r="N2388" t="s">
        <v>16</v>
      </c>
      <c r="O2388" t="s">
        <v>56</v>
      </c>
      <c r="P2388">
        <v>1</v>
      </c>
    </row>
    <row r="2389" spans="1:16" x14ac:dyDescent="0.3">
      <c r="A2389">
        <v>2920</v>
      </c>
      <c r="B2389">
        <v>43924</v>
      </c>
      <c r="C2389">
        <v>61</v>
      </c>
      <c r="D2389">
        <v>21592</v>
      </c>
      <c r="E2389" t="s">
        <v>14</v>
      </c>
      <c r="F2389" t="s">
        <v>22</v>
      </c>
      <c r="G2389" t="s">
        <v>31</v>
      </c>
      <c r="H2389" t="s">
        <v>8</v>
      </c>
      <c r="I2389" t="s">
        <v>9</v>
      </c>
      <c r="J2389" t="s">
        <v>25</v>
      </c>
      <c r="K2389" t="s">
        <v>19</v>
      </c>
      <c r="L2389" t="s">
        <v>12</v>
      </c>
      <c r="M2389" t="s">
        <v>35</v>
      </c>
      <c r="N2389" t="s">
        <v>23</v>
      </c>
      <c r="O2389" t="s">
        <v>41</v>
      </c>
      <c r="P2389">
        <v>4</v>
      </c>
    </row>
    <row r="2390" spans="1:16" x14ac:dyDescent="0.3">
      <c r="A2390">
        <v>2921</v>
      </c>
      <c r="B2390">
        <v>43365</v>
      </c>
      <c r="C2390">
        <v>61</v>
      </c>
      <c r="D2390">
        <v>21040</v>
      </c>
      <c r="E2390" t="s">
        <v>14</v>
      </c>
      <c r="F2390" t="s">
        <v>15</v>
      </c>
      <c r="G2390" t="s">
        <v>40</v>
      </c>
      <c r="H2390" t="s">
        <v>8</v>
      </c>
      <c r="I2390" t="s">
        <v>9</v>
      </c>
      <c r="J2390" t="s">
        <v>25</v>
      </c>
      <c r="K2390" t="s">
        <v>26</v>
      </c>
      <c r="L2390" t="s">
        <v>12</v>
      </c>
      <c r="M2390" t="s">
        <v>21</v>
      </c>
      <c r="N2390" t="s">
        <v>46</v>
      </c>
      <c r="O2390" t="s">
        <v>41</v>
      </c>
      <c r="P2390">
        <v>2</v>
      </c>
    </row>
    <row r="2391" spans="1:16" x14ac:dyDescent="0.3">
      <c r="A2391">
        <v>2922</v>
      </c>
      <c r="B2391">
        <v>44848</v>
      </c>
      <c r="C2391">
        <v>29</v>
      </c>
      <c r="D2391">
        <v>34084</v>
      </c>
      <c r="E2391" t="s">
        <v>14</v>
      </c>
      <c r="F2391" t="s">
        <v>15</v>
      </c>
      <c r="G2391" t="s">
        <v>34</v>
      </c>
      <c r="H2391" t="s">
        <v>8</v>
      </c>
      <c r="I2391" t="s">
        <v>9</v>
      </c>
      <c r="J2391" t="s">
        <v>20</v>
      </c>
      <c r="K2391" t="s">
        <v>26</v>
      </c>
      <c r="L2391" t="s">
        <v>12</v>
      </c>
      <c r="M2391" t="s">
        <v>32</v>
      </c>
      <c r="N2391" t="s">
        <v>30</v>
      </c>
      <c r="O2391" t="s">
        <v>41</v>
      </c>
      <c r="P2391">
        <v>2</v>
      </c>
    </row>
    <row r="2392" spans="1:16" x14ac:dyDescent="0.3">
      <c r="A2392">
        <v>2923</v>
      </c>
      <c r="B2392">
        <v>44604</v>
      </c>
      <c r="C2392">
        <v>42</v>
      </c>
      <c r="D2392">
        <v>29403</v>
      </c>
      <c r="E2392" t="s">
        <v>14</v>
      </c>
      <c r="F2392" t="s">
        <v>15</v>
      </c>
      <c r="G2392" t="s">
        <v>34</v>
      </c>
      <c r="H2392" t="s">
        <v>8</v>
      </c>
      <c r="I2392" t="s">
        <v>9</v>
      </c>
      <c r="J2392" t="s">
        <v>20</v>
      </c>
      <c r="K2392" t="s">
        <v>19</v>
      </c>
      <c r="L2392" t="s">
        <v>12</v>
      </c>
      <c r="M2392" t="s">
        <v>35</v>
      </c>
      <c r="N2392" t="s">
        <v>16</v>
      </c>
      <c r="O2392" t="s">
        <v>56</v>
      </c>
      <c r="P2392">
        <v>1</v>
      </c>
    </row>
    <row r="2393" spans="1:16" x14ac:dyDescent="0.3">
      <c r="A2393">
        <v>2924</v>
      </c>
      <c r="B2393">
        <v>44278</v>
      </c>
      <c r="C2393">
        <v>42</v>
      </c>
      <c r="D2393">
        <v>28990</v>
      </c>
      <c r="E2393" t="s">
        <v>14</v>
      </c>
      <c r="F2393" t="s">
        <v>22</v>
      </c>
      <c r="G2393" t="s">
        <v>34</v>
      </c>
      <c r="H2393" t="s">
        <v>8</v>
      </c>
      <c r="I2393" t="s">
        <v>66</v>
      </c>
      <c r="J2393" t="s">
        <v>10</v>
      </c>
      <c r="K2393" t="s">
        <v>26</v>
      </c>
      <c r="L2393" t="s">
        <v>12</v>
      </c>
      <c r="M2393" t="s">
        <v>35</v>
      </c>
      <c r="N2393" t="s">
        <v>46</v>
      </c>
      <c r="O2393" t="s">
        <v>41</v>
      </c>
      <c r="P2393">
        <v>4</v>
      </c>
    </row>
    <row r="2394" spans="1:16" x14ac:dyDescent="0.3">
      <c r="A2394">
        <v>2925</v>
      </c>
      <c r="B2394">
        <v>43342</v>
      </c>
      <c r="C2394">
        <v>46</v>
      </c>
      <c r="D2394">
        <v>26560</v>
      </c>
      <c r="E2394" t="s">
        <v>14</v>
      </c>
      <c r="F2394" t="s">
        <v>22</v>
      </c>
      <c r="G2394" t="s">
        <v>40</v>
      </c>
      <c r="H2394" t="s">
        <v>64</v>
      </c>
      <c r="I2394" t="s">
        <v>9</v>
      </c>
      <c r="J2394" t="s">
        <v>20</v>
      </c>
      <c r="K2394" t="s">
        <v>26</v>
      </c>
      <c r="L2394" t="s">
        <v>12</v>
      </c>
      <c r="M2394" t="s">
        <v>28</v>
      </c>
      <c r="N2394" t="s">
        <v>30</v>
      </c>
      <c r="O2394" t="s">
        <v>41</v>
      </c>
      <c r="P2394">
        <v>3</v>
      </c>
    </row>
    <row r="2395" spans="1:16" x14ac:dyDescent="0.3">
      <c r="A2395">
        <v>2928</v>
      </c>
      <c r="B2395">
        <v>44206</v>
      </c>
      <c r="C2395">
        <v>49</v>
      </c>
      <c r="D2395">
        <v>26401</v>
      </c>
      <c r="E2395" t="s">
        <v>14</v>
      </c>
      <c r="F2395" t="s">
        <v>15</v>
      </c>
      <c r="G2395" t="s">
        <v>40</v>
      </c>
      <c r="H2395" t="s">
        <v>64</v>
      </c>
      <c r="I2395" t="s">
        <v>9</v>
      </c>
      <c r="J2395" t="s">
        <v>25</v>
      </c>
      <c r="K2395" t="s">
        <v>26</v>
      </c>
      <c r="L2395" t="s">
        <v>12</v>
      </c>
      <c r="M2395" t="s">
        <v>32</v>
      </c>
      <c r="N2395" t="s">
        <v>23</v>
      </c>
      <c r="O2395" t="s">
        <v>18</v>
      </c>
      <c r="P2395">
        <v>4</v>
      </c>
    </row>
    <row r="2396" spans="1:16" x14ac:dyDescent="0.3">
      <c r="A2396">
        <v>2929</v>
      </c>
      <c r="B2396">
        <v>44062</v>
      </c>
      <c r="C2396">
        <v>34</v>
      </c>
      <c r="D2396">
        <v>31568</v>
      </c>
      <c r="E2396" t="s">
        <v>14</v>
      </c>
      <c r="F2396" t="s">
        <v>15</v>
      </c>
      <c r="G2396" t="s">
        <v>17</v>
      </c>
      <c r="H2396" t="s">
        <v>64</v>
      </c>
      <c r="I2396" t="s">
        <v>66</v>
      </c>
      <c r="J2396" t="s">
        <v>25</v>
      </c>
      <c r="K2396" t="s">
        <v>26</v>
      </c>
      <c r="L2396" t="s">
        <v>12</v>
      </c>
      <c r="M2396" t="s">
        <v>35</v>
      </c>
      <c r="N2396" t="s">
        <v>16</v>
      </c>
      <c r="O2396" t="s">
        <v>56</v>
      </c>
      <c r="P2396">
        <v>3</v>
      </c>
    </row>
    <row r="2397" spans="1:16" x14ac:dyDescent="0.3">
      <c r="A2397">
        <v>2930</v>
      </c>
      <c r="B2397">
        <v>45037</v>
      </c>
      <c r="C2397">
        <v>24</v>
      </c>
      <c r="D2397">
        <v>36239</v>
      </c>
      <c r="E2397" t="s">
        <v>14</v>
      </c>
      <c r="F2397" t="s">
        <v>15</v>
      </c>
      <c r="G2397" t="s">
        <v>17</v>
      </c>
      <c r="H2397" t="s">
        <v>64</v>
      </c>
      <c r="I2397" t="s">
        <v>9</v>
      </c>
      <c r="J2397" t="s">
        <v>20</v>
      </c>
      <c r="K2397" t="s">
        <v>19</v>
      </c>
      <c r="L2397" t="s">
        <v>12</v>
      </c>
      <c r="M2397" t="s">
        <v>61</v>
      </c>
      <c r="N2397" t="s">
        <v>37</v>
      </c>
      <c r="O2397" t="s">
        <v>41</v>
      </c>
      <c r="P2397">
        <v>4</v>
      </c>
    </row>
    <row r="2398" spans="1:16" x14ac:dyDescent="0.3">
      <c r="A2398">
        <v>2931</v>
      </c>
      <c r="B2398">
        <v>43859</v>
      </c>
      <c r="C2398">
        <v>51</v>
      </c>
      <c r="D2398">
        <v>25395</v>
      </c>
      <c r="E2398" t="s">
        <v>14</v>
      </c>
      <c r="F2398" t="s">
        <v>22</v>
      </c>
      <c r="G2398" t="s">
        <v>31</v>
      </c>
      <c r="H2398" t="s">
        <v>8</v>
      </c>
      <c r="I2398" t="s">
        <v>66</v>
      </c>
      <c r="J2398" t="s">
        <v>25</v>
      </c>
      <c r="K2398" t="s">
        <v>26</v>
      </c>
      <c r="L2398" t="s">
        <v>12</v>
      </c>
      <c r="M2398" t="s">
        <v>35</v>
      </c>
      <c r="N2398" t="s">
        <v>23</v>
      </c>
      <c r="O2398" t="s">
        <v>41</v>
      </c>
      <c r="P2398">
        <v>4</v>
      </c>
    </row>
    <row r="2399" spans="1:16" x14ac:dyDescent="0.3">
      <c r="A2399">
        <v>2932</v>
      </c>
      <c r="B2399">
        <v>44427</v>
      </c>
      <c r="C2399">
        <v>73</v>
      </c>
      <c r="D2399">
        <v>17545</v>
      </c>
      <c r="E2399" t="s">
        <v>14</v>
      </c>
      <c r="F2399" t="s">
        <v>22</v>
      </c>
      <c r="G2399" t="s">
        <v>17</v>
      </c>
      <c r="H2399" t="s">
        <v>8</v>
      </c>
      <c r="I2399" t="s">
        <v>66</v>
      </c>
      <c r="J2399" t="s">
        <v>20</v>
      </c>
      <c r="K2399" t="s">
        <v>19</v>
      </c>
      <c r="L2399" t="s">
        <v>12</v>
      </c>
      <c r="M2399" t="s">
        <v>13</v>
      </c>
      <c r="N2399" t="s">
        <v>23</v>
      </c>
      <c r="O2399" t="s">
        <v>18</v>
      </c>
      <c r="P2399">
        <v>4</v>
      </c>
    </row>
    <row r="2400" spans="1:16" x14ac:dyDescent="0.3">
      <c r="A2400">
        <v>2933</v>
      </c>
      <c r="B2400">
        <v>44273</v>
      </c>
      <c r="C2400">
        <v>72</v>
      </c>
      <c r="D2400">
        <v>17970</v>
      </c>
      <c r="E2400" t="s">
        <v>14</v>
      </c>
      <c r="F2400" t="s">
        <v>22</v>
      </c>
      <c r="G2400" t="s">
        <v>31</v>
      </c>
      <c r="H2400" t="s">
        <v>8</v>
      </c>
      <c r="I2400" t="s">
        <v>9</v>
      </c>
      <c r="J2400" t="s">
        <v>25</v>
      </c>
      <c r="K2400" t="s">
        <v>19</v>
      </c>
      <c r="L2400" t="s">
        <v>12</v>
      </c>
      <c r="M2400" t="s">
        <v>59</v>
      </c>
      <c r="N2400" t="s">
        <v>16</v>
      </c>
      <c r="O2400" t="s">
        <v>56</v>
      </c>
      <c r="P2400">
        <v>1</v>
      </c>
    </row>
    <row r="2401" spans="1:16" x14ac:dyDescent="0.3">
      <c r="A2401">
        <v>2934</v>
      </c>
      <c r="B2401">
        <v>44493</v>
      </c>
      <c r="C2401">
        <v>58</v>
      </c>
      <c r="D2401">
        <v>23329</v>
      </c>
      <c r="E2401" t="s">
        <v>14</v>
      </c>
      <c r="F2401" t="s">
        <v>22</v>
      </c>
      <c r="G2401" t="s">
        <v>17</v>
      </c>
      <c r="H2401" t="s">
        <v>8</v>
      </c>
      <c r="I2401" t="s">
        <v>9</v>
      </c>
      <c r="J2401" t="s">
        <v>10</v>
      </c>
      <c r="K2401" t="s">
        <v>26</v>
      </c>
      <c r="L2401" t="s">
        <v>12</v>
      </c>
      <c r="M2401" t="s">
        <v>35</v>
      </c>
      <c r="N2401" t="s">
        <v>46</v>
      </c>
      <c r="O2401" t="s">
        <v>18</v>
      </c>
      <c r="P2401">
        <v>3</v>
      </c>
    </row>
    <row r="2402" spans="1:16" x14ac:dyDescent="0.3">
      <c r="A2402">
        <v>2935</v>
      </c>
      <c r="B2402">
        <v>44107</v>
      </c>
      <c r="C2402">
        <v>25</v>
      </c>
      <c r="D2402">
        <v>35042</v>
      </c>
      <c r="E2402" t="s">
        <v>14</v>
      </c>
      <c r="F2402" t="s">
        <v>22</v>
      </c>
      <c r="G2402" t="s">
        <v>40</v>
      </c>
      <c r="H2402" t="s">
        <v>8</v>
      </c>
      <c r="I2402" t="s">
        <v>9</v>
      </c>
      <c r="J2402" t="s">
        <v>10</v>
      </c>
      <c r="K2402" t="s">
        <v>26</v>
      </c>
      <c r="L2402" t="s">
        <v>12</v>
      </c>
      <c r="M2402" t="s">
        <v>59</v>
      </c>
      <c r="N2402" t="s">
        <v>16</v>
      </c>
      <c r="O2402" t="s">
        <v>18</v>
      </c>
      <c r="P2402">
        <v>1</v>
      </c>
    </row>
    <row r="2403" spans="1:16" x14ac:dyDescent="0.3">
      <c r="A2403">
        <v>2936</v>
      </c>
      <c r="B2403">
        <v>44978</v>
      </c>
      <c r="C2403">
        <v>39</v>
      </c>
      <c r="D2403">
        <v>30940</v>
      </c>
      <c r="E2403" t="s">
        <v>14</v>
      </c>
      <c r="F2403" t="s">
        <v>22</v>
      </c>
      <c r="G2403" t="s">
        <v>34</v>
      </c>
      <c r="H2403" t="s">
        <v>8</v>
      </c>
      <c r="I2403" t="s">
        <v>9</v>
      </c>
      <c r="J2403" t="s">
        <v>10</v>
      </c>
      <c r="K2403" t="s">
        <v>11</v>
      </c>
      <c r="L2403" t="s">
        <v>12</v>
      </c>
      <c r="M2403" t="s">
        <v>32</v>
      </c>
      <c r="N2403" t="s">
        <v>46</v>
      </c>
      <c r="O2403" t="s">
        <v>56</v>
      </c>
      <c r="P2403">
        <v>3</v>
      </c>
    </row>
    <row r="2404" spans="1:16" x14ac:dyDescent="0.3">
      <c r="A2404">
        <v>2937</v>
      </c>
      <c r="B2404">
        <v>44044</v>
      </c>
      <c r="C2404">
        <v>68</v>
      </c>
      <c r="D2404">
        <v>19198</v>
      </c>
      <c r="E2404" t="s">
        <v>14</v>
      </c>
      <c r="F2404" t="s">
        <v>22</v>
      </c>
      <c r="G2404" t="s">
        <v>34</v>
      </c>
      <c r="H2404" t="s">
        <v>8</v>
      </c>
      <c r="I2404" t="s">
        <v>9</v>
      </c>
      <c r="J2404" t="s">
        <v>10</v>
      </c>
      <c r="K2404" t="s">
        <v>19</v>
      </c>
      <c r="L2404" t="s">
        <v>12</v>
      </c>
      <c r="M2404" t="s">
        <v>63</v>
      </c>
      <c r="N2404" t="s">
        <v>37</v>
      </c>
      <c r="O2404" t="s">
        <v>56</v>
      </c>
      <c r="P2404">
        <v>4</v>
      </c>
    </row>
    <row r="2405" spans="1:16" x14ac:dyDescent="0.3">
      <c r="A2405">
        <v>2938</v>
      </c>
      <c r="B2405">
        <v>44934</v>
      </c>
      <c r="C2405">
        <v>51</v>
      </c>
      <c r="D2405">
        <v>26644</v>
      </c>
      <c r="E2405" t="s">
        <v>14</v>
      </c>
      <c r="F2405" t="s">
        <v>22</v>
      </c>
      <c r="G2405" t="s">
        <v>34</v>
      </c>
      <c r="H2405" t="s">
        <v>8</v>
      </c>
      <c r="I2405" t="s">
        <v>9</v>
      </c>
      <c r="J2405" t="s">
        <v>25</v>
      </c>
      <c r="K2405" t="s">
        <v>11</v>
      </c>
      <c r="L2405" t="s">
        <v>12</v>
      </c>
      <c r="M2405" t="s">
        <v>21</v>
      </c>
      <c r="N2405" t="s">
        <v>16</v>
      </c>
      <c r="O2405" t="s">
        <v>56</v>
      </c>
      <c r="P2405">
        <v>5</v>
      </c>
    </row>
    <row r="2406" spans="1:16" x14ac:dyDescent="0.3">
      <c r="A2406">
        <v>2939</v>
      </c>
      <c r="B2406">
        <v>44768</v>
      </c>
      <c r="C2406">
        <v>42</v>
      </c>
      <c r="D2406">
        <v>29425</v>
      </c>
      <c r="E2406" t="s">
        <v>14</v>
      </c>
      <c r="F2406" t="s">
        <v>15</v>
      </c>
      <c r="G2406" t="s">
        <v>31</v>
      </c>
      <c r="H2406" t="s">
        <v>8</v>
      </c>
      <c r="I2406" t="s">
        <v>9</v>
      </c>
      <c r="J2406" t="s">
        <v>10</v>
      </c>
      <c r="K2406" t="s">
        <v>26</v>
      </c>
      <c r="L2406" t="s">
        <v>12</v>
      </c>
      <c r="M2406" t="s">
        <v>38</v>
      </c>
      <c r="N2406" t="s">
        <v>23</v>
      </c>
      <c r="O2406" t="s">
        <v>56</v>
      </c>
      <c r="P2406">
        <v>3</v>
      </c>
    </row>
    <row r="2407" spans="1:16" x14ac:dyDescent="0.3">
      <c r="A2407">
        <v>2940</v>
      </c>
      <c r="B2407">
        <v>44074</v>
      </c>
      <c r="C2407">
        <v>48</v>
      </c>
      <c r="D2407">
        <v>26638</v>
      </c>
      <c r="E2407" t="s">
        <v>14</v>
      </c>
      <c r="F2407" t="s">
        <v>15</v>
      </c>
      <c r="G2407" t="s">
        <v>31</v>
      </c>
      <c r="H2407" t="s">
        <v>8</v>
      </c>
      <c r="I2407" t="s">
        <v>9</v>
      </c>
      <c r="J2407" t="s">
        <v>10</v>
      </c>
      <c r="K2407" t="s">
        <v>19</v>
      </c>
      <c r="L2407" t="s">
        <v>12</v>
      </c>
      <c r="M2407" t="s">
        <v>63</v>
      </c>
      <c r="N2407" t="s">
        <v>37</v>
      </c>
      <c r="O2407" t="s">
        <v>56</v>
      </c>
      <c r="P2407">
        <v>1</v>
      </c>
    </row>
    <row r="2408" spans="1:16" x14ac:dyDescent="0.3">
      <c r="A2408">
        <v>2941</v>
      </c>
      <c r="B2408">
        <v>44870</v>
      </c>
      <c r="C2408">
        <v>28</v>
      </c>
      <c r="D2408">
        <v>34450</v>
      </c>
      <c r="E2408" t="s">
        <v>14</v>
      </c>
      <c r="F2408" t="s">
        <v>22</v>
      </c>
      <c r="G2408" t="s">
        <v>40</v>
      </c>
      <c r="H2408" t="s">
        <v>8</v>
      </c>
      <c r="I2408" t="s">
        <v>9</v>
      </c>
      <c r="J2408" t="s">
        <v>20</v>
      </c>
      <c r="K2408" t="s">
        <v>26</v>
      </c>
      <c r="L2408" t="s">
        <v>12</v>
      </c>
      <c r="M2408" t="s">
        <v>42</v>
      </c>
      <c r="N2408" t="s">
        <v>23</v>
      </c>
      <c r="O2408" t="s">
        <v>56</v>
      </c>
      <c r="P2408">
        <v>2</v>
      </c>
    </row>
    <row r="2409" spans="1:16" x14ac:dyDescent="0.3">
      <c r="A2409">
        <v>2942</v>
      </c>
      <c r="B2409">
        <v>43615</v>
      </c>
      <c r="C2409">
        <v>70</v>
      </c>
      <c r="D2409">
        <v>17958</v>
      </c>
      <c r="E2409" t="s">
        <v>14</v>
      </c>
      <c r="F2409" t="s">
        <v>15</v>
      </c>
      <c r="G2409" t="s">
        <v>17</v>
      </c>
      <c r="H2409" t="s">
        <v>8</v>
      </c>
      <c r="I2409" t="s">
        <v>9</v>
      </c>
      <c r="J2409" t="s">
        <v>25</v>
      </c>
      <c r="K2409" t="s">
        <v>11</v>
      </c>
      <c r="L2409" t="s">
        <v>12</v>
      </c>
      <c r="M2409" t="s">
        <v>28</v>
      </c>
      <c r="N2409" t="s">
        <v>37</v>
      </c>
      <c r="O2409" t="s">
        <v>56</v>
      </c>
      <c r="P2409">
        <v>3</v>
      </c>
    </row>
    <row r="2410" spans="1:16" x14ac:dyDescent="0.3">
      <c r="A2410">
        <v>2943</v>
      </c>
      <c r="B2410">
        <v>43808</v>
      </c>
      <c r="C2410">
        <v>56</v>
      </c>
      <c r="D2410">
        <v>23056</v>
      </c>
      <c r="E2410" t="s">
        <v>14</v>
      </c>
      <c r="F2410" t="s">
        <v>15</v>
      </c>
      <c r="G2410" t="s">
        <v>31</v>
      </c>
      <c r="H2410" t="s">
        <v>8</v>
      </c>
      <c r="I2410" t="s">
        <v>9</v>
      </c>
      <c r="J2410" t="s">
        <v>25</v>
      </c>
      <c r="K2410" t="s">
        <v>26</v>
      </c>
      <c r="L2410" t="s">
        <v>12</v>
      </c>
      <c r="M2410" t="s">
        <v>28</v>
      </c>
      <c r="N2410" t="s">
        <v>30</v>
      </c>
      <c r="O2410" t="s">
        <v>56</v>
      </c>
      <c r="P2410">
        <v>1</v>
      </c>
    </row>
    <row r="2411" spans="1:16" x14ac:dyDescent="0.3">
      <c r="A2411">
        <v>2944</v>
      </c>
      <c r="B2411">
        <v>43595</v>
      </c>
      <c r="C2411">
        <v>67</v>
      </c>
      <c r="D2411">
        <v>19092</v>
      </c>
      <c r="E2411" t="s">
        <v>14</v>
      </c>
      <c r="F2411" t="s">
        <v>15</v>
      </c>
      <c r="G2411" t="s">
        <v>17</v>
      </c>
      <c r="H2411" t="s">
        <v>8</v>
      </c>
      <c r="I2411" t="s">
        <v>9</v>
      </c>
      <c r="J2411" t="s">
        <v>20</v>
      </c>
      <c r="K2411" t="s">
        <v>11</v>
      </c>
      <c r="L2411" t="s">
        <v>12</v>
      </c>
      <c r="M2411" t="s">
        <v>38</v>
      </c>
      <c r="N2411" t="s">
        <v>30</v>
      </c>
      <c r="O2411" t="s">
        <v>56</v>
      </c>
      <c r="P2411">
        <v>4</v>
      </c>
    </row>
    <row r="2412" spans="1:16" x14ac:dyDescent="0.3">
      <c r="A2412">
        <v>2945</v>
      </c>
      <c r="B2412">
        <v>43711</v>
      </c>
      <c r="C2412">
        <v>43</v>
      </c>
      <c r="D2412">
        <v>27993</v>
      </c>
      <c r="E2412" t="s">
        <v>14</v>
      </c>
      <c r="F2412" t="s">
        <v>22</v>
      </c>
      <c r="G2412" t="s">
        <v>17</v>
      </c>
      <c r="H2412" t="s">
        <v>8</v>
      </c>
      <c r="I2412" t="s">
        <v>66</v>
      </c>
      <c r="J2412" t="s">
        <v>25</v>
      </c>
      <c r="K2412" t="s">
        <v>26</v>
      </c>
      <c r="L2412" t="s">
        <v>12</v>
      </c>
      <c r="M2412" t="s">
        <v>21</v>
      </c>
      <c r="N2412" t="s">
        <v>16</v>
      </c>
      <c r="O2412" t="s">
        <v>56</v>
      </c>
      <c r="P2412">
        <v>2</v>
      </c>
    </row>
    <row r="2413" spans="1:16" x14ac:dyDescent="0.3">
      <c r="A2413">
        <v>2946</v>
      </c>
      <c r="B2413">
        <v>43356</v>
      </c>
      <c r="C2413">
        <v>34</v>
      </c>
      <c r="D2413">
        <v>30862</v>
      </c>
      <c r="E2413" t="s">
        <v>14</v>
      </c>
      <c r="F2413" t="s">
        <v>22</v>
      </c>
      <c r="G2413" t="s">
        <v>40</v>
      </c>
      <c r="H2413" t="s">
        <v>64</v>
      </c>
      <c r="I2413" t="s">
        <v>9</v>
      </c>
      <c r="J2413" t="s">
        <v>10</v>
      </c>
      <c r="K2413" t="s">
        <v>19</v>
      </c>
      <c r="L2413" t="s">
        <v>12</v>
      </c>
      <c r="M2413" t="s">
        <v>49</v>
      </c>
      <c r="N2413" t="s">
        <v>37</v>
      </c>
      <c r="O2413" t="s">
        <v>56</v>
      </c>
      <c r="P2413">
        <v>5</v>
      </c>
    </row>
    <row r="2414" spans="1:16" x14ac:dyDescent="0.3">
      <c r="A2414">
        <v>2947</v>
      </c>
      <c r="B2414">
        <v>44357</v>
      </c>
      <c r="C2414">
        <v>63</v>
      </c>
      <c r="D2414">
        <v>21415</v>
      </c>
      <c r="E2414" t="s">
        <v>14</v>
      </c>
      <c r="F2414" t="s">
        <v>22</v>
      </c>
      <c r="G2414" t="s">
        <v>40</v>
      </c>
      <c r="H2414" t="s">
        <v>64</v>
      </c>
      <c r="I2414" t="s">
        <v>9</v>
      </c>
      <c r="J2414" t="s">
        <v>20</v>
      </c>
      <c r="K2414" t="s">
        <v>11</v>
      </c>
      <c r="L2414" t="s">
        <v>12</v>
      </c>
      <c r="M2414" t="s">
        <v>59</v>
      </c>
      <c r="N2414" t="s">
        <v>46</v>
      </c>
      <c r="O2414" t="s">
        <v>18</v>
      </c>
      <c r="P2414">
        <v>4</v>
      </c>
    </row>
    <row r="2415" spans="1:16" x14ac:dyDescent="0.3">
      <c r="A2415">
        <v>2950</v>
      </c>
      <c r="B2415">
        <v>43357</v>
      </c>
      <c r="C2415">
        <v>75</v>
      </c>
      <c r="D2415">
        <v>15710</v>
      </c>
      <c r="E2415" t="s">
        <v>14</v>
      </c>
      <c r="F2415" t="s">
        <v>15</v>
      </c>
      <c r="G2415" t="s">
        <v>34</v>
      </c>
      <c r="H2415" t="s">
        <v>64</v>
      </c>
      <c r="I2415" t="s">
        <v>66</v>
      </c>
      <c r="J2415" t="s">
        <v>20</v>
      </c>
      <c r="K2415" t="s">
        <v>11</v>
      </c>
      <c r="L2415" t="s">
        <v>12</v>
      </c>
      <c r="M2415" t="s">
        <v>62</v>
      </c>
      <c r="N2415" t="s">
        <v>16</v>
      </c>
      <c r="O2415" t="s">
        <v>56</v>
      </c>
      <c r="P2415">
        <v>3</v>
      </c>
    </row>
    <row r="2416" spans="1:16" x14ac:dyDescent="0.3">
      <c r="A2416">
        <v>2951</v>
      </c>
      <c r="B2416">
        <v>43611</v>
      </c>
      <c r="C2416">
        <v>76</v>
      </c>
      <c r="D2416">
        <v>15984</v>
      </c>
      <c r="E2416" t="s">
        <v>14</v>
      </c>
      <c r="F2416" t="s">
        <v>15</v>
      </c>
      <c r="G2416" t="s">
        <v>17</v>
      </c>
      <c r="H2416" t="s">
        <v>64</v>
      </c>
      <c r="I2416" t="s">
        <v>9</v>
      </c>
      <c r="J2416" t="s">
        <v>25</v>
      </c>
      <c r="K2416" t="s">
        <v>11</v>
      </c>
      <c r="L2416" t="s">
        <v>12</v>
      </c>
      <c r="M2416" t="s">
        <v>32</v>
      </c>
      <c r="N2416" t="s">
        <v>37</v>
      </c>
      <c r="O2416" t="s">
        <v>18</v>
      </c>
      <c r="P2416">
        <v>1</v>
      </c>
    </row>
    <row r="2417" spans="1:16" x14ac:dyDescent="0.3">
      <c r="A2417">
        <v>2952</v>
      </c>
      <c r="B2417">
        <v>43651</v>
      </c>
      <c r="C2417">
        <v>67</v>
      </c>
      <c r="D2417">
        <v>19110</v>
      </c>
      <c r="E2417" t="s">
        <v>14</v>
      </c>
      <c r="F2417" t="s">
        <v>15</v>
      </c>
      <c r="G2417" t="s">
        <v>17</v>
      </c>
      <c r="H2417" t="s">
        <v>64</v>
      </c>
      <c r="I2417" t="s">
        <v>9</v>
      </c>
      <c r="J2417" t="s">
        <v>10</v>
      </c>
      <c r="K2417" t="s">
        <v>11</v>
      </c>
      <c r="L2417" t="s">
        <v>12</v>
      </c>
      <c r="M2417" t="s">
        <v>38</v>
      </c>
      <c r="N2417" t="s">
        <v>37</v>
      </c>
      <c r="O2417" t="s">
        <v>18</v>
      </c>
      <c r="P2417">
        <v>3</v>
      </c>
    </row>
    <row r="2418" spans="1:16" x14ac:dyDescent="0.3">
      <c r="A2418">
        <v>2953</v>
      </c>
      <c r="B2418">
        <v>43774</v>
      </c>
      <c r="C2418">
        <v>62</v>
      </c>
      <c r="D2418">
        <v>20898</v>
      </c>
      <c r="E2418" t="s">
        <v>14</v>
      </c>
      <c r="F2418" t="s">
        <v>22</v>
      </c>
      <c r="G2418" t="s">
        <v>17</v>
      </c>
      <c r="H2418" t="s">
        <v>8</v>
      </c>
      <c r="I2418" t="s">
        <v>9</v>
      </c>
      <c r="J2418" t="s">
        <v>25</v>
      </c>
      <c r="K2418" t="s">
        <v>26</v>
      </c>
      <c r="L2418" t="s">
        <v>12</v>
      </c>
      <c r="M2418" t="s">
        <v>35</v>
      </c>
      <c r="N2418" t="s">
        <v>30</v>
      </c>
      <c r="O2418" t="s">
        <v>18</v>
      </c>
      <c r="P2418">
        <v>3</v>
      </c>
    </row>
    <row r="2419" spans="1:16" x14ac:dyDescent="0.3">
      <c r="A2419">
        <v>2954</v>
      </c>
      <c r="B2419">
        <v>43668</v>
      </c>
      <c r="C2419">
        <v>64</v>
      </c>
      <c r="D2419">
        <v>20311</v>
      </c>
      <c r="E2419" t="s">
        <v>14</v>
      </c>
      <c r="F2419" t="s">
        <v>15</v>
      </c>
      <c r="G2419" t="s">
        <v>17</v>
      </c>
      <c r="H2419" t="s">
        <v>8</v>
      </c>
      <c r="I2419" t="s">
        <v>9</v>
      </c>
      <c r="J2419" t="s">
        <v>20</v>
      </c>
      <c r="K2419" t="s">
        <v>26</v>
      </c>
      <c r="L2419" t="s">
        <v>12</v>
      </c>
      <c r="M2419" t="s">
        <v>35</v>
      </c>
      <c r="N2419" t="s">
        <v>37</v>
      </c>
      <c r="O2419" t="s">
        <v>18</v>
      </c>
      <c r="P2419">
        <v>2</v>
      </c>
    </row>
    <row r="2420" spans="1:16" x14ac:dyDescent="0.3">
      <c r="A2420">
        <v>2955</v>
      </c>
      <c r="B2420">
        <v>44095</v>
      </c>
      <c r="C2420">
        <v>61</v>
      </c>
      <c r="D2420">
        <v>21715</v>
      </c>
      <c r="E2420" t="s">
        <v>14</v>
      </c>
      <c r="F2420" t="s">
        <v>22</v>
      </c>
      <c r="G2420" t="s">
        <v>34</v>
      </c>
      <c r="H2420" t="s">
        <v>8</v>
      </c>
      <c r="I2420" t="s">
        <v>9</v>
      </c>
      <c r="J2420" t="s">
        <v>25</v>
      </c>
      <c r="K2420" t="s">
        <v>19</v>
      </c>
      <c r="L2420" t="s">
        <v>12</v>
      </c>
      <c r="M2420" t="s">
        <v>32</v>
      </c>
      <c r="N2420" t="s">
        <v>30</v>
      </c>
      <c r="O2420" t="s">
        <v>18</v>
      </c>
      <c r="P2420">
        <v>2</v>
      </c>
    </row>
    <row r="2421" spans="1:16" x14ac:dyDescent="0.3">
      <c r="A2421">
        <v>2956</v>
      </c>
      <c r="B2421">
        <v>43780</v>
      </c>
      <c r="C2421">
        <v>20</v>
      </c>
      <c r="D2421">
        <v>36509</v>
      </c>
      <c r="E2421" t="s">
        <v>14</v>
      </c>
      <c r="F2421" t="s">
        <v>22</v>
      </c>
      <c r="G2421" t="s">
        <v>17</v>
      </c>
      <c r="H2421" t="s">
        <v>8</v>
      </c>
      <c r="I2421" t="s">
        <v>9</v>
      </c>
      <c r="J2421" t="s">
        <v>20</v>
      </c>
      <c r="K2421" t="s">
        <v>11</v>
      </c>
      <c r="L2421" t="s">
        <v>12</v>
      </c>
      <c r="M2421" t="s">
        <v>42</v>
      </c>
      <c r="N2421" t="s">
        <v>23</v>
      </c>
      <c r="O2421" t="s">
        <v>18</v>
      </c>
      <c r="P2421">
        <v>4</v>
      </c>
    </row>
    <row r="2422" spans="1:16" x14ac:dyDescent="0.3">
      <c r="A2422">
        <v>2957</v>
      </c>
      <c r="B2422">
        <v>44235</v>
      </c>
      <c r="C2422">
        <v>61</v>
      </c>
      <c r="D2422">
        <v>21928</v>
      </c>
      <c r="E2422" t="s">
        <v>14</v>
      </c>
      <c r="F2422" t="s">
        <v>22</v>
      </c>
      <c r="G2422" t="s">
        <v>31</v>
      </c>
      <c r="H2422" t="s">
        <v>8</v>
      </c>
      <c r="I2422" t="s">
        <v>9</v>
      </c>
      <c r="J2422" t="s">
        <v>20</v>
      </c>
      <c r="K2422" t="s">
        <v>26</v>
      </c>
      <c r="L2422" t="s">
        <v>12</v>
      </c>
      <c r="M2422" t="s">
        <v>35</v>
      </c>
      <c r="N2422" t="s">
        <v>23</v>
      </c>
      <c r="O2422" t="s">
        <v>18</v>
      </c>
      <c r="P2422">
        <v>3</v>
      </c>
    </row>
    <row r="2423" spans="1:16" x14ac:dyDescent="0.3">
      <c r="A2423">
        <v>2958</v>
      </c>
      <c r="B2423">
        <v>43983</v>
      </c>
      <c r="C2423">
        <v>75</v>
      </c>
      <c r="D2423">
        <v>16536</v>
      </c>
      <c r="E2423" t="s">
        <v>14</v>
      </c>
      <c r="F2423" t="s">
        <v>22</v>
      </c>
      <c r="G2423" t="s">
        <v>40</v>
      </c>
      <c r="H2423" t="s">
        <v>8</v>
      </c>
      <c r="I2423" t="s">
        <v>9</v>
      </c>
      <c r="J2423" t="s">
        <v>10</v>
      </c>
      <c r="K2423" t="s">
        <v>11</v>
      </c>
      <c r="L2423" t="s">
        <v>12</v>
      </c>
      <c r="M2423" t="s">
        <v>62</v>
      </c>
      <c r="N2423" t="s">
        <v>37</v>
      </c>
      <c r="O2423" t="s">
        <v>18</v>
      </c>
      <c r="P2423">
        <v>2</v>
      </c>
    </row>
    <row r="2424" spans="1:16" x14ac:dyDescent="0.3">
      <c r="A2424">
        <v>2959</v>
      </c>
      <c r="B2424">
        <v>44860</v>
      </c>
      <c r="C2424">
        <v>80</v>
      </c>
      <c r="D2424">
        <v>15583</v>
      </c>
      <c r="E2424" t="s">
        <v>14</v>
      </c>
      <c r="F2424" t="s">
        <v>22</v>
      </c>
      <c r="G2424" t="s">
        <v>17</v>
      </c>
      <c r="H2424" t="s">
        <v>8</v>
      </c>
      <c r="I2424" t="s">
        <v>66</v>
      </c>
      <c r="J2424" t="s">
        <v>20</v>
      </c>
      <c r="K2424" t="s">
        <v>19</v>
      </c>
      <c r="L2424" t="s">
        <v>12</v>
      </c>
      <c r="M2424" t="s">
        <v>21</v>
      </c>
      <c r="N2424" t="s">
        <v>23</v>
      </c>
      <c r="O2424" t="s">
        <v>18</v>
      </c>
      <c r="P2424">
        <v>5</v>
      </c>
    </row>
    <row r="2425" spans="1:16" x14ac:dyDescent="0.3">
      <c r="A2425">
        <v>2960</v>
      </c>
      <c r="B2425">
        <v>43508</v>
      </c>
      <c r="C2425">
        <v>43</v>
      </c>
      <c r="D2425">
        <v>28024</v>
      </c>
      <c r="E2425" t="s">
        <v>14</v>
      </c>
      <c r="F2425" t="s">
        <v>15</v>
      </c>
      <c r="G2425" t="s">
        <v>40</v>
      </c>
      <c r="H2425" t="s">
        <v>8</v>
      </c>
      <c r="I2425" t="s">
        <v>9</v>
      </c>
      <c r="J2425" t="s">
        <v>25</v>
      </c>
      <c r="K2425" t="s">
        <v>11</v>
      </c>
      <c r="L2425" t="s">
        <v>12</v>
      </c>
      <c r="M2425" t="s">
        <v>32</v>
      </c>
      <c r="N2425" t="s">
        <v>16</v>
      </c>
      <c r="O2425" t="s">
        <v>18</v>
      </c>
      <c r="P2425">
        <v>4</v>
      </c>
    </row>
    <row r="2426" spans="1:16" x14ac:dyDescent="0.3">
      <c r="A2426">
        <v>2961</v>
      </c>
      <c r="B2426">
        <v>44853</v>
      </c>
      <c r="C2426">
        <v>45</v>
      </c>
      <c r="D2426">
        <v>28479</v>
      </c>
      <c r="E2426" t="s">
        <v>14</v>
      </c>
      <c r="F2426" t="s">
        <v>15</v>
      </c>
      <c r="G2426" t="s">
        <v>40</v>
      </c>
      <c r="H2426" t="s">
        <v>8</v>
      </c>
      <c r="I2426" t="s">
        <v>9</v>
      </c>
      <c r="J2426" t="s">
        <v>25</v>
      </c>
      <c r="K2426" t="s">
        <v>19</v>
      </c>
      <c r="L2426" t="s">
        <v>12</v>
      </c>
      <c r="M2426" t="s">
        <v>35</v>
      </c>
      <c r="N2426" t="s">
        <v>46</v>
      </c>
      <c r="O2426" t="s">
        <v>18</v>
      </c>
      <c r="P2426">
        <v>2</v>
      </c>
    </row>
    <row r="2427" spans="1:16" x14ac:dyDescent="0.3">
      <c r="A2427">
        <v>2962</v>
      </c>
      <c r="B2427">
        <v>43811</v>
      </c>
      <c r="C2427">
        <v>37</v>
      </c>
      <c r="D2427">
        <v>30227</v>
      </c>
      <c r="E2427" t="s">
        <v>14</v>
      </c>
      <c r="F2427" t="s">
        <v>15</v>
      </c>
      <c r="G2427" t="s">
        <v>31</v>
      </c>
      <c r="H2427" t="s">
        <v>8</v>
      </c>
      <c r="I2427" t="s">
        <v>9</v>
      </c>
      <c r="J2427" t="s">
        <v>25</v>
      </c>
      <c r="K2427" t="s">
        <v>19</v>
      </c>
      <c r="L2427" t="s">
        <v>12</v>
      </c>
      <c r="M2427" t="s">
        <v>42</v>
      </c>
      <c r="N2427" t="s">
        <v>23</v>
      </c>
      <c r="O2427" t="s">
        <v>18</v>
      </c>
      <c r="P2427">
        <v>2</v>
      </c>
    </row>
    <row r="2428" spans="1:16" x14ac:dyDescent="0.3">
      <c r="A2428">
        <v>2963</v>
      </c>
      <c r="B2428">
        <v>44529</v>
      </c>
      <c r="C2428">
        <v>46</v>
      </c>
      <c r="D2428">
        <v>27641</v>
      </c>
      <c r="E2428" t="s">
        <v>14</v>
      </c>
      <c r="F2428" t="s">
        <v>22</v>
      </c>
      <c r="G2428" t="s">
        <v>34</v>
      </c>
      <c r="H2428" t="s">
        <v>8</v>
      </c>
      <c r="I2428" t="s">
        <v>9</v>
      </c>
      <c r="J2428" t="s">
        <v>25</v>
      </c>
      <c r="K2428" t="s">
        <v>26</v>
      </c>
      <c r="L2428" t="s">
        <v>12</v>
      </c>
      <c r="M2428" t="s">
        <v>35</v>
      </c>
      <c r="N2428" t="s">
        <v>30</v>
      </c>
      <c r="O2428" t="s">
        <v>18</v>
      </c>
      <c r="P2428">
        <v>3</v>
      </c>
    </row>
    <row r="2429" spans="1:16" x14ac:dyDescent="0.3">
      <c r="A2429">
        <v>2964</v>
      </c>
      <c r="B2429">
        <v>44331</v>
      </c>
      <c r="C2429">
        <v>63</v>
      </c>
      <c r="D2429">
        <v>21338</v>
      </c>
      <c r="E2429" t="s">
        <v>14</v>
      </c>
      <c r="F2429" t="s">
        <v>15</v>
      </c>
      <c r="G2429" t="s">
        <v>40</v>
      </c>
      <c r="H2429" t="s">
        <v>8</v>
      </c>
      <c r="I2429" t="s">
        <v>9</v>
      </c>
      <c r="J2429" t="s">
        <v>20</v>
      </c>
      <c r="K2429" t="s">
        <v>26</v>
      </c>
      <c r="L2429" t="s">
        <v>12</v>
      </c>
      <c r="M2429" t="s">
        <v>35</v>
      </c>
      <c r="N2429" t="s">
        <v>30</v>
      </c>
      <c r="O2429" t="s">
        <v>18</v>
      </c>
      <c r="P2429">
        <v>1</v>
      </c>
    </row>
    <row r="2430" spans="1:16" x14ac:dyDescent="0.3">
      <c r="A2430">
        <v>2965</v>
      </c>
      <c r="B2430">
        <v>44953</v>
      </c>
      <c r="C2430">
        <v>66</v>
      </c>
      <c r="D2430">
        <v>20824</v>
      </c>
      <c r="E2430" t="s">
        <v>14</v>
      </c>
      <c r="F2430" t="s">
        <v>15</v>
      </c>
      <c r="G2430" t="s">
        <v>40</v>
      </c>
      <c r="H2430" t="s">
        <v>8</v>
      </c>
      <c r="I2430" t="s">
        <v>9</v>
      </c>
      <c r="J2430" t="s">
        <v>10</v>
      </c>
      <c r="K2430" t="s">
        <v>26</v>
      </c>
      <c r="L2430" t="s">
        <v>12</v>
      </c>
      <c r="M2430" t="s">
        <v>35</v>
      </c>
      <c r="N2430" t="s">
        <v>23</v>
      </c>
      <c r="O2430" t="s">
        <v>18</v>
      </c>
      <c r="P2430">
        <v>4</v>
      </c>
    </row>
    <row r="2431" spans="1:16" x14ac:dyDescent="0.3">
      <c r="A2431">
        <v>2966</v>
      </c>
      <c r="B2431">
        <v>44015</v>
      </c>
      <c r="C2431">
        <v>59</v>
      </c>
      <c r="D2431">
        <v>22394</v>
      </c>
      <c r="E2431" t="s">
        <v>14</v>
      </c>
      <c r="F2431" t="s">
        <v>22</v>
      </c>
      <c r="G2431" t="s">
        <v>40</v>
      </c>
      <c r="H2431" t="s">
        <v>8</v>
      </c>
      <c r="I2431" t="s">
        <v>9</v>
      </c>
      <c r="J2431" t="s">
        <v>25</v>
      </c>
      <c r="K2431" t="s">
        <v>19</v>
      </c>
      <c r="L2431" t="s">
        <v>12</v>
      </c>
      <c r="M2431" t="s">
        <v>21</v>
      </c>
      <c r="N2431" t="s">
        <v>16</v>
      </c>
      <c r="O2431" t="s">
        <v>18</v>
      </c>
      <c r="P2431">
        <v>2</v>
      </c>
    </row>
    <row r="2432" spans="1:16" x14ac:dyDescent="0.3">
      <c r="A2432">
        <v>2967</v>
      </c>
      <c r="B2432">
        <v>44921</v>
      </c>
      <c r="C2432">
        <v>39</v>
      </c>
      <c r="D2432">
        <v>30656</v>
      </c>
      <c r="E2432" t="s">
        <v>14</v>
      </c>
      <c r="F2432" t="s">
        <v>15</v>
      </c>
      <c r="G2432" t="s">
        <v>34</v>
      </c>
      <c r="H2432" t="s">
        <v>8</v>
      </c>
      <c r="I2432" t="s">
        <v>9</v>
      </c>
      <c r="J2432" t="s">
        <v>25</v>
      </c>
      <c r="K2432" t="s">
        <v>19</v>
      </c>
      <c r="L2432" t="s">
        <v>12</v>
      </c>
      <c r="M2432" t="s">
        <v>35</v>
      </c>
      <c r="N2432" t="s">
        <v>30</v>
      </c>
      <c r="O2432" t="s">
        <v>18</v>
      </c>
      <c r="P2432">
        <v>3</v>
      </c>
    </row>
    <row r="2433" spans="1:16" x14ac:dyDescent="0.3">
      <c r="A2433">
        <v>2968</v>
      </c>
      <c r="B2433">
        <v>43457</v>
      </c>
      <c r="C2433">
        <v>37</v>
      </c>
      <c r="D2433">
        <v>29742</v>
      </c>
      <c r="E2433" t="s">
        <v>14</v>
      </c>
      <c r="F2433" t="s">
        <v>15</v>
      </c>
      <c r="G2433" t="s">
        <v>31</v>
      </c>
      <c r="H2433" t="s">
        <v>8</v>
      </c>
      <c r="I2433" t="s">
        <v>9</v>
      </c>
      <c r="J2433" t="s">
        <v>20</v>
      </c>
      <c r="K2433" t="s">
        <v>26</v>
      </c>
      <c r="L2433" t="s">
        <v>12</v>
      </c>
      <c r="M2433" t="s">
        <v>32</v>
      </c>
      <c r="N2433" t="s">
        <v>37</v>
      </c>
      <c r="O2433" t="s">
        <v>18</v>
      </c>
      <c r="P2433">
        <v>5</v>
      </c>
    </row>
    <row r="2434" spans="1:16" x14ac:dyDescent="0.3">
      <c r="A2434">
        <v>2969</v>
      </c>
      <c r="B2434">
        <v>44102</v>
      </c>
      <c r="C2434">
        <v>33</v>
      </c>
      <c r="D2434">
        <v>32139</v>
      </c>
      <c r="E2434" t="s">
        <v>14</v>
      </c>
      <c r="F2434" t="s">
        <v>15</v>
      </c>
      <c r="G2434" t="s">
        <v>34</v>
      </c>
      <c r="H2434" t="s">
        <v>64</v>
      </c>
      <c r="I2434" t="s">
        <v>66</v>
      </c>
      <c r="J2434" t="s">
        <v>10</v>
      </c>
      <c r="K2434" t="s">
        <v>19</v>
      </c>
      <c r="L2434" t="s">
        <v>12</v>
      </c>
      <c r="M2434" t="s">
        <v>32</v>
      </c>
      <c r="N2434" t="s">
        <v>23</v>
      </c>
      <c r="O2434" t="s">
        <v>18</v>
      </c>
      <c r="P2434">
        <v>5</v>
      </c>
    </row>
    <row r="2435" spans="1:16" x14ac:dyDescent="0.3">
      <c r="A2435">
        <v>2970</v>
      </c>
      <c r="B2435">
        <v>44090</v>
      </c>
      <c r="C2435">
        <v>38</v>
      </c>
      <c r="D2435">
        <v>30071</v>
      </c>
      <c r="E2435" t="s">
        <v>14</v>
      </c>
      <c r="F2435" t="s">
        <v>15</v>
      </c>
      <c r="G2435" t="s">
        <v>17</v>
      </c>
      <c r="H2435" t="s">
        <v>8</v>
      </c>
      <c r="I2435" t="s">
        <v>9</v>
      </c>
      <c r="J2435" t="s">
        <v>25</v>
      </c>
      <c r="K2435" t="s">
        <v>26</v>
      </c>
      <c r="L2435" t="s">
        <v>12</v>
      </c>
      <c r="M2435" t="s">
        <v>32</v>
      </c>
      <c r="N2435" t="s">
        <v>23</v>
      </c>
      <c r="O2435" t="s">
        <v>18</v>
      </c>
      <c r="P2435">
        <v>5</v>
      </c>
    </row>
    <row r="2436" spans="1:16" x14ac:dyDescent="0.3">
      <c r="A2436">
        <v>2971</v>
      </c>
      <c r="B2436">
        <v>43870</v>
      </c>
      <c r="C2436">
        <v>24</v>
      </c>
      <c r="D2436">
        <v>35345</v>
      </c>
      <c r="E2436" t="s">
        <v>14</v>
      </c>
      <c r="F2436" t="s">
        <v>15</v>
      </c>
      <c r="G2436" t="s">
        <v>40</v>
      </c>
      <c r="H2436" t="s">
        <v>64</v>
      </c>
      <c r="I2436" t="s">
        <v>9</v>
      </c>
      <c r="J2436" t="s">
        <v>10</v>
      </c>
      <c r="K2436" t="s">
        <v>11</v>
      </c>
      <c r="L2436" t="s">
        <v>12</v>
      </c>
      <c r="M2436" t="s">
        <v>21</v>
      </c>
      <c r="N2436" t="s">
        <v>16</v>
      </c>
      <c r="O2436" t="s">
        <v>18</v>
      </c>
      <c r="P2436">
        <v>5</v>
      </c>
    </row>
    <row r="2437" spans="1:16" x14ac:dyDescent="0.3">
      <c r="A2437">
        <v>2972</v>
      </c>
      <c r="B2437">
        <v>44970</v>
      </c>
      <c r="C2437">
        <v>75</v>
      </c>
      <c r="D2437">
        <v>17626</v>
      </c>
      <c r="E2437" t="s">
        <v>14</v>
      </c>
      <c r="F2437" t="s">
        <v>15</v>
      </c>
      <c r="G2437" t="s">
        <v>17</v>
      </c>
      <c r="H2437" t="s">
        <v>8</v>
      </c>
      <c r="I2437" t="s">
        <v>9</v>
      </c>
      <c r="J2437" t="s">
        <v>25</v>
      </c>
      <c r="K2437" t="s">
        <v>26</v>
      </c>
      <c r="L2437" t="s">
        <v>12</v>
      </c>
      <c r="M2437" t="s">
        <v>32</v>
      </c>
      <c r="N2437" t="s">
        <v>30</v>
      </c>
      <c r="O2437" t="s">
        <v>18</v>
      </c>
      <c r="P2437">
        <v>4</v>
      </c>
    </row>
    <row r="2438" spans="1:16" x14ac:dyDescent="0.3">
      <c r="A2438">
        <v>2973</v>
      </c>
      <c r="B2438">
        <v>43800</v>
      </c>
      <c r="C2438">
        <v>68</v>
      </c>
      <c r="D2438">
        <v>18793</v>
      </c>
      <c r="E2438" t="s">
        <v>14</v>
      </c>
      <c r="F2438" t="s">
        <v>15</v>
      </c>
      <c r="G2438" t="s">
        <v>34</v>
      </c>
      <c r="H2438" t="s">
        <v>8</v>
      </c>
      <c r="I2438" t="s">
        <v>9</v>
      </c>
      <c r="J2438" t="s">
        <v>20</v>
      </c>
      <c r="K2438" t="s">
        <v>11</v>
      </c>
      <c r="L2438" t="s">
        <v>12</v>
      </c>
      <c r="M2438" t="s">
        <v>32</v>
      </c>
      <c r="N2438" t="s">
        <v>30</v>
      </c>
      <c r="O2438" t="s">
        <v>18</v>
      </c>
      <c r="P2438">
        <v>3</v>
      </c>
    </row>
    <row r="2439" spans="1:16" x14ac:dyDescent="0.3">
      <c r="A2439">
        <v>2974</v>
      </c>
      <c r="B2439">
        <v>44869</v>
      </c>
      <c r="C2439">
        <v>77</v>
      </c>
      <c r="D2439">
        <v>16474</v>
      </c>
      <c r="E2439" t="s">
        <v>14</v>
      </c>
      <c r="F2439" t="s">
        <v>15</v>
      </c>
      <c r="G2439" t="s">
        <v>31</v>
      </c>
      <c r="H2439" t="s">
        <v>8</v>
      </c>
      <c r="I2439" t="s">
        <v>9</v>
      </c>
      <c r="J2439" t="s">
        <v>25</v>
      </c>
      <c r="K2439" t="s">
        <v>11</v>
      </c>
      <c r="L2439" t="s">
        <v>12</v>
      </c>
      <c r="M2439" t="s">
        <v>35</v>
      </c>
      <c r="N2439" t="s">
        <v>37</v>
      </c>
      <c r="O2439" t="s">
        <v>18</v>
      </c>
      <c r="P2439">
        <v>5</v>
      </c>
    </row>
    <row r="2440" spans="1:16" x14ac:dyDescent="0.3">
      <c r="A2440">
        <v>2975</v>
      </c>
      <c r="B2440">
        <v>44300</v>
      </c>
      <c r="C2440">
        <v>73</v>
      </c>
      <c r="D2440">
        <v>17701</v>
      </c>
      <c r="E2440" t="s">
        <v>14</v>
      </c>
      <c r="F2440" t="s">
        <v>22</v>
      </c>
      <c r="G2440" t="s">
        <v>34</v>
      </c>
      <c r="H2440" t="s">
        <v>8</v>
      </c>
      <c r="I2440" t="s">
        <v>9</v>
      </c>
      <c r="J2440" t="s">
        <v>25</v>
      </c>
      <c r="K2440" t="s">
        <v>19</v>
      </c>
      <c r="L2440" t="s">
        <v>12</v>
      </c>
      <c r="M2440" t="s">
        <v>67</v>
      </c>
      <c r="N2440" t="s">
        <v>46</v>
      </c>
      <c r="O2440" t="s">
        <v>18</v>
      </c>
      <c r="P2440">
        <v>3</v>
      </c>
    </row>
    <row r="2441" spans="1:16" x14ac:dyDescent="0.3">
      <c r="A2441">
        <v>2977</v>
      </c>
      <c r="B2441">
        <v>44071</v>
      </c>
      <c r="C2441">
        <v>33</v>
      </c>
      <c r="D2441">
        <v>32121</v>
      </c>
      <c r="E2441" t="s">
        <v>14</v>
      </c>
      <c r="F2441" t="s">
        <v>22</v>
      </c>
      <c r="G2441" t="s">
        <v>40</v>
      </c>
      <c r="H2441" t="s">
        <v>64</v>
      </c>
      <c r="I2441" t="s">
        <v>9</v>
      </c>
      <c r="J2441" t="s">
        <v>20</v>
      </c>
      <c r="K2441" t="s">
        <v>19</v>
      </c>
      <c r="L2441" t="s">
        <v>12</v>
      </c>
      <c r="M2441" t="s">
        <v>63</v>
      </c>
      <c r="N2441" t="s">
        <v>37</v>
      </c>
      <c r="O2441" t="s">
        <v>18</v>
      </c>
      <c r="P2441">
        <v>4</v>
      </c>
    </row>
    <row r="2442" spans="1:16" x14ac:dyDescent="0.3">
      <c r="A2442">
        <v>2978</v>
      </c>
      <c r="B2442">
        <v>44789</v>
      </c>
      <c r="C2442">
        <v>41</v>
      </c>
      <c r="D2442">
        <v>29840</v>
      </c>
      <c r="E2442" t="s">
        <v>14</v>
      </c>
      <c r="F2442" t="s">
        <v>22</v>
      </c>
      <c r="G2442" t="s">
        <v>40</v>
      </c>
      <c r="H2442" t="s">
        <v>8</v>
      </c>
      <c r="I2442" t="s">
        <v>9</v>
      </c>
      <c r="J2442" t="s">
        <v>25</v>
      </c>
      <c r="K2442" t="s">
        <v>11</v>
      </c>
      <c r="L2442" t="s">
        <v>12</v>
      </c>
      <c r="M2442" t="s">
        <v>63</v>
      </c>
      <c r="N2442" t="s">
        <v>23</v>
      </c>
      <c r="O2442" t="s">
        <v>18</v>
      </c>
      <c r="P2442">
        <v>2</v>
      </c>
    </row>
    <row r="2443" spans="1:16" x14ac:dyDescent="0.3">
      <c r="A2443">
        <v>2979</v>
      </c>
      <c r="B2443">
        <v>44618</v>
      </c>
      <c r="C2443">
        <v>21</v>
      </c>
      <c r="D2443">
        <v>37058</v>
      </c>
      <c r="E2443" t="s">
        <v>14</v>
      </c>
      <c r="F2443" t="s">
        <v>15</v>
      </c>
      <c r="G2443" t="s">
        <v>17</v>
      </c>
      <c r="H2443" t="s">
        <v>8</v>
      </c>
      <c r="I2443" t="s">
        <v>9</v>
      </c>
      <c r="J2443" t="s">
        <v>25</v>
      </c>
      <c r="K2443" t="s">
        <v>19</v>
      </c>
      <c r="L2443" t="s">
        <v>12</v>
      </c>
      <c r="M2443" t="s">
        <v>35</v>
      </c>
      <c r="N2443" t="s">
        <v>30</v>
      </c>
      <c r="O2443" t="s">
        <v>18</v>
      </c>
      <c r="P2443">
        <v>5</v>
      </c>
    </row>
    <row r="2444" spans="1:16" x14ac:dyDescent="0.3">
      <c r="A2444">
        <v>2980</v>
      </c>
      <c r="B2444">
        <v>43829</v>
      </c>
      <c r="C2444">
        <v>62</v>
      </c>
      <c r="D2444">
        <v>21072</v>
      </c>
      <c r="E2444" t="s">
        <v>14</v>
      </c>
      <c r="F2444" t="s">
        <v>15</v>
      </c>
      <c r="G2444" t="s">
        <v>40</v>
      </c>
      <c r="H2444" t="s">
        <v>8</v>
      </c>
      <c r="I2444" t="s">
        <v>9</v>
      </c>
      <c r="J2444" t="s">
        <v>20</v>
      </c>
      <c r="K2444" t="s">
        <v>19</v>
      </c>
      <c r="L2444" t="s">
        <v>12</v>
      </c>
      <c r="M2444" t="s">
        <v>32</v>
      </c>
      <c r="N2444" t="s">
        <v>23</v>
      </c>
      <c r="O2444" t="s">
        <v>18</v>
      </c>
      <c r="P2444">
        <v>3</v>
      </c>
    </row>
    <row r="2445" spans="1:16" x14ac:dyDescent="0.3">
      <c r="A2445">
        <v>2981</v>
      </c>
      <c r="B2445">
        <v>44765</v>
      </c>
      <c r="C2445">
        <v>43</v>
      </c>
      <c r="D2445">
        <v>29214</v>
      </c>
      <c r="E2445" t="s">
        <v>14</v>
      </c>
      <c r="F2445" t="s">
        <v>15</v>
      </c>
      <c r="G2445" t="s">
        <v>31</v>
      </c>
      <c r="H2445" t="s">
        <v>8</v>
      </c>
      <c r="I2445" t="s">
        <v>9</v>
      </c>
      <c r="J2445" t="s">
        <v>20</v>
      </c>
      <c r="K2445" t="s">
        <v>26</v>
      </c>
      <c r="L2445" t="s">
        <v>12</v>
      </c>
      <c r="M2445" t="s">
        <v>21</v>
      </c>
      <c r="N2445" t="s">
        <v>37</v>
      </c>
      <c r="O2445" t="s">
        <v>18</v>
      </c>
      <c r="P2445">
        <v>3</v>
      </c>
    </row>
    <row r="2446" spans="1:16" x14ac:dyDescent="0.3">
      <c r="A2446">
        <v>2982</v>
      </c>
      <c r="B2446">
        <v>43387</v>
      </c>
      <c r="C2446">
        <v>66</v>
      </c>
      <c r="D2446">
        <v>19017</v>
      </c>
      <c r="E2446" t="s">
        <v>14</v>
      </c>
      <c r="F2446" t="s">
        <v>15</v>
      </c>
      <c r="G2446" t="s">
        <v>34</v>
      </c>
      <c r="H2446" t="s">
        <v>64</v>
      </c>
      <c r="I2446" t="s">
        <v>9</v>
      </c>
      <c r="J2446" t="s">
        <v>25</v>
      </c>
      <c r="K2446" t="s">
        <v>26</v>
      </c>
      <c r="L2446" t="s">
        <v>12</v>
      </c>
      <c r="M2446" t="s">
        <v>35</v>
      </c>
      <c r="N2446" t="s">
        <v>30</v>
      </c>
      <c r="O2446" t="s">
        <v>18</v>
      </c>
      <c r="P2446">
        <v>4</v>
      </c>
    </row>
    <row r="2447" spans="1:16" x14ac:dyDescent="0.3">
      <c r="A2447">
        <v>2983</v>
      </c>
      <c r="B2447">
        <v>44247</v>
      </c>
      <c r="C2447">
        <v>59</v>
      </c>
      <c r="D2447">
        <v>22751</v>
      </c>
      <c r="E2447" t="s">
        <v>14</v>
      </c>
      <c r="F2447" t="s">
        <v>22</v>
      </c>
      <c r="G2447" t="s">
        <v>17</v>
      </c>
      <c r="H2447" t="s">
        <v>64</v>
      </c>
      <c r="I2447" t="s">
        <v>9</v>
      </c>
      <c r="J2447" t="s">
        <v>25</v>
      </c>
      <c r="K2447" t="s">
        <v>11</v>
      </c>
      <c r="L2447" t="s">
        <v>12</v>
      </c>
      <c r="M2447" t="s">
        <v>49</v>
      </c>
      <c r="N2447" t="s">
        <v>23</v>
      </c>
      <c r="O2447" t="s">
        <v>18</v>
      </c>
      <c r="P2447">
        <v>5</v>
      </c>
    </row>
    <row r="2448" spans="1:16" x14ac:dyDescent="0.3">
      <c r="A2448">
        <v>2984</v>
      </c>
      <c r="B2448">
        <v>43918</v>
      </c>
      <c r="C2448">
        <v>45</v>
      </c>
      <c r="D2448">
        <v>27487</v>
      </c>
      <c r="E2448" t="s">
        <v>14</v>
      </c>
      <c r="F2448" t="s">
        <v>15</v>
      </c>
      <c r="G2448" t="s">
        <v>40</v>
      </c>
      <c r="H2448" t="s">
        <v>64</v>
      </c>
      <c r="I2448" t="s">
        <v>9</v>
      </c>
      <c r="J2448" t="s">
        <v>10</v>
      </c>
      <c r="K2448" t="s">
        <v>26</v>
      </c>
      <c r="L2448" t="s">
        <v>12</v>
      </c>
      <c r="M2448" t="s">
        <v>42</v>
      </c>
      <c r="N2448" t="s">
        <v>37</v>
      </c>
      <c r="O2448" t="s">
        <v>18</v>
      </c>
      <c r="P2448">
        <v>1</v>
      </c>
    </row>
    <row r="2449" spans="1:16" x14ac:dyDescent="0.3">
      <c r="A2449">
        <v>2985</v>
      </c>
      <c r="B2449">
        <v>43501</v>
      </c>
      <c r="C2449">
        <v>49</v>
      </c>
      <c r="D2449">
        <v>25828</v>
      </c>
      <c r="E2449" t="s">
        <v>14</v>
      </c>
      <c r="F2449" t="s">
        <v>22</v>
      </c>
      <c r="G2449" t="s">
        <v>34</v>
      </c>
      <c r="H2449" t="s">
        <v>8</v>
      </c>
      <c r="I2449" t="s">
        <v>9</v>
      </c>
      <c r="J2449" t="s">
        <v>10</v>
      </c>
      <c r="K2449" t="s">
        <v>19</v>
      </c>
      <c r="L2449" t="s">
        <v>12</v>
      </c>
      <c r="M2449" t="s">
        <v>28</v>
      </c>
      <c r="N2449" t="s">
        <v>23</v>
      </c>
      <c r="O2449" t="s">
        <v>18</v>
      </c>
      <c r="P2449">
        <v>5</v>
      </c>
    </row>
    <row r="2450" spans="1:16" x14ac:dyDescent="0.3">
      <c r="A2450">
        <v>2986</v>
      </c>
      <c r="B2450">
        <v>45035</v>
      </c>
      <c r="C2450">
        <v>52</v>
      </c>
      <c r="D2450">
        <v>25944</v>
      </c>
      <c r="E2450" t="s">
        <v>14</v>
      </c>
      <c r="F2450" t="s">
        <v>15</v>
      </c>
      <c r="G2450" t="s">
        <v>31</v>
      </c>
      <c r="H2450" t="s">
        <v>8</v>
      </c>
      <c r="I2450" t="s">
        <v>9</v>
      </c>
      <c r="J2450" t="s">
        <v>25</v>
      </c>
      <c r="K2450" t="s">
        <v>26</v>
      </c>
      <c r="L2450" t="s">
        <v>12</v>
      </c>
      <c r="M2450" t="s">
        <v>38</v>
      </c>
      <c r="N2450" t="s">
        <v>46</v>
      </c>
      <c r="O2450" t="s">
        <v>18</v>
      </c>
      <c r="P2450">
        <v>5</v>
      </c>
    </row>
    <row r="2451" spans="1:16" x14ac:dyDescent="0.3">
      <c r="A2451">
        <v>2987</v>
      </c>
      <c r="B2451">
        <v>44098</v>
      </c>
      <c r="C2451">
        <v>54</v>
      </c>
      <c r="D2451">
        <v>24158</v>
      </c>
      <c r="E2451" t="s">
        <v>14</v>
      </c>
      <c r="F2451" t="s">
        <v>22</v>
      </c>
      <c r="G2451" t="s">
        <v>31</v>
      </c>
      <c r="H2451" t="s">
        <v>8</v>
      </c>
      <c r="I2451" t="s">
        <v>9</v>
      </c>
      <c r="J2451" t="s">
        <v>10</v>
      </c>
      <c r="K2451" t="s">
        <v>26</v>
      </c>
      <c r="L2451" t="s">
        <v>12</v>
      </c>
      <c r="M2451" t="s">
        <v>58</v>
      </c>
      <c r="N2451" t="s">
        <v>30</v>
      </c>
      <c r="O2451" t="s">
        <v>18</v>
      </c>
      <c r="P2451">
        <v>3</v>
      </c>
    </row>
    <row r="2452" spans="1:16" x14ac:dyDescent="0.3">
      <c r="A2452">
        <v>2988</v>
      </c>
      <c r="B2452">
        <v>44149</v>
      </c>
      <c r="C2452">
        <v>48</v>
      </c>
      <c r="D2452">
        <v>26316</v>
      </c>
      <c r="E2452" t="s">
        <v>14</v>
      </c>
      <c r="F2452" t="s">
        <v>22</v>
      </c>
      <c r="G2452" t="s">
        <v>34</v>
      </c>
      <c r="H2452" t="s">
        <v>8</v>
      </c>
      <c r="I2452" t="s">
        <v>9</v>
      </c>
      <c r="J2452" t="s">
        <v>25</v>
      </c>
      <c r="K2452" t="s">
        <v>19</v>
      </c>
      <c r="L2452" t="s">
        <v>12</v>
      </c>
      <c r="M2452" t="s">
        <v>32</v>
      </c>
      <c r="N2452" t="s">
        <v>23</v>
      </c>
      <c r="O2452" t="s">
        <v>18</v>
      </c>
      <c r="P2452">
        <v>4</v>
      </c>
    </row>
    <row r="2453" spans="1:16" x14ac:dyDescent="0.3">
      <c r="A2453">
        <v>2989</v>
      </c>
      <c r="B2453">
        <v>44455</v>
      </c>
      <c r="C2453">
        <v>79</v>
      </c>
      <c r="D2453">
        <v>15487</v>
      </c>
      <c r="E2453" t="s">
        <v>14</v>
      </c>
      <c r="F2453" t="s">
        <v>15</v>
      </c>
      <c r="G2453" t="s">
        <v>17</v>
      </c>
      <c r="H2453" t="s">
        <v>8</v>
      </c>
      <c r="I2453" t="s">
        <v>9</v>
      </c>
      <c r="J2453" t="s">
        <v>10</v>
      </c>
      <c r="K2453" t="s">
        <v>26</v>
      </c>
      <c r="L2453" t="s">
        <v>12</v>
      </c>
      <c r="M2453" t="s">
        <v>42</v>
      </c>
      <c r="N2453" t="s">
        <v>23</v>
      </c>
      <c r="O2453" t="s">
        <v>18</v>
      </c>
      <c r="P2453">
        <v>3</v>
      </c>
    </row>
    <row r="2454" spans="1:16" x14ac:dyDescent="0.3">
      <c r="A2454">
        <v>2990</v>
      </c>
      <c r="B2454">
        <v>43576</v>
      </c>
      <c r="C2454">
        <v>20</v>
      </c>
      <c r="D2454">
        <v>36308</v>
      </c>
      <c r="E2454" t="s">
        <v>14</v>
      </c>
      <c r="F2454" t="s">
        <v>15</v>
      </c>
      <c r="G2454" t="s">
        <v>31</v>
      </c>
      <c r="H2454" t="s">
        <v>8</v>
      </c>
      <c r="I2454" t="s">
        <v>9</v>
      </c>
      <c r="J2454" t="s">
        <v>25</v>
      </c>
      <c r="K2454" t="s">
        <v>11</v>
      </c>
      <c r="L2454" t="s">
        <v>12</v>
      </c>
      <c r="M2454" t="s">
        <v>32</v>
      </c>
      <c r="N2454" t="s">
        <v>16</v>
      </c>
      <c r="O2454" t="s">
        <v>18</v>
      </c>
      <c r="P2454">
        <v>2</v>
      </c>
    </row>
    <row r="2455" spans="1:16" x14ac:dyDescent="0.3">
      <c r="A2455">
        <v>2991</v>
      </c>
      <c r="B2455">
        <v>43903</v>
      </c>
      <c r="C2455">
        <v>21</v>
      </c>
      <c r="D2455">
        <v>36236</v>
      </c>
      <c r="E2455" t="s">
        <v>14</v>
      </c>
      <c r="F2455" t="s">
        <v>15</v>
      </c>
      <c r="G2455" t="s">
        <v>31</v>
      </c>
      <c r="H2455" t="s">
        <v>8</v>
      </c>
      <c r="I2455" t="s">
        <v>9</v>
      </c>
      <c r="J2455" t="s">
        <v>10</v>
      </c>
      <c r="K2455" t="s">
        <v>19</v>
      </c>
      <c r="L2455" t="s">
        <v>12</v>
      </c>
      <c r="M2455" t="s">
        <v>32</v>
      </c>
      <c r="N2455" t="s">
        <v>16</v>
      </c>
      <c r="O2455" t="s">
        <v>41</v>
      </c>
      <c r="P2455">
        <v>5</v>
      </c>
    </row>
    <row r="2456" spans="1:16" x14ac:dyDescent="0.3">
      <c r="A2456">
        <v>2992</v>
      </c>
      <c r="B2456">
        <v>44667</v>
      </c>
      <c r="C2456">
        <v>49</v>
      </c>
      <c r="D2456">
        <v>26955</v>
      </c>
      <c r="E2456" t="s">
        <v>14</v>
      </c>
      <c r="F2456" t="s">
        <v>15</v>
      </c>
      <c r="G2456" t="s">
        <v>34</v>
      </c>
      <c r="H2456" t="s">
        <v>8</v>
      </c>
      <c r="I2456" t="s">
        <v>9</v>
      </c>
      <c r="J2456" t="s">
        <v>25</v>
      </c>
      <c r="K2456" t="s">
        <v>19</v>
      </c>
      <c r="L2456" t="s">
        <v>12</v>
      </c>
      <c r="M2456" t="s">
        <v>35</v>
      </c>
      <c r="N2456" t="s">
        <v>46</v>
      </c>
      <c r="O2456" t="s">
        <v>18</v>
      </c>
      <c r="P2456">
        <v>4</v>
      </c>
    </row>
    <row r="2457" spans="1:16" x14ac:dyDescent="0.3">
      <c r="A2457">
        <v>2993</v>
      </c>
      <c r="B2457">
        <v>43542</v>
      </c>
      <c r="C2457">
        <v>73</v>
      </c>
      <c r="D2457">
        <v>16809</v>
      </c>
      <c r="E2457" t="s">
        <v>14</v>
      </c>
      <c r="F2457" t="s">
        <v>22</v>
      </c>
      <c r="G2457" t="s">
        <v>17</v>
      </c>
      <c r="H2457" t="s">
        <v>8</v>
      </c>
      <c r="I2457" t="s">
        <v>9</v>
      </c>
      <c r="J2457" t="s">
        <v>25</v>
      </c>
      <c r="K2457" t="s">
        <v>19</v>
      </c>
      <c r="L2457" t="s">
        <v>12</v>
      </c>
      <c r="M2457" t="s">
        <v>32</v>
      </c>
      <c r="N2457" t="s">
        <v>16</v>
      </c>
      <c r="O2457" t="s">
        <v>18</v>
      </c>
      <c r="P2457">
        <v>5</v>
      </c>
    </row>
    <row r="2458" spans="1:16" x14ac:dyDescent="0.3">
      <c r="A2458">
        <v>2994</v>
      </c>
      <c r="B2458">
        <v>44610</v>
      </c>
      <c r="C2458">
        <v>69</v>
      </c>
      <c r="D2458">
        <v>19489</v>
      </c>
      <c r="E2458" t="s">
        <v>14</v>
      </c>
      <c r="F2458" t="s">
        <v>22</v>
      </c>
      <c r="G2458" t="s">
        <v>34</v>
      </c>
      <c r="H2458" t="s">
        <v>8</v>
      </c>
      <c r="I2458" t="s">
        <v>9</v>
      </c>
      <c r="J2458" t="s">
        <v>20</v>
      </c>
      <c r="K2458" t="s">
        <v>26</v>
      </c>
      <c r="L2458" t="s">
        <v>12</v>
      </c>
      <c r="M2458" t="s">
        <v>42</v>
      </c>
      <c r="N2458" t="s">
        <v>30</v>
      </c>
      <c r="O2458" t="s">
        <v>18</v>
      </c>
      <c r="P2458">
        <v>5</v>
      </c>
    </row>
    <row r="2459" spans="1:16" x14ac:dyDescent="0.3">
      <c r="A2459">
        <v>2995</v>
      </c>
      <c r="B2459">
        <v>43346</v>
      </c>
      <c r="C2459">
        <v>64</v>
      </c>
      <c r="D2459">
        <v>20014</v>
      </c>
      <c r="E2459" t="s">
        <v>14</v>
      </c>
      <c r="F2459" t="s">
        <v>22</v>
      </c>
      <c r="G2459" t="s">
        <v>31</v>
      </c>
      <c r="H2459" t="s">
        <v>8</v>
      </c>
      <c r="I2459" t="s">
        <v>9</v>
      </c>
      <c r="J2459" t="s">
        <v>25</v>
      </c>
      <c r="K2459" t="s">
        <v>19</v>
      </c>
      <c r="L2459" t="s">
        <v>12</v>
      </c>
      <c r="M2459" t="s">
        <v>32</v>
      </c>
      <c r="N2459" t="s">
        <v>30</v>
      </c>
      <c r="O2459" t="s">
        <v>56</v>
      </c>
      <c r="P2459">
        <v>5</v>
      </c>
    </row>
    <row r="2460" spans="1:16" x14ac:dyDescent="0.3">
      <c r="A2460">
        <v>2996</v>
      </c>
      <c r="B2460">
        <v>44727</v>
      </c>
      <c r="C2460">
        <v>33</v>
      </c>
      <c r="D2460">
        <v>32781</v>
      </c>
      <c r="E2460" t="s">
        <v>14</v>
      </c>
      <c r="F2460" t="s">
        <v>15</v>
      </c>
      <c r="G2460" t="s">
        <v>17</v>
      </c>
      <c r="H2460" t="s">
        <v>8</v>
      </c>
      <c r="I2460" t="s">
        <v>9</v>
      </c>
      <c r="J2460" t="s">
        <v>10</v>
      </c>
      <c r="K2460" t="s">
        <v>26</v>
      </c>
      <c r="L2460" t="s">
        <v>12</v>
      </c>
      <c r="M2460" t="s">
        <v>32</v>
      </c>
      <c r="N2460" t="s">
        <v>30</v>
      </c>
      <c r="O2460" t="s">
        <v>18</v>
      </c>
      <c r="P2460">
        <v>2</v>
      </c>
    </row>
    <row r="2461" spans="1:16" x14ac:dyDescent="0.3">
      <c r="A2461">
        <v>2997</v>
      </c>
      <c r="B2461">
        <v>44606</v>
      </c>
      <c r="C2461">
        <v>37</v>
      </c>
      <c r="D2461">
        <v>31228</v>
      </c>
      <c r="E2461" t="s">
        <v>14</v>
      </c>
      <c r="F2461" t="s">
        <v>15</v>
      </c>
      <c r="G2461" t="s">
        <v>34</v>
      </c>
      <c r="H2461" t="s">
        <v>8</v>
      </c>
      <c r="I2461" t="s">
        <v>9</v>
      </c>
      <c r="J2461" t="s">
        <v>10</v>
      </c>
      <c r="K2461" t="s">
        <v>26</v>
      </c>
      <c r="L2461" t="s">
        <v>12</v>
      </c>
      <c r="M2461" t="s">
        <v>32</v>
      </c>
      <c r="N2461" t="s">
        <v>30</v>
      </c>
      <c r="O2461" t="s">
        <v>18</v>
      </c>
      <c r="P2461">
        <v>2</v>
      </c>
    </row>
    <row r="2462" spans="1:16" x14ac:dyDescent="0.3">
      <c r="A2462">
        <v>2998</v>
      </c>
      <c r="B2462">
        <v>45116</v>
      </c>
      <c r="C2462">
        <v>55</v>
      </c>
      <c r="D2462">
        <v>24991</v>
      </c>
      <c r="E2462" t="s">
        <v>14</v>
      </c>
      <c r="F2462" t="s">
        <v>22</v>
      </c>
      <c r="G2462" t="s">
        <v>17</v>
      </c>
      <c r="H2462" t="s">
        <v>8</v>
      </c>
      <c r="I2462" t="s">
        <v>9</v>
      </c>
      <c r="J2462" t="s">
        <v>10</v>
      </c>
      <c r="K2462" t="s">
        <v>11</v>
      </c>
      <c r="L2462" t="s">
        <v>12</v>
      </c>
      <c r="M2462" t="s">
        <v>32</v>
      </c>
      <c r="N2462" t="s">
        <v>16</v>
      </c>
      <c r="O2462" t="s">
        <v>56</v>
      </c>
      <c r="P2462">
        <v>3</v>
      </c>
    </row>
    <row r="2463" spans="1:16" x14ac:dyDescent="0.3">
      <c r="A2463">
        <v>2999</v>
      </c>
      <c r="B2463">
        <v>43401</v>
      </c>
      <c r="C2463">
        <v>48</v>
      </c>
      <c r="D2463">
        <v>25643</v>
      </c>
      <c r="E2463" t="s">
        <v>14</v>
      </c>
      <c r="F2463" t="s">
        <v>22</v>
      </c>
      <c r="G2463" t="s">
        <v>40</v>
      </c>
      <c r="H2463" t="s">
        <v>8</v>
      </c>
      <c r="I2463" t="s">
        <v>9</v>
      </c>
      <c r="J2463" t="s">
        <v>10</v>
      </c>
      <c r="K2463" t="s">
        <v>26</v>
      </c>
      <c r="L2463" t="s">
        <v>12</v>
      </c>
      <c r="M2463" t="s">
        <v>35</v>
      </c>
      <c r="N2463" t="s">
        <v>46</v>
      </c>
      <c r="O2463" t="s">
        <v>18</v>
      </c>
      <c r="P2463">
        <v>1</v>
      </c>
    </row>
    <row r="2464" spans="1:16" x14ac:dyDescent="0.3">
      <c r="A2464">
        <v>3000</v>
      </c>
      <c r="B2464">
        <v>44751</v>
      </c>
      <c r="C2464">
        <v>49</v>
      </c>
      <c r="D2464">
        <v>26934</v>
      </c>
      <c r="E2464" t="s">
        <v>14</v>
      </c>
      <c r="F2464" t="s">
        <v>22</v>
      </c>
      <c r="G2464" t="s">
        <v>31</v>
      </c>
      <c r="H2464" t="s">
        <v>8</v>
      </c>
      <c r="I2464" t="s">
        <v>9</v>
      </c>
      <c r="J2464" t="s">
        <v>10</v>
      </c>
      <c r="K2464" t="s">
        <v>26</v>
      </c>
      <c r="L2464" t="s">
        <v>12</v>
      </c>
      <c r="M2464" t="s">
        <v>92</v>
      </c>
      <c r="N2464" t="s">
        <v>30</v>
      </c>
      <c r="O2464" t="s">
        <v>18</v>
      </c>
      <c r="P2464">
        <v>2</v>
      </c>
    </row>
    <row r="2465" spans="1:16" x14ac:dyDescent="0.3">
      <c r="A2465">
        <v>3001</v>
      </c>
      <c r="B2465">
        <v>43370</v>
      </c>
      <c r="C2465">
        <v>76</v>
      </c>
      <c r="D2465">
        <v>15629</v>
      </c>
      <c r="E2465" t="s">
        <v>14</v>
      </c>
      <c r="F2465" t="s">
        <v>22</v>
      </c>
      <c r="G2465" t="s">
        <v>17</v>
      </c>
      <c r="H2465" t="s">
        <v>8</v>
      </c>
      <c r="I2465" t="s">
        <v>9</v>
      </c>
      <c r="J2465" t="s">
        <v>25</v>
      </c>
      <c r="K2465" t="s">
        <v>11</v>
      </c>
      <c r="L2465" t="s">
        <v>12</v>
      </c>
      <c r="M2465" t="s">
        <v>32</v>
      </c>
      <c r="N2465" t="s">
        <v>46</v>
      </c>
      <c r="O2465" t="s">
        <v>18</v>
      </c>
      <c r="P2465">
        <v>4</v>
      </c>
    </row>
    <row r="2466" spans="1:16" x14ac:dyDescent="0.3">
      <c r="A2466">
        <v>3002</v>
      </c>
      <c r="B2466">
        <v>44131</v>
      </c>
      <c r="C2466">
        <v>29</v>
      </c>
      <c r="D2466">
        <v>33374</v>
      </c>
      <c r="E2466" t="s">
        <v>14</v>
      </c>
      <c r="F2466" t="s">
        <v>15</v>
      </c>
      <c r="G2466" t="s">
        <v>17</v>
      </c>
      <c r="H2466" t="s">
        <v>64</v>
      </c>
      <c r="I2466" t="s">
        <v>9</v>
      </c>
      <c r="J2466" t="s">
        <v>25</v>
      </c>
      <c r="K2466" t="s">
        <v>19</v>
      </c>
      <c r="L2466" t="s">
        <v>12</v>
      </c>
      <c r="M2466" t="s">
        <v>32</v>
      </c>
      <c r="N2466" t="s">
        <v>16</v>
      </c>
      <c r="O2466" t="s">
        <v>18</v>
      </c>
      <c r="P2466">
        <v>3</v>
      </c>
    </row>
    <row r="2467" spans="1:16" x14ac:dyDescent="0.3">
      <c r="A2467">
        <v>3003</v>
      </c>
      <c r="B2467">
        <v>44470</v>
      </c>
      <c r="C2467">
        <v>31</v>
      </c>
      <c r="D2467">
        <v>33116</v>
      </c>
      <c r="E2467" t="s">
        <v>14</v>
      </c>
      <c r="F2467" t="s">
        <v>15</v>
      </c>
      <c r="G2467" t="s">
        <v>31</v>
      </c>
      <c r="H2467" t="s">
        <v>64</v>
      </c>
      <c r="I2467" t="s">
        <v>9</v>
      </c>
      <c r="J2467" t="s">
        <v>25</v>
      </c>
      <c r="K2467" t="s">
        <v>19</v>
      </c>
      <c r="L2467" t="s">
        <v>12</v>
      </c>
      <c r="M2467" t="s">
        <v>35</v>
      </c>
      <c r="N2467" t="s">
        <v>30</v>
      </c>
      <c r="O2467" t="s">
        <v>18</v>
      </c>
      <c r="P2467">
        <v>3</v>
      </c>
    </row>
    <row r="2468" spans="1:16" x14ac:dyDescent="0.3">
      <c r="A2468">
        <v>3004</v>
      </c>
      <c r="B2468">
        <v>43706</v>
      </c>
      <c r="C2468">
        <v>23</v>
      </c>
      <c r="D2468">
        <v>35088</v>
      </c>
      <c r="E2468" t="s">
        <v>14</v>
      </c>
      <c r="F2468" t="s">
        <v>15</v>
      </c>
      <c r="G2468" t="s">
        <v>40</v>
      </c>
      <c r="H2468" t="s">
        <v>64</v>
      </c>
      <c r="I2468" t="s">
        <v>9</v>
      </c>
      <c r="J2468" t="s">
        <v>25</v>
      </c>
      <c r="K2468" t="s">
        <v>26</v>
      </c>
      <c r="L2468" t="s">
        <v>12</v>
      </c>
      <c r="M2468" t="s">
        <v>32</v>
      </c>
      <c r="N2468" t="s">
        <v>46</v>
      </c>
      <c r="O2468" t="s">
        <v>18</v>
      </c>
      <c r="P2468">
        <v>3</v>
      </c>
    </row>
    <row r="2469" spans="1:16" x14ac:dyDescent="0.3">
      <c r="A2469">
        <v>3005</v>
      </c>
      <c r="B2469">
        <v>44194</v>
      </c>
      <c r="C2469">
        <v>77</v>
      </c>
      <c r="D2469">
        <v>15726</v>
      </c>
      <c r="E2469" t="s">
        <v>14</v>
      </c>
      <c r="F2469" t="s">
        <v>15</v>
      </c>
      <c r="G2469" t="s">
        <v>17</v>
      </c>
      <c r="H2469" t="s">
        <v>64</v>
      </c>
      <c r="I2469" t="s">
        <v>9</v>
      </c>
      <c r="J2469" t="s">
        <v>10</v>
      </c>
      <c r="K2469" t="s">
        <v>11</v>
      </c>
      <c r="L2469" t="s">
        <v>12</v>
      </c>
      <c r="M2469" t="s">
        <v>32</v>
      </c>
      <c r="N2469" t="s">
        <v>23</v>
      </c>
      <c r="O2469" t="s">
        <v>18</v>
      </c>
      <c r="P2469">
        <v>5</v>
      </c>
    </row>
    <row r="2470" spans="1:16" x14ac:dyDescent="0.3">
      <c r="A2470">
        <v>3006</v>
      </c>
      <c r="B2470">
        <v>44838</v>
      </c>
      <c r="C2470">
        <v>54</v>
      </c>
      <c r="D2470">
        <v>25045</v>
      </c>
      <c r="E2470" t="s">
        <v>14</v>
      </c>
      <c r="F2470" t="s">
        <v>15</v>
      </c>
      <c r="G2470" t="s">
        <v>31</v>
      </c>
      <c r="H2470" t="s">
        <v>64</v>
      </c>
      <c r="I2470" t="s">
        <v>9</v>
      </c>
      <c r="J2470" t="s">
        <v>20</v>
      </c>
      <c r="K2470" t="s">
        <v>11</v>
      </c>
      <c r="L2470" t="s">
        <v>12</v>
      </c>
      <c r="M2470" t="s">
        <v>35</v>
      </c>
      <c r="N2470" t="s">
        <v>46</v>
      </c>
      <c r="O2470" t="s">
        <v>18</v>
      </c>
      <c r="P2470">
        <v>5</v>
      </c>
    </row>
    <row r="2471" spans="1:16" x14ac:dyDescent="0.3">
      <c r="A2471">
        <v>3007</v>
      </c>
      <c r="B2471">
        <v>43545</v>
      </c>
      <c r="C2471">
        <v>70</v>
      </c>
      <c r="D2471">
        <v>18184</v>
      </c>
      <c r="E2471" t="s">
        <v>14</v>
      </c>
      <c r="F2471" t="s">
        <v>15</v>
      </c>
      <c r="G2471" t="s">
        <v>34</v>
      </c>
      <c r="H2471" t="s">
        <v>64</v>
      </c>
      <c r="I2471" t="s">
        <v>9</v>
      </c>
      <c r="J2471" t="s">
        <v>20</v>
      </c>
      <c r="K2471" t="s">
        <v>19</v>
      </c>
      <c r="L2471" t="s">
        <v>12</v>
      </c>
      <c r="M2471" t="s">
        <v>32</v>
      </c>
      <c r="N2471" t="s">
        <v>37</v>
      </c>
      <c r="O2471" t="s">
        <v>18</v>
      </c>
      <c r="P2471">
        <v>5</v>
      </c>
    </row>
    <row r="2472" spans="1:16" x14ac:dyDescent="0.3">
      <c r="A2472">
        <v>3008</v>
      </c>
      <c r="B2472">
        <v>43924</v>
      </c>
      <c r="C2472">
        <v>43</v>
      </c>
      <c r="D2472">
        <v>28190</v>
      </c>
      <c r="E2472" t="s">
        <v>14</v>
      </c>
      <c r="F2472" t="s">
        <v>15</v>
      </c>
      <c r="G2472" t="s">
        <v>17</v>
      </c>
      <c r="H2472" t="s">
        <v>64</v>
      </c>
      <c r="I2472" t="s">
        <v>9</v>
      </c>
      <c r="J2472" t="s">
        <v>25</v>
      </c>
      <c r="K2472" t="s">
        <v>19</v>
      </c>
      <c r="L2472" t="s">
        <v>12</v>
      </c>
      <c r="M2472" t="s">
        <v>28</v>
      </c>
      <c r="N2472" t="s">
        <v>37</v>
      </c>
      <c r="O2472" t="s">
        <v>18</v>
      </c>
      <c r="P2472">
        <v>1</v>
      </c>
    </row>
    <row r="2473" spans="1:16" x14ac:dyDescent="0.3">
      <c r="A2473">
        <v>3009</v>
      </c>
      <c r="B2473">
        <v>43618</v>
      </c>
      <c r="C2473">
        <v>22</v>
      </c>
      <c r="D2473">
        <v>35551</v>
      </c>
      <c r="E2473" t="s">
        <v>14</v>
      </c>
      <c r="F2473" t="s">
        <v>22</v>
      </c>
      <c r="G2473" t="s">
        <v>34</v>
      </c>
      <c r="H2473" t="s">
        <v>8</v>
      </c>
      <c r="I2473" t="s">
        <v>9</v>
      </c>
      <c r="J2473" t="s">
        <v>20</v>
      </c>
      <c r="K2473" t="s">
        <v>11</v>
      </c>
      <c r="L2473" t="s">
        <v>12</v>
      </c>
      <c r="M2473" t="s">
        <v>67</v>
      </c>
      <c r="N2473" t="s">
        <v>16</v>
      </c>
      <c r="O2473" t="s">
        <v>18</v>
      </c>
      <c r="P2473">
        <v>2</v>
      </c>
    </row>
    <row r="2474" spans="1:16" x14ac:dyDescent="0.3">
      <c r="A2474">
        <v>3013</v>
      </c>
      <c r="B2474">
        <v>43603</v>
      </c>
      <c r="C2474">
        <v>37</v>
      </c>
      <c r="D2474">
        <v>30035</v>
      </c>
      <c r="E2474" t="s">
        <v>14</v>
      </c>
      <c r="F2474" t="s">
        <v>15</v>
      </c>
      <c r="G2474" t="s">
        <v>17</v>
      </c>
      <c r="H2474" t="s">
        <v>8</v>
      </c>
      <c r="I2474" t="s">
        <v>9</v>
      </c>
      <c r="J2474" t="s">
        <v>25</v>
      </c>
      <c r="K2474" t="s">
        <v>11</v>
      </c>
      <c r="L2474" t="s">
        <v>12</v>
      </c>
      <c r="M2474" t="s">
        <v>49</v>
      </c>
      <c r="N2474" t="s">
        <v>46</v>
      </c>
      <c r="O2474" t="s">
        <v>65</v>
      </c>
      <c r="P2474">
        <v>2</v>
      </c>
    </row>
    <row r="2475" spans="1:16" x14ac:dyDescent="0.3">
      <c r="A2475">
        <v>3014</v>
      </c>
      <c r="B2475">
        <v>44888</v>
      </c>
      <c r="C2475">
        <v>55</v>
      </c>
      <c r="D2475">
        <v>24670</v>
      </c>
      <c r="E2475" t="s">
        <v>14</v>
      </c>
      <c r="F2475" t="s">
        <v>22</v>
      </c>
      <c r="G2475" t="s">
        <v>31</v>
      </c>
      <c r="H2475" t="s">
        <v>8</v>
      </c>
      <c r="I2475" t="s">
        <v>9</v>
      </c>
      <c r="J2475" t="s">
        <v>10</v>
      </c>
      <c r="K2475" t="s">
        <v>26</v>
      </c>
      <c r="L2475" t="s">
        <v>12</v>
      </c>
      <c r="M2475" t="s">
        <v>35</v>
      </c>
      <c r="N2475" t="s">
        <v>23</v>
      </c>
      <c r="O2475" t="s">
        <v>65</v>
      </c>
      <c r="P2475">
        <v>4</v>
      </c>
    </row>
    <row r="2476" spans="1:16" x14ac:dyDescent="0.3">
      <c r="A2476">
        <v>3015</v>
      </c>
      <c r="B2476">
        <v>44167</v>
      </c>
      <c r="C2476">
        <v>44</v>
      </c>
      <c r="D2476">
        <v>27925</v>
      </c>
      <c r="E2476" t="s">
        <v>14</v>
      </c>
      <c r="F2476" t="s">
        <v>22</v>
      </c>
      <c r="G2476" t="s">
        <v>31</v>
      </c>
      <c r="H2476" t="s">
        <v>8</v>
      </c>
      <c r="I2476" t="s">
        <v>9</v>
      </c>
      <c r="J2476" t="s">
        <v>20</v>
      </c>
      <c r="K2476" t="s">
        <v>11</v>
      </c>
      <c r="L2476" t="s">
        <v>12</v>
      </c>
      <c r="M2476" t="s">
        <v>28</v>
      </c>
      <c r="N2476" t="s">
        <v>23</v>
      </c>
      <c r="O2476" t="s">
        <v>65</v>
      </c>
      <c r="P2476">
        <v>5</v>
      </c>
    </row>
    <row r="2477" spans="1:16" x14ac:dyDescent="0.3">
      <c r="A2477">
        <v>3016</v>
      </c>
      <c r="B2477">
        <v>44566</v>
      </c>
      <c r="C2477">
        <v>22</v>
      </c>
      <c r="D2477">
        <v>36709</v>
      </c>
      <c r="E2477" t="s">
        <v>14</v>
      </c>
      <c r="F2477" t="s">
        <v>22</v>
      </c>
      <c r="G2477" t="s">
        <v>17</v>
      </c>
      <c r="H2477" t="s">
        <v>8</v>
      </c>
      <c r="I2477" t="s">
        <v>9</v>
      </c>
      <c r="J2477" t="s">
        <v>20</v>
      </c>
      <c r="K2477" t="s">
        <v>19</v>
      </c>
      <c r="L2477" t="s">
        <v>12</v>
      </c>
      <c r="M2477" t="s">
        <v>13</v>
      </c>
      <c r="N2477" t="s">
        <v>37</v>
      </c>
      <c r="O2477" t="s">
        <v>65</v>
      </c>
      <c r="P2477">
        <v>1</v>
      </c>
    </row>
    <row r="2478" spans="1:16" x14ac:dyDescent="0.3">
      <c r="A2478">
        <v>3017</v>
      </c>
      <c r="B2478">
        <v>45032</v>
      </c>
      <c r="C2478">
        <v>29</v>
      </c>
      <c r="D2478">
        <v>34680</v>
      </c>
      <c r="E2478" t="s">
        <v>14</v>
      </c>
      <c r="F2478" t="s">
        <v>15</v>
      </c>
      <c r="G2478" t="s">
        <v>40</v>
      </c>
      <c r="H2478" t="s">
        <v>8</v>
      </c>
      <c r="I2478" t="s">
        <v>9</v>
      </c>
      <c r="J2478" t="s">
        <v>25</v>
      </c>
      <c r="K2478" t="s">
        <v>26</v>
      </c>
      <c r="L2478" t="s">
        <v>12</v>
      </c>
      <c r="M2478" t="s">
        <v>35</v>
      </c>
      <c r="N2478" t="s">
        <v>30</v>
      </c>
      <c r="O2478" t="s">
        <v>65</v>
      </c>
      <c r="P2478">
        <v>5</v>
      </c>
    </row>
    <row r="2479" spans="1:16" x14ac:dyDescent="0.3">
      <c r="A2479">
        <v>3018</v>
      </c>
      <c r="B2479">
        <v>44114</v>
      </c>
      <c r="C2479">
        <v>46</v>
      </c>
      <c r="D2479">
        <v>27193</v>
      </c>
      <c r="E2479" t="s">
        <v>14</v>
      </c>
      <c r="F2479" t="s">
        <v>15</v>
      </c>
      <c r="G2479" t="s">
        <v>17</v>
      </c>
      <c r="H2479" t="s">
        <v>8</v>
      </c>
      <c r="I2479" t="s">
        <v>9</v>
      </c>
      <c r="J2479" t="s">
        <v>10</v>
      </c>
      <c r="K2479" t="s">
        <v>11</v>
      </c>
      <c r="L2479" t="s">
        <v>12</v>
      </c>
      <c r="M2479" t="s">
        <v>54</v>
      </c>
      <c r="N2479" t="s">
        <v>37</v>
      </c>
      <c r="O2479" t="s">
        <v>65</v>
      </c>
      <c r="P2479">
        <v>1</v>
      </c>
    </row>
    <row r="2480" spans="1:16" x14ac:dyDescent="0.3">
      <c r="A2480">
        <v>3019</v>
      </c>
      <c r="B2480">
        <v>44666</v>
      </c>
      <c r="C2480">
        <v>43</v>
      </c>
      <c r="D2480">
        <v>29119</v>
      </c>
      <c r="E2480" t="s">
        <v>14</v>
      </c>
      <c r="F2480" t="s">
        <v>15</v>
      </c>
      <c r="G2480" t="s">
        <v>34</v>
      </c>
      <c r="H2480" t="s">
        <v>8</v>
      </c>
      <c r="I2480" t="s">
        <v>9</v>
      </c>
      <c r="J2480" t="s">
        <v>10</v>
      </c>
      <c r="K2480" t="s">
        <v>26</v>
      </c>
      <c r="L2480" t="s">
        <v>12</v>
      </c>
      <c r="M2480" t="s">
        <v>13</v>
      </c>
      <c r="N2480" t="s">
        <v>46</v>
      </c>
      <c r="O2480" t="s">
        <v>65</v>
      </c>
      <c r="P2480">
        <v>4</v>
      </c>
    </row>
    <row r="2481" spans="1:16" x14ac:dyDescent="0.3">
      <c r="A2481">
        <v>3020</v>
      </c>
      <c r="B2481">
        <v>45132</v>
      </c>
      <c r="C2481">
        <v>79</v>
      </c>
      <c r="D2481">
        <v>16078</v>
      </c>
      <c r="E2481" t="s">
        <v>14</v>
      </c>
      <c r="F2481" t="s">
        <v>22</v>
      </c>
      <c r="G2481" t="s">
        <v>17</v>
      </c>
      <c r="H2481" t="s">
        <v>8</v>
      </c>
      <c r="I2481" t="s">
        <v>9</v>
      </c>
      <c r="J2481" t="s">
        <v>20</v>
      </c>
      <c r="K2481" t="s">
        <v>11</v>
      </c>
      <c r="L2481" t="s">
        <v>12</v>
      </c>
      <c r="M2481" t="s">
        <v>32</v>
      </c>
      <c r="N2481" t="s">
        <v>37</v>
      </c>
      <c r="O2481" t="s">
        <v>65</v>
      </c>
      <c r="P2481">
        <v>5</v>
      </c>
    </row>
    <row r="2482" spans="1:16" x14ac:dyDescent="0.3">
      <c r="A2482">
        <v>3021</v>
      </c>
      <c r="B2482">
        <v>44074</v>
      </c>
      <c r="C2482">
        <v>33</v>
      </c>
      <c r="D2482">
        <v>31911</v>
      </c>
      <c r="E2482" t="s">
        <v>14</v>
      </c>
      <c r="F2482" t="s">
        <v>22</v>
      </c>
      <c r="G2482" t="s">
        <v>31</v>
      </c>
      <c r="H2482" t="s">
        <v>8</v>
      </c>
      <c r="I2482" t="s">
        <v>9</v>
      </c>
      <c r="J2482" t="s">
        <v>10</v>
      </c>
      <c r="K2482" t="s">
        <v>19</v>
      </c>
      <c r="L2482" t="s">
        <v>12</v>
      </c>
      <c r="M2482" t="s">
        <v>59</v>
      </c>
      <c r="N2482" t="s">
        <v>30</v>
      </c>
      <c r="O2482" t="s">
        <v>65</v>
      </c>
      <c r="P2482">
        <v>3</v>
      </c>
    </row>
    <row r="2483" spans="1:16" x14ac:dyDescent="0.3">
      <c r="A2483">
        <v>3022</v>
      </c>
      <c r="B2483">
        <v>43383</v>
      </c>
      <c r="C2483">
        <v>42</v>
      </c>
      <c r="D2483">
        <v>27957</v>
      </c>
      <c r="E2483" t="s">
        <v>14</v>
      </c>
      <c r="F2483" t="s">
        <v>22</v>
      </c>
      <c r="G2483" t="s">
        <v>34</v>
      </c>
      <c r="H2483" t="s">
        <v>8</v>
      </c>
      <c r="I2483" t="s">
        <v>9</v>
      </c>
      <c r="J2483" t="s">
        <v>25</v>
      </c>
      <c r="K2483" t="s">
        <v>11</v>
      </c>
      <c r="L2483" t="s">
        <v>12</v>
      </c>
      <c r="M2483" t="s">
        <v>49</v>
      </c>
      <c r="N2483" t="s">
        <v>30</v>
      </c>
      <c r="O2483" t="s">
        <v>65</v>
      </c>
      <c r="P2483">
        <v>2</v>
      </c>
    </row>
    <row r="2484" spans="1:16" x14ac:dyDescent="0.3">
      <c r="A2484">
        <v>3023</v>
      </c>
      <c r="B2484">
        <v>43480</v>
      </c>
      <c r="C2484">
        <v>61</v>
      </c>
      <c r="D2484">
        <v>21215</v>
      </c>
      <c r="E2484" t="s">
        <v>14</v>
      </c>
      <c r="F2484" t="s">
        <v>15</v>
      </c>
      <c r="G2484" t="s">
        <v>17</v>
      </c>
      <c r="H2484" t="s">
        <v>64</v>
      </c>
      <c r="I2484" t="s">
        <v>66</v>
      </c>
      <c r="J2484" t="s">
        <v>10</v>
      </c>
      <c r="K2484" t="s">
        <v>26</v>
      </c>
      <c r="L2484" t="s">
        <v>12</v>
      </c>
      <c r="M2484" t="s">
        <v>32</v>
      </c>
      <c r="N2484" t="s">
        <v>37</v>
      </c>
      <c r="O2484" t="s">
        <v>65</v>
      </c>
      <c r="P2484">
        <v>5</v>
      </c>
    </row>
    <row r="2485" spans="1:16" x14ac:dyDescent="0.3">
      <c r="A2485">
        <v>3024</v>
      </c>
      <c r="B2485">
        <v>44556</v>
      </c>
      <c r="C2485">
        <v>59</v>
      </c>
      <c r="D2485">
        <v>22733</v>
      </c>
      <c r="E2485" t="s">
        <v>14</v>
      </c>
      <c r="F2485" t="s">
        <v>15</v>
      </c>
      <c r="G2485" t="s">
        <v>17</v>
      </c>
      <c r="H2485" t="s">
        <v>64</v>
      </c>
      <c r="I2485" t="s">
        <v>9</v>
      </c>
      <c r="J2485" t="s">
        <v>10</v>
      </c>
      <c r="K2485" t="s">
        <v>19</v>
      </c>
      <c r="L2485" t="s">
        <v>12</v>
      </c>
      <c r="M2485" t="s">
        <v>54</v>
      </c>
      <c r="N2485" t="s">
        <v>23</v>
      </c>
      <c r="O2485" t="s">
        <v>18</v>
      </c>
      <c r="P2485">
        <v>5</v>
      </c>
    </row>
    <row r="2486" spans="1:16" x14ac:dyDescent="0.3">
      <c r="A2486">
        <v>3025</v>
      </c>
      <c r="B2486">
        <v>44704</v>
      </c>
      <c r="C2486">
        <v>23</v>
      </c>
      <c r="D2486">
        <v>36248</v>
      </c>
      <c r="E2486" t="s">
        <v>14</v>
      </c>
      <c r="F2486" t="s">
        <v>15</v>
      </c>
      <c r="G2486" t="s">
        <v>34</v>
      </c>
      <c r="H2486" t="s">
        <v>64</v>
      </c>
      <c r="I2486" t="s">
        <v>9</v>
      </c>
      <c r="J2486" t="s">
        <v>10</v>
      </c>
      <c r="K2486" t="s">
        <v>11</v>
      </c>
      <c r="L2486" t="s">
        <v>12</v>
      </c>
      <c r="M2486" t="s">
        <v>54</v>
      </c>
      <c r="N2486" t="s">
        <v>37</v>
      </c>
      <c r="O2486" t="s">
        <v>18</v>
      </c>
      <c r="P2486">
        <v>4</v>
      </c>
    </row>
    <row r="2487" spans="1:16" x14ac:dyDescent="0.3">
      <c r="A2487">
        <v>3026</v>
      </c>
      <c r="B2487">
        <v>44796</v>
      </c>
      <c r="C2487">
        <v>79</v>
      </c>
      <c r="D2487">
        <v>15923</v>
      </c>
      <c r="E2487" t="s">
        <v>14</v>
      </c>
      <c r="F2487" t="s">
        <v>15</v>
      </c>
      <c r="G2487" t="s">
        <v>40</v>
      </c>
      <c r="H2487" t="s">
        <v>64</v>
      </c>
      <c r="I2487" t="s">
        <v>9</v>
      </c>
      <c r="J2487" t="s">
        <v>10</v>
      </c>
      <c r="K2487" t="s">
        <v>11</v>
      </c>
      <c r="L2487" t="s">
        <v>12</v>
      </c>
      <c r="M2487" t="s">
        <v>54</v>
      </c>
      <c r="N2487" t="s">
        <v>46</v>
      </c>
      <c r="O2487" t="s">
        <v>18</v>
      </c>
      <c r="P2487">
        <v>2</v>
      </c>
    </row>
    <row r="2488" spans="1:16" x14ac:dyDescent="0.3">
      <c r="A2488">
        <v>3027</v>
      </c>
      <c r="B2488">
        <v>45073</v>
      </c>
      <c r="C2488">
        <v>80</v>
      </c>
      <c r="D2488">
        <v>15834</v>
      </c>
      <c r="E2488" t="s">
        <v>14</v>
      </c>
      <c r="F2488" t="s">
        <v>15</v>
      </c>
      <c r="G2488" t="s">
        <v>31</v>
      </c>
      <c r="H2488" t="s">
        <v>64</v>
      </c>
      <c r="I2488" t="s">
        <v>9</v>
      </c>
      <c r="J2488" t="s">
        <v>20</v>
      </c>
      <c r="K2488" t="s">
        <v>19</v>
      </c>
      <c r="L2488" t="s">
        <v>12</v>
      </c>
      <c r="M2488" t="s">
        <v>38</v>
      </c>
      <c r="N2488" t="s">
        <v>16</v>
      </c>
      <c r="O2488" t="s">
        <v>18</v>
      </c>
      <c r="P2488">
        <v>2</v>
      </c>
    </row>
    <row r="2489" spans="1:16" x14ac:dyDescent="0.3">
      <c r="A2489">
        <v>3028</v>
      </c>
      <c r="B2489">
        <v>43322</v>
      </c>
      <c r="C2489">
        <v>18</v>
      </c>
      <c r="D2489">
        <v>36648</v>
      </c>
      <c r="E2489" t="s">
        <v>14</v>
      </c>
      <c r="F2489" t="s">
        <v>15</v>
      </c>
      <c r="G2489" t="s">
        <v>34</v>
      </c>
      <c r="H2489" t="s">
        <v>64</v>
      </c>
      <c r="I2489" t="s">
        <v>66</v>
      </c>
      <c r="J2489" t="s">
        <v>10</v>
      </c>
      <c r="K2489" t="s">
        <v>26</v>
      </c>
      <c r="L2489" t="s">
        <v>12</v>
      </c>
      <c r="M2489" t="s">
        <v>42</v>
      </c>
      <c r="N2489" t="s">
        <v>46</v>
      </c>
      <c r="O2489" t="s">
        <v>18</v>
      </c>
      <c r="P2489">
        <v>4</v>
      </c>
    </row>
    <row r="2490" spans="1:16" x14ac:dyDescent="0.3">
      <c r="A2490">
        <v>3029</v>
      </c>
      <c r="B2490">
        <v>44493</v>
      </c>
      <c r="C2490">
        <v>62</v>
      </c>
      <c r="D2490">
        <v>21715</v>
      </c>
      <c r="E2490" t="s">
        <v>14</v>
      </c>
      <c r="F2490" t="s">
        <v>15</v>
      </c>
      <c r="G2490" t="s">
        <v>17</v>
      </c>
      <c r="H2490" t="s">
        <v>64</v>
      </c>
      <c r="I2490" t="s">
        <v>9</v>
      </c>
      <c r="J2490" t="s">
        <v>10</v>
      </c>
      <c r="K2490" t="s">
        <v>11</v>
      </c>
      <c r="L2490" t="s">
        <v>12</v>
      </c>
      <c r="M2490" t="s">
        <v>13</v>
      </c>
      <c r="N2490" t="s">
        <v>46</v>
      </c>
      <c r="O2490" t="s">
        <v>18</v>
      </c>
      <c r="P2490">
        <v>1</v>
      </c>
    </row>
    <row r="2491" spans="1:16" x14ac:dyDescent="0.3">
      <c r="A2491">
        <v>3030</v>
      </c>
      <c r="B2491">
        <v>44747</v>
      </c>
      <c r="C2491">
        <v>69</v>
      </c>
      <c r="D2491">
        <v>19581</v>
      </c>
      <c r="E2491" t="s">
        <v>14</v>
      </c>
      <c r="F2491" t="s">
        <v>15</v>
      </c>
      <c r="G2491" t="s">
        <v>31</v>
      </c>
      <c r="H2491" t="s">
        <v>64</v>
      </c>
      <c r="I2491" t="s">
        <v>9</v>
      </c>
      <c r="J2491" t="s">
        <v>25</v>
      </c>
      <c r="K2491" t="s">
        <v>11</v>
      </c>
      <c r="L2491" t="s">
        <v>12</v>
      </c>
      <c r="M2491" t="s">
        <v>59</v>
      </c>
      <c r="N2491" t="s">
        <v>16</v>
      </c>
      <c r="O2491" t="s">
        <v>18</v>
      </c>
      <c r="P2491">
        <v>2</v>
      </c>
    </row>
    <row r="2492" spans="1:16" x14ac:dyDescent="0.3">
      <c r="A2492">
        <v>3031</v>
      </c>
      <c r="B2492">
        <v>44583</v>
      </c>
      <c r="C2492">
        <v>62</v>
      </c>
      <c r="D2492">
        <v>22110</v>
      </c>
      <c r="E2492" t="s">
        <v>14</v>
      </c>
      <c r="F2492" t="s">
        <v>22</v>
      </c>
      <c r="G2492" t="s">
        <v>34</v>
      </c>
      <c r="H2492" t="s">
        <v>8</v>
      </c>
      <c r="I2492" t="s">
        <v>9</v>
      </c>
      <c r="J2492" t="s">
        <v>10</v>
      </c>
      <c r="K2492" t="s">
        <v>26</v>
      </c>
      <c r="L2492" t="s">
        <v>12</v>
      </c>
      <c r="M2492" t="s">
        <v>54</v>
      </c>
      <c r="N2492" t="s">
        <v>46</v>
      </c>
      <c r="O2492" t="s">
        <v>18</v>
      </c>
      <c r="P2492">
        <v>3</v>
      </c>
    </row>
    <row r="2493" spans="1:16" x14ac:dyDescent="0.3">
      <c r="A2493">
        <v>3034</v>
      </c>
      <c r="B2493">
        <v>44485</v>
      </c>
      <c r="C2493">
        <v>54</v>
      </c>
      <c r="D2493">
        <v>24596</v>
      </c>
      <c r="E2493" t="s">
        <v>14</v>
      </c>
      <c r="F2493" t="s">
        <v>15</v>
      </c>
      <c r="G2493" t="s">
        <v>31</v>
      </c>
      <c r="H2493" t="s">
        <v>8</v>
      </c>
      <c r="I2493" t="s">
        <v>9</v>
      </c>
      <c r="J2493" t="s">
        <v>25</v>
      </c>
      <c r="K2493" t="s">
        <v>26</v>
      </c>
      <c r="L2493" t="s">
        <v>12</v>
      </c>
      <c r="M2493" t="s">
        <v>35</v>
      </c>
      <c r="N2493" t="s">
        <v>16</v>
      </c>
      <c r="O2493" t="s">
        <v>18</v>
      </c>
      <c r="P2493">
        <v>4</v>
      </c>
    </row>
    <row r="2494" spans="1:16" x14ac:dyDescent="0.3">
      <c r="A2494">
        <v>3035</v>
      </c>
      <c r="B2494">
        <v>43630</v>
      </c>
      <c r="C2494">
        <v>69</v>
      </c>
      <c r="D2494">
        <v>18520</v>
      </c>
      <c r="E2494" t="s">
        <v>14</v>
      </c>
      <c r="F2494" t="s">
        <v>15</v>
      </c>
      <c r="G2494" t="s">
        <v>40</v>
      </c>
      <c r="H2494" t="s">
        <v>8</v>
      </c>
      <c r="I2494" t="s">
        <v>9</v>
      </c>
      <c r="J2494" t="s">
        <v>10</v>
      </c>
      <c r="K2494" t="s">
        <v>11</v>
      </c>
      <c r="L2494" t="s">
        <v>12</v>
      </c>
      <c r="M2494" t="s">
        <v>42</v>
      </c>
      <c r="N2494" t="s">
        <v>30</v>
      </c>
      <c r="O2494" t="s">
        <v>18</v>
      </c>
      <c r="P2494">
        <v>4</v>
      </c>
    </row>
    <row r="2495" spans="1:16" x14ac:dyDescent="0.3">
      <c r="A2495">
        <v>3036</v>
      </c>
      <c r="B2495">
        <v>44017</v>
      </c>
      <c r="C2495">
        <v>63</v>
      </c>
      <c r="D2495">
        <v>20999</v>
      </c>
      <c r="E2495" t="s">
        <v>14</v>
      </c>
      <c r="F2495" t="s">
        <v>15</v>
      </c>
      <c r="G2495" t="s">
        <v>17</v>
      </c>
      <c r="H2495" t="s">
        <v>8</v>
      </c>
      <c r="I2495" t="s">
        <v>9</v>
      </c>
      <c r="J2495" t="s">
        <v>25</v>
      </c>
      <c r="K2495" t="s">
        <v>26</v>
      </c>
      <c r="L2495" t="s">
        <v>12</v>
      </c>
      <c r="M2495" t="s">
        <v>68</v>
      </c>
      <c r="N2495" t="s">
        <v>16</v>
      </c>
      <c r="O2495" t="s">
        <v>18</v>
      </c>
      <c r="P2495">
        <v>4</v>
      </c>
    </row>
    <row r="2496" spans="1:16" x14ac:dyDescent="0.3">
      <c r="A2496">
        <v>3037</v>
      </c>
      <c r="B2496">
        <v>43892</v>
      </c>
      <c r="C2496">
        <v>31</v>
      </c>
      <c r="D2496">
        <v>32787</v>
      </c>
      <c r="E2496" t="s">
        <v>14</v>
      </c>
      <c r="F2496" t="s">
        <v>22</v>
      </c>
      <c r="G2496" t="s">
        <v>34</v>
      </c>
      <c r="H2496" t="s">
        <v>8</v>
      </c>
      <c r="I2496" t="s">
        <v>9</v>
      </c>
      <c r="J2496" t="s">
        <v>25</v>
      </c>
      <c r="K2496" t="s">
        <v>11</v>
      </c>
      <c r="L2496" t="s">
        <v>12</v>
      </c>
      <c r="M2496" t="s">
        <v>35</v>
      </c>
      <c r="N2496" t="s">
        <v>46</v>
      </c>
      <c r="O2496" t="s">
        <v>18</v>
      </c>
      <c r="P2496">
        <v>4</v>
      </c>
    </row>
    <row r="2497" spans="1:16" x14ac:dyDescent="0.3">
      <c r="A2497">
        <v>3038</v>
      </c>
      <c r="B2497">
        <v>44146</v>
      </c>
      <c r="C2497">
        <v>65</v>
      </c>
      <c r="D2497">
        <v>20321</v>
      </c>
      <c r="E2497" t="s">
        <v>14</v>
      </c>
      <c r="F2497" t="s">
        <v>22</v>
      </c>
      <c r="G2497" t="s">
        <v>40</v>
      </c>
      <c r="H2497" t="s">
        <v>8</v>
      </c>
      <c r="I2497" t="s">
        <v>9</v>
      </c>
      <c r="J2497" t="s">
        <v>20</v>
      </c>
      <c r="K2497" t="s">
        <v>26</v>
      </c>
      <c r="L2497" t="s">
        <v>12</v>
      </c>
      <c r="M2497" t="s">
        <v>35</v>
      </c>
      <c r="N2497" t="s">
        <v>16</v>
      </c>
      <c r="O2497" t="s">
        <v>18</v>
      </c>
      <c r="P2497">
        <v>5</v>
      </c>
    </row>
    <row r="2498" spans="1:16" x14ac:dyDescent="0.3">
      <c r="A2498">
        <v>3039</v>
      </c>
      <c r="B2498">
        <v>43821</v>
      </c>
      <c r="C2498">
        <v>53</v>
      </c>
      <c r="D2498">
        <v>24190</v>
      </c>
      <c r="E2498" t="s">
        <v>14</v>
      </c>
      <c r="F2498" t="s">
        <v>15</v>
      </c>
      <c r="G2498" t="s">
        <v>31</v>
      </c>
      <c r="H2498" t="s">
        <v>8</v>
      </c>
      <c r="I2498" t="s">
        <v>9</v>
      </c>
      <c r="J2498" t="s">
        <v>10</v>
      </c>
      <c r="K2498" t="s">
        <v>26</v>
      </c>
      <c r="L2498" t="s">
        <v>12</v>
      </c>
      <c r="M2498" t="s">
        <v>54</v>
      </c>
      <c r="N2498" t="s">
        <v>30</v>
      </c>
      <c r="O2498" t="s">
        <v>18</v>
      </c>
      <c r="P2498">
        <v>2</v>
      </c>
    </row>
    <row r="2499" spans="1:16" x14ac:dyDescent="0.3">
      <c r="A2499">
        <v>3040</v>
      </c>
      <c r="B2499">
        <v>44179</v>
      </c>
      <c r="C2499">
        <v>36</v>
      </c>
      <c r="D2499">
        <v>30713</v>
      </c>
      <c r="E2499" t="s">
        <v>14</v>
      </c>
      <c r="F2499" t="s">
        <v>15</v>
      </c>
      <c r="G2499" t="s">
        <v>40</v>
      </c>
      <c r="H2499" t="s">
        <v>8</v>
      </c>
      <c r="I2499" t="s">
        <v>9</v>
      </c>
      <c r="J2499" t="s">
        <v>25</v>
      </c>
      <c r="K2499" t="s">
        <v>19</v>
      </c>
      <c r="L2499" t="s">
        <v>12</v>
      </c>
      <c r="M2499" t="s">
        <v>35</v>
      </c>
      <c r="N2499" t="s">
        <v>16</v>
      </c>
      <c r="O2499" t="s">
        <v>18</v>
      </c>
      <c r="P2499">
        <v>1</v>
      </c>
    </row>
    <row r="2500" spans="1:16" x14ac:dyDescent="0.3">
      <c r="A2500">
        <v>3041</v>
      </c>
      <c r="B2500">
        <v>44002</v>
      </c>
      <c r="C2500">
        <v>20</v>
      </c>
      <c r="D2500">
        <v>36638</v>
      </c>
      <c r="E2500" t="s">
        <v>14</v>
      </c>
      <c r="F2500" t="s">
        <v>15</v>
      </c>
      <c r="G2500" t="s">
        <v>31</v>
      </c>
      <c r="H2500" t="s">
        <v>8</v>
      </c>
      <c r="I2500" t="s">
        <v>9</v>
      </c>
      <c r="J2500" t="s">
        <v>10</v>
      </c>
      <c r="K2500" t="s">
        <v>11</v>
      </c>
      <c r="L2500" t="s">
        <v>12</v>
      </c>
      <c r="M2500" t="s">
        <v>32</v>
      </c>
      <c r="N2500" t="s">
        <v>16</v>
      </c>
      <c r="O2500" t="s">
        <v>18</v>
      </c>
      <c r="P2500">
        <v>5</v>
      </c>
    </row>
    <row r="2501" spans="1:16" x14ac:dyDescent="0.3">
      <c r="A2501">
        <v>3042</v>
      </c>
      <c r="B2501">
        <v>45086</v>
      </c>
      <c r="C2501">
        <v>62</v>
      </c>
      <c r="D2501">
        <v>22456</v>
      </c>
      <c r="E2501" t="s">
        <v>14</v>
      </c>
      <c r="F2501" t="s">
        <v>15</v>
      </c>
      <c r="G2501" t="s">
        <v>17</v>
      </c>
      <c r="H2501" t="s">
        <v>8</v>
      </c>
      <c r="I2501" t="s">
        <v>9</v>
      </c>
      <c r="J2501" t="s">
        <v>10</v>
      </c>
      <c r="K2501" t="s">
        <v>26</v>
      </c>
      <c r="L2501" t="s">
        <v>12</v>
      </c>
      <c r="M2501" t="s">
        <v>55</v>
      </c>
      <c r="N2501" t="s">
        <v>16</v>
      </c>
      <c r="O2501" t="s">
        <v>41</v>
      </c>
      <c r="P2501">
        <v>1</v>
      </c>
    </row>
    <row r="2502" spans="1:16" x14ac:dyDescent="0.3">
      <c r="A2502">
        <v>3043</v>
      </c>
      <c r="B2502">
        <v>44829</v>
      </c>
      <c r="C2502">
        <v>59</v>
      </c>
      <c r="D2502">
        <v>23076</v>
      </c>
      <c r="E2502" t="s">
        <v>14</v>
      </c>
      <c r="F2502" t="s">
        <v>22</v>
      </c>
      <c r="G2502" t="s">
        <v>17</v>
      </c>
      <c r="H2502" t="s">
        <v>8</v>
      </c>
      <c r="I2502" t="s">
        <v>9</v>
      </c>
      <c r="J2502" t="s">
        <v>10</v>
      </c>
      <c r="K2502" t="s">
        <v>11</v>
      </c>
      <c r="L2502" t="s">
        <v>12</v>
      </c>
      <c r="M2502" t="s">
        <v>60</v>
      </c>
      <c r="N2502" t="s">
        <v>37</v>
      </c>
      <c r="O2502" t="s">
        <v>41</v>
      </c>
      <c r="P2502">
        <v>3</v>
      </c>
    </row>
    <row r="2503" spans="1:16" x14ac:dyDescent="0.3">
      <c r="A2503">
        <v>3044</v>
      </c>
      <c r="B2503">
        <v>44069</v>
      </c>
      <c r="C2503">
        <v>54</v>
      </c>
      <c r="D2503">
        <v>24165</v>
      </c>
      <c r="E2503" t="s">
        <v>14</v>
      </c>
      <c r="F2503" t="s">
        <v>22</v>
      </c>
      <c r="G2503" t="s">
        <v>31</v>
      </c>
      <c r="H2503" t="s">
        <v>8</v>
      </c>
      <c r="I2503" t="s">
        <v>9</v>
      </c>
      <c r="J2503" t="s">
        <v>10</v>
      </c>
      <c r="K2503" t="s">
        <v>26</v>
      </c>
      <c r="L2503" t="s">
        <v>12</v>
      </c>
      <c r="M2503" t="s">
        <v>32</v>
      </c>
      <c r="N2503" t="s">
        <v>16</v>
      </c>
      <c r="O2503" t="s">
        <v>41</v>
      </c>
      <c r="P2503">
        <v>1</v>
      </c>
    </row>
    <row r="2504" spans="1:16" x14ac:dyDescent="0.3">
      <c r="A2504">
        <v>3045</v>
      </c>
      <c r="B2504">
        <v>43705</v>
      </c>
      <c r="C2504">
        <v>51</v>
      </c>
      <c r="D2504">
        <v>24878</v>
      </c>
      <c r="E2504" t="s">
        <v>14</v>
      </c>
      <c r="F2504" t="s">
        <v>22</v>
      </c>
      <c r="G2504" t="s">
        <v>31</v>
      </c>
      <c r="H2504" t="s">
        <v>8</v>
      </c>
      <c r="I2504" t="s">
        <v>9</v>
      </c>
      <c r="J2504" t="s">
        <v>25</v>
      </c>
      <c r="K2504" t="s">
        <v>11</v>
      </c>
      <c r="L2504" t="s">
        <v>12</v>
      </c>
      <c r="M2504" t="s">
        <v>38</v>
      </c>
      <c r="N2504" t="s">
        <v>30</v>
      </c>
      <c r="O2504" t="s">
        <v>41</v>
      </c>
      <c r="P2504">
        <v>4</v>
      </c>
    </row>
    <row r="2505" spans="1:16" x14ac:dyDescent="0.3">
      <c r="A2505">
        <v>3046</v>
      </c>
      <c r="B2505">
        <v>45079</v>
      </c>
      <c r="C2505">
        <v>40</v>
      </c>
      <c r="D2505">
        <v>30472</v>
      </c>
      <c r="E2505" t="s">
        <v>14</v>
      </c>
      <c r="F2505" t="s">
        <v>15</v>
      </c>
      <c r="G2505" t="s">
        <v>31</v>
      </c>
      <c r="H2505" t="s">
        <v>64</v>
      </c>
      <c r="I2505" t="s">
        <v>66</v>
      </c>
      <c r="J2505" t="s">
        <v>20</v>
      </c>
      <c r="K2505" t="s">
        <v>19</v>
      </c>
      <c r="L2505" t="s">
        <v>12</v>
      </c>
      <c r="M2505" t="s">
        <v>59</v>
      </c>
      <c r="N2505" t="s">
        <v>30</v>
      </c>
      <c r="O2505" t="s">
        <v>41</v>
      </c>
      <c r="P2505">
        <v>5</v>
      </c>
    </row>
    <row r="2506" spans="1:16" x14ac:dyDescent="0.3">
      <c r="A2506">
        <v>3047</v>
      </c>
      <c r="B2506">
        <v>43355</v>
      </c>
      <c r="C2506">
        <v>53</v>
      </c>
      <c r="D2506">
        <v>24018</v>
      </c>
      <c r="E2506" t="s">
        <v>14</v>
      </c>
      <c r="F2506" t="s">
        <v>15</v>
      </c>
      <c r="G2506" t="s">
        <v>34</v>
      </c>
      <c r="H2506" t="s">
        <v>64</v>
      </c>
      <c r="I2506" t="s">
        <v>9</v>
      </c>
      <c r="J2506" t="s">
        <v>25</v>
      </c>
      <c r="K2506" t="s">
        <v>11</v>
      </c>
      <c r="L2506" t="s">
        <v>12</v>
      </c>
      <c r="M2506" t="s">
        <v>42</v>
      </c>
      <c r="N2506" t="s">
        <v>16</v>
      </c>
      <c r="O2506" t="s">
        <v>41</v>
      </c>
      <c r="P2506">
        <v>2</v>
      </c>
    </row>
    <row r="2507" spans="1:16" x14ac:dyDescent="0.3">
      <c r="A2507">
        <v>3048</v>
      </c>
      <c r="B2507">
        <v>45122</v>
      </c>
      <c r="C2507">
        <v>45</v>
      </c>
      <c r="D2507">
        <v>28562</v>
      </c>
      <c r="E2507" t="s">
        <v>14</v>
      </c>
      <c r="F2507" t="s">
        <v>15</v>
      </c>
      <c r="G2507" t="s">
        <v>34</v>
      </c>
      <c r="H2507" t="s">
        <v>64</v>
      </c>
      <c r="I2507" t="s">
        <v>9</v>
      </c>
      <c r="J2507" t="s">
        <v>10</v>
      </c>
      <c r="K2507" t="s">
        <v>26</v>
      </c>
      <c r="L2507" t="s">
        <v>12</v>
      </c>
      <c r="M2507" t="s">
        <v>92</v>
      </c>
      <c r="N2507" t="s">
        <v>16</v>
      </c>
      <c r="O2507" t="s">
        <v>18</v>
      </c>
      <c r="P2507">
        <v>2</v>
      </c>
    </row>
    <row r="2508" spans="1:16" x14ac:dyDescent="0.3">
      <c r="A2508">
        <v>3049</v>
      </c>
      <c r="B2508">
        <v>45109</v>
      </c>
      <c r="C2508">
        <v>75</v>
      </c>
      <c r="D2508">
        <v>17665</v>
      </c>
      <c r="E2508" t="s">
        <v>14</v>
      </c>
      <c r="F2508" t="s">
        <v>15</v>
      </c>
      <c r="G2508" t="s">
        <v>34</v>
      </c>
      <c r="H2508" t="s">
        <v>64</v>
      </c>
      <c r="I2508" t="s">
        <v>9</v>
      </c>
      <c r="J2508" t="s">
        <v>20</v>
      </c>
      <c r="K2508" t="s">
        <v>19</v>
      </c>
      <c r="L2508" t="s">
        <v>12</v>
      </c>
      <c r="M2508" t="s">
        <v>32</v>
      </c>
      <c r="N2508" t="s">
        <v>46</v>
      </c>
      <c r="O2508" t="s">
        <v>18</v>
      </c>
      <c r="P2508">
        <v>3</v>
      </c>
    </row>
    <row r="2509" spans="1:16" x14ac:dyDescent="0.3">
      <c r="A2509">
        <v>3050</v>
      </c>
      <c r="B2509">
        <v>43871</v>
      </c>
      <c r="C2509">
        <v>50</v>
      </c>
      <c r="D2509">
        <v>25833</v>
      </c>
      <c r="E2509" t="s">
        <v>14</v>
      </c>
      <c r="F2509" t="s">
        <v>15</v>
      </c>
      <c r="G2509" t="s">
        <v>31</v>
      </c>
      <c r="H2509" t="s">
        <v>64</v>
      </c>
      <c r="I2509" t="s">
        <v>9</v>
      </c>
      <c r="J2509" t="s">
        <v>10</v>
      </c>
      <c r="K2509" t="s">
        <v>11</v>
      </c>
      <c r="L2509" t="s">
        <v>12</v>
      </c>
      <c r="M2509" t="s">
        <v>49</v>
      </c>
      <c r="N2509" t="s">
        <v>16</v>
      </c>
      <c r="O2509" t="s">
        <v>18</v>
      </c>
      <c r="P2509">
        <v>3</v>
      </c>
    </row>
    <row r="2510" spans="1:16" x14ac:dyDescent="0.3">
      <c r="A2510">
        <v>3051</v>
      </c>
      <c r="B2510">
        <v>44435</v>
      </c>
      <c r="C2510">
        <v>49</v>
      </c>
      <c r="D2510">
        <v>26342</v>
      </c>
      <c r="E2510" t="s">
        <v>14</v>
      </c>
      <c r="F2510" t="s">
        <v>15</v>
      </c>
      <c r="G2510" t="s">
        <v>17</v>
      </c>
      <c r="H2510" t="s">
        <v>64</v>
      </c>
      <c r="I2510" t="s">
        <v>66</v>
      </c>
      <c r="J2510" t="s">
        <v>10</v>
      </c>
      <c r="K2510" t="s">
        <v>26</v>
      </c>
      <c r="L2510" t="s">
        <v>12</v>
      </c>
      <c r="M2510" t="s">
        <v>69</v>
      </c>
      <c r="N2510" t="s">
        <v>46</v>
      </c>
      <c r="O2510" t="s">
        <v>18</v>
      </c>
      <c r="P2510">
        <v>5</v>
      </c>
    </row>
    <row r="2511" spans="1:16" x14ac:dyDescent="0.3">
      <c r="A2511">
        <v>3052</v>
      </c>
      <c r="B2511">
        <v>43855</v>
      </c>
      <c r="C2511">
        <v>72</v>
      </c>
      <c r="D2511">
        <v>17693</v>
      </c>
      <c r="E2511" t="s">
        <v>14</v>
      </c>
      <c r="F2511" t="s">
        <v>15</v>
      </c>
      <c r="G2511" t="s">
        <v>31</v>
      </c>
      <c r="H2511" t="s">
        <v>64</v>
      </c>
      <c r="I2511" t="s">
        <v>9</v>
      </c>
      <c r="J2511" t="s">
        <v>25</v>
      </c>
      <c r="K2511" t="s">
        <v>19</v>
      </c>
      <c r="L2511" t="s">
        <v>12</v>
      </c>
      <c r="M2511" t="s">
        <v>28</v>
      </c>
      <c r="N2511" t="s">
        <v>16</v>
      </c>
      <c r="O2511" t="s">
        <v>18</v>
      </c>
      <c r="P2511">
        <v>1</v>
      </c>
    </row>
    <row r="2512" spans="1:16" x14ac:dyDescent="0.3">
      <c r="A2512">
        <v>3053</v>
      </c>
      <c r="B2512">
        <v>43916</v>
      </c>
      <c r="C2512">
        <v>62</v>
      </c>
      <c r="D2512">
        <v>21189</v>
      </c>
      <c r="E2512" t="s">
        <v>14</v>
      </c>
      <c r="F2512" t="s">
        <v>15</v>
      </c>
      <c r="G2512" t="s">
        <v>17</v>
      </c>
      <c r="H2512" t="s">
        <v>64</v>
      </c>
      <c r="I2512" t="s">
        <v>9</v>
      </c>
      <c r="J2512" t="s">
        <v>20</v>
      </c>
      <c r="K2512" t="s">
        <v>19</v>
      </c>
      <c r="L2512" t="s">
        <v>12</v>
      </c>
      <c r="M2512" t="s">
        <v>32</v>
      </c>
      <c r="N2512" t="s">
        <v>46</v>
      </c>
      <c r="O2512" t="s">
        <v>18</v>
      </c>
      <c r="P2512">
        <v>1</v>
      </c>
    </row>
    <row r="2513" spans="1:16" x14ac:dyDescent="0.3">
      <c r="A2513">
        <v>3054</v>
      </c>
      <c r="B2513">
        <v>44127</v>
      </c>
      <c r="C2513">
        <v>71</v>
      </c>
      <c r="D2513">
        <v>18197</v>
      </c>
      <c r="E2513" t="s">
        <v>14</v>
      </c>
      <c r="F2513" t="s">
        <v>22</v>
      </c>
      <c r="G2513" t="s">
        <v>34</v>
      </c>
      <c r="H2513" t="s">
        <v>8</v>
      </c>
      <c r="I2513" t="s">
        <v>9</v>
      </c>
      <c r="J2513" t="s">
        <v>10</v>
      </c>
      <c r="K2513" t="s">
        <v>11</v>
      </c>
      <c r="L2513" t="s">
        <v>12</v>
      </c>
      <c r="M2513" t="s">
        <v>35</v>
      </c>
      <c r="N2513" t="s">
        <v>16</v>
      </c>
      <c r="O2513" t="s">
        <v>18</v>
      </c>
      <c r="P2513">
        <v>5</v>
      </c>
    </row>
    <row r="2514" spans="1:16" x14ac:dyDescent="0.3">
      <c r="A2514">
        <v>3056</v>
      </c>
      <c r="B2514">
        <v>44733</v>
      </c>
      <c r="C2514">
        <v>79</v>
      </c>
      <c r="D2514">
        <v>16008</v>
      </c>
      <c r="E2514" t="s">
        <v>14</v>
      </c>
      <c r="F2514" t="s">
        <v>15</v>
      </c>
      <c r="G2514" t="s">
        <v>40</v>
      </c>
      <c r="H2514" t="s">
        <v>8</v>
      </c>
      <c r="I2514" t="s">
        <v>9</v>
      </c>
      <c r="J2514" t="s">
        <v>20</v>
      </c>
      <c r="K2514" t="s">
        <v>19</v>
      </c>
      <c r="L2514" t="s">
        <v>12</v>
      </c>
      <c r="M2514" t="s">
        <v>61</v>
      </c>
      <c r="N2514" t="s">
        <v>30</v>
      </c>
      <c r="O2514" t="s">
        <v>18</v>
      </c>
      <c r="P2514">
        <v>5</v>
      </c>
    </row>
    <row r="2515" spans="1:16" x14ac:dyDescent="0.3">
      <c r="A2515">
        <v>3059</v>
      </c>
      <c r="B2515">
        <v>44283</v>
      </c>
      <c r="C2515">
        <v>49</v>
      </c>
      <c r="D2515">
        <v>26516</v>
      </c>
      <c r="E2515" t="s">
        <v>14</v>
      </c>
      <c r="F2515" t="s">
        <v>15</v>
      </c>
      <c r="G2515" t="s">
        <v>17</v>
      </c>
      <c r="H2515" t="s">
        <v>8</v>
      </c>
      <c r="I2515" t="s">
        <v>9</v>
      </c>
      <c r="J2515" t="s">
        <v>20</v>
      </c>
      <c r="K2515" t="s">
        <v>19</v>
      </c>
      <c r="L2515" t="s">
        <v>12</v>
      </c>
      <c r="M2515" t="s">
        <v>54</v>
      </c>
      <c r="N2515" t="s">
        <v>16</v>
      </c>
      <c r="O2515" t="s">
        <v>18</v>
      </c>
      <c r="P2515">
        <v>1</v>
      </c>
    </row>
    <row r="2516" spans="1:16" x14ac:dyDescent="0.3">
      <c r="A2516">
        <v>3060</v>
      </c>
      <c r="B2516">
        <v>44072</v>
      </c>
      <c r="C2516">
        <v>69</v>
      </c>
      <c r="D2516">
        <v>18631</v>
      </c>
      <c r="E2516" t="s">
        <v>14</v>
      </c>
      <c r="F2516" t="s">
        <v>22</v>
      </c>
      <c r="G2516" t="s">
        <v>17</v>
      </c>
      <c r="H2516" t="s">
        <v>8</v>
      </c>
      <c r="I2516" t="s">
        <v>9</v>
      </c>
      <c r="J2516" t="s">
        <v>20</v>
      </c>
      <c r="K2516" t="s">
        <v>19</v>
      </c>
      <c r="L2516" t="s">
        <v>12</v>
      </c>
      <c r="M2516" t="s">
        <v>63</v>
      </c>
      <c r="N2516" t="s">
        <v>46</v>
      </c>
      <c r="O2516" t="s">
        <v>18</v>
      </c>
      <c r="P2516">
        <v>2</v>
      </c>
    </row>
    <row r="2517" spans="1:16" x14ac:dyDescent="0.3">
      <c r="A2517">
        <v>3061</v>
      </c>
      <c r="B2517">
        <v>44929</v>
      </c>
      <c r="C2517">
        <v>67</v>
      </c>
      <c r="D2517">
        <v>20724</v>
      </c>
      <c r="E2517" t="s">
        <v>14</v>
      </c>
      <c r="F2517" t="s">
        <v>22</v>
      </c>
      <c r="G2517" t="s">
        <v>34</v>
      </c>
      <c r="H2517" t="s">
        <v>8</v>
      </c>
      <c r="I2517" t="s">
        <v>9</v>
      </c>
      <c r="J2517" t="s">
        <v>20</v>
      </c>
      <c r="K2517" t="s">
        <v>11</v>
      </c>
      <c r="L2517" t="s">
        <v>12</v>
      </c>
      <c r="M2517" t="s">
        <v>59</v>
      </c>
      <c r="N2517" t="s">
        <v>30</v>
      </c>
      <c r="O2517" t="s">
        <v>18</v>
      </c>
      <c r="P2517">
        <v>1</v>
      </c>
    </row>
    <row r="2518" spans="1:16" x14ac:dyDescent="0.3">
      <c r="A2518">
        <v>3062</v>
      </c>
      <c r="B2518">
        <v>44893</v>
      </c>
      <c r="C2518">
        <v>35</v>
      </c>
      <c r="D2518">
        <v>32097</v>
      </c>
      <c r="E2518" t="s">
        <v>14</v>
      </c>
      <c r="F2518" t="s">
        <v>15</v>
      </c>
      <c r="G2518" t="s">
        <v>40</v>
      </c>
      <c r="H2518" t="s">
        <v>8</v>
      </c>
      <c r="I2518" t="s">
        <v>9</v>
      </c>
      <c r="J2518" t="s">
        <v>20</v>
      </c>
      <c r="K2518" t="s">
        <v>19</v>
      </c>
      <c r="L2518" t="s">
        <v>12</v>
      </c>
      <c r="M2518" t="s">
        <v>32</v>
      </c>
      <c r="N2518" t="s">
        <v>46</v>
      </c>
      <c r="O2518" t="s">
        <v>18</v>
      </c>
      <c r="P2518">
        <v>4</v>
      </c>
    </row>
    <row r="2519" spans="1:16" x14ac:dyDescent="0.3">
      <c r="A2519">
        <v>3063</v>
      </c>
      <c r="B2519">
        <v>44552</v>
      </c>
      <c r="C2519">
        <v>38</v>
      </c>
      <c r="D2519">
        <v>30610</v>
      </c>
      <c r="E2519" t="s">
        <v>14</v>
      </c>
      <c r="F2519" t="s">
        <v>15</v>
      </c>
      <c r="G2519" t="s">
        <v>17</v>
      </c>
      <c r="H2519" t="s">
        <v>8</v>
      </c>
      <c r="I2519" t="s">
        <v>9</v>
      </c>
      <c r="J2519" t="s">
        <v>10</v>
      </c>
      <c r="K2519" t="s">
        <v>26</v>
      </c>
      <c r="L2519" t="s">
        <v>12</v>
      </c>
      <c r="M2519" t="s">
        <v>35</v>
      </c>
      <c r="N2519" t="s">
        <v>30</v>
      </c>
      <c r="O2519" t="s">
        <v>18</v>
      </c>
      <c r="P2519">
        <v>5</v>
      </c>
    </row>
    <row r="2520" spans="1:16" x14ac:dyDescent="0.3">
      <c r="A2520">
        <v>3064</v>
      </c>
      <c r="B2520">
        <v>45115</v>
      </c>
      <c r="C2520">
        <v>61</v>
      </c>
      <c r="D2520">
        <v>22881</v>
      </c>
      <c r="E2520" t="s">
        <v>14</v>
      </c>
      <c r="F2520" t="s">
        <v>15</v>
      </c>
      <c r="G2520" t="s">
        <v>40</v>
      </c>
      <c r="H2520" t="s">
        <v>8</v>
      </c>
      <c r="I2520" t="s">
        <v>9</v>
      </c>
      <c r="J2520" t="s">
        <v>10</v>
      </c>
      <c r="K2520" t="s">
        <v>19</v>
      </c>
      <c r="L2520" t="s">
        <v>12</v>
      </c>
      <c r="M2520" t="s">
        <v>35</v>
      </c>
      <c r="N2520" t="s">
        <v>30</v>
      </c>
      <c r="O2520" t="s">
        <v>18</v>
      </c>
      <c r="P2520">
        <v>2</v>
      </c>
    </row>
    <row r="2521" spans="1:16" x14ac:dyDescent="0.3">
      <c r="A2521">
        <v>3065</v>
      </c>
      <c r="B2521">
        <v>44307</v>
      </c>
      <c r="C2521">
        <v>45</v>
      </c>
      <c r="D2521">
        <v>28040</v>
      </c>
      <c r="E2521" t="s">
        <v>14</v>
      </c>
      <c r="F2521" t="s">
        <v>15</v>
      </c>
      <c r="G2521" t="s">
        <v>40</v>
      </c>
      <c r="H2521" t="s">
        <v>8</v>
      </c>
      <c r="I2521" t="s">
        <v>9</v>
      </c>
      <c r="J2521" t="s">
        <v>20</v>
      </c>
      <c r="K2521" t="s">
        <v>19</v>
      </c>
      <c r="L2521" t="s">
        <v>12</v>
      </c>
      <c r="M2521" t="s">
        <v>35</v>
      </c>
      <c r="N2521" t="s">
        <v>37</v>
      </c>
      <c r="O2521" t="s">
        <v>18</v>
      </c>
      <c r="P2521">
        <v>1</v>
      </c>
    </row>
    <row r="2522" spans="1:16" x14ac:dyDescent="0.3">
      <c r="A2522">
        <v>3066</v>
      </c>
      <c r="B2522">
        <v>44770</v>
      </c>
      <c r="C2522">
        <v>55</v>
      </c>
      <c r="D2522">
        <v>24574</v>
      </c>
      <c r="E2522" t="s">
        <v>14</v>
      </c>
      <c r="F2522" t="s">
        <v>22</v>
      </c>
      <c r="G2522" t="s">
        <v>40</v>
      </c>
      <c r="H2522" t="s">
        <v>8</v>
      </c>
      <c r="I2522" t="s">
        <v>9</v>
      </c>
      <c r="J2522" t="s">
        <v>25</v>
      </c>
      <c r="K2522" t="s">
        <v>26</v>
      </c>
      <c r="L2522" t="s">
        <v>12</v>
      </c>
      <c r="M2522" t="s">
        <v>35</v>
      </c>
      <c r="N2522" t="s">
        <v>23</v>
      </c>
      <c r="O2522" t="s">
        <v>18</v>
      </c>
      <c r="P2522">
        <v>4</v>
      </c>
    </row>
    <row r="2523" spans="1:16" x14ac:dyDescent="0.3">
      <c r="A2523">
        <v>3067</v>
      </c>
      <c r="B2523">
        <v>43774</v>
      </c>
      <c r="C2523">
        <v>37</v>
      </c>
      <c r="D2523">
        <v>30031</v>
      </c>
      <c r="E2523" t="s">
        <v>14</v>
      </c>
      <c r="F2523" t="s">
        <v>22</v>
      </c>
      <c r="G2523" t="s">
        <v>31</v>
      </c>
      <c r="H2523" t="s">
        <v>8</v>
      </c>
      <c r="I2523" t="s">
        <v>9</v>
      </c>
      <c r="J2523" t="s">
        <v>20</v>
      </c>
      <c r="K2523" t="s">
        <v>26</v>
      </c>
      <c r="L2523" t="s">
        <v>12</v>
      </c>
      <c r="M2523" t="s">
        <v>35</v>
      </c>
      <c r="N2523" t="s">
        <v>23</v>
      </c>
      <c r="O2523" t="s">
        <v>18</v>
      </c>
      <c r="P2523">
        <v>1</v>
      </c>
    </row>
    <row r="2524" spans="1:16" x14ac:dyDescent="0.3">
      <c r="A2524">
        <v>3068</v>
      </c>
      <c r="B2524">
        <v>44703</v>
      </c>
      <c r="C2524">
        <v>75</v>
      </c>
      <c r="D2524">
        <v>17289</v>
      </c>
      <c r="E2524" t="s">
        <v>14</v>
      </c>
      <c r="F2524" t="s">
        <v>22</v>
      </c>
      <c r="G2524" t="s">
        <v>31</v>
      </c>
      <c r="H2524" t="s">
        <v>8</v>
      </c>
      <c r="I2524" t="s">
        <v>66</v>
      </c>
      <c r="J2524" t="s">
        <v>25</v>
      </c>
      <c r="K2524" t="s">
        <v>19</v>
      </c>
      <c r="L2524" t="s">
        <v>12</v>
      </c>
      <c r="M2524" t="s">
        <v>13</v>
      </c>
      <c r="N2524" t="s">
        <v>46</v>
      </c>
      <c r="O2524" t="s">
        <v>18</v>
      </c>
      <c r="P2524">
        <v>2</v>
      </c>
    </row>
    <row r="2525" spans="1:16" x14ac:dyDescent="0.3">
      <c r="A2525">
        <v>3069</v>
      </c>
      <c r="B2525">
        <v>43757</v>
      </c>
      <c r="C2525">
        <v>20</v>
      </c>
      <c r="D2525">
        <v>36205</v>
      </c>
      <c r="E2525" t="s">
        <v>14</v>
      </c>
      <c r="F2525" t="s">
        <v>15</v>
      </c>
      <c r="G2525" t="s">
        <v>34</v>
      </c>
      <c r="H2525" t="s">
        <v>64</v>
      </c>
      <c r="I2525" t="s">
        <v>9</v>
      </c>
      <c r="J2525" t="s">
        <v>25</v>
      </c>
      <c r="K2525" t="s">
        <v>19</v>
      </c>
      <c r="L2525" t="s">
        <v>12</v>
      </c>
      <c r="M2525" t="s">
        <v>32</v>
      </c>
      <c r="N2525" t="s">
        <v>16</v>
      </c>
      <c r="O2525" t="s">
        <v>18</v>
      </c>
      <c r="P2525">
        <v>2</v>
      </c>
    </row>
    <row r="2526" spans="1:16" x14ac:dyDescent="0.3">
      <c r="A2526">
        <v>3070</v>
      </c>
      <c r="B2526">
        <v>43824</v>
      </c>
      <c r="C2526">
        <v>47</v>
      </c>
      <c r="D2526">
        <v>26424</v>
      </c>
      <c r="E2526" t="s">
        <v>14</v>
      </c>
      <c r="F2526" t="s">
        <v>15</v>
      </c>
      <c r="G2526" t="s">
        <v>40</v>
      </c>
      <c r="H2526" t="s">
        <v>64</v>
      </c>
      <c r="I2526" t="s">
        <v>9</v>
      </c>
      <c r="J2526" t="s">
        <v>25</v>
      </c>
      <c r="K2526" t="s">
        <v>11</v>
      </c>
      <c r="L2526" t="s">
        <v>12</v>
      </c>
      <c r="M2526" t="s">
        <v>59</v>
      </c>
      <c r="N2526" t="s">
        <v>16</v>
      </c>
      <c r="O2526" t="s">
        <v>18</v>
      </c>
      <c r="P2526">
        <v>5</v>
      </c>
    </row>
    <row r="2527" spans="1:16" x14ac:dyDescent="0.3">
      <c r="A2527">
        <v>3071</v>
      </c>
      <c r="B2527">
        <v>44869</v>
      </c>
      <c r="C2527">
        <v>66</v>
      </c>
      <c r="D2527">
        <v>20480</v>
      </c>
      <c r="E2527" t="s">
        <v>14</v>
      </c>
      <c r="F2527" t="s">
        <v>15</v>
      </c>
      <c r="G2527" t="s">
        <v>34</v>
      </c>
      <c r="H2527" t="s">
        <v>64</v>
      </c>
      <c r="I2527" t="s">
        <v>9</v>
      </c>
      <c r="J2527" t="s">
        <v>25</v>
      </c>
      <c r="K2527" t="s">
        <v>26</v>
      </c>
      <c r="L2527" t="s">
        <v>12</v>
      </c>
      <c r="M2527" t="s">
        <v>32</v>
      </c>
      <c r="N2527" t="s">
        <v>37</v>
      </c>
      <c r="O2527" t="s">
        <v>18</v>
      </c>
      <c r="P2527">
        <v>4</v>
      </c>
    </row>
    <row r="2528" spans="1:16" x14ac:dyDescent="0.3">
      <c r="A2528">
        <v>3072</v>
      </c>
      <c r="B2528">
        <v>45042</v>
      </c>
      <c r="C2528">
        <v>37</v>
      </c>
      <c r="D2528">
        <v>31458</v>
      </c>
      <c r="E2528" t="s">
        <v>14</v>
      </c>
      <c r="F2528" t="s">
        <v>15</v>
      </c>
      <c r="G2528" t="s">
        <v>40</v>
      </c>
      <c r="H2528" t="s">
        <v>64</v>
      </c>
      <c r="I2528" t="s">
        <v>9</v>
      </c>
      <c r="J2528" t="s">
        <v>25</v>
      </c>
      <c r="K2528" t="s">
        <v>26</v>
      </c>
      <c r="L2528" t="s">
        <v>12</v>
      </c>
      <c r="M2528" t="s">
        <v>61</v>
      </c>
      <c r="N2528" t="s">
        <v>46</v>
      </c>
      <c r="O2528" t="s">
        <v>18</v>
      </c>
      <c r="P2528">
        <v>4</v>
      </c>
    </row>
    <row r="2529" spans="1:16" x14ac:dyDescent="0.3">
      <c r="A2529">
        <v>3073</v>
      </c>
      <c r="B2529">
        <v>44860</v>
      </c>
      <c r="C2529">
        <v>35</v>
      </c>
      <c r="D2529">
        <v>31893</v>
      </c>
      <c r="E2529" t="s">
        <v>14</v>
      </c>
      <c r="F2529" t="s">
        <v>15</v>
      </c>
      <c r="G2529" t="s">
        <v>31</v>
      </c>
      <c r="H2529" t="s">
        <v>64</v>
      </c>
      <c r="I2529" t="s">
        <v>66</v>
      </c>
      <c r="J2529" t="s">
        <v>10</v>
      </c>
      <c r="K2529" t="s">
        <v>19</v>
      </c>
      <c r="L2529" t="s">
        <v>12</v>
      </c>
      <c r="M2529" t="s">
        <v>32</v>
      </c>
      <c r="N2529" t="s">
        <v>37</v>
      </c>
      <c r="O2529" t="s">
        <v>18</v>
      </c>
      <c r="P2529">
        <v>3</v>
      </c>
    </row>
    <row r="2530" spans="1:16" x14ac:dyDescent="0.3">
      <c r="A2530">
        <v>3074</v>
      </c>
      <c r="B2530">
        <v>44026</v>
      </c>
      <c r="C2530">
        <v>57</v>
      </c>
      <c r="D2530">
        <v>23288</v>
      </c>
      <c r="E2530" t="s">
        <v>14</v>
      </c>
      <c r="F2530" t="s">
        <v>15</v>
      </c>
      <c r="G2530" t="s">
        <v>31</v>
      </c>
      <c r="H2530" t="s">
        <v>64</v>
      </c>
      <c r="I2530" t="s">
        <v>66</v>
      </c>
      <c r="J2530" t="s">
        <v>10</v>
      </c>
      <c r="K2530" t="s">
        <v>19</v>
      </c>
      <c r="L2530" t="s">
        <v>12</v>
      </c>
      <c r="M2530" t="s">
        <v>49</v>
      </c>
      <c r="N2530" t="s">
        <v>23</v>
      </c>
      <c r="O2530" t="s">
        <v>18</v>
      </c>
      <c r="P2530">
        <v>3</v>
      </c>
    </row>
    <row r="2531" spans="1:16" x14ac:dyDescent="0.3">
      <c r="A2531">
        <v>3075</v>
      </c>
      <c r="B2531">
        <v>44997</v>
      </c>
      <c r="C2531">
        <v>54</v>
      </c>
      <c r="D2531">
        <v>25212</v>
      </c>
      <c r="E2531" t="s">
        <v>14</v>
      </c>
      <c r="F2531" t="s">
        <v>15</v>
      </c>
      <c r="G2531" t="s">
        <v>31</v>
      </c>
      <c r="H2531" t="s">
        <v>64</v>
      </c>
      <c r="I2531" t="s">
        <v>9</v>
      </c>
      <c r="J2531" t="s">
        <v>25</v>
      </c>
      <c r="K2531" t="s">
        <v>26</v>
      </c>
      <c r="L2531" t="s">
        <v>12</v>
      </c>
      <c r="M2531" t="s">
        <v>55</v>
      </c>
      <c r="N2531" t="s">
        <v>30</v>
      </c>
      <c r="O2531" t="s">
        <v>18</v>
      </c>
      <c r="P2531">
        <v>3</v>
      </c>
    </row>
    <row r="2532" spans="1:16" x14ac:dyDescent="0.3">
      <c r="A2532">
        <v>3076</v>
      </c>
      <c r="B2532">
        <v>45042</v>
      </c>
      <c r="C2532">
        <v>25</v>
      </c>
      <c r="D2532">
        <v>35941</v>
      </c>
      <c r="E2532" t="s">
        <v>14</v>
      </c>
      <c r="F2532" t="s">
        <v>22</v>
      </c>
      <c r="G2532" t="s">
        <v>34</v>
      </c>
      <c r="H2532" t="s">
        <v>64</v>
      </c>
      <c r="I2532" t="s">
        <v>9</v>
      </c>
      <c r="J2532" t="s">
        <v>20</v>
      </c>
      <c r="K2532" t="s">
        <v>11</v>
      </c>
      <c r="L2532" t="s">
        <v>12</v>
      </c>
      <c r="M2532" t="s">
        <v>32</v>
      </c>
      <c r="N2532" t="s">
        <v>16</v>
      </c>
      <c r="O2532" t="s">
        <v>18</v>
      </c>
      <c r="P2532">
        <v>1</v>
      </c>
    </row>
    <row r="2533" spans="1:16" x14ac:dyDescent="0.3">
      <c r="A2533">
        <v>3077</v>
      </c>
      <c r="B2533">
        <v>44821</v>
      </c>
      <c r="C2533">
        <v>64</v>
      </c>
      <c r="D2533">
        <v>21413</v>
      </c>
      <c r="E2533" t="s">
        <v>14</v>
      </c>
      <c r="F2533" t="s">
        <v>22</v>
      </c>
      <c r="G2533" t="s">
        <v>34</v>
      </c>
      <c r="H2533" t="s">
        <v>8</v>
      </c>
      <c r="I2533" t="s">
        <v>9</v>
      </c>
      <c r="J2533" t="s">
        <v>10</v>
      </c>
      <c r="K2533" t="s">
        <v>19</v>
      </c>
      <c r="L2533" t="s">
        <v>12</v>
      </c>
      <c r="M2533" t="s">
        <v>32</v>
      </c>
      <c r="N2533" t="s">
        <v>23</v>
      </c>
      <c r="O2533" t="s">
        <v>18</v>
      </c>
      <c r="P2533">
        <v>1</v>
      </c>
    </row>
    <row r="2534" spans="1:16" x14ac:dyDescent="0.3">
      <c r="A2534">
        <v>3078</v>
      </c>
      <c r="B2534">
        <v>44204</v>
      </c>
      <c r="C2534">
        <v>61</v>
      </c>
      <c r="D2534">
        <v>22020</v>
      </c>
      <c r="E2534" t="s">
        <v>14</v>
      </c>
      <c r="F2534" t="s">
        <v>22</v>
      </c>
      <c r="G2534" t="s">
        <v>17</v>
      </c>
      <c r="H2534" t="s">
        <v>8</v>
      </c>
      <c r="I2534" t="s">
        <v>9</v>
      </c>
      <c r="J2534" t="s">
        <v>10</v>
      </c>
      <c r="K2534" t="s">
        <v>26</v>
      </c>
      <c r="L2534" t="s">
        <v>12</v>
      </c>
      <c r="M2534" t="s">
        <v>32</v>
      </c>
      <c r="N2534" t="s">
        <v>37</v>
      </c>
      <c r="O2534" t="s">
        <v>18</v>
      </c>
      <c r="P2534">
        <v>1</v>
      </c>
    </row>
    <row r="2535" spans="1:16" x14ac:dyDescent="0.3">
      <c r="A2535">
        <v>3081</v>
      </c>
      <c r="B2535">
        <v>44124</v>
      </c>
      <c r="C2535">
        <v>40</v>
      </c>
      <c r="D2535">
        <v>29297</v>
      </c>
      <c r="E2535" t="s">
        <v>14</v>
      </c>
      <c r="F2535" t="s">
        <v>22</v>
      </c>
      <c r="G2535" t="s">
        <v>17</v>
      </c>
      <c r="H2535" t="s">
        <v>8</v>
      </c>
      <c r="I2535" t="s">
        <v>9</v>
      </c>
      <c r="J2535" t="s">
        <v>20</v>
      </c>
      <c r="K2535" t="s">
        <v>11</v>
      </c>
      <c r="L2535" t="s">
        <v>12</v>
      </c>
      <c r="M2535" t="s">
        <v>13</v>
      </c>
      <c r="N2535" t="s">
        <v>16</v>
      </c>
      <c r="O2535" t="s">
        <v>18</v>
      </c>
      <c r="P2535">
        <v>3</v>
      </c>
    </row>
    <row r="2536" spans="1:16" x14ac:dyDescent="0.3">
      <c r="A2536">
        <v>3082</v>
      </c>
      <c r="B2536">
        <v>44883</v>
      </c>
      <c r="C2536">
        <v>34</v>
      </c>
      <c r="D2536">
        <v>32420</v>
      </c>
      <c r="E2536" t="s">
        <v>14</v>
      </c>
      <c r="F2536" t="s">
        <v>15</v>
      </c>
      <c r="G2536" t="s">
        <v>31</v>
      </c>
      <c r="H2536" t="s">
        <v>8</v>
      </c>
      <c r="I2536" t="s">
        <v>9</v>
      </c>
      <c r="J2536" t="s">
        <v>20</v>
      </c>
      <c r="K2536" t="s">
        <v>19</v>
      </c>
      <c r="L2536" t="s">
        <v>12</v>
      </c>
      <c r="M2536" t="s">
        <v>35</v>
      </c>
      <c r="N2536" t="s">
        <v>30</v>
      </c>
      <c r="O2536" t="s">
        <v>18</v>
      </c>
      <c r="P2536">
        <v>3</v>
      </c>
    </row>
    <row r="2537" spans="1:16" x14ac:dyDescent="0.3">
      <c r="A2537">
        <v>3083</v>
      </c>
      <c r="B2537">
        <v>44940</v>
      </c>
      <c r="C2537">
        <v>56</v>
      </c>
      <c r="D2537">
        <v>24616</v>
      </c>
      <c r="E2537" t="s">
        <v>14</v>
      </c>
      <c r="F2537" t="s">
        <v>22</v>
      </c>
      <c r="G2537" t="s">
        <v>17</v>
      </c>
      <c r="H2537" t="s">
        <v>8</v>
      </c>
      <c r="I2537" t="s">
        <v>9</v>
      </c>
      <c r="J2537" t="s">
        <v>10</v>
      </c>
      <c r="K2537" t="s">
        <v>11</v>
      </c>
      <c r="L2537" t="s">
        <v>12</v>
      </c>
      <c r="M2537" t="s">
        <v>21</v>
      </c>
      <c r="N2537" t="s">
        <v>46</v>
      </c>
      <c r="O2537" t="s">
        <v>18</v>
      </c>
      <c r="P2537">
        <v>4</v>
      </c>
    </row>
    <row r="2538" spans="1:16" x14ac:dyDescent="0.3">
      <c r="A2538">
        <v>3084</v>
      </c>
      <c r="B2538">
        <v>44131</v>
      </c>
      <c r="C2538">
        <v>24</v>
      </c>
      <c r="D2538">
        <v>35245</v>
      </c>
      <c r="E2538" t="s">
        <v>14</v>
      </c>
      <c r="F2538" t="s">
        <v>22</v>
      </c>
      <c r="G2538" t="s">
        <v>17</v>
      </c>
      <c r="H2538" t="s">
        <v>8</v>
      </c>
      <c r="I2538" t="s">
        <v>9</v>
      </c>
      <c r="J2538" t="s">
        <v>20</v>
      </c>
      <c r="K2538" t="s">
        <v>19</v>
      </c>
      <c r="L2538" t="s">
        <v>12</v>
      </c>
      <c r="M2538" t="s">
        <v>32</v>
      </c>
      <c r="N2538" t="s">
        <v>37</v>
      </c>
      <c r="O2538" t="s">
        <v>18</v>
      </c>
      <c r="P2538">
        <v>3</v>
      </c>
    </row>
    <row r="2539" spans="1:16" x14ac:dyDescent="0.3">
      <c r="A2539">
        <v>3085</v>
      </c>
      <c r="B2539">
        <v>44072</v>
      </c>
      <c r="C2539">
        <v>57</v>
      </c>
      <c r="D2539">
        <v>23074</v>
      </c>
      <c r="E2539" t="s">
        <v>14</v>
      </c>
      <c r="F2539" t="s">
        <v>15</v>
      </c>
      <c r="G2539" t="s">
        <v>31</v>
      </c>
      <c r="H2539" t="s">
        <v>8</v>
      </c>
      <c r="I2539" t="s">
        <v>9</v>
      </c>
      <c r="J2539" t="s">
        <v>25</v>
      </c>
      <c r="K2539" t="s">
        <v>11</v>
      </c>
      <c r="L2539" t="s">
        <v>12</v>
      </c>
      <c r="M2539" t="s">
        <v>35</v>
      </c>
      <c r="N2539" t="s">
        <v>46</v>
      </c>
      <c r="O2539" t="s">
        <v>18</v>
      </c>
      <c r="P2539">
        <v>3</v>
      </c>
    </row>
    <row r="2540" spans="1:16" x14ac:dyDescent="0.3">
      <c r="A2540">
        <v>3086</v>
      </c>
      <c r="B2540">
        <v>43822</v>
      </c>
      <c r="C2540">
        <v>32</v>
      </c>
      <c r="D2540">
        <v>31865</v>
      </c>
      <c r="E2540" t="s">
        <v>14</v>
      </c>
      <c r="F2540" t="s">
        <v>15</v>
      </c>
      <c r="G2540" t="s">
        <v>40</v>
      </c>
      <c r="H2540" t="s">
        <v>8</v>
      </c>
      <c r="I2540" t="s">
        <v>9</v>
      </c>
      <c r="J2540" t="s">
        <v>20</v>
      </c>
      <c r="K2540" t="s">
        <v>26</v>
      </c>
      <c r="L2540" t="s">
        <v>12</v>
      </c>
      <c r="M2540" t="s">
        <v>21</v>
      </c>
      <c r="N2540" t="s">
        <v>46</v>
      </c>
      <c r="O2540" t="s">
        <v>18</v>
      </c>
      <c r="P2540">
        <v>2</v>
      </c>
    </row>
    <row r="2541" spans="1:16" x14ac:dyDescent="0.3">
      <c r="A2541">
        <v>3087</v>
      </c>
      <c r="B2541">
        <v>45110</v>
      </c>
      <c r="C2541">
        <v>75</v>
      </c>
      <c r="D2541">
        <v>17571</v>
      </c>
      <c r="E2541" t="s">
        <v>14</v>
      </c>
      <c r="F2541" t="s">
        <v>15</v>
      </c>
      <c r="G2541" t="s">
        <v>34</v>
      </c>
      <c r="H2541" t="s">
        <v>8</v>
      </c>
      <c r="I2541" t="s">
        <v>9</v>
      </c>
      <c r="J2541" t="s">
        <v>10</v>
      </c>
      <c r="K2541" t="s">
        <v>26</v>
      </c>
      <c r="L2541" t="s">
        <v>12</v>
      </c>
      <c r="M2541" t="s">
        <v>54</v>
      </c>
      <c r="N2541" t="s">
        <v>37</v>
      </c>
      <c r="O2541" t="s">
        <v>18</v>
      </c>
      <c r="P2541">
        <v>3</v>
      </c>
    </row>
    <row r="2542" spans="1:16" x14ac:dyDescent="0.3">
      <c r="A2542">
        <v>3088</v>
      </c>
      <c r="B2542">
        <v>44830</v>
      </c>
      <c r="C2542">
        <v>78</v>
      </c>
      <c r="D2542">
        <v>16151</v>
      </c>
      <c r="E2542" t="s">
        <v>14</v>
      </c>
      <c r="F2542" t="s">
        <v>15</v>
      </c>
      <c r="G2542" t="s">
        <v>34</v>
      </c>
      <c r="H2542" t="s">
        <v>8</v>
      </c>
      <c r="I2542" t="s">
        <v>9</v>
      </c>
      <c r="J2542" t="s">
        <v>20</v>
      </c>
      <c r="K2542" t="s">
        <v>26</v>
      </c>
      <c r="L2542" t="s">
        <v>12</v>
      </c>
      <c r="M2542" t="s">
        <v>35</v>
      </c>
      <c r="N2542" t="s">
        <v>30</v>
      </c>
      <c r="O2542" t="s">
        <v>18</v>
      </c>
      <c r="P2542">
        <v>3</v>
      </c>
    </row>
    <row r="2543" spans="1:16" x14ac:dyDescent="0.3">
      <c r="A2543">
        <v>3089</v>
      </c>
      <c r="B2543">
        <v>43960</v>
      </c>
      <c r="C2543">
        <v>57</v>
      </c>
      <c r="D2543">
        <v>23147</v>
      </c>
      <c r="E2543" t="s">
        <v>14</v>
      </c>
      <c r="F2543" t="s">
        <v>15</v>
      </c>
      <c r="G2543" t="s">
        <v>31</v>
      </c>
      <c r="H2543" t="s">
        <v>8</v>
      </c>
      <c r="I2543" t="s">
        <v>9</v>
      </c>
      <c r="J2543" t="s">
        <v>10</v>
      </c>
      <c r="K2543" t="s">
        <v>19</v>
      </c>
      <c r="L2543" t="s">
        <v>12</v>
      </c>
      <c r="M2543" t="s">
        <v>35</v>
      </c>
      <c r="N2543" t="s">
        <v>37</v>
      </c>
      <c r="O2543" t="s">
        <v>18</v>
      </c>
      <c r="P2543">
        <v>3</v>
      </c>
    </row>
    <row r="2544" spans="1:16" x14ac:dyDescent="0.3">
      <c r="A2544">
        <v>3090</v>
      </c>
      <c r="B2544">
        <v>44993</v>
      </c>
      <c r="C2544">
        <v>66</v>
      </c>
      <c r="D2544">
        <v>20865</v>
      </c>
      <c r="E2544" t="s">
        <v>14</v>
      </c>
      <c r="F2544" t="s">
        <v>22</v>
      </c>
      <c r="G2544" t="s">
        <v>34</v>
      </c>
      <c r="H2544" t="s">
        <v>8</v>
      </c>
      <c r="I2544" t="s">
        <v>9</v>
      </c>
      <c r="J2544" t="s">
        <v>20</v>
      </c>
      <c r="K2544" t="s">
        <v>26</v>
      </c>
      <c r="L2544" t="s">
        <v>12</v>
      </c>
      <c r="M2544" t="s">
        <v>35</v>
      </c>
      <c r="N2544" t="s">
        <v>37</v>
      </c>
      <c r="O2544" t="s">
        <v>18</v>
      </c>
      <c r="P2544">
        <v>2</v>
      </c>
    </row>
    <row r="2545" spans="1:16" x14ac:dyDescent="0.3">
      <c r="A2545">
        <v>3091</v>
      </c>
      <c r="B2545">
        <v>43523</v>
      </c>
      <c r="C2545">
        <v>61</v>
      </c>
      <c r="D2545">
        <v>21250</v>
      </c>
      <c r="E2545" t="s">
        <v>14</v>
      </c>
      <c r="F2545" t="s">
        <v>22</v>
      </c>
      <c r="G2545" t="s">
        <v>31</v>
      </c>
      <c r="H2545" t="s">
        <v>8</v>
      </c>
      <c r="I2545" t="s">
        <v>66</v>
      </c>
      <c r="J2545" t="s">
        <v>10</v>
      </c>
      <c r="K2545" t="s">
        <v>26</v>
      </c>
      <c r="L2545" t="s">
        <v>12</v>
      </c>
      <c r="M2545" t="s">
        <v>67</v>
      </c>
      <c r="N2545" t="s">
        <v>16</v>
      </c>
      <c r="O2545" t="s">
        <v>18</v>
      </c>
      <c r="P2545">
        <v>2</v>
      </c>
    </row>
    <row r="2546" spans="1:16" x14ac:dyDescent="0.3">
      <c r="A2546">
        <v>3092</v>
      </c>
      <c r="B2546">
        <v>43842</v>
      </c>
      <c r="C2546">
        <v>41</v>
      </c>
      <c r="D2546">
        <v>29199</v>
      </c>
      <c r="E2546" t="s">
        <v>14</v>
      </c>
      <c r="F2546" t="s">
        <v>15</v>
      </c>
      <c r="G2546" t="s">
        <v>34</v>
      </c>
      <c r="H2546" t="s">
        <v>64</v>
      </c>
      <c r="I2546" t="s">
        <v>9</v>
      </c>
      <c r="J2546" t="s">
        <v>10</v>
      </c>
      <c r="K2546" t="s">
        <v>19</v>
      </c>
      <c r="L2546" t="s">
        <v>12</v>
      </c>
      <c r="M2546" t="s">
        <v>35</v>
      </c>
      <c r="N2546" t="s">
        <v>30</v>
      </c>
      <c r="O2546" t="s">
        <v>18</v>
      </c>
      <c r="P2546">
        <v>4</v>
      </c>
    </row>
    <row r="2547" spans="1:16" x14ac:dyDescent="0.3">
      <c r="A2547">
        <v>3093</v>
      </c>
      <c r="B2547">
        <v>43645</v>
      </c>
      <c r="C2547">
        <v>43</v>
      </c>
      <c r="D2547">
        <v>28024</v>
      </c>
      <c r="E2547" t="s">
        <v>14</v>
      </c>
      <c r="F2547" t="s">
        <v>15</v>
      </c>
      <c r="G2547" t="s">
        <v>40</v>
      </c>
      <c r="H2547" t="s">
        <v>64</v>
      </c>
      <c r="I2547" t="s">
        <v>9</v>
      </c>
      <c r="J2547" t="s">
        <v>25</v>
      </c>
      <c r="K2547" t="s">
        <v>26</v>
      </c>
      <c r="L2547" t="s">
        <v>12</v>
      </c>
      <c r="M2547" t="s">
        <v>49</v>
      </c>
      <c r="N2547" t="s">
        <v>46</v>
      </c>
      <c r="O2547" t="s">
        <v>18</v>
      </c>
      <c r="P2547">
        <v>4</v>
      </c>
    </row>
    <row r="2548" spans="1:16" x14ac:dyDescent="0.3">
      <c r="A2548">
        <v>3094</v>
      </c>
      <c r="B2548">
        <v>44392</v>
      </c>
      <c r="C2548">
        <v>58</v>
      </c>
      <c r="D2548">
        <v>23302</v>
      </c>
      <c r="E2548" t="s">
        <v>14</v>
      </c>
      <c r="F2548" t="s">
        <v>15</v>
      </c>
      <c r="G2548" t="s">
        <v>17</v>
      </c>
      <c r="H2548" t="s">
        <v>64</v>
      </c>
      <c r="I2548" t="s">
        <v>9</v>
      </c>
      <c r="J2548" t="s">
        <v>10</v>
      </c>
      <c r="K2548" t="s">
        <v>11</v>
      </c>
      <c r="L2548" t="s">
        <v>12</v>
      </c>
      <c r="M2548" t="s">
        <v>42</v>
      </c>
      <c r="N2548" t="s">
        <v>30</v>
      </c>
      <c r="O2548" t="s">
        <v>18</v>
      </c>
      <c r="P2548">
        <v>3</v>
      </c>
    </row>
    <row r="2549" spans="1:16" x14ac:dyDescent="0.3">
      <c r="A2549">
        <v>3095</v>
      </c>
      <c r="B2549">
        <v>44792</v>
      </c>
      <c r="C2549">
        <v>79</v>
      </c>
      <c r="D2549">
        <v>15776</v>
      </c>
      <c r="E2549" t="s">
        <v>14</v>
      </c>
      <c r="F2549" t="s">
        <v>15</v>
      </c>
      <c r="G2549" t="s">
        <v>40</v>
      </c>
      <c r="H2549" t="s">
        <v>64</v>
      </c>
      <c r="I2549" t="s">
        <v>9</v>
      </c>
      <c r="J2549" t="s">
        <v>10</v>
      </c>
      <c r="K2549" t="s">
        <v>19</v>
      </c>
      <c r="L2549" t="s">
        <v>12</v>
      </c>
      <c r="M2549" t="s">
        <v>35</v>
      </c>
      <c r="N2549" t="s">
        <v>30</v>
      </c>
      <c r="O2549" t="s">
        <v>18</v>
      </c>
      <c r="P2549">
        <v>2</v>
      </c>
    </row>
    <row r="2550" spans="1:16" x14ac:dyDescent="0.3">
      <c r="A2550">
        <v>3096</v>
      </c>
      <c r="B2550">
        <v>43731</v>
      </c>
      <c r="C2550">
        <v>45</v>
      </c>
      <c r="D2550">
        <v>27279</v>
      </c>
      <c r="E2550" t="s">
        <v>14</v>
      </c>
      <c r="F2550" t="s">
        <v>15</v>
      </c>
      <c r="G2550" t="s">
        <v>31</v>
      </c>
      <c r="H2550" t="s">
        <v>64</v>
      </c>
      <c r="I2550" t="s">
        <v>66</v>
      </c>
      <c r="J2550" t="s">
        <v>10</v>
      </c>
      <c r="K2550" t="s">
        <v>26</v>
      </c>
      <c r="L2550" t="s">
        <v>12</v>
      </c>
      <c r="M2550" t="s">
        <v>42</v>
      </c>
      <c r="N2550" t="s">
        <v>23</v>
      </c>
      <c r="O2550" t="s">
        <v>18</v>
      </c>
      <c r="P2550">
        <v>3</v>
      </c>
    </row>
    <row r="2551" spans="1:16" x14ac:dyDescent="0.3">
      <c r="A2551">
        <v>3097</v>
      </c>
      <c r="B2551">
        <v>44115</v>
      </c>
      <c r="C2551">
        <v>59</v>
      </c>
      <c r="D2551">
        <v>22443</v>
      </c>
      <c r="E2551" t="s">
        <v>14</v>
      </c>
      <c r="F2551" t="s">
        <v>15</v>
      </c>
      <c r="G2551" t="s">
        <v>34</v>
      </c>
      <c r="H2551" t="s">
        <v>64</v>
      </c>
      <c r="I2551" t="s">
        <v>66</v>
      </c>
      <c r="J2551" t="s">
        <v>20</v>
      </c>
      <c r="K2551" t="s">
        <v>11</v>
      </c>
      <c r="L2551" t="s">
        <v>12</v>
      </c>
      <c r="M2551" t="s">
        <v>54</v>
      </c>
      <c r="N2551" t="s">
        <v>16</v>
      </c>
      <c r="O2551" t="s">
        <v>18</v>
      </c>
      <c r="P2551">
        <v>3</v>
      </c>
    </row>
    <row r="2552" spans="1:16" x14ac:dyDescent="0.3">
      <c r="A2552">
        <v>3098</v>
      </c>
      <c r="B2552">
        <v>44426</v>
      </c>
      <c r="C2552">
        <v>77</v>
      </c>
      <c r="D2552">
        <v>16232</v>
      </c>
      <c r="E2552" t="s">
        <v>14</v>
      </c>
      <c r="F2552" t="s">
        <v>22</v>
      </c>
      <c r="G2552" t="s">
        <v>17</v>
      </c>
      <c r="H2552" t="s">
        <v>64</v>
      </c>
      <c r="I2552" t="s">
        <v>9</v>
      </c>
      <c r="J2552" t="s">
        <v>25</v>
      </c>
      <c r="K2552" t="s">
        <v>19</v>
      </c>
      <c r="L2552" t="s">
        <v>12</v>
      </c>
      <c r="M2552" t="s">
        <v>55</v>
      </c>
      <c r="N2552" t="s">
        <v>37</v>
      </c>
      <c r="O2552" t="s">
        <v>18</v>
      </c>
      <c r="P2552">
        <v>5</v>
      </c>
    </row>
    <row r="2553" spans="1:16" x14ac:dyDescent="0.3">
      <c r="A2553">
        <v>3099</v>
      </c>
      <c r="B2553">
        <v>44912</v>
      </c>
      <c r="C2553">
        <v>57</v>
      </c>
      <c r="D2553">
        <v>23987</v>
      </c>
      <c r="E2553" t="s">
        <v>14</v>
      </c>
      <c r="F2553" t="s">
        <v>22</v>
      </c>
      <c r="G2553" t="s">
        <v>40</v>
      </c>
      <c r="H2553" t="s">
        <v>8</v>
      </c>
      <c r="I2553" t="s">
        <v>9</v>
      </c>
      <c r="J2553" t="s">
        <v>25</v>
      </c>
      <c r="K2553" t="s">
        <v>19</v>
      </c>
      <c r="L2553" t="s">
        <v>12</v>
      </c>
      <c r="M2553" t="s">
        <v>55</v>
      </c>
      <c r="N2553" t="s">
        <v>37</v>
      </c>
      <c r="O2553" t="s">
        <v>41</v>
      </c>
      <c r="P2553">
        <v>4</v>
      </c>
    </row>
    <row r="2554" spans="1:16" x14ac:dyDescent="0.3">
      <c r="A2554">
        <v>3100</v>
      </c>
      <c r="B2554">
        <v>44129</v>
      </c>
      <c r="C2554">
        <v>70</v>
      </c>
      <c r="D2554">
        <v>18422</v>
      </c>
      <c r="E2554" t="s">
        <v>14</v>
      </c>
      <c r="F2554" t="s">
        <v>15</v>
      </c>
      <c r="G2554" t="s">
        <v>31</v>
      </c>
      <c r="H2554" t="s">
        <v>8</v>
      </c>
      <c r="I2554" t="s">
        <v>9</v>
      </c>
      <c r="J2554" t="s">
        <v>10</v>
      </c>
      <c r="K2554" t="s">
        <v>26</v>
      </c>
      <c r="L2554" t="s">
        <v>12</v>
      </c>
      <c r="M2554" t="s">
        <v>32</v>
      </c>
      <c r="N2554" t="s">
        <v>16</v>
      </c>
      <c r="O2554" t="s">
        <v>18</v>
      </c>
      <c r="P2554">
        <v>5</v>
      </c>
    </row>
    <row r="2555" spans="1:16" x14ac:dyDescent="0.3">
      <c r="A2555">
        <v>3101</v>
      </c>
      <c r="B2555">
        <v>44949</v>
      </c>
      <c r="C2555">
        <v>62</v>
      </c>
      <c r="D2555">
        <v>22349</v>
      </c>
      <c r="E2555" t="s">
        <v>14</v>
      </c>
      <c r="F2555" t="s">
        <v>15</v>
      </c>
      <c r="G2555" t="s">
        <v>31</v>
      </c>
      <c r="H2555" t="s">
        <v>8</v>
      </c>
      <c r="I2555" t="s">
        <v>9</v>
      </c>
      <c r="J2555" t="s">
        <v>25</v>
      </c>
      <c r="K2555" t="s">
        <v>26</v>
      </c>
      <c r="L2555" t="s">
        <v>12</v>
      </c>
      <c r="M2555" t="s">
        <v>32</v>
      </c>
      <c r="N2555" t="s">
        <v>46</v>
      </c>
      <c r="O2555" t="s">
        <v>18</v>
      </c>
      <c r="P2555">
        <v>4</v>
      </c>
    </row>
    <row r="2556" spans="1:16" x14ac:dyDescent="0.3">
      <c r="A2556">
        <v>3104</v>
      </c>
      <c r="B2556">
        <v>44710</v>
      </c>
      <c r="C2556">
        <v>78</v>
      </c>
      <c r="D2556">
        <v>16085</v>
      </c>
      <c r="E2556" t="s">
        <v>14</v>
      </c>
      <c r="F2556" t="s">
        <v>15</v>
      </c>
      <c r="G2556" t="s">
        <v>34</v>
      </c>
      <c r="H2556" t="s">
        <v>8</v>
      </c>
      <c r="I2556" t="s">
        <v>9</v>
      </c>
      <c r="J2556" t="s">
        <v>10</v>
      </c>
      <c r="K2556" t="s">
        <v>11</v>
      </c>
      <c r="L2556" t="s">
        <v>12</v>
      </c>
      <c r="M2556" t="s">
        <v>32</v>
      </c>
      <c r="N2556" t="s">
        <v>37</v>
      </c>
      <c r="O2556" t="s">
        <v>18</v>
      </c>
      <c r="P2556">
        <v>2</v>
      </c>
    </row>
    <row r="2557" spans="1:16" x14ac:dyDescent="0.3">
      <c r="A2557">
        <v>3105</v>
      </c>
      <c r="B2557">
        <v>43989</v>
      </c>
      <c r="C2557">
        <v>77</v>
      </c>
      <c r="D2557">
        <v>15838</v>
      </c>
      <c r="E2557" t="s">
        <v>14</v>
      </c>
      <c r="F2557" t="s">
        <v>22</v>
      </c>
      <c r="G2557" t="s">
        <v>34</v>
      </c>
      <c r="H2557" t="s">
        <v>8</v>
      </c>
      <c r="I2557" t="s">
        <v>9</v>
      </c>
      <c r="J2557" t="s">
        <v>25</v>
      </c>
      <c r="K2557" t="s">
        <v>26</v>
      </c>
      <c r="L2557" t="s">
        <v>12</v>
      </c>
      <c r="M2557" t="s">
        <v>55</v>
      </c>
      <c r="N2557" t="s">
        <v>37</v>
      </c>
      <c r="O2557" t="s">
        <v>18</v>
      </c>
      <c r="P2557">
        <v>1</v>
      </c>
    </row>
    <row r="2558" spans="1:16" x14ac:dyDescent="0.3">
      <c r="A2558">
        <v>3106</v>
      </c>
      <c r="B2558">
        <v>43911</v>
      </c>
      <c r="C2558">
        <v>20</v>
      </c>
      <c r="D2558">
        <v>36615</v>
      </c>
      <c r="E2558" t="s">
        <v>14</v>
      </c>
      <c r="F2558" t="s">
        <v>22</v>
      </c>
      <c r="G2558" t="s">
        <v>40</v>
      </c>
      <c r="H2558" t="s">
        <v>8</v>
      </c>
      <c r="I2558" t="s">
        <v>9</v>
      </c>
      <c r="J2558" t="s">
        <v>20</v>
      </c>
      <c r="K2558" t="s">
        <v>19</v>
      </c>
      <c r="L2558" t="s">
        <v>12</v>
      </c>
      <c r="M2558" t="s">
        <v>35</v>
      </c>
      <c r="N2558" t="s">
        <v>23</v>
      </c>
      <c r="O2558" t="s">
        <v>18</v>
      </c>
      <c r="P2558">
        <v>1</v>
      </c>
    </row>
    <row r="2559" spans="1:16" x14ac:dyDescent="0.3">
      <c r="A2559">
        <v>3107</v>
      </c>
      <c r="B2559">
        <v>44368</v>
      </c>
      <c r="C2559">
        <v>50</v>
      </c>
      <c r="D2559">
        <v>26293</v>
      </c>
      <c r="E2559" t="s">
        <v>14</v>
      </c>
      <c r="F2559" t="s">
        <v>15</v>
      </c>
      <c r="G2559" t="s">
        <v>17</v>
      </c>
      <c r="H2559" t="s">
        <v>8</v>
      </c>
      <c r="I2559" t="s">
        <v>9</v>
      </c>
      <c r="J2559" t="s">
        <v>25</v>
      </c>
      <c r="K2559" t="s">
        <v>19</v>
      </c>
      <c r="L2559" t="s">
        <v>12</v>
      </c>
      <c r="M2559" t="s">
        <v>59</v>
      </c>
      <c r="N2559" t="s">
        <v>37</v>
      </c>
      <c r="O2559" t="s">
        <v>18</v>
      </c>
      <c r="P2559">
        <v>1</v>
      </c>
    </row>
    <row r="2560" spans="1:16" x14ac:dyDescent="0.3">
      <c r="A2560">
        <v>3108</v>
      </c>
      <c r="B2560">
        <v>44491</v>
      </c>
      <c r="C2560">
        <v>76</v>
      </c>
      <c r="D2560">
        <v>16623</v>
      </c>
      <c r="E2560" t="s">
        <v>14</v>
      </c>
      <c r="F2560" t="s">
        <v>15</v>
      </c>
      <c r="G2560" t="s">
        <v>34</v>
      </c>
      <c r="H2560" t="s">
        <v>8</v>
      </c>
      <c r="I2560" t="s">
        <v>9</v>
      </c>
      <c r="J2560" t="s">
        <v>25</v>
      </c>
      <c r="K2560" t="s">
        <v>26</v>
      </c>
      <c r="L2560" t="s">
        <v>12</v>
      </c>
      <c r="M2560" t="s">
        <v>32</v>
      </c>
      <c r="N2560" t="s">
        <v>23</v>
      </c>
      <c r="O2560" t="s">
        <v>18</v>
      </c>
      <c r="P2560">
        <v>4</v>
      </c>
    </row>
    <row r="2561" spans="1:16" x14ac:dyDescent="0.3">
      <c r="A2561">
        <v>3109</v>
      </c>
      <c r="B2561">
        <v>43393</v>
      </c>
      <c r="C2561">
        <v>19</v>
      </c>
      <c r="D2561">
        <v>36275</v>
      </c>
      <c r="E2561" t="s">
        <v>14</v>
      </c>
      <c r="F2561" t="s">
        <v>15</v>
      </c>
      <c r="G2561" t="s">
        <v>34</v>
      </c>
      <c r="H2561" t="s">
        <v>8</v>
      </c>
      <c r="I2561" t="s">
        <v>9</v>
      </c>
      <c r="J2561" t="s">
        <v>25</v>
      </c>
      <c r="K2561" t="s">
        <v>19</v>
      </c>
      <c r="L2561" t="s">
        <v>12</v>
      </c>
      <c r="M2561" t="s">
        <v>55</v>
      </c>
      <c r="N2561" t="s">
        <v>16</v>
      </c>
      <c r="O2561" t="s">
        <v>65</v>
      </c>
      <c r="P2561">
        <v>2</v>
      </c>
    </row>
    <row r="2562" spans="1:16" x14ac:dyDescent="0.3">
      <c r="A2562">
        <v>3110</v>
      </c>
      <c r="B2562">
        <v>44636</v>
      </c>
      <c r="C2562">
        <v>66</v>
      </c>
      <c r="D2562">
        <v>20496</v>
      </c>
      <c r="E2562" t="s">
        <v>14</v>
      </c>
      <c r="F2562" t="s">
        <v>15</v>
      </c>
      <c r="G2562" t="s">
        <v>31</v>
      </c>
      <c r="H2562" t="s">
        <v>8</v>
      </c>
      <c r="I2562" t="s">
        <v>9</v>
      </c>
      <c r="J2562" t="s">
        <v>10</v>
      </c>
      <c r="K2562" t="s">
        <v>11</v>
      </c>
      <c r="L2562" t="s">
        <v>12</v>
      </c>
      <c r="M2562" t="s">
        <v>59</v>
      </c>
      <c r="N2562" t="s">
        <v>23</v>
      </c>
      <c r="O2562" t="s">
        <v>18</v>
      </c>
      <c r="P2562">
        <v>2</v>
      </c>
    </row>
    <row r="2563" spans="1:16" x14ac:dyDescent="0.3">
      <c r="A2563">
        <v>3111</v>
      </c>
      <c r="B2563">
        <v>43447</v>
      </c>
      <c r="C2563">
        <v>60</v>
      </c>
      <c r="D2563">
        <v>21312</v>
      </c>
      <c r="E2563" t="s">
        <v>14</v>
      </c>
      <c r="F2563" t="s">
        <v>15</v>
      </c>
      <c r="G2563" t="s">
        <v>40</v>
      </c>
      <c r="H2563" t="s">
        <v>8</v>
      </c>
      <c r="I2563" t="s">
        <v>9</v>
      </c>
      <c r="J2563" t="s">
        <v>20</v>
      </c>
      <c r="K2563" t="s">
        <v>26</v>
      </c>
      <c r="L2563" t="s">
        <v>12</v>
      </c>
      <c r="M2563" t="s">
        <v>35</v>
      </c>
      <c r="N2563" t="s">
        <v>30</v>
      </c>
      <c r="O2563" t="s">
        <v>18</v>
      </c>
      <c r="P2563">
        <v>5</v>
      </c>
    </row>
    <row r="2564" spans="1:16" x14ac:dyDescent="0.3">
      <c r="A2564">
        <v>3112</v>
      </c>
      <c r="B2564">
        <v>44477</v>
      </c>
      <c r="C2564">
        <v>75</v>
      </c>
      <c r="D2564">
        <v>17121</v>
      </c>
      <c r="E2564" t="s">
        <v>14</v>
      </c>
      <c r="F2564" t="s">
        <v>22</v>
      </c>
      <c r="G2564" t="s">
        <v>31</v>
      </c>
      <c r="H2564" t="s">
        <v>8</v>
      </c>
      <c r="I2564" t="s">
        <v>66</v>
      </c>
      <c r="J2564" t="s">
        <v>20</v>
      </c>
      <c r="K2564" t="s">
        <v>26</v>
      </c>
      <c r="L2564" t="s">
        <v>12</v>
      </c>
      <c r="M2564" t="s">
        <v>58</v>
      </c>
      <c r="N2564" t="s">
        <v>46</v>
      </c>
      <c r="O2564" t="s">
        <v>18</v>
      </c>
      <c r="P2564">
        <v>2</v>
      </c>
    </row>
    <row r="2565" spans="1:16" x14ac:dyDescent="0.3">
      <c r="A2565">
        <v>3113</v>
      </c>
      <c r="B2565">
        <v>43499</v>
      </c>
      <c r="C2565">
        <v>38</v>
      </c>
      <c r="D2565">
        <v>29769</v>
      </c>
      <c r="E2565" t="s">
        <v>14</v>
      </c>
      <c r="F2565" t="s">
        <v>15</v>
      </c>
      <c r="G2565" t="s">
        <v>40</v>
      </c>
      <c r="H2565" t="s">
        <v>64</v>
      </c>
      <c r="I2565" t="s">
        <v>9</v>
      </c>
      <c r="J2565" t="s">
        <v>10</v>
      </c>
      <c r="K2565" t="s">
        <v>11</v>
      </c>
      <c r="L2565" t="s">
        <v>12</v>
      </c>
      <c r="M2565" t="s">
        <v>54</v>
      </c>
      <c r="N2565" t="s">
        <v>16</v>
      </c>
      <c r="O2565" t="s">
        <v>18</v>
      </c>
      <c r="P2565">
        <v>2</v>
      </c>
    </row>
    <row r="2566" spans="1:16" x14ac:dyDescent="0.3">
      <c r="A2566">
        <v>3114</v>
      </c>
      <c r="B2566">
        <v>43373</v>
      </c>
      <c r="C2566">
        <v>61</v>
      </c>
      <c r="D2566">
        <v>21007</v>
      </c>
      <c r="E2566" t="s">
        <v>14</v>
      </c>
      <c r="F2566" t="s">
        <v>15</v>
      </c>
      <c r="G2566" t="s">
        <v>40</v>
      </c>
      <c r="H2566" t="s">
        <v>64</v>
      </c>
      <c r="I2566" t="s">
        <v>9</v>
      </c>
      <c r="J2566" t="s">
        <v>10</v>
      </c>
      <c r="K2566" t="s">
        <v>11</v>
      </c>
      <c r="L2566" t="s">
        <v>12</v>
      </c>
      <c r="M2566" t="s">
        <v>92</v>
      </c>
      <c r="N2566" t="s">
        <v>46</v>
      </c>
      <c r="O2566" t="s">
        <v>18</v>
      </c>
      <c r="P2566">
        <v>2</v>
      </c>
    </row>
    <row r="2567" spans="1:16" x14ac:dyDescent="0.3">
      <c r="A2567">
        <v>3115</v>
      </c>
      <c r="B2567">
        <v>44389</v>
      </c>
      <c r="C2567">
        <v>57</v>
      </c>
      <c r="D2567">
        <v>23377</v>
      </c>
      <c r="E2567" t="s">
        <v>14</v>
      </c>
      <c r="F2567" t="s">
        <v>15</v>
      </c>
      <c r="G2567" t="s">
        <v>40</v>
      </c>
      <c r="H2567" t="s">
        <v>64</v>
      </c>
      <c r="I2567" t="s">
        <v>9</v>
      </c>
      <c r="J2567" t="s">
        <v>10</v>
      </c>
      <c r="K2567" t="s">
        <v>19</v>
      </c>
      <c r="L2567" t="s">
        <v>12</v>
      </c>
      <c r="M2567" t="s">
        <v>54</v>
      </c>
      <c r="N2567" t="s">
        <v>23</v>
      </c>
      <c r="O2567" t="s">
        <v>18</v>
      </c>
      <c r="P2567">
        <v>3</v>
      </c>
    </row>
    <row r="2568" spans="1:16" x14ac:dyDescent="0.3">
      <c r="A2568">
        <v>3116</v>
      </c>
      <c r="B2568">
        <v>44259</v>
      </c>
      <c r="C2568">
        <v>40</v>
      </c>
      <c r="D2568">
        <v>29883</v>
      </c>
      <c r="E2568" t="s">
        <v>14</v>
      </c>
      <c r="F2568" t="s">
        <v>15</v>
      </c>
      <c r="G2568" t="s">
        <v>34</v>
      </c>
      <c r="H2568" t="s">
        <v>64</v>
      </c>
      <c r="I2568" t="s">
        <v>9</v>
      </c>
      <c r="J2568" t="s">
        <v>20</v>
      </c>
      <c r="K2568" t="s">
        <v>26</v>
      </c>
      <c r="L2568" t="s">
        <v>12</v>
      </c>
      <c r="M2568" t="s">
        <v>35</v>
      </c>
      <c r="N2568" t="s">
        <v>23</v>
      </c>
      <c r="O2568" t="s">
        <v>18</v>
      </c>
      <c r="P2568">
        <v>1</v>
      </c>
    </row>
    <row r="2569" spans="1:16" x14ac:dyDescent="0.3">
      <c r="A2569">
        <v>3117</v>
      </c>
      <c r="B2569">
        <v>43765</v>
      </c>
      <c r="C2569">
        <v>78</v>
      </c>
      <c r="D2569">
        <v>15324</v>
      </c>
      <c r="E2569" t="s">
        <v>14</v>
      </c>
      <c r="F2569" t="s">
        <v>15</v>
      </c>
      <c r="G2569" t="s">
        <v>34</v>
      </c>
      <c r="H2569" t="s">
        <v>64</v>
      </c>
      <c r="I2569" t="s">
        <v>9</v>
      </c>
      <c r="J2569" t="s">
        <v>20</v>
      </c>
      <c r="K2569" t="s">
        <v>11</v>
      </c>
      <c r="L2569" t="s">
        <v>12</v>
      </c>
      <c r="M2569" t="s">
        <v>28</v>
      </c>
      <c r="N2569" t="s">
        <v>16</v>
      </c>
      <c r="O2569" t="s">
        <v>18</v>
      </c>
      <c r="P2569">
        <v>3</v>
      </c>
    </row>
    <row r="2570" spans="1:16" x14ac:dyDescent="0.3">
      <c r="A2570">
        <v>3118</v>
      </c>
      <c r="B2570">
        <v>43493</v>
      </c>
      <c r="C2570">
        <v>63</v>
      </c>
      <c r="D2570">
        <v>20803</v>
      </c>
      <c r="E2570" t="s">
        <v>14</v>
      </c>
      <c r="F2570" t="s">
        <v>15</v>
      </c>
      <c r="G2570" t="s">
        <v>40</v>
      </c>
      <c r="H2570" t="s">
        <v>64</v>
      </c>
      <c r="I2570" t="s">
        <v>66</v>
      </c>
      <c r="J2570" t="s">
        <v>20</v>
      </c>
      <c r="K2570" t="s">
        <v>19</v>
      </c>
      <c r="L2570" t="s">
        <v>12</v>
      </c>
      <c r="M2570" t="s">
        <v>60</v>
      </c>
      <c r="N2570" t="s">
        <v>37</v>
      </c>
      <c r="O2570" t="s">
        <v>18</v>
      </c>
      <c r="P2570">
        <v>2</v>
      </c>
    </row>
    <row r="2571" spans="1:16" x14ac:dyDescent="0.3">
      <c r="A2571">
        <v>3119</v>
      </c>
      <c r="B2571">
        <v>44206</v>
      </c>
      <c r="C2571">
        <v>28</v>
      </c>
      <c r="D2571">
        <v>34125</v>
      </c>
      <c r="E2571" t="s">
        <v>14</v>
      </c>
      <c r="F2571" t="s">
        <v>22</v>
      </c>
      <c r="G2571" t="s">
        <v>31</v>
      </c>
      <c r="H2571" t="s">
        <v>8</v>
      </c>
      <c r="I2571" t="s">
        <v>9</v>
      </c>
      <c r="J2571" t="s">
        <v>20</v>
      </c>
      <c r="K2571" t="s">
        <v>11</v>
      </c>
      <c r="L2571" t="s">
        <v>12</v>
      </c>
      <c r="M2571" t="s">
        <v>32</v>
      </c>
      <c r="N2571" t="s">
        <v>30</v>
      </c>
      <c r="O2571" t="s">
        <v>18</v>
      </c>
      <c r="P2571">
        <v>5</v>
      </c>
    </row>
    <row r="2572" spans="1:16" x14ac:dyDescent="0.3">
      <c r="A2572">
        <v>3120</v>
      </c>
      <c r="B2572">
        <v>44413</v>
      </c>
      <c r="C2572">
        <v>75</v>
      </c>
      <c r="D2572">
        <v>16836</v>
      </c>
      <c r="E2572" t="s">
        <v>14</v>
      </c>
      <c r="F2572" t="s">
        <v>15</v>
      </c>
      <c r="G2572" t="s">
        <v>17</v>
      </c>
      <c r="H2572" t="s">
        <v>8</v>
      </c>
      <c r="I2572" t="s">
        <v>9</v>
      </c>
      <c r="J2572" t="s">
        <v>20</v>
      </c>
      <c r="K2572" t="s">
        <v>19</v>
      </c>
      <c r="L2572" t="s">
        <v>12</v>
      </c>
      <c r="M2572" t="s">
        <v>21</v>
      </c>
      <c r="N2572" t="s">
        <v>46</v>
      </c>
      <c r="O2572" t="s">
        <v>18</v>
      </c>
      <c r="P2572">
        <v>5</v>
      </c>
    </row>
    <row r="2573" spans="1:16" x14ac:dyDescent="0.3">
      <c r="A2573">
        <v>3121</v>
      </c>
      <c r="B2573">
        <v>44872</v>
      </c>
      <c r="C2573">
        <v>73</v>
      </c>
      <c r="D2573">
        <v>18188</v>
      </c>
      <c r="E2573" t="s">
        <v>14</v>
      </c>
      <c r="F2573" t="s">
        <v>15</v>
      </c>
      <c r="G2573" t="s">
        <v>31</v>
      </c>
      <c r="H2573" t="s">
        <v>8</v>
      </c>
      <c r="I2573" t="s">
        <v>9</v>
      </c>
      <c r="J2573" t="s">
        <v>20</v>
      </c>
      <c r="K2573" t="s">
        <v>11</v>
      </c>
      <c r="L2573" t="s">
        <v>12</v>
      </c>
      <c r="M2573" t="s">
        <v>54</v>
      </c>
      <c r="N2573" t="s">
        <v>37</v>
      </c>
      <c r="O2573" t="s">
        <v>18</v>
      </c>
      <c r="P2573">
        <v>1</v>
      </c>
    </row>
    <row r="2574" spans="1:16" x14ac:dyDescent="0.3">
      <c r="A2574">
        <v>3123</v>
      </c>
      <c r="B2574">
        <v>44389</v>
      </c>
      <c r="C2574">
        <v>70</v>
      </c>
      <c r="D2574">
        <v>18751</v>
      </c>
      <c r="E2574" t="s">
        <v>14</v>
      </c>
      <c r="F2574" t="s">
        <v>22</v>
      </c>
      <c r="G2574" t="s">
        <v>34</v>
      </c>
      <c r="H2574" t="s">
        <v>8</v>
      </c>
      <c r="I2574" t="s">
        <v>9</v>
      </c>
      <c r="J2574" t="s">
        <v>25</v>
      </c>
      <c r="K2574" t="s">
        <v>11</v>
      </c>
      <c r="L2574" t="s">
        <v>12</v>
      </c>
      <c r="M2574" t="s">
        <v>49</v>
      </c>
      <c r="N2574" t="s">
        <v>23</v>
      </c>
      <c r="O2574" t="s">
        <v>18</v>
      </c>
      <c r="P2574">
        <v>2</v>
      </c>
    </row>
    <row r="2575" spans="1:16" x14ac:dyDescent="0.3">
      <c r="A2575">
        <v>3126</v>
      </c>
      <c r="B2575">
        <v>44678</v>
      </c>
      <c r="C2575">
        <v>44</v>
      </c>
      <c r="D2575">
        <v>28673</v>
      </c>
      <c r="E2575" t="s">
        <v>14</v>
      </c>
      <c r="F2575" t="s">
        <v>22</v>
      </c>
      <c r="G2575" t="s">
        <v>40</v>
      </c>
      <c r="H2575" t="s">
        <v>8</v>
      </c>
      <c r="I2575" t="s">
        <v>9</v>
      </c>
      <c r="J2575" t="s">
        <v>10</v>
      </c>
      <c r="K2575" t="s">
        <v>11</v>
      </c>
      <c r="L2575" t="s">
        <v>12</v>
      </c>
      <c r="M2575" t="s">
        <v>54</v>
      </c>
      <c r="N2575" t="s">
        <v>37</v>
      </c>
      <c r="O2575" t="s">
        <v>18</v>
      </c>
      <c r="P2575">
        <v>5</v>
      </c>
    </row>
    <row r="2576" spans="1:16" x14ac:dyDescent="0.3">
      <c r="A2576">
        <v>3127</v>
      </c>
      <c r="B2576">
        <v>44726</v>
      </c>
      <c r="C2576">
        <v>31</v>
      </c>
      <c r="D2576">
        <v>33537</v>
      </c>
      <c r="E2576" t="s">
        <v>14</v>
      </c>
      <c r="F2576" t="s">
        <v>22</v>
      </c>
      <c r="G2576" t="s">
        <v>34</v>
      </c>
      <c r="H2576" t="s">
        <v>8</v>
      </c>
      <c r="I2576" t="s">
        <v>9</v>
      </c>
      <c r="J2576" t="s">
        <v>20</v>
      </c>
      <c r="K2576" t="s">
        <v>19</v>
      </c>
      <c r="L2576" t="s">
        <v>12</v>
      </c>
      <c r="M2576" t="s">
        <v>54</v>
      </c>
      <c r="N2576" t="s">
        <v>16</v>
      </c>
      <c r="O2576" t="s">
        <v>18</v>
      </c>
      <c r="P2576">
        <v>5</v>
      </c>
    </row>
    <row r="2577" spans="1:16" x14ac:dyDescent="0.3">
      <c r="A2577">
        <v>3128</v>
      </c>
      <c r="B2577">
        <v>43478</v>
      </c>
      <c r="C2577">
        <v>45</v>
      </c>
      <c r="D2577">
        <v>27134</v>
      </c>
      <c r="E2577" t="s">
        <v>14</v>
      </c>
      <c r="F2577" t="s">
        <v>15</v>
      </c>
      <c r="G2577" t="s">
        <v>17</v>
      </c>
      <c r="H2577" t="s">
        <v>8</v>
      </c>
      <c r="I2577" t="s">
        <v>9</v>
      </c>
      <c r="J2577" t="s">
        <v>20</v>
      </c>
      <c r="K2577" t="s">
        <v>19</v>
      </c>
      <c r="L2577" t="s">
        <v>12</v>
      </c>
      <c r="M2577" t="s">
        <v>35</v>
      </c>
      <c r="N2577" t="s">
        <v>37</v>
      </c>
      <c r="O2577" t="s">
        <v>18</v>
      </c>
      <c r="P2577">
        <v>5</v>
      </c>
    </row>
    <row r="2578" spans="1:16" x14ac:dyDescent="0.3">
      <c r="A2578">
        <v>3129</v>
      </c>
      <c r="B2578">
        <v>43637</v>
      </c>
      <c r="C2578">
        <v>34</v>
      </c>
      <c r="D2578">
        <v>31239</v>
      </c>
      <c r="E2578" t="s">
        <v>14</v>
      </c>
      <c r="F2578" t="s">
        <v>15</v>
      </c>
      <c r="G2578" t="s">
        <v>17</v>
      </c>
      <c r="H2578" t="s">
        <v>8</v>
      </c>
      <c r="I2578" t="s">
        <v>9</v>
      </c>
      <c r="J2578" t="s">
        <v>25</v>
      </c>
      <c r="K2578" t="s">
        <v>19</v>
      </c>
      <c r="L2578" t="s">
        <v>12</v>
      </c>
      <c r="M2578" t="s">
        <v>69</v>
      </c>
      <c r="N2578" t="s">
        <v>37</v>
      </c>
      <c r="O2578" t="s">
        <v>18</v>
      </c>
      <c r="P2578">
        <v>2</v>
      </c>
    </row>
    <row r="2579" spans="1:16" x14ac:dyDescent="0.3">
      <c r="A2579">
        <v>3130</v>
      </c>
      <c r="B2579">
        <v>44053</v>
      </c>
      <c r="C2579">
        <v>39</v>
      </c>
      <c r="D2579">
        <v>29715</v>
      </c>
      <c r="E2579" t="s">
        <v>14</v>
      </c>
      <c r="F2579" t="s">
        <v>15</v>
      </c>
      <c r="G2579" t="s">
        <v>17</v>
      </c>
      <c r="H2579" t="s">
        <v>8</v>
      </c>
      <c r="I2579" t="s">
        <v>9</v>
      </c>
      <c r="J2579" t="s">
        <v>20</v>
      </c>
      <c r="K2579" t="s">
        <v>19</v>
      </c>
      <c r="L2579" t="s">
        <v>12</v>
      </c>
      <c r="M2579" t="s">
        <v>59</v>
      </c>
      <c r="N2579" t="s">
        <v>37</v>
      </c>
      <c r="O2579" t="s">
        <v>18</v>
      </c>
      <c r="P2579">
        <v>3</v>
      </c>
    </row>
    <row r="2580" spans="1:16" x14ac:dyDescent="0.3">
      <c r="A2580">
        <v>3131</v>
      </c>
      <c r="B2580">
        <v>44299</v>
      </c>
      <c r="C2580">
        <v>67</v>
      </c>
      <c r="D2580">
        <v>19752</v>
      </c>
      <c r="E2580" t="s">
        <v>14</v>
      </c>
      <c r="F2580" t="s">
        <v>15</v>
      </c>
      <c r="G2580" t="s">
        <v>31</v>
      </c>
      <c r="H2580" t="s">
        <v>8</v>
      </c>
      <c r="I2580" t="s">
        <v>9</v>
      </c>
      <c r="J2580" t="s">
        <v>10</v>
      </c>
      <c r="K2580" t="s">
        <v>11</v>
      </c>
      <c r="L2580" t="s">
        <v>12</v>
      </c>
      <c r="M2580" t="s">
        <v>59</v>
      </c>
      <c r="N2580" t="s">
        <v>23</v>
      </c>
      <c r="O2580" t="s">
        <v>18</v>
      </c>
      <c r="P2580">
        <v>2</v>
      </c>
    </row>
    <row r="2581" spans="1:16" x14ac:dyDescent="0.3">
      <c r="A2581">
        <v>3132</v>
      </c>
      <c r="B2581">
        <v>43948</v>
      </c>
      <c r="C2581">
        <v>41</v>
      </c>
      <c r="D2581">
        <v>29118</v>
      </c>
      <c r="E2581" t="s">
        <v>14</v>
      </c>
      <c r="F2581" t="s">
        <v>15</v>
      </c>
      <c r="G2581" t="s">
        <v>40</v>
      </c>
      <c r="H2581" t="s">
        <v>8</v>
      </c>
      <c r="I2581" t="s">
        <v>9</v>
      </c>
      <c r="J2581" t="s">
        <v>25</v>
      </c>
      <c r="K2581" t="s">
        <v>19</v>
      </c>
      <c r="L2581" t="s">
        <v>12</v>
      </c>
      <c r="M2581" t="s">
        <v>35</v>
      </c>
      <c r="N2581" t="s">
        <v>46</v>
      </c>
      <c r="O2581" t="s">
        <v>18</v>
      </c>
      <c r="P2581">
        <v>2</v>
      </c>
    </row>
    <row r="2582" spans="1:16" x14ac:dyDescent="0.3">
      <c r="A2582">
        <v>3133</v>
      </c>
      <c r="B2582">
        <v>44617</v>
      </c>
      <c r="C2582">
        <v>64</v>
      </c>
      <c r="D2582">
        <v>21481</v>
      </c>
      <c r="E2582" t="s">
        <v>14</v>
      </c>
      <c r="F2582" t="s">
        <v>22</v>
      </c>
      <c r="G2582" t="s">
        <v>34</v>
      </c>
      <c r="H2582" t="s">
        <v>8</v>
      </c>
      <c r="I2582" t="s">
        <v>66</v>
      </c>
      <c r="J2582" t="s">
        <v>10</v>
      </c>
      <c r="K2582" t="s">
        <v>11</v>
      </c>
      <c r="L2582" t="s">
        <v>12</v>
      </c>
      <c r="M2582" t="s">
        <v>54</v>
      </c>
      <c r="N2582" t="s">
        <v>16</v>
      </c>
      <c r="O2582" t="s">
        <v>18</v>
      </c>
      <c r="P2582">
        <v>5</v>
      </c>
    </row>
    <row r="2583" spans="1:16" x14ac:dyDescent="0.3">
      <c r="A2583">
        <v>3134</v>
      </c>
      <c r="B2583">
        <v>43440</v>
      </c>
      <c r="C2583">
        <v>71</v>
      </c>
      <c r="D2583">
        <v>17272</v>
      </c>
      <c r="E2583" t="s">
        <v>14</v>
      </c>
      <c r="F2583" t="s">
        <v>15</v>
      </c>
      <c r="G2583" t="s">
        <v>34</v>
      </c>
      <c r="H2583" t="s">
        <v>64</v>
      </c>
      <c r="I2583" t="s">
        <v>9</v>
      </c>
      <c r="J2583" t="s">
        <v>20</v>
      </c>
      <c r="K2583" t="s">
        <v>11</v>
      </c>
      <c r="L2583" t="s">
        <v>12</v>
      </c>
      <c r="M2583" t="s">
        <v>55</v>
      </c>
      <c r="N2583" t="s">
        <v>23</v>
      </c>
      <c r="O2583" t="s">
        <v>41</v>
      </c>
      <c r="P2583">
        <v>2</v>
      </c>
    </row>
    <row r="2584" spans="1:16" x14ac:dyDescent="0.3">
      <c r="A2584">
        <v>3135</v>
      </c>
      <c r="B2584">
        <v>43902</v>
      </c>
      <c r="C2584">
        <v>27</v>
      </c>
      <c r="D2584">
        <v>34084</v>
      </c>
      <c r="E2584" t="s">
        <v>14</v>
      </c>
      <c r="F2584" t="s">
        <v>15</v>
      </c>
      <c r="G2584" t="s">
        <v>31</v>
      </c>
      <c r="H2584" t="s">
        <v>64</v>
      </c>
      <c r="I2584" t="s">
        <v>9</v>
      </c>
      <c r="J2584" t="s">
        <v>20</v>
      </c>
      <c r="K2584" t="s">
        <v>19</v>
      </c>
      <c r="L2584" t="s">
        <v>12</v>
      </c>
      <c r="M2584" t="s">
        <v>54</v>
      </c>
      <c r="N2584" t="s">
        <v>16</v>
      </c>
      <c r="O2584" t="s">
        <v>18</v>
      </c>
      <c r="P2584">
        <v>2</v>
      </c>
    </row>
    <row r="2585" spans="1:16" x14ac:dyDescent="0.3">
      <c r="A2585">
        <v>3136</v>
      </c>
      <c r="B2585">
        <v>44881</v>
      </c>
      <c r="C2585">
        <v>25</v>
      </c>
      <c r="D2585">
        <v>35567</v>
      </c>
      <c r="E2585" t="s">
        <v>14</v>
      </c>
      <c r="F2585" t="s">
        <v>15</v>
      </c>
      <c r="G2585" t="s">
        <v>34</v>
      </c>
      <c r="H2585" t="s">
        <v>64</v>
      </c>
      <c r="I2585" t="s">
        <v>9</v>
      </c>
      <c r="J2585" t="s">
        <v>25</v>
      </c>
      <c r="K2585" t="s">
        <v>26</v>
      </c>
      <c r="L2585" t="s">
        <v>12</v>
      </c>
      <c r="M2585" t="s">
        <v>54</v>
      </c>
      <c r="N2585" t="s">
        <v>23</v>
      </c>
      <c r="O2585" t="s">
        <v>18</v>
      </c>
      <c r="P2585">
        <v>3</v>
      </c>
    </row>
    <row r="2586" spans="1:16" x14ac:dyDescent="0.3">
      <c r="A2586">
        <v>3137</v>
      </c>
      <c r="B2586">
        <v>43443</v>
      </c>
      <c r="C2586">
        <v>23</v>
      </c>
      <c r="D2586">
        <v>34853</v>
      </c>
      <c r="E2586" t="s">
        <v>14</v>
      </c>
      <c r="F2586" t="s">
        <v>15</v>
      </c>
      <c r="G2586" t="s">
        <v>31</v>
      </c>
      <c r="H2586" t="s">
        <v>64</v>
      </c>
      <c r="I2586" t="s">
        <v>66</v>
      </c>
      <c r="J2586" t="s">
        <v>10</v>
      </c>
      <c r="K2586" t="s">
        <v>26</v>
      </c>
      <c r="L2586" t="s">
        <v>12</v>
      </c>
      <c r="M2586" t="s">
        <v>35</v>
      </c>
      <c r="N2586" t="s">
        <v>30</v>
      </c>
      <c r="O2586" t="s">
        <v>18</v>
      </c>
      <c r="P2586">
        <v>2</v>
      </c>
    </row>
    <row r="2587" spans="1:16" x14ac:dyDescent="0.3">
      <c r="A2587">
        <v>3138</v>
      </c>
      <c r="B2587">
        <v>44920</v>
      </c>
      <c r="C2587">
        <v>35</v>
      </c>
      <c r="D2587">
        <v>31874</v>
      </c>
      <c r="E2587" t="s">
        <v>14</v>
      </c>
      <c r="F2587" t="s">
        <v>15</v>
      </c>
      <c r="G2587" t="s">
        <v>31</v>
      </c>
      <c r="H2587" t="s">
        <v>64</v>
      </c>
      <c r="I2587" t="s">
        <v>66</v>
      </c>
      <c r="J2587" t="s">
        <v>10</v>
      </c>
      <c r="K2587" t="s">
        <v>19</v>
      </c>
      <c r="L2587" t="s">
        <v>12</v>
      </c>
      <c r="M2587" t="s">
        <v>35</v>
      </c>
      <c r="N2587" t="s">
        <v>37</v>
      </c>
      <c r="O2587" t="s">
        <v>18</v>
      </c>
      <c r="P2587">
        <v>3</v>
      </c>
    </row>
    <row r="2588" spans="1:16" x14ac:dyDescent="0.3">
      <c r="A2588">
        <v>3139</v>
      </c>
      <c r="B2588">
        <v>44519</v>
      </c>
      <c r="C2588">
        <v>50</v>
      </c>
      <c r="D2588">
        <v>26156</v>
      </c>
      <c r="E2588" t="s">
        <v>14</v>
      </c>
      <c r="F2588" t="s">
        <v>15</v>
      </c>
      <c r="G2588" t="s">
        <v>31</v>
      </c>
      <c r="H2588" t="s">
        <v>64</v>
      </c>
      <c r="I2588" t="s">
        <v>9</v>
      </c>
      <c r="J2588" t="s">
        <v>20</v>
      </c>
      <c r="K2588" t="s">
        <v>19</v>
      </c>
      <c r="L2588" t="s">
        <v>12</v>
      </c>
      <c r="M2588" t="s">
        <v>35</v>
      </c>
      <c r="N2588" t="s">
        <v>46</v>
      </c>
      <c r="O2588" t="s">
        <v>18</v>
      </c>
      <c r="P2588">
        <v>2</v>
      </c>
    </row>
    <row r="2589" spans="1:16" x14ac:dyDescent="0.3">
      <c r="A2589">
        <v>3140</v>
      </c>
      <c r="B2589">
        <v>44621</v>
      </c>
      <c r="C2589">
        <v>32</v>
      </c>
      <c r="D2589">
        <v>32965</v>
      </c>
      <c r="E2589" t="s">
        <v>14</v>
      </c>
      <c r="F2589" t="s">
        <v>22</v>
      </c>
      <c r="G2589" t="s">
        <v>17</v>
      </c>
      <c r="H2589" t="s">
        <v>8</v>
      </c>
      <c r="I2589" t="s">
        <v>9</v>
      </c>
      <c r="J2589" t="s">
        <v>10</v>
      </c>
      <c r="K2589" t="s">
        <v>11</v>
      </c>
      <c r="L2589" t="s">
        <v>12</v>
      </c>
      <c r="M2589" t="s">
        <v>60</v>
      </c>
      <c r="N2589" t="s">
        <v>23</v>
      </c>
      <c r="O2589" t="s">
        <v>18</v>
      </c>
      <c r="P2589">
        <v>1</v>
      </c>
    </row>
    <row r="2590" spans="1:16" x14ac:dyDescent="0.3">
      <c r="A2590">
        <v>3141</v>
      </c>
      <c r="B2590">
        <v>44272</v>
      </c>
      <c r="C2590">
        <v>51</v>
      </c>
      <c r="D2590">
        <v>25759</v>
      </c>
      <c r="E2590" t="s">
        <v>14</v>
      </c>
      <c r="F2590" t="s">
        <v>22</v>
      </c>
      <c r="G2590" t="s">
        <v>34</v>
      </c>
      <c r="H2590" t="s">
        <v>8</v>
      </c>
      <c r="I2590" t="s">
        <v>9</v>
      </c>
      <c r="J2590" t="s">
        <v>25</v>
      </c>
      <c r="K2590" t="s">
        <v>26</v>
      </c>
      <c r="L2590" t="s">
        <v>12</v>
      </c>
      <c r="M2590" t="s">
        <v>35</v>
      </c>
      <c r="N2590" t="s">
        <v>37</v>
      </c>
      <c r="O2590" t="s">
        <v>41</v>
      </c>
      <c r="P2590">
        <v>1</v>
      </c>
    </row>
    <row r="2591" spans="1:16" x14ac:dyDescent="0.3">
      <c r="A2591">
        <v>3142</v>
      </c>
      <c r="B2591">
        <v>44237</v>
      </c>
      <c r="C2591">
        <v>72</v>
      </c>
      <c r="D2591">
        <v>18099</v>
      </c>
      <c r="E2591" t="s">
        <v>14</v>
      </c>
      <c r="F2591" t="s">
        <v>15</v>
      </c>
      <c r="G2591" t="s">
        <v>31</v>
      </c>
      <c r="H2591" t="s">
        <v>8</v>
      </c>
      <c r="I2591" t="s">
        <v>9</v>
      </c>
      <c r="J2591" t="s">
        <v>25</v>
      </c>
      <c r="K2591" t="s">
        <v>26</v>
      </c>
      <c r="L2591" t="s">
        <v>12</v>
      </c>
      <c r="M2591" t="s">
        <v>32</v>
      </c>
      <c r="N2591" t="s">
        <v>16</v>
      </c>
      <c r="O2591" t="s">
        <v>18</v>
      </c>
      <c r="P2591">
        <v>5</v>
      </c>
    </row>
    <row r="2592" spans="1:16" x14ac:dyDescent="0.3">
      <c r="A2592">
        <v>3143</v>
      </c>
      <c r="B2592">
        <v>43371</v>
      </c>
      <c r="C2592">
        <v>71</v>
      </c>
      <c r="D2592">
        <v>17343</v>
      </c>
      <c r="E2592" t="s">
        <v>14</v>
      </c>
      <c r="F2592" t="s">
        <v>15</v>
      </c>
      <c r="G2592" t="s">
        <v>17</v>
      </c>
      <c r="H2592" t="s">
        <v>8</v>
      </c>
      <c r="I2592" t="s">
        <v>9</v>
      </c>
      <c r="J2592" t="s">
        <v>25</v>
      </c>
      <c r="K2592" t="s">
        <v>19</v>
      </c>
      <c r="L2592" t="s">
        <v>12</v>
      </c>
      <c r="M2592" t="s">
        <v>21</v>
      </c>
      <c r="N2592" t="s">
        <v>37</v>
      </c>
      <c r="O2592" t="s">
        <v>18</v>
      </c>
      <c r="P2592">
        <v>4</v>
      </c>
    </row>
    <row r="2593" spans="1:16" x14ac:dyDescent="0.3">
      <c r="A2593">
        <v>3144</v>
      </c>
      <c r="B2593">
        <v>44236</v>
      </c>
      <c r="C2593">
        <v>65</v>
      </c>
      <c r="D2593">
        <v>20717</v>
      </c>
      <c r="E2593" t="s">
        <v>14</v>
      </c>
      <c r="F2593" t="s">
        <v>22</v>
      </c>
      <c r="G2593" t="s">
        <v>34</v>
      </c>
      <c r="H2593" t="s">
        <v>8</v>
      </c>
      <c r="I2593" t="s">
        <v>9</v>
      </c>
      <c r="J2593" t="s">
        <v>10</v>
      </c>
      <c r="K2593" t="s">
        <v>11</v>
      </c>
      <c r="L2593" t="s">
        <v>12</v>
      </c>
      <c r="M2593" t="s">
        <v>42</v>
      </c>
      <c r="N2593" t="s">
        <v>23</v>
      </c>
      <c r="O2593" t="s">
        <v>41</v>
      </c>
      <c r="P2593">
        <v>4</v>
      </c>
    </row>
    <row r="2594" spans="1:16" x14ac:dyDescent="0.3">
      <c r="A2594">
        <v>3146</v>
      </c>
      <c r="B2594">
        <v>43450</v>
      </c>
      <c r="C2594">
        <v>40</v>
      </c>
      <c r="D2594">
        <v>28781</v>
      </c>
      <c r="E2594" t="s">
        <v>14</v>
      </c>
      <c r="F2594" t="s">
        <v>15</v>
      </c>
      <c r="G2594" t="s">
        <v>17</v>
      </c>
      <c r="H2594" t="s">
        <v>8</v>
      </c>
      <c r="I2594" t="s">
        <v>9</v>
      </c>
      <c r="J2594" t="s">
        <v>20</v>
      </c>
      <c r="K2594" t="s">
        <v>11</v>
      </c>
      <c r="L2594" t="s">
        <v>12</v>
      </c>
      <c r="M2594" t="s">
        <v>54</v>
      </c>
      <c r="N2594" t="s">
        <v>16</v>
      </c>
      <c r="O2594" t="s">
        <v>18</v>
      </c>
      <c r="P2594">
        <v>1</v>
      </c>
    </row>
    <row r="2595" spans="1:16" x14ac:dyDescent="0.3">
      <c r="A2595">
        <v>3147</v>
      </c>
      <c r="B2595">
        <v>45124</v>
      </c>
      <c r="C2595">
        <v>24</v>
      </c>
      <c r="D2595">
        <v>36273</v>
      </c>
      <c r="E2595" t="s">
        <v>14</v>
      </c>
      <c r="F2595" t="s">
        <v>22</v>
      </c>
      <c r="G2595" t="s">
        <v>40</v>
      </c>
      <c r="H2595" t="s">
        <v>8</v>
      </c>
      <c r="I2595" t="s">
        <v>9</v>
      </c>
      <c r="J2595" t="s">
        <v>10</v>
      </c>
      <c r="K2595" t="s">
        <v>26</v>
      </c>
      <c r="L2595" t="s">
        <v>12</v>
      </c>
      <c r="M2595" t="s">
        <v>28</v>
      </c>
      <c r="N2595" t="s">
        <v>23</v>
      </c>
      <c r="O2595" t="s">
        <v>18</v>
      </c>
      <c r="P2595">
        <v>2</v>
      </c>
    </row>
    <row r="2596" spans="1:16" x14ac:dyDescent="0.3">
      <c r="A2596">
        <v>3148</v>
      </c>
      <c r="B2596">
        <v>43979</v>
      </c>
      <c r="C2596">
        <v>70</v>
      </c>
      <c r="D2596">
        <v>18323</v>
      </c>
      <c r="E2596" t="s">
        <v>14</v>
      </c>
      <c r="F2596" t="s">
        <v>22</v>
      </c>
      <c r="G2596" t="s">
        <v>31</v>
      </c>
      <c r="H2596" t="s">
        <v>8</v>
      </c>
      <c r="I2596" t="s">
        <v>9</v>
      </c>
      <c r="J2596" t="s">
        <v>25</v>
      </c>
      <c r="K2596" t="s">
        <v>11</v>
      </c>
      <c r="L2596" t="s">
        <v>12</v>
      </c>
      <c r="M2596" t="s">
        <v>21</v>
      </c>
      <c r="N2596" t="s">
        <v>16</v>
      </c>
      <c r="O2596" t="s">
        <v>41</v>
      </c>
      <c r="P2596">
        <v>5</v>
      </c>
    </row>
    <row r="2597" spans="1:16" x14ac:dyDescent="0.3">
      <c r="A2597">
        <v>3149</v>
      </c>
      <c r="B2597">
        <v>44256</v>
      </c>
      <c r="C2597">
        <v>38</v>
      </c>
      <c r="D2597">
        <v>30586</v>
      </c>
      <c r="E2597" t="s">
        <v>14</v>
      </c>
      <c r="F2597" t="s">
        <v>15</v>
      </c>
      <c r="G2597" t="s">
        <v>31</v>
      </c>
      <c r="H2597" t="s">
        <v>8</v>
      </c>
      <c r="I2597" t="s">
        <v>9</v>
      </c>
      <c r="J2597" t="s">
        <v>25</v>
      </c>
      <c r="K2597" t="s">
        <v>19</v>
      </c>
      <c r="L2597" t="s">
        <v>12</v>
      </c>
      <c r="M2597" t="s">
        <v>35</v>
      </c>
      <c r="N2597" t="s">
        <v>37</v>
      </c>
      <c r="O2597" t="s">
        <v>41</v>
      </c>
      <c r="P2597">
        <v>1</v>
      </c>
    </row>
    <row r="2598" spans="1:16" x14ac:dyDescent="0.3">
      <c r="A2598">
        <v>3150</v>
      </c>
      <c r="B2598">
        <v>44604</v>
      </c>
      <c r="C2598">
        <v>67</v>
      </c>
      <c r="D2598">
        <v>20303</v>
      </c>
      <c r="E2598" t="s">
        <v>14</v>
      </c>
      <c r="F2598" t="s">
        <v>15</v>
      </c>
      <c r="G2598" t="s">
        <v>17</v>
      </c>
      <c r="H2598" t="s">
        <v>8</v>
      </c>
      <c r="I2598" t="s">
        <v>9</v>
      </c>
      <c r="J2598" t="s">
        <v>25</v>
      </c>
      <c r="K2598" t="s">
        <v>11</v>
      </c>
      <c r="L2598" t="s">
        <v>12</v>
      </c>
      <c r="M2598" t="s">
        <v>21</v>
      </c>
      <c r="N2598" t="s">
        <v>46</v>
      </c>
      <c r="O2598" t="s">
        <v>18</v>
      </c>
      <c r="P2598">
        <v>2</v>
      </c>
    </row>
    <row r="2599" spans="1:16" x14ac:dyDescent="0.3">
      <c r="A2599">
        <v>3151</v>
      </c>
      <c r="B2599">
        <v>44618</v>
      </c>
      <c r="C2599">
        <v>57</v>
      </c>
      <c r="D2599">
        <v>24061</v>
      </c>
      <c r="E2599" t="s">
        <v>14</v>
      </c>
      <c r="F2599" t="s">
        <v>15</v>
      </c>
      <c r="G2599" t="s">
        <v>17</v>
      </c>
      <c r="H2599" t="s">
        <v>8</v>
      </c>
      <c r="I2599" t="s">
        <v>9</v>
      </c>
      <c r="J2599" t="s">
        <v>20</v>
      </c>
      <c r="K2599" t="s">
        <v>11</v>
      </c>
      <c r="L2599" t="s">
        <v>12</v>
      </c>
      <c r="M2599" t="s">
        <v>35</v>
      </c>
      <c r="N2599" t="s">
        <v>16</v>
      </c>
      <c r="O2599" t="s">
        <v>41</v>
      </c>
      <c r="P2599">
        <v>3</v>
      </c>
    </row>
    <row r="2600" spans="1:16" x14ac:dyDescent="0.3">
      <c r="A2600">
        <v>3152</v>
      </c>
      <c r="B2600">
        <v>44747</v>
      </c>
      <c r="C2600">
        <v>69</v>
      </c>
      <c r="D2600">
        <v>19722</v>
      </c>
      <c r="E2600" t="s">
        <v>14</v>
      </c>
      <c r="F2600" t="s">
        <v>15</v>
      </c>
      <c r="G2600" t="s">
        <v>17</v>
      </c>
      <c r="H2600" t="s">
        <v>8</v>
      </c>
      <c r="I2600" t="s">
        <v>9</v>
      </c>
      <c r="J2600" t="s">
        <v>10</v>
      </c>
      <c r="K2600" t="s">
        <v>11</v>
      </c>
      <c r="L2600" t="s">
        <v>12</v>
      </c>
      <c r="M2600" t="s">
        <v>35</v>
      </c>
      <c r="N2600" t="s">
        <v>37</v>
      </c>
      <c r="O2600" t="s">
        <v>41</v>
      </c>
      <c r="P2600">
        <v>3</v>
      </c>
    </row>
    <row r="2601" spans="1:16" x14ac:dyDescent="0.3">
      <c r="A2601">
        <v>3153</v>
      </c>
      <c r="B2601">
        <v>43798</v>
      </c>
      <c r="C2601">
        <v>25</v>
      </c>
      <c r="D2601">
        <v>34681</v>
      </c>
      <c r="E2601" t="s">
        <v>14</v>
      </c>
      <c r="F2601" t="s">
        <v>15</v>
      </c>
      <c r="G2601" t="s">
        <v>31</v>
      </c>
      <c r="H2601" t="s">
        <v>8</v>
      </c>
      <c r="I2601" t="s">
        <v>9</v>
      </c>
      <c r="J2601" t="s">
        <v>20</v>
      </c>
      <c r="K2601" t="s">
        <v>19</v>
      </c>
      <c r="L2601" t="s">
        <v>12</v>
      </c>
      <c r="M2601" t="s">
        <v>35</v>
      </c>
      <c r="N2601" t="s">
        <v>30</v>
      </c>
      <c r="O2601" t="s">
        <v>18</v>
      </c>
      <c r="P2601">
        <v>5</v>
      </c>
    </row>
    <row r="2602" spans="1:16" x14ac:dyDescent="0.3">
      <c r="A2602">
        <v>3154</v>
      </c>
      <c r="B2602">
        <v>43518</v>
      </c>
      <c r="C2602">
        <v>70</v>
      </c>
      <c r="D2602">
        <v>18039</v>
      </c>
      <c r="E2602" t="s">
        <v>14</v>
      </c>
      <c r="F2602" t="s">
        <v>15</v>
      </c>
      <c r="G2602" t="s">
        <v>31</v>
      </c>
      <c r="H2602" t="s">
        <v>8</v>
      </c>
      <c r="I2602" t="s">
        <v>9</v>
      </c>
      <c r="J2602" t="s">
        <v>25</v>
      </c>
      <c r="K2602" t="s">
        <v>26</v>
      </c>
      <c r="L2602" t="s">
        <v>12</v>
      </c>
      <c r="M2602" t="s">
        <v>42</v>
      </c>
      <c r="N2602" t="s">
        <v>37</v>
      </c>
      <c r="O2602" t="s">
        <v>18</v>
      </c>
      <c r="P2602">
        <v>3</v>
      </c>
    </row>
    <row r="2603" spans="1:16" x14ac:dyDescent="0.3">
      <c r="A2603">
        <v>3155</v>
      </c>
      <c r="B2603">
        <v>44028</v>
      </c>
      <c r="C2603">
        <v>69</v>
      </c>
      <c r="D2603">
        <v>18701</v>
      </c>
      <c r="E2603" t="s">
        <v>14</v>
      </c>
      <c r="F2603" t="s">
        <v>22</v>
      </c>
      <c r="G2603" t="s">
        <v>34</v>
      </c>
      <c r="H2603" t="s">
        <v>8</v>
      </c>
      <c r="I2603" t="s">
        <v>66</v>
      </c>
      <c r="J2603" t="s">
        <v>10</v>
      </c>
      <c r="K2603" t="s">
        <v>26</v>
      </c>
      <c r="L2603" t="s">
        <v>12</v>
      </c>
      <c r="M2603" t="s">
        <v>32</v>
      </c>
      <c r="N2603" t="s">
        <v>37</v>
      </c>
      <c r="O2603" t="s">
        <v>18</v>
      </c>
      <c r="P2603">
        <v>5</v>
      </c>
    </row>
    <row r="2604" spans="1:16" x14ac:dyDescent="0.3">
      <c r="A2604">
        <v>3156</v>
      </c>
      <c r="B2604">
        <v>43664</v>
      </c>
      <c r="C2604">
        <v>57</v>
      </c>
      <c r="D2604">
        <v>22843</v>
      </c>
      <c r="E2604" t="s">
        <v>14</v>
      </c>
      <c r="F2604" t="s">
        <v>15</v>
      </c>
      <c r="G2604" t="s">
        <v>34</v>
      </c>
      <c r="H2604" t="s">
        <v>64</v>
      </c>
      <c r="I2604" t="s">
        <v>66</v>
      </c>
      <c r="J2604" t="s">
        <v>10</v>
      </c>
      <c r="K2604" t="s">
        <v>26</v>
      </c>
      <c r="L2604" t="s">
        <v>12</v>
      </c>
      <c r="M2604" t="s">
        <v>32</v>
      </c>
      <c r="N2604" t="s">
        <v>37</v>
      </c>
      <c r="O2604" t="s">
        <v>18</v>
      </c>
      <c r="P2604">
        <v>2</v>
      </c>
    </row>
    <row r="2605" spans="1:16" x14ac:dyDescent="0.3">
      <c r="A2605">
        <v>3157</v>
      </c>
      <c r="B2605">
        <v>43534</v>
      </c>
      <c r="C2605">
        <v>35</v>
      </c>
      <c r="D2605">
        <v>30757</v>
      </c>
      <c r="E2605" t="s">
        <v>14</v>
      </c>
      <c r="F2605" t="s">
        <v>15</v>
      </c>
      <c r="G2605" t="s">
        <v>40</v>
      </c>
      <c r="H2605" t="s">
        <v>64</v>
      </c>
      <c r="I2605" t="s">
        <v>9</v>
      </c>
      <c r="J2605" t="s">
        <v>10</v>
      </c>
      <c r="K2605" t="s">
        <v>19</v>
      </c>
      <c r="L2605" t="s">
        <v>12</v>
      </c>
      <c r="M2605" t="s">
        <v>67</v>
      </c>
      <c r="N2605" t="s">
        <v>16</v>
      </c>
      <c r="O2605" t="s">
        <v>41</v>
      </c>
      <c r="P2605">
        <v>1</v>
      </c>
    </row>
    <row r="2606" spans="1:16" x14ac:dyDescent="0.3">
      <c r="A2606">
        <v>3158</v>
      </c>
      <c r="B2606">
        <v>45076</v>
      </c>
      <c r="C2606">
        <v>47</v>
      </c>
      <c r="D2606">
        <v>27780</v>
      </c>
      <c r="E2606" t="s">
        <v>14</v>
      </c>
      <c r="F2606" t="s">
        <v>15</v>
      </c>
      <c r="G2606" t="s">
        <v>40</v>
      </c>
      <c r="H2606" t="s">
        <v>64</v>
      </c>
      <c r="I2606" t="s">
        <v>9</v>
      </c>
      <c r="J2606" t="s">
        <v>20</v>
      </c>
      <c r="K2606" t="s">
        <v>19</v>
      </c>
      <c r="L2606" t="s">
        <v>12</v>
      </c>
      <c r="M2606" t="s">
        <v>28</v>
      </c>
      <c r="N2606" t="s">
        <v>23</v>
      </c>
      <c r="O2606" t="s">
        <v>41</v>
      </c>
      <c r="P2606">
        <v>1</v>
      </c>
    </row>
    <row r="2607" spans="1:16" x14ac:dyDescent="0.3">
      <c r="A2607">
        <v>3159</v>
      </c>
      <c r="B2607">
        <v>43335</v>
      </c>
      <c r="C2607">
        <v>40</v>
      </c>
      <c r="D2607">
        <v>28639</v>
      </c>
      <c r="E2607" t="s">
        <v>14</v>
      </c>
      <c r="F2607" t="s">
        <v>15</v>
      </c>
      <c r="G2607" t="s">
        <v>34</v>
      </c>
      <c r="H2607" t="s">
        <v>64</v>
      </c>
      <c r="I2607" t="s">
        <v>9</v>
      </c>
      <c r="J2607" t="s">
        <v>25</v>
      </c>
      <c r="K2607" t="s">
        <v>26</v>
      </c>
      <c r="L2607" t="s">
        <v>12</v>
      </c>
      <c r="M2607" t="s">
        <v>35</v>
      </c>
      <c r="N2607" t="s">
        <v>46</v>
      </c>
      <c r="O2607" t="s">
        <v>18</v>
      </c>
      <c r="P2607">
        <v>1</v>
      </c>
    </row>
    <row r="2608" spans="1:16" x14ac:dyDescent="0.3">
      <c r="A2608">
        <v>3160</v>
      </c>
      <c r="B2608">
        <v>43530</v>
      </c>
      <c r="C2608">
        <v>68</v>
      </c>
      <c r="D2608">
        <v>18736</v>
      </c>
      <c r="E2608" t="s">
        <v>14</v>
      </c>
      <c r="F2608" t="s">
        <v>15</v>
      </c>
      <c r="G2608" t="s">
        <v>31</v>
      </c>
      <c r="H2608" t="s">
        <v>64</v>
      </c>
      <c r="I2608" t="s">
        <v>9</v>
      </c>
      <c r="J2608" t="s">
        <v>25</v>
      </c>
      <c r="K2608" t="s">
        <v>19</v>
      </c>
      <c r="L2608" t="s">
        <v>12</v>
      </c>
      <c r="M2608" t="s">
        <v>49</v>
      </c>
      <c r="N2608" t="s">
        <v>30</v>
      </c>
      <c r="O2608" t="s">
        <v>41</v>
      </c>
      <c r="P2608">
        <v>5</v>
      </c>
    </row>
    <row r="2609" spans="1:16" x14ac:dyDescent="0.3">
      <c r="A2609">
        <v>3161</v>
      </c>
      <c r="B2609">
        <v>45139</v>
      </c>
      <c r="C2609">
        <v>40</v>
      </c>
      <c r="D2609">
        <v>30423</v>
      </c>
      <c r="E2609" t="s">
        <v>14</v>
      </c>
      <c r="F2609" t="s">
        <v>15</v>
      </c>
      <c r="G2609" t="s">
        <v>40</v>
      </c>
      <c r="H2609" t="s">
        <v>64</v>
      </c>
      <c r="I2609" t="s">
        <v>66</v>
      </c>
      <c r="J2609" t="s">
        <v>25</v>
      </c>
      <c r="K2609" t="s">
        <v>11</v>
      </c>
      <c r="L2609" t="s">
        <v>12</v>
      </c>
      <c r="M2609" t="s">
        <v>32</v>
      </c>
      <c r="N2609" t="s">
        <v>37</v>
      </c>
      <c r="O2609" t="s">
        <v>18</v>
      </c>
      <c r="P2609">
        <v>5</v>
      </c>
    </row>
    <row r="2610" spans="1:16" x14ac:dyDescent="0.3">
      <c r="A2610">
        <v>3162</v>
      </c>
      <c r="B2610">
        <v>43885</v>
      </c>
      <c r="C2610">
        <v>23</v>
      </c>
      <c r="D2610">
        <v>35669</v>
      </c>
      <c r="E2610" t="s">
        <v>14</v>
      </c>
      <c r="F2610" t="s">
        <v>22</v>
      </c>
      <c r="G2610" t="s">
        <v>31</v>
      </c>
      <c r="H2610" t="s">
        <v>64</v>
      </c>
      <c r="I2610" t="s">
        <v>9</v>
      </c>
      <c r="J2610" t="s">
        <v>20</v>
      </c>
      <c r="K2610" t="s">
        <v>19</v>
      </c>
      <c r="L2610" t="s">
        <v>12</v>
      </c>
      <c r="M2610" t="s">
        <v>92</v>
      </c>
      <c r="N2610" t="s">
        <v>16</v>
      </c>
      <c r="O2610" t="s">
        <v>18</v>
      </c>
      <c r="P2610">
        <v>4</v>
      </c>
    </row>
    <row r="2611" spans="1:16" x14ac:dyDescent="0.3">
      <c r="A2611">
        <v>3163</v>
      </c>
      <c r="B2611">
        <v>43734</v>
      </c>
      <c r="C2611">
        <v>40</v>
      </c>
      <c r="D2611">
        <v>28927</v>
      </c>
      <c r="E2611" t="s">
        <v>14</v>
      </c>
      <c r="F2611" t="s">
        <v>22</v>
      </c>
      <c r="G2611" t="s">
        <v>34</v>
      </c>
      <c r="H2611" t="s">
        <v>8</v>
      </c>
      <c r="I2611" t="s">
        <v>9</v>
      </c>
      <c r="J2611" t="s">
        <v>10</v>
      </c>
      <c r="K2611" t="s">
        <v>19</v>
      </c>
      <c r="L2611" t="s">
        <v>12</v>
      </c>
      <c r="M2611" t="s">
        <v>60</v>
      </c>
      <c r="N2611" t="s">
        <v>37</v>
      </c>
      <c r="O2611" t="s">
        <v>18</v>
      </c>
      <c r="P2611">
        <v>4</v>
      </c>
    </row>
    <row r="2612" spans="1:16" x14ac:dyDescent="0.3">
      <c r="A2612">
        <v>3164</v>
      </c>
      <c r="B2612">
        <v>44902</v>
      </c>
      <c r="C2612">
        <v>25</v>
      </c>
      <c r="D2612">
        <v>35507</v>
      </c>
      <c r="E2612" t="s">
        <v>14</v>
      </c>
      <c r="F2612" t="s">
        <v>15</v>
      </c>
      <c r="G2612" t="s">
        <v>34</v>
      </c>
      <c r="H2612" t="s">
        <v>8</v>
      </c>
      <c r="I2612" t="s">
        <v>66</v>
      </c>
      <c r="J2612" t="s">
        <v>25</v>
      </c>
      <c r="K2612" t="s">
        <v>11</v>
      </c>
      <c r="L2612" t="s">
        <v>12</v>
      </c>
      <c r="M2612" t="s">
        <v>35</v>
      </c>
      <c r="N2612" t="s">
        <v>30</v>
      </c>
      <c r="O2612" t="s">
        <v>18</v>
      </c>
      <c r="P2612">
        <v>2</v>
      </c>
    </row>
    <row r="2613" spans="1:16" x14ac:dyDescent="0.3">
      <c r="A2613">
        <v>3165</v>
      </c>
      <c r="B2613">
        <v>43532</v>
      </c>
      <c r="C2613">
        <v>25</v>
      </c>
      <c r="D2613">
        <v>34692</v>
      </c>
      <c r="E2613" t="s">
        <v>14</v>
      </c>
      <c r="F2613" t="s">
        <v>15</v>
      </c>
      <c r="G2613" t="s">
        <v>31</v>
      </c>
      <c r="H2613" t="s">
        <v>8</v>
      </c>
      <c r="I2613" t="s">
        <v>9</v>
      </c>
      <c r="J2613" t="s">
        <v>20</v>
      </c>
      <c r="K2613" t="s">
        <v>11</v>
      </c>
      <c r="L2613" t="s">
        <v>12</v>
      </c>
      <c r="M2613" t="s">
        <v>35</v>
      </c>
      <c r="N2613" t="s">
        <v>37</v>
      </c>
      <c r="O2613" t="s">
        <v>18</v>
      </c>
      <c r="P2613">
        <v>5</v>
      </c>
    </row>
    <row r="2614" spans="1:16" x14ac:dyDescent="0.3">
      <c r="A2614">
        <v>3166</v>
      </c>
      <c r="B2614">
        <v>43683</v>
      </c>
      <c r="C2614">
        <v>26</v>
      </c>
      <c r="D2614">
        <v>34275</v>
      </c>
      <c r="E2614" t="s">
        <v>14</v>
      </c>
      <c r="F2614" t="s">
        <v>15</v>
      </c>
      <c r="G2614" t="s">
        <v>31</v>
      </c>
      <c r="H2614" t="s">
        <v>8</v>
      </c>
      <c r="I2614" t="s">
        <v>9</v>
      </c>
      <c r="J2614" t="s">
        <v>20</v>
      </c>
      <c r="K2614" t="s">
        <v>19</v>
      </c>
      <c r="L2614" t="s">
        <v>12</v>
      </c>
      <c r="M2614" t="s">
        <v>35</v>
      </c>
      <c r="N2614" t="s">
        <v>16</v>
      </c>
      <c r="O2614" t="s">
        <v>41</v>
      </c>
      <c r="P2614">
        <v>4</v>
      </c>
    </row>
    <row r="2615" spans="1:16" x14ac:dyDescent="0.3">
      <c r="A2615">
        <v>3167</v>
      </c>
      <c r="B2615">
        <v>43635</v>
      </c>
      <c r="C2615">
        <v>76</v>
      </c>
      <c r="D2615">
        <v>15968</v>
      </c>
      <c r="E2615" t="s">
        <v>14</v>
      </c>
      <c r="F2615" t="s">
        <v>22</v>
      </c>
      <c r="G2615" t="s">
        <v>40</v>
      </c>
      <c r="H2615" t="s">
        <v>8</v>
      </c>
      <c r="I2615" t="s">
        <v>9</v>
      </c>
      <c r="J2615" t="s">
        <v>25</v>
      </c>
      <c r="K2615" t="s">
        <v>26</v>
      </c>
      <c r="L2615" t="s">
        <v>12</v>
      </c>
      <c r="M2615" t="s">
        <v>49</v>
      </c>
      <c r="N2615" t="s">
        <v>30</v>
      </c>
      <c r="O2615" t="s">
        <v>41</v>
      </c>
      <c r="P2615">
        <v>2</v>
      </c>
    </row>
    <row r="2616" spans="1:16" x14ac:dyDescent="0.3">
      <c r="A2616">
        <v>3169</v>
      </c>
      <c r="B2616">
        <v>43624</v>
      </c>
      <c r="C2616">
        <v>68</v>
      </c>
      <c r="D2616">
        <v>18721</v>
      </c>
      <c r="E2616" t="s">
        <v>14</v>
      </c>
      <c r="F2616" t="s">
        <v>15</v>
      </c>
      <c r="G2616" t="s">
        <v>31</v>
      </c>
      <c r="H2616" t="s">
        <v>8</v>
      </c>
      <c r="I2616" t="s">
        <v>9</v>
      </c>
      <c r="J2616" t="s">
        <v>20</v>
      </c>
      <c r="K2616" t="s">
        <v>26</v>
      </c>
      <c r="L2616" t="s">
        <v>12</v>
      </c>
      <c r="M2616" t="s">
        <v>21</v>
      </c>
      <c r="N2616" t="s">
        <v>30</v>
      </c>
      <c r="O2616" t="s">
        <v>41</v>
      </c>
      <c r="P2616">
        <v>2</v>
      </c>
    </row>
    <row r="2617" spans="1:16" x14ac:dyDescent="0.3">
      <c r="A2617">
        <v>3170</v>
      </c>
      <c r="B2617">
        <v>44589</v>
      </c>
      <c r="C2617">
        <v>30</v>
      </c>
      <c r="D2617">
        <v>33626</v>
      </c>
      <c r="E2617" t="s">
        <v>14</v>
      </c>
      <c r="F2617" t="s">
        <v>22</v>
      </c>
      <c r="G2617" t="s">
        <v>34</v>
      </c>
      <c r="H2617" t="s">
        <v>8</v>
      </c>
      <c r="I2617" t="s">
        <v>9</v>
      </c>
      <c r="J2617" t="s">
        <v>25</v>
      </c>
      <c r="K2617" t="s">
        <v>11</v>
      </c>
      <c r="L2617" t="s">
        <v>12</v>
      </c>
      <c r="M2617" t="s">
        <v>35</v>
      </c>
      <c r="N2617" t="s">
        <v>46</v>
      </c>
      <c r="O2617" t="s">
        <v>18</v>
      </c>
      <c r="P2617">
        <v>3</v>
      </c>
    </row>
    <row r="2618" spans="1:16" x14ac:dyDescent="0.3">
      <c r="A2618">
        <v>3171</v>
      </c>
      <c r="B2618">
        <v>44069</v>
      </c>
      <c r="C2618">
        <v>25</v>
      </c>
      <c r="D2618">
        <v>34755</v>
      </c>
      <c r="E2618" t="s">
        <v>14</v>
      </c>
      <c r="F2618" t="s">
        <v>15</v>
      </c>
      <c r="G2618" t="s">
        <v>17</v>
      </c>
      <c r="H2618" t="s">
        <v>8</v>
      </c>
      <c r="I2618" t="s">
        <v>9</v>
      </c>
      <c r="J2618" t="s">
        <v>20</v>
      </c>
      <c r="K2618" t="s">
        <v>19</v>
      </c>
      <c r="L2618" t="s">
        <v>12</v>
      </c>
      <c r="M2618" t="s">
        <v>42</v>
      </c>
      <c r="N2618" t="s">
        <v>16</v>
      </c>
      <c r="O2618" t="s">
        <v>18</v>
      </c>
      <c r="P2618">
        <v>1</v>
      </c>
    </row>
    <row r="2619" spans="1:16" x14ac:dyDescent="0.3">
      <c r="A2619">
        <v>3172</v>
      </c>
      <c r="B2619">
        <v>43577</v>
      </c>
      <c r="C2619">
        <v>36</v>
      </c>
      <c r="D2619">
        <v>30506</v>
      </c>
      <c r="E2619" t="s">
        <v>14</v>
      </c>
      <c r="F2619" t="s">
        <v>15</v>
      </c>
      <c r="G2619" t="s">
        <v>40</v>
      </c>
      <c r="H2619" t="s">
        <v>8</v>
      </c>
      <c r="I2619" t="s">
        <v>9</v>
      </c>
      <c r="J2619" t="s">
        <v>10</v>
      </c>
      <c r="K2619" t="s">
        <v>11</v>
      </c>
      <c r="L2619" t="s">
        <v>12</v>
      </c>
      <c r="M2619" t="s">
        <v>58</v>
      </c>
      <c r="N2619" t="s">
        <v>46</v>
      </c>
      <c r="O2619" t="s">
        <v>18</v>
      </c>
      <c r="P2619">
        <v>3</v>
      </c>
    </row>
    <row r="2620" spans="1:16" x14ac:dyDescent="0.3">
      <c r="A2620">
        <v>3173</v>
      </c>
      <c r="B2620">
        <v>44916</v>
      </c>
      <c r="C2620">
        <v>65</v>
      </c>
      <c r="D2620">
        <v>20893</v>
      </c>
      <c r="E2620" t="s">
        <v>14</v>
      </c>
      <c r="F2620" t="s">
        <v>15</v>
      </c>
      <c r="G2620" t="s">
        <v>34</v>
      </c>
      <c r="H2620" t="s">
        <v>8</v>
      </c>
      <c r="I2620" t="s">
        <v>9</v>
      </c>
      <c r="J2620" t="s">
        <v>10</v>
      </c>
      <c r="K2620" t="s">
        <v>19</v>
      </c>
      <c r="L2620" t="s">
        <v>12</v>
      </c>
      <c r="M2620" t="s">
        <v>67</v>
      </c>
      <c r="N2620" t="s">
        <v>46</v>
      </c>
      <c r="O2620" t="s">
        <v>18</v>
      </c>
      <c r="P2620">
        <v>4</v>
      </c>
    </row>
    <row r="2621" spans="1:16" x14ac:dyDescent="0.3">
      <c r="A2621">
        <v>3174</v>
      </c>
      <c r="B2621">
        <v>44846</v>
      </c>
      <c r="C2621">
        <v>61</v>
      </c>
      <c r="D2621">
        <v>22445</v>
      </c>
      <c r="E2621" t="s">
        <v>14</v>
      </c>
      <c r="F2621" t="s">
        <v>15</v>
      </c>
      <c r="G2621" t="s">
        <v>31</v>
      </c>
      <c r="H2621" t="s">
        <v>8</v>
      </c>
      <c r="I2621" t="s">
        <v>9</v>
      </c>
      <c r="J2621" t="s">
        <v>25</v>
      </c>
      <c r="K2621" t="s">
        <v>11</v>
      </c>
      <c r="L2621" t="s">
        <v>12</v>
      </c>
      <c r="M2621" t="s">
        <v>60</v>
      </c>
      <c r="N2621" t="s">
        <v>23</v>
      </c>
      <c r="O2621" t="s">
        <v>18</v>
      </c>
      <c r="P2621">
        <v>5</v>
      </c>
    </row>
    <row r="2622" spans="1:16" x14ac:dyDescent="0.3">
      <c r="A2622">
        <v>3175</v>
      </c>
      <c r="B2622">
        <v>45130</v>
      </c>
      <c r="C2622">
        <v>76</v>
      </c>
      <c r="D2622">
        <v>17359</v>
      </c>
      <c r="E2622" t="s">
        <v>14</v>
      </c>
      <c r="F2622" t="s">
        <v>15</v>
      </c>
      <c r="G2622" t="s">
        <v>31</v>
      </c>
      <c r="H2622" t="s">
        <v>8</v>
      </c>
      <c r="I2622" t="s">
        <v>9</v>
      </c>
      <c r="J2622" t="s">
        <v>25</v>
      </c>
      <c r="K2622" t="s">
        <v>26</v>
      </c>
      <c r="L2622" t="s">
        <v>12</v>
      </c>
      <c r="M2622" t="s">
        <v>55</v>
      </c>
      <c r="N2622" t="s">
        <v>46</v>
      </c>
      <c r="O2622" t="s">
        <v>18</v>
      </c>
      <c r="P2622">
        <v>4</v>
      </c>
    </row>
    <row r="2623" spans="1:16" x14ac:dyDescent="0.3">
      <c r="A2623">
        <v>3176</v>
      </c>
      <c r="B2623">
        <v>43447</v>
      </c>
      <c r="C2623">
        <v>18</v>
      </c>
      <c r="D2623">
        <v>36580</v>
      </c>
      <c r="E2623" t="s">
        <v>14</v>
      </c>
      <c r="F2623" t="s">
        <v>15</v>
      </c>
      <c r="G2623" t="s">
        <v>17</v>
      </c>
      <c r="H2623" t="s">
        <v>8</v>
      </c>
      <c r="I2623" t="s">
        <v>9</v>
      </c>
      <c r="J2623" t="s">
        <v>25</v>
      </c>
      <c r="K2623" t="s">
        <v>19</v>
      </c>
      <c r="L2623" t="s">
        <v>12</v>
      </c>
      <c r="M2623" t="s">
        <v>54</v>
      </c>
      <c r="N2623" t="s">
        <v>30</v>
      </c>
      <c r="O2623" t="s">
        <v>41</v>
      </c>
      <c r="P2623">
        <v>3</v>
      </c>
    </row>
    <row r="2624" spans="1:16" x14ac:dyDescent="0.3">
      <c r="A2624">
        <v>3177</v>
      </c>
      <c r="B2624">
        <v>43738</v>
      </c>
      <c r="C2624">
        <v>19</v>
      </c>
      <c r="D2624">
        <v>36598</v>
      </c>
      <c r="E2624" t="s">
        <v>14</v>
      </c>
      <c r="F2624" t="s">
        <v>15</v>
      </c>
      <c r="G2624" t="s">
        <v>31</v>
      </c>
      <c r="H2624" t="s">
        <v>8</v>
      </c>
      <c r="I2624" t="s">
        <v>66</v>
      </c>
      <c r="J2624" t="s">
        <v>25</v>
      </c>
      <c r="K2624" t="s">
        <v>19</v>
      </c>
      <c r="L2624" t="s">
        <v>12</v>
      </c>
      <c r="M2624" t="s">
        <v>54</v>
      </c>
      <c r="N2624" t="s">
        <v>46</v>
      </c>
      <c r="O2624" t="s">
        <v>18</v>
      </c>
      <c r="P2624">
        <v>4</v>
      </c>
    </row>
    <row r="2625" spans="1:16" x14ac:dyDescent="0.3">
      <c r="A2625">
        <v>3178</v>
      </c>
      <c r="B2625">
        <v>43854</v>
      </c>
      <c r="C2625">
        <v>30</v>
      </c>
      <c r="D2625">
        <v>32993</v>
      </c>
      <c r="E2625" t="s">
        <v>14</v>
      </c>
      <c r="F2625" t="s">
        <v>15</v>
      </c>
      <c r="G2625" t="s">
        <v>34</v>
      </c>
      <c r="H2625" t="s">
        <v>64</v>
      </c>
      <c r="I2625" t="s">
        <v>66</v>
      </c>
      <c r="J2625" t="s">
        <v>20</v>
      </c>
      <c r="K2625" t="s">
        <v>11</v>
      </c>
      <c r="L2625" t="s">
        <v>12</v>
      </c>
      <c r="M2625" t="s">
        <v>35</v>
      </c>
      <c r="N2625" t="s">
        <v>16</v>
      </c>
      <c r="O2625" t="s">
        <v>65</v>
      </c>
      <c r="P2625">
        <v>2</v>
      </c>
    </row>
    <row r="2626" spans="1:16" x14ac:dyDescent="0.3">
      <c r="A2626">
        <v>3179</v>
      </c>
      <c r="B2626">
        <v>44188</v>
      </c>
      <c r="C2626">
        <v>79</v>
      </c>
      <c r="D2626">
        <v>15332</v>
      </c>
      <c r="E2626" t="s">
        <v>14</v>
      </c>
      <c r="F2626" t="s">
        <v>22</v>
      </c>
      <c r="G2626" t="s">
        <v>40</v>
      </c>
      <c r="H2626" t="s">
        <v>64</v>
      </c>
      <c r="I2626" t="s">
        <v>9</v>
      </c>
      <c r="J2626" t="s">
        <v>25</v>
      </c>
      <c r="K2626" t="s">
        <v>11</v>
      </c>
      <c r="L2626" t="s">
        <v>12</v>
      </c>
      <c r="M2626" t="s">
        <v>35</v>
      </c>
      <c r="N2626" t="s">
        <v>37</v>
      </c>
      <c r="O2626" t="s">
        <v>18</v>
      </c>
      <c r="P2626">
        <v>2</v>
      </c>
    </row>
    <row r="2627" spans="1:16" x14ac:dyDescent="0.3">
      <c r="A2627">
        <v>3180</v>
      </c>
      <c r="B2627">
        <v>43623</v>
      </c>
      <c r="C2627">
        <v>22</v>
      </c>
      <c r="D2627">
        <v>35730</v>
      </c>
      <c r="E2627" t="s">
        <v>14</v>
      </c>
      <c r="F2627" t="s">
        <v>15</v>
      </c>
      <c r="G2627" t="s">
        <v>40</v>
      </c>
      <c r="H2627" t="s">
        <v>64</v>
      </c>
      <c r="I2627" t="s">
        <v>66</v>
      </c>
      <c r="J2627" t="s">
        <v>25</v>
      </c>
      <c r="K2627" t="s">
        <v>26</v>
      </c>
      <c r="L2627" t="s">
        <v>12</v>
      </c>
      <c r="M2627" t="s">
        <v>35</v>
      </c>
      <c r="N2627" t="s">
        <v>23</v>
      </c>
      <c r="O2627" t="s">
        <v>18</v>
      </c>
      <c r="P2627">
        <v>1</v>
      </c>
    </row>
    <row r="2628" spans="1:16" x14ac:dyDescent="0.3">
      <c r="A2628">
        <v>3181</v>
      </c>
      <c r="B2628">
        <v>43824</v>
      </c>
      <c r="C2628">
        <v>60</v>
      </c>
      <c r="D2628">
        <v>21748</v>
      </c>
      <c r="E2628" t="s">
        <v>14</v>
      </c>
      <c r="F2628" t="s">
        <v>15</v>
      </c>
      <c r="G2628" t="s">
        <v>31</v>
      </c>
      <c r="H2628" t="s">
        <v>64</v>
      </c>
      <c r="I2628" t="s">
        <v>9</v>
      </c>
      <c r="J2628" t="s">
        <v>10</v>
      </c>
      <c r="K2628" t="s">
        <v>11</v>
      </c>
      <c r="L2628" t="s">
        <v>12</v>
      </c>
      <c r="M2628" t="s">
        <v>32</v>
      </c>
      <c r="N2628" t="s">
        <v>30</v>
      </c>
      <c r="O2628" t="s">
        <v>18</v>
      </c>
      <c r="P2628">
        <v>4</v>
      </c>
    </row>
    <row r="2629" spans="1:16" x14ac:dyDescent="0.3">
      <c r="A2629">
        <v>3182</v>
      </c>
      <c r="B2629">
        <v>44952</v>
      </c>
      <c r="C2629">
        <v>52</v>
      </c>
      <c r="D2629">
        <v>26258</v>
      </c>
      <c r="E2629" t="s">
        <v>14</v>
      </c>
      <c r="F2629" t="s">
        <v>15</v>
      </c>
      <c r="G2629" t="s">
        <v>34</v>
      </c>
      <c r="H2629" t="s">
        <v>64</v>
      </c>
      <c r="I2629" t="s">
        <v>9</v>
      </c>
      <c r="J2629" t="s">
        <v>10</v>
      </c>
      <c r="K2629" t="s">
        <v>26</v>
      </c>
      <c r="L2629" t="s">
        <v>12</v>
      </c>
      <c r="M2629" t="s">
        <v>35</v>
      </c>
      <c r="N2629" t="s">
        <v>16</v>
      </c>
      <c r="O2629" t="s">
        <v>65</v>
      </c>
      <c r="P2629">
        <v>3</v>
      </c>
    </row>
    <row r="2630" spans="1:16" x14ac:dyDescent="0.3">
      <c r="A2630">
        <v>3183</v>
      </c>
      <c r="B2630">
        <v>44868</v>
      </c>
      <c r="C2630">
        <v>69</v>
      </c>
      <c r="D2630">
        <v>19405</v>
      </c>
      <c r="E2630" t="s">
        <v>14</v>
      </c>
      <c r="F2630" t="s">
        <v>22</v>
      </c>
      <c r="G2630" t="s">
        <v>31</v>
      </c>
      <c r="H2630" t="s">
        <v>64</v>
      </c>
      <c r="I2630" t="s">
        <v>66</v>
      </c>
      <c r="J2630" t="s">
        <v>25</v>
      </c>
      <c r="K2630" t="s">
        <v>19</v>
      </c>
      <c r="L2630" t="s">
        <v>12</v>
      </c>
      <c r="M2630" t="s">
        <v>42</v>
      </c>
      <c r="N2630" t="s">
        <v>30</v>
      </c>
      <c r="O2630" t="s">
        <v>65</v>
      </c>
      <c r="P2630">
        <v>1</v>
      </c>
    </row>
    <row r="2631" spans="1:16" x14ac:dyDescent="0.3">
      <c r="A2631">
        <v>3184</v>
      </c>
      <c r="B2631">
        <v>44694</v>
      </c>
      <c r="C2631">
        <v>50</v>
      </c>
      <c r="D2631">
        <v>26440</v>
      </c>
      <c r="E2631" t="s">
        <v>14</v>
      </c>
      <c r="F2631" t="s">
        <v>15</v>
      </c>
      <c r="G2631" t="s">
        <v>31</v>
      </c>
      <c r="H2631" t="s">
        <v>8</v>
      </c>
      <c r="I2631" t="s">
        <v>9</v>
      </c>
      <c r="J2631" t="s">
        <v>20</v>
      </c>
      <c r="K2631" t="s">
        <v>19</v>
      </c>
      <c r="L2631" t="s">
        <v>12</v>
      </c>
      <c r="M2631" t="s">
        <v>35</v>
      </c>
      <c r="N2631" t="s">
        <v>23</v>
      </c>
      <c r="O2631" t="s">
        <v>65</v>
      </c>
      <c r="P2631">
        <v>1</v>
      </c>
    </row>
    <row r="2632" spans="1:16" x14ac:dyDescent="0.3">
      <c r="A2632">
        <v>3185</v>
      </c>
      <c r="B2632">
        <v>44097</v>
      </c>
      <c r="C2632">
        <v>21</v>
      </c>
      <c r="D2632">
        <v>36474</v>
      </c>
      <c r="E2632" t="s">
        <v>14</v>
      </c>
      <c r="F2632" t="s">
        <v>15</v>
      </c>
      <c r="G2632" t="s">
        <v>40</v>
      </c>
      <c r="H2632" t="s">
        <v>8</v>
      </c>
      <c r="I2632" t="s">
        <v>66</v>
      </c>
      <c r="J2632" t="s">
        <v>10</v>
      </c>
      <c r="K2632" t="s">
        <v>11</v>
      </c>
      <c r="L2632" t="s">
        <v>12</v>
      </c>
      <c r="M2632" t="s">
        <v>35</v>
      </c>
      <c r="N2632" t="s">
        <v>30</v>
      </c>
      <c r="O2632" t="s">
        <v>65</v>
      </c>
      <c r="P2632">
        <v>4</v>
      </c>
    </row>
    <row r="2633" spans="1:16" x14ac:dyDescent="0.3">
      <c r="A2633">
        <v>3186</v>
      </c>
      <c r="B2633">
        <v>44437</v>
      </c>
      <c r="C2633">
        <v>54</v>
      </c>
      <c r="D2633">
        <v>24595</v>
      </c>
      <c r="E2633" t="s">
        <v>14</v>
      </c>
      <c r="F2633" t="s">
        <v>15</v>
      </c>
      <c r="G2633" t="s">
        <v>40</v>
      </c>
      <c r="H2633" t="s">
        <v>8</v>
      </c>
      <c r="I2633" t="s">
        <v>9</v>
      </c>
      <c r="J2633" t="s">
        <v>20</v>
      </c>
      <c r="K2633" t="s">
        <v>19</v>
      </c>
      <c r="L2633" t="s">
        <v>12</v>
      </c>
      <c r="M2633" t="s">
        <v>21</v>
      </c>
      <c r="N2633" t="s">
        <v>37</v>
      </c>
      <c r="O2633" t="s">
        <v>18</v>
      </c>
      <c r="P2633">
        <v>2</v>
      </c>
    </row>
    <row r="2634" spans="1:16" x14ac:dyDescent="0.3">
      <c r="A2634">
        <v>3187</v>
      </c>
      <c r="B2634">
        <v>44908</v>
      </c>
      <c r="C2634">
        <v>60</v>
      </c>
      <c r="D2634">
        <v>22744</v>
      </c>
      <c r="E2634" t="s">
        <v>14</v>
      </c>
      <c r="F2634" t="s">
        <v>15</v>
      </c>
      <c r="G2634" t="s">
        <v>31</v>
      </c>
      <c r="H2634" t="s">
        <v>8</v>
      </c>
      <c r="I2634" t="s">
        <v>9</v>
      </c>
      <c r="J2634" t="s">
        <v>10</v>
      </c>
      <c r="K2634" t="s">
        <v>11</v>
      </c>
      <c r="L2634" t="s">
        <v>12</v>
      </c>
      <c r="M2634" t="s">
        <v>59</v>
      </c>
      <c r="N2634" t="s">
        <v>37</v>
      </c>
      <c r="O2634" t="s">
        <v>65</v>
      </c>
      <c r="P2634">
        <v>2</v>
      </c>
    </row>
    <row r="2635" spans="1:16" x14ac:dyDescent="0.3">
      <c r="A2635">
        <v>3188</v>
      </c>
      <c r="B2635">
        <v>44871</v>
      </c>
      <c r="C2635">
        <v>44</v>
      </c>
      <c r="D2635">
        <v>28798</v>
      </c>
      <c r="E2635" t="s">
        <v>14</v>
      </c>
      <c r="F2635" t="s">
        <v>22</v>
      </c>
      <c r="G2635" t="s">
        <v>40</v>
      </c>
      <c r="H2635" t="s">
        <v>8</v>
      </c>
      <c r="I2635" t="s">
        <v>9</v>
      </c>
      <c r="J2635" t="s">
        <v>20</v>
      </c>
      <c r="K2635" t="s">
        <v>11</v>
      </c>
      <c r="L2635" t="s">
        <v>12</v>
      </c>
      <c r="M2635" t="s">
        <v>35</v>
      </c>
      <c r="N2635" t="s">
        <v>23</v>
      </c>
      <c r="O2635" t="s">
        <v>18</v>
      </c>
      <c r="P2635">
        <v>2</v>
      </c>
    </row>
    <row r="2636" spans="1:16" x14ac:dyDescent="0.3">
      <c r="A2636">
        <v>3189</v>
      </c>
      <c r="B2636">
        <v>45142</v>
      </c>
      <c r="C2636">
        <v>59</v>
      </c>
      <c r="D2636">
        <v>23579</v>
      </c>
      <c r="E2636" t="s">
        <v>14</v>
      </c>
      <c r="F2636" t="s">
        <v>15</v>
      </c>
      <c r="G2636" t="s">
        <v>34</v>
      </c>
      <c r="H2636" t="s">
        <v>8</v>
      </c>
      <c r="I2636" t="s">
        <v>9</v>
      </c>
      <c r="J2636" t="s">
        <v>25</v>
      </c>
      <c r="K2636" t="s">
        <v>11</v>
      </c>
      <c r="L2636" t="s">
        <v>12</v>
      </c>
      <c r="M2636" t="s">
        <v>54</v>
      </c>
      <c r="N2636" t="s">
        <v>46</v>
      </c>
      <c r="O2636" t="s">
        <v>65</v>
      </c>
      <c r="P2636">
        <v>3</v>
      </c>
    </row>
    <row r="2637" spans="1:16" x14ac:dyDescent="0.3">
      <c r="A2637">
        <v>3190</v>
      </c>
      <c r="B2637">
        <v>44150</v>
      </c>
      <c r="C2637">
        <v>22</v>
      </c>
      <c r="D2637">
        <v>35836</v>
      </c>
      <c r="E2637" t="s">
        <v>14</v>
      </c>
      <c r="F2637" t="s">
        <v>22</v>
      </c>
      <c r="G2637" t="s">
        <v>40</v>
      </c>
      <c r="H2637" t="s">
        <v>8</v>
      </c>
      <c r="I2637" t="s">
        <v>9</v>
      </c>
      <c r="J2637" t="s">
        <v>10</v>
      </c>
      <c r="K2637" t="s">
        <v>11</v>
      </c>
      <c r="L2637" t="s">
        <v>12</v>
      </c>
      <c r="M2637" t="s">
        <v>32</v>
      </c>
      <c r="N2637" t="s">
        <v>16</v>
      </c>
      <c r="O2637" t="s">
        <v>65</v>
      </c>
      <c r="P2637">
        <v>5</v>
      </c>
    </row>
    <row r="2638" spans="1:16" x14ac:dyDescent="0.3">
      <c r="A2638">
        <v>3191</v>
      </c>
      <c r="B2638">
        <v>44748</v>
      </c>
      <c r="C2638">
        <v>77</v>
      </c>
      <c r="D2638">
        <v>16465</v>
      </c>
      <c r="E2638" t="s">
        <v>14</v>
      </c>
      <c r="F2638" t="s">
        <v>22</v>
      </c>
      <c r="G2638" t="s">
        <v>34</v>
      </c>
      <c r="H2638" t="s">
        <v>8</v>
      </c>
      <c r="I2638" t="s">
        <v>9</v>
      </c>
      <c r="J2638" t="s">
        <v>20</v>
      </c>
      <c r="K2638" t="s">
        <v>19</v>
      </c>
      <c r="L2638" t="s">
        <v>12</v>
      </c>
      <c r="M2638" t="s">
        <v>68</v>
      </c>
      <c r="N2638" t="s">
        <v>37</v>
      </c>
      <c r="O2638" t="s">
        <v>18</v>
      </c>
      <c r="P2638">
        <v>2</v>
      </c>
    </row>
    <row r="2639" spans="1:16" x14ac:dyDescent="0.3">
      <c r="A2639">
        <v>3192</v>
      </c>
      <c r="B2639">
        <v>43576</v>
      </c>
      <c r="C2639">
        <v>22</v>
      </c>
      <c r="D2639">
        <v>35442</v>
      </c>
      <c r="E2639" t="s">
        <v>14</v>
      </c>
      <c r="F2639" t="s">
        <v>15</v>
      </c>
      <c r="G2639" t="s">
        <v>31</v>
      </c>
      <c r="H2639" t="s">
        <v>8</v>
      </c>
      <c r="I2639" t="s">
        <v>9</v>
      </c>
      <c r="J2639" t="s">
        <v>25</v>
      </c>
      <c r="K2639" t="s">
        <v>19</v>
      </c>
      <c r="L2639" t="s">
        <v>12</v>
      </c>
      <c r="M2639" t="s">
        <v>21</v>
      </c>
      <c r="N2639" t="s">
        <v>37</v>
      </c>
      <c r="O2639" t="s">
        <v>18</v>
      </c>
      <c r="P2639">
        <v>4</v>
      </c>
    </row>
    <row r="2640" spans="1:16" x14ac:dyDescent="0.3">
      <c r="A2640">
        <v>3193</v>
      </c>
      <c r="B2640">
        <v>44436</v>
      </c>
      <c r="C2640">
        <v>75</v>
      </c>
      <c r="D2640">
        <v>16826</v>
      </c>
      <c r="E2640" t="s">
        <v>14</v>
      </c>
      <c r="F2640" t="s">
        <v>15</v>
      </c>
      <c r="G2640" t="s">
        <v>40</v>
      </c>
      <c r="H2640" t="s">
        <v>8</v>
      </c>
      <c r="I2640" t="s">
        <v>9</v>
      </c>
      <c r="J2640" t="s">
        <v>25</v>
      </c>
      <c r="K2640" t="s">
        <v>11</v>
      </c>
      <c r="L2640" t="s">
        <v>12</v>
      </c>
      <c r="M2640" t="s">
        <v>32</v>
      </c>
      <c r="N2640" t="s">
        <v>37</v>
      </c>
      <c r="O2640" t="s">
        <v>65</v>
      </c>
      <c r="P2640">
        <v>1</v>
      </c>
    </row>
    <row r="2641" spans="1:16" x14ac:dyDescent="0.3">
      <c r="A2641">
        <v>3194</v>
      </c>
      <c r="B2641">
        <v>44280</v>
      </c>
      <c r="C2641">
        <v>26</v>
      </c>
      <c r="D2641">
        <v>34922</v>
      </c>
      <c r="E2641" t="s">
        <v>14</v>
      </c>
      <c r="F2641" t="s">
        <v>15</v>
      </c>
      <c r="G2641" t="s">
        <v>40</v>
      </c>
      <c r="H2641" t="s">
        <v>8</v>
      </c>
      <c r="I2641" t="s">
        <v>9</v>
      </c>
      <c r="J2641" t="s">
        <v>10</v>
      </c>
      <c r="K2641" t="s">
        <v>26</v>
      </c>
      <c r="L2641" t="s">
        <v>12</v>
      </c>
      <c r="M2641" t="s">
        <v>35</v>
      </c>
      <c r="N2641" t="s">
        <v>46</v>
      </c>
      <c r="O2641" t="s">
        <v>18</v>
      </c>
      <c r="P2641">
        <v>5</v>
      </c>
    </row>
    <row r="2642" spans="1:16" x14ac:dyDescent="0.3">
      <c r="A2642">
        <v>3195</v>
      </c>
      <c r="B2642">
        <v>44028</v>
      </c>
      <c r="C2642">
        <v>39</v>
      </c>
      <c r="D2642">
        <v>29617</v>
      </c>
      <c r="E2642" t="s">
        <v>14</v>
      </c>
      <c r="F2642" t="s">
        <v>15</v>
      </c>
      <c r="G2642" t="s">
        <v>40</v>
      </c>
      <c r="H2642" t="s">
        <v>8</v>
      </c>
      <c r="I2642" t="s">
        <v>9</v>
      </c>
      <c r="J2642" t="s">
        <v>25</v>
      </c>
      <c r="K2642" t="s">
        <v>19</v>
      </c>
      <c r="L2642" t="s">
        <v>12</v>
      </c>
      <c r="M2642" t="s">
        <v>32</v>
      </c>
      <c r="N2642" t="s">
        <v>16</v>
      </c>
      <c r="O2642" t="s">
        <v>18</v>
      </c>
      <c r="P2642">
        <v>4</v>
      </c>
    </row>
    <row r="2643" spans="1:16" x14ac:dyDescent="0.3">
      <c r="A2643">
        <v>3196</v>
      </c>
      <c r="B2643">
        <v>43432</v>
      </c>
      <c r="C2643">
        <v>44</v>
      </c>
      <c r="D2643">
        <v>27345</v>
      </c>
      <c r="E2643" t="s">
        <v>14</v>
      </c>
      <c r="F2643" t="s">
        <v>15</v>
      </c>
      <c r="G2643" t="s">
        <v>40</v>
      </c>
      <c r="H2643" t="s">
        <v>8</v>
      </c>
      <c r="I2643" t="s">
        <v>9</v>
      </c>
      <c r="J2643" t="s">
        <v>25</v>
      </c>
      <c r="K2643" t="s">
        <v>26</v>
      </c>
      <c r="L2643" t="s">
        <v>12</v>
      </c>
      <c r="M2643" t="s">
        <v>42</v>
      </c>
      <c r="N2643" t="s">
        <v>30</v>
      </c>
      <c r="O2643" t="s">
        <v>18</v>
      </c>
      <c r="P2643">
        <v>3</v>
      </c>
    </row>
    <row r="2644" spans="1:16" x14ac:dyDescent="0.3">
      <c r="A2644">
        <v>3197</v>
      </c>
      <c r="B2644">
        <v>43643</v>
      </c>
      <c r="C2644">
        <v>42</v>
      </c>
      <c r="D2644">
        <v>28215</v>
      </c>
      <c r="E2644" t="s">
        <v>14</v>
      </c>
      <c r="F2644" t="s">
        <v>15</v>
      </c>
      <c r="G2644" t="s">
        <v>40</v>
      </c>
      <c r="H2644" t="s">
        <v>8</v>
      </c>
      <c r="I2644" t="s">
        <v>9</v>
      </c>
      <c r="J2644" t="s">
        <v>10</v>
      </c>
      <c r="K2644" t="s">
        <v>19</v>
      </c>
      <c r="L2644" t="s">
        <v>12</v>
      </c>
      <c r="M2644" t="s">
        <v>32</v>
      </c>
      <c r="N2644" t="s">
        <v>23</v>
      </c>
      <c r="O2644" t="s">
        <v>65</v>
      </c>
      <c r="P2644">
        <v>5</v>
      </c>
    </row>
    <row r="2645" spans="1:16" x14ac:dyDescent="0.3">
      <c r="A2645">
        <v>3198</v>
      </c>
      <c r="B2645">
        <v>44930</v>
      </c>
      <c r="C2645">
        <v>44</v>
      </c>
      <c r="D2645">
        <v>29122</v>
      </c>
      <c r="E2645" t="s">
        <v>14</v>
      </c>
      <c r="F2645" t="s">
        <v>15</v>
      </c>
      <c r="G2645" t="s">
        <v>34</v>
      </c>
      <c r="H2645" t="s">
        <v>8</v>
      </c>
      <c r="I2645" t="s">
        <v>9</v>
      </c>
      <c r="J2645" t="s">
        <v>10</v>
      </c>
      <c r="K2645" t="s">
        <v>19</v>
      </c>
      <c r="L2645" t="s">
        <v>12</v>
      </c>
      <c r="M2645" t="s">
        <v>32</v>
      </c>
      <c r="N2645" t="s">
        <v>46</v>
      </c>
      <c r="O2645" t="s">
        <v>18</v>
      </c>
      <c r="P2645">
        <v>3</v>
      </c>
    </row>
    <row r="2646" spans="1:16" x14ac:dyDescent="0.3">
      <c r="A2646">
        <v>3199</v>
      </c>
      <c r="B2646">
        <v>43426</v>
      </c>
      <c r="C2646">
        <v>40</v>
      </c>
      <c r="D2646">
        <v>28507</v>
      </c>
      <c r="E2646" t="s">
        <v>14</v>
      </c>
      <c r="F2646" t="s">
        <v>15</v>
      </c>
      <c r="G2646" t="s">
        <v>34</v>
      </c>
      <c r="H2646" t="s">
        <v>8</v>
      </c>
      <c r="I2646" t="s">
        <v>9</v>
      </c>
      <c r="J2646" t="s">
        <v>25</v>
      </c>
      <c r="K2646" t="s">
        <v>26</v>
      </c>
      <c r="L2646" t="s">
        <v>12</v>
      </c>
      <c r="M2646" t="s">
        <v>42</v>
      </c>
      <c r="N2646" t="s">
        <v>23</v>
      </c>
      <c r="O2646" t="s">
        <v>18</v>
      </c>
      <c r="P2646">
        <v>4</v>
      </c>
    </row>
    <row r="2647" spans="1:16" x14ac:dyDescent="0.3">
      <c r="A2647">
        <v>3200</v>
      </c>
      <c r="B2647">
        <v>44204</v>
      </c>
      <c r="C2647">
        <v>46</v>
      </c>
      <c r="D2647">
        <v>27601</v>
      </c>
      <c r="E2647" t="s">
        <v>14</v>
      </c>
      <c r="F2647" t="s">
        <v>22</v>
      </c>
      <c r="G2647" t="s">
        <v>34</v>
      </c>
      <c r="H2647" t="s">
        <v>64</v>
      </c>
      <c r="I2647" t="s">
        <v>9</v>
      </c>
      <c r="J2647" t="s">
        <v>20</v>
      </c>
      <c r="K2647" t="s">
        <v>26</v>
      </c>
      <c r="L2647" t="s">
        <v>12</v>
      </c>
      <c r="M2647" t="s">
        <v>67</v>
      </c>
      <c r="N2647" t="s">
        <v>46</v>
      </c>
      <c r="O2647" t="s">
        <v>18</v>
      </c>
      <c r="P2647">
        <v>1</v>
      </c>
    </row>
    <row r="2648" spans="1:16" x14ac:dyDescent="0.3">
      <c r="A2648">
        <v>3201</v>
      </c>
      <c r="B2648">
        <v>44883</v>
      </c>
      <c r="C2648">
        <v>38</v>
      </c>
      <c r="D2648">
        <v>30879</v>
      </c>
      <c r="E2648" t="s">
        <v>14</v>
      </c>
      <c r="F2648" t="s">
        <v>15</v>
      </c>
      <c r="G2648" t="s">
        <v>17</v>
      </c>
      <c r="H2648" t="s">
        <v>8</v>
      </c>
      <c r="I2648" t="s">
        <v>9</v>
      </c>
      <c r="J2648" t="s">
        <v>20</v>
      </c>
      <c r="K2648" t="s">
        <v>19</v>
      </c>
      <c r="L2648" t="s">
        <v>12</v>
      </c>
      <c r="M2648" t="s">
        <v>21</v>
      </c>
      <c r="N2648" t="s">
        <v>46</v>
      </c>
      <c r="O2648" t="s">
        <v>18</v>
      </c>
      <c r="P2648">
        <v>4</v>
      </c>
    </row>
    <row r="2649" spans="1:16" x14ac:dyDescent="0.3">
      <c r="A2649">
        <v>3202</v>
      </c>
      <c r="B2649">
        <v>44003</v>
      </c>
      <c r="C2649">
        <v>21</v>
      </c>
      <c r="D2649">
        <v>36247</v>
      </c>
      <c r="E2649" t="s">
        <v>14</v>
      </c>
      <c r="F2649" t="s">
        <v>15</v>
      </c>
      <c r="G2649" t="s">
        <v>31</v>
      </c>
      <c r="H2649" t="s">
        <v>8</v>
      </c>
      <c r="I2649" t="s">
        <v>66</v>
      </c>
      <c r="J2649" t="s">
        <v>10</v>
      </c>
      <c r="K2649" t="s">
        <v>19</v>
      </c>
      <c r="L2649" t="s">
        <v>12</v>
      </c>
      <c r="M2649" t="s">
        <v>42</v>
      </c>
      <c r="N2649" t="s">
        <v>30</v>
      </c>
      <c r="O2649" t="s">
        <v>18</v>
      </c>
      <c r="P2649">
        <v>5</v>
      </c>
    </row>
    <row r="2650" spans="1:16" x14ac:dyDescent="0.3">
      <c r="A2650">
        <v>3203</v>
      </c>
      <c r="B2650">
        <v>44215</v>
      </c>
      <c r="C2650">
        <v>60</v>
      </c>
      <c r="D2650">
        <v>22534</v>
      </c>
      <c r="E2650" t="s">
        <v>14</v>
      </c>
      <c r="F2650" t="s">
        <v>15</v>
      </c>
      <c r="G2650" t="s">
        <v>31</v>
      </c>
      <c r="H2650" t="s">
        <v>8</v>
      </c>
      <c r="I2650" t="s">
        <v>66</v>
      </c>
      <c r="J2650" t="s">
        <v>10</v>
      </c>
      <c r="K2650" t="s">
        <v>11</v>
      </c>
      <c r="L2650" t="s">
        <v>12</v>
      </c>
      <c r="M2650" t="s">
        <v>28</v>
      </c>
      <c r="N2650" t="s">
        <v>16</v>
      </c>
      <c r="O2650" t="s">
        <v>18</v>
      </c>
      <c r="P2650">
        <v>4</v>
      </c>
    </row>
    <row r="2651" spans="1:16" x14ac:dyDescent="0.3">
      <c r="A2651">
        <v>3204</v>
      </c>
      <c r="B2651">
        <v>45081</v>
      </c>
      <c r="C2651">
        <v>64</v>
      </c>
      <c r="D2651">
        <v>21866</v>
      </c>
      <c r="E2651" t="s">
        <v>14</v>
      </c>
      <c r="F2651" t="s">
        <v>22</v>
      </c>
      <c r="G2651" t="s">
        <v>31</v>
      </c>
      <c r="H2651" t="s">
        <v>8</v>
      </c>
      <c r="I2651" t="s">
        <v>9</v>
      </c>
      <c r="J2651" t="s">
        <v>10</v>
      </c>
      <c r="K2651" t="s">
        <v>11</v>
      </c>
      <c r="L2651" t="s">
        <v>12</v>
      </c>
      <c r="M2651" t="s">
        <v>28</v>
      </c>
      <c r="N2651" t="s">
        <v>16</v>
      </c>
      <c r="O2651" t="s">
        <v>18</v>
      </c>
      <c r="P2651">
        <v>1</v>
      </c>
    </row>
    <row r="2652" spans="1:16" x14ac:dyDescent="0.3">
      <c r="A2652">
        <v>3206</v>
      </c>
      <c r="B2652">
        <v>43714</v>
      </c>
      <c r="C2652">
        <v>58</v>
      </c>
      <c r="D2652">
        <v>22356</v>
      </c>
      <c r="E2652" t="s">
        <v>14</v>
      </c>
      <c r="F2652" t="s">
        <v>22</v>
      </c>
      <c r="G2652" t="s">
        <v>40</v>
      </c>
      <c r="H2652" t="s">
        <v>8</v>
      </c>
      <c r="I2652" t="s">
        <v>9</v>
      </c>
      <c r="J2652" t="s">
        <v>20</v>
      </c>
      <c r="K2652" t="s">
        <v>19</v>
      </c>
      <c r="L2652" t="s">
        <v>12</v>
      </c>
      <c r="M2652" t="s">
        <v>59</v>
      </c>
      <c r="N2652" t="s">
        <v>23</v>
      </c>
      <c r="O2652" t="s">
        <v>18</v>
      </c>
      <c r="P2652">
        <v>4</v>
      </c>
    </row>
    <row r="2653" spans="1:16" x14ac:dyDescent="0.3">
      <c r="A2653">
        <v>3207</v>
      </c>
      <c r="B2653">
        <v>44647</v>
      </c>
      <c r="C2653">
        <v>41</v>
      </c>
      <c r="D2653">
        <v>29826</v>
      </c>
      <c r="E2653" t="s">
        <v>14</v>
      </c>
      <c r="F2653" t="s">
        <v>15</v>
      </c>
      <c r="G2653" t="s">
        <v>17</v>
      </c>
      <c r="H2653" t="s">
        <v>8</v>
      </c>
      <c r="I2653" t="s">
        <v>9</v>
      </c>
      <c r="J2653" t="s">
        <v>25</v>
      </c>
      <c r="K2653" t="s">
        <v>11</v>
      </c>
      <c r="L2653" t="s">
        <v>12</v>
      </c>
      <c r="M2653" t="s">
        <v>54</v>
      </c>
      <c r="N2653" t="s">
        <v>16</v>
      </c>
      <c r="O2653" t="s">
        <v>18</v>
      </c>
      <c r="P2653">
        <v>4</v>
      </c>
    </row>
    <row r="2654" spans="1:16" x14ac:dyDescent="0.3">
      <c r="A2654">
        <v>3208</v>
      </c>
      <c r="B2654">
        <v>44190</v>
      </c>
      <c r="C2654">
        <v>47</v>
      </c>
      <c r="D2654">
        <v>26911</v>
      </c>
      <c r="E2654" t="s">
        <v>14</v>
      </c>
      <c r="F2654" t="s">
        <v>22</v>
      </c>
      <c r="G2654" t="s">
        <v>40</v>
      </c>
      <c r="H2654" t="s">
        <v>8</v>
      </c>
      <c r="I2654" t="s">
        <v>66</v>
      </c>
      <c r="J2654" t="s">
        <v>10</v>
      </c>
      <c r="K2654" t="s">
        <v>19</v>
      </c>
      <c r="L2654" t="s">
        <v>12</v>
      </c>
      <c r="M2654" t="s">
        <v>35</v>
      </c>
      <c r="N2654" t="s">
        <v>23</v>
      </c>
      <c r="O2654" t="s">
        <v>18</v>
      </c>
      <c r="P2654">
        <v>1</v>
      </c>
    </row>
    <row r="2655" spans="1:16" x14ac:dyDescent="0.3">
      <c r="A2655">
        <v>3209</v>
      </c>
      <c r="B2655">
        <v>44310</v>
      </c>
      <c r="C2655">
        <v>38</v>
      </c>
      <c r="D2655">
        <v>30392</v>
      </c>
      <c r="E2655" t="s">
        <v>14</v>
      </c>
      <c r="F2655" t="s">
        <v>22</v>
      </c>
      <c r="G2655" t="s">
        <v>17</v>
      </c>
      <c r="H2655" t="s">
        <v>64</v>
      </c>
      <c r="I2655" t="s">
        <v>9</v>
      </c>
      <c r="J2655" t="s">
        <v>10</v>
      </c>
      <c r="K2655" t="s">
        <v>19</v>
      </c>
      <c r="L2655" t="s">
        <v>12</v>
      </c>
      <c r="M2655" t="s">
        <v>32</v>
      </c>
      <c r="N2655" t="s">
        <v>23</v>
      </c>
      <c r="O2655" t="s">
        <v>18</v>
      </c>
      <c r="P2655">
        <v>3</v>
      </c>
    </row>
    <row r="2656" spans="1:16" x14ac:dyDescent="0.3">
      <c r="A2656">
        <v>3210</v>
      </c>
      <c r="B2656">
        <v>43963</v>
      </c>
      <c r="C2656">
        <v>27</v>
      </c>
      <c r="D2656">
        <v>34133</v>
      </c>
      <c r="E2656" t="s">
        <v>14</v>
      </c>
      <c r="F2656" t="s">
        <v>15</v>
      </c>
      <c r="G2656" t="s">
        <v>40</v>
      </c>
      <c r="H2656" t="s">
        <v>8</v>
      </c>
      <c r="I2656" t="s">
        <v>9</v>
      </c>
      <c r="J2656" t="s">
        <v>25</v>
      </c>
      <c r="K2656" t="s">
        <v>19</v>
      </c>
      <c r="L2656" t="s">
        <v>12</v>
      </c>
      <c r="M2656" t="s">
        <v>21</v>
      </c>
      <c r="N2656" t="s">
        <v>23</v>
      </c>
      <c r="O2656" t="s">
        <v>18</v>
      </c>
      <c r="P2656">
        <v>5</v>
      </c>
    </row>
    <row r="2657" spans="1:16" x14ac:dyDescent="0.3">
      <c r="A2657">
        <v>3211</v>
      </c>
      <c r="B2657">
        <v>45069</v>
      </c>
      <c r="C2657">
        <v>68</v>
      </c>
      <c r="D2657">
        <v>20327</v>
      </c>
      <c r="E2657" t="s">
        <v>14</v>
      </c>
      <c r="F2657" t="s">
        <v>15</v>
      </c>
      <c r="G2657" t="s">
        <v>34</v>
      </c>
      <c r="H2657" t="s">
        <v>64</v>
      </c>
      <c r="I2657" t="s">
        <v>9</v>
      </c>
      <c r="J2657" t="s">
        <v>20</v>
      </c>
      <c r="K2657" t="s">
        <v>26</v>
      </c>
      <c r="L2657" t="s">
        <v>12</v>
      </c>
      <c r="M2657" t="s">
        <v>28</v>
      </c>
      <c r="N2657" t="s">
        <v>30</v>
      </c>
      <c r="O2657" t="s">
        <v>18</v>
      </c>
      <c r="P2657">
        <v>5</v>
      </c>
    </row>
    <row r="2658" spans="1:16" x14ac:dyDescent="0.3">
      <c r="A2658">
        <v>3212</v>
      </c>
      <c r="B2658">
        <v>44192</v>
      </c>
      <c r="C2658">
        <v>48</v>
      </c>
      <c r="D2658">
        <v>26480</v>
      </c>
      <c r="E2658" t="s">
        <v>14</v>
      </c>
      <c r="F2658" t="s">
        <v>22</v>
      </c>
      <c r="G2658" t="s">
        <v>34</v>
      </c>
      <c r="H2658" t="s">
        <v>64</v>
      </c>
      <c r="I2658" t="s">
        <v>66</v>
      </c>
      <c r="J2658" t="s">
        <v>25</v>
      </c>
      <c r="K2658" t="s">
        <v>11</v>
      </c>
      <c r="L2658" t="s">
        <v>12</v>
      </c>
      <c r="M2658" t="s">
        <v>35</v>
      </c>
      <c r="N2658" t="s">
        <v>46</v>
      </c>
      <c r="O2658" t="s">
        <v>18</v>
      </c>
      <c r="P2658">
        <v>5</v>
      </c>
    </row>
    <row r="2659" spans="1:16" x14ac:dyDescent="0.3">
      <c r="A2659">
        <v>3213</v>
      </c>
      <c r="B2659">
        <v>43421</v>
      </c>
      <c r="C2659">
        <v>66</v>
      </c>
      <c r="D2659">
        <v>19173</v>
      </c>
      <c r="E2659" t="s">
        <v>14</v>
      </c>
      <c r="F2659" t="s">
        <v>22</v>
      </c>
      <c r="G2659" t="s">
        <v>17</v>
      </c>
      <c r="H2659" t="s">
        <v>8</v>
      </c>
      <c r="I2659" t="s">
        <v>9</v>
      </c>
      <c r="J2659" t="s">
        <v>25</v>
      </c>
      <c r="K2659" t="s">
        <v>19</v>
      </c>
      <c r="L2659" t="s">
        <v>12</v>
      </c>
      <c r="M2659" t="s">
        <v>35</v>
      </c>
      <c r="N2659" t="s">
        <v>23</v>
      </c>
      <c r="O2659" t="s">
        <v>18</v>
      </c>
      <c r="P2659">
        <v>5</v>
      </c>
    </row>
    <row r="2660" spans="1:16" x14ac:dyDescent="0.3">
      <c r="A2660">
        <v>3214</v>
      </c>
      <c r="B2660">
        <v>43662</v>
      </c>
      <c r="C2660">
        <v>47</v>
      </c>
      <c r="D2660">
        <v>26655</v>
      </c>
      <c r="E2660" t="s">
        <v>14</v>
      </c>
      <c r="F2660" t="s">
        <v>15</v>
      </c>
      <c r="G2660" t="s">
        <v>17</v>
      </c>
      <c r="H2660" t="s">
        <v>8</v>
      </c>
      <c r="I2660" t="s">
        <v>9</v>
      </c>
      <c r="J2660" t="s">
        <v>20</v>
      </c>
      <c r="K2660" t="s">
        <v>26</v>
      </c>
      <c r="L2660" t="s">
        <v>12</v>
      </c>
      <c r="M2660" t="s">
        <v>32</v>
      </c>
      <c r="N2660" t="s">
        <v>46</v>
      </c>
      <c r="O2660" t="s">
        <v>18</v>
      </c>
      <c r="P2660">
        <v>1</v>
      </c>
    </row>
    <row r="2661" spans="1:16" x14ac:dyDescent="0.3">
      <c r="A2661">
        <v>3215</v>
      </c>
      <c r="B2661">
        <v>43855</v>
      </c>
      <c r="C2661">
        <v>47</v>
      </c>
      <c r="D2661">
        <v>26818</v>
      </c>
      <c r="E2661" t="s">
        <v>14</v>
      </c>
      <c r="F2661" t="s">
        <v>22</v>
      </c>
      <c r="G2661" t="s">
        <v>40</v>
      </c>
      <c r="H2661" t="s">
        <v>64</v>
      </c>
      <c r="I2661" t="s">
        <v>9</v>
      </c>
      <c r="J2661" t="s">
        <v>10</v>
      </c>
      <c r="K2661" t="s">
        <v>19</v>
      </c>
      <c r="L2661" t="s">
        <v>12</v>
      </c>
      <c r="M2661" t="s">
        <v>28</v>
      </c>
      <c r="N2661" t="s">
        <v>16</v>
      </c>
      <c r="O2661" t="s">
        <v>18</v>
      </c>
      <c r="P2661">
        <v>3</v>
      </c>
    </row>
    <row r="2662" spans="1:16" x14ac:dyDescent="0.3">
      <c r="A2662">
        <v>3216</v>
      </c>
      <c r="B2662">
        <v>44424</v>
      </c>
      <c r="C2662">
        <v>49</v>
      </c>
      <c r="D2662">
        <v>26357</v>
      </c>
      <c r="E2662" t="s">
        <v>14</v>
      </c>
      <c r="F2662" t="s">
        <v>15</v>
      </c>
      <c r="G2662" t="s">
        <v>40</v>
      </c>
      <c r="H2662" t="s">
        <v>8</v>
      </c>
      <c r="I2662" t="s">
        <v>9</v>
      </c>
      <c r="J2662" t="s">
        <v>20</v>
      </c>
      <c r="K2662" t="s">
        <v>19</v>
      </c>
      <c r="L2662" t="s">
        <v>12</v>
      </c>
      <c r="M2662" t="s">
        <v>55</v>
      </c>
      <c r="N2662" t="s">
        <v>30</v>
      </c>
      <c r="O2662" t="s">
        <v>18</v>
      </c>
      <c r="P2662">
        <v>4</v>
      </c>
    </row>
    <row r="2663" spans="1:16" x14ac:dyDescent="0.3">
      <c r="A2663">
        <v>3217</v>
      </c>
      <c r="B2663">
        <v>43485</v>
      </c>
      <c r="C2663">
        <v>51</v>
      </c>
      <c r="D2663">
        <v>25109</v>
      </c>
      <c r="E2663" t="s">
        <v>14</v>
      </c>
      <c r="F2663" t="s">
        <v>15</v>
      </c>
      <c r="G2663" t="s">
        <v>31</v>
      </c>
      <c r="H2663" t="s">
        <v>64</v>
      </c>
      <c r="I2663" t="s">
        <v>66</v>
      </c>
      <c r="J2663" t="s">
        <v>10</v>
      </c>
      <c r="K2663" t="s">
        <v>26</v>
      </c>
      <c r="L2663" t="s">
        <v>12</v>
      </c>
      <c r="M2663" t="s">
        <v>32</v>
      </c>
      <c r="N2663" t="s">
        <v>16</v>
      </c>
      <c r="O2663" t="s">
        <v>18</v>
      </c>
      <c r="P2663">
        <v>2</v>
      </c>
    </row>
    <row r="2664" spans="1:16" x14ac:dyDescent="0.3">
      <c r="A2664">
        <v>3218</v>
      </c>
      <c r="B2664">
        <v>43347</v>
      </c>
      <c r="C2664">
        <v>47</v>
      </c>
      <c r="D2664">
        <v>26127</v>
      </c>
      <c r="E2664" t="s">
        <v>14</v>
      </c>
      <c r="F2664" t="s">
        <v>22</v>
      </c>
      <c r="G2664" t="s">
        <v>17</v>
      </c>
      <c r="H2664" t="s">
        <v>8</v>
      </c>
      <c r="I2664" t="s">
        <v>9</v>
      </c>
      <c r="J2664" t="s">
        <v>25</v>
      </c>
      <c r="K2664" t="s">
        <v>11</v>
      </c>
      <c r="L2664" t="s">
        <v>12</v>
      </c>
      <c r="M2664" t="s">
        <v>35</v>
      </c>
      <c r="N2664" t="s">
        <v>30</v>
      </c>
      <c r="O2664" t="s">
        <v>18</v>
      </c>
      <c r="P2664">
        <v>2</v>
      </c>
    </row>
    <row r="2665" spans="1:16" x14ac:dyDescent="0.3">
      <c r="A2665">
        <v>3219</v>
      </c>
      <c r="B2665">
        <v>43728</v>
      </c>
      <c r="C2665">
        <v>19</v>
      </c>
      <c r="D2665">
        <v>36754</v>
      </c>
      <c r="E2665" t="s">
        <v>14</v>
      </c>
      <c r="F2665" t="s">
        <v>15</v>
      </c>
      <c r="G2665" t="s">
        <v>17</v>
      </c>
      <c r="H2665" t="s">
        <v>64</v>
      </c>
      <c r="I2665" t="s">
        <v>9</v>
      </c>
      <c r="J2665" t="s">
        <v>25</v>
      </c>
      <c r="K2665" t="s">
        <v>26</v>
      </c>
      <c r="L2665" t="s">
        <v>12</v>
      </c>
      <c r="M2665" t="s">
        <v>44</v>
      </c>
      <c r="N2665" t="s">
        <v>37</v>
      </c>
      <c r="O2665" t="s">
        <v>18</v>
      </c>
      <c r="P2665">
        <v>3</v>
      </c>
    </row>
    <row r="2666" spans="1:16" x14ac:dyDescent="0.3">
      <c r="A2666">
        <v>3220</v>
      </c>
      <c r="B2666">
        <v>45131</v>
      </c>
      <c r="C2666">
        <v>43</v>
      </c>
      <c r="D2666">
        <v>29505</v>
      </c>
      <c r="E2666" t="s">
        <v>14</v>
      </c>
      <c r="F2666" t="s">
        <v>15</v>
      </c>
      <c r="G2666" t="s">
        <v>40</v>
      </c>
      <c r="H2666" t="s">
        <v>8</v>
      </c>
      <c r="I2666" t="s">
        <v>9</v>
      </c>
      <c r="J2666" t="s">
        <v>20</v>
      </c>
      <c r="K2666" t="s">
        <v>19</v>
      </c>
      <c r="L2666" t="s">
        <v>12</v>
      </c>
      <c r="M2666" t="s">
        <v>35</v>
      </c>
      <c r="N2666" t="s">
        <v>30</v>
      </c>
      <c r="O2666" t="s">
        <v>18</v>
      </c>
      <c r="P2666">
        <v>4</v>
      </c>
    </row>
    <row r="2667" spans="1:16" x14ac:dyDescent="0.3">
      <c r="A2667">
        <v>3221</v>
      </c>
      <c r="B2667">
        <v>45112</v>
      </c>
      <c r="C2667">
        <v>78</v>
      </c>
      <c r="D2667">
        <v>16802</v>
      </c>
      <c r="E2667" t="s">
        <v>14</v>
      </c>
      <c r="F2667" t="s">
        <v>22</v>
      </c>
      <c r="G2667" t="s">
        <v>31</v>
      </c>
      <c r="H2667" t="s">
        <v>8</v>
      </c>
      <c r="I2667" t="s">
        <v>9</v>
      </c>
      <c r="J2667" t="s">
        <v>25</v>
      </c>
      <c r="K2667" t="s">
        <v>26</v>
      </c>
      <c r="L2667" t="s">
        <v>12</v>
      </c>
      <c r="M2667" t="s">
        <v>59</v>
      </c>
      <c r="N2667" t="s">
        <v>30</v>
      </c>
      <c r="O2667" t="s">
        <v>18</v>
      </c>
      <c r="P2667">
        <v>3</v>
      </c>
    </row>
    <row r="2668" spans="1:16" x14ac:dyDescent="0.3">
      <c r="A2668">
        <v>3222</v>
      </c>
      <c r="B2668">
        <v>44207</v>
      </c>
      <c r="C2668">
        <v>31</v>
      </c>
      <c r="D2668">
        <v>33099</v>
      </c>
      <c r="E2668" t="s">
        <v>14</v>
      </c>
      <c r="F2668" t="s">
        <v>15</v>
      </c>
      <c r="G2668" t="s">
        <v>34</v>
      </c>
      <c r="H2668" t="s">
        <v>8</v>
      </c>
      <c r="I2668" t="s">
        <v>9</v>
      </c>
      <c r="J2668" t="s">
        <v>10</v>
      </c>
      <c r="K2668" t="s">
        <v>19</v>
      </c>
      <c r="L2668" t="s">
        <v>12</v>
      </c>
      <c r="M2668" t="s">
        <v>58</v>
      </c>
      <c r="N2668" t="s">
        <v>23</v>
      </c>
      <c r="O2668" t="s">
        <v>18</v>
      </c>
      <c r="P2668">
        <v>5</v>
      </c>
    </row>
    <row r="2669" spans="1:16" x14ac:dyDescent="0.3">
      <c r="A2669">
        <v>3223</v>
      </c>
      <c r="B2669">
        <v>44871</v>
      </c>
      <c r="C2669">
        <v>70</v>
      </c>
      <c r="D2669">
        <v>19279</v>
      </c>
      <c r="E2669" t="s">
        <v>14</v>
      </c>
      <c r="F2669" t="s">
        <v>15</v>
      </c>
      <c r="G2669" t="s">
        <v>31</v>
      </c>
      <c r="H2669" t="s">
        <v>8</v>
      </c>
      <c r="I2669" t="s">
        <v>9</v>
      </c>
      <c r="J2669" t="s">
        <v>25</v>
      </c>
      <c r="K2669" t="s">
        <v>19</v>
      </c>
      <c r="L2669" t="s">
        <v>12</v>
      </c>
      <c r="M2669" t="s">
        <v>49</v>
      </c>
      <c r="N2669" t="s">
        <v>46</v>
      </c>
      <c r="O2669" t="s">
        <v>18</v>
      </c>
      <c r="P2669">
        <v>4</v>
      </c>
    </row>
    <row r="2670" spans="1:16" x14ac:dyDescent="0.3">
      <c r="A2670">
        <v>3224</v>
      </c>
      <c r="B2670">
        <v>45019</v>
      </c>
      <c r="C2670">
        <v>53</v>
      </c>
      <c r="D2670">
        <v>25605</v>
      </c>
      <c r="E2670" t="s">
        <v>14</v>
      </c>
      <c r="F2670" t="s">
        <v>15</v>
      </c>
      <c r="G2670" t="s">
        <v>31</v>
      </c>
      <c r="H2670" t="s">
        <v>8</v>
      </c>
      <c r="I2670" t="s">
        <v>9</v>
      </c>
      <c r="J2670" t="s">
        <v>20</v>
      </c>
      <c r="K2670" t="s">
        <v>19</v>
      </c>
      <c r="L2670" t="s">
        <v>12</v>
      </c>
      <c r="M2670" t="s">
        <v>62</v>
      </c>
      <c r="N2670" t="s">
        <v>16</v>
      </c>
      <c r="O2670" t="s">
        <v>18</v>
      </c>
      <c r="P2670">
        <v>4</v>
      </c>
    </row>
    <row r="2671" spans="1:16" x14ac:dyDescent="0.3">
      <c r="A2671">
        <v>3225</v>
      </c>
      <c r="B2671">
        <v>44354</v>
      </c>
      <c r="C2671">
        <v>44</v>
      </c>
      <c r="D2671">
        <v>28335</v>
      </c>
      <c r="E2671" t="s">
        <v>14</v>
      </c>
      <c r="F2671" t="s">
        <v>15</v>
      </c>
      <c r="G2671" t="s">
        <v>40</v>
      </c>
      <c r="H2671" t="s">
        <v>8</v>
      </c>
      <c r="I2671" t="s">
        <v>9</v>
      </c>
      <c r="J2671" t="s">
        <v>10</v>
      </c>
      <c r="K2671" t="s">
        <v>26</v>
      </c>
      <c r="L2671" t="s">
        <v>12</v>
      </c>
      <c r="M2671" t="s">
        <v>32</v>
      </c>
      <c r="N2671" t="s">
        <v>16</v>
      </c>
      <c r="O2671" t="s">
        <v>18</v>
      </c>
      <c r="P2671">
        <v>1</v>
      </c>
    </row>
    <row r="2672" spans="1:16" x14ac:dyDescent="0.3">
      <c r="A2672">
        <v>3226</v>
      </c>
      <c r="B2672">
        <v>43485</v>
      </c>
      <c r="C2672">
        <v>31</v>
      </c>
      <c r="D2672">
        <v>32508</v>
      </c>
      <c r="E2672" t="s">
        <v>14</v>
      </c>
      <c r="F2672" t="s">
        <v>15</v>
      </c>
      <c r="G2672" t="s">
        <v>34</v>
      </c>
      <c r="H2672" t="s">
        <v>8</v>
      </c>
      <c r="I2672" t="s">
        <v>9</v>
      </c>
      <c r="J2672" t="s">
        <v>10</v>
      </c>
      <c r="K2672" t="s">
        <v>26</v>
      </c>
      <c r="L2672" t="s">
        <v>12</v>
      </c>
      <c r="M2672" t="s">
        <v>38</v>
      </c>
      <c r="N2672" t="s">
        <v>37</v>
      </c>
      <c r="O2672" t="s">
        <v>18</v>
      </c>
      <c r="P2672">
        <v>2</v>
      </c>
    </row>
    <row r="2673" spans="1:16" x14ac:dyDescent="0.3">
      <c r="A2673">
        <v>3228</v>
      </c>
      <c r="B2673">
        <v>43612</v>
      </c>
      <c r="C2673">
        <v>73</v>
      </c>
      <c r="D2673">
        <v>16956</v>
      </c>
      <c r="E2673" t="s">
        <v>14</v>
      </c>
      <c r="F2673" t="s">
        <v>22</v>
      </c>
      <c r="G2673" t="s">
        <v>31</v>
      </c>
      <c r="H2673" t="s">
        <v>8</v>
      </c>
      <c r="I2673" t="s">
        <v>66</v>
      </c>
      <c r="J2673" t="s">
        <v>25</v>
      </c>
      <c r="K2673" t="s">
        <v>11</v>
      </c>
      <c r="L2673" t="s">
        <v>12</v>
      </c>
      <c r="M2673" t="s">
        <v>35</v>
      </c>
      <c r="N2673" t="s">
        <v>23</v>
      </c>
      <c r="O2673" t="s">
        <v>18</v>
      </c>
      <c r="P2673">
        <v>5</v>
      </c>
    </row>
    <row r="2674" spans="1:16" x14ac:dyDescent="0.3">
      <c r="A2674">
        <v>3229</v>
      </c>
      <c r="B2674">
        <v>44913</v>
      </c>
      <c r="C2674">
        <v>77</v>
      </c>
      <c r="D2674">
        <v>16789</v>
      </c>
      <c r="E2674" t="s">
        <v>14</v>
      </c>
      <c r="F2674" t="s">
        <v>22</v>
      </c>
      <c r="G2674" t="s">
        <v>17</v>
      </c>
      <c r="H2674" t="s">
        <v>8</v>
      </c>
      <c r="I2674" t="s">
        <v>9</v>
      </c>
      <c r="J2674" t="s">
        <v>10</v>
      </c>
      <c r="K2674" t="s">
        <v>11</v>
      </c>
      <c r="L2674" t="s">
        <v>12</v>
      </c>
      <c r="M2674" t="s">
        <v>42</v>
      </c>
      <c r="N2674" t="s">
        <v>30</v>
      </c>
      <c r="O2674" t="s">
        <v>18</v>
      </c>
      <c r="P2674">
        <v>3</v>
      </c>
    </row>
    <row r="2675" spans="1:16" x14ac:dyDescent="0.3">
      <c r="A2675">
        <v>3231</v>
      </c>
      <c r="B2675">
        <v>44340</v>
      </c>
      <c r="C2675">
        <v>24</v>
      </c>
      <c r="D2675">
        <v>35564</v>
      </c>
      <c r="E2675" t="s">
        <v>14</v>
      </c>
      <c r="F2675" t="s">
        <v>15</v>
      </c>
      <c r="G2675" t="s">
        <v>40</v>
      </c>
      <c r="H2675" t="s">
        <v>8</v>
      </c>
      <c r="I2675" t="s">
        <v>9</v>
      </c>
      <c r="J2675" t="s">
        <v>25</v>
      </c>
      <c r="K2675" t="s">
        <v>11</v>
      </c>
      <c r="L2675" t="s">
        <v>12</v>
      </c>
      <c r="M2675" t="s">
        <v>58</v>
      </c>
      <c r="N2675" t="s">
        <v>16</v>
      </c>
      <c r="O2675" t="s">
        <v>41</v>
      </c>
      <c r="P2675">
        <v>3</v>
      </c>
    </row>
    <row r="2676" spans="1:16" x14ac:dyDescent="0.3">
      <c r="A2676">
        <v>3234</v>
      </c>
      <c r="B2676">
        <v>44431</v>
      </c>
      <c r="C2676">
        <v>62</v>
      </c>
      <c r="D2676">
        <v>21665</v>
      </c>
      <c r="E2676" t="s">
        <v>14</v>
      </c>
      <c r="F2676" t="s">
        <v>22</v>
      </c>
      <c r="G2676" t="s">
        <v>17</v>
      </c>
      <c r="H2676" t="s">
        <v>8</v>
      </c>
      <c r="I2676" t="s">
        <v>9</v>
      </c>
      <c r="J2676" t="s">
        <v>20</v>
      </c>
      <c r="K2676" t="s">
        <v>26</v>
      </c>
      <c r="L2676" t="s">
        <v>12</v>
      </c>
      <c r="M2676" t="s">
        <v>32</v>
      </c>
      <c r="N2676" t="s">
        <v>37</v>
      </c>
      <c r="O2676" t="s">
        <v>18</v>
      </c>
      <c r="P2676">
        <v>3</v>
      </c>
    </row>
    <row r="2677" spans="1:16" x14ac:dyDescent="0.3">
      <c r="A2677">
        <v>3235</v>
      </c>
      <c r="B2677">
        <v>44553</v>
      </c>
      <c r="C2677">
        <v>58</v>
      </c>
      <c r="D2677">
        <v>23224</v>
      </c>
      <c r="E2677" t="s">
        <v>14</v>
      </c>
      <c r="F2677" t="s">
        <v>22</v>
      </c>
      <c r="G2677" t="s">
        <v>34</v>
      </c>
      <c r="H2677" t="s">
        <v>8</v>
      </c>
      <c r="I2677" t="s">
        <v>9</v>
      </c>
      <c r="J2677" t="s">
        <v>10</v>
      </c>
      <c r="K2677" t="s">
        <v>11</v>
      </c>
      <c r="L2677" t="s">
        <v>12</v>
      </c>
      <c r="M2677" t="s">
        <v>42</v>
      </c>
      <c r="N2677" t="s">
        <v>23</v>
      </c>
      <c r="O2677" t="s">
        <v>18</v>
      </c>
      <c r="P2677">
        <v>4</v>
      </c>
    </row>
    <row r="2678" spans="1:16" x14ac:dyDescent="0.3">
      <c r="A2678">
        <v>3236</v>
      </c>
      <c r="B2678">
        <v>44585</v>
      </c>
      <c r="C2678">
        <v>43</v>
      </c>
      <c r="D2678">
        <v>29010</v>
      </c>
      <c r="E2678" t="s">
        <v>14</v>
      </c>
      <c r="F2678" t="s">
        <v>15</v>
      </c>
      <c r="G2678" t="s">
        <v>34</v>
      </c>
      <c r="H2678" t="s">
        <v>64</v>
      </c>
      <c r="I2678" t="s">
        <v>9</v>
      </c>
      <c r="J2678" t="s">
        <v>10</v>
      </c>
      <c r="K2678" t="s">
        <v>11</v>
      </c>
      <c r="L2678" t="s">
        <v>12</v>
      </c>
      <c r="M2678" t="s">
        <v>62</v>
      </c>
      <c r="N2678" t="s">
        <v>46</v>
      </c>
      <c r="O2678" t="s">
        <v>18</v>
      </c>
      <c r="P2678">
        <v>4</v>
      </c>
    </row>
    <row r="2679" spans="1:16" x14ac:dyDescent="0.3">
      <c r="A2679">
        <v>3237</v>
      </c>
      <c r="B2679">
        <v>44886</v>
      </c>
      <c r="C2679">
        <v>35</v>
      </c>
      <c r="D2679">
        <v>32119</v>
      </c>
      <c r="E2679" t="s">
        <v>14</v>
      </c>
      <c r="F2679" t="s">
        <v>22</v>
      </c>
      <c r="G2679" t="s">
        <v>34</v>
      </c>
      <c r="H2679" t="s">
        <v>64</v>
      </c>
      <c r="I2679" t="s">
        <v>9</v>
      </c>
      <c r="J2679" t="s">
        <v>10</v>
      </c>
      <c r="K2679" t="s">
        <v>26</v>
      </c>
      <c r="L2679" t="s">
        <v>12</v>
      </c>
      <c r="M2679" t="s">
        <v>38</v>
      </c>
      <c r="N2679" t="s">
        <v>16</v>
      </c>
      <c r="O2679" t="s">
        <v>18</v>
      </c>
      <c r="P2679">
        <v>1</v>
      </c>
    </row>
    <row r="2680" spans="1:16" x14ac:dyDescent="0.3">
      <c r="A2680">
        <v>3238</v>
      </c>
      <c r="B2680">
        <v>43438</v>
      </c>
      <c r="C2680">
        <v>18</v>
      </c>
      <c r="D2680">
        <v>36773</v>
      </c>
      <c r="E2680" t="s">
        <v>14</v>
      </c>
      <c r="F2680" t="s">
        <v>22</v>
      </c>
      <c r="G2680" t="s">
        <v>40</v>
      </c>
      <c r="H2680" t="s">
        <v>64</v>
      </c>
      <c r="I2680" t="s">
        <v>66</v>
      </c>
      <c r="J2680" t="s">
        <v>10</v>
      </c>
      <c r="K2680" t="s">
        <v>19</v>
      </c>
      <c r="L2680" t="s">
        <v>12</v>
      </c>
      <c r="M2680" t="s">
        <v>59</v>
      </c>
      <c r="N2680" t="s">
        <v>30</v>
      </c>
      <c r="O2680" t="s">
        <v>18</v>
      </c>
      <c r="P2680">
        <v>3</v>
      </c>
    </row>
    <row r="2681" spans="1:16" x14ac:dyDescent="0.3">
      <c r="A2681">
        <v>3239</v>
      </c>
      <c r="B2681">
        <v>43618</v>
      </c>
      <c r="C2681">
        <v>27</v>
      </c>
      <c r="D2681">
        <v>33804</v>
      </c>
      <c r="E2681" t="s">
        <v>14</v>
      </c>
      <c r="F2681" t="s">
        <v>22</v>
      </c>
      <c r="G2681" t="s">
        <v>31</v>
      </c>
      <c r="H2681" t="s">
        <v>64</v>
      </c>
      <c r="I2681" t="s">
        <v>9</v>
      </c>
      <c r="J2681" t="s">
        <v>20</v>
      </c>
      <c r="K2681" t="s">
        <v>11</v>
      </c>
      <c r="L2681" t="s">
        <v>12</v>
      </c>
      <c r="M2681" t="s">
        <v>35</v>
      </c>
      <c r="N2681" t="s">
        <v>37</v>
      </c>
      <c r="O2681" t="s">
        <v>18</v>
      </c>
      <c r="P2681">
        <v>2</v>
      </c>
    </row>
    <row r="2682" spans="1:16" x14ac:dyDescent="0.3">
      <c r="A2682">
        <v>3240</v>
      </c>
      <c r="B2682">
        <v>43324</v>
      </c>
      <c r="C2682">
        <v>38</v>
      </c>
      <c r="D2682">
        <v>29285</v>
      </c>
      <c r="E2682" t="s">
        <v>14</v>
      </c>
      <c r="F2682" t="s">
        <v>15</v>
      </c>
      <c r="G2682" t="s">
        <v>34</v>
      </c>
      <c r="H2682" t="s">
        <v>64</v>
      </c>
      <c r="I2682" t="s">
        <v>66</v>
      </c>
      <c r="J2682" t="s">
        <v>25</v>
      </c>
      <c r="K2682" t="s">
        <v>11</v>
      </c>
      <c r="L2682" t="s">
        <v>12</v>
      </c>
      <c r="M2682" t="s">
        <v>58</v>
      </c>
      <c r="N2682" t="s">
        <v>46</v>
      </c>
      <c r="O2682" t="s">
        <v>18</v>
      </c>
      <c r="P2682">
        <v>5</v>
      </c>
    </row>
    <row r="2683" spans="1:16" x14ac:dyDescent="0.3">
      <c r="A2683">
        <v>3241</v>
      </c>
      <c r="B2683">
        <v>44696</v>
      </c>
      <c r="C2683">
        <v>75</v>
      </c>
      <c r="D2683">
        <v>17512</v>
      </c>
      <c r="E2683" t="s">
        <v>14</v>
      </c>
      <c r="F2683" t="s">
        <v>15</v>
      </c>
      <c r="G2683" t="s">
        <v>40</v>
      </c>
      <c r="H2683" t="s">
        <v>64</v>
      </c>
      <c r="I2683" t="s">
        <v>9</v>
      </c>
      <c r="J2683" t="s">
        <v>20</v>
      </c>
      <c r="K2683" t="s">
        <v>26</v>
      </c>
      <c r="L2683" t="s">
        <v>12</v>
      </c>
      <c r="M2683" t="s">
        <v>28</v>
      </c>
      <c r="N2683" t="s">
        <v>16</v>
      </c>
      <c r="O2683" t="s">
        <v>18</v>
      </c>
      <c r="P2683">
        <v>5</v>
      </c>
    </row>
    <row r="2684" spans="1:16" x14ac:dyDescent="0.3">
      <c r="A2684">
        <v>3242</v>
      </c>
      <c r="B2684">
        <v>44523</v>
      </c>
      <c r="C2684">
        <v>66</v>
      </c>
      <c r="D2684">
        <v>20192</v>
      </c>
      <c r="E2684" t="s">
        <v>14</v>
      </c>
      <c r="F2684" t="s">
        <v>22</v>
      </c>
      <c r="G2684" t="s">
        <v>31</v>
      </c>
      <c r="H2684" t="s">
        <v>8</v>
      </c>
      <c r="I2684" t="s">
        <v>66</v>
      </c>
      <c r="J2684" t="s">
        <v>10</v>
      </c>
      <c r="K2684" t="s">
        <v>11</v>
      </c>
      <c r="L2684" t="s">
        <v>12</v>
      </c>
      <c r="M2684" t="s">
        <v>21</v>
      </c>
      <c r="N2684" t="s">
        <v>23</v>
      </c>
      <c r="O2684" t="s">
        <v>18</v>
      </c>
      <c r="P2684">
        <v>3</v>
      </c>
    </row>
    <row r="2685" spans="1:16" x14ac:dyDescent="0.3">
      <c r="A2685">
        <v>3243</v>
      </c>
      <c r="B2685">
        <v>44178</v>
      </c>
      <c r="C2685">
        <v>65</v>
      </c>
      <c r="D2685">
        <v>20128</v>
      </c>
      <c r="E2685" t="s">
        <v>14</v>
      </c>
      <c r="F2685" t="s">
        <v>22</v>
      </c>
      <c r="G2685" t="s">
        <v>34</v>
      </c>
      <c r="H2685" t="s">
        <v>8</v>
      </c>
      <c r="I2685" t="s">
        <v>9</v>
      </c>
      <c r="J2685" t="s">
        <v>25</v>
      </c>
      <c r="K2685" t="s">
        <v>11</v>
      </c>
      <c r="L2685" t="s">
        <v>12</v>
      </c>
      <c r="M2685" t="s">
        <v>49</v>
      </c>
      <c r="N2685" t="s">
        <v>23</v>
      </c>
      <c r="O2685" t="s">
        <v>18</v>
      </c>
      <c r="P2685">
        <v>3</v>
      </c>
    </row>
    <row r="2686" spans="1:16" x14ac:dyDescent="0.3">
      <c r="A2686">
        <v>3244</v>
      </c>
      <c r="B2686">
        <v>44405</v>
      </c>
      <c r="C2686">
        <v>73</v>
      </c>
      <c r="D2686">
        <v>17884</v>
      </c>
      <c r="E2686" t="s">
        <v>14</v>
      </c>
      <c r="F2686" t="s">
        <v>15</v>
      </c>
      <c r="G2686" t="s">
        <v>40</v>
      </c>
      <c r="H2686" t="s">
        <v>8</v>
      </c>
      <c r="I2686" t="s">
        <v>9</v>
      </c>
      <c r="J2686" t="s">
        <v>20</v>
      </c>
      <c r="K2686" t="s">
        <v>11</v>
      </c>
      <c r="L2686" t="s">
        <v>12</v>
      </c>
      <c r="M2686" t="s">
        <v>58</v>
      </c>
      <c r="N2686" t="s">
        <v>37</v>
      </c>
      <c r="O2686" t="s">
        <v>18</v>
      </c>
      <c r="P2686">
        <v>1</v>
      </c>
    </row>
    <row r="2687" spans="1:16" x14ac:dyDescent="0.3">
      <c r="A2687">
        <v>3245</v>
      </c>
      <c r="B2687">
        <v>43623</v>
      </c>
      <c r="C2687">
        <v>71</v>
      </c>
      <c r="D2687">
        <v>17633</v>
      </c>
      <c r="E2687" t="s">
        <v>14</v>
      </c>
      <c r="F2687" t="s">
        <v>15</v>
      </c>
      <c r="G2687" t="s">
        <v>34</v>
      </c>
      <c r="H2687" t="s">
        <v>8</v>
      </c>
      <c r="I2687" t="s">
        <v>66</v>
      </c>
      <c r="J2687" t="s">
        <v>25</v>
      </c>
      <c r="K2687" t="s">
        <v>19</v>
      </c>
      <c r="L2687" t="s">
        <v>12</v>
      </c>
      <c r="M2687" t="s">
        <v>35</v>
      </c>
      <c r="N2687" t="s">
        <v>37</v>
      </c>
      <c r="O2687" t="s">
        <v>18</v>
      </c>
      <c r="P2687">
        <v>5</v>
      </c>
    </row>
    <row r="2688" spans="1:16" x14ac:dyDescent="0.3">
      <c r="A2688">
        <v>3246</v>
      </c>
      <c r="B2688">
        <v>43628</v>
      </c>
      <c r="C2688">
        <v>31</v>
      </c>
      <c r="D2688">
        <v>32248</v>
      </c>
      <c r="E2688" t="s">
        <v>14</v>
      </c>
      <c r="F2688" t="s">
        <v>15</v>
      </c>
      <c r="G2688" t="s">
        <v>34</v>
      </c>
      <c r="H2688" t="s">
        <v>8</v>
      </c>
      <c r="I2688" t="s">
        <v>66</v>
      </c>
      <c r="J2688" t="s">
        <v>20</v>
      </c>
      <c r="K2688" t="s">
        <v>11</v>
      </c>
      <c r="L2688" t="s">
        <v>12</v>
      </c>
      <c r="M2688" t="s">
        <v>93</v>
      </c>
      <c r="N2688" t="s">
        <v>16</v>
      </c>
      <c r="O2688" t="s">
        <v>18</v>
      </c>
      <c r="P2688">
        <v>1</v>
      </c>
    </row>
    <row r="2689" spans="1:16" x14ac:dyDescent="0.3">
      <c r="A2689">
        <v>3247</v>
      </c>
      <c r="B2689">
        <v>45036</v>
      </c>
      <c r="C2689">
        <v>80</v>
      </c>
      <c r="D2689">
        <v>15905</v>
      </c>
      <c r="E2689" t="s">
        <v>14</v>
      </c>
      <c r="F2689" t="s">
        <v>15</v>
      </c>
      <c r="G2689" t="s">
        <v>31</v>
      </c>
      <c r="H2689" t="s">
        <v>8</v>
      </c>
      <c r="I2689" t="s">
        <v>9</v>
      </c>
      <c r="J2689" t="s">
        <v>25</v>
      </c>
      <c r="K2689" t="s">
        <v>11</v>
      </c>
      <c r="L2689" t="s">
        <v>12</v>
      </c>
      <c r="M2689" t="s">
        <v>32</v>
      </c>
      <c r="N2689" t="s">
        <v>37</v>
      </c>
      <c r="O2689" t="s">
        <v>18</v>
      </c>
      <c r="P2689">
        <v>5</v>
      </c>
    </row>
    <row r="2690" spans="1:16" x14ac:dyDescent="0.3">
      <c r="A2690">
        <v>3248</v>
      </c>
      <c r="B2690">
        <v>43319</v>
      </c>
      <c r="C2690">
        <v>51</v>
      </c>
      <c r="D2690">
        <v>24549</v>
      </c>
      <c r="E2690" t="s">
        <v>14</v>
      </c>
      <c r="F2690" t="s">
        <v>15</v>
      </c>
      <c r="G2690" t="s">
        <v>31</v>
      </c>
      <c r="H2690" t="s">
        <v>8</v>
      </c>
      <c r="I2690" t="s">
        <v>9</v>
      </c>
      <c r="J2690" t="s">
        <v>10</v>
      </c>
      <c r="K2690" t="s">
        <v>26</v>
      </c>
      <c r="L2690" t="s">
        <v>12</v>
      </c>
      <c r="M2690" t="s">
        <v>32</v>
      </c>
      <c r="N2690" t="s">
        <v>23</v>
      </c>
      <c r="O2690" t="s">
        <v>18</v>
      </c>
      <c r="P2690">
        <v>3</v>
      </c>
    </row>
    <row r="2691" spans="1:16" x14ac:dyDescent="0.3">
      <c r="A2691">
        <v>3249</v>
      </c>
      <c r="B2691">
        <v>43440</v>
      </c>
      <c r="C2691">
        <v>70</v>
      </c>
      <c r="D2691">
        <v>17550</v>
      </c>
      <c r="E2691" t="s">
        <v>14</v>
      </c>
      <c r="F2691" t="s">
        <v>22</v>
      </c>
      <c r="G2691" t="s">
        <v>31</v>
      </c>
      <c r="H2691" t="s">
        <v>8</v>
      </c>
      <c r="I2691" t="s">
        <v>9</v>
      </c>
      <c r="J2691" t="s">
        <v>10</v>
      </c>
      <c r="K2691" t="s">
        <v>11</v>
      </c>
      <c r="L2691" t="s">
        <v>12</v>
      </c>
      <c r="M2691" t="s">
        <v>69</v>
      </c>
      <c r="N2691" t="s">
        <v>37</v>
      </c>
      <c r="O2691" t="s">
        <v>18</v>
      </c>
      <c r="P2691">
        <v>2</v>
      </c>
    </row>
    <row r="2692" spans="1:16" x14ac:dyDescent="0.3">
      <c r="A2692">
        <v>3250</v>
      </c>
      <c r="B2692">
        <v>44280</v>
      </c>
      <c r="C2692">
        <v>24</v>
      </c>
      <c r="D2692">
        <v>35592</v>
      </c>
      <c r="E2692" t="s">
        <v>14</v>
      </c>
      <c r="F2692" t="s">
        <v>22</v>
      </c>
      <c r="G2692" t="s">
        <v>34</v>
      </c>
      <c r="H2692" t="s">
        <v>8</v>
      </c>
      <c r="I2692" t="s">
        <v>9</v>
      </c>
      <c r="J2692" t="s">
        <v>25</v>
      </c>
      <c r="K2692" t="s">
        <v>26</v>
      </c>
      <c r="L2692" t="s">
        <v>12</v>
      </c>
      <c r="M2692" t="s">
        <v>54</v>
      </c>
      <c r="N2692" t="s">
        <v>46</v>
      </c>
      <c r="O2692" t="s">
        <v>18</v>
      </c>
      <c r="P2692">
        <v>1</v>
      </c>
    </row>
    <row r="2693" spans="1:16" x14ac:dyDescent="0.3">
      <c r="A2693">
        <v>3251</v>
      </c>
      <c r="B2693">
        <v>43511</v>
      </c>
      <c r="C2693">
        <v>63</v>
      </c>
      <c r="D2693">
        <v>20557</v>
      </c>
      <c r="E2693" t="s">
        <v>14</v>
      </c>
      <c r="F2693" t="s">
        <v>22</v>
      </c>
      <c r="G2693" t="s">
        <v>40</v>
      </c>
      <c r="H2693" t="s">
        <v>8</v>
      </c>
      <c r="I2693" t="s">
        <v>66</v>
      </c>
      <c r="J2693" t="s">
        <v>10</v>
      </c>
      <c r="K2693" t="s">
        <v>19</v>
      </c>
      <c r="L2693" t="s">
        <v>12</v>
      </c>
      <c r="M2693" t="s">
        <v>35</v>
      </c>
      <c r="N2693" t="s">
        <v>16</v>
      </c>
      <c r="O2693" t="s">
        <v>18</v>
      </c>
      <c r="P2693">
        <v>1</v>
      </c>
    </row>
    <row r="2694" spans="1:16" x14ac:dyDescent="0.3">
      <c r="A2694">
        <v>3252</v>
      </c>
      <c r="B2694">
        <v>44999</v>
      </c>
      <c r="C2694">
        <v>30</v>
      </c>
      <c r="D2694">
        <v>34275</v>
      </c>
      <c r="E2694" t="s">
        <v>14</v>
      </c>
      <c r="F2694" t="s">
        <v>15</v>
      </c>
      <c r="G2694" t="s">
        <v>40</v>
      </c>
      <c r="H2694" t="s">
        <v>8</v>
      </c>
      <c r="I2694" t="s">
        <v>9</v>
      </c>
      <c r="J2694" t="s">
        <v>25</v>
      </c>
      <c r="K2694" t="s">
        <v>19</v>
      </c>
      <c r="L2694" t="s">
        <v>12</v>
      </c>
      <c r="M2694" t="s">
        <v>58</v>
      </c>
      <c r="N2694" t="s">
        <v>37</v>
      </c>
      <c r="O2694" t="s">
        <v>65</v>
      </c>
      <c r="P2694">
        <v>3</v>
      </c>
    </row>
    <row r="2695" spans="1:16" x14ac:dyDescent="0.3">
      <c r="A2695">
        <v>3255</v>
      </c>
      <c r="B2695">
        <v>45007</v>
      </c>
      <c r="C2695">
        <v>62</v>
      </c>
      <c r="D2695">
        <v>22407</v>
      </c>
      <c r="E2695" t="s">
        <v>14</v>
      </c>
      <c r="F2695" t="s">
        <v>22</v>
      </c>
      <c r="G2695" t="s">
        <v>17</v>
      </c>
      <c r="H2695" t="s">
        <v>8</v>
      </c>
      <c r="I2695" t="s">
        <v>9</v>
      </c>
      <c r="J2695" t="s">
        <v>10</v>
      </c>
      <c r="K2695" t="s">
        <v>11</v>
      </c>
      <c r="L2695" t="s">
        <v>12</v>
      </c>
      <c r="M2695" t="s">
        <v>63</v>
      </c>
      <c r="N2695" t="s">
        <v>30</v>
      </c>
      <c r="O2695" t="s">
        <v>18</v>
      </c>
      <c r="P2695">
        <v>4</v>
      </c>
    </row>
    <row r="2696" spans="1:16" x14ac:dyDescent="0.3">
      <c r="A2696">
        <v>3256</v>
      </c>
      <c r="B2696">
        <v>43489</v>
      </c>
      <c r="C2696">
        <v>65</v>
      </c>
      <c r="D2696">
        <v>20043</v>
      </c>
      <c r="E2696" t="s">
        <v>14</v>
      </c>
      <c r="F2696" t="s">
        <v>22</v>
      </c>
      <c r="G2696" t="s">
        <v>40</v>
      </c>
      <c r="H2696" t="s">
        <v>8</v>
      </c>
      <c r="I2696" t="s">
        <v>9</v>
      </c>
      <c r="J2696" t="s">
        <v>20</v>
      </c>
      <c r="K2696" t="s">
        <v>26</v>
      </c>
      <c r="L2696" t="s">
        <v>12</v>
      </c>
      <c r="M2696" t="s">
        <v>32</v>
      </c>
      <c r="N2696" t="s">
        <v>37</v>
      </c>
      <c r="O2696" t="s">
        <v>18</v>
      </c>
      <c r="P2696">
        <v>1</v>
      </c>
    </row>
    <row r="2697" spans="1:16" x14ac:dyDescent="0.3">
      <c r="A2697">
        <v>3257</v>
      </c>
      <c r="B2697">
        <v>44154</v>
      </c>
      <c r="C2697">
        <v>34</v>
      </c>
      <c r="D2697">
        <v>31512</v>
      </c>
      <c r="E2697" t="s">
        <v>14</v>
      </c>
      <c r="F2697" t="s">
        <v>15</v>
      </c>
      <c r="G2697" t="s">
        <v>31</v>
      </c>
      <c r="H2697" t="s">
        <v>64</v>
      </c>
      <c r="I2697" t="s">
        <v>9</v>
      </c>
      <c r="J2697" t="s">
        <v>25</v>
      </c>
      <c r="K2697" t="s">
        <v>19</v>
      </c>
      <c r="L2697" t="s">
        <v>12</v>
      </c>
      <c r="M2697" t="s">
        <v>59</v>
      </c>
      <c r="N2697" t="s">
        <v>30</v>
      </c>
      <c r="O2697" t="s">
        <v>18</v>
      </c>
      <c r="P2697">
        <v>3</v>
      </c>
    </row>
    <row r="2698" spans="1:16" x14ac:dyDescent="0.3">
      <c r="A2698">
        <v>3258</v>
      </c>
      <c r="B2698">
        <v>44972</v>
      </c>
      <c r="C2698">
        <v>52</v>
      </c>
      <c r="D2698">
        <v>26076</v>
      </c>
      <c r="E2698" t="s">
        <v>14</v>
      </c>
      <c r="F2698" t="s">
        <v>22</v>
      </c>
      <c r="G2698" t="s">
        <v>31</v>
      </c>
      <c r="H2698" t="s">
        <v>64</v>
      </c>
      <c r="I2698" t="s">
        <v>9</v>
      </c>
      <c r="J2698" t="s">
        <v>20</v>
      </c>
      <c r="K2698" t="s">
        <v>26</v>
      </c>
      <c r="L2698" t="s">
        <v>12</v>
      </c>
      <c r="M2698" t="s">
        <v>21</v>
      </c>
      <c r="N2698" t="s">
        <v>16</v>
      </c>
      <c r="O2698" t="s">
        <v>18</v>
      </c>
      <c r="P2698">
        <v>4</v>
      </c>
    </row>
    <row r="2699" spans="1:16" x14ac:dyDescent="0.3">
      <c r="A2699">
        <v>3259</v>
      </c>
      <c r="B2699">
        <v>44690</v>
      </c>
      <c r="C2699">
        <v>76</v>
      </c>
      <c r="D2699">
        <v>17131</v>
      </c>
      <c r="E2699" t="s">
        <v>14</v>
      </c>
      <c r="F2699" t="s">
        <v>22</v>
      </c>
      <c r="G2699" t="s">
        <v>31</v>
      </c>
      <c r="H2699" t="s">
        <v>64</v>
      </c>
      <c r="I2699" t="s">
        <v>66</v>
      </c>
      <c r="J2699" t="s">
        <v>25</v>
      </c>
      <c r="K2699" t="s">
        <v>26</v>
      </c>
      <c r="L2699" t="s">
        <v>12</v>
      </c>
      <c r="M2699" t="s">
        <v>35</v>
      </c>
      <c r="N2699" t="s">
        <v>23</v>
      </c>
      <c r="O2699" t="s">
        <v>18</v>
      </c>
      <c r="P2699">
        <v>2</v>
      </c>
    </row>
    <row r="2700" spans="1:16" x14ac:dyDescent="0.3">
      <c r="A2700">
        <v>3260</v>
      </c>
      <c r="B2700">
        <v>44475</v>
      </c>
      <c r="C2700">
        <v>29</v>
      </c>
      <c r="D2700">
        <v>33772</v>
      </c>
      <c r="E2700" t="s">
        <v>14</v>
      </c>
      <c r="F2700" t="s">
        <v>22</v>
      </c>
      <c r="G2700" t="s">
        <v>31</v>
      </c>
      <c r="H2700" t="s">
        <v>64</v>
      </c>
      <c r="I2700" t="s">
        <v>9</v>
      </c>
      <c r="J2700" t="s">
        <v>10</v>
      </c>
      <c r="K2700" t="s">
        <v>26</v>
      </c>
      <c r="L2700" t="s">
        <v>12</v>
      </c>
      <c r="M2700" t="s">
        <v>32</v>
      </c>
      <c r="N2700" t="s">
        <v>23</v>
      </c>
      <c r="O2700" t="s">
        <v>18</v>
      </c>
      <c r="P2700">
        <v>2</v>
      </c>
    </row>
    <row r="2701" spans="1:16" x14ac:dyDescent="0.3">
      <c r="A2701">
        <v>3262</v>
      </c>
      <c r="B2701">
        <v>44642</v>
      </c>
      <c r="C2701">
        <v>38</v>
      </c>
      <c r="D2701">
        <v>30708</v>
      </c>
      <c r="E2701" t="s">
        <v>14</v>
      </c>
      <c r="F2701" t="s">
        <v>15</v>
      </c>
      <c r="G2701" t="s">
        <v>40</v>
      </c>
      <c r="H2701" t="s">
        <v>64</v>
      </c>
      <c r="I2701" t="s">
        <v>9</v>
      </c>
      <c r="J2701" t="s">
        <v>25</v>
      </c>
      <c r="K2701" t="s">
        <v>19</v>
      </c>
      <c r="L2701" t="s">
        <v>12</v>
      </c>
      <c r="M2701" t="s">
        <v>60</v>
      </c>
      <c r="N2701" t="s">
        <v>37</v>
      </c>
      <c r="O2701" t="s">
        <v>65</v>
      </c>
      <c r="P2701">
        <v>3</v>
      </c>
    </row>
    <row r="2702" spans="1:16" x14ac:dyDescent="0.3">
      <c r="A2702">
        <v>3263</v>
      </c>
      <c r="B2702">
        <v>44671</v>
      </c>
      <c r="C2702">
        <v>32</v>
      </c>
      <c r="D2702">
        <v>32977</v>
      </c>
      <c r="E2702" t="s">
        <v>14</v>
      </c>
      <c r="F2702" t="s">
        <v>22</v>
      </c>
      <c r="G2702" t="s">
        <v>31</v>
      </c>
      <c r="H2702" t="s">
        <v>8</v>
      </c>
      <c r="I2702" t="s">
        <v>66</v>
      </c>
      <c r="J2702" t="s">
        <v>25</v>
      </c>
      <c r="K2702" t="s">
        <v>19</v>
      </c>
      <c r="L2702" t="s">
        <v>12</v>
      </c>
      <c r="M2702" t="s">
        <v>42</v>
      </c>
      <c r="N2702" t="s">
        <v>46</v>
      </c>
      <c r="O2702" t="s">
        <v>65</v>
      </c>
      <c r="P2702">
        <v>3</v>
      </c>
    </row>
    <row r="2703" spans="1:16" x14ac:dyDescent="0.3">
      <c r="A2703">
        <v>3264</v>
      </c>
      <c r="B2703">
        <v>44561</v>
      </c>
      <c r="C2703">
        <v>71</v>
      </c>
      <c r="D2703">
        <v>18423</v>
      </c>
      <c r="E2703" t="s">
        <v>14</v>
      </c>
      <c r="F2703" t="s">
        <v>22</v>
      </c>
      <c r="G2703" t="s">
        <v>34</v>
      </c>
      <c r="H2703" t="s">
        <v>8</v>
      </c>
      <c r="I2703" t="s">
        <v>66</v>
      </c>
      <c r="J2703" t="s">
        <v>20</v>
      </c>
      <c r="K2703" t="s">
        <v>11</v>
      </c>
      <c r="L2703" t="s">
        <v>12</v>
      </c>
      <c r="M2703" t="s">
        <v>38</v>
      </c>
      <c r="N2703" t="s">
        <v>46</v>
      </c>
      <c r="O2703" t="s">
        <v>18</v>
      </c>
      <c r="P2703">
        <v>4</v>
      </c>
    </row>
    <row r="2704" spans="1:16" x14ac:dyDescent="0.3">
      <c r="A2704">
        <v>3265</v>
      </c>
      <c r="B2704">
        <v>43404</v>
      </c>
      <c r="C2704">
        <v>25</v>
      </c>
      <c r="D2704">
        <v>33992</v>
      </c>
      <c r="E2704" t="s">
        <v>14</v>
      </c>
      <c r="F2704" t="s">
        <v>15</v>
      </c>
      <c r="G2704" t="s">
        <v>31</v>
      </c>
      <c r="H2704" t="s">
        <v>8</v>
      </c>
      <c r="I2704" t="s">
        <v>9</v>
      </c>
      <c r="J2704" t="s">
        <v>20</v>
      </c>
      <c r="K2704" t="s">
        <v>11</v>
      </c>
      <c r="L2704" t="s">
        <v>12</v>
      </c>
      <c r="M2704" t="s">
        <v>21</v>
      </c>
      <c r="N2704" t="s">
        <v>46</v>
      </c>
      <c r="O2704" t="s">
        <v>18</v>
      </c>
      <c r="P2704">
        <v>3</v>
      </c>
    </row>
    <row r="2705" spans="1:16" x14ac:dyDescent="0.3">
      <c r="A2705">
        <v>3266</v>
      </c>
      <c r="B2705">
        <v>44036</v>
      </c>
      <c r="C2705">
        <v>24</v>
      </c>
      <c r="D2705">
        <v>35300</v>
      </c>
      <c r="E2705" t="s">
        <v>14</v>
      </c>
      <c r="F2705" t="s">
        <v>15</v>
      </c>
      <c r="G2705" t="s">
        <v>34</v>
      </c>
      <c r="H2705" t="s">
        <v>8</v>
      </c>
      <c r="I2705" t="s">
        <v>9</v>
      </c>
      <c r="J2705" t="s">
        <v>10</v>
      </c>
      <c r="K2705" t="s">
        <v>19</v>
      </c>
      <c r="L2705" t="s">
        <v>12</v>
      </c>
      <c r="M2705" t="s">
        <v>59</v>
      </c>
      <c r="N2705" t="s">
        <v>37</v>
      </c>
      <c r="O2705" t="s">
        <v>18</v>
      </c>
      <c r="P2705">
        <v>2</v>
      </c>
    </row>
    <row r="2706" spans="1:16" x14ac:dyDescent="0.3">
      <c r="A2706">
        <v>3267</v>
      </c>
      <c r="B2706">
        <v>43811</v>
      </c>
      <c r="C2706">
        <v>56</v>
      </c>
      <c r="D2706">
        <v>23322</v>
      </c>
      <c r="E2706" t="s">
        <v>14</v>
      </c>
      <c r="F2706" t="s">
        <v>15</v>
      </c>
      <c r="G2706" t="s">
        <v>31</v>
      </c>
      <c r="H2706" t="s">
        <v>8</v>
      </c>
      <c r="I2706" t="s">
        <v>9</v>
      </c>
      <c r="J2706" t="s">
        <v>10</v>
      </c>
      <c r="K2706" t="s">
        <v>11</v>
      </c>
      <c r="L2706" t="s">
        <v>12</v>
      </c>
      <c r="M2706" t="s">
        <v>49</v>
      </c>
      <c r="N2706" t="s">
        <v>30</v>
      </c>
      <c r="O2706" t="s">
        <v>18</v>
      </c>
      <c r="P2706">
        <v>5</v>
      </c>
    </row>
    <row r="2707" spans="1:16" x14ac:dyDescent="0.3">
      <c r="A2707">
        <v>3268</v>
      </c>
      <c r="B2707">
        <v>45099</v>
      </c>
      <c r="C2707">
        <v>61</v>
      </c>
      <c r="D2707">
        <v>22879</v>
      </c>
      <c r="E2707" t="s">
        <v>14</v>
      </c>
      <c r="F2707" t="s">
        <v>15</v>
      </c>
      <c r="G2707" t="s">
        <v>31</v>
      </c>
      <c r="H2707" t="s">
        <v>8</v>
      </c>
      <c r="I2707" t="s">
        <v>9</v>
      </c>
      <c r="J2707" t="s">
        <v>10</v>
      </c>
      <c r="K2707" t="s">
        <v>19</v>
      </c>
      <c r="L2707" t="s">
        <v>12</v>
      </c>
      <c r="M2707" t="s">
        <v>35</v>
      </c>
      <c r="N2707" t="s">
        <v>46</v>
      </c>
      <c r="O2707" t="s">
        <v>18</v>
      </c>
      <c r="P2707">
        <v>5</v>
      </c>
    </row>
    <row r="2708" spans="1:16" x14ac:dyDescent="0.3">
      <c r="A2708">
        <v>3269</v>
      </c>
      <c r="B2708">
        <v>44367</v>
      </c>
      <c r="C2708">
        <v>21</v>
      </c>
      <c r="D2708">
        <v>36624</v>
      </c>
      <c r="E2708" t="s">
        <v>14</v>
      </c>
      <c r="F2708" t="s">
        <v>22</v>
      </c>
      <c r="G2708" t="s">
        <v>34</v>
      </c>
      <c r="H2708" t="s">
        <v>8</v>
      </c>
      <c r="I2708" t="s">
        <v>9</v>
      </c>
      <c r="J2708" t="s">
        <v>25</v>
      </c>
      <c r="K2708" t="s">
        <v>11</v>
      </c>
      <c r="L2708" t="s">
        <v>12</v>
      </c>
      <c r="M2708" t="s">
        <v>35</v>
      </c>
      <c r="N2708" t="s">
        <v>46</v>
      </c>
      <c r="O2708" t="s">
        <v>18</v>
      </c>
      <c r="P2708">
        <v>5</v>
      </c>
    </row>
    <row r="2709" spans="1:16" x14ac:dyDescent="0.3">
      <c r="A2709">
        <v>3270</v>
      </c>
      <c r="B2709">
        <v>43769</v>
      </c>
      <c r="C2709">
        <v>61</v>
      </c>
      <c r="D2709">
        <v>21284</v>
      </c>
      <c r="E2709" t="s">
        <v>14</v>
      </c>
      <c r="F2709" t="s">
        <v>22</v>
      </c>
      <c r="G2709" t="s">
        <v>31</v>
      </c>
      <c r="H2709" t="s">
        <v>8</v>
      </c>
      <c r="I2709" t="s">
        <v>9</v>
      </c>
      <c r="J2709" t="s">
        <v>25</v>
      </c>
      <c r="K2709" t="s">
        <v>26</v>
      </c>
      <c r="L2709" t="s">
        <v>12</v>
      </c>
      <c r="M2709" t="s">
        <v>49</v>
      </c>
      <c r="N2709" t="s">
        <v>46</v>
      </c>
      <c r="O2709" t="s">
        <v>18</v>
      </c>
      <c r="P2709">
        <v>5</v>
      </c>
    </row>
    <row r="2710" spans="1:16" x14ac:dyDescent="0.3">
      <c r="A2710">
        <v>3271</v>
      </c>
      <c r="B2710">
        <v>43648</v>
      </c>
      <c r="C2710">
        <v>49</v>
      </c>
      <c r="D2710">
        <v>25687</v>
      </c>
      <c r="E2710" t="s">
        <v>14</v>
      </c>
      <c r="F2710" t="s">
        <v>22</v>
      </c>
      <c r="G2710" t="s">
        <v>40</v>
      </c>
      <c r="H2710" t="s">
        <v>8</v>
      </c>
      <c r="I2710" t="s">
        <v>66</v>
      </c>
      <c r="J2710" t="s">
        <v>10</v>
      </c>
      <c r="K2710" t="s">
        <v>26</v>
      </c>
      <c r="L2710" t="s">
        <v>12</v>
      </c>
      <c r="M2710" t="s">
        <v>42</v>
      </c>
      <c r="N2710" t="s">
        <v>46</v>
      </c>
      <c r="O2710" t="s">
        <v>18</v>
      </c>
      <c r="P2710">
        <v>5</v>
      </c>
    </row>
    <row r="2711" spans="1:16" x14ac:dyDescent="0.3">
      <c r="A2711">
        <v>3272</v>
      </c>
      <c r="B2711">
        <v>44967</v>
      </c>
      <c r="C2711">
        <v>64</v>
      </c>
      <c r="D2711">
        <v>21784</v>
      </c>
      <c r="E2711" t="s">
        <v>14</v>
      </c>
      <c r="F2711" t="s">
        <v>22</v>
      </c>
      <c r="G2711" t="s">
        <v>17</v>
      </c>
      <c r="H2711" t="s">
        <v>8</v>
      </c>
      <c r="I2711" t="s">
        <v>9</v>
      </c>
      <c r="J2711" t="s">
        <v>10</v>
      </c>
      <c r="K2711" t="s">
        <v>11</v>
      </c>
      <c r="L2711" t="s">
        <v>12</v>
      </c>
      <c r="M2711" t="s">
        <v>21</v>
      </c>
      <c r="N2711" t="s">
        <v>30</v>
      </c>
      <c r="O2711" t="s">
        <v>18</v>
      </c>
      <c r="P2711">
        <v>5</v>
      </c>
    </row>
    <row r="2712" spans="1:16" x14ac:dyDescent="0.3">
      <c r="A2712">
        <v>3273</v>
      </c>
      <c r="B2712">
        <v>44820</v>
      </c>
      <c r="C2712">
        <v>24</v>
      </c>
      <c r="D2712">
        <v>36137</v>
      </c>
      <c r="E2712" t="s">
        <v>14</v>
      </c>
      <c r="F2712" t="s">
        <v>15</v>
      </c>
      <c r="G2712" t="s">
        <v>40</v>
      </c>
      <c r="H2712" t="s">
        <v>8</v>
      </c>
      <c r="I2712" t="s">
        <v>9</v>
      </c>
      <c r="J2712" t="s">
        <v>25</v>
      </c>
      <c r="K2712" t="s">
        <v>19</v>
      </c>
      <c r="L2712" t="s">
        <v>12</v>
      </c>
      <c r="M2712" t="s">
        <v>62</v>
      </c>
      <c r="N2712" t="s">
        <v>46</v>
      </c>
      <c r="O2712" t="s">
        <v>18</v>
      </c>
      <c r="P2712">
        <v>5</v>
      </c>
    </row>
    <row r="2713" spans="1:16" x14ac:dyDescent="0.3">
      <c r="A2713">
        <v>3275</v>
      </c>
      <c r="B2713">
        <v>44881</v>
      </c>
      <c r="C2713">
        <v>31</v>
      </c>
      <c r="D2713">
        <v>33603</v>
      </c>
      <c r="E2713" t="s">
        <v>14</v>
      </c>
      <c r="F2713" t="s">
        <v>22</v>
      </c>
      <c r="G2713" t="s">
        <v>40</v>
      </c>
      <c r="H2713" t="s">
        <v>8</v>
      </c>
      <c r="I2713" t="s">
        <v>9</v>
      </c>
      <c r="J2713" t="s">
        <v>20</v>
      </c>
      <c r="K2713" t="s">
        <v>26</v>
      </c>
      <c r="L2713" t="s">
        <v>12</v>
      </c>
      <c r="M2713" t="s">
        <v>32</v>
      </c>
      <c r="N2713" t="s">
        <v>30</v>
      </c>
      <c r="O2713" t="s">
        <v>65</v>
      </c>
      <c r="P2713">
        <v>2</v>
      </c>
    </row>
    <row r="2714" spans="1:16" x14ac:dyDescent="0.3">
      <c r="A2714">
        <v>3276</v>
      </c>
      <c r="B2714">
        <v>44221</v>
      </c>
      <c r="C2714">
        <v>25</v>
      </c>
      <c r="D2714">
        <v>35389</v>
      </c>
      <c r="E2714" t="s">
        <v>14</v>
      </c>
      <c r="F2714" t="s">
        <v>22</v>
      </c>
      <c r="G2714" t="s">
        <v>40</v>
      </c>
      <c r="H2714" t="s">
        <v>8</v>
      </c>
      <c r="I2714" t="s">
        <v>9</v>
      </c>
      <c r="J2714" t="s">
        <v>10</v>
      </c>
      <c r="K2714" t="s">
        <v>19</v>
      </c>
      <c r="L2714" t="s">
        <v>12</v>
      </c>
      <c r="M2714" t="s">
        <v>42</v>
      </c>
      <c r="N2714" t="s">
        <v>46</v>
      </c>
      <c r="O2714" t="s">
        <v>18</v>
      </c>
      <c r="P2714">
        <v>2</v>
      </c>
    </row>
    <row r="2715" spans="1:16" x14ac:dyDescent="0.3">
      <c r="A2715">
        <v>3277</v>
      </c>
      <c r="B2715">
        <v>45093</v>
      </c>
      <c r="C2715">
        <v>43</v>
      </c>
      <c r="D2715">
        <v>29362</v>
      </c>
      <c r="E2715" t="s">
        <v>14</v>
      </c>
      <c r="F2715" t="s">
        <v>15</v>
      </c>
      <c r="G2715" t="s">
        <v>34</v>
      </c>
      <c r="H2715" t="s">
        <v>64</v>
      </c>
      <c r="I2715" t="s">
        <v>9</v>
      </c>
      <c r="J2715" t="s">
        <v>20</v>
      </c>
      <c r="K2715" t="s">
        <v>26</v>
      </c>
      <c r="L2715" t="s">
        <v>12</v>
      </c>
      <c r="M2715" t="s">
        <v>21</v>
      </c>
      <c r="N2715" t="s">
        <v>23</v>
      </c>
      <c r="O2715" t="s">
        <v>18</v>
      </c>
      <c r="P2715">
        <v>2</v>
      </c>
    </row>
    <row r="2716" spans="1:16" x14ac:dyDescent="0.3">
      <c r="A2716">
        <v>3278</v>
      </c>
      <c r="B2716">
        <v>44082</v>
      </c>
      <c r="C2716">
        <v>76</v>
      </c>
      <c r="D2716">
        <v>16391</v>
      </c>
      <c r="E2716" t="s">
        <v>14</v>
      </c>
      <c r="F2716" t="s">
        <v>15</v>
      </c>
      <c r="G2716" t="s">
        <v>34</v>
      </c>
      <c r="H2716" t="s">
        <v>64</v>
      </c>
      <c r="I2716" t="s">
        <v>9</v>
      </c>
      <c r="J2716" t="s">
        <v>10</v>
      </c>
      <c r="K2716" t="s">
        <v>19</v>
      </c>
      <c r="L2716" t="s">
        <v>12</v>
      </c>
      <c r="M2716" t="s">
        <v>35</v>
      </c>
      <c r="N2716" t="s">
        <v>37</v>
      </c>
      <c r="O2716" t="s">
        <v>18</v>
      </c>
      <c r="P2716">
        <v>4</v>
      </c>
    </row>
    <row r="2717" spans="1:16" x14ac:dyDescent="0.3">
      <c r="A2717">
        <v>3279</v>
      </c>
      <c r="B2717">
        <v>43488</v>
      </c>
      <c r="C2717">
        <v>25</v>
      </c>
      <c r="D2717">
        <v>34365</v>
      </c>
      <c r="E2717" t="s">
        <v>14</v>
      </c>
      <c r="F2717" t="s">
        <v>22</v>
      </c>
      <c r="G2717" t="s">
        <v>34</v>
      </c>
      <c r="H2717" t="s">
        <v>64</v>
      </c>
      <c r="I2717" t="s">
        <v>9</v>
      </c>
      <c r="J2717" t="s">
        <v>25</v>
      </c>
      <c r="K2717" t="s">
        <v>19</v>
      </c>
      <c r="L2717" t="s">
        <v>12</v>
      </c>
      <c r="M2717" t="s">
        <v>42</v>
      </c>
      <c r="N2717" t="s">
        <v>37</v>
      </c>
      <c r="O2717" t="s">
        <v>18</v>
      </c>
      <c r="P2717">
        <v>2</v>
      </c>
    </row>
    <row r="2718" spans="1:16" x14ac:dyDescent="0.3">
      <c r="A2718">
        <v>3280</v>
      </c>
      <c r="B2718">
        <v>45075</v>
      </c>
      <c r="C2718">
        <v>40</v>
      </c>
      <c r="D2718">
        <v>30506</v>
      </c>
      <c r="E2718" t="s">
        <v>14</v>
      </c>
      <c r="F2718" t="s">
        <v>22</v>
      </c>
      <c r="G2718" t="s">
        <v>40</v>
      </c>
      <c r="H2718" t="s">
        <v>64</v>
      </c>
      <c r="I2718" t="s">
        <v>66</v>
      </c>
      <c r="J2718" t="s">
        <v>20</v>
      </c>
      <c r="K2718" t="s">
        <v>19</v>
      </c>
      <c r="L2718" t="s">
        <v>12</v>
      </c>
      <c r="M2718" t="s">
        <v>54</v>
      </c>
      <c r="N2718" t="s">
        <v>30</v>
      </c>
      <c r="O2718" t="s">
        <v>18</v>
      </c>
      <c r="P2718">
        <v>5</v>
      </c>
    </row>
    <row r="2719" spans="1:16" x14ac:dyDescent="0.3">
      <c r="A2719">
        <v>3281</v>
      </c>
      <c r="B2719">
        <v>43693</v>
      </c>
      <c r="C2719">
        <v>65</v>
      </c>
      <c r="D2719">
        <v>19928</v>
      </c>
      <c r="E2719" t="s">
        <v>14</v>
      </c>
      <c r="F2719" t="s">
        <v>22</v>
      </c>
      <c r="G2719" t="s">
        <v>40</v>
      </c>
      <c r="H2719" t="s">
        <v>64</v>
      </c>
      <c r="I2719" t="s">
        <v>9</v>
      </c>
      <c r="J2719" t="s">
        <v>10</v>
      </c>
      <c r="K2719" t="s">
        <v>26</v>
      </c>
      <c r="L2719" t="s">
        <v>12</v>
      </c>
      <c r="M2719" t="s">
        <v>32</v>
      </c>
      <c r="N2719" t="s">
        <v>23</v>
      </c>
      <c r="O2719" t="s">
        <v>18</v>
      </c>
      <c r="P2719">
        <v>4</v>
      </c>
    </row>
    <row r="2720" spans="1:16" x14ac:dyDescent="0.3">
      <c r="A2720">
        <v>3282</v>
      </c>
      <c r="B2720">
        <v>43986</v>
      </c>
      <c r="C2720">
        <v>42</v>
      </c>
      <c r="D2720">
        <v>28664</v>
      </c>
      <c r="E2720" t="s">
        <v>14</v>
      </c>
      <c r="F2720" t="s">
        <v>15</v>
      </c>
      <c r="G2720" t="s">
        <v>34</v>
      </c>
      <c r="H2720" t="s">
        <v>64</v>
      </c>
      <c r="I2720" t="s">
        <v>9</v>
      </c>
      <c r="J2720" t="s">
        <v>25</v>
      </c>
      <c r="K2720" t="s">
        <v>26</v>
      </c>
      <c r="L2720" t="s">
        <v>12</v>
      </c>
      <c r="M2720" t="s">
        <v>59</v>
      </c>
      <c r="N2720" t="s">
        <v>46</v>
      </c>
      <c r="O2720" t="s">
        <v>18</v>
      </c>
      <c r="P2720">
        <v>1</v>
      </c>
    </row>
    <row r="2721" spans="1:16" x14ac:dyDescent="0.3">
      <c r="A2721">
        <v>3283</v>
      </c>
      <c r="B2721">
        <v>44033</v>
      </c>
      <c r="C2721">
        <v>32</v>
      </c>
      <c r="D2721">
        <v>32368</v>
      </c>
      <c r="E2721" t="s">
        <v>14</v>
      </c>
      <c r="F2721" t="s">
        <v>15</v>
      </c>
      <c r="G2721" t="s">
        <v>34</v>
      </c>
      <c r="H2721" t="s">
        <v>64</v>
      </c>
      <c r="I2721" t="s">
        <v>9</v>
      </c>
      <c r="J2721" t="s">
        <v>10</v>
      </c>
      <c r="K2721" t="s">
        <v>26</v>
      </c>
      <c r="L2721" t="s">
        <v>12</v>
      </c>
      <c r="M2721" t="s">
        <v>59</v>
      </c>
      <c r="N2721" t="s">
        <v>23</v>
      </c>
      <c r="O2721" t="s">
        <v>18</v>
      </c>
      <c r="P2721">
        <v>3</v>
      </c>
    </row>
    <row r="2722" spans="1:16" x14ac:dyDescent="0.3">
      <c r="A2722">
        <v>3284</v>
      </c>
      <c r="B2722">
        <v>44794</v>
      </c>
      <c r="C2722">
        <v>74</v>
      </c>
      <c r="D2722">
        <v>17823</v>
      </c>
      <c r="E2722" t="s">
        <v>14</v>
      </c>
      <c r="F2722" t="s">
        <v>22</v>
      </c>
      <c r="G2722" t="s">
        <v>40</v>
      </c>
      <c r="H2722" t="s">
        <v>8</v>
      </c>
      <c r="I2722" t="s">
        <v>66</v>
      </c>
      <c r="J2722" t="s">
        <v>10</v>
      </c>
      <c r="K2722" t="s">
        <v>19</v>
      </c>
      <c r="L2722" t="s">
        <v>12</v>
      </c>
      <c r="M2722" t="s">
        <v>55</v>
      </c>
      <c r="N2722" t="s">
        <v>30</v>
      </c>
      <c r="O2722" t="s">
        <v>18</v>
      </c>
      <c r="P2722">
        <v>4</v>
      </c>
    </row>
    <row r="2723" spans="1:16" x14ac:dyDescent="0.3">
      <c r="A2723">
        <v>3285</v>
      </c>
      <c r="B2723">
        <v>44393</v>
      </c>
      <c r="C2723">
        <v>67</v>
      </c>
      <c r="D2723">
        <v>19739</v>
      </c>
      <c r="E2723" t="s">
        <v>14</v>
      </c>
      <c r="F2723" t="s">
        <v>22</v>
      </c>
      <c r="G2723" t="s">
        <v>31</v>
      </c>
      <c r="H2723" t="s">
        <v>8</v>
      </c>
      <c r="I2723" t="s">
        <v>66</v>
      </c>
      <c r="J2723" t="s">
        <v>10</v>
      </c>
      <c r="K2723" t="s">
        <v>26</v>
      </c>
      <c r="L2723" t="s">
        <v>12</v>
      </c>
      <c r="M2723" t="s">
        <v>59</v>
      </c>
      <c r="N2723" t="s">
        <v>30</v>
      </c>
      <c r="O2723" t="s">
        <v>65</v>
      </c>
      <c r="P2723">
        <v>3</v>
      </c>
    </row>
    <row r="2724" spans="1:16" x14ac:dyDescent="0.3">
      <c r="A2724">
        <v>3286</v>
      </c>
      <c r="B2724">
        <v>43775</v>
      </c>
      <c r="C2724">
        <v>49</v>
      </c>
      <c r="D2724">
        <v>25795</v>
      </c>
      <c r="E2724" t="s">
        <v>14</v>
      </c>
      <c r="F2724" t="s">
        <v>15</v>
      </c>
      <c r="G2724" t="s">
        <v>40</v>
      </c>
      <c r="H2724" t="s">
        <v>8</v>
      </c>
      <c r="I2724" t="s">
        <v>9</v>
      </c>
      <c r="J2724" t="s">
        <v>25</v>
      </c>
      <c r="K2724" t="s">
        <v>11</v>
      </c>
      <c r="L2724" t="s">
        <v>12</v>
      </c>
      <c r="M2724" t="s">
        <v>54</v>
      </c>
      <c r="N2724" t="s">
        <v>16</v>
      </c>
      <c r="O2724" t="s">
        <v>65</v>
      </c>
      <c r="P2724">
        <v>1</v>
      </c>
    </row>
    <row r="2725" spans="1:16" x14ac:dyDescent="0.3">
      <c r="A2725">
        <v>3287</v>
      </c>
      <c r="B2725">
        <v>44197</v>
      </c>
      <c r="C2725">
        <v>42</v>
      </c>
      <c r="D2725">
        <v>29016</v>
      </c>
      <c r="E2725" t="s">
        <v>14</v>
      </c>
      <c r="F2725" t="s">
        <v>15</v>
      </c>
      <c r="G2725" t="s">
        <v>40</v>
      </c>
      <c r="H2725" t="s">
        <v>8</v>
      </c>
      <c r="I2725" t="s">
        <v>9</v>
      </c>
      <c r="J2725" t="s">
        <v>20</v>
      </c>
      <c r="K2725" t="s">
        <v>19</v>
      </c>
      <c r="L2725" t="s">
        <v>12</v>
      </c>
      <c r="M2725" t="s">
        <v>32</v>
      </c>
      <c r="N2725" t="s">
        <v>46</v>
      </c>
      <c r="O2725" t="s">
        <v>18</v>
      </c>
      <c r="P2725">
        <v>1</v>
      </c>
    </row>
    <row r="2726" spans="1:16" x14ac:dyDescent="0.3">
      <c r="A2726">
        <v>3288</v>
      </c>
      <c r="B2726">
        <v>43732</v>
      </c>
      <c r="C2726">
        <v>52</v>
      </c>
      <c r="D2726">
        <v>24822</v>
      </c>
      <c r="E2726" t="s">
        <v>14</v>
      </c>
      <c r="F2726" t="s">
        <v>15</v>
      </c>
      <c r="G2726" t="s">
        <v>40</v>
      </c>
      <c r="H2726" t="s">
        <v>8</v>
      </c>
      <c r="I2726" t="s">
        <v>9</v>
      </c>
      <c r="J2726" t="s">
        <v>25</v>
      </c>
      <c r="K2726" t="s">
        <v>19</v>
      </c>
      <c r="L2726" t="s">
        <v>12</v>
      </c>
      <c r="M2726" t="s">
        <v>35</v>
      </c>
      <c r="N2726" t="s">
        <v>16</v>
      </c>
      <c r="O2726" t="s">
        <v>18</v>
      </c>
      <c r="P2726">
        <v>5</v>
      </c>
    </row>
    <row r="2727" spans="1:16" x14ac:dyDescent="0.3">
      <c r="A2727">
        <v>3289</v>
      </c>
      <c r="B2727">
        <v>43968</v>
      </c>
      <c r="C2727">
        <v>40</v>
      </c>
      <c r="D2727">
        <v>29531</v>
      </c>
      <c r="E2727" t="s">
        <v>14</v>
      </c>
      <c r="F2727" t="s">
        <v>15</v>
      </c>
      <c r="G2727" t="s">
        <v>40</v>
      </c>
      <c r="H2727" t="s">
        <v>8</v>
      </c>
      <c r="I2727" t="s">
        <v>9</v>
      </c>
      <c r="J2727" t="s">
        <v>10</v>
      </c>
      <c r="K2727" t="s">
        <v>19</v>
      </c>
      <c r="L2727" t="s">
        <v>12</v>
      </c>
      <c r="M2727" t="s">
        <v>32</v>
      </c>
      <c r="N2727" t="s">
        <v>16</v>
      </c>
      <c r="O2727" t="s">
        <v>18</v>
      </c>
      <c r="P2727">
        <v>5</v>
      </c>
    </row>
    <row r="2728" spans="1:16" x14ac:dyDescent="0.3">
      <c r="A2728">
        <v>3290</v>
      </c>
      <c r="B2728">
        <v>43319</v>
      </c>
      <c r="C2728">
        <v>23</v>
      </c>
      <c r="D2728">
        <v>35040</v>
      </c>
      <c r="E2728" t="s">
        <v>14</v>
      </c>
      <c r="F2728" t="s">
        <v>22</v>
      </c>
      <c r="G2728" t="s">
        <v>31</v>
      </c>
      <c r="H2728" t="s">
        <v>8</v>
      </c>
      <c r="I2728" t="s">
        <v>9</v>
      </c>
      <c r="J2728" t="s">
        <v>20</v>
      </c>
      <c r="K2728" t="s">
        <v>19</v>
      </c>
      <c r="L2728" t="s">
        <v>12</v>
      </c>
      <c r="M2728" t="s">
        <v>35</v>
      </c>
      <c r="N2728" t="s">
        <v>30</v>
      </c>
      <c r="O2728" t="s">
        <v>18</v>
      </c>
      <c r="P2728">
        <v>1</v>
      </c>
    </row>
    <row r="2729" spans="1:16" x14ac:dyDescent="0.3">
      <c r="A2729">
        <v>3291</v>
      </c>
      <c r="B2729">
        <v>45139</v>
      </c>
      <c r="C2729">
        <v>66</v>
      </c>
      <c r="D2729">
        <v>21041</v>
      </c>
      <c r="E2729" t="s">
        <v>14</v>
      </c>
      <c r="F2729" t="s">
        <v>22</v>
      </c>
      <c r="G2729" t="s">
        <v>34</v>
      </c>
      <c r="H2729" t="s">
        <v>8</v>
      </c>
      <c r="I2729" t="s">
        <v>9</v>
      </c>
      <c r="J2729" t="s">
        <v>10</v>
      </c>
      <c r="K2729" t="s">
        <v>11</v>
      </c>
      <c r="L2729" t="s">
        <v>12</v>
      </c>
      <c r="M2729" t="s">
        <v>32</v>
      </c>
      <c r="N2729" t="s">
        <v>23</v>
      </c>
      <c r="O2729" t="s">
        <v>18</v>
      </c>
      <c r="P2729">
        <v>1</v>
      </c>
    </row>
    <row r="2730" spans="1:16" x14ac:dyDescent="0.3">
      <c r="A2730">
        <v>3292</v>
      </c>
      <c r="B2730">
        <v>43477</v>
      </c>
      <c r="C2730">
        <v>73</v>
      </c>
      <c r="D2730">
        <v>16935</v>
      </c>
      <c r="E2730" t="s">
        <v>14</v>
      </c>
      <c r="F2730" t="s">
        <v>22</v>
      </c>
      <c r="G2730" t="s">
        <v>31</v>
      </c>
      <c r="H2730" t="s">
        <v>8</v>
      </c>
      <c r="I2730" t="s">
        <v>66</v>
      </c>
      <c r="J2730" t="s">
        <v>20</v>
      </c>
      <c r="K2730" t="s">
        <v>11</v>
      </c>
      <c r="L2730" t="s">
        <v>12</v>
      </c>
      <c r="M2730" t="s">
        <v>35</v>
      </c>
      <c r="N2730" t="s">
        <v>46</v>
      </c>
      <c r="O2730" t="s">
        <v>18</v>
      </c>
      <c r="P2730">
        <v>4</v>
      </c>
    </row>
    <row r="2731" spans="1:16" x14ac:dyDescent="0.3">
      <c r="A2731">
        <v>3293</v>
      </c>
      <c r="B2731">
        <v>44295</v>
      </c>
      <c r="C2731">
        <v>54</v>
      </c>
      <c r="D2731">
        <v>24716</v>
      </c>
      <c r="E2731" t="s">
        <v>14</v>
      </c>
      <c r="F2731" t="s">
        <v>15</v>
      </c>
      <c r="G2731" t="s">
        <v>34</v>
      </c>
      <c r="H2731" t="s">
        <v>8</v>
      </c>
      <c r="I2731" t="s">
        <v>66</v>
      </c>
      <c r="J2731" t="s">
        <v>10</v>
      </c>
      <c r="K2731" t="s">
        <v>11</v>
      </c>
      <c r="L2731" t="s">
        <v>12</v>
      </c>
      <c r="M2731" t="s">
        <v>32</v>
      </c>
      <c r="N2731" t="s">
        <v>37</v>
      </c>
      <c r="O2731" t="s">
        <v>18</v>
      </c>
      <c r="P2731">
        <v>3</v>
      </c>
    </row>
    <row r="2732" spans="1:16" x14ac:dyDescent="0.3">
      <c r="A2732">
        <v>3295</v>
      </c>
      <c r="B2732">
        <v>43616</v>
      </c>
      <c r="C2732">
        <v>65</v>
      </c>
      <c r="D2732">
        <v>20046</v>
      </c>
      <c r="E2732" t="s">
        <v>14</v>
      </c>
      <c r="F2732" t="s">
        <v>15</v>
      </c>
      <c r="G2732" t="s">
        <v>40</v>
      </c>
      <c r="H2732" t="s">
        <v>8</v>
      </c>
      <c r="I2732" t="s">
        <v>9</v>
      </c>
      <c r="J2732" t="s">
        <v>20</v>
      </c>
      <c r="K2732" t="s">
        <v>11</v>
      </c>
      <c r="L2732" t="s">
        <v>12</v>
      </c>
      <c r="M2732" t="s">
        <v>21</v>
      </c>
      <c r="N2732" t="s">
        <v>37</v>
      </c>
      <c r="O2732" t="s">
        <v>18</v>
      </c>
      <c r="P2732">
        <v>2</v>
      </c>
    </row>
    <row r="2733" spans="1:16" x14ac:dyDescent="0.3">
      <c r="A2733">
        <v>3298</v>
      </c>
      <c r="B2733">
        <v>44154</v>
      </c>
      <c r="C2733">
        <v>24</v>
      </c>
      <c r="D2733">
        <v>35134</v>
      </c>
      <c r="E2733" t="s">
        <v>14</v>
      </c>
      <c r="F2733" t="s">
        <v>15</v>
      </c>
      <c r="G2733" t="s">
        <v>17</v>
      </c>
      <c r="H2733" t="s">
        <v>64</v>
      </c>
      <c r="I2733" t="s">
        <v>9</v>
      </c>
      <c r="J2733" t="s">
        <v>25</v>
      </c>
      <c r="K2733" t="s">
        <v>19</v>
      </c>
      <c r="L2733" t="s">
        <v>12</v>
      </c>
      <c r="M2733" t="s">
        <v>35</v>
      </c>
      <c r="N2733" t="s">
        <v>23</v>
      </c>
      <c r="O2733" t="s">
        <v>18</v>
      </c>
      <c r="P2733">
        <v>4</v>
      </c>
    </row>
    <row r="2734" spans="1:16" x14ac:dyDescent="0.3">
      <c r="A2734">
        <v>3299</v>
      </c>
      <c r="B2734">
        <v>44875</v>
      </c>
      <c r="C2734">
        <v>47</v>
      </c>
      <c r="D2734">
        <v>27555</v>
      </c>
      <c r="E2734" t="s">
        <v>14</v>
      </c>
      <c r="F2734" t="s">
        <v>22</v>
      </c>
      <c r="G2734" t="s">
        <v>17</v>
      </c>
      <c r="H2734" t="s">
        <v>64</v>
      </c>
      <c r="I2734" t="s">
        <v>9</v>
      </c>
      <c r="J2734" t="s">
        <v>20</v>
      </c>
      <c r="K2734" t="s">
        <v>19</v>
      </c>
      <c r="L2734" t="s">
        <v>12</v>
      </c>
      <c r="M2734" t="s">
        <v>59</v>
      </c>
      <c r="N2734" t="s">
        <v>16</v>
      </c>
      <c r="O2734" t="s">
        <v>18</v>
      </c>
      <c r="P2734">
        <v>1</v>
      </c>
    </row>
    <row r="2735" spans="1:16" x14ac:dyDescent="0.3">
      <c r="A2735">
        <v>3300</v>
      </c>
      <c r="B2735">
        <v>44280</v>
      </c>
      <c r="C2735">
        <v>75</v>
      </c>
      <c r="D2735">
        <v>17133</v>
      </c>
      <c r="E2735" t="s">
        <v>14</v>
      </c>
      <c r="F2735" t="s">
        <v>22</v>
      </c>
      <c r="G2735" t="s">
        <v>34</v>
      </c>
      <c r="H2735" t="s">
        <v>64</v>
      </c>
      <c r="I2735" t="s">
        <v>9</v>
      </c>
      <c r="J2735" t="s">
        <v>25</v>
      </c>
      <c r="K2735" t="s">
        <v>26</v>
      </c>
      <c r="L2735" t="s">
        <v>12</v>
      </c>
      <c r="M2735" t="s">
        <v>35</v>
      </c>
      <c r="N2735" t="s">
        <v>16</v>
      </c>
      <c r="O2735" t="s">
        <v>18</v>
      </c>
      <c r="P2735">
        <v>1</v>
      </c>
    </row>
    <row r="2736" spans="1:16" x14ac:dyDescent="0.3">
      <c r="A2736">
        <v>3301</v>
      </c>
      <c r="B2736">
        <v>43598</v>
      </c>
      <c r="C2736">
        <v>22</v>
      </c>
      <c r="D2736">
        <v>35669</v>
      </c>
      <c r="E2736" t="s">
        <v>14</v>
      </c>
      <c r="F2736" t="s">
        <v>22</v>
      </c>
      <c r="G2736" t="s">
        <v>40</v>
      </c>
      <c r="H2736" t="s">
        <v>64</v>
      </c>
      <c r="I2736" t="s">
        <v>66</v>
      </c>
      <c r="J2736" t="s">
        <v>10</v>
      </c>
      <c r="K2736" t="s">
        <v>26</v>
      </c>
      <c r="L2736" t="s">
        <v>12</v>
      </c>
      <c r="M2736" t="s">
        <v>35</v>
      </c>
      <c r="N2736" t="s">
        <v>37</v>
      </c>
      <c r="O2736" t="s">
        <v>18</v>
      </c>
      <c r="P2736">
        <v>2</v>
      </c>
    </row>
    <row r="2737" spans="1:16" x14ac:dyDescent="0.3">
      <c r="A2737">
        <v>3303</v>
      </c>
      <c r="B2737">
        <v>44975</v>
      </c>
      <c r="C2737">
        <v>42</v>
      </c>
      <c r="D2737">
        <v>29901</v>
      </c>
      <c r="E2737" t="s">
        <v>14</v>
      </c>
      <c r="F2737" t="s">
        <v>15</v>
      </c>
      <c r="G2737" t="s">
        <v>31</v>
      </c>
      <c r="H2737" t="s">
        <v>64</v>
      </c>
      <c r="I2737" t="s">
        <v>9</v>
      </c>
      <c r="J2737" t="s">
        <v>25</v>
      </c>
      <c r="K2737" t="s">
        <v>19</v>
      </c>
      <c r="L2737" t="s">
        <v>12</v>
      </c>
      <c r="M2737" t="s">
        <v>35</v>
      </c>
      <c r="N2737" t="s">
        <v>37</v>
      </c>
      <c r="O2737" t="s">
        <v>18</v>
      </c>
      <c r="P2737">
        <v>2</v>
      </c>
    </row>
    <row r="2738" spans="1:16" x14ac:dyDescent="0.3">
      <c r="A2738">
        <v>3304</v>
      </c>
      <c r="B2738">
        <v>43557</v>
      </c>
      <c r="C2738">
        <v>35</v>
      </c>
      <c r="D2738">
        <v>31023</v>
      </c>
      <c r="E2738" t="s">
        <v>14</v>
      </c>
      <c r="F2738" t="s">
        <v>15</v>
      </c>
      <c r="G2738" t="s">
        <v>31</v>
      </c>
      <c r="H2738" t="s">
        <v>64</v>
      </c>
      <c r="I2738" t="s">
        <v>9</v>
      </c>
      <c r="J2738" t="s">
        <v>20</v>
      </c>
      <c r="K2738" t="s">
        <v>19</v>
      </c>
      <c r="L2738" t="s">
        <v>12</v>
      </c>
      <c r="M2738" t="s">
        <v>59</v>
      </c>
      <c r="N2738" t="s">
        <v>30</v>
      </c>
      <c r="O2738" t="s">
        <v>18</v>
      </c>
      <c r="P2738">
        <v>4</v>
      </c>
    </row>
    <row r="2739" spans="1:16" x14ac:dyDescent="0.3">
      <c r="A2739">
        <v>3305</v>
      </c>
      <c r="B2739">
        <v>44165</v>
      </c>
      <c r="C2739">
        <v>28</v>
      </c>
      <c r="D2739">
        <v>33794</v>
      </c>
      <c r="E2739" t="s">
        <v>14</v>
      </c>
      <c r="F2739" t="s">
        <v>15</v>
      </c>
      <c r="G2739" t="s">
        <v>17</v>
      </c>
      <c r="H2739" t="s">
        <v>8</v>
      </c>
      <c r="I2739" t="s">
        <v>66</v>
      </c>
      <c r="J2739" t="s">
        <v>10</v>
      </c>
      <c r="K2739" t="s">
        <v>11</v>
      </c>
      <c r="L2739" t="s">
        <v>12</v>
      </c>
      <c r="M2739" t="s">
        <v>54</v>
      </c>
      <c r="N2739" t="s">
        <v>30</v>
      </c>
      <c r="O2739" t="s">
        <v>18</v>
      </c>
      <c r="P2739">
        <v>4</v>
      </c>
    </row>
    <row r="2740" spans="1:16" x14ac:dyDescent="0.3">
      <c r="A2740">
        <v>3306</v>
      </c>
      <c r="B2740">
        <v>44828</v>
      </c>
      <c r="C2740">
        <v>30</v>
      </c>
      <c r="D2740">
        <v>33694</v>
      </c>
      <c r="E2740" t="s">
        <v>14</v>
      </c>
      <c r="F2740" t="s">
        <v>22</v>
      </c>
      <c r="G2740" t="s">
        <v>34</v>
      </c>
      <c r="H2740" t="s">
        <v>8</v>
      </c>
      <c r="I2740" t="s">
        <v>66</v>
      </c>
      <c r="J2740" t="s">
        <v>25</v>
      </c>
      <c r="K2740" t="s">
        <v>19</v>
      </c>
      <c r="L2740" t="s">
        <v>12</v>
      </c>
      <c r="M2740" t="s">
        <v>35</v>
      </c>
      <c r="N2740" t="s">
        <v>16</v>
      </c>
      <c r="O2740" t="s">
        <v>65</v>
      </c>
      <c r="P2740">
        <v>5</v>
      </c>
    </row>
    <row r="2741" spans="1:16" x14ac:dyDescent="0.3">
      <c r="A2741">
        <v>3307</v>
      </c>
      <c r="B2741">
        <v>43637</v>
      </c>
      <c r="C2741">
        <v>41</v>
      </c>
      <c r="D2741">
        <v>28781</v>
      </c>
      <c r="E2741" t="s">
        <v>14</v>
      </c>
      <c r="F2741" t="s">
        <v>22</v>
      </c>
      <c r="G2741" t="s">
        <v>34</v>
      </c>
      <c r="H2741" t="s">
        <v>8</v>
      </c>
      <c r="I2741" t="s">
        <v>9</v>
      </c>
      <c r="J2741" t="s">
        <v>25</v>
      </c>
      <c r="K2741" t="s">
        <v>11</v>
      </c>
      <c r="L2741" t="s">
        <v>12</v>
      </c>
      <c r="M2741" t="s">
        <v>44</v>
      </c>
      <c r="N2741" t="s">
        <v>46</v>
      </c>
      <c r="O2741" t="s">
        <v>18</v>
      </c>
      <c r="P2741">
        <v>4</v>
      </c>
    </row>
    <row r="2742" spans="1:16" x14ac:dyDescent="0.3">
      <c r="A2742">
        <v>3308</v>
      </c>
      <c r="B2742">
        <v>44722</v>
      </c>
      <c r="C2742">
        <v>24</v>
      </c>
      <c r="D2742">
        <v>36121</v>
      </c>
      <c r="E2742" t="s">
        <v>14</v>
      </c>
      <c r="F2742" t="s">
        <v>15</v>
      </c>
      <c r="G2742" t="s">
        <v>34</v>
      </c>
      <c r="H2742" t="s">
        <v>8</v>
      </c>
      <c r="I2742" t="s">
        <v>9</v>
      </c>
      <c r="J2742" t="s">
        <v>10</v>
      </c>
      <c r="K2742" t="s">
        <v>11</v>
      </c>
      <c r="L2742" t="s">
        <v>12</v>
      </c>
      <c r="M2742" t="s">
        <v>28</v>
      </c>
      <c r="N2742" t="s">
        <v>37</v>
      </c>
      <c r="O2742" t="s">
        <v>18</v>
      </c>
      <c r="P2742">
        <v>3</v>
      </c>
    </row>
    <row r="2743" spans="1:16" x14ac:dyDescent="0.3">
      <c r="A2743">
        <v>3309</v>
      </c>
      <c r="B2743">
        <v>44122</v>
      </c>
      <c r="C2743">
        <v>20</v>
      </c>
      <c r="D2743">
        <v>36633</v>
      </c>
      <c r="E2743" t="s">
        <v>14</v>
      </c>
      <c r="F2743" t="s">
        <v>15</v>
      </c>
      <c r="G2743" t="s">
        <v>31</v>
      </c>
      <c r="H2743" t="s">
        <v>8</v>
      </c>
      <c r="I2743" t="s">
        <v>9</v>
      </c>
      <c r="J2743" t="s">
        <v>20</v>
      </c>
      <c r="K2743" t="s">
        <v>26</v>
      </c>
      <c r="L2743" t="s">
        <v>12</v>
      </c>
      <c r="M2743" t="s">
        <v>13</v>
      </c>
      <c r="N2743" t="s">
        <v>16</v>
      </c>
      <c r="O2743" t="s">
        <v>18</v>
      </c>
      <c r="P2743">
        <v>3</v>
      </c>
    </row>
    <row r="2744" spans="1:16" x14ac:dyDescent="0.3">
      <c r="A2744">
        <v>3310</v>
      </c>
      <c r="B2744">
        <v>44594</v>
      </c>
      <c r="C2744">
        <v>47</v>
      </c>
      <c r="D2744">
        <v>27600</v>
      </c>
      <c r="E2744" t="s">
        <v>14</v>
      </c>
      <c r="F2744" t="s">
        <v>15</v>
      </c>
      <c r="G2744" t="s">
        <v>34</v>
      </c>
      <c r="H2744" t="s">
        <v>8</v>
      </c>
      <c r="I2744" t="s">
        <v>9</v>
      </c>
      <c r="J2744" t="s">
        <v>20</v>
      </c>
      <c r="K2744" t="s">
        <v>26</v>
      </c>
      <c r="L2744" t="s">
        <v>12</v>
      </c>
      <c r="M2744" t="s">
        <v>44</v>
      </c>
      <c r="N2744" t="s">
        <v>46</v>
      </c>
      <c r="O2744" t="s">
        <v>18</v>
      </c>
      <c r="P2744">
        <v>5</v>
      </c>
    </row>
    <row r="2745" spans="1:16" x14ac:dyDescent="0.3">
      <c r="A2745">
        <v>3311</v>
      </c>
      <c r="B2745">
        <v>44364</v>
      </c>
      <c r="C2745">
        <v>47</v>
      </c>
      <c r="D2745">
        <v>27100</v>
      </c>
      <c r="E2745" t="s">
        <v>14</v>
      </c>
      <c r="F2745" t="s">
        <v>15</v>
      </c>
      <c r="G2745" t="s">
        <v>17</v>
      </c>
      <c r="H2745" t="s">
        <v>8</v>
      </c>
      <c r="I2745" t="s">
        <v>9</v>
      </c>
      <c r="J2745" t="s">
        <v>10</v>
      </c>
      <c r="K2745" t="s">
        <v>19</v>
      </c>
      <c r="L2745" t="s">
        <v>12</v>
      </c>
      <c r="M2745" t="s">
        <v>35</v>
      </c>
      <c r="N2745" t="s">
        <v>37</v>
      </c>
      <c r="O2745" t="s">
        <v>18</v>
      </c>
      <c r="P2745">
        <v>2</v>
      </c>
    </row>
    <row r="2746" spans="1:16" x14ac:dyDescent="0.3">
      <c r="A2746">
        <v>3312</v>
      </c>
      <c r="B2746">
        <v>43435</v>
      </c>
      <c r="C2746">
        <v>72</v>
      </c>
      <c r="D2746">
        <v>16922</v>
      </c>
      <c r="E2746" t="s">
        <v>14</v>
      </c>
      <c r="F2746" t="s">
        <v>22</v>
      </c>
      <c r="G2746" t="s">
        <v>34</v>
      </c>
      <c r="H2746" t="s">
        <v>8</v>
      </c>
      <c r="I2746" t="s">
        <v>9</v>
      </c>
      <c r="J2746" t="s">
        <v>20</v>
      </c>
      <c r="K2746" t="s">
        <v>11</v>
      </c>
      <c r="L2746" t="s">
        <v>12</v>
      </c>
      <c r="M2746" t="s">
        <v>42</v>
      </c>
      <c r="N2746" t="s">
        <v>23</v>
      </c>
      <c r="O2746" t="s">
        <v>18</v>
      </c>
      <c r="P2746">
        <v>1</v>
      </c>
    </row>
    <row r="2747" spans="1:16" x14ac:dyDescent="0.3">
      <c r="A2747">
        <v>3313</v>
      </c>
      <c r="B2747">
        <v>44325</v>
      </c>
      <c r="C2747">
        <v>45</v>
      </c>
      <c r="D2747">
        <v>27806</v>
      </c>
      <c r="E2747" t="s">
        <v>14</v>
      </c>
      <c r="F2747" t="s">
        <v>22</v>
      </c>
      <c r="G2747" t="s">
        <v>34</v>
      </c>
      <c r="H2747" t="s">
        <v>8</v>
      </c>
      <c r="I2747" t="s">
        <v>9</v>
      </c>
      <c r="J2747" t="s">
        <v>25</v>
      </c>
      <c r="K2747" t="s">
        <v>26</v>
      </c>
      <c r="L2747" t="s">
        <v>12</v>
      </c>
      <c r="M2747" t="s">
        <v>59</v>
      </c>
      <c r="N2747" t="s">
        <v>23</v>
      </c>
      <c r="O2747" t="s">
        <v>18</v>
      </c>
      <c r="P2747">
        <v>2</v>
      </c>
    </row>
    <row r="2748" spans="1:16" x14ac:dyDescent="0.3">
      <c r="A2748">
        <v>3314</v>
      </c>
      <c r="B2748">
        <v>43466</v>
      </c>
      <c r="C2748">
        <v>64</v>
      </c>
      <c r="D2748">
        <v>20356</v>
      </c>
      <c r="E2748" t="s">
        <v>14</v>
      </c>
      <c r="F2748" t="s">
        <v>22</v>
      </c>
      <c r="G2748" t="s">
        <v>17</v>
      </c>
      <c r="H2748" t="s">
        <v>8</v>
      </c>
      <c r="I2748" t="s">
        <v>9</v>
      </c>
      <c r="J2748" t="s">
        <v>20</v>
      </c>
      <c r="K2748" t="s">
        <v>19</v>
      </c>
      <c r="L2748" t="s">
        <v>12</v>
      </c>
      <c r="M2748" t="s">
        <v>38</v>
      </c>
      <c r="N2748" t="s">
        <v>30</v>
      </c>
      <c r="O2748" t="s">
        <v>18</v>
      </c>
      <c r="P2748">
        <v>4</v>
      </c>
    </row>
    <row r="2749" spans="1:16" x14ac:dyDescent="0.3">
      <c r="A2749">
        <v>3315</v>
      </c>
      <c r="B2749">
        <v>43386</v>
      </c>
      <c r="C2749">
        <v>61</v>
      </c>
      <c r="D2749">
        <v>20925</v>
      </c>
      <c r="E2749" t="s">
        <v>14</v>
      </c>
      <c r="F2749" t="s">
        <v>15</v>
      </c>
      <c r="G2749" t="s">
        <v>17</v>
      </c>
      <c r="H2749" t="s">
        <v>8</v>
      </c>
      <c r="I2749" t="s">
        <v>66</v>
      </c>
      <c r="J2749" t="s">
        <v>25</v>
      </c>
      <c r="K2749" t="s">
        <v>11</v>
      </c>
      <c r="L2749" t="s">
        <v>12</v>
      </c>
      <c r="M2749" t="s">
        <v>35</v>
      </c>
      <c r="N2749" t="s">
        <v>30</v>
      </c>
      <c r="O2749" t="s">
        <v>18</v>
      </c>
      <c r="P2749">
        <v>3</v>
      </c>
    </row>
    <row r="2750" spans="1:16" x14ac:dyDescent="0.3">
      <c r="A2750">
        <v>3317</v>
      </c>
      <c r="B2750">
        <v>44637</v>
      </c>
      <c r="C2750">
        <v>39</v>
      </c>
      <c r="D2750">
        <v>30414</v>
      </c>
      <c r="E2750" t="s">
        <v>14</v>
      </c>
      <c r="F2750" t="s">
        <v>15</v>
      </c>
      <c r="G2750" t="s">
        <v>31</v>
      </c>
      <c r="H2750" t="s">
        <v>8</v>
      </c>
      <c r="I2750" t="s">
        <v>9</v>
      </c>
      <c r="J2750" t="s">
        <v>20</v>
      </c>
      <c r="K2750" t="s">
        <v>11</v>
      </c>
      <c r="L2750" t="s">
        <v>12</v>
      </c>
      <c r="M2750" t="s">
        <v>13</v>
      </c>
      <c r="N2750" t="s">
        <v>30</v>
      </c>
      <c r="O2750" t="s">
        <v>18</v>
      </c>
      <c r="P2750">
        <v>5</v>
      </c>
    </row>
    <row r="2751" spans="1:16" x14ac:dyDescent="0.3">
      <c r="A2751">
        <v>3319</v>
      </c>
      <c r="B2751">
        <v>43747</v>
      </c>
      <c r="C2751">
        <v>56</v>
      </c>
      <c r="D2751">
        <v>23036</v>
      </c>
      <c r="E2751" t="s">
        <v>14</v>
      </c>
      <c r="F2751" t="s">
        <v>15</v>
      </c>
      <c r="G2751" t="s">
        <v>34</v>
      </c>
      <c r="H2751" t="s">
        <v>64</v>
      </c>
      <c r="I2751" t="s">
        <v>9</v>
      </c>
      <c r="J2751" t="s">
        <v>25</v>
      </c>
      <c r="K2751" t="s">
        <v>26</v>
      </c>
      <c r="L2751" t="s">
        <v>12</v>
      </c>
      <c r="M2751" t="s">
        <v>35</v>
      </c>
      <c r="N2751" t="s">
        <v>23</v>
      </c>
      <c r="O2751" t="s">
        <v>18</v>
      </c>
      <c r="P2751">
        <v>3</v>
      </c>
    </row>
    <row r="2752" spans="1:16" x14ac:dyDescent="0.3">
      <c r="A2752">
        <v>3320</v>
      </c>
      <c r="B2752">
        <v>43969</v>
      </c>
      <c r="C2752">
        <v>51</v>
      </c>
      <c r="D2752">
        <v>25390</v>
      </c>
      <c r="E2752" t="s">
        <v>14</v>
      </c>
      <c r="F2752" t="s">
        <v>22</v>
      </c>
      <c r="G2752" t="s">
        <v>40</v>
      </c>
      <c r="H2752" t="s">
        <v>64</v>
      </c>
      <c r="I2752" t="s">
        <v>9</v>
      </c>
      <c r="J2752" t="s">
        <v>20</v>
      </c>
      <c r="K2752" t="s">
        <v>19</v>
      </c>
      <c r="L2752" t="s">
        <v>12</v>
      </c>
      <c r="M2752" t="s">
        <v>32</v>
      </c>
      <c r="N2752" t="s">
        <v>30</v>
      </c>
      <c r="O2752" t="s">
        <v>18</v>
      </c>
      <c r="P2752">
        <v>4</v>
      </c>
    </row>
    <row r="2753" spans="1:16" x14ac:dyDescent="0.3">
      <c r="A2753">
        <v>3321</v>
      </c>
      <c r="B2753">
        <v>43513</v>
      </c>
      <c r="C2753">
        <v>33</v>
      </c>
      <c r="D2753">
        <v>31423</v>
      </c>
      <c r="E2753" t="s">
        <v>14</v>
      </c>
      <c r="F2753" t="s">
        <v>22</v>
      </c>
      <c r="G2753" t="s">
        <v>31</v>
      </c>
      <c r="H2753" t="s">
        <v>64</v>
      </c>
      <c r="I2753" t="s">
        <v>9</v>
      </c>
      <c r="J2753" t="s">
        <v>10</v>
      </c>
      <c r="K2753" t="s">
        <v>26</v>
      </c>
      <c r="L2753" t="s">
        <v>12</v>
      </c>
      <c r="M2753" t="s">
        <v>42</v>
      </c>
      <c r="N2753" t="s">
        <v>16</v>
      </c>
      <c r="O2753" t="s">
        <v>18</v>
      </c>
      <c r="P2753">
        <v>1</v>
      </c>
    </row>
    <row r="2754" spans="1:16" x14ac:dyDescent="0.3">
      <c r="A2754">
        <v>3322</v>
      </c>
      <c r="B2754">
        <v>44043</v>
      </c>
      <c r="C2754">
        <v>77</v>
      </c>
      <c r="D2754">
        <v>15988</v>
      </c>
      <c r="E2754" t="s">
        <v>14</v>
      </c>
      <c r="F2754" t="s">
        <v>22</v>
      </c>
      <c r="G2754" t="s">
        <v>31</v>
      </c>
      <c r="H2754" t="s">
        <v>64</v>
      </c>
      <c r="I2754" t="s">
        <v>66</v>
      </c>
      <c r="J2754" t="s">
        <v>20</v>
      </c>
      <c r="K2754" t="s">
        <v>26</v>
      </c>
      <c r="L2754" t="s">
        <v>12</v>
      </c>
      <c r="M2754" t="s">
        <v>21</v>
      </c>
      <c r="N2754" t="s">
        <v>16</v>
      </c>
      <c r="O2754" t="s">
        <v>18</v>
      </c>
      <c r="P2754">
        <v>5</v>
      </c>
    </row>
    <row r="2755" spans="1:16" x14ac:dyDescent="0.3">
      <c r="A2755">
        <v>3325</v>
      </c>
      <c r="B2755">
        <v>44390</v>
      </c>
      <c r="C2755">
        <v>28</v>
      </c>
      <c r="D2755">
        <v>34256</v>
      </c>
      <c r="E2755" t="s">
        <v>14</v>
      </c>
      <c r="F2755" t="s">
        <v>15</v>
      </c>
      <c r="G2755" t="s">
        <v>31</v>
      </c>
      <c r="H2755" t="s">
        <v>64</v>
      </c>
      <c r="I2755" t="s">
        <v>66</v>
      </c>
      <c r="J2755" t="s">
        <v>10</v>
      </c>
      <c r="K2755" t="s">
        <v>19</v>
      </c>
      <c r="L2755" t="s">
        <v>12</v>
      </c>
      <c r="M2755" t="s">
        <v>35</v>
      </c>
      <c r="N2755" t="s">
        <v>16</v>
      </c>
      <c r="O2755" t="s">
        <v>18</v>
      </c>
      <c r="P2755">
        <v>5</v>
      </c>
    </row>
    <row r="2756" spans="1:16" x14ac:dyDescent="0.3">
      <c r="A2756">
        <v>3326</v>
      </c>
      <c r="B2756">
        <v>44575</v>
      </c>
      <c r="C2756">
        <v>81</v>
      </c>
      <c r="D2756">
        <v>15222</v>
      </c>
      <c r="E2756" t="s">
        <v>14</v>
      </c>
      <c r="F2756" t="s">
        <v>22</v>
      </c>
      <c r="G2756" t="s">
        <v>40</v>
      </c>
      <c r="H2756" t="s">
        <v>8</v>
      </c>
      <c r="I2756" t="s">
        <v>9</v>
      </c>
      <c r="J2756" t="s">
        <v>10</v>
      </c>
      <c r="K2756" t="s">
        <v>19</v>
      </c>
      <c r="L2756" t="s">
        <v>12</v>
      </c>
      <c r="M2756" t="s">
        <v>32</v>
      </c>
      <c r="N2756" t="s">
        <v>23</v>
      </c>
      <c r="O2756" t="s">
        <v>18</v>
      </c>
      <c r="P2756">
        <v>1</v>
      </c>
    </row>
    <row r="2757" spans="1:16" x14ac:dyDescent="0.3">
      <c r="A2757">
        <v>3327</v>
      </c>
      <c r="B2757">
        <v>43831</v>
      </c>
      <c r="C2757">
        <v>41</v>
      </c>
      <c r="D2757">
        <v>28972</v>
      </c>
      <c r="E2757" t="s">
        <v>14</v>
      </c>
      <c r="F2757" t="s">
        <v>15</v>
      </c>
      <c r="G2757" t="s">
        <v>17</v>
      </c>
      <c r="H2757" t="s">
        <v>8</v>
      </c>
      <c r="I2757" t="s">
        <v>9</v>
      </c>
      <c r="J2757" t="s">
        <v>10</v>
      </c>
      <c r="K2757" t="s">
        <v>11</v>
      </c>
      <c r="L2757" t="s">
        <v>12</v>
      </c>
      <c r="M2757" t="s">
        <v>55</v>
      </c>
      <c r="N2757" t="s">
        <v>23</v>
      </c>
      <c r="O2757" t="s">
        <v>18</v>
      </c>
      <c r="P2757">
        <v>1</v>
      </c>
    </row>
    <row r="2758" spans="1:16" x14ac:dyDescent="0.3">
      <c r="A2758">
        <v>3328</v>
      </c>
      <c r="B2758">
        <v>44128</v>
      </c>
      <c r="C2758">
        <v>59</v>
      </c>
      <c r="D2758">
        <v>22318</v>
      </c>
      <c r="E2758" t="s">
        <v>14</v>
      </c>
      <c r="F2758" t="s">
        <v>22</v>
      </c>
      <c r="G2758" t="s">
        <v>34</v>
      </c>
      <c r="H2758" t="s">
        <v>8</v>
      </c>
      <c r="I2758" t="s">
        <v>66</v>
      </c>
      <c r="J2758" t="s">
        <v>20</v>
      </c>
      <c r="K2758" t="s">
        <v>19</v>
      </c>
      <c r="L2758" t="s">
        <v>12</v>
      </c>
      <c r="M2758" t="s">
        <v>42</v>
      </c>
      <c r="N2758" t="s">
        <v>16</v>
      </c>
      <c r="O2758" t="s">
        <v>18</v>
      </c>
      <c r="P2758">
        <v>5</v>
      </c>
    </row>
    <row r="2759" spans="1:16" x14ac:dyDescent="0.3">
      <c r="A2759">
        <v>3329</v>
      </c>
      <c r="B2759">
        <v>44128</v>
      </c>
      <c r="C2759">
        <v>42</v>
      </c>
      <c r="D2759">
        <v>28771</v>
      </c>
      <c r="E2759" t="s">
        <v>14</v>
      </c>
      <c r="F2759" t="s">
        <v>22</v>
      </c>
      <c r="G2759" t="s">
        <v>40</v>
      </c>
      <c r="H2759" t="s">
        <v>8</v>
      </c>
      <c r="I2759" t="s">
        <v>9</v>
      </c>
      <c r="J2759" t="s">
        <v>20</v>
      </c>
      <c r="K2759" t="s">
        <v>26</v>
      </c>
      <c r="L2759" t="s">
        <v>12</v>
      </c>
      <c r="M2759" t="s">
        <v>28</v>
      </c>
      <c r="N2759" t="s">
        <v>23</v>
      </c>
      <c r="O2759" t="s">
        <v>18</v>
      </c>
      <c r="P2759">
        <v>4</v>
      </c>
    </row>
    <row r="2760" spans="1:16" x14ac:dyDescent="0.3">
      <c r="A2760">
        <v>3330</v>
      </c>
      <c r="B2760">
        <v>44052</v>
      </c>
      <c r="C2760">
        <v>44</v>
      </c>
      <c r="D2760">
        <v>27838</v>
      </c>
      <c r="E2760" t="s">
        <v>14</v>
      </c>
      <c r="F2760" t="s">
        <v>15</v>
      </c>
      <c r="G2760" t="s">
        <v>40</v>
      </c>
      <c r="H2760" t="s">
        <v>8</v>
      </c>
      <c r="I2760" t="s">
        <v>9</v>
      </c>
      <c r="J2760" t="s">
        <v>20</v>
      </c>
      <c r="K2760" t="s">
        <v>11</v>
      </c>
      <c r="L2760" t="s">
        <v>12</v>
      </c>
      <c r="M2760" t="s">
        <v>55</v>
      </c>
      <c r="N2760" t="s">
        <v>16</v>
      </c>
      <c r="O2760" t="s">
        <v>18</v>
      </c>
      <c r="P2760">
        <v>3</v>
      </c>
    </row>
    <row r="2761" spans="1:16" x14ac:dyDescent="0.3">
      <c r="A2761">
        <v>3331</v>
      </c>
      <c r="B2761">
        <v>43548</v>
      </c>
      <c r="C2761">
        <v>56</v>
      </c>
      <c r="D2761">
        <v>23321</v>
      </c>
      <c r="E2761" t="s">
        <v>14</v>
      </c>
      <c r="F2761" t="s">
        <v>15</v>
      </c>
      <c r="G2761" t="s">
        <v>31</v>
      </c>
      <c r="H2761" t="s">
        <v>8</v>
      </c>
      <c r="I2761" t="s">
        <v>9</v>
      </c>
      <c r="J2761" t="s">
        <v>25</v>
      </c>
      <c r="K2761" t="s">
        <v>19</v>
      </c>
      <c r="L2761" t="s">
        <v>12</v>
      </c>
      <c r="M2761" t="s">
        <v>35</v>
      </c>
      <c r="N2761" t="s">
        <v>30</v>
      </c>
      <c r="O2761" t="s">
        <v>18</v>
      </c>
      <c r="P2761">
        <v>5</v>
      </c>
    </row>
    <row r="2762" spans="1:16" x14ac:dyDescent="0.3">
      <c r="A2762">
        <v>3332</v>
      </c>
      <c r="B2762">
        <v>44863</v>
      </c>
      <c r="C2762">
        <v>61</v>
      </c>
      <c r="D2762">
        <v>22346</v>
      </c>
      <c r="E2762" t="s">
        <v>14</v>
      </c>
      <c r="F2762" t="s">
        <v>15</v>
      </c>
      <c r="G2762" t="s">
        <v>17</v>
      </c>
      <c r="H2762" t="s">
        <v>8</v>
      </c>
      <c r="I2762" t="s">
        <v>9</v>
      </c>
      <c r="J2762" t="s">
        <v>20</v>
      </c>
      <c r="K2762" t="s">
        <v>26</v>
      </c>
      <c r="L2762" t="s">
        <v>12</v>
      </c>
      <c r="M2762" t="s">
        <v>59</v>
      </c>
      <c r="N2762" t="s">
        <v>30</v>
      </c>
      <c r="O2762" t="s">
        <v>18</v>
      </c>
      <c r="P2762">
        <v>4</v>
      </c>
    </row>
    <row r="2763" spans="1:16" x14ac:dyDescent="0.3">
      <c r="A2763">
        <v>3333</v>
      </c>
      <c r="B2763">
        <v>45062</v>
      </c>
      <c r="C2763">
        <v>31</v>
      </c>
      <c r="D2763">
        <v>33906</v>
      </c>
      <c r="E2763" t="s">
        <v>14</v>
      </c>
      <c r="F2763" t="s">
        <v>22</v>
      </c>
      <c r="G2763" t="s">
        <v>31</v>
      </c>
      <c r="H2763" t="s">
        <v>8</v>
      </c>
      <c r="I2763" t="s">
        <v>9</v>
      </c>
      <c r="J2763" t="s">
        <v>10</v>
      </c>
      <c r="K2763" t="s">
        <v>26</v>
      </c>
      <c r="L2763" t="s">
        <v>12</v>
      </c>
      <c r="M2763" t="s">
        <v>35</v>
      </c>
      <c r="N2763" t="s">
        <v>23</v>
      </c>
      <c r="O2763" t="s">
        <v>18</v>
      </c>
      <c r="P2763">
        <v>3</v>
      </c>
    </row>
    <row r="2764" spans="1:16" x14ac:dyDescent="0.3">
      <c r="A2764">
        <v>3334</v>
      </c>
      <c r="B2764">
        <v>45076</v>
      </c>
      <c r="C2764">
        <v>34</v>
      </c>
      <c r="D2764">
        <v>32647</v>
      </c>
      <c r="E2764" t="s">
        <v>14</v>
      </c>
      <c r="F2764" t="s">
        <v>22</v>
      </c>
      <c r="G2764" t="s">
        <v>31</v>
      </c>
      <c r="H2764" t="s">
        <v>8</v>
      </c>
      <c r="I2764" t="s">
        <v>9</v>
      </c>
      <c r="J2764" t="s">
        <v>20</v>
      </c>
      <c r="K2764" t="s">
        <v>26</v>
      </c>
      <c r="L2764" t="s">
        <v>12</v>
      </c>
      <c r="M2764" t="s">
        <v>54</v>
      </c>
      <c r="N2764" t="s">
        <v>16</v>
      </c>
      <c r="O2764" t="s">
        <v>18</v>
      </c>
      <c r="P2764">
        <v>4</v>
      </c>
    </row>
    <row r="2765" spans="1:16" x14ac:dyDescent="0.3">
      <c r="A2765">
        <v>3335</v>
      </c>
      <c r="B2765">
        <v>43644</v>
      </c>
      <c r="C2765">
        <v>27</v>
      </c>
      <c r="D2765">
        <v>33701</v>
      </c>
      <c r="E2765" t="s">
        <v>14</v>
      </c>
      <c r="F2765" t="s">
        <v>22</v>
      </c>
      <c r="G2765" t="s">
        <v>40</v>
      </c>
      <c r="H2765" t="s">
        <v>8</v>
      </c>
      <c r="I2765" t="s">
        <v>66</v>
      </c>
      <c r="J2765" t="s">
        <v>20</v>
      </c>
      <c r="K2765" t="s">
        <v>26</v>
      </c>
      <c r="L2765" t="s">
        <v>12</v>
      </c>
      <c r="M2765" t="s">
        <v>35</v>
      </c>
      <c r="N2765" t="s">
        <v>30</v>
      </c>
      <c r="O2765" t="s">
        <v>18</v>
      </c>
      <c r="P2765">
        <v>1</v>
      </c>
    </row>
    <row r="2766" spans="1:16" x14ac:dyDescent="0.3">
      <c r="A2766">
        <v>3336</v>
      </c>
      <c r="B2766">
        <v>45010</v>
      </c>
      <c r="C2766">
        <v>44</v>
      </c>
      <c r="D2766">
        <v>29027</v>
      </c>
      <c r="E2766" t="s">
        <v>14</v>
      </c>
      <c r="F2766" t="s">
        <v>22</v>
      </c>
      <c r="G2766" t="s">
        <v>40</v>
      </c>
      <c r="H2766" t="s">
        <v>8</v>
      </c>
      <c r="I2766" t="s">
        <v>66</v>
      </c>
      <c r="J2766" t="s">
        <v>10</v>
      </c>
      <c r="K2766" t="s">
        <v>19</v>
      </c>
      <c r="L2766" t="s">
        <v>12</v>
      </c>
      <c r="M2766" t="s">
        <v>32</v>
      </c>
      <c r="N2766" t="s">
        <v>46</v>
      </c>
      <c r="O2766" t="s">
        <v>18</v>
      </c>
      <c r="P2766">
        <v>4</v>
      </c>
    </row>
    <row r="2767" spans="1:16" x14ac:dyDescent="0.3">
      <c r="A2767">
        <v>3337</v>
      </c>
      <c r="B2767">
        <v>44799</v>
      </c>
      <c r="C2767">
        <v>49</v>
      </c>
      <c r="D2767">
        <v>26693</v>
      </c>
      <c r="E2767" t="s">
        <v>14</v>
      </c>
      <c r="F2767" t="s">
        <v>15</v>
      </c>
      <c r="G2767" t="s">
        <v>31</v>
      </c>
      <c r="H2767" t="s">
        <v>8</v>
      </c>
      <c r="I2767" t="s">
        <v>9</v>
      </c>
      <c r="J2767" t="s">
        <v>25</v>
      </c>
      <c r="K2767" t="s">
        <v>19</v>
      </c>
      <c r="L2767" t="s">
        <v>12</v>
      </c>
      <c r="M2767" t="s">
        <v>42</v>
      </c>
      <c r="N2767" t="s">
        <v>37</v>
      </c>
      <c r="O2767" t="s">
        <v>18</v>
      </c>
      <c r="P2767">
        <v>5</v>
      </c>
    </row>
    <row r="2768" spans="1:16" x14ac:dyDescent="0.3">
      <c r="A2768">
        <v>3338</v>
      </c>
      <c r="B2768">
        <v>43784</v>
      </c>
      <c r="C2768">
        <v>69</v>
      </c>
      <c r="D2768">
        <v>18327</v>
      </c>
      <c r="E2768" t="s">
        <v>14</v>
      </c>
      <c r="F2768" t="s">
        <v>15</v>
      </c>
      <c r="G2768" t="s">
        <v>40</v>
      </c>
      <c r="H2768" t="s">
        <v>8</v>
      </c>
      <c r="I2768" t="s">
        <v>9</v>
      </c>
      <c r="J2768" t="s">
        <v>10</v>
      </c>
      <c r="K2768" t="s">
        <v>11</v>
      </c>
      <c r="L2768" t="s">
        <v>12</v>
      </c>
      <c r="M2768" t="s">
        <v>32</v>
      </c>
      <c r="N2768" t="s">
        <v>23</v>
      </c>
      <c r="O2768" t="s">
        <v>18</v>
      </c>
      <c r="P2768">
        <v>2</v>
      </c>
    </row>
    <row r="2769" spans="1:16" x14ac:dyDescent="0.3">
      <c r="A2769">
        <v>3339</v>
      </c>
      <c r="B2769">
        <v>44430</v>
      </c>
      <c r="C2769">
        <v>70</v>
      </c>
      <c r="D2769">
        <v>18973</v>
      </c>
      <c r="E2769" t="s">
        <v>14</v>
      </c>
      <c r="F2769" t="s">
        <v>22</v>
      </c>
      <c r="G2769" t="s">
        <v>40</v>
      </c>
      <c r="H2769" t="s">
        <v>8</v>
      </c>
      <c r="I2769" t="s">
        <v>9</v>
      </c>
      <c r="J2769" t="s">
        <v>20</v>
      </c>
      <c r="K2769" t="s">
        <v>11</v>
      </c>
      <c r="L2769" t="s">
        <v>12</v>
      </c>
      <c r="M2769" t="s">
        <v>68</v>
      </c>
      <c r="N2769" t="s">
        <v>23</v>
      </c>
      <c r="O2769" t="s">
        <v>18</v>
      </c>
      <c r="P2769">
        <v>1</v>
      </c>
    </row>
    <row r="2770" spans="1:16" x14ac:dyDescent="0.3">
      <c r="A2770">
        <v>3340</v>
      </c>
      <c r="B2770">
        <v>44894</v>
      </c>
      <c r="C2770">
        <v>61</v>
      </c>
      <c r="D2770">
        <v>22411</v>
      </c>
      <c r="E2770" t="s">
        <v>14</v>
      </c>
      <c r="F2770" t="s">
        <v>22</v>
      </c>
      <c r="G2770" t="s">
        <v>34</v>
      </c>
      <c r="H2770" t="s">
        <v>8</v>
      </c>
      <c r="I2770" t="s">
        <v>9</v>
      </c>
      <c r="J2770" t="s">
        <v>20</v>
      </c>
      <c r="K2770" t="s">
        <v>19</v>
      </c>
      <c r="L2770" t="s">
        <v>12</v>
      </c>
      <c r="M2770" t="s">
        <v>32</v>
      </c>
      <c r="N2770" t="s">
        <v>16</v>
      </c>
      <c r="O2770" t="s">
        <v>18</v>
      </c>
      <c r="P2770">
        <v>2</v>
      </c>
    </row>
    <row r="2771" spans="1:16" x14ac:dyDescent="0.3">
      <c r="A2771">
        <v>3341</v>
      </c>
      <c r="B2771">
        <v>44849</v>
      </c>
      <c r="C2771">
        <v>67</v>
      </c>
      <c r="D2771">
        <v>20117</v>
      </c>
      <c r="E2771" t="s">
        <v>14</v>
      </c>
      <c r="F2771" t="s">
        <v>15</v>
      </c>
      <c r="G2771" t="s">
        <v>31</v>
      </c>
      <c r="H2771" t="s">
        <v>64</v>
      </c>
      <c r="I2771" t="s">
        <v>9</v>
      </c>
      <c r="J2771" t="s">
        <v>25</v>
      </c>
      <c r="K2771" t="s">
        <v>11</v>
      </c>
      <c r="L2771" t="s">
        <v>12</v>
      </c>
      <c r="M2771" t="s">
        <v>32</v>
      </c>
      <c r="N2771" t="s">
        <v>16</v>
      </c>
      <c r="O2771" t="s">
        <v>18</v>
      </c>
      <c r="P2771">
        <v>5</v>
      </c>
    </row>
    <row r="2772" spans="1:16" x14ac:dyDescent="0.3">
      <c r="A2772">
        <v>3342</v>
      </c>
      <c r="B2772">
        <v>44408</v>
      </c>
      <c r="C2772">
        <v>21</v>
      </c>
      <c r="D2772">
        <v>36573</v>
      </c>
      <c r="E2772" t="s">
        <v>14</v>
      </c>
      <c r="F2772" t="s">
        <v>22</v>
      </c>
      <c r="G2772" t="s">
        <v>17</v>
      </c>
      <c r="H2772" t="s">
        <v>64</v>
      </c>
      <c r="I2772" t="s">
        <v>9</v>
      </c>
      <c r="J2772" t="s">
        <v>25</v>
      </c>
      <c r="K2772" t="s">
        <v>11</v>
      </c>
      <c r="L2772" t="s">
        <v>12</v>
      </c>
      <c r="M2772" t="s">
        <v>21</v>
      </c>
      <c r="N2772" t="s">
        <v>30</v>
      </c>
      <c r="O2772" t="s">
        <v>18</v>
      </c>
      <c r="P2772">
        <v>4</v>
      </c>
    </row>
    <row r="2773" spans="1:16" x14ac:dyDescent="0.3">
      <c r="A2773">
        <v>3343</v>
      </c>
      <c r="B2773">
        <v>44613</v>
      </c>
      <c r="C2773">
        <v>57</v>
      </c>
      <c r="D2773">
        <v>24071</v>
      </c>
      <c r="E2773" t="s">
        <v>14</v>
      </c>
      <c r="F2773" t="s">
        <v>22</v>
      </c>
      <c r="G2773" t="s">
        <v>34</v>
      </c>
      <c r="H2773" t="s">
        <v>64</v>
      </c>
      <c r="I2773" t="s">
        <v>9</v>
      </c>
      <c r="J2773" t="s">
        <v>20</v>
      </c>
      <c r="K2773" t="s">
        <v>19</v>
      </c>
      <c r="L2773" t="s">
        <v>12</v>
      </c>
      <c r="M2773" t="s">
        <v>35</v>
      </c>
      <c r="N2773" t="s">
        <v>23</v>
      </c>
      <c r="O2773" t="s">
        <v>18</v>
      </c>
      <c r="P2773">
        <v>2</v>
      </c>
    </row>
    <row r="2774" spans="1:16" x14ac:dyDescent="0.3">
      <c r="A2774">
        <v>3344</v>
      </c>
      <c r="B2774">
        <v>44437</v>
      </c>
      <c r="C2774">
        <v>63</v>
      </c>
      <c r="D2774">
        <v>21256</v>
      </c>
      <c r="E2774" t="s">
        <v>14</v>
      </c>
      <c r="F2774" t="s">
        <v>22</v>
      </c>
      <c r="G2774" t="s">
        <v>34</v>
      </c>
      <c r="H2774" t="s">
        <v>64</v>
      </c>
      <c r="I2774" t="s">
        <v>9</v>
      </c>
      <c r="J2774" t="s">
        <v>10</v>
      </c>
      <c r="K2774" t="s">
        <v>26</v>
      </c>
      <c r="L2774" t="s">
        <v>12</v>
      </c>
      <c r="M2774" t="s">
        <v>32</v>
      </c>
      <c r="N2774" t="s">
        <v>16</v>
      </c>
      <c r="O2774" t="s">
        <v>18</v>
      </c>
      <c r="P2774">
        <v>4</v>
      </c>
    </row>
    <row r="2775" spans="1:16" x14ac:dyDescent="0.3">
      <c r="A2775">
        <v>3345</v>
      </c>
      <c r="B2775">
        <v>44543</v>
      </c>
      <c r="C2775">
        <v>40</v>
      </c>
      <c r="D2775">
        <v>29685</v>
      </c>
      <c r="E2775" t="s">
        <v>14</v>
      </c>
      <c r="F2775" t="s">
        <v>22</v>
      </c>
      <c r="G2775" t="s">
        <v>31</v>
      </c>
      <c r="H2775" t="s">
        <v>64</v>
      </c>
      <c r="I2775" t="s">
        <v>66</v>
      </c>
      <c r="J2775" t="s">
        <v>25</v>
      </c>
      <c r="K2775" t="s">
        <v>11</v>
      </c>
      <c r="L2775" t="s">
        <v>12</v>
      </c>
      <c r="M2775" t="s">
        <v>54</v>
      </c>
      <c r="N2775" t="s">
        <v>46</v>
      </c>
      <c r="O2775" t="s">
        <v>18</v>
      </c>
      <c r="P2775">
        <v>1</v>
      </c>
    </row>
    <row r="2776" spans="1:16" x14ac:dyDescent="0.3">
      <c r="A2776">
        <v>3348</v>
      </c>
      <c r="B2776">
        <v>43769</v>
      </c>
      <c r="C2776">
        <v>32</v>
      </c>
      <c r="D2776">
        <v>32112</v>
      </c>
      <c r="E2776" t="s">
        <v>14</v>
      </c>
      <c r="F2776" t="s">
        <v>15</v>
      </c>
      <c r="G2776" t="s">
        <v>17</v>
      </c>
      <c r="H2776" t="s">
        <v>64</v>
      </c>
      <c r="I2776" t="s">
        <v>9</v>
      </c>
      <c r="J2776" t="s">
        <v>20</v>
      </c>
      <c r="K2776" t="s">
        <v>19</v>
      </c>
      <c r="L2776" t="s">
        <v>12</v>
      </c>
      <c r="M2776" t="s">
        <v>32</v>
      </c>
      <c r="N2776" t="s">
        <v>46</v>
      </c>
      <c r="O2776" t="s">
        <v>18</v>
      </c>
      <c r="P2776">
        <v>2</v>
      </c>
    </row>
    <row r="2777" spans="1:16" x14ac:dyDescent="0.3">
      <c r="A2777">
        <v>3349</v>
      </c>
      <c r="B2777">
        <v>44872</v>
      </c>
      <c r="C2777">
        <v>63</v>
      </c>
      <c r="D2777">
        <v>21608</v>
      </c>
      <c r="E2777" t="s">
        <v>14</v>
      </c>
      <c r="F2777" t="s">
        <v>22</v>
      </c>
      <c r="G2777" t="s">
        <v>40</v>
      </c>
      <c r="H2777" t="s">
        <v>8</v>
      </c>
      <c r="I2777" t="s">
        <v>9</v>
      </c>
      <c r="J2777" t="s">
        <v>10</v>
      </c>
      <c r="K2777" t="s">
        <v>19</v>
      </c>
      <c r="L2777" t="s">
        <v>12</v>
      </c>
      <c r="M2777" t="s">
        <v>38</v>
      </c>
      <c r="N2777" t="s">
        <v>23</v>
      </c>
      <c r="O2777" t="s">
        <v>18</v>
      </c>
      <c r="P2777">
        <v>4</v>
      </c>
    </row>
    <row r="2778" spans="1:16" x14ac:dyDescent="0.3">
      <c r="A2778">
        <v>3350</v>
      </c>
      <c r="B2778">
        <v>44885</v>
      </c>
      <c r="C2778">
        <v>49</v>
      </c>
      <c r="D2778">
        <v>26671</v>
      </c>
      <c r="E2778" t="s">
        <v>14</v>
      </c>
      <c r="F2778" t="s">
        <v>15</v>
      </c>
      <c r="G2778" t="s">
        <v>40</v>
      </c>
      <c r="H2778" t="s">
        <v>8</v>
      </c>
      <c r="I2778" t="s">
        <v>9</v>
      </c>
      <c r="J2778" t="s">
        <v>25</v>
      </c>
      <c r="K2778" t="s">
        <v>26</v>
      </c>
      <c r="L2778" t="s">
        <v>12</v>
      </c>
      <c r="M2778" t="s">
        <v>54</v>
      </c>
      <c r="N2778" t="s">
        <v>23</v>
      </c>
      <c r="O2778" t="s">
        <v>18</v>
      </c>
      <c r="P2778">
        <v>1</v>
      </c>
    </row>
    <row r="2779" spans="1:16" x14ac:dyDescent="0.3">
      <c r="A2779">
        <v>3351</v>
      </c>
      <c r="B2779">
        <v>44545</v>
      </c>
      <c r="C2779">
        <v>47</v>
      </c>
      <c r="D2779">
        <v>27280</v>
      </c>
      <c r="E2779" t="s">
        <v>14</v>
      </c>
      <c r="F2779" t="s">
        <v>22</v>
      </c>
      <c r="G2779" t="s">
        <v>34</v>
      </c>
      <c r="H2779" t="s">
        <v>8</v>
      </c>
      <c r="I2779" t="s">
        <v>66</v>
      </c>
      <c r="J2779" t="s">
        <v>10</v>
      </c>
      <c r="K2779" t="s">
        <v>11</v>
      </c>
      <c r="L2779" t="s">
        <v>12</v>
      </c>
      <c r="M2779" t="s">
        <v>58</v>
      </c>
      <c r="N2779" t="s">
        <v>23</v>
      </c>
      <c r="O2779" t="s">
        <v>18</v>
      </c>
      <c r="P2779">
        <v>2</v>
      </c>
    </row>
    <row r="2780" spans="1:16" x14ac:dyDescent="0.3">
      <c r="A2780">
        <v>3352</v>
      </c>
      <c r="B2780">
        <v>44979</v>
      </c>
      <c r="C2780">
        <v>37</v>
      </c>
      <c r="D2780">
        <v>31507</v>
      </c>
      <c r="E2780" t="s">
        <v>14</v>
      </c>
      <c r="F2780" t="s">
        <v>22</v>
      </c>
      <c r="G2780" t="s">
        <v>31</v>
      </c>
      <c r="H2780" t="s">
        <v>8</v>
      </c>
      <c r="I2780" t="s">
        <v>9</v>
      </c>
      <c r="J2780" t="s">
        <v>20</v>
      </c>
      <c r="K2780" t="s">
        <v>26</v>
      </c>
      <c r="L2780" t="s">
        <v>12</v>
      </c>
      <c r="M2780" t="s">
        <v>35</v>
      </c>
      <c r="N2780" t="s">
        <v>30</v>
      </c>
      <c r="O2780" t="s">
        <v>18</v>
      </c>
      <c r="P2780">
        <v>5</v>
      </c>
    </row>
    <row r="2781" spans="1:16" x14ac:dyDescent="0.3">
      <c r="A2781">
        <v>3353</v>
      </c>
      <c r="B2781">
        <v>43919</v>
      </c>
      <c r="C2781">
        <v>42</v>
      </c>
      <c r="D2781">
        <v>28652</v>
      </c>
      <c r="E2781" t="s">
        <v>14</v>
      </c>
      <c r="F2781" t="s">
        <v>15</v>
      </c>
      <c r="G2781" t="s">
        <v>34</v>
      </c>
      <c r="H2781" t="s">
        <v>8</v>
      </c>
      <c r="I2781" t="s">
        <v>9</v>
      </c>
      <c r="J2781" t="s">
        <v>10</v>
      </c>
      <c r="K2781" t="s">
        <v>26</v>
      </c>
      <c r="L2781" t="s">
        <v>12</v>
      </c>
      <c r="M2781" t="s">
        <v>32</v>
      </c>
      <c r="N2781" t="s">
        <v>23</v>
      </c>
      <c r="O2781" t="s">
        <v>18</v>
      </c>
      <c r="P2781">
        <v>3</v>
      </c>
    </row>
    <row r="2782" spans="1:16" x14ac:dyDescent="0.3">
      <c r="A2782">
        <v>3354</v>
      </c>
      <c r="B2782">
        <v>44417</v>
      </c>
      <c r="C2782">
        <v>60</v>
      </c>
      <c r="D2782">
        <v>22392</v>
      </c>
      <c r="E2782" t="s">
        <v>14</v>
      </c>
      <c r="F2782" t="s">
        <v>15</v>
      </c>
      <c r="G2782" t="s">
        <v>31</v>
      </c>
      <c r="H2782" t="s">
        <v>8</v>
      </c>
      <c r="I2782" t="s">
        <v>9</v>
      </c>
      <c r="J2782" t="s">
        <v>20</v>
      </c>
      <c r="K2782" t="s">
        <v>19</v>
      </c>
      <c r="L2782" t="s">
        <v>12</v>
      </c>
      <c r="M2782" t="s">
        <v>35</v>
      </c>
      <c r="N2782" t="s">
        <v>46</v>
      </c>
      <c r="O2782" t="s">
        <v>18</v>
      </c>
      <c r="P2782">
        <v>4</v>
      </c>
    </row>
    <row r="2783" spans="1:16" x14ac:dyDescent="0.3">
      <c r="A2783">
        <v>3355</v>
      </c>
      <c r="B2783">
        <v>44928</v>
      </c>
      <c r="C2783">
        <v>32</v>
      </c>
      <c r="D2783">
        <v>33292</v>
      </c>
      <c r="E2783" t="s">
        <v>14</v>
      </c>
      <c r="F2783" t="s">
        <v>15</v>
      </c>
      <c r="G2783" t="s">
        <v>40</v>
      </c>
      <c r="H2783" t="s">
        <v>8</v>
      </c>
      <c r="I2783" t="s">
        <v>9</v>
      </c>
      <c r="J2783" t="s">
        <v>10</v>
      </c>
      <c r="K2783" t="s">
        <v>26</v>
      </c>
      <c r="L2783" t="s">
        <v>12</v>
      </c>
      <c r="M2783" t="s">
        <v>21</v>
      </c>
      <c r="N2783" t="s">
        <v>16</v>
      </c>
      <c r="O2783" t="s">
        <v>18</v>
      </c>
      <c r="P2783">
        <v>3</v>
      </c>
    </row>
    <row r="2784" spans="1:16" x14ac:dyDescent="0.3">
      <c r="A2784">
        <v>3356</v>
      </c>
      <c r="B2784">
        <v>43414</v>
      </c>
      <c r="C2784">
        <v>27</v>
      </c>
      <c r="D2784">
        <v>33464</v>
      </c>
      <c r="E2784" t="s">
        <v>14</v>
      </c>
      <c r="F2784" t="s">
        <v>15</v>
      </c>
      <c r="G2784" t="s">
        <v>34</v>
      </c>
      <c r="H2784" t="s">
        <v>8</v>
      </c>
      <c r="I2784" t="s">
        <v>9</v>
      </c>
      <c r="J2784" t="s">
        <v>25</v>
      </c>
      <c r="K2784" t="s">
        <v>11</v>
      </c>
      <c r="L2784" t="s">
        <v>12</v>
      </c>
      <c r="M2784" t="s">
        <v>38</v>
      </c>
      <c r="N2784" t="s">
        <v>46</v>
      </c>
      <c r="O2784" t="s">
        <v>56</v>
      </c>
      <c r="P2784">
        <v>5</v>
      </c>
    </row>
    <row r="2785" spans="1:16" x14ac:dyDescent="0.3">
      <c r="A2785">
        <v>3357</v>
      </c>
      <c r="B2785">
        <v>44803</v>
      </c>
      <c r="C2785">
        <v>80</v>
      </c>
      <c r="D2785">
        <v>15562</v>
      </c>
      <c r="E2785" t="s">
        <v>14</v>
      </c>
      <c r="F2785" t="s">
        <v>22</v>
      </c>
      <c r="G2785" t="s">
        <v>34</v>
      </c>
      <c r="H2785" t="s">
        <v>8</v>
      </c>
      <c r="I2785" t="s">
        <v>9</v>
      </c>
      <c r="J2785" t="s">
        <v>25</v>
      </c>
      <c r="K2785" t="s">
        <v>26</v>
      </c>
      <c r="L2785" t="s">
        <v>12</v>
      </c>
      <c r="M2785" t="s">
        <v>42</v>
      </c>
      <c r="N2785" t="s">
        <v>46</v>
      </c>
      <c r="O2785" t="s">
        <v>41</v>
      </c>
      <c r="P2785">
        <v>3</v>
      </c>
    </row>
    <row r="2786" spans="1:16" x14ac:dyDescent="0.3">
      <c r="A2786">
        <v>3359</v>
      </c>
      <c r="B2786">
        <v>44164</v>
      </c>
      <c r="C2786">
        <v>40</v>
      </c>
      <c r="D2786">
        <v>29259</v>
      </c>
      <c r="E2786" t="s">
        <v>14</v>
      </c>
      <c r="F2786" t="s">
        <v>22</v>
      </c>
      <c r="G2786" t="s">
        <v>34</v>
      </c>
      <c r="H2786" t="s">
        <v>8</v>
      </c>
      <c r="I2786" t="s">
        <v>9</v>
      </c>
      <c r="J2786" t="s">
        <v>25</v>
      </c>
      <c r="K2786" t="s">
        <v>11</v>
      </c>
      <c r="L2786" t="s">
        <v>12</v>
      </c>
      <c r="M2786" t="s">
        <v>35</v>
      </c>
      <c r="N2786" t="s">
        <v>23</v>
      </c>
      <c r="O2786" t="s">
        <v>41</v>
      </c>
      <c r="P2786">
        <v>1</v>
      </c>
    </row>
    <row r="2787" spans="1:16" x14ac:dyDescent="0.3">
      <c r="A2787">
        <v>3360</v>
      </c>
      <c r="B2787">
        <v>44279</v>
      </c>
      <c r="C2787">
        <v>47</v>
      </c>
      <c r="D2787">
        <v>27169</v>
      </c>
      <c r="E2787" t="s">
        <v>14</v>
      </c>
      <c r="F2787" t="s">
        <v>15</v>
      </c>
      <c r="G2787" t="s">
        <v>34</v>
      </c>
      <c r="H2787" t="s">
        <v>8</v>
      </c>
      <c r="I2787" t="s">
        <v>9</v>
      </c>
      <c r="J2787" t="s">
        <v>20</v>
      </c>
      <c r="K2787" t="s">
        <v>19</v>
      </c>
      <c r="L2787" t="s">
        <v>12</v>
      </c>
      <c r="M2787" t="s">
        <v>32</v>
      </c>
      <c r="N2787" t="s">
        <v>46</v>
      </c>
      <c r="O2787" t="s">
        <v>41</v>
      </c>
      <c r="P2787">
        <v>4</v>
      </c>
    </row>
    <row r="2788" spans="1:16" x14ac:dyDescent="0.3">
      <c r="A2788">
        <v>3361</v>
      </c>
      <c r="B2788">
        <v>44194</v>
      </c>
      <c r="C2788">
        <v>77</v>
      </c>
      <c r="D2788">
        <v>15983</v>
      </c>
      <c r="E2788" t="s">
        <v>14</v>
      </c>
      <c r="F2788" t="s">
        <v>15</v>
      </c>
      <c r="G2788" t="s">
        <v>31</v>
      </c>
      <c r="H2788" t="s">
        <v>8</v>
      </c>
      <c r="I2788" t="s">
        <v>66</v>
      </c>
      <c r="J2788" t="s">
        <v>20</v>
      </c>
      <c r="K2788" t="s">
        <v>26</v>
      </c>
      <c r="L2788" t="s">
        <v>12</v>
      </c>
      <c r="M2788" t="s">
        <v>32</v>
      </c>
      <c r="N2788" t="s">
        <v>30</v>
      </c>
      <c r="O2788" t="s">
        <v>41</v>
      </c>
      <c r="P2788">
        <v>3</v>
      </c>
    </row>
    <row r="2789" spans="1:16" x14ac:dyDescent="0.3">
      <c r="A2789">
        <v>3362</v>
      </c>
      <c r="B2789">
        <v>44410</v>
      </c>
      <c r="C2789">
        <v>54</v>
      </c>
      <c r="D2789">
        <v>24786</v>
      </c>
      <c r="E2789" t="s">
        <v>14</v>
      </c>
      <c r="F2789" t="s">
        <v>15</v>
      </c>
      <c r="G2789" t="s">
        <v>17</v>
      </c>
      <c r="H2789" t="s">
        <v>8</v>
      </c>
      <c r="I2789" t="s">
        <v>9</v>
      </c>
      <c r="J2789" t="s">
        <v>25</v>
      </c>
      <c r="K2789" t="s">
        <v>11</v>
      </c>
      <c r="L2789" t="s">
        <v>12</v>
      </c>
      <c r="M2789" t="s">
        <v>35</v>
      </c>
      <c r="N2789" t="s">
        <v>46</v>
      </c>
      <c r="O2789" t="s">
        <v>41</v>
      </c>
      <c r="P2789">
        <v>5</v>
      </c>
    </row>
    <row r="2790" spans="1:16" x14ac:dyDescent="0.3">
      <c r="A2790">
        <v>3363</v>
      </c>
      <c r="B2790">
        <v>44650</v>
      </c>
      <c r="C2790">
        <v>65</v>
      </c>
      <c r="D2790">
        <v>21027</v>
      </c>
      <c r="E2790" t="s">
        <v>14</v>
      </c>
      <c r="F2790" t="s">
        <v>22</v>
      </c>
      <c r="G2790" t="s">
        <v>34</v>
      </c>
      <c r="H2790" t="s">
        <v>8</v>
      </c>
      <c r="I2790" t="s">
        <v>9</v>
      </c>
      <c r="J2790" t="s">
        <v>20</v>
      </c>
      <c r="K2790" t="s">
        <v>19</v>
      </c>
      <c r="L2790" t="s">
        <v>12</v>
      </c>
      <c r="M2790" t="s">
        <v>35</v>
      </c>
      <c r="N2790" t="s">
        <v>37</v>
      </c>
      <c r="O2790" t="s">
        <v>41</v>
      </c>
      <c r="P2790">
        <v>4</v>
      </c>
    </row>
    <row r="2791" spans="1:16" x14ac:dyDescent="0.3">
      <c r="A2791">
        <v>3364</v>
      </c>
      <c r="B2791">
        <v>44260</v>
      </c>
      <c r="C2791">
        <v>61</v>
      </c>
      <c r="D2791">
        <v>22072</v>
      </c>
      <c r="E2791" t="s">
        <v>14</v>
      </c>
      <c r="F2791" t="s">
        <v>15</v>
      </c>
      <c r="G2791" t="s">
        <v>31</v>
      </c>
      <c r="H2791" t="s">
        <v>64</v>
      </c>
      <c r="I2791" t="s">
        <v>9</v>
      </c>
      <c r="J2791" t="s">
        <v>20</v>
      </c>
      <c r="K2791" t="s">
        <v>19</v>
      </c>
      <c r="L2791" t="s">
        <v>12</v>
      </c>
      <c r="M2791" t="s">
        <v>42</v>
      </c>
      <c r="N2791" t="s">
        <v>23</v>
      </c>
      <c r="O2791" t="s">
        <v>41</v>
      </c>
      <c r="P2791">
        <v>5</v>
      </c>
    </row>
    <row r="2792" spans="1:16" x14ac:dyDescent="0.3">
      <c r="A2792">
        <v>3365</v>
      </c>
      <c r="B2792">
        <v>44167</v>
      </c>
      <c r="C2792">
        <v>72</v>
      </c>
      <c r="D2792">
        <v>17711</v>
      </c>
      <c r="E2792" t="s">
        <v>14</v>
      </c>
      <c r="F2792" t="s">
        <v>22</v>
      </c>
      <c r="G2792" t="s">
        <v>40</v>
      </c>
      <c r="H2792" t="s">
        <v>64</v>
      </c>
      <c r="I2792" t="s">
        <v>9</v>
      </c>
      <c r="J2792" t="s">
        <v>10</v>
      </c>
      <c r="K2792" t="s">
        <v>26</v>
      </c>
      <c r="L2792" t="s">
        <v>12</v>
      </c>
      <c r="M2792" t="s">
        <v>54</v>
      </c>
      <c r="N2792" t="s">
        <v>46</v>
      </c>
      <c r="O2792" t="s">
        <v>18</v>
      </c>
      <c r="P2792">
        <v>1</v>
      </c>
    </row>
    <row r="2793" spans="1:16" x14ac:dyDescent="0.3">
      <c r="A2793">
        <v>3366</v>
      </c>
      <c r="B2793">
        <v>43485</v>
      </c>
      <c r="C2793">
        <v>43</v>
      </c>
      <c r="D2793">
        <v>27894</v>
      </c>
      <c r="E2793" t="s">
        <v>14</v>
      </c>
      <c r="F2793" t="s">
        <v>22</v>
      </c>
      <c r="G2793" t="s">
        <v>17</v>
      </c>
      <c r="H2793" t="s">
        <v>64</v>
      </c>
      <c r="I2793" t="s">
        <v>66</v>
      </c>
      <c r="J2793" t="s">
        <v>10</v>
      </c>
      <c r="K2793" t="s">
        <v>11</v>
      </c>
      <c r="L2793" t="s">
        <v>12</v>
      </c>
      <c r="M2793" t="s">
        <v>32</v>
      </c>
      <c r="N2793" t="s">
        <v>37</v>
      </c>
      <c r="O2793" t="s">
        <v>41</v>
      </c>
      <c r="P2793">
        <v>5</v>
      </c>
    </row>
    <row r="2794" spans="1:16" x14ac:dyDescent="0.3">
      <c r="A2794">
        <v>3367</v>
      </c>
      <c r="B2794">
        <v>43981</v>
      </c>
      <c r="C2794">
        <v>58</v>
      </c>
      <c r="D2794">
        <v>22935</v>
      </c>
      <c r="E2794" t="s">
        <v>14</v>
      </c>
      <c r="F2794" t="s">
        <v>22</v>
      </c>
      <c r="G2794" t="s">
        <v>31</v>
      </c>
      <c r="H2794" t="s">
        <v>64</v>
      </c>
      <c r="I2794" t="s">
        <v>66</v>
      </c>
      <c r="J2794" t="s">
        <v>25</v>
      </c>
      <c r="K2794" t="s">
        <v>26</v>
      </c>
      <c r="L2794" t="s">
        <v>12</v>
      </c>
      <c r="M2794" t="s">
        <v>35</v>
      </c>
      <c r="N2794" t="s">
        <v>30</v>
      </c>
      <c r="O2794" t="s">
        <v>41</v>
      </c>
      <c r="P2794">
        <v>1</v>
      </c>
    </row>
    <row r="2795" spans="1:16" x14ac:dyDescent="0.3">
      <c r="A2795">
        <v>3370</v>
      </c>
      <c r="B2795">
        <v>44732</v>
      </c>
      <c r="C2795">
        <v>64</v>
      </c>
      <c r="D2795">
        <v>21424</v>
      </c>
      <c r="E2795" t="s">
        <v>14</v>
      </c>
      <c r="F2795" t="s">
        <v>15</v>
      </c>
      <c r="G2795" t="s">
        <v>17</v>
      </c>
      <c r="H2795" t="s">
        <v>64</v>
      </c>
      <c r="I2795" t="s">
        <v>9</v>
      </c>
      <c r="J2795" t="s">
        <v>10</v>
      </c>
      <c r="K2795" t="s">
        <v>11</v>
      </c>
      <c r="L2795" t="s">
        <v>12</v>
      </c>
      <c r="M2795" t="s">
        <v>32</v>
      </c>
      <c r="N2795" t="s">
        <v>46</v>
      </c>
      <c r="O2795" t="s">
        <v>41</v>
      </c>
      <c r="P2795">
        <v>5</v>
      </c>
    </row>
    <row r="2796" spans="1:16" x14ac:dyDescent="0.3">
      <c r="A2796">
        <v>3371</v>
      </c>
      <c r="B2796">
        <v>44915</v>
      </c>
      <c r="C2796">
        <v>52</v>
      </c>
      <c r="D2796">
        <v>25894</v>
      </c>
      <c r="E2796" t="s">
        <v>14</v>
      </c>
      <c r="F2796" t="s">
        <v>15</v>
      </c>
      <c r="G2796" t="s">
        <v>34</v>
      </c>
      <c r="H2796" t="s">
        <v>64</v>
      </c>
      <c r="I2796" t="s">
        <v>66</v>
      </c>
      <c r="J2796" t="s">
        <v>25</v>
      </c>
      <c r="K2796" t="s">
        <v>19</v>
      </c>
      <c r="L2796" t="s">
        <v>12</v>
      </c>
      <c r="M2796" t="s">
        <v>61</v>
      </c>
      <c r="N2796" t="s">
        <v>23</v>
      </c>
      <c r="O2796" t="s">
        <v>41</v>
      </c>
      <c r="P2796">
        <v>2</v>
      </c>
    </row>
    <row r="2797" spans="1:16" x14ac:dyDescent="0.3">
      <c r="A2797">
        <v>3372</v>
      </c>
      <c r="B2797">
        <v>44940</v>
      </c>
      <c r="C2797">
        <v>31</v>
      </c>
      <c r="D2797">
        <v>33751</v>
      </c>
      <c r="E2797" t="s">
        <v>14</v>
      </c>
      <c r="F2797" t="s">
        <v>15</v>
      </c>
      <c r="G2797" t="s">
        <v>40</v>
      </c>
      <c r="H2797" t="s">
        <v>8</v>
      </c>
      <c r="I2797" t="s">
        <v>66</v>
      </c>
      <c r="J2797" t="s">
        <v>10</v>
      </c>
      <c r="K2797" t="s">
        <v>11</v>
      </c>
      <c r="L2797" t="s">
        <v>12</v>
      </c>
      <c r="M2797" t="s">
        <v>54</v>
      </c>
      <c r="N2797" t="s">
        <v>46</v>
      </c>
      <c r="O2797" t="s">
        <v>18</v>
      </c>
      <c r="P2797">
        <v>3</v>
      </c>
    </row>
    <row r="2798" spans="1:16" x14ac:dyDescent="0.3">
      <c r="A2798">
        <v>3373</v>
      </c>
      <c r="B2798">
        <v>43365</v>
      </c>
      <c r="C2798">
        <v>29</v>
      </c>
      <c r="D2798">
        <v>32545</v>
      </c>
      <c r="E2798" t="s">
        <v>14</v>
      </c>
      <c r="F2798" t="s">
        <v>22</v>
      </c>
      <c r="G2798" t="s">
        <v>34</v>
      </c>
      <c r="H2798" t="s">
        <v>8</v>
      </c>
      <c r="I2798" t="s">
        <v>9</v>
      </c>
      <c r="J2798" t="s">
        <v>10</v>
      </c>
      <c r="K2798" t="s">
        <v>19</v>
      </c>
      <c r="L2798" t="s">
        <v>12</v>
      </c>
      <c r="M2798" t="s">
        <v>21</v>
      </c>
      <c r="N2798" t="s">
        <v>30</v>
      </c>
      <c r="O2798" t="s">
        <v>41</v>
      </c>
      <c r="P2798">
        <v>4</v>
      </c>
    </row>
    <row r="2799" spans="1:16" x14ac:dyDescent="0.3">
      <c r="A2799">
        <v>3374</v>
      </c>
      <c r="B2799">
        <v>44828</v>
      </c>
      <c r="C2799">
        <v>23</v>
      </c>
      <c r="D2799">
        <v>36498</v>
      </c>
      <c r="E2799" t="s">
        <v>14</v>
      </c>
      <c r="F2799" t="s">
        <v>22</v>
      </c>
      <c r="G2799" t="s">
        <v>40</v>
      </c>
      <c r="H2799" t="s">
        <v>8</v>
      </c>
      <c r="I2799" t="s">
        <v>66</v>
      </c>
      <c r="J2799" t="s">
        <v>20</v>
      </c>
      <c r="K2799" t="s">
        <v>19</v>
      </c>
      <c r="L2799" t="s">
        <v>12</v>
      </c>
      <c r="M2799" t="s">
        <v>35</v>
      </c>
      <c r="N2799" t="s">
        <v>23</v>
      </c>
      <c r="O2799" t="s">
        <v>41</v>
      </c>
      <c r="P2799">
        <v>3</v>
      </c>
    </row>
    <row r="2800" spans="1:16" x14ac:dyDescent="0.3">
      <c r="A2800">
        <v>3375</v>
      </c>
      <c r="B2800">
        <v>43990</v>
      </c>
      <c r="C2800">
        <v>21</v>
      </c>
      <c r="D2800">
        <v>36423</v>
      </c>
      <c r="E2800" t="s">
        <v>14</v>
      </c>
      <c r="F2800" t="s">
        <v>15</v>
      </c>
      <c r="G2800" t="s">
        <v>40</v>
      </c>
      <c r="H2800" t="s">
        <v>8</v>
      </c>
      <c r="I2800" t="s">
        <v>66</v>
      </c>
      <c r="J2800" t="s">
        <v>25</v>
      </c>
      <c r="K2800" t="s">
        <v>26</v>
      </c>
      <c r="L2800" t="s">
        <v>12</v>
      </c>
      <c r="M2800" t="s">
        <v>42</v>
      </c>
      <c r="N2800" t="s">
        <v>37</v>
      </c>
      <c r="O2800" t="s">
        <v>41</v>
      </c>
      <c r="P2800">
        <v>4</v>
      </c>
    </row>
    <row r="2801" spans="1:16" x14ac:dyDescent="0.3">
      <c r="A2801">
        <v>3376</v>
      </c>
      <c r="B2801">
        <v>45113</v>
      </c>
      <c r="C2801">
        <v>37</v>
      </c>
      <c r="D2801">
        <v>31727</v>
      </c>
      <c r="E2801" t="s">
        <v>14</v>
      </c>
      <c r="F2801" t="s">
        <v>15</v>
      </c>
      <c r="G2801" t="s">
        <v>31</v>
      </c>
      <c r="H2801" t="s">
        <v>8</v>
      </c>
      <c r="I2801" t="s">
        <v>9</v>
      </c>
      <c r="J2801" t="s">
        <v>20</v>
      </c>
      <c r="K2801" t="s">
        <v>26</v>
      </c>
      <c r="L2801" t="s">
        <v>12</v>
      </c>
      <c r="M2801" t="s">
        <v>35</v>
      </c>
      <c r="N2801" t="s">
        <v>46</v>
      </c>
      <c r="O2801" t="s">
        <v>41</v>
      </c>
      <c r="P2801">
        <v>1</v>
      </c>
    </row>
    <row r="2802" spans="1:16" x14ac:dyDescent="0.3">
      <c r="A2802">
        <v>3377</v>
      </c>
      <c r="B2802">
        <v>43885</v>
      </c>
      <c r="C2802">
        <v>31</v>
      </c>
      <c r="D2802">
        <v>32757</v>
      </c>
      <c r="E2802" t="s">
        <v>14</v>
      </c>
      <c r="F2802" t="s">
        <v>15</v>
      </c>
      <c r="G2802" t="s">
        <v>17</v>
      </c>
      <c r="H2802" t="s">
        <v>8</v>
      </c>
      <c r="I2802" t="s">
        <v>9</v>
      </c>
      <c r="J2802" t="s">
        <v>20</v>
      </c>
      <c r="K2802" t="s">
        <v>19</v>
      </c>
      <c r="L2802" t="s">
        <v>12</v>
      </c>
      <c r="M2802" t="s">
        <v>49</v>
      </c>
      <c r="N2802" t="s">
        <v>46</v>
      </c>
      <c r="O2802" t="s">
        <v>41</v>
      </c>
      <c r="P2802">
        <v>5</v>
      </c>
    </row>
    <row r="2803" spans="1:16" x14ac:dyDescent="0.3">
      <c r="A2803">
        <v>3378</v>
      </c>
      <c r="B2803">
        <v>44342</v>
      </c>
      <c r="C2803">
        <v>28</v>
      </c>
      <c r="D2803">
        <v>34216</v>
      </c>
      <c r="E2803" t="s">
        <v>14</v>
      </c>
      <c r="F2803" t="s">
        <v>15</v>
      </c>
      <c r="G2803" t="s">
        <v>31</v>
      </c>
      <c r="H2803" t="s">
        <v>8</v>
      </c>
      <c r="I2803" t="s">
        <v>9</v>
      </c>
      <c r="J2803" t="s">
        <v>10</v>
      </c>
      <c r="K2803" t="s">
        <v>26</v>
      </c>
      <c r="L2803" t="s">
        <v>12</v>
      </c>
      <c r="M2803" t="s">
        <v>32</v>
      </c>
      <c r="N2803" t="s">
        <v>16</v>
      </c>
      <c r="O2803" t="s">
        <v>41</v>
      </c>
      <c r="P2803">
        <v>1</v>
      </c>
    </row>
    <row r="2804" spans="1:16" x14ac:dyDescent="0.3">
      <c r="A2804">
        <v>3380</v>
      </c>
      <c r="B2804">
        <v>45104</v>
      </c>
      <c r="C2804">
        <v>39</v>
      </c>
      <c r="D2804">
        <v>31035</v>
      </c>
      <c r="E2804" t="s">
        <v>14</v>
      </c>
      <c r="F2804" t="s">
        <v>22</v>
      </c>
      <c r="G2804" t="s">
        <v>17</v>
      </c>
      <c r="H2804" t="s">
        <v>8</v>
      </c>
      <c r="I2804" t="s">
        <v>9</v>
      </c>
      <c r="J2804" t="s">
        <v>25</v>
      </c>
      <c r="K2804" t="s">
        <v>11</v>
      </c>
      <c r="L2804" t="s">
        <v>12</v>
      </c>
      <c r="M2804" t="s">
        <v>35</v>
      </c>
      <c r="N2804" t="s">
        <v>37</v>
      </c>
      <c r="O2804" t="s">
        <v>41</v>
      </c>
      <c r="P2804">
        <v>3</v>
      </c>
    </row>
    <row r="2805" spans="1:16" x14ac:dyDescent="0.3">
      <c r="A2805">
        <v>3381</v>
      </c>
      <c r="B2805">
        <v>44915</v>
      </c>
      <c r="C2805">
        <v>68</v>
      </c>
      <c r="D2805">
        <v>20057</v>
      </c>
      <c r="E2805" t="s">
        <v>14</v>
      </c>
      <c r="F2805" t="s">
        <v>22</v>
      </c>
      <c r="G2805" t="s">
        <v>31</v>
      </c>
      <c r="H2805" t="s">
        <v>8</v>
      </c>
      <c r="I2805" t="s">
        <v>9</v>
      </c>
      <c r="J2805" t="s">
        <v>10</v>
      </c>
      <c r="K2805" t="s">
        <v>11</v>
      </c>
      <c r="L2805" t="s">
        <v>12</v>
      </c>
      <c r="M2805" t="s">
        <v>35</v>
      </c>
      <c r="N2805" t="s">
        <v>16</v>
      </c>
      <c r="O2805" t="s">
        <v>41</v>
      </c>
      <c r="P2805">
        <v>5</v>
      </c>
    </row>
    <row r="2806" spans="1:16" x14ac:dyDescent="0.3">
      <c r="A2806">
        <v>3382</v>
      </c>
      <c r="B2806">
        <v>43414</v>
      </c>
      <c r="C2806">
        <v>48</v>
      </c>
      <c r="D2806">
        <v>25708</v>
      </c>
      <c r="E2806" t="s">
        <v>14</v>
      </c>
      <c r="F2806" t="s">
        <v>22</v>
      </c>
      <c r="G2806" t="s">
        <v>40</v>
      </c>
      <c r="H2806" t="s">
        <v>8</v>
      </c>
      <c r="I2806" t="s">
        <v>9</v>
      </c>
      <c r="J2806" t="s">
        <v>20</v>
      </c>
      <c r="K2806" t="s">
        <v>11</v>
      </c>
      <c r="L2806" t="s">
        <v>12</v>
      </c>
      <c r="M2806" t="s">
        <v>35</v>
      </c>
      <c r="N2806" t="s">
        <v>30</v>
      </c>
      <c r="O2806" t="s">
        <v>41</v>
      </c>
      <c r="P2806">
        <v>5</v>
      </c>
    </row>
    <row r="2807" spans="1:16" x14ac:dyDescent="0.3">
      <c r="A2807">
        <v>3383</v>
      </c>
      <c r="B2807">
        <v>44056</v>
      </c>
      <c r="C2807">
        <v>35</v>
      </c>
      <c r="D2807">
        <v>31138</v>
      </c>
      <c r="E2807" t="s">
        <v>14</v>
      </c>
      <c r="F2807" t="s">
        <v>15</v>
      </c>
      <c r="G2807" t="s">
        <v>40</v>
      </c>
      <c r="H2807" t="s">
        <v>8</v>
      </c>
      <c r="I2807" t="s">
        <v>66</v>
      </c>
      <c r="J2807" t="s">
        <v>20</v>
      </c>
      <c r="K2807" t="s">
        <v>11</v>
      </c>
      <c r="L2807" t="s">
        <v>12</v>
      </c>
      <c r="M2807" t="s">
        <v>32</v>
      </c>
      <c r="N2807" t="s">
        <v>23</v>
      </c>
      <c r="O2807" t="s">
        <v>41</v>
      </c>
      <c r="P2807">
        <v>2</v>
      </c>
    </row>
    <row r="2808" spans="1:16" x14ac:dyDescent="0.3">
      <c r="A2808">
        <v>3384</v>
      </c>
      <c r="B2808">
        <v>43531</v>
      </c>
      <c r="C2808">
        <v>28</v>
      </c>
      <c r="D2808">
        <v>33437</v>
      </c>
      <c r="E2808" t="s">
        <v>14</v>
      </c>
      <c r="F2808" t="s">
        <v>15</v>
      </c>
      <c r="G2808" t="s">
        <v>34</v>
      </c>
      <c r="H2808" t="s">
        <v>8</v>
      </c>
      <c r="I2808" t="s">
        <v>9</v>
      </c>
      <c r="J2808" t="s">
        <v>25</v>
      </c>
      <c r="K2808" t="s">
        <v>11</v>
      </c>
      <c r="L2808" t="s">
        <v>12</v>
      </c>
      <c r="M2808" t="s">
        <v>35</v>
      </c>
      <c r="N2808" t="s">
        <v>23</v>
      </c>
      <c r="O2808" t="s">
        <v>18</v>
      </c>
      <c r="P2808">
        <v>1</v>
      </c>
    </row>
    <row r="2809" spans="1:16" x14ac:dyDescent="0.3">
      <c r="A2809">
        <v>3385</v>
      </c>
      <c r="B2809">
        <v>44633</v>
      </c>
      <c r="C2809">
        <v>44</v>
      </c>
      <c r="D2809">
        <v>28681</v>
      </c>
      <c r="E2809" t="s">
        <v>14</v>
      </c>
      <c r="F2809" t="s">
        <v>15</v>
      </c>
      <c r="G2809" t="s">
        <v>40</v>
      </c>
      <c r="H2809" t="s">
        <v>8</v>
      </c>
      <c r="I2809" t="s">
        <v>9</v>
      </c>
      <c r="J2809" t="s">
        <v>20</v>
      </c>
      <c r="K2809" t="s">
        <v>19</v>
      </c>
      <c r="L2809" t="s">
        <v>12</v>
      </c>
      <c r="M2809" t="s">
        <v>32</v>
      </c>
      <c r="N2809" t="s">
        <v>30</v>
      </c>
      <c r="O2809" t="s">
        <v>18</v>
      </c>
      <c r="P2809">
        <v>1</v>
      </c>
    </row>
    <row r="2810" spans="1:16" x14ac:dyDescent="0.3">
      <c r="A2810">
        <v>3386</v>
      </c>
      <c r="B2810">
        <v>43794</v>
      </c>
      <c r="C2810">
        <v>24</v>
      </c>
      <c r="D2810">
        <v>34748</v>
      </c>
      <c r="E2810" t="s">
        <v>14</v>
      </c>
      <c r="F2810" t="s">
        <v>15</v>
      </c>
      <c r="G2810" t="s">
        <v>17</v>
      </c>
      <c r="H2810" t="s">
        <v>64</v>
      </c>
      <c r="I2810" t="s">
        <v>9</v>
      </c>
      <c r="J2810" t="s">
        <v>10</v>
      </c>
      <c r="K2810" t="s">
        <v>11</v>
      </c>
      <c r="L2810" t="s">
        <v>12</v>
      </c>
      <c r="M2810" t="s">
        <v>32</v>
      </c>
      <c r="N2810" t="s">
        <v>23</v>
      </c>
      <c r="O2810" t="s">
        <v>18</v>
      </c>
      <c r="P2810">
        <v>1</v>
      </c>
    </row>
    <row r="2811" spans="1:16" x14ac:dyDescent="0.3">
      <c r="A2811">
        <v>3387</v>
      </c>
      <c r="B2811">
        <v>43530</v>
      </c>
      <c r="C2811">
        <v>54</v>
      </c>
      <c r="D2811">
        <v>23942</v>
      </c>
      <c r="E2811" t="s">
        <v>14</v>
      </c>
      <c r="F2811" t="s">
        <v>22</v>
      </c>
      <c r="G2811" t="s">
        <v>17</v>
      </c>
      <c r="H2811" t="s">
        <v>64</v>
      </c>
      <c r="I2811" t="s">
        <v>9</v>
      </c>
      <c r="J2811" t="s">
        <v>25</v>
      </c>
      <c r="K2811" t="s">
        <v>11</v>
      </c>
      <c r="L2811" t="s">
        <v>12</v>
      </c>
      <c r="M2811" t="s">
        <v>28</v>
      </c>
      <c r="N2811" t="s">
        <v>30</v>
      </c>
      <c r="O2811" t="s">
        <v>18</v>
      </c>
      <c r="P2811">
        <v>3</v>
      </c>
    </row>
    <row r="2812" spans="1:16" x14ac:dyDescent="0.3">
      <c r="A2812">
        <v>3388</v>
      </c>
      <c r="B2812">
        <v>43574</v>
      </c>
      <c r="C2812">
        <v>29</v>
      </c>
      <c r="D2812">
        <v>33133</v>
      </c>
      <c r="E2812" t="s">
        <v>14</v>
      </c>
      <c r="F2812" t="s">
        <v>22</v>
      </c>
      <c r="G2812" t="s">
        <v>40</v>
      </c>
      <c r="H2812" t="s">
        <v>64</v>
      </c>
      <c r="I2812" t="s">
        <v>9</v>
      </c>
      <c r="J2812" t="s">
        <v>20</v>
      </c>
      <c r="K2812" t="s">
        <v>19</v>
      </c>
      <c r="L2812" t="s">
        <v>12</v>
      </c>
      <c r="M2812" t="s">
        <v>55</v>
      </c>
      <c r="N2812" t="s">
        <v>37</v>
      </c>
      <c r="O2812" t="s">
        <v>18</v>
      </c>
      <c r="P2812">
        <v>1</v>
      </c>
    </row>
    <row r="2813" spans="1:16" x14ac:dyDescent="0.3">
      <c r="A2813">
        <v>3389</v>
      </c>
      <c r="B2813">
        <v>44055</v>
      </c>
      <c r="C2813">
        <v>77</v>
      </c>
      <c r="D2813">
        <v>15882</v>
      </c>
      <c r="E2813" t="s">
        <v>14</v>
      </c>
      <c r="F2813" t="s">
        <v>22</v>
      </c>
      <c r="G2813" t="s">
        <v>34</v>
      </c>
      <c r="H2813" t="s">
        <v>64</v>
      </c>
      <c r="I2813" t="s">
        <v>9</v>
      </c>
      <c r="J2813" t="s">
        <v>25</v>
      </c>
      <c r="K2813" t="s">
        <v>11</v>
      </c>
      <c r="L2813" t="s">
        <v>12</v>
      </c>
      <c r="M2813" t="s">
        <v>35</v>
      </c>
      <c r="N2813" t="s">
        <v>46</v>
      </c>
      <c r="O2813" t="s">
        <v>18</v>
      </c>
      <c r="P2813">
        <v>3</v>
      </c>
    </row>
    <row r="2814" spans="1:16" x14ac:dyDescent="0.3">
      <c r="A2814">
        <v>3391</v>
      </c>
      <c r="B2814">
        <v>43843</v>
      </c>
      <c r="C2814">
        <v>29</v>
      </c>
      <c r="D2814">
        <v>33546</v>
      </c>
      <c r="E2814" t="s">
        <v>14</v>
      </c>
      <c r="F2814" t="s">
        <v>15</v>
      </c>
      <c r="G2814" t="s">
        <v>40</v>
      </c>
      <c r="H2814" t="s">
        <v>64</v>
      </c>
      <c r="I2814" t="s">
        <v>9</v>
      </c>
      <c r="J2814" t="s">
        <v>20</v>
      </c>
      <c r="K2814" t="s">
        <v>11</v>
      </c>
      <c r="L2814" t="s">
        <v>12</v>
      </c>
      <c r="M2814" t="s">
        <v>28</v>
      </c>
      <c r="N2814" t="s">
        <v>37</v>
      </c>
      <c r="O2814" t="s">
        <v>18</v>
      </c>
      <c r="P2814">
        <v>3</v>
      </c>
    </row>
    <row r="2815" spans="1:16" x14ac:dyDescent="0.3">
      <c r="A2815">
        <v>3392</v>
      </c>
      <c r="B2815">
        <v>43787</v>
      </c>
      <c r="C2815">
        <v>31</v>
      </c>
      <c r="D2815">
        <v>32202</v>
      </c>
      <c r="E2815" t="s">
        <v>14</v>
      </c>
      <c r="F2815" t="s">
        <v>15</v>
      </c>
      <c r="G2815" t="s">
        <v>31</v>
      </c>
      <c r="H2815" t="s">
        <v>64</v>
      </c>
      <c r="I2815" t="s">
        <v>66</v>
      </c>
      <c r="J2815" t="s">
        <v>25</v>
      </c>
      <c r="K2815" t="s">
        <v>26</v>
      </c>
      <c r="L2815" t="s">
        <v>12</v>
      </c>
      <c r="M2815" t="s">
        <v>32</v>
      </c>
      <c r="N2815" t="s">
        <v>30</v>
      </c>
      <c r="O2815" t="s">
        <v>18</v>
      </c>
      <c r="P2815">
        <v>4</v>
      </c>
    </row>
    <row r="2816" spans="1:16" x14ac:dyDescent="0.3">
      <c r="A2816">
        <v>3393</v>
      </c>
      <c r="B2816">
        <v>43337</v>
      </c>
      <c r="C2816">
        <v>76</v>
      </c>
      <c r="D2816">
        <v>15496</v>
      </c>
      <c r="E2816" t="s">
        <v>14</v>
      </c>
      <c r="F2816" t="s">
        <v>15</v>
      </c>
      <c r="G2816" t="s">
        <v>34</v>
      </c>
      <c r="H2816" t="s">
        <v>8</v>
      </c>
      <c r="I2816" t="s">
        <v>9</v>
      </c>
      <c r="J2816" t="s">
        <v>10</v>
      </c>
      <c r="K2816" t="s">
        <v>26</v>
      </c>
      <c r="L2816" t="s">
        <v>12</v>
      </c>
      <c r="M2816" t="s">
        <v>32</v>
      </c>
      <c r="N2816" t="s">
        <v>23</v>
      </c>
      <c r="O2816" t="s">
        <v>56</v>
      </c>
      <c r="P2816">
        <v>4</v>
      </c>
    </row>
    <row r="2817" spans="1:16" x14ac:dyDescent="0.3">
      <c r="A2817">
        <v>3394</v>
      </c>
      <c r="B2817">
        <v>44340</v>
      </c>
      <c r="C2817">
        <v>72</v>
      </c>
      <c r="D2817">
        <v>18052</v>
      </c>
      <c r="E2817" t="s">
        <v>14</v>
      </c>
      <c r="F2817" t="s">
        <v>22</v>
      </c>
      <c r="G2817" t="s">
        <v>40</v>
      </c>
      <c r="H2817" t="s">
        <v>8</v>
      </c>
      <c r="I2817" t="s">
        <v>9</v>
      </c>
      <c r="J2817" t="s">
        <v>10</v>
      </c>
      <c r="K2817" t="s">
        <v>26</v>
      </c>
      <c r="L2817" t="s">
        <v>12</v>
      </c>
      <c r="M2817" t="s">
        <v>35</v>
      </c>
      <c r="N2817" t="s">
        <v>37</v>
      </c>
      <c r="O2817" t="s">
        <v>18</v>
      </c>
      <c r="P2817">
        <v>5</v>
      </c>
    </row>
    <row r="2818" spans="1:16" x14ac:dyDescent="0.3">
      <c r="A2818">
        <v>3395</v>
      </c>
      <c r="B2818">
        <v>44356</v>
      </c>
      <c r="C2818">
        <v>46</v>
      </c>
      <c r="D2818">
        <v>27434</v>
      </c>
      <c r="E2818" t="s">
        <v>14</v>
      </c>
      <c r="F2818" t="s">
        <v>15</v>
      </c>
      <c r="G2818" t="s">
        <v>17</v>
      </c>
      <c r="H2818" t="s">
        <v>8</v>
      </c>
      <c r="I2818" t="s">
        <v>66</v>
      </c>
      <c r="J2818" t="s">
        <v>20</v>
      </c>
      <c r="K2818" t="s">
        <v>19</v>
      </c>
      <c r="L2818" t="s">
        <v>12</v>
      </c>
      <c r="M2818" t="s">
        <v>35</v>
      </c>
      <c r="N2818" t="s">
        <v>30</v>
      </c>
      <c r="O2818" t="s">
        <v>56</v>
      </c>
      <c r="P2818">
        <v>4</v>
      </c>
    </row>
    <row r="2819" spans="1:16" x14ac:dyDescent="0.3">
      <c r="A2819">
        <v>3396</v>
      </c>
      <c r="B2819">
        <v>44291</v>
      </c>
      <c r="C2819">
        <v>72</v>
      </c>
      <c r="D2819">
        <v>18232</v>
      </c>
      <c r="E2819" t="s">
        <v>14</v>
      </c>
      <c r="F2819" t="s">
        <v>15</v>
      </c>
      <c r="G2819" t="s">
        <v>34</v>
      </c>
      <c r="H2819" t="s">
        <v>8</v>
      </c>
      <c r="I2819" t="s">
        <v>66</v>
      </c>
      <c r="J2819" t="s">
        <v>20</v>
      </c>
      <c r="K2819" t="s">
        <v>26</v>
      </c>
      <c r="L2819" t="s">
        <v>12</v>
      </c>
      <c r="M2819" t="s">
        <v>32</v>
      </c>
      <c r="N2819" t="s">
        <v>46</v>
      </c>
      <c r="O2819" t="s">
        <v>18</v>
      </c>
      <c r="P2819">
        <v>3</v>
      </c>
    </row>
    <row r="2820" spans="1:16" x14ac:dyDescent="0.3">
      <c r="A2820">
        <v>3397</v>
      </c>
      <c r="B2820">
        <v>44870</v>
      </c>
      <c r="C2820">
        <v>73</v>
      </c>
      <c r="D2820">
        <v>18168</v>
      </c>
      <c r="E2820" t="s">
        <v>14</v>
      </c>
      <c r="F2820" t="s">
        <v>15</v>
      </c>
      <c r="G2820" t="s">
        <v>31</v>
      </c>
      <c r="H2820" t="s">
        <v>8</v>
      </c>
      <c r="I2820" t="s">
        <v>9</v>
      </c>
      <c r="J2820" t="s">
        <v>20</v>
      </c>
      <c r="K2820" t="s">
        <v>19</v>
      </c>
      <c r="L2820" t="s">
        <v>12</v>
      </c>
      <c r="M2820" t="s">
        <v>35</v>
      </c>
      <c r="N2820" t="s">
        <v>46</v>
      </c>
      <c r="O2820" t="s">
        <v>18</v>
      </c>
      <c r="P2820">
        <v>3</v>
      </c>
    </row>
    <row r="2821" spans="1:16" x14ac:dyDescent="0.3">
      <c r="A2821">
        <v>3398</v>
      </c>
      <c r="B2821">
        <v>43778</v>
      </c>
      <c r="C2821">
        <v>63</v>
      </c>
      <c r="D2821">
        <v>20800</v>
      </c>
      <c r="E2821" t="s">
        <v>14</v>
      </c>
      <c r="F2821" t="s">
        <v>15</v>
      </c>
      <c r="G2821" t="s">
        <v>31</v>
      </c>
      <c r="H2821" t="s">
        <v>8</v>
      </c>
      <c r="I2821" t="s">
        <v>9</v>
      </c>
      <c r="J2821" t="s">
        <v>20</v>
      </c>
      <c r="K2821" t="s">
        <v>19</v>
      </c>
      <c r="L2821" t="s">
        <v>12</v>
      </c>
      <c r="M2821" t="s">
        <v>32</v>
      </c>
      <c r="N2821" t="s">
        <v>30</v>
      </c>
      <c r="O2821" t="s">
        <v>18</v>
      </c>
      <c r="P2821">
        <v>2</v>
      </c>
    </row>
    <row r="2822" spans="1:16" x14ac:dyDescent="0.3">
      <c r="A2822">
        <v>3399</v>
      </c>
      <c r="B2822">
        <v>44717</v>
      </c>
      <c r="C2822">
        <v>38</v>
      </c>
      <c r="D2822">
        <v>30737</v>
      </c>
      <c r="E2822" t="s">
        <v>14</v>
      </c>
      <c r="F2822" t="s">
        <v>15</v>
      </c>
      <c r="G2822" t="s">
        <v>17</v>
      </c>
      <c r="H2822" t="s">
        <v>8</v>
      </c>
      <c r="I2822" t="s">
        <v>9</v>
      </c>
      <c r="J2822" t="s">
        <v>25</v>
      </c>
      <c r="K2822" t="s">
        <v>26</v>
      </c>
      <c r="L2822" t="s">
        <v>12</v>
      </c>
      <c r="M2822" t="s">
        <v>21</v>
      </c>
      <c r="N2822" t="s">
        <v>16</v>
      </c>
      <c r="O2822" t="s">
        <v>18</v>
      </c>
      <c r="P2822">
        <v>4</v>
      </c>
    </row>
    <row r="2823" spans="1:16" x14ac:dyDescent="0.3">
      <c r="A2823">
        <v>3400</v>
      </c>
      <c r="B2823">
        <v>44460</v>
      </c>
      <c r="C2823">
        <v>51</v>
      </c>
      <c r="D2823">
        <v>25723</v>
      </c>
      <c r="E2823" t="s">
        <v>14</v>
      </c>
      <c r="F2823" t="s">
        <v>15</v>
      </c>
      <c r="G2823" t="s">
        <v>40</v>
      </c>
      <c r="H2823" t="s">
        <v>8</v>
      </c>
      <c r="I2823" t="s">
        <v>9</v>
      </c>
      <c r="J2823" t="s">
        <v>25</v>
      </c>
      <c r="K2823" t="s">
        <v>11</v>
      </c>
      <c r="L2823" t="s">
        <v>12</v>
      </c>
      <c r="M2823" t="s">
        <v>58</v>
      </c>
      <c r="N2823" t="s">
        <v>37</v>
      </c>
      <c r="O2823" t="s">
        <v>18</v>
      </c>
      <c r="P2823">
        <v>5</v>
      </c>
    </row>
    <row r="2824" spans="1:16" x14ac:dyDescent="0.3">
      <c r="A2824">
        <v>3402</v>
      </c>
      <c r="B2824">
        <v>44258</v>
      </c>
      <c r="C2824">
        <v>50</v>
      </c>
      <c r="D2824">
        <v>26267</v>
      </c>
      <c r="E2824" t="s">
        <v>14</v>
      </c>
      <c r="F2824" t="s">
        <v>22</v>
      </c>
      <c r="G2824" t="s">
        <v>31</v>
      </c>
      <c r="H2824" t="s">
        <v>8</v>
      </c>
      <c r="I2824" t="s">
        <v>66</v>
      </c>
      <c r="J2824" t="s">
        <v>20</v>
      </c>
      <c r="K2824" t="s">
        <v>11</v>
      </c>
      <c r="L2824" t="s">
        <v>12</v>
      </c>
      <c r="M2824" t="s">
        <v>35</v>
      </c>
      <c r="N2824" t="s">
        <v>37</v>
      </c>
      <c r="O2824" t="s">
        <v>18</v>
      </c>
      <c r="P2824">
        <v>4</v>
      </c>
    </row>
    <row r="2825" spans="1:16" x14ac:dyDescent="0.3">
      <c r="A2825">
        <v>3403</v>
      </c>
      <c r="B2825">
        <v>44246</v>
      </c>
      <c r="C2825">
        <v>46</v>
      </c>
      <c r="D2825">
        <v>27640</v>
      </c>
      <c r="E2825" t="s">
        <v>14</v>
      </c>
      <c r="F2825" t="s">
        <v>15</v>
      </c>
      <c r="G2825" t="s">
        <v>34</v>
      </c>
      <c r="H2825" t="s">
        <v>8</v>
      </c>
      <c r="I2825" t="s">
        <v>66</v>
      </c>
      <c r="J2825" t="s">
        <v>10</v>
      </c>
      <c r="K2825" t="s">
        <v>19</v>
      </c>
      <c r="L2825" t="s">
        <v>12</v>
      </c>
      <c r="M2825" t="s">
        <v>35</v>
      </c>
      <c r="N2825" t="s">
        <v>46</v>
      </c>
      <c r="O2825" t="s">
        <v>41</v>
      </c>
      <c r="P2825">
        <v>4</v>
      </c>
    </row>
    <row r="2826" spans="1:16" x14ac:dyDescent="0.3">
      <c r="A2826">
        <v>3406</v>
      </c>
      <c r="B2826">
        <v>43915</v>
      </c>
      <c r="C2826">
        <v>65</v>
      </c>
      <c r="D2826">
        <v>20226</v>
      </c>
      <c r="E2826" t="s">
        <v>14</v>
      </c>
      <c r="F2826" t="s">
        <v>15</v>
      </c>
      <c r="G2826" t="s">
        <v>31</v>
      </c>
      <c r="H2826" t="s">
        <v>8</v>
      </c>
      <c r="I2826" t="s">
        <v>66</v>
      </c>
      <c r="J2826" t="s">
        <v>10</v>
      </c>
      <c r="K2826" t="s">
        <v>11</v>
      </c>
      <c r="L2826" t="s">
        <v>12</v>
      </c>
      <c r="M2826" t="s">
        <v>13</v>
      </c>
      <c r="N2826" t="s">
        <v>30</v>
      </c>
      <c r="O2826" t="s">
        <v>18</v>
      </c>
      <c r="P2826">
        <v>5</v>
      </c>
    </row>
    <row r="2827" spans="1:16" x14ac:dyDescent="0.3">
      <c r="A2827">
        <v>3407</v>
      </c>
      <c r="B2827">
        <v>44301</v>
      </c>
      <c r="C2827">
        <v>68</v>
      </c>
      <c r="D2827">
        <v>19416</v>
      </c>
      <c r="E2827" t="s">
        <v>14</v>
      </c>
      <c r="F2827" t="s">
        <v>15</v>
      </c>
      <c r="G2827" t="s">
        <v>31</v>
      </c>
      <c r="H2827" t="s">
        <v>64</v>
      </c>
      <c r="I2827" t="s">
        <v>9</v>
      </c>
      <c r="J2827" t="s">
        <v>20</v>
      </c>
      <c r="K2827" t="s">
        <v>11</v>
      </c>
      <c r="L2827" t="s">
        <v>12</v>
      </c>
      <c r="M2827" t="s">
        <v>35</v>
      </c>
      <c r="N2827" t="s">
        <v>46</v>
      </c>
      <c r="O2827" t="s">
        <v>18</v>
      </c>
      <c r="P2827">
        <v>3</v>
      </c>
    </row>
    <row r="2828" spans="1:16" x14ac:dyDescent="0.3">
      <c r="A2828">
        <v>3408</v>
      </c>
      <c r="B2828">
        <v>44910</v>
      </c>
      <c r="C2828">
        <v>57</v>
      </c>
      <c r="D2828">
        <v>23749</v>
      </c>
      <c r="E2828" t="s">
        <v>14</v>
      </c>
      <c r="F2828" t="s">
        <v>22</v>
      </c>
      <c r="G2828" t="s">
        <v>40</v>
      </c>
      <c r="H2828" t="s">
        <v>64</v>
      </c>
      <c r="I2828" t="s">
        <v>66</v>
      </c>
      <c r="J2828" t="s">
        <v>10</v>
      </c>
      <c r="K2828" t="s">
        <v>26</v>
      </c>
      <c r="L2828" t="s">
        <v>12</v>
      </c>
      <c r="M2828" t="s">
        <v>35</v>
      </c>
      <c r="N2828" t="s">
        <v>46</v>
      </c>
      <c r="O2828" t="s">
        <v>18</v>
      </c>
      <c r="P2828">
        <v>2</v>
      </c>
    </row>
    <row r="2829" spans="1:16" x14ac:dyDescent="0.3">
      <c r="A2829">
        <v>3409</v>
      </c>
      <c r="B2829">
        <v>44842</v>
      </c>
      <c r="C2829">
        <v>79</v>
      </c>
      <c r="D2829">
        <v>15780</v>
      </c>
      <c r="E2829" t="s">
        <v>14</v>
      </c>
      <c r="F2829" t="s">
        <v>22</v>
      </c>
      <c r="G2829" t="s">
        <v>40</v>
      </c>
      <c r="H2829" t="s">
        <v>64</v>
      </c>
      <c r="I2829" t="s">
        <v>9</v>
      </c>
      <c r="J2829" t="s">
        <v>10</v>
      </c>
      <c r="K2829" t="s">
        <v>26</v>
      </c>
      <c r="L2829" t="s">
        <v>12</v>
      </c>
      <c r="M2829" t="s">
        <v>63</v>
      </c>
      <c r="N2829" t="s">
        <v>46</v>
      </c>
      <c r="O2829" t="s">
        <v>18</v>
      </c>
      <c r="P2829">
        <v>5</v>
      </c>
    </row>
    <row r="2830" spans="1:16" x14ac:dyDescent="0.3">
      <c r="A2830">
        <v>3410</v>
      </c>
      <c r="B2830">
        <v>43452</v>
      </c>
      <c r="C2830">
        <v>38</v>
      </c>
      <c r="D2830">
        <v>29409</v>
      </c>
      <c r="E2830" t="s">
        <v>14</v>
      </c>
      <c r="F2830" t="s">
        <v>22</v>
      </c>
      <c r="G2830" t="s">
        <v>17</v>
      </c>
      <c r="H2830" t="s">
        <v>64</v>
      </c>
      <c r="I2830" t="s">
        <v>9</v>
      </c>
      <c r="J2830" t="s">
        <v>10</v>
      </c>
      <c r="K2830" t="s">
        <v>11</v>
      </c>
      <c r="L2830" t="s">
        <v>12</v>
      </c>
      <c r="M2830" t="s">
        <v>62</v>
      </c>
      <c r="N2830" t="s">
        <v>23</v>
      </c>
      <c r="O2830" t="s">
        <v>18</v>
      </c>
      <c r="P2830">
        <v>3</v>
      </c>
    </row>
    <row r="2831" spans="1:16" x14ac:dyDescent="0.3">
      <c r="A2831">
        <v>3411</v>
      </c>
      <c r="B2831">
        <v>44840</v>
      </c>
      <c r="C2831">
        <v>73</v>
      </c>
      <c r="D2831">
        <v>17977</v>
      </c>
      <c r="E2831" t="s">
        <v>14</v>
      </c>
      <c r="F2831" t="s">
        <v>15</v>
      </c>
      <c r="G2831" t="s">
        <v>31</v>
      </c>
      <c r="H2831" t="s">
        <v>64</v>
      </c>
      <c r="I2831" t="s">
        <v>9</v>
      </c>
      <c r="J2831" t="s">
        <v>25</v>
      </c>
      <c r="K2831" t="s">
        <v>26</v>
      </c>
      <c r="L2831" t="s">
        <v>12</v>
      </c>
      <c r="M2831" t="s">
        <v>38</v>
      </c>
      <c r="N2831" t="s">
        <v>46</v>
      </c>
      <c r="O2831" t="s">
        <v>18</v>
      </c>
      <c r="P2831">
        <v>3</v>
      </c>
    </row>
    <row r="2832" spans="1:16" x14ac:dyDescent="0.3">
      <c r="A2832">
        <v>3412</v>
      </c>
      <c r="B2832">
        <v>43827</v>
      </c>
      <c r="C2832">
        <v>28</v>
      </c>
      <c r="D2832">
        <v>33317</v>
      </c>
      <c r="E2832" t="s">
        <v>14</v>
      </c>
      <c r="F2832" t="s">
        <v>15</v>
      </c>
      <c r="G2832" t="s">
        <v>40</v>
      </c>
      <c r="H2832" t="s">
        <v>64</v>
      </c>
      <c r="I2832" t="s">
        <v>9</v>
      </c>
      <c r="J2832" t="s">
        <v>20</v>
      </c>
      <c r="K2832" t="s">
        <v>19</v>
      </c>
      <c r="L2832" t="s">
        <v>12</v>
      </c>
      <c r="M2832" t="s">
        <v>58</v>
      </c>
      <c r="N2832" t="s">
        <v>16</v>
      </c>
      <c r="O2832" t="s">
        <v>41</v>
      </c>
      <c r="P2832">
        <v>4</v>
      </c>
    </row>
    <row r="2833" spans="1:16" x14ac:dyDescent="0.3">
      <c r="A2833">
        <v>3413</v>
      </c>
      <c r="B2833">
        <v>43794</v>
      </c>
      <c r="C2833">
        <v>57</v>
      </c>
      <c r="D2833">
        <v>22995</v>
      </c>
      <c r="E2833" t="s">
        <v>14</v>
      </c>
      <c r="F2833" t="s">
        <v>15</v>
      </c>
      <c r="G2833" t="s">
        <v>31</v>
      </c>
      <c r="H2833" t="s">
        <v>64</v>
      </c>
      <c r="I2833" t="s">
        <v>9</v>
      </c>
      <c r="J2833" t="s">
        <v>10</v>
      </c>
      <c r="K2833" t="s">
        <v>26</v>
      </c>
      <c r="L2833" t="s">
        <v>12</v>
      </c>
      <c r="M2833" t="s">
        <v>35</v>
      </c>
      <c r="N2833" t="s">
        <v>16</v>
      </c>
      <c r="O2833" t="s">
        <v>18</v>
      </c>
      <c r="P2833">
        <v>2</v>
      </c>
    </row>
    <row r="2834" spans="1:16" x14ac:dyDescent="0.3">
      <c r="A2834">
        <v>3414</v>
      </c>
      <c r="B2834">
        <v>44715</v>
      </c>
      <c r="C2834">
        <v>24</v>
      </c>
      <c r="D2834">
        <v>35919</v>
      </c>
      <c r="E2834" t="s">
        <v>14</v>
      </c>
      <c r="F2834" t="s">
        <v>15</v>
      </c>
      <c r="G2834" t="s">
        <v>34</v>
      </c>
      <c r="H2834" t="s">
        <v>8</v>
      </c>
      <c r="I2834" t="s">
        <v>9</v>
      </c>
      <c r="J2834" t="s">
        <v>10</v>
      </c>
      <c r="K2834" t="s">
        <v>11</v>
      </c>
      <c r="L2834" t="s">
        <v>12</v>
      </c>
      <c r="M2834" t="s">
        <v>32</v>
      </c>
      <c r="N2834" t="s">
        <v>23</v>
      </c>
      <c r="O2834" t="s">
        <v>41</v>
      </c>
      <c r="P2834">
        <v>2</v>
      </c>
    </row>
    <row r="2835" spans="1:16" x14ac:dyDescent="0.3">
      <c r="A2835">
        <v>3415</v>
      </c>
      <c r="B2835">
        <v>44813</v>
      </c>
      <c r="C2835">
        <v>48</v>
      </c>
      <c r="D2835">
        <v>27316</v>
      </c>
      <c r="E2835" t="s">
        <v>14</v>
      </c>
      <c r="F2835" t="s">
        <v>22</v>
      </c>
      <c r="G2835" t="s">
        <v>17</v>
      </c>
      <c r="H2835" t="s">
        <v>8</v>
      </c>
      <c r="I2835" t="s">
        <v>66</v>
      </c>
      <c r="J2835" t="s">
        <v>25</v>
      </c>
      <c r="K2835" t="s">
        <v>19</v>
      </c>
      <c r="L2835" t="s">
        <v>12</v>
      </c>
      <c r="M2835" t="s">
        <v>49</v>
      </c>
      <c r="N2835" t="s">
        <v>23</v>
      </c>
      <c r="O2835" t="s">
        <v>18</v>
      </c>
      <c r="P2835">
        <v>5</v>
      </c>
    </row>
    <row r="2836" spans="1:16" x14ac:dyDescent="0.3">
      <c r="A2836">
        <v>3416</v>
      </c>
      <c r="B2836">
        <v>44106</v>
      </c>
      <c r="C2836">
        <v>28</v>
      </c>
      <c r="D2836">
        <v>33956</v>
      </c>
      <c r="E2836" t="s">
        <v>14</v>
      </c>
      <c r="F2836" t="s">
        <v>22</v>
      </c>
      <c r="G2836" t="s">
        <v>34</v>
      </c>
      <c r="H2836" t="s">
        <v>8</v>
      </c>
      <c r="I2836" t="s">
        <v>9</v>
      </c>
      <c r="J2836" t="s">
        <v>25</v>
      </c>
      <c r="K2836" t="s">
        <v>26</v>
      </c>
      <c r="L2836" t="s">
        <v>12</v>
      </c>
      <c r="M2836" t="s">
        <v>13</v>
      </c>
      <c r="N2836" t="s">
        <v>46</v>
      </c>
      <c r="O2836" t="s">
        <v>18</v>
      </c>
      <c r="P2836">
        <v>2</v>
      </c>
    </row>
    <row r="2837" spans="1:16" x14ac:dyDescent="0.3">
      <c r="A2837">
        <v>3417</v>
      </c>
      <c r="B2837">
        <v>44599</v>
      </c>
      <c r="C2837">
        <v>22</v>
      </c>
      <c r="D2837">
        <v>36795</v>
      </c>
      <c r="E2837" t="s">
        <v>14</v>
      </c>
      <c r="F2837" t="s">
        <v>15</v>
      </c>
      <c r="G2837" t="s">
        <v>17</v>
      </c>
      <c r="H2837" t="s">
        <v>8</v>
      </c>
      <c r="I2837" t="s">
        <v>9</v>
      </c>
      <c r="J2837" t="s">
        <v>20</v>
      </c>
      <c r="K2837" t="s">
        <v>19</v>
      </c>
      <c r="L2837" t="s">
        <v>12</v>
      </c>
      <c r="M2837" t="s">
        <v>49</v>
      </c>
      <c r="N2837" t="s">
        <v>30</v>
      </c>
      <c r="O2837" t="s">
        <v>18</v>
      </c>
      <c r="P2837">
        <v>5</v>
      </c>
    </row>
    <row r="2838" spans="1:16" x14ac:dyDescent="0.3">
      <c r="A2838">
        <v>3418</v>
      </c>
      <c r="B2838">
        <v>44848</v>
      </c>
      <c r="C2838">
        <v>26</v>
      </c>
      <c r="D2838">
        <v>35289</v>
      </c>
      <c r="E2838" t="s">
        <v>14</v>
      </c>
      <c r="F2838" t="s">
        <v>15</v>
      </c>
      <c r="G2838" t="s">
        <v>17</v>
      </c>
      <c r="H2838" t="s">
        <v>8</v>
      </c>
      <c r="I2838" t="s">
        <v>9</v>
      </c>
      <c r="J2838" t="s">
        <v>20</v>
      </c>
      <c r="K2838" t="s">
        <v>26</v>
      </c>
      <c r="L2838" t="s">
        <v>12</v>
      </c>
      <c r="M2838" t="s">
        <v>32</v>
      </c>
      <c r="N2838" t="s">
        <v>46</v>
      </c>
      <c r="O2838" t="s">
        <v>18</v>
      </c>
      <c r="P2838">
        <v>3</v>
      </c>
    </row>
    <row r="2839" spans="1:16" x14ac:dyDescent="0.3">
      <c r="A2839">
        <v>3419</v>
      </c>
      <c r="B2839">
        <v>43752</v>
      </c>
      <c r="C2839">
        <v>67</v>
      </c>
      <c r="D2839">
        <v>19333</v>
      </c>
      <c r="E2839" t="s">
        <v>14</v>
      </c>
      <c r="F2839" t="s">
        <v>15</v>
      </c>
      <c r="G2839" t="s">
        <v>40</v>
      </c>
      <c r="H2839" t="s">
        <v>8</v>
      </c>
      <c r="I2839" t="s">
        <v>9</v>
      </c>
      <c r="J2839" t="s">
        <v>10</v>
      </c>
      <c r="K2839" t="s">
        <v>11</v>
      </c>
      <c r="L2839" t="s">
        <v>12</v>
      </c>
      <c r="M2839" t="s">
        <v>32</v>
      </c>
      <c r="N2839" t="s">
        <v>37</v>
      </c>
      <c r="O2839" t="s">
        <v>18</v>
      </c>
      <c r="P2839">
        <v>5</v>
      </c>
    </row>
    <row r="2840" spans="1:16" x14ac:dyDescent="0.3">
      <c r="A2840">
        <v>3420</v>
      </c>
      <c r="B2840">
        <v>44114</v>
      </c>
      <c r="C2840">
        <v>76</v>
      </c>
      <c r="D2840">
        <v>16294</v>
      </c>
      <c r="E2840" t="s">
        <v>14</v>
      </c>
      <c r="F2840" t="s">
        <v>15</v>
      </c>
      <c r="G2840" t="s">
        <v>34</v>
      </c>
      <c r="H2840" t="s">
        <v>8</v>
      </c>
      <c r="I2840" t="s">
        <v>9</v>
      </c>
      <c r="J2840" t="s">
        <v>10</v>
      </c>
      <c r="K2840" t="s">
        <v>19</v>
      </c>
      <c r="L2840" t="s">
        <v>12</v>
      </c>
      <c r="M2840" t="s">
        <v>35</v>
      </c>
      <c r="N2840" t="s">
        <v>30</v>
      </c>
      <c r="O2840" t="s">
        <v>18</v>
      </c>
      <c r="P2840">
        <v>3</v>
      </c>
    </row>
    <row r="2841" spans="1:16" x14ac:dyDescent="0.3">
      <c r="A2841">
        <v>3421</v>
      </c>
      <c r="B2841">
        <v>44690</v>
      </c>
      <c r="C2841">
        <v>63</v>
      </c>
      <c r="D2841">
        <v>21712</v>
      </c>
      <c r="E2841" t="s">
        <v>14</v>
      </c>
      <c r="F2841" t="s">
        <v>15</v>
      </c>
      <c r="G2841" t="s">
        <v>40</v>
      </c>
      <c r="H2841" t="s">
        <v>8</v>
      </c>
      <c r="I2841" t="s">
        <v>9</v>
      </c>
      <c r="J2841" t="s">
        <v>20</v>
      </c>
      <c r="K2841" t="s">
        <v>19</v>
      </c>
      <c r="L2841" t="s">
        <v>12</v>
      </c>
      <c r="M2841" t="s">
        <v>61</v>
      </c>
      <c r="N2841" t="s">
        <v>30</v>
      </c>
      <c r="O2841" t="s">
        <v>18</v>
      </c>
      <c r="P2841">
        <v>4</v>
      </c>
    </row>
    <row r="2842" spans="1:16" x14ac:dyDescent="0.3">
      <c r="A2842">
        <v>3423</v>
      </c>
      <c r="B2842">
        <v>44193</v>
      </c>
      <c r="C2842">
        <v>19</v>
      </c>
      <c r="D2842">
        <v>37052</v>
      </c>
      <c r="E2842" t="s">
        <v>14</v>
      </c>
      <c r="F2842" t="s">
        <v>22</v>
      </c>
      <c r="G2842" t="s">
        <v>17</v>
      </c>
      <c r="H2842" t="s">
        <v>8</v>
      </c>
      <c r="I2842" t="s">
        <v>9</v>
      </c>
      <c r="J2842" t="s">
        <v>20</v>
      </c>
      <c r="K2842" t="s">
        <v>19</v>
      </c>
      <c r="L2842" t="s">
        <v>12</v>
      </c>
      <c r="M2842" t="s">
        <v>42</v>
      </c>
      <c r="N2842" t="s">
        <v>37</v>
      </c>
      <c r="O2842" t="s">
        <v>18</v>
      </c>
      <c r="P2842">
        <v>5</v>
      </c>
    </row>
    <row r="2843" spans="1:16" x14ac:dyDescent="0.3">
      <c r="A2843">
        <v>3424</v>
      </c>
      <c r="B2843">
        <v>44174</v>
      </c>
      <c r="C2843">
        <v>23</v>
      </c>
      <c r="D2843">
        <v>35457</v>
      </c>
      <c r="E2843" t="s">
        <v>14</v>
      </c>
      <c r="F2843" t="s">
        <v>22</v>
      </c>
      <c r="G2843" t="s">
        <v>31</v>
      </c>
      <c r="H2843" t="s">
        <v>8</v>
      </c>
      <c r="I2843" t="s">
        <v>66</v>
      </c>
      <c r="J2843" t="s">
        <v>10</v>
      </c>
      <c r="K2843" t="s">
        <v>26</v>
      </c>
      <c r="L2843" t="s">
        <v>12</v>
      </c>
      <c r="M2843" t="s">
        <v>59</v>
      </c>
      <c r="N2843" t="s">
        <v>16</v>
      </c>
      <c r="O2843" t="s">
        <v>18</v>
      </c>
      <c r="P2843">
        <v>4</v>
      </c>
    </row>
    <row r="2844" spans="1:16" x14ac:dyDescent="0.3">
      <c r="A2844">
        <v>3425</v>
      </c>
      <c r="B2844">
        <v>43613</v>
      </c>
      <c r="C2844">
        <v>65</v>
      </c>
      <c r="D2844">
        <v>19872</v>
      </c>
      <c r="E2844" t="s">
        <v>14</v>
      </c>
      <c r="F2844" t="s">
        <v>15</v>
      </c>
      <c r="G2844" t="s">
        <v>40</v>
      </c>
      <c r="H2844" t="s">
        <v>8</v>
      </c>
      <c r="I2844" t="s">
        <v>66</v>
      </c>
      <c r="J2844" t="s">
        <v>10</v>
      </c>
      <c r="K2844" t="s">
        <v>26</v>
      </c>
      <c r="L2844" t="s">
        <v>12</v>
      </c>
      <c r="M2844" t="s">
        <v>21</v>
      </c>
      <c r="N2844" t="s">
        <v>23</v>
      </c>
      <c r="O2844" t="s">
        <v>18</v>
      </c>
      <c r="P2844">
        <v>2</v>
      </c>
    </row>
    <row r="2845" spans="1:16" x14ac:dyDescent="0.3">
      <c r="A2845">
        <v>3426</v>
      </c>
      <c r="B2845">
        <v>44678</v>
      </c>
      <c r="C2845">
        <v>32</v>
      </c>
      <c r="D2845">
        <v>33127</v>
      </c>
      <c r="E2845" t="s">
        <v>14</v>
      </c>
      <c r="F2845" t="s">
        <v>15</v>
      </c>
      <c r="G2845" t="s">
        <v>34</v>
      </c>
      <c r="H2845" t="s">
        <v>8</v>
      </c>
      <c r="I2845" t="s">
        <v>9</v>
      </c>
      <c r="J2845" t="s">
        <v>25</v>
      </c>
      <c r="K2845" t="s">
        <v>26</v>
      </c>
      <c r="L2845" t="s">
        <v>12</v>
      </c>
      <c r="M2845" t="s">
        <v>35</v>
      </c>
      <c r="N2845" t="s">
        <v>16</v>
      </c>
      <c r="O2845" t="s">
        <v>18</v>
      </c>
      <c r="P2845">
        <v>3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71F4-759A-4DDE-83D7-11BB97384D28}">
  <dimension ref="A1:S2846"/>
  <sheetViews>
    <sheetView topLeftCell="H1" workbookViewId="0">
      <pane ySplit="1" topLeftCell="A3" activePane="bottomLeft" state="frozen"/>
      <selection pane="bottomLeft" activeCell="S3" sqref="S3"/>
    </sheetView>
  </sheetViews>
  <sheetFormatPr defaultRowHeight="14.4" x14ac:dyDescent="0.3"/>
  <cols>
    <col min="1" max="1" width="14.77734375" bestFit="1" customWidth="1"/>
    <col min="2" max="2" width="14.77734375" customWidth="1"/>
    <col min="3" max="3" width="14" bestFit="1" customWidth="1"/>
    <col min="4" max="4" width="14" customWidth="1"/>
    <col min="5" max="5" width="6.44140625" bestFit="1" customWidth="1"/>
    <col min="6" max="6" width="15.77734375" customWidth="1"/>
    <col min="7" max="7" width="23.6640625" customWidth="1"/>
    <col min="8" max="8" width="13.88671875" customWidth="1"/>
    <col min="10" max="10" width="18.44140625" bestFit="1" customWidth="1"/>
    <col min="11" max="11" width="26.33203125" bestFit="1" customWidth="1"/>
    <col min="12" max="12" width="17.88671875" bestFit="1" customWidth="1"/>
    <col min="13" max="13" width="15.77734375" bestFit="1" customWidth="1"/>
    <col min="14" max="14" width="10.5546875" bestFit="1" customWidth="1"/>
    <col min="15" max="15" width="18.44140625" bestFit="1" customWidth="1"/>
    <col min="16" max="16" width="23.109375" bestFit="1" customWidth="1"/>
    <col min="17" max="17" width="11.109375" bestFit="1" customWidth="1"/>
    <col min="18" max="18" width="19.44140625" bestFit="1" customWidth="1"/>
    <col min="19" max="20" width="18.21875" bestFit="1" customWidth="1"/>
    <col min="21" max="21" width="23.88671875" bestFit="1" customWidth="1"/>
    <col min="22" max="22" width="14.33203125" bestFit="1" customWidth="1"/>
    <col min="23" max="23" width="23.33203125" bestFit="1" customWidth="1"/>
    <col min="24" max="24" width="14.5546875" bestFit="1" customWidth="1"/>
    <col min="25" max="25" width="18.33203125" bestFit="1" customWidth="1"/>
    <col min="26" max="26" width="23.33203125" bestFit="1" customWidth="1"/>
  </cols>
  <sheetData>
    <row r="1" spans="1:19" x14ac:dyDescent="0.3">
      <c r="A1" t="s">
        <v>216</v>
      </c>
      <c r="B1" t="s">
        <v>214</v>
      </c>
      <c r="C1" t="s">
        <v>127</v>
      </c>
      <c r="D1" t="s">
        <v>207</v>
      </c>
      <c r="E1" t="s">
        <v>7</v>
      </c>
      <c r="F1" t="s">
        <v>4</v>
      </c>
      <c r="G1" t="s">
        <v>233</v>
      </c>
      <c r="H1" t="s">
        <v>5</v>
      </c>
      <c r="I1" t="s">
        <v>6</v>
      </c>
      <c r="J1" t="s">
        <v>128</v>
      </c>
      <c r="K1" t="s">
        <v>129</v>
      </c>
      <c r="L1" t="s">
        <v>130</v>
      </c>
      <c r="M1" t="s">
        <v>131</v>
      </c>
      <c r="N1" t="s">
        <v>1</v>
      </c>
      <c r="O1" t="s">
        <v>2</v>
      </c>
      <c r="P1" t="s">
        <v>3</v>
      </c>
      <c r="Q1" t="s">
        <v>213</v>
      </c>
      <c r="R1" t="s">
        <v>132</v>
      </c>
      <c r="S1" t="s">
        <v>133</v>
      </c>
    </row>
    <row r="2" spans="1:19" x14ac:dyDescent="0.3">
      <c r="A2">
        <v>2038</v>
      </c>
      <c r="B2">
        <f>YEAR(Cleaned_HR_Data_Analysis__2[[#This Row],[Joining_Date]])</f>
        <v>2018</v>
      </c>
      <c r="C2" s="1">
        <v>43345</v>
      </c>
      <c r="D2" s="1" t="str" cm="1">
        <f t="array" ref="D2">_xlfn.IFS(E2&lt;28, "17-27",
AND(E2&gt;27, E2&lt;38), "28-37",
AND(E2&gt;37, E2 &lt;48), "38-47",
AND(E2&gt;47, E2 &lt;58), "48-57",
AND(E2&gt;57, E2&lt;68), "58-67",
AND(E2&gt;67, E2&lt;78), "68-77",
E2&gt;77,"Above than 77")</f>
        <v>17-27</v>
      </c>
      <c r="E2">
        <v>17</v>
      </c>
      <c r="F2" s="1">
        <v>37015</v>
      </c>
      <c r="G2" s="1" t="str">
        <f>VLOOKUP(H2,Table7[#All], 2, FALSE)</f>
        <v>Massachusetts</v>
      </c>
      <c r="H2" s="2" t="s">
        <v>14</v>
      </c>
      <c r="I2" s="2" t="s">
        <v>15</v>
      </c>
      <c r="J2" s="2" t="s">
        <v>34</v>
      </c>
      <c r="K2" s="2" t="s">
        <v>8</v>
      </c>
      <c r="L2" s="2" t="s">
        <v>9</v>
      </c>
      <c r="M2" s="2" t="s">
        <v>20</v>
      </c>
      <c r="N2" s="2" t="s">
        <v>19</v>
      </c>
      <c r="O2" s="2" t="s">
        <v>12</v>
      </c>
      <c r="P2" s="2" t="s">
        <v>49</v>
      </c>
      <c r="Q2" s="2" t="s">
        <v>37</v>
      </c>
      <c r="R2" s="2" t="s">
        <v>18</v>
      </c>
      <c r="S2">
        <v>3</v>
      </c>
    </row>
    <row r="3" spans="1:19" x14ac:dyDescent="0.3">
      <c r="A3">
        <v>1743</v>
      </c>
      <c r="B3">
        <f>YEAR(Cleaned_HR_Data_Analysis__2[[#This Row],[Joining_Date]])</f>
        <v>2018</v>
      </c>
      <c r="C3" s="1">
        <v>43434</v>
      </c>
      <c r="D3" s="1" t="str" cm="1">
        <f t="array" ref="D3">_xlfn.IFS(E3&lt;28, "17-27",
AND(E3&gt;27, E3&lt;38), "28-37",
AND(E3&gt;37, E3 &lt;48), "38-47",
AND(E3&gt;47, E3 &lt;58), "48-57",
AND(E3&gt;57, E3&lt;68), "58-67",
AND(E3&gt;67, E3&lt;78), "68-77",
E3&gt;77,"Above than 77")</f>
        <v>17-27</v>
      </c>
      <c r="E3">
        <v>17</v>
      </c>
      <c r="F3" s="1">
        <v>37045</v>
      </c>
      <c r="G3" s="1" t="str">
        <f>VLOOKUP(H3,Table7[#All], 2, FALSE)</f>
        <v>Massachusetts</v>
      </c>
      <c r="H3" s="2" t="s">
        <v>14</v>
      </c>
      <c r="I3" s="2" t="s">
        <v>22</v>
      </c>
      <c r="J3" s="2" t="s">
        <v>31</v>
      </c>
      <c r="K3" s="2" t="s">
        <v>8</v>
      </c>
      <c r="L3" s="2" t="s">
        <v>9</v>
      </c>
      <c r="M3" s="2" t="s">
        <v>25</v>
      </c>
      <c r="N3" s="2" t="s">
        <v>11</v>
      </c>
      <c r="O3" s="2" t="s">
        <v>12</v>
      </c>
      <c r="P3" s="2" t="s">
        <v>49</v>
      </c>
      <c r="Q3" s="2" t="s">
        <v>37</v>
      </c>
      <c r="R3" s="2" t="s">
        <v>18</v>
      </c>
      <c r="S3">
        <v>1</v>
      </c>
    </row>
    <row r="4" spans="1:19" x14ac:dyDescent="0.3">
      <c r="A4">
        <v>3238</v>
      </c>
      <c r="B4">
        <f>YEAR(Cleaned_HR_Data_Analysis__2[[#This Row],[Joining_Date]])</f>
        <v>2018</v>
      </c>
      <c r="C4" s="1">
        <v>43438</v>
      </c>
      <c r="D4" s="1" t="str" cm="1">
        <f t="array" ref="D4">_xlfn.IFS(E4&lt;28, "17-27",
AND(E4&gt;27, E4&lt;38), "28-37",
AND(E4&gt;37, E4 &lt;48), "38-47",
AND(E4&gt;47, E4 &lt;58), "48-57",
AND(E4&gt;57, E4&lt;68), "58-67",
AND(E4&gt;67, E4&lt;78), "68-77",
E4&gt;77,"Above than 77")</f>
        <v>17-27</v>
      </c>
      <c r="E4">
        <v>18</v>
      </c>
      <c r="F4" s="1">
        <v>36773</v>
      </c>
      <c r="G4" s="1" t="str">
        <f>VLOOKUP(H4,Table7[#All], 2, FALSE)</f>
        <v>Massachusetts</v>
      </c>
      <c r="H4" s="2" t="s">
        <v>14</v>
      </c>
      <c r="I4" s="2" t="s">
        <v>22</v>
      </c>
      <c r="J4" s="2" t="s">
        <v>40</v>
      </c>
      <c r="K4" s="2" t="s">
        <v>64</v>
      </c>
      <c r="L4" s="2" t="s">
        <v>66</v>
      </c>
      <c r="M4" s="2" t="s">
        <v>10</v>
      </c>
      <c r="N4" s="2" t="s">
        <v>19</v>
      </c>
      <c r="O4" s="2" t="s">
        <v>12</v>
      </c>
      <c r="P4" s="2" t="s">
        <v>59</v>
      </c>
      <c r="Q4" s="2" t="s">
        <v>30</v>
      </c>
      <c r="R4" s="2" t="s">
        <v>18</v>
      </c>
      <c r="S4">
        <v>3</v>
      </c>
    </row>
    <row r="5" spans="1:19" x14ac:dyDescent="0.3">
      <c r="A5">
        <v>3028</v>
      </c>
      <c r="B5">
        <f>YEAR(Cleaned_HR_Data_Analysis__2[[#This Row],[Joining_Date]])</f>
        <v>2018</v>
      </c>
      <c r="C5" s="1">
        <v>43322</v>
      </c>
      <c r="D5" s="1" t="str" cm="1">
        <f t="array" ref="D5">_xlfn.IFS(E5&lt;28, "17-27",
AND(E5&gt;27, E5&lt;38), "28-37",
AND(E5&gt;37, E5 &lt;48), "38-47",
AND(E5&gt;47, E5 &lt;58), "48-57",
AND(E5&gt;57, E5&lt;68), "58-67",
AND(E5&gt;67, E5&lt;78), "68-77",
E5&gt;77,"Above than 77")</f>
        <v>17-27</v>
      </c>
      <c r="E5">
        <v>18</v>
      </c>
      <c r="F5" s="1">
        <v>36648</v>
      </c>
      <c r="G5" s="1" t="str">
        <f>VLOOKUP(H5,Table7[#All], 2, FALSE)</f>
        <v>Massachusetts</v>
      </c>
      <c r="H5" s="2" t="s">
        <v>14</v>
      </c>
      <c r="I5" s="2" t="s">
        <v>15</v>
      </c>
      <c r="J5" s="2" t="s">
        <v>34</v>
      </c>
      <c r="K5" s="2" t="s">
        <v>64</v>
      </c>
      <c r="L5" s="2" t="s">
        <v>66</v>
      </c>
      <c r="M5" s="2" t="s">
        <v>10</v>
      </c>
      <c r="N5" s="2" t="s">
        <v>26</v>
      </c>
      <c r="O5" s="2" t="s">
        <v>12</v>
      </c>
      <c r="P5" s="2" t="s">
        <v>42</v>
      </c>
      <c r="Q5" s="2" t="s">
        <v>46</v>
      </c>
      <c r="R5" s="2" t="s">
        <v>18</v>
      </c>
      <c r="S5">
        <v>4</v>
      </c>
    </row>
    <row r="6" spans="1:19" x14ac:dyDescent="0.3">
      <c r="A6">
        <v>2786</v>
      </c>
      <c r="B6">
        <f>YEAR(Cleaned_HR_Data_Analysis__2[[#This Row],[Joining_Date]])</f>
        <v>2018</v>
      </c>
      <c r="C6" s="1">
        <v>43463</v>
      </c>
      <c r="D6" s="1" t="str" cm="1">
        <f t="array" ref="D6">_xlfn.IFS(E6&lt;28, "17-27",
AND(E6&gt;27, E6&lt;38), "28-37",
AND(E6&gt;37, E6 &lt;48), "38-47",
AND(E6&gt;47, E6 &lt;58), "48-57",
AND(E6&gt;57, E6&lt;68), "58-67",
AND(E6&gt;67, E6&lt;78), "68-77",
E6&gt;77,"Above than 77")</f>
        <v>17-27</v>
      </c>
      <c r="E6">
        <v>18</v>
      </c>
      <c r="F6" s="1">
        <v>36720</v>
      </c>
      <c r="G6" s="1" t="str">
        <f>VLOOKUP(H6,Table7[#All], 2, FALSE)</f>
        <v>Massachusetts</v>
      </c>
      <c r="H6" s="2" t="s">
        <v>14</v>
      </c>
      <c r="I6" s="2" t="s">
        <v>15</v>
      </c>
      <c r="J6" s="2" t="s">
        <v>17</v>
      </c>
      <c r="K6" s="2" t="s">
        <v>64</v>
      </c>
      <c r="L6" s="2" t="s">
        <v>9</v>
      </c>
      <c r="M6" s="2" t="s">
        <v>10</v>
      </c>
      <c r="N6" s="2" t="s">
        <v>19</v>
      </c>
      <c r="O6" s="2" t="s">
        <v>12</v>
      </c>
      <c r="P6" s="2" t="s">
        <v>35</v>
      </c>
      <c r="Q6" s="2" t="s">
        <v>46</v>
      </c>
      <c r="R6" s="2" t="s">
        <v>18</v>
      </c>
      <c r="S6">
        <v>3</v>
      </c>
    </row>
    <row r="7" spans="1:19" x14ac:dyDescent="0.3">
      <c r="A7">
        <v>1127</v>
      </c>
      <c r="B7">
        <f>YEAR(Cleaned_HR_Data_Analysis__2[[#This Row],[Joining_Date]])</f>
        <v>2019</v>
      </c>
      <c r="C7" s="1">
        <v>43522</v>
      </c>
      <c r="D7" s="1" t="str" cm="1">
        <f t="array" ref="D7">_xlfn.IFS(E7&lt;28, "17-27",
AND(E7&gt;27, E7&lt;38), "28-37",
AND(E7&gt;37, E7 &lt;48), "38-47",
AND(E7&gt;47, E7 &lt;58), "48-57",
AND(E7&gt;57, E7&lt;68), "58-67",
AND(E7&gt;67, E7&lt;78), "68-77",
E7&gt;77,"Above than 77")</f>
        <v>17-27</v>
      </c>
      <c r="E7">
        <v>18</v>
      </c>
      <c r="F7" s="1">
        <v>36978</v>
      </c>
      <c r="G7" s="1" t="str">
        <f>VLOOKUP(H7,Table7[#All], 2, FALSE)</f>
        <v>Massachusetts</v>
      </c>
      <c r="H7" s="2" t="s">
        <v>14</v>
      </c>
      <c r="I7" s="2" t="s">
        <v>22</v>
      </c>
      <c r="J7" s="2" t="s">
        <v>34</v>
      </c>
      <c r="K7" s="2" t="s">
        <v>64</v>
      </c>
      <c r="L7" s="2" t="s">
        <v>9</v>
      </c>
      <c r="M7" s="2" t="s">
        <v>25</v>
      </c>
      <c r="N7" s="2" t="s">
        <v>19</v>
      </c>
      <c r="O7" s="2" t="s">
        <v>12</v>
      </c>
      <c r="P7" s="2" t="s">
        <v>32</v>
      </c>
      <c r="Q7" s="2" t="s">
        <v>16</v>
      </c>
      <c r="R7" s="2" t="s">
        <v>18</v>
      </c>
      <c r="S7">
        <v>1</v>
      </c>
    </row>
    <row r="8" spans="1:19" x14ac:dyDescent="0.3">
      <c r="A8">
        <v>3656</v>
      </c>
      <c r="B8">
        <f>YEAR(Cleaned_HR_Data_Analysis__2[[#This Row],[Joining_Date]])</f>
        <v>2019</v>
      </c>
      <c r="C8" s="1">
        <v>43814</v>
      </c>
      <c r="D8" s="1" t="str" cm="1">
        <f t="array" ref="D8">_xlfn.IFS(E8&lt;28, "17-27",
AND(E8&gt;27, E8&lt;38), "28-37",
AND(E8&gt;37, E8 &lt;48), "38-47",
AND(E8&gt;47, E8 &lt;58), "48-57",
AND(E8&gt;57, E8&lt;68), "58-67",
AND(E8&gt;67, E8&lt;78), "68-77",
E8&gt;77,"Above than 77")</f>
        <v>17-27</v>
      </c>
      <c r="E8">
        <v>18</v>
      </c>
      <c r="F8" s="1">
        <v>36995</v>
      </c>
      <c r="G8" s="1" t="str">
        <f>VLOOKUP(H8,Table7[#All], 2, FALSE)</f>
        <v>Massachusetts</v>
      </c>
      <c r="H8" s="2" t="s">
        <v>14</v>
      </c>
      <c r="I8" s="2" t="s">
        <v>22</v>
      </c>
      <c r="J8" s="2" t="s">
        <v>40</v>
      </c>
      <c r="K8" s="2" t="s">
        <v>8</v>
      </c>
      <c r="L8" s="2" t="s">
        <v>9</v>
      </c>
      <c r="M8" s="2" t="s">
        <v>20</v>
      </c>
      <c r="N8" s="2" t="s">
        <v>26</v>
      </c>
      <c r="O8" s="2" t="s">
        <v>12</v>
      </c>
      <c r="P8" s="2" t="s">
        <v>69</v>
      </c>
      <c r="Q8" s="2" t="s">
        <v>23</v>
      </c>
      <c r="R8" s="2" t="s">
        <v>41</v>
      </c>
      <c r="S8">
        <v>3</v>
      </c>
    </row>
    <row r="9" spans="1:19" x14ac:dyDescent="0.3">
      <c r="A9">
        <v>3176</v>
      </c>
      <c r="B9">
        <f>YEAR(Cleaned_HR_Data_Analysis__2[[#This Row],[Joining_Date]])</f>
        <v>2018</v>
      </c>
      <c r="C9" s="1">
        <v>43447</v>
      </c>
      <c r="D9" s="1" t="str" cm="1">
        <f t="array" ref="D9">_xlfn.IFS(E9&lt;28, "17-27",
AND(E9&gt;27, E9&lt;38), "28-37",
AND(E9&gt;37, E9 &lt;48), "38-47",
AND(E9&gt;47, E9 &lt;58), "48-57",
AND(E9&gt;57, E9&lt;68), "58-67",
AND(E9&gt;67, E9&lt;78), "68-77",
E9&gt;77,"Above than 77")</f>
        <v>17-27</v>
      </c>
      <c r="E9">
        <v>18</v>
      </c>
      <c r="F9" s="1">
        <v>36580</v>
      </c>
      <c r="G9" s="1" t="str">
        <f>VLOOKUP(H9,Table7[#All], 2, FALSE)</f>
        <v>Massachusetts</v>
      </c>
      <c r="H9" s="2" t="s">
        <v>14</v>
      </c>
      <c r="I9" s="2" t="s">
        <v>15</v>
      </c>
      <c r="J9" s="2" t="s">
        <v>17</v>
      </c>
      <c r="K9" s="2" t="s">
        <v>8</v>
      </c>
      <c r="L9" s="2" t="s">
        <v>9</v>
      </c>
      <c r="M9" s="2" t="s">
        <v>25</v>
      </c>
      <c r="N9" s="2" t="s">
        <v>19</v>
      </c>
      <c r="O9" s="2" t="s">
        <v>12</v>
      </c>
      <c r="P9" s="2" t="s">
        <v>54</v>
      </c>
      <c r="Q9" s="2" t="s">
        <v>30</v>
      </c>
      <c r="R9" s="2" t="s">
        <v>41</v>
      </c>
      <c r="S9">
        <v>3</v>
      </c>
    </row>
    <row r="10" spans="1:19" x14ac:dyDescent="0.3">
      <c r="A10">
        <v>2125</v>
      </c>
      <c r="B10">
        <f>YEAR(Cleaned_HR_Data_Analysis__2[[#This Row],[Joining_Date]])</f>
        <v>2019</v>
      </c>
      <c r="C10" s="1">
        <v>43686</v>
      </c>
      <c r="D10" s="1" t="str" cm="1">
        <f t="array" ref="D10">_xlfn.IFS(E10&lt;28, "17-27",
AND(E10&gt;27, E10&lt;38), "28-37",
AND(E10&gt;37, E10 &lt;48), "38-47",
AND(E10&gt;47, E10 &lt;58), "48-57",
AND(E10&gt;57, E10&lt;68), "58-67",
AND(E10&gt;67, E10&lt;78), "68-77",
E10&gt;77,"Above than 77")</f>
        <v>17-27</v>
      </c>
      <c r="E10">
        <v>18</v>
      </c>
      <c r="F10" s="1">
        <v>37041</v>
      </c>
      <c r="G10" s="1" t="str">
        <f>VLOOKUP(H10,Table7[#All], 2, FALSE)</f>
        <v>Massachusetts</v>
      </c>
      <c r="H10" s="2" t="s">
        <v>14</v>
      </c>
      <c r="I10" s="2" t="s">
        <v>15</v>
      </c>
      <c r="J10" s="2" t="s">
        <v>40</v>
      </c>
      <c r="K10" s="2" t="s">
        <v>8</v>
      </c>
      <c r="L10" s="2" t="s">
        <v>9</v>
      </c>
      <c r="M10" s="2" t="s">
        <v>25</v>
      </c>
      <c r="N10" s="2" t="s">
        <v>26</v>
      </c>
      <c r="O10" s="2" t="s">
        <v>12</v>
      </c>
      <c r="P10" s="2" t="s">
        <v>42</v>
      </c>
      <c r="Q10" s="2" t="s">
        <v>16</v>
      </c>
      <c r="R10" s="2" t="s">
        <v>41</v>
      </c>
      <c r="S10">
        <v>5</v>
      </c>
    </row>
    <row r="11" spans="1:19" x14ac:dyDescent="0.3">
      <c r="A11">
        <v>1461</v>
      </c>
      <c r="B11">
        <f>YEAR(Cleaned_HR_Data_Analysis__2[[#This Row],[Joining_Date]])</f>
        <v>2019</v>
      </c>
      <c r="C11" s="1">
        <v>43567</v>
      </c>
      <c r="D11" s="1" t="str" cm="1">
        <f t="array" ref="D11">_xlfn.IFS(E11&lt;28, "17-27",
AND(E11&gt;27, E11&lt;38), "28-37",
AND(E11&gt;37, E11 &lt;48), "38-47",
AND(E11&gt;47, E11 &lt;58), "48-57",
AND(E11&gt;57, E11&lt;68), "58-67",
AND(E11&gt;67, E11&lt;78), "68-77",
E11&gt;77,"Above than 77")</f>
        <v>17-27</v>
      </c>
      <c r="E11">
        <v>18</v>
      </c>
      <c r="F11" s="1">
        <v>36953</v>
      </c>
      <c r="G11" s="1" t="str">
        <f>VLOOKUP(H11,Table7[#All], 2, FALSE)</f>
        <v>Massachusetts</v>
      </c>
      <c r="H11" s="2" t="s">
        <v>14</v>
      </c>
      <c r="I11" s="2" t="s">
        <v>15</v>
      </c>
      <c r="J11" s="2" t="s">
        <v>17</v>
      </c>
      <c r="K11" s="2" t="s">
        <v>8</v>
      </c>
      <c r="L11" s="2" t="s">
        <v>9</v>
      </c>
      <c r="M11" s="2" t="s">
        <v>25</v>
      </c>
      <c r="N11" s="2" t="s">
        <v>11</v>
      </c>
      <c r="O11" s="2" t="s">
        <v>12</v>
      </c>
      <c r="P11" s="2" t="s">
        <v>54</v>
      </c>
      <c r="Q11" s="2" t="s">
        <v>46</v>
      </c>
      <c r="R11" s="2" t="s">
        <v>41</v>
      </c>
      <c r="S11">
        <v>1</v>
      </c>
    </row>
    <row r="12" spans="1:19" x14ac:dyDescent="0.3">
      <c r="A12">
        <v>1418</v>
      </c>
      <c r="B12">
        <f>YEAR(Cleaned_HR_Data_Analysis__2[[#This Row],[Joining_Date]])</f>
        <v>2018</v>
      </c>
      <c r="C12" s="1">
        <v>43369</v>
      </c>
      <c r="D12" s="1" t="str" cm="1">
        <f t="array" ref="D12">_xlfn.IFS(E12&lt;28, "17-27",
AND(E12&gt;27, E12&lt;38), "28-37",
AND(E12&gt;37, E12 &lt;48), "38-47",
AND(E12&gt;47, E12 &lt;58), "48-57",
AND(E12&gt;57, E12&lt;68), "58-67",
AND(E12&gt;67, E12&lt;78), "68-77",
E12&gt;77,"Above than 77")</f>
        <v>17-27</v>
      </c>
      <c r="E12">
        <v>18</v>
      </c>
      <c r="F12" s="1">
        <v>36890</v>
      </c>
      <c r="G12" s="1" t="str">
        <f>VLOOKUP(H12,Table7[#All], 2, FALSE)</f>
        <v>Massachusetts</v>
      </c>
      <c r="H12" s="2" t="s">
        <v>14</v>
      </c>
      <c r="I12" s="2" t="s">
        <v>15</v>
      </c>
      <c r="J12" s="2" t="s">
        <v>34</v>
      </c>
      <c r="K12" s="2" t="s">
        <v>8</v>
      </c>
      <c r="L12" s="2" t="s">
        <v>9</v>
      </c>
      <c r="M12" s="2" t="s">
        <v>20</v>
      </c>
      <c r="N12" s="2" t="s">
        <v>11</v>
      </c>
      <c r="O12" s="2" t="s">
        <v>12</v>
      </c>
      <c r="P12" s="2" t="s">
        <v>59</v>
      </c>
      <c r="Q12" s="2" t="s">
        <v>30</v>
      </c>
      <c r="R12" s="2" t="s">
        <v>56</v>
      </c>
      <c r="S12">
        <v>1</v>
      </c>
    </row>
    <row r="13" spans="1:19" x14ac:dyDescent="0.3">
      <c r="A13">
        <v>3809</v>
      </c>
      <c r="B13">
        <f>YEAR(Cleaned_HR_Data_Analysis__2[[#This Row],[Joining_Date]])</f>
        <v>2019</v>
      </c>
      <c r="C13" s="1">
        <v>43744</v>
      </c>
      <c r="D13" s="1" t="str" cm="1">
        <f t="array" ref="D13">_xlfn.IFS(E13&lt;28, "17-27",
AND(E13&gt;27, E13&lt;38), "28-37",
AND(E13&gt;37, E13 &lt;48), "38-47",
AND(E13&gt;47, E13 &lt;58), "48-57",
AND(E13&gt;57, E13&lt;68), "58-67",
AND(E13&gt;67, E13&lt;78), "68-77",
E13&gt;77,"Above than 77")</f>
        <v>17-27</v>
      </c>
      <c r="E13">
        <v>18</v>
      </c>
      <c r="F13" s="1">
        <v>36911</v>
      </c>
      <c r="G13" s="1" t="str">
        <f>VLOOKUP(H13,Table7[#All], 2, FALSE)</f>
        <v>Massachusetts</v>
      </c>
      <c r="H13" s="2" t="s">
        <v>14</v>
      </c>
      <c r="I13" s="2" t="s">
        <v>22</v>
      </c>
      <c r="J13" s="2" t="s">
        <v>31</v>
      </c>
      <c r="K13" s="2" t="s">
        <v>71</v>
      </c>
      <c r="L13" s="2" t="s">
        <v>9</v>
      </c>
      <c r="M13" s="2" t="s">
        <v>20</v>
      </c>
      <c r="N13" s="2" t="s">
        <v>26</v>
      </c>
      <c r="O13" s="2" t="s">
        <v>53</v>
      </c>
      <c r="P13" s="2" t="s">
        <v>35</v>
      </c>
      <c r="Q13" s="2" t="s">
        <v>23</v>
      </c>
      <c r="R13" s="2" t="s">
        <v>18</v>
      </c>
      <c r="S13">
        <v>1</v>
      </c>
    </row>
    <row r="14" spans="1:19" x14ac:dyDescent="0.3">
      <c r="A14">
        <v>2745</v>
      </c>
      <c r="B14">
        <f>YEAR(Cleaned_HR_Data_Analysis__2[[#This Row],[Joining_Date]])</f>
        <v>2019</v>
      </c>
      <c r="C14" s="1">
        <v>43490</v>
      </c>
      <c r="D14" s="1" t="str" cm="1">
        <f t="array" ref="D14">_xlfn.IFS(E14&lt;28, "17-27",
AND(E14&gt;27, E14&lt;38), "28-37",
AND(E14&gt;37, E14 &lt;48), "38-47",
AND(E14&gt;47, E14 &lt;58), "48-57",
AND(E14&gt;57, E14&lt;68), "58-67",
AND(E14&gt;67, E14&lt;78), "68-77",
E14&gt;77,"Above than 77")</f>
        <v>17-27</v>
      </c>
      <c r="E14">
        <v>18</v>
      </c>
      <c r="F14" s="1">
        <v>37010</v>
      </c>
      <c r="G14" s="1" t="str">
        <f>VLOOKUP(H14,Table7[#All], 2, FALSE)</f>
        <v>Virginia</v>
      </c>
      <c r="H14" s="2" t="s">
        <v>109</v>
      </c>
      <c r="I14" s="2" t="s">
        <v>15</v>
      </c>
      <c r="J14" s="2" t="s">
        <v>40</v>
      </c>
      <c r="K14" s="2" t="s">
        <v>24</v>
      </c>
      <c r="L14" s="2" t="s">
        <v>9</v>
      </c>
      <c r="M14" s="2" t="s">
        <v>10</v>
      </c>
      <c r="N14" s="2" t="s">
        <v>26</v>
      </c>
      <c r="O14" s="2" t="s">
        <v>27</v>
      </c>
      <c r="P14" s="2" t="s">
        <v>44</v>
      </c>
      <c r="Q14" s="2" t="s">
        <v>23</v>
      </c>
      <c r="R14" s="2" t="s">
        <v>18</v>
      </c>
      <c r="S14">
        <v>2</v>
      </c>
    </row>
    <row r="15" spans="1:19" x14ac:dyDescent="0.3">
      <c r="A15">
        <v>3500</v>
      </c>
      <c r="B15">
        <f>YEAR(Cleaned_HR_Data_Analysis__2[[#This Row],[Joining_Date]])</f>
        <v>2018</v>
      </c>
      <c r="C15" s="1">
        <v>43424</v>
      </c>
      <c r="D15" s="1" t="str" cm="1">
        <f t="array" ref="D15">_xlfn.IFS(E15&lt;28, "17-27",
AND(E15&gt;27, E15&lt;38), "28-37",
AND(E15&gt;37, E15 &lt;48), "38-47",
AND(E15&gt;47, E15 &lt;58), "48-57",
AND(E15&gt;57, E15&lt;68), "58-67",
AND(E15&gt;67, E15&lt;78), "68-77",
E15&gt;77,"Above than 77")</f>
        <v>17-27</v>
      </c>
      <c r="E15">
        <v>18</v>
      </c>
      <c r="F15" s="1">
        <v>36581</v>
      </c>
      <c r="G15" s="1" t="str">
        <f>VLOOKUP(H15,Table7[#All], 2, FALSE)</f>
        <v>Texas</v>
      </c>
      <c r="H15" s="2" t="s">
        <v>45</v>
      </c>
      <c r="I15" s="2" t="s">
        <v>15</v>
      </c>
      <c r="J15" s="2" t="s">
        <v>40</v>
      </c>
      <c r="K15" s="2" t="s">
        <v>24</v>
      </c>
      <c r="L15" s="2" t="s">
        <v>9</v>
      </c>
      <c r="M15" s="2" t="s">
        <v>25</v>
      </c>
      <c r="N15" s="2" t="s">
        <v>26</v>
      </c>
      <c r="O15" s="2" t="s">
        <v>27</v>
      </c>
      <c r="P15" s="2" t="s">
        <v>58</v>
      </c>
      <c r="Q15" s="2" t="s">
        <v>16</v>
      </c>
      <c r="R15" s="2" t="s">
        <v>18</v>
      </c>
      <c r="S15">
        <v>1</v>
      </c>
    </row>
    <row r="16" spans="1:19" x14ac:dyDescent="0.3">
      <c r="A16">
        <v>2646</v>
      </c>
      <c r="B16">
        <f>YEAR(Cleaned_HR_Data_Analysis__2[[#This Row],[Joining_Date]])</f>
        <v>2019</v>
      </c>
      <c r="C16" s="1">
        <v>43681</v>
      </c>
      <c r="D16" s="1" t="str" cm="1">
        <f t="array" ref="D16">_xlfn.IFS(E16&lt;28, "17-27",
AND(E16&gt;27, E16&lt;38), "28-37",
AND(E16&gt;37, E16 &lt;48), "38-47",
AND(E16&gt;47, E16 &lt;58), "48-57",
AND(E16&gt;57, E16&lt;68), "58-67",
AND(E16&gt;67, E16&lt;78), "68-77",
E16&gt;77,"Above than 77")</f>
        <v>17-27</v>
      </c>
      <c r="E16">
        <v>18</v>
      </c>
      <c r="F16" s="1">
        <v>37059</v>
      </c>
      <c r="G16" s="1" t="str">
        <f>VLOOKUP(H16,Table7[#All], 2, FALSE)</f>
        <v>Idaho</v>
      </c>
      <c r="H16" s="2" t="s">
        <v>111</v>
      </c>
      <c r="I16" s="2" t="s">
        <v>22</v>
      </c>
      <c r="J16" s="2" t="s">
        <v>17</v>
      </c>
      <c r="K16" s="2" t="s">
        <v>24</v>
      </c>
      <c r="L16" s="2" t="s">
        <v>9</v>
      </c>
      <c r="M16" s="2" t="s">
        <v>10</v>
      </c>
      <c r="N16" s="2" t="s">
        <v>19</v>
      </c>
      <c r="O16" s="2" t="s">
        <v>27</v>
      </c>
      <c r="P16" s="2" t="s">
        <v>54</v>
      </c>
      <c r="Q16" s="2" t="s">
        <v>37</v>
      </c>
      <c r="R16" s="2" t="s">
        <v>18</v>
      </c>
      <c r="S16">
        <v>2</v>
      </c>
    </row>
    <row r="17" spans="1:19" x14ac:dyDescent="0.3">
      <c r="A17">
        <v>2705</v>
      </c>
      <c r="B17">
        <f>YEAR(Cleaned_HR_Data_Analysis__2[[#This Row],[Joining_Date]])</f>
        <v>2018</v>
      </c>
      <c r="C17" s="1">
        <v>43408</v>
      </c>
      <c r="D17" s="1" t="str" cm="1">
        <f t="array" ref="D17">_xlfn.IFS(E17&lt;28, "17-27",
AND(E17&gt;27, E17&lt;38), "28-37",
AND(E17&gt;37, E17 &lt;48), "38-47",
AND(E17&gt;47, E17 &lt;58), "48-57",
AND(E17&gt;57, E17&lt;68), "58-67",
AND(E17&gt;67, E17&lt;78), "68-77",
E17&gt;77,"Above than 77")</f>
        <v>17-27</v>
      </c>
      <c r="E17">
        <v>18</v>
      </c>
      <c r="F17" s="1">
        <v>36823</v>
      </c>
      <c r="G17" s="1" t="str">
        <f>VLOOKUP(H17,Table7[#All], 2, FALSE)</f>
        <v>Arizona</v>
      </c>
      <c r="H17" s="2" t="s">
        <v>114</v>
      </c>
      <c r="I17" s="2" t="s">
        <v>15</v>
      </c>
      <c r="J17" s="2" t="s">
        <v>40</v>
      </c>
      <c r="K17" s="2" t="s">
        <v>24</v>
      </c>
      <c r="L17" s="2" t="s">
        <v>9</v>
      </c>
      <c r="M17" s="2" t="s">
        <v>25</v>
      </c>
      <c r="N17" s="2" t="s">
        <v>26</v>
      </c>
      <c r="O17" s="2" t="s">
        <v>27</v>
      </c>
      <c r="P17" s="2" t="s">
        <v>32</v>
      </c>
      <c r="Q17" s="2" t="s">
        <v>23</v>
      </c>
      <c r="R17" s="2" t="s">
        <v>18</v>
      </c>
      <c r="S17">
        <v>2</v>
      </c>
    </row>
    <row r="18" spans="1:19" x14ac:dyDescent="0.3">
      <c r="A18">
        <v>2601</v>
      </c>
      <c r="B18">
        <f>YEAR(Cleaned_HR_Data_Analysis__2[[#This Row],[Joining_Date]])</f>
        <v>2019</v>
      </c>
      <c r="C18" s="1">
        <v>43798</v>
      </c>
      <c r="D18" s="1" t="str" cm="1">
        <f t="array" ref="D18">_xlfn.IFS(E18&lt;28, "17-27",
AND(E18&gt;27, E18&lt;38), "28-37",
AND(E18&gt;37, E18 &lt;48), "38-47",
AND(E18&gt;47, E18 &lt;58), "48-57",
AND(E18&gt;57, E18&lt;68), "58-67",
AND(E18&gt;67, E18&lt;78), "68-77",
E18&gt;77,"Above than 77")</f>
        <v>17-27</v>
      </c>
      <c r="E18">
        <v>18</v>
      </c>
      <c r="F18" s="1">
        <v>36952</v>
      </c>
      <c r="G18" s="1" t="str">
        <f>VLOOKUP(H18,Table7[#All], 2, FALSE)</f>
        <v>Washington</v>
      </c>
      <c r="H18" s="2" t="s">
        <v>113</v>
      </c>
      <c r="I18" s="2" t="s">
        <v>15</v>
      </c>
      <c r="J18" s="2" t="s">
        <v>17</v>
      </c>
      <c r="K18" s="2" t="s">
        <v>95</v>
      </c>
      <c r="L18" s="2" t="s">
        <v>9</v>
      </c>
      <c r="M18" s="2" t="s">
        <v>25</v>
      </c>
      <c r="N18" s="2" t="s">
        <v>11</v>
      </c>
      <c r="O18" s="2" t="s">
        <v>27</v>
      </c>
      <c r="P18" s="2" t="s">
        <v>32</v>
      </c>
      <c r="Q18" s="2" t="s">
        <v>23</v>
      </c>
      <c r="R18" s="2" t="s">
        <v>18</v>
      </c>
      <c r="S18">
        <v>5</v>
      </c>
    </row>
    <row r="19" spans="1:19" x14ac:dyDescent="0.3">
      <c r="A19">
        <v>1028</v>
      </c>
      <c r="B19">
        <f>YEAR(Cleaned_HR_Data_Analysis__2[[#This Row],[Joining_Date]])</f>
        <v>2019</v>
      </c>
      <c r="C19" s="1">
        <v>43753</v>
      </c>
      <c r="D19" s="1" t="str" cm="1">
        <f t="array" ref="D19">_xlfn.IFS(E19&lt;28, "17-27",
AND(E19&gt;27, E19&lt;38), "28-37",
AND(E19&gt;37, E19 &lt;48), "38-47",
AND(E19&gt;47, E19 &lt;58), "48-57",
AND(E19&gt;57, E19&lt;68), "58-67",
AND(E19&gt;67, E19&lt;78), "68-77",
E19&gt;77,"Above than 77")</f>
        <v>17-27</v>
      </c>
      <c r="E19">
        <v>19</v>
      </c>
      <c r="F19" s="1">
        <v>36821</v>
      </c>
      <c r="G19" s="1" t="str">
        <f>VLOOKUP(H19,Table7[#All], 2, FALSE)</f>
        <v>Massachusetts</v>
      </c>
      <c r="H19" s="2" t="s">
        <v>14</v>
      </c>
      <c r="I19" s="2" t="s">
        <v>22</v>
      </c>
      <c r="J19" s="2" t="s">
        <v>31</v>
      </c>
      <c r="K19" s="2" t="s">
        <v>86</v>
      </c>
      <c r="L19" s="2" t="s">
        <v>66</v>
      </c>
      <c r="M19" s="2" t="s">
        <v>25</v>
      </c>
      <c r="N19" s="2" t="s">
        <v>11</v>
      </c>
      <c r="O19" s="2" t="s">
        <v>87</v>
      </c>
      <c r="P19" s="2" t="s">
        <v>32</v>
      </c>
      <c r="Q19" s="2" t="s">
        <v>46</v>
      </c>
      <c r="R19" s="2" t="s">
        <v>18</v>
      </c>
      <c r="S19">
        <v>5</v>
      </c>
    </row>
    <row r="20" spans="1:19" x14ac:dyDescent="0.3">
      <c r="A20">
        <v>3219</v>
      </c>
      <c r="B20">
        <f>YEAR(Cleaned_HR_Data_Analysis__2[[#This Row],[Joining_Date]])</f>
        <v>2019</v>
      </c>
      <c r="C20" s="1">
        <v>43728</v>
      </c>
      <c r="D20" s="1" t="str" cm="1">
        <f t="array" ref="D20">_xlfn.IFS(E20&lt;28, "17-27",
AND(E20&gt;27, E20&lt;38), "28-37",
AND(E20&gt;37, E20 &lt;48), "38-47",
AND(E20&gt;47, E20 &lt;58), "48-57",
AND(E20&gt;57, E20&lt;68), "58-67",
AND(E20&gt;67, E20&lt;78), "68-77",
E20&gt;77,"Above than 77")</f>
        <v>17-27</v>
      </c>
      <c r="E20">
        <v>19</v>
      </c>
      <c r="F20" s="1">
        <v>36754</v>
      </c>
      <c r="G20" s="1" t="str">
        <f>VLOOKUP(H20,Table7[#All], 2, FALSE)</f>
        <v>Massachusetts</v>
      </c>
      <c r="H20" s="2" t="s">
        <v>14</v>
      </c>
      <c r="I20" s="2" t="s">
        <v>15</v>
      </c>
      <c r="J20" s="2" t="s">
        <v>17</v>
      </c>
      <c r="K20" s="2" t="s">
        <v>64</v>
      </c>
      <c r="L20" s="2" t="s">
        <v>9</v>
      </c>
      <c r="M20" s="2" t="s">
        <v>25</v>
      </c>
      <c r="N20" s="2" t="s">
        <v>26</v>
      </c>
      <c r="O20" s="2" t="s">
        <v>12</v>
      </c>
      <c r="P20" s="2" t="s">
        <v>44</v>
      </c>
      <c r="Q20" s="2" t="s">
        <v>37</v>
      </c>
      <c r="R20" s="2" t="s">
        <v>18</v>
      </c>
      <c r="S20">
        <v>3</v>
      </c>
    </row>
    <row r="21" spans="1:19" x14ac:dyDescent="0.3">
      <c r="A21">
        <v>3586</v>
      </c>
      <c r="B21">
        <f>YEAR(Cleaned_HR_Data_Analysis__2[[#This Row],[Joining_Date]])</f>
        <v>2019</v>
      </c>
      <c r="C21" s="1">
        <v>43497</v>
      </c>
      <c r="D21" s="1" t="str" cm="1">
        <f t="array" ref="D21">_xlfn.IFS(E21&lt;28, "17-27",
AND(E21&gt;27, E21&lt;38), "28-37",
AND(E21&gt;37, E21 &lt;48), "38-47",
AND(E21&gt;47, E21 &lt;58), "48-57",
AND(E21&gt;57, E21&lt;68), "58-67",
AND(E21&gt;67, E21&lt;78), "68-77",
E21&gt;77,"Above than 77")</f>
        <v>17-27</v>
      </c>
      <c r="E21">
        <v>19</v>
      </c>
      <c r="F21" s="1">
        <v>36887</v>
      </c>
      <c r="G21" s="1" t="str">
        <f>VLOOKUP(H21,Table7[#All], 2, FALSE)</f>
        <v>Massachusetts</v>
      </c>
      <c r="H21" s="2" t="s">
        <v>14</v>
      </c>
      <c r="I21" s="2" t="s">
        <v>15</v>
      </c>
      <c r="J21" s="2" t="s">
        <v>31</v>
      </c>
      <c r="K21" s="2" t="s">
        <v>8</v>
      </c>
      <c r="L21" s="2" t="s">
        <v>9</v>
      </c>
      <c r="M21" s="2" t="s">
        <v>20</v>
      </c>
      <c r="N21" s="2" t="s">
        <v>26</v>
      </c>
      <c r="O21" s="2" t="s">
        <v>12</v>
      </c>
      <c r="P21" s="2" t="s">
        <v>62</v>
      </c>
      <c r="Q21" s="2" t="s">
        <v>23</v>
      </c>
      <c r="R21" s="2" t="s">
        <v>18</v>
      </c>
      <c r="S21">
        <v>2</v>
      </c>
    </row>
    <row r="22" spans="1:19" x14ac:dyDescent="0.3">
      <c r="A22">
        <v>3423</v>
      </c>
      <c r="B22">
        <f>YEAR(Cleaned_HR_Data_Analysis__2[[#This Row],[Joining_Date]])</f>
        <v>2020</v>
      </c>
      <c r="C22" s="1">
        <v>44193</v>
      </c>
      <c r="D22" s="1" t="str" cm="1">
        <f t="array" ref="D22">_xlfn.IFS(E22&lt;28, "17-27",
AND(E22&gt;27, E22&lt;38), "28-37",
AND(E22&gt;37, E22 &lt;48), "38-47",
AND(E22&gt;47, E22 &lt;58), "48-57",
AND(E22&gt;57, E22&lt;68), "58-67",
AND(E22&gt;67, E22&lt;78), "68-77",
E22&gt;77,"Above than 77")</f>
        <v>17-27</v>
      </c>
      <c r="E22">
        <v>19</v>
      </c>
      <c r="F22" s="1">
        <v>37052</v>
      </c>
      <c r="G22" s="1" t="str">
        <f>VLOOKUP(H22,Table7[#All], 2, FALSE)</f>
        <v>Massachusetts</v>
      </c>
      <c r="H22" s="2" t="s">
        <v>14</v>
      </c>
      <c r="I22" s="2" t="s">
        <v>22</v>
      </c>
      <c r="J22" s="2" t="s">
        <v>17</v>
      </c>
      <c r="K22" s="2" t="s">
        <v>8</v>
      </c>
      <c r="L22" s="2" t="s">
        <v>9</v>
      </c>
      <c r="M22" s="2" t="s">
        <v>20</v>
      </c>
      <c r="N22" s="2" t="s">
        <v>19</v>
      </c>
      <c r="O22" s="2" t="s">
        <v>12</v>
      </c>
      <c r="P22" s="2" t="s">
        <v>42</v>
      </c>
      <c r="Q22" s="2" t="s">
        <v>37</v>
      </c>
      <c r="R22" s="2" t="s">
        <v>18</v>
      </c>
      <c r="S22">
        <v>5</v>
      </c>
    </row>
    <row r="23" spans="1:19" x14ac:dyDescent="0.3">
      <c r="A23">
        <v>3177</v>
      </c>
      <c r="B23">
        <f>YEAR(Cleaned_HR_Data_Analysis__2[[#This Row],[Joining_Date]])</f>
        <v>2019</v>
      </c>
      <c r="C23" s="1">
        <v>43738</v>
      </c>
      <c r="D23" s="1" t="str" cm="1">
        <f t="array" ref="D23">_xlfn.IFS(E23&lt;28, "17-27",
AND(E23&gt;27, E23&lt;38), "28-37",
AND(E23&gt;37, E23 &lt;48), "38-47",
AND(E23&gt;47, E23 &lt;58), "48-57",
AND(E23&gt;57, E23&lt;68), "58-67",
AND(E23&gt;67, E23&lt;78), "68-77",
E23&gt;77,"Above than 77")</f>
        <v>17-27</v>
      </c>
      <c r="E23">
        <v>19</v>
      </c>
      <c r="F23" s="1">
        <v>36598</v>
      </c>
      <c r="G23" s="1" t="str">
        <f>VLOOKUP(H23,Table7[#All], 2, FALSE)</f>
        <v>Massachusetts</v>
      </c>
      <c r="H23" s="2" t="s">
        <v>14</v>
      </c>
      <c r="I23" s="2" t="s">
        <v>15</v>
      </c>
      <c r="J23" s="2" t="s">
        <v>31</v>
      </c>
      <c r="K23" s="2" t="s">
        <v>8</v>
      </c>
      <c r="L23" s="2" t="s">
        <v>66</v>
      </c>
      <c r="M23" s="2" t="s">
        <v>25</v>
      </c>
      <c r="N23" s="2" t="s">
        <v>19</v>
      </c>
      <c r="O23" s="2" t="s">
        <v>12</v>
      </c>
      <c r="P23" s="2" t="s">
        <v>54</v>
      </c>
      <c r="Q23" s="2" t="s">
        <v>46</v>
      </c>
      <c r="R23" s="2" t="s">
        <v>18</v>
      </c>
      <c r="S23">
        <v>4</v>
      </c>
    </row>
    <row r="24" spans="1:19" x14ac:dyDescent="0.3">
      <c r="A24">
        <v>3109</v>
      </c>
      <c r="B24">
        <f>YEAR(Cleaned_HR_Data_Analysis__2[[#This Row],[Joining_Date]])</f>
        <v>2018</v>
      </c>
      <c r="C24" s="1">
        <v>43393</v>
      </c>
      <c r="D24" s="1" t="str" cm="1">
        <f t="array" ref="D24">_xlfn.IFS(E24&lt;28, "17-27",
AND(E24&gt;27, E24&lt;38), "28-37",
AND(E24&gt;37, E24 &lt;48), "38-47",
AND(E24&gt;47, E24 &lt;58), "48-57",
AND(E24&gt;57, E24&lt;68), "58-67",
AND(E24&gt;67, E24&lt;78), "68-77",
E24&gt;77,"Above than 77")</f>
        <v>17-27</v>
      </c>
      <c r="E24">
        <v>19</v>
      </c>
      <c r="F24" s="1">
        <v>36275</v>
      </c>
      <c r="G24" s="1" t="str">
        <f>VLOOKUP(H24,Table7[#All], 2, FALSE)</f>
        <v>Massachusetts</v>
      </c>
      <c r="H24" s="2" t="s">
        <v>14</v>
      </c>
      <c r="I24" s="2" t="s">
        <v>15</v>
      </c>
      <c r="J24" s="2" t="s">
        <v>34</v>
      </c>
      <c r="K24" s="2" t="s">
        <v>8</v>
      </c>
      <c r="L24" s="2" t="s">
        <v>9</v>
      </c>
      <c r="M24" s="2" t="s">
        <v>25</v>
      </c>
      <c r="N24" s="2" t="s">
        <v>19</v>
      </c>
      <c r="O24" s="2" t="s">
        <v>12</v>
      </c>
      <c r="P24" s="2" t="s">
        <v>55</v>
      </c>
      <c r="Q24" s="2" t="s">
        <v>16</v>
      </c>
      <c r="R24" s="2" t="s">
        <v>65</v>
      </c>
      <c r="S24">
        <v>2</v>
      </c>
    </row>
    <row r="25" spans="1:19" x14ac:dyDescent="0.3">
      <c r="A25">
        <v>2035</v>
      </c>
      <c r="B25">
        <f>YEAR(Cleaned_HR_Data_Analysis__2[[#This Row],[Joining_Date]])</f>
        <v>2020</v>
      </c>
      <c r="C25" s="1">
        <v>43988</v>
      </c>
      <c r="D25" s="1" t="str" cm="1">
        <f t="array" ref="D25">_xlfn.IFS(E25&lt;28, "17-27",
AND(E25&gt;27, E25&lt;38), "28-37",
AND(E25&gt;37, E25 &lt;48), "38-47",
AND(E25&gt;47, E25 &lt;58), "48-57",
AND(E25&gt;57, E25&lt;68), "58-67",
AND(E25&gt;67, E25&lt;78), "68-77",
E25&gt;77,"Above than 77")</f>
        <v>17-27</v>
      </c>
      <c r="E25">
        <v>19</v>
      </c>
      <c r="F25" s="1">
        <v>36964</v>
      </c>
      <c r="G25" s="1" t="str">
        <f>VLOOKUP(H25,Table7[#All], 2, FALSE)</f>
        <v>Massachusetts</v>
      </c>
      <c r="H25" s="2" t="s">
        <v>14</v>
      </c>
      <c r="I25" s="2" t="s">
        <v>15</v>
      </c>
      <c r="J25" s="2" t="s">
        <v>34</v>
      </c>
      <c r="K25" s="2" t="s">
        <v>8</v>
      </c>
      <c r="L25" s="2" t="s">
        <v>9</v>
      </c>
      <c r="M25" s="2" t="s">
        <v>25</v>
      </c>
      <c r="N25" s="2" t="s">
        <v>11</v>
      </c>
      <c r="O25" s="2" t="s">
        <v>12</v>
      </c>
      <c r="P25" s="2" t="s">
        <v>21</v>
      </c>
      <c r="Q25" s="2" t="s">
        <v>46</v>
      </c>
      <c r="R25" s="2" t="s">
        <v>18</v>
      </c>
      <c r="S25">
        <v>2</v>
      </c>
    </row>
    <row r="26" spans="1:19" x14ac:dyDescent="0.3">
      <c r="A26">
        <v>1926</v>
      </c>
      <c r="B26">
        <f>YEAR(Cleaned_HR_Data_Analysis__2[[#This Row],[Joining_Date]])</f>
        <v>2019</v>
      </c>
      <c r="C26" s="1">
        <v>43796</v>
      </c>
      <c r="D26" s="1" t="str" cm="1">
        <f t="array" ref="D26">_xlfn.IFS(E26&lt;28, "17-27",
AND(E26&gt;27, E26&lt;38), "28-37",
AND(E26&gt;37, E26 &lt;48), "38-47",
AND(E26&gt;47, E26 &lt;58), "48-57",
AND(E26&gt;57, E26&lt;68), "58-67",
AND(E26&gt;67, E26&lt;78), "68-77",
E26&gt;77,"Above than 77")</f>
        <v>17-27</v>
      </c>
      <c r="E26">
        <v>19</v>
      </c>
      <c r="F26" s="1">
        <v>36527</v>
      </c>
      <c r="G26" s="1" t="str">
        <f>VLOOKUP(H26,Table7[#All], 2, FALSE)</f>
        <v>Massachusetts</v>
      </c>
      <c r="H26" s="2" t="s">
        <v>14</v>
      </c>
      <c r="I26" s="2" t="s">
        <v>22</v>
      </c>
      <c r="J26" s="2" t="s">
        <v>31</v>
      </c>
      <c r="K26" s="2" t="s">
        <v>8</v>
      </c>
      <c r="L26" s="2" t="s">
        <v>9</v>
      </c>
      <c r="M26" s="2" t="s">
        <v>10</v>
      </c>
      <c r="N26" s="2" t="s">
        <v>19</v>
      </c>
      <c r="O26" s="2" t="s">
        <v>12</v>
      </c>
      <c r="P26" s="2" t="s">
        <v>35</v>
      </c>
      <c r="Q26" s="2" t="s">
        <v>37</v>
      </c>
      <c r="R26" s="2" t="s">
        <v>18</v>
      </c>
      <c r="S26">
        <v>4</v>
      </c>
    </row>
    <row r="27" spans="1:19" x14ac:dyDescent="0.3">
      <c r="A27">
        <v>1884</v>
      </c>
      <c r="B27">
        <f>YEAR(Cleaned_HR_Data_Analysis__2[[#This Row],[Joining_Date]])</f>
        <v>2019</v>
      </c>
      <c r="C27" s="1">
        <v>43540</v>
      </c>
      <c r="D27" s="1" t="str" cm="1">
        <f t="array" ref="D27">_xlfn.IFS(E27&lt;28, "17-27",
AND(E27&gt;27, E27&lt;38), "28-37",
AND(E27&gt;37, E27 &lt;48), "38-47",
AND(E27&gt;47, E27 &lt;58), "48-57",
AND(E27&gt;57, E27&lt;68), "58-67",
AND(E27&gt;67, E27&lt;78), "68-77",
E27&gt;77,"Above than 77")</f>
        <v>17-27</v>
      </c>
      <c r="E27">
        <v>19</v>
      </c>
      <c r="F27" s="1">
        <v>36731</v>
      </c>
      <c r="G27" s="1" t="str">
        <f>VLOOKUP(H27,Table7[#All], 2, FALSE)</f>
        <v>Massachusetts</v>
      </c>
      <c r="H27" s="2" t="s">
        <v>14</v>
      </c>
      <c r="I27" s="2" t="s">
        <v>15</v>
      </c>
      <c r="J27" s="2" t="s">
        <v>34</v>
      </c>
      <c r="K27" s="2" t="s">
        <v>8</v>
      </c>
      <c r="L27" s="2" t="s">
        <v>9</v>
      </c>
      <c r="M27" s="2" t="s">
        <v>20</v>
      </c>
      <c r="N27" s="2" t="s">
        <v>11</v>
      </c>
      <c r="O27" s="2" t="s">
        <v>12</v>
      </c>
      <c r="P27" s="2" t="s">
        <v>38</v>
      </c>
      <c r="Q27" s="2" t="s">
        <v>30</v>
      </c>
      <c r="R27" s="2" t="s">
        <v>18</v>
      </c>
      <c r="S27">
        <v>3</v>
      </c>
    </row>
    <row r="28" spans="1:19" x14ac:dyDescent="0.3">
      <c r="A28">
        <v>1881</v>
      </c>
      <c r="B28">
        <f>YEAR(Cleaned_HR_Data_Analysis__2[[#This Row],[Joining_Date]])</f>
        <v>2019</v>
      </c>
      <c r="C28" s="1">
        <v>43586</v>
      </c>
      <c r="D28" s="1" t="str" cm="1">
        <f t="array" ref="D28">_xlfn.IFS(E28&lt;28, "17-27",
AND(E28&gt;27, E28&lt;38), "28-37",
AND(E28&gt;37, E28 &lt;48), "38-47",
AND(E28&gt;47, E28 &lt;58), "48-57",
AND(E28&gt;57, E28&lt;68), "58-67",
AND(E28&gt;67, E28&lt;78), "68-77",
E28&gt;77,"Above than 77")</f>
        <v>17-27</v>
      </c>
      <c r="E28">
        <v>19</v>
      </c>
      <c r="F28" s="1">
        <v>36813</v>
      </c>
      <c r="G28" s="1" t="str">
        <f>VLOOKUP(H28,Table7[#All], 2, FALSE)</f>
        <v>Massachusetts</v>
      </c>
      <c r="H28" s="2" t="s">
        <v>14</v>
      </c>
      <c r="I28" s="2" t="s">
        <v>22</v>
      </c>
      <c r="J28" s="2" t="s">
        <v>31</v>
      </c>
      <c r="K28" s="2" t="s">
        <v>8</v>
      </c>
      <c r="L28" s="2" t="s">
        <v>9</v>
      </c>
      <c r="M28" s="2" t="s">
        <v>25</v>
      </c>
      <c r="N28" s="2" t="s">
        <v>26</v>
      </c>
      <c r="O28" s="2" t="s">
        <v>12</v>
      </c>
      <c r="P28" s="2" t="s">
        <v>35</v>
      </c>
      <c r="Q28" s="2" t="s">
        <v>46</v>
      </c>
      <c r="R28" s="2" t="s">
        <v>18</v>
      </c>
      <c r="S28">
        <v>5</v>
      </c>
    </row>
    <row r="29" spans="1:19" x14ac:dyDescent="0.3">
      <c r="A29">
        <v>1860</v>
      </c>
      <c r="B29">
        <f>YEAR(Cleaned_HR_Data_Analysis__2[[#This Row],[Joining_Date]])</f>
        <v>2019</v>
      </c>
      <c r="C29" s="1">
        <v>43809</v>
      </c>
      <c r="D29" s="1" t="str" cm="1">
        <f t="array" ref="D29">_xlfn.IFS(E29&lt;28, "17-27",
AND(E29&gt;27, E29&lt;38), "28-37",
AND(E29&gt;37, E29 &lt;48), "38-47",
AND(E29&gt;47, E29 &lt;58), "48-57",
AND(E29&gt;57, E29&lt;68), "58-67",
AND(E29&gt;67, E29&lt;78), "68-77",
E29&gt;77,"Above than 77")</f>
        <v>17-27</v>
      </c>
      <c r="E29">
        <v>19</v>
      </c>
      <c r="F29" s="1">
        <v>36686</v>
      </c>
      <c r="G29" s="1" t="str">
        <f>VLOOKUP(H29,Table7[#All], 2, FALSE)</f>
        <v>Massachusetts</v>
      </c>
      <c r="H29" s="2" t="s">
        <v>14</v>
      </c>
      <c r="I29" s="2" t="s">
        <v>15</v>
      </c>
      <c r="J29" s="2" t="s">
        <v>40</v>
      </c>
      <c r="K29" s="2" t="s">
        <v>8</v>
      </c>
      <c r="L29" s="2" t="s">
        <v>66</v>
      </c>
      <c r="M29" s="2" t="s">
        <v>20</v>
      </c>
      <c r="N29" s="2" t="s">
        <v>26</v>
      </c>
      <c r="O29" s="2" t="s">
        <v>12</v>
      </c>
      <c r="P29" s="2" t="s">
        <v>54</v>
      </c>
      <c r="Q29" s="2" t="s">
        <v>46</v>
      </c>
      <c r="R29" s="2" t="s">
        <v>41</v>
      </c>
      <c r="S29">
        <v>4</v>
      </c>
    </row>
    <row r="30" spans="1:19" x14ac:dyDescent="0.3">
      <c r="A30">
        <v>3868</v>
      </c>
      <c r="B30">
        <f>YEAR(Cleaned_HR_Data_Analysis__2[[#This Row],[Joining_Date]])</f>
        <v>2019</v>
      </c>
      <c r="C30" s="1">
        <v>43694</v>
      </c>
      <c r="D30" s="1" t="str" cm="1">
        <f t="array" ref="D30">_xlfn.IFS(E30&lt;28, "17-27",
AND(E30&gt;27, E30&lt;38), "28-37",
AND(E30&gt;37, E30 &lt;48), "38-47",
AND(E30&gt;47, E30 &lt;58), "48-57",
AND(E30&gt;57, E30&lt;68), "58-67",
AND(E30&gt;67, E30&lt;78), "68-77",
E30&gt;77,"Above than 77")</f>
        <v>17-27</v>
      </c>
      <c r="E30">
        <v>19</v>
      </c>
      <c r="F30" s="1">
        <v>36608</v>
      </c>
      <c r="G30" s="1" t="str">
        <f>VLOOKUP(H30,Table7[#All], 2, FALSE)</f>
        <v>Massachusetts</v>
      </c>
      <c r="H30" s="2" t="s">
        <v>14</v>
      </c>
      <c r="I30" s="2" t="s">
        <v>22</v>
      </c>
      <c r="J30" s="2" t="s">
        <v>17</v>
      </c>
      <c r="K30" s="2" t="s">
        <v>71</v>
      </c>
      <c r="L30" s="2" t="s">
        <v>9</v>
      </c>
      <c r="M30" s="2" t="s">
        <v>10</v>
      </c>
      <c r="N30" s="2" t="s">
        <v>19</v>
      </c>
      <c r="O30" s="2" t="s">
        <v>53</v>
      </c>
      <c r="P30" s="2" t="s">
        <v>13</v>
      </c>
      <c r="Q30" s="2" t="s">
        <v>23</v>
      </c>
      <c r="R30" s="2" t="s">
        <v>18</v>
      </c>
      <c r="S30">
        <v>1</v>
      </c>
    </row>
    <row r="31" spans="1:19" x14ac:dyDescent="0.3">
      <c r="A31">
        <v>1718</v>
      </c>
      <c r="B31">
        <f>YEAR(Cleaned_HR_Data_Analysis__2[[#This Row],[Joining_Date]])</f>
        <v>2020</v>
      </c>
      <c r="C31" s="1">
        <v>44011</v>
      </c>
      <c r="D31" s="1" t="str" cm="1">
        <f t="array" ref="D31">_xlfn.IFS(E31&lt;28, "17-27",
AND(E31&gt;27, E31&lt;38), "28-37",
AND(E31&gt;37, E31 &lt;48), "38-47",
AND(E31&gt;47, E31 &lt;58), "48-57",
AND(E31&gt;57, E31&lt;68), "58-67",
AND(E31&gt;67, E31&lt;78), "68-77",
E31&gt;77,"Above than 77")</f>
        <v>17-27</v>
      </c>
      <c r="E31">
        <v>19</v>
      </c>
      <c r="F31" s="1">
        <v>36895</v>
      </c>
      <c r="G31" s="1" t="str">
        <f>VLOOKUP(H31,Table7[#All], 2, FALSE)</f>
        <v>Massachusetts</v>
      </c>
      <c r="H31" s="2" t="s">
        <v>14</v>
      </c>
      <c r="I31" s="2" t="s">
        <v>22</v>
      </c>
      <c r="J31" s="2" t="s">
        <v>40</v>
      </c>
      <c r="K31" s="2" t="s">
        <v>97</v>
      </c>
      <c r="L31" s="2" t="s">
        <v>9</v>
      </c>
      <c r="M31" s="2" t="s">
        <v>25</v>
      </c>
      <c r="N31" s="2" t="s">
        <v>26</v>
      </c>
      <c r="O31" s="2" t="s">
        <v>53</v>
      </c>
      <c r="P31" s="2" t="s">
        <v>35</v>
      </c>
      <c r="Q31" s="2" t="s">
        <v>30</v>
      </c>
      <c r="R31" s="2" t="s">
        <v>18</v>
      </c>
      <c r="S31">
        <v>4</v>
      </c>
    </row>
    <row r="32" spans="1:19" x14ac:dyDescent="0.3">
      <c r="A32">
        <v>2735</v>
      </c>
      <c r="B32">
        <f>YEAR(Cleaned_HR_Data_Analysis__2[[#This Row],[Joining_Date]])</f>
        <v>2020</v>
      </c>
      <c r="C32" s="1">
        <v>44120</v>
      </c>
      <c r="D32" s="1" t="str" cm="1">
        <f t="array" ref="D32">_xlfn.IFS(E32&lt;28, "17-27",
AND(E32&gt;27, E32&lt;38), "28-37",
AND(E32&gt;37, E32 &lt;48), "38-47",
AND(E32&gt;47, E32 &lt;58), "48-57",
AND(E32&gt;57, E32&lt;68), "58-67",
AND(E32&gt;67, E32&lt;78), "68-77",
E32&gt;77,"Above than 77")</f>
        <v>17-27</v>
      </c>
      <c r="E32">
        <v>19</v>
      </c>
      <c r="F32" s="1">
        <v>36991</v>
      </c>
      <c r="G32" s="1" t="str">
        <f>VLOOKUP(H32,Table7[#All], 2, FALSE)</f>
        <v>North Carolina</v>
      </c>
      <c r="H32" s="2" t="s">
        <v>121</v>
      </c>
      <c r="I32" s="2" t="s">
        <v>15</v>
      </c>
      <c r="J32" s="2" t="s">
        <v>31</v>
      </c>
      <c r="K32" s="2" t="s">
        <v>24</v>
      </c>
      <c r="L32" s="2" t="s">
        <v>9</v>
      </c>
      <c r="M32" s="2" t="s">
        <v>10</v>
      </c>
      <c r="N32" s="2" t="s">
        <v>26</v>
      </c>
      <c r="O32" s="2" t="s">
        <v>27</v>
      </c>
      <c r="P32" s="2" t="s">
        <v>35</v>
      </c>
      <c r="Q32" s="2" t="s">
        <v>46</v>
      </c>
      <c r="R32" s="2" t="s">
        <v>18</v>
      </c>
      <c r="S32">
        <v>1</v>
      </c>
    </row>
    <row r="33" spans="1:19" x14ac:dyDescent="0.3">
      <c r="A33">
        <v>2587</v>
      </c>
      <c r="B33">
        <f>YEAR(Cleaned_HR_Data_Analysis__2[[#This Row],[Joining_Date]])</f>
        <v>2019</v>
      </c>
      <c r="C33" s="1">
        <v>43712</v>
      </c>
      <c r="D33" s="1" t="str" cm="1">
        <f t="array" ref="D33">_xlfn.IFS(E33&lt;28, "17-27",
AND(E33&gt;27, E33&lt;38), "28-37",
AND(E33&gt;37, E33 &lt;48), "38-47",
AND(E33&gt;47, E33 &lt;58), "48-57",
AND(E33&gt;57, E33&lt;68), "58-67",
AND(E33&gt;67, E33&lt;78), "68-77",
E33&gt;77,"Above than 77")</f>
        <v>17-27</v>
      </c>
      <c r="E33">
        <v>19</v>
      </c>
      <c r="F33" s="1">
        <v>36738</v>
      </c>
      <c r="G33" s="1" t="str">
        <f>VLOOKUP(H33,Table7[#All], 2, FALSE)</f>
        <v>Massachusetts</v>
      </c>
      <c r="H33" s="2" t="s">
        <v>14</v>
      </c>
      <c r="I33" s="2" t="s">
        <v>22</v>
      </c>
      <c r="J33" s="2" t="s">
        <v>17</v>
      </c>
      <c r="K33" s="2" t="s">
        <v>24</v>
      </c>
      <c r="L33" s="2" t="s">
        <v>9</v>
      </c>
      <c r="M33" s="2" t="s">
        <v>25</v>
      </c>
      <c r="N33" s="2" t="s">
        <v>19</v>
      </c>
      <c r="O33" s="2" t="s">
        <v>27</v>
      </c>
      <c r="P33" s="2" t="s">
        <v>35</v>
      </c>
      <c r="Q33" s="2" t="s">
        <v>30</v>
      </c>
      <c r="R33" s="2" t="s">
        <v>18</v>
      </c>
      <c r="S33">
        <v>4</v>
      </c>
    </row>
    <row r="34" spans="1:19" x14ac:dyDescent="0.3">
      <c r="A34">
        <v>2502</v>
      </c>
      <c r="B34">
        <f>YEAR(Cleaned_HR_Data_Analysis__2[[#This Row],[Joining_Date]])</f>
        <v>2019</v>
      </c>
      <c r="C34" s="1">
        <v>43492</v>
      </c>
      <c r="D34" s="1" t="str" cm="1">
        <f t="array" ref="D34">_xlfn.IFS(E34&lt;28, "17-27",
AND(E34&gt;27, E34&lt;38), "28-37",
AND(E34&gt;37, E34 &lt;48), "38-47",
AND(E34&gt;47, E34 &lt;58), "48-57",
AND(E34&gt;57, E34&lt;68), "58-67",
AND(E34&gt;67, E34&lt;78), "68-77",
E34&gt;77,"Above than 77")</f>
        <v>17-27</v>
      </c>
      <c r="E34">
        <v>20</v>
      </c>
      <c r="F34" s="1">
        <v>36317</v>
      </c>
      <c r="G34" s="1" t="str">
        <f>VLOOKUP(H34,Table7[#All], 2, FALSE)</f>
        <v>Massachusetts</v>
      </c>
      <c r="H34" s="2" t="s">
        <v>14</v>
      </c>
      <c r="I34" s="2" t="s">
        <v>22</v>
      </c>
      <c r="J34" s="2" t="s">
        <v>40</v>
      </c>
      <c r="K34" s="2" t="s">
        <v>86</v>
      </c>
      <c r="L34" s="2" t="s">
        <v>9</v>
      </c>
      <c r="M34" s="2" t="s">
        <v>20</v>
      </c>
      <c r="N34" s="2" t="s">
        <v>11</v>
      </c>
      <c r="O34" s="2" t="s">
        <v>87</v>
      </c>
      <c r="P34" s="2" t="s">
        <v>59</v>
      </c>
      <c r="Q34" s="2" t="s">
        <v>16</v>
      </c>
      <c r="R34" s="2" t="s">
        <v>18</v>
      </c>
      <c r="S34">
        <v>3</v>
      </c>
    </row>
    <row r="35" spans="1:19" x14ac:dyDescent="0.3">
      <c r="A35">
        <v>1007</v>
      </c>
      <c r="B35">
        <f>YEAR(Cleaned_HR_Data_Analysis__2[[#This Row],[Joining_Date]])</f>
        <v>2020</v>
      </c>
      <c r="C35" s="1">
        <v>44129</v>
      </c>
      <c r="D35" s="1" t="str" cm="1">
        <f t="array" ref="D35">_xlfn.IFS(E35&lt;28, "17-27",
AND(E35&gt;27, E35&lt;38), "28-37",
AND(E35&gt;37, E35 &lt;48), "38-47",
AND(E35&gt;47, E35 &lt;58), "48-57",
AND(E35&gt;57, E35&lt;68), "58-67",
AND(E35&gt;67, E35&lt;78), "68-77",
E35&gt;77,"Above than 77")</f>
        <v>17-27</v>
      </c>
      <c r="E35">
        <v>20</v>
      </c>
      <c r="F35" s="1">
        <v>36603</v>
      </c>
      <c r="G35" s="1" t="str">
        <f>VLOOKUP(H35,Table7[#All], 2, FALSE)</f>
        <v>Massachusetts</v>
      </c>
      <c r="H35" s="2" t="s">
        <v>14</v>
      </c>
      <c r="I35" s="2" t="s">
        <v>22</v>
      </c>
      <c r="J35" s="2" t="s">
        <v>17</v>
      </c>
      <c r="K35" s="2" t="s">
        <v>86</v>
      </c>
      <c r="L35" s="2" t="s">
        <v>66</v>
      </c>
      <c r="M35" s="2" t="s">
        <v>20</v>
      </c>
      <c r="N35" s="2" t="s">
        <v>19</v>
      </c>
      <c r="O35" s="2" t="s">
        <v>87</v>
      </c>
      <c r="P35" s="2" t="s">
        <v>32</v>
      </c>
      <c r="Q35" s="2" t="s">
        <v>37</v>
      </c>
      <c r="R35" s="2" t="s">
        <v>18</v>
      </c>
      <c r="S35">
        <v>1</v>
      </c>
    </row>
    <row r="36" spans="1:19" x14ac:dyDescent="0.3">
      <c r="A36">
        <v>1070</v>
      </c>
      <c r="B36">
        <f>YEAR(Cleaned_HR_Data_Analysis__2[[#This Row],[Joining_Date]])</f>
        <v>2018</v>
      </c>
      <c r="C36" s="1">
        <v>43449</v>
      </c>
      <c r="D36" s="1" t="str" cm="1">
        <f t="array" ref="D36">_xlfn.IFS(E36&lt;28, "17-27",
AND(E36&gt;27, E36&lt;38), "28-37",
AND(E36&gt;37, E36 &lt;48), "38-47",
AND(E36&gt;47, E36 &lt;58), "48-57",
AND(E36&gt;57, E36&lt;68), "58-67",
AND(E36&gt;67, E36&lt;78), "68-77",
E36&gt;77,"Above than 77")</f>
        <v>17-27</v>
      </c>
      <c r="E36">
        <v>20</v>
      </c>
      <c r="F36" s="1">
        <v>36103</v>
      </c>
      <c r="G36" s="1" t="str">
        <f>VLOOKUP(H36,Table7[#All], 2, FALSE)</f>
        <v>Massachusetts</v>
      </c>
      <c r="H36" s="2" t="s">
        <v>14</v>
      </c>
      <c r="I36" s="2" t="s">
        <v>22</v>
      </c>
      <c r="J36" s="2" t="s">
        <v>34</v>
      </c>
      <c r="K36" s="2" t="s">
        <v>88</v>
      </c>
      <c r="L36" s="2" t="s">
        <v>9</v>
      </c>
      <c r="M36" s="2" t="s">
        <v>25</v>
      </c>
      <c r="N36" s="2" t="s">
        <v>11</v>
      </c>
      <c r="O36" s="2" t="s">
        <v>87</v>
      </c>
      <c r="P36" s="2" t="s">
        <v>28</v>
      </c>
      <c r="Q36" s="2" t="s">
        <v>37</v>
      </c>
      <c r="R36" s="2" t="s">
        <v>18</v>
      </c>
      <c r="S36">
        <v>1</v>
      </c>
    </row>
    <row r="37" spans="1:19" x14ac:dyDescent="0.3">
      <c r="A37">
        <v>1636</v>
      </c>
      <c r="B37">
        <f>YEAR(Cleaned_HR_Data_Analysis__2[[#This Row],[Joining_Date]])</f>
        <v>2018</v>
      </c>
      <c r="C37" s="1">
        <v>43389</v>
      </c>
      <c r="D37" s="1" t="str" cm="1">
        <f t="array" ref="D37">_xlfn.IFS(E37&lt;28, "17-27",
AND(E37&gt;27, E37&lt;38), "28-37",
AND(E37&gt;37, E37 &lt;48), "38-47",
AND(E37&gt;47, E37 &lt;58), "48-57",
AND(E37&gt;57, E37&lt;68), "58-67",
AND(E37&gt;67, E37&lt;78), "68-77",
E37&gt;77,"Above than 77")</f>
        <v>17-27</v>
      </c>
      <c r="E37">
        <v>20</v>
      </c>
      <c r="F37" s="1">
        <v>36106</v>
      </c>
      <c r="G37" s="1" t="str">
        <f>VLOOKUP(H37,Table7[#All], 2, FALSE)</f>
        <v>Massachusetts</v>
      </c>
      <c r="H37" s="2" t="s">
        <v>14</v>
      </c>
      <c r="I37" s="2" t="s">
        <v>22</v>
      </c>
      <c r="J37" s="2" t="s">
        <v>31</v>
      </c>
      <c r="K37" s="2" t="s">
        <v>98</v>
      </c>
      <c r="L37" s="2" t="s">
        <v>9</v>
      </c>
      <c r="M37" s="2" t="s">
        <v>10</v>
      </c>
      <c r="N37" s="2" t="s">
        <v>26</v>
      </c>
      <c r="O37" s="2" t="s">
        <v>90</v>
      </c>
      <c r="P37" s="2" t="s">
        <v>21</v>
      </c>
      <c r="Q37" s="2" t="s">
        <v>16</v>
      </c>
      <c r="R37" s="2" t="s">
        <v>18</v>
      </c>
      <c r="S37">
        <v>5</v>
      </c>
    </row>
    <row r="38" spans="1:19" x14ac:dyDescent="0.3">
      <c r="A38">
        <v>3069</v>
      </c>
      <c r="B38">
        <f>YEAR(Cleaned_HR_Data_Analysis__2[[#This Row],[Joining_Date]])</f>
        <v>2019</v>
      </c>
      <c r="C38" s="1">
        <v>43757</v>
      </c>
      <c r="D38" s="1" t="str" cm="1">
        <f t="array" ref="D38">_xlfn.IFS(E38&lt;28, "17-27",
AND(E38&gt;27, E38&lt;38), "28-37",
AND(E38&gt;37, E38 &lt;48), "38-47",
AND(E38&gt;47, E38 &lt;58), "48-57",
AND(E38&gt;57, E38&lt;68), "58-67",
AND(E38&gt;67, E38&lt;78), "68-77",
E38&gt;77,"Above than 77")</f>
        <v>17-27</v>
      </c>
      <c r="E38">
        <v>20</v>
      </c>
      <c r="F38" s="1">
        <v>36205</v>
      </c>
      <c r="G38" s="1" t="str">
        <f>VLOOKUP(H38,Table7[#All], 2, FALSE)</f>
        <v>Massachusetts</v>
      </c>
      <c r="H38" s="2" t="s">
        <v>14</v>
      </c>
      <c r="I38" s="2" t="s">
        <v>15</v>
      </c>
      <c r="J38" s="2" t="s">
        <v>34</v>
      </c>
      <c r="K38" s="2" t="s">
        <v>64</v>
      </c>
      <c r="L38" s="2" t="s">
        <v>9</v>
      </c>
      <c r="M38" s="2" t="s">
        <v>25</v>
      </c>
      <c r="N38" s="2" t="s">
        <v>19</v>
      </c>
      <c r="O38" s="2" t="s">
        <v>12</v>
      </c>
      <c r="P38" s="2" t="s">
        <v>32</v>
      </c>
      <c r="Q38" s="2" t="s">
        <v>16</v>
      </c>
      <c r="R38" s="2" t="s">
        <v>18</v>
      </c>
      <c r="S38">
        <v>2</v>
      </c>
    </row>
    <row r="39" spans="1:19" x14ac:dyDescent="0.3">
      <c r="A39">
        <v>2118</v>
      </c>
      <c r="B39">
        <f>YEAR(Cleaned_HR_Data_Analysis__2[[#This Row],[Joining_Date]])</f>
        <v>2020</v>
      </c>
      <c r="C39" s="1">
        <v>43858</v>
      </c>
      <c r="D39" s="1" t="str" cm="1">
        <f t="array" ref="D39">_xlfn.IFS(E39&lt;28, "17-27",
AND(E39&gt;27, E39&lt;38), "28-37",
AND(E39&gt;37, E39 &lt;48), "38-47",
AND(E39&gt;47, E39 &lt;58), "48-57",
AND(E39&gt;57, E39&lt;68), "58-67",
AND(E39&gt;67, E39&lt;78), "68-77",
E39&gt;77,"Above than 77")</f>
        <v>17-27</v>
      </c>
      <c r="E39">
        <v>20</v>
      </c>
      <c r="F39" s="1">
        <v>36836</v>
      </c>
      <c r="G39" s="1" t="str">
        <f>VLOOKUP(H39,Table7[#All], 2, FALSE)</f>
        <v>Massachusetts</v>
      </c>
      <c r="H39" s="2" t="s">
        <v>14</v>
      </c>
      <c r="I39" s="2" t="s">
        <v>15</v>
      </c>
      <c r="J39" s="2" t="s">
        <v>17</v>
      </c>
      <c r="K39" s="2" t="s">
        <v>64</v>
      </c>
      <c r="L39" s="2" t="s">
        <v>9</v>
      </c>
      <c r="M39" s="2" t="s">
        <v>20</v>
      </c>
      <c r="N39" s="2" t="s">
        <v>11</v>
      </c>
      <c r="O39" s="2" t="s">
        <v>12</v>
      </c>
      <c r="P39" s="2" t="s">
        <v>57</v>
      </c>
      <c r="Q39" s="2" t="s">
        <v>16</v>
      </c>
      <c r="R39" s="2" t="s">
        <v>41</v>
      </c>
      <c r="S39">
        <v>2</v>
      </c>
    </row>
    <row r="40" spans="1:19" x14ac:dyDescent="0.3">
      <c r="A40">
        <v>1989</v>
      </c>
      <c r="B40">
        <f>YEAR(Cleaned_HR_Data_Analysis__2[[#This Row],[Joining_Date]])</f>
        <v>2020</v>
      </c>
      <c r="C40" s="1">
        <v>43886</v>
      </c>
      <c r="D40" s="1" t="str" cm="1">
        <f t="array" ref="D40">_xlfn.IFS(E40&lt;28, "17-27",
AND(E40&gt;27, E40&lt;38), "28-37",
AND(E40&gt;37, E40 &lt;48), "38-47",
AND(E40&gt;47, E40 &lt;58), "48-57",
AND(E40&gt;57, E40&lt;68), "58-67",
AND(E40&gt;67, E40&lt;78), "68-77",
E40&gt;77,"Above than 77")</f>
        <v>17-27</v>
      </c>
      <c r="E40">
        <v>20</v>
      </c>
      <c r="F40" s="1">
        <v>36691</v>
      </c>
      <c r="G40" s="1" t="str">
        <f>VLOOKUP(H40,Table7[#All], 2, FALSE)</f>
        <v>Massachusetts</v>
      </c>
      <c r="H40" s="2" t="s">
        <v>14</v>
      </c>
      <c r="I40" s="2" t="s">
        <v>15</v>
      </c>
      <c r="J40" s="2" t="s">
        <v>34</v>
      </c>
      <c r="K40" s="2" t="s">
        <v>64</v>
      </c>
      <c r="L40" s="2" t="s">
        <v>9</v>
      </c>
      <c r="M40" s="2" t="s">
        <v>25</v>
      </c>
      <c r="N40" s="2" t="s">
        <v>19</v>
      </c>
      <c r="O40" s="2" t="s">
        <v>12</v>
      </c>
      <c r="P40" s="2" t="s">
        <v>35</v>
      </c>
      <c r="Q40" s="2" t="s">
        <v>30</v>
      </c>
      <c r="R40" s="2" t="s">
        <v>18</v>
      </c>
      <c r="S40">
        <v>2</v>
      </c>
    </row>
    <row r="41" spans="1:19" x14ac:dyDescent="0.3">
      <c r="A41">
        <v>3309</v>
      </c>
      <c r="B41">
        <f>YEAR(Cleaned_HR_Data_Analysis__2[[#This Row],[Joining_Date]])</f>
        <v>2020</v>
      </c>
      <c r="C41" s="1">
        <v>44122</v>
      </c>
      <c r="D41" s="1" t="str" cm="1">
        <f t="array" ref="D41">_xlfn.IFS(E41&lt;28, "17-27",
AND(E41&gt;27, E41&lt;38), "28-37",
AND(E41&gt;37, E41 &lt;48), "38-47",
AND(E41&gt;47, E41 &lt;58), "48-57",
AND(E41&gt;57, E41&lt;68), "58-67",
AND(E41&gt;67, E41&lt;78), "68-77",
E41&gt;77,"Above than 77")</f>
        <v>17-27</v>
      </c>
      <c r="E41">
        <v>20</v>
      </c>
      <c r="F41" s="1">
        <v>36633</v>
      </c>
      <c r="G41" s="1" t="str">
        <f>VLOOKUP(H41,Table7[#All], 2, FALSE)</f>
        <v>Massachusetts</v>
      </c>
      <c r="H41" s="2" t="s">
        <v>14</v>
      </c>
      <c r="I41" s="2" t="s">
        <v>15</v>
      </c>
      <c r="J41" s="2" t="s">
        <v>31</v>
      </c>
      <c r="K41" s="2" t="s">
        <v>8</v>
      </c>
      <c r="L41" s="2" t="s">
        <v>9</v>
      </c>
      <c r="M41" s="2" t="s">
        <v>20</v>
      </c>
      <c r="N41" s="2" t="s">
        <v>26</v>
      </c>
      <c r="O41" s="2" t="s">
        <v>12</v>
      </c>
      <c r="P41" s="2" t="s">
        <v>13</v>
      </c>
      <c r="Q41" s="2" t="s">
        <v>16</v>
      </c>
      <c r="R41" s="2" t="s">
        <v>18</v>
      </c>
      <c r="S41">
        <v>3</v>
      </c>
    </row>
    <row r="42" spans="1:19" x14ac:dyDescent="0.3">
      <c r="A42">
        <v>3106</v>
      </c>
      <c r="B42">
        <f>YEAR(Cleaned_HR_Data_Analysis__2[[#This Row],[Joining_Date]])</f>
        <v>2020</v>
      </c>
      <c r="C42" s="1">
        <v>43911</v>
      </c>
      <c r="D42" s="1" t="str" cm="1">
        <f t="array" ref="D42">_xlfn.IFS(E42&lt;28, "17-27",
AND(E42&gt;27, E42&lt;38), "28-37",
AND(E42&gt;37, E42 &lt;48), "38-47",
AND(E42&gt;47, E42 &lt;58), "48-57",
AND(E42&gt;57, E42&lt;68), "58-67",
AND(E42&gt;67, E42&lt;78), "68-77",
E42&gt;77,"Above than 77")</f>
        <v>17-27</v>
      </c>
      <c r="E42">
        <v>20</v>
      </c>
      <c r="F42" s="1">
        <v>36615</v>
      </c>
      <c r="G42" s="1" t="str">
        <f>VLOOKUP(H42,Table7[#All], 2, FALSE)</f>
        <v>Massachusetts</v>
      </c>
      <c r="H42" s="2" t="s">
        <v>14</v>
      </c>
      <c r="I42" s="2" t="s">
        <v>22</v>
      </c>
      <c r="J42" s="2" t="s">
        <v>40</v>
      </c>
      <c r="K42" s="2" t="s">
        <v>8</v>
      </c>
      <c r="L42" s="2" t="s">
        <v>9</v>
      </c>
      <c r="M42" s="2" t="s">
        <v>20</v>
      </c>
      <c r="N42" s="2" t="s">
        <v>19</v>
      </c>
      <c r="O42" s="2" t="s">
        <v>12</v>
      </c>
      <c r="P42" s="2" t="s">
        <v>35</v>
      </c>
      <c r="Q42" s="2" t="s">
        <v>23</v>
      </c>
      <c r="R42" s="2" t="s">
        <v>18</v>
      </c>
      <c r="S42">
        <v>1</v>
      </c>
    </row>
    <row r="43" spans="1:19" x14ac:dyDescent="0.3">
      <c r="A43">
        <v>3041</v>
      </c>
      <c r="B43">
        <f>YEAR(Cleaned_HR_Data_Analysis__2[[#This Row],[Joining_Date]])</f>
        <v>2020</v>
      </c>
      <c r="C43" s="1">
        <v>44002</v>
      </c>
      <c r="D43" s="1" t="str" cm="1">
        <f t="array" ref="D43">_xlfn.IFS(E43&lt;28, "17-27",
AND(E43&gt;27, E43&lt;38), "28-37",
AND(E43&gt;37, E43 &lt;48), "38-47",
AND(E43&gt;47, E43 &lt;58), "48-57",
AND(E43&gt;57, E43&lt;68), "58-67",
AND(E43&gt;67, E43&lt;78), "68-77",
E43&gt;77,"Above than 77")</f>
        <v>17-27</v>
      </c>
      <c r="E43">
        <v>20</v>
      </c>
      <c r="F43" s="1">
        <v>36638</v>
      </c>
      <c r="G43" s="1" t="str">
        <f>VLOOKUP(H43,Table7[#All], 2, FALSE)</f>
        <v>Massachusetts</v>
      </c>
      <c r="H43" s="2" t="s">
        <v>14</v>
      </c>
      <c r="I43" s="2" t="s">
        <v>15</v>
      </c>
      <c r="J43" s="2" t="s">
        <v>31</v>
      </c>
      <c r="K43" s="2" t="s">
        <v>8</v>
      </c>
      <c r="L43" s="2" t="s">
        <v>9</v>
      </c>
      <c r="M43" s="2" t="s">
        <v>10</v>
      </c>
      <c r="N43" s="2" t="s">
        <v>11</v>
      </c>
      <c r="O43" s="2" t="s">
        <v>12</v>
      </c>
      <c r="P43" s="2" t="s">
        <v>32</v>
      </c>
      <c r="Q43" s="2" t="s">
        <v>16</v>
      </c>
      <c r="R43" s="2" t="s">
        <v>18</v>
      </c>
      <c r="S43">
        <v>5</v>
      </c>
    </row>
    <row r="44" spans="1:19" x14ac:dyDescent="0.3">
      <c r="A44">
        <v>2990</v>
      </c>
      <c r="B44">
        <f>YEAR(Cleaned_HR_Data_Analysis__2[[#This Row],[Joining_Date]])</f>
        <v>2019</v>
      </c>
      <c r="C44" s="1">
        <v>43576</v>
      </c>
      <c r="D44" s="1" t="str" cm="1">
        <f t="array" ref="D44">_xlfn.IFS(E44&lt;28, "17-27",
AND(E44&gt;27, E44&lt;38), "28-37",
AND(E44&gt;37, E44 &lt;48), "38-47",
AND(E44&gt;47, E44 &lt;58), "48-57",
AND(E44&gt;57, E44&lt;68), "58-67",
AND(E44&gt;67, E44&lt;78), "68-77",
E44&gt;77,"Above than 77")</f>
        <v>17-27</v>
      </c>
      <c r="E44">
        <v>20</v>
      </c>
      <c r="F44" s="1">
        <v>36308</v>
      </c>
      <c r="G44" s="1" t="str">
        <f>VLOOKUP(H44,Table7[#All], 2, FALSE)</f>
        <v>Massachusetts</v>
      </c>
      <c r="H44" s="2" t="s">
        <v>14</v>
      </c>
      <c r="I44" s="2" t="s">
        <v>15</v>
      </c>
      <c r="J44" s="2" t="s">
        <v>31</v>
      </c>
      <c r="K44" s="2" t="s">
        <v>8</v>
      </c>
      <c r="L44" s="2" t="s">
        <v>9</v>
      </c>
      <c r="M44" s="2" t="s">
        <v>25</v>
      </c>
      <c r="N44" s="2" t="s">
        <v>11</v>
      </c>
      <c r="O44" s="2" t="s">
        <v>12</v>
      </c>
      <c r="P44" s="2" t="s">
        <v>32</v>
      </c>
      <c r="Q44" s="2" t="s">
        <v>16</v>
      </c>
      <c r="R44" s="2" t="s">
        <v>18</v>
      </c>
      <c r="S44">
        <v>2</v>
      </c>
    </row>
    <row r="45" spans="1:19" x14ac:dyDescent="0.3">
      <c r="A45">
        <v>2956</v>
      </c>
      <c r="B45">
        <f>YEAR(Cleaned_HR_Data_Analysis__2[[#This Row],[Joining_Date]])</f>
        <v>2019</v>
      </c>
      <c r="C45" s="1">
        <v>43780</v>
      </c>
      <c r="D45" s="1" t="str" cm="1">
        <f t="array" ref="D45">_xlfn.IFS(E45&lt;28, "17-27",
AND(E45&gt;27, E45&lt;38), "28-37",
AND(E45&gt;37, E45 &lt;48), "38-47",
AND(E45&gt;47, E45 &lt;58), "48-57",
AND(E45&gt;57, E45&lt;68), "58-67",
AND(E45&gt;67, E45&lt;78), "68-77",
E45&gt;77,"Above than 77")</f>
        <v>17-27</v>
      </c>
      <c r="E45">
        <v>20</v>
      </c>
      <c r="F45" s="1">
        <v>36509</v>
      </c>
      <c r="G45" s="1" t="str">
        <f>VLOOKUP(H45,Table7[#All], 2, FALSE)</f>
        <v>Massachusetts</v>
      </c>
      <c r="H45" s="2" t="s">
        <v>14</v>
      </c>
      <c r="I45" s="2" t="s">
        <v>22</v>
      </c>
      <c r="J45" s="2" t="s">
        <v>17</v>
      </c>
      <c r="K45" s="2" t="s">
        <v>8</v>
      </c>
      <c r="L45" s="2" t="s">
        <v>9</v>
      </c>
      <c r="M45" s="2" t="s">
        <v>20</v>
      </c>
      <c r="N45" s="2" t="s">
        <v>11</v>
      </c>
      <c r="O45" s="2" t="s">
        <v>12</v>
      </c>
      <c r="P45" s="2" t="s">
        <v>42</v>
      </c>
      <c r="Q45" s="2" t="s">
        <v>23</v>
      </c>
      <c r="R45" s="2" t="s">
        <v>18</v>
      </c>
      <c r="S45">
        <v>4</v>
      </c>
    </row>
    <row r="46" spans="1:19" x14ac:dyDescent="0.3">
      <c r="A46">
        <v>2085</v>
      </c>
      <c r="B46">
        <f>YEAR(Cleaned_HR_Data_Analysis__2[[#This Row],[Joining_Date]])</f>
        <v>2019</v>
      </c>
      <c r="C46" s="1">
        <v>43590</v>
      </c>
      <c r="D46" s="1" t="str" cm="1">
        <f t="array" ref="D46">_xlfn.IFS(E46&lt;28, "17-27",
AND(E46&gt;27, E46&lt;38), "28-37",
AND(E46&gt;37, E46 &lt;48), "38-47",
AND(E46&gt;47, E46 &lt;58), "48-57",
AND(E46&gt;57, E46&lt;68), "58-67",
AND(E46&gt;67, E46&lt;78), "68-77",
E46&gt;77,"Above than 77")</f>
        <v>17-27</v>
      </c>
      <c r="E46">
        <v>20</v>
      </c>
      <c r="F46" s="1">
        <v>36353</v>
      </c>
      <c r="G46" s="1" t="str">
        <f>VLOOKUP(H46,Table7[#All], 2, FALSE)</f>
        <v>Massachusetts</v>
      </c>
      <c r="H46" s="2" t="s">
        <v>14</v>
      </c>
      <c r="I46" s="2" t="s">
        <v>15</v>
      </c>
      <c r="J46" s="2" t="s">
        <v>34</v>
      </c>
      <c r="K46" s="2" t="s">
        <v>8</v>
      </c>
      <c r="L46" s="2" t="s">
        <v>9</v>
      </c>
      <c r="M46" s="2" t="s">
        <v>10</v>
      </c>
      <c r="N46" s="2" t="s">
        <v>11</v>
      </c>
      <c r="O46" s="2" t="s">
        <v>12</v>
      </c>
      <c r="P46" s="2" t="s">
        <v>42</v>
      </c>
      <c r="Q46" s="2" t="s">
        <v>46</v>
      </c>
      <c r="R46" s="2" t="s">
        <v>18</v>
      </c>
      <c r="S46">
        <v>4</v>
      </c>
    </row>
    <row r="47" spans="1:19" x14ac:dyDescent="0.3">
      <c r="A47">
        <v>2004</v>
      </c>
      <c r="B47">
        <f>YEAR(Cleaned_HR_Data_Analysis__2[[#This Row],[Joining_Date]])</f>
        <v>2021</v>
      </c>
      <c r="C47" s="1">
        <v>44311</v>
      </c>
      <c r="D47" s="1" t="str" cm="1">
        <f t="array" ref="D47">_xlfn.IFS(E47&lt;28, "17-27",
AND(E47&gt;27, E47&lt;38), "28-37",
AND(E47&gt;37, E47 &lt;48), "38-47",
AND(E47&gt;47, E47 &lt;58), "48-57",
AND(E47&gt;57, E47&lt;68), "58-67",
AND(E47&gt;67, E47&lt;78), "68-77",
E47&gt;77,"Above than 77")</f>
        <v>17-27</v>
      </c>
      <c r="E47">
        <v>20</v>
      </c>
      <c r="F47" s="1">
        <v>36986</v>
      </c>
      <c r="G47" s="1" t="str">
        <f>VLOOKUP(H47,Table7[#All], 2, FALSE)</f>
        <v>Massachusetts</v>
      </c>
      <c r="H47" s="2" t="s">
        <v>14</v>
      </c>
      <c r="I47" s="2" t="s">
        <v>15</v>
      </c>
      <c r="J47" s="2" t="s">
        <v>40</v>
      </c>
      <c r="K47" s="2" t="s">
        <v>8</v>
      </c>
      <c r="L47" s="2" t="s">
        <v>9</v>
      </c>
      <c r="M47" s="2" t="s">
        <v>10</v>
      </c>
      <c r="N47" s="2" t="s">
        <v>26</v>
      </c>
      <c r="O47" s="2" t="s">
        <v>12</v>
      </c>
      <c r="P47" s="2" t="s">
        <v>42</v>
      </c>
      <c r="Q47" s="2" t="s">
        <v>30</v>
      </c>
      <c r="R47" s="2" t="s">
        <v>18</v>
      </c>
      <c r="S47">
        <v>3</v>
      </c>
    </row>
    <row r="48" spans="1:19" x14ac:dyDescent="0.3">
      <c r="A48">
        <v>1486</v>
      </c>
      <c r="B48">
        <f>YEAR(Cleaned_HR_Data_Analysis__2[[#This Row],[Joining_Date]])</f>
        <v>2019</v>
      </c>
      <c r="C48" s="1">
        <v>43531</v>
      </c>
      <c r="D48" s="1" t="str" cm="1">
        <f t="array" ref="D48">_xlfn.IFS(E48&lt;28, "17-27",
AND(E48&gt;27, E48&lt;38), "28-37",
AND(E48&gt;37, E48 &lt;48), "38-47",
AND(E48&gt;47, E48 &lt;58), "48-57",
AND(E48&gt;57, E48&lt;68), "58-67",
AND(E48&gt;67, E48&lt;78), "68-77",
E48&gt;77,"Above than 77")</f>
        <v>17-27</v>
      </c>
      <c r="E48">
        <v>20</v>
      </c>
      <c r="F48" s="1">
        <v>36293</v>
      </c>
      <c r="G48" s="1" t="str">
        <f>VLOOKUP(H48,Table7[#All], 2, FALSE)</f>
        <v>Massachusetts</v>
      </c>
      <c r="H48" s="2" t="s">
        <v>14</v>
      </c>
      <c r="I48" s="2" t="s">
        <v>15</v>
      </c>
      <c r="J48" s="2" t="s">
        <v>40</v>
      </c>
      <c r="K48" s="2" t="s">
        <v>8</v>
      </c>
      <c r="L48" s="2" t="s">
        <v>9</v>
      </c>
      <c r="M48" s="2" t="s">
        <v>20</v>
      </c>
      <c r="N48" s="2" t="s">
        <v>19</v>
      </c>
      <c r="O48" s="2" t="s">
        <v>12</v>
      </c>
      <c r="P48" s="2" t="s">
        <v>42</v>
      </c>
      <c r="Q48" s="2" t="s">
        <v>23</v>
      </c>
      <c r="R48" s="2" t="s">
        <v>18</v>
      </c>
      <c r="S48">
        <v>5</v>
      </c>
    </row>
    <row r="49" spans="1:19" x14ac:dyDescent="0.3">
      <c r="A49">
        <v>2469</v>
      </c>
      <c r="B49">
        <f>YEAR(Cleaned_HR_Data_Analysis__2[[#This Row],[Joining_Date]])</f>
        <v>2021</v>
      </c>
      <c r="C49" s="1">
        <v>44527</v>
      </c>
      <c r="D49" s="1" t="str" cm="1">
        <f t="array" ref="D49">_xlfn.IFS(E49&lt;28, "17-27",
AND(E49&gt;27, E49&lt;38), "28-37",
AND(E49&gt;37, E49 &lt;48), "38-47",
AND(E49&gt;47, E49 &lt;58), "48-57",
AND(E49&gt;57, E49&lt;68), "58-67",
AND(E49&gt;67, E49&lt;78), "68-77",
E49&gt;77,"Above than 77")</f>
        <v>17-27</v>
      </c>
      <c r="E49">
        <v>20</v>
      </c>
      <c r="F49" s="1">
        <v>36926</v>
      </c>
      <c r="G49" s="1" t="str">
        <f>VLOOKUP(H49,Table7[#All], 2, FALSE)</f>
        <v>Massachusetts</v>
      </c>
      <c r="H49" s="2" t="s">
        <v>14</v>
      </c>
      <c r="I49" s="2" t="s">
        <v>22</v>
      </c>
      <c r="J49" s="2" t="s">
        <v>40</v>
      </c>
      <c r="K49" s="2" t="s">
        <v>91</v>
      </c>
      <c r="L49" s="2" t="s">
        <v>9</v>
      </c>
      <c r="M49" s="2" t="s">
        <v>20</v>
      </c>
      <c r="N49" s="2" t="s">
        <v>11</v>
      </c>
      <c r="O49" s="2" t="s">
        <v>12</v>
      </c>
      <c r="P49" s="2" t="s">
        <v>35</v>
      </c>
      <c r="Q49" s="2" t="s">
        <v>23</v>
      </c>
      <c r="R49" s="2" t="s">
        <v>18</v>
      </c>
      <c r="S49">
        <v>1</v>
      </c>
    </row>
    <row r="50" spans="1:19" x14ac:dyDescent="0.3">
      <c r="A50">
        <v>2429</v>
      </c>
      <c r="B50">
        <f>YEAR(Cleaned_HR_Data_Analysis__2[[#This Row],[Joining_Date]])</f>
        <v>2019</v>
      </c>
      <c r="C50" s="1">
        <v>43574</v>
      </c>
      <c r="D50" s="1" t="str" cm="1">
        <f t="array" ref="D50">_xlfn.IFS(E50&lt;28, "17-27",
AND(E50&gt;27, E50&lt;38), "28-37",
AND(E50&gt;37, E50 &lt;48), "38-47",
AND(E50&gt;47, E50 &lt;58), "48-57",
AND(E50&gt;57, E50&lt;68), "58-67",
AND(E50&gt;67, E50&lt;78), "68-77",
E50&gt;77,"Above than 77")</f>
        <v>17-27</v>
      </c>
      <c r="E50">
        <v>20</v>
      </c>
      <c r="F50" s="1">
        <v>36281</v>
      </c>
      <c r="G50" s="1" t="str">
        <f>VLOOKUP(H50,Table7[#All], 2, FALSE)</f>
        <v>Massachusetts</v>
      </c>
      <c r="H50" s="2" t="s">
        <v>14</v>
      </c>
      <c r="I50" s="2" t="s">
        <v>22</v>
      </c>
      <c r="J50" s="2" t="s">
        <v>17</v>
      </c>
      <c r="K50" s="2" t="s">
        <v>91</v>
      </c>
      <c r="L50" s="2" t="s">
        <v>9</v>
      </c>
      <c r="M50" s="2" t="s">
        <v>20</v>
      </c>
      <c r="N50" s="2" t="s">
        <v>11</v>
      </c>
      <c r="O50" s="2" t="s">
        <v>12</v>
      </c>
      <c r="P50" s="2" t="s">
        <v>35</v>
      </c>
      <c r="Q50" s="2" t="s">
        <v>37</v>
      </c>
      <c r="R50" s="2" t="s">
        <v>18</v>
      </c>
      <c r="S50">
        <v>4</v>
      </c>
    </row>
    <row r="51" spans="1:19" x14ac:dyDescent="0.3">
      <c r="A51">
        <v>2419</v>
      </c>
      <c r="B51">
        <f>YEAR(Cleaned_HR_Data_Analysis__2[[#This Row],[Joining_Date]])</f>
        <v>2020</v>
      </c>
      <c r="C51" s="1">
        <v>43922</v>
      </c>
      <c r="D51" s="1" t="str" cm="1">
        <f t="array" ref="D51">_xlfn.IFS(E51&lt;28, "17-27",
AND(E51&gt;27, E51&lt;38), "28-37",
AND(E51&gt;37, E51 &lt;48), "38-47",
AND(E51&gt;47, E51 &lt;58), "48-57",
AND(E51&gt;57, E51&lt;68), "58-67",
AND(E51&gt;67, E51&lt;78), "68-77",
E51&gt;77,"Above than 77")</f>
        <v>17-27</v>
      </c>
      <c r="E51">
        <v>20</v>
      </c>
      <c r="F51" s="1">
        <v>36754</v>
      </c>
      <c r="G51" s="1" t="str">
        <f>VLOOKUP(H51,Table7[#All], 2, FALSE)</f>
        <v>Massachusetts</v>
      </c>
      <c r="H51" s="2" t="s">
        <v>14</v>
      </c>
      <c r="I51" s="2" t="s">
        <v>15</v>
      </c>
      <c r="J51" s="2" t="s">
        <v>34</v>
      </c>
      <c r="K51" s="2" t="s">
        <v>91</v>
      </c>
      <c r="L51" s="2" t="s">
        <v>9</v>
      </c>
      <c r="M51" s="2" t="s">
        <v>20</v>
      </c>
      <c r="N51" s="2" t="s">
        <v>19</v>
      </c>
      <c r="O51" s="2" t="s">
        <v>12</v>
      </c>
      <c r="P51" s="2" t="s">
        <v>59</v>
      </c>
      <c r="Q51" s="2" t="s">
        <v>16</v>
      </c>
      <c r="R51" s="2" t="s">
        <v>18</v>
      </c>
      <c r="S51">
        <v>2</v>
      </c>
    </row>
    <row r="52" spans="1:19" x14ac:dyDescent="0.3">
      <c r="A52">
        <v>2340</v>
      </c>
      <c r="B52">
        <f>YEAR(Cleaned_HR_Data_Analysis__2[[#This Row],[Joining_Date]])</f>
        <v>2021</v>
      </c>
      <c r="C52" s="1">
        <v>44272</v>
      </c>
      <c r="D52" s="1" t="str" cm="1">
        <f t="array" ref="D52">_xlfn.IFS(E52&lt;28, "17-27",
AND(E52&gt;27, E52&lt;38), "28-37",
AND(E52&gt;37, E52 &lt;48), "38-47",
AND(E52&gt;47, E52 &lt;58), "48-57",
AND(E52&gt;57, E52&lt;68), "58-67",
AND(E52&gt;67, E52&lt;78), "68-77",
E52&gt;77,"Above than 77")</f>
        <v>17-27</v>
      </c>
      <c r="E52">
        <v>20</v>
      </c>
      <c r="F52" s="1">
        <v>36949</v>
      </c>
      <c r="G52" s="1" t="str">
        <f>VLOOKUP(H52,Table7[#All], 2, FALSE)</f>
        <v>Massachusetts</v>
      </c>
      <c r="H52" s="2" t="s">
        <v>14</v>
      </c>
      <c r="I52" s="2" t="s">
        <v>15</v>
      </c>
      <c r="J52" s="2" t="s">
        <v>31</v>
      </c>
      <c r="K52" s="2" t="s">
        <v>91</v>
      </c>
      <c r="L52" s="2" t="s">
        <v>66</v>
      </c>
      <c r="M52" s="2" t="s">
        <v>10</v>
      </c>
      <c r="N52" s="2" t="s">
        <v>19</v>
      </c>
      <c r="O52" s="2" t="s">
        <v>12</v>
      </c>
      <c r="P52" s="2" t="s">
        <v>32</v>
      </c>
      <c r="Q52" s="2" t="s">
        <v>16</v>
      </c>
      <c r="R52" s="2" t="s">
        <v>18</v>
      </c>
      <c r="S52">
        <v>5</v>
      </c>
    </row>
    <row r="53" spans="1:19" x14ac:dyDescent="0.3">
      <c r="A53">
        <v>2209</v>
      </c>
      <c r="B53">
        <f>YEAR(Cleaned_HR_Data_Analysis__2[[#This Row],[Joining_Date]])</f>
        <v>2020</v>
      </c>
      <c r="C53" s="1">
        <v>43935</v>
      </c>
      <c r="D53" s="1" t="str" cm="1">
        <f t="array" ref="D53">_xlfn.IFS(E53&lt;28, "17-27",
AND(E53&gt;27, E53&lt;38), "28-37",
AND(E53&gt;37, E53 &lt;48), "38-47",
AND(E53&gt;47, E53 &lt;58), "48-57",
AND(E53&gt;57, E53&lt;68), "58-67",
AND(E53&gt;67, E53&lt;78), "68-77",
E53&gt;77,"Above than 77")</f>
        <v>17-27</v>
      </c>
      <c r="E53">
        <v>20</v>
      </c>
      <c r="F53" s="1">
        <v>36768</v>
      </c>
      <c r="G53" s="1" t="str">
        <f>VLOOKUP(H53,Table7[#All], 2, FALSE)</f>
        <v>Massachusetts</v>
      </c>
      <c r="H53" s="2" t="s">
        <v>14</v>
      </c>
      <c r="I53" s="2" t="s">
        <v>22</v>
      </c>
      <c r="J53" s="2" t="s">
        <v>17</v>
      </c>
      <c r="K53" s="2" t="s">
        <v>70</v>
      </c>
      <c r="L53" s="2" t="s">
        <v>9</v>
      </c>
      <c r="M53" s="2" t="s">
        <v>20</v>
      </c>
      <c r="N53" s="2" t="s">
        <v>11</v>
      </c>
      <c r="O53" s="2" t="s">
        <v>53</v>
      </c>
      <c r="P53" s="2" t="s">
        <v>59</v>
      </c>
      <c r="Q53" s="2" t="s">
        <v>37</v>
      </c>
      <c r="R53" s="2" t="s">
        <v>56</v>
      </c>
      <c r="S53">
        <v>2</v>
      </c>
    </row>
    <row r="54" spans="1:19" x14ac:dyDescent="0.3">
      <c r="A54">
        <v>2274</v>
      </c>
      <c r="B54">
        <f>YEAR(Cleaned_HR_Data_Analysis__2[[#This Row],[Joining_Date]])</f>
        <v>2020</v>
      </c>
      <c r="C54" s="1">
        <v>43879</v>
      </c>
      <c r="D54" s="1" t="str" cm="1">
        <f t="array" ref="D54">_xlfn.IFS(E54&lt;28, "17-27",
AND(E54&gt;27, E54&lt;38), "28-37",
AND(E54&gt;37, E54 &lt;48), "38-47",
AND(E54&gt;47, E54 &lt;58), "48-57",
AND(E54&gt;57, E54&lt;68), "58-67",
AND(E54&gt;67, E54&lt;78), "68-77",
E54&gt;77,"Above than 77")</f>
        <v>17-27</v>
      </c>
      <c r="E54">
        <v>20</v>
      </c>
      <c r="F54" s="1">
        <v>36548</v>
      </c>
      <c r="G54" s="1" t="str">
        <f>VLOOKUP(H54,Table7[#All], 2, FALSE)</f>
        <v>Massachusetts</v>
      </c>
      <c r="H54" s="2" t="s">
        <v>14</v>
      </c>
      <c r="I54" s="2" t="s">
        <v>22</v>
      </c>
      <c r="J54" s="2" t="s">
        <v>17</v>
      </c>
      <c r="K54" s="2" t="s">
        <v>101</v>
      </c>
      <c r="L54" s="2" t="s">
        <v>9</v>
      </c>
      <c r="M54" s="2" t="s">
        <v>25</v>
      </c>
      <c r="N54" s="2" t="s">
        <v>19</v>
      </c>
      <c r="O54" s="2" t="s">
        <v>53</v>
      </c>
      <c r="P54" s="2" t="s">
        <v>21</v>
      </c>
      <c r="Q54" s="2" t="s">
        <v>30</v>
      </c>
      <c r="R54" s="2" t="s">
        <v>18</v>
      </c>
      <c r="S54">
        <v>5</v>
      </c>
    </row>
    <row r="55" spans="1:19" x14ac:dyDescent="0.3">
      <c r="A55">
        <v>2498</v>
      </c>
      <c r="B55">
        <f>YEAR(Cleaned_HR_Data_Analysis__2[[#This Row],[Joining_Date]])</f>
        <v>2019</v>
      </c>
      <c r="C55" s="1">
        <v>43755</v>
      </c>
      <c r="D55" s="1" t="str" cm="1">
        <f t="array" ref="D55">_xlfn.IFS(E55&lt;28, "17-27",
AND(E55&gt;27, E55&lt;38), "28-37",
AND(E55&gt;37, E55 &lt;48), "38-47",
AND(E55&gt;47, E55 &lt;58), "48-57",
AND(E55&gt;57, E55&lt;68), "58-67",
AND(E55&gt;67, E55&lt;78), "68-77",
E55&gt;77,"Above than 77")</f>
        <v>17-27</v>
      </c>
      <c r="E55">
        <v>20</v>
      </c>
      <c r="F55" s="1">
        <v>36411</v>
      </c>
      <c r="G55" s="1" t="str">
        <f>VLOOKUP(H55,Table7[#All], 2, FALSE)</f>
        <v>Massachusetts</v>
      </c>
      <c r="H55" s="2" t="s">
        <v>14</v>
      </c>
      <c r="I55" s="2" t="s">
        <v>15</v>
      </c>
      <c r="J55" s="2" t="s">
        <v>40</v>
      </c>
      <c r="K55" s="2" t="s">
        <v>97</v>
      </c>
      <c r="L55" s="2" t="s">
        <v>66</v>
      </c>
      <c r="M55" s="2" t="s">
        <v>25</v>
      </c>
      <c r="N55" s="2" t="s">
        <v>19</v>
      </c>
      <c r="O55" s="2" t="s">
        <v>53</v>
      </c>
      <c r="P55" s="2" t="s">
        <v>35</v>
      </c>
      <c r="Q55" s="2" t="s">
        <v>46</v>
      </c>
      <c r="R55" s="2" t="s">
        <v>18</v>
      </c>
      <c r="S55">
        <v>3</v>
      </c>
    </row>
    <row r="56" spans="1:19" x14ac:dyDescent="0.3">
      <c r="A56">
        <v>2585</v>
      </c>
      <c r="B56">
        <f>YEAR(Cleaned_HR_Data_Analysis__2[[#This Row],[Joining_Date]])</f>
        <v>2021</v>
      </c>
      <c r="C56" s="1">
        <v>44351</v>
      </c>
      <c r="D56" s="1" t="str" cm="1">
        <f t="array" ref="D56">_xlfn.IFS(E56&lt;28, "17-27",
AND(E56&gt;27, E56&lt;38), "28-37",
AND(E56&gt;37, E56 &lt;48), "38-47",
AND(E56&gt;47, E56 &lt;58), "48-57",
AND(E56&gt;57, E56&lt;68), "58-67",
AND(E56&gt;67, E56&lt;78), "68-77",
E56&gt;77,"Above than 77")</f>
        <v>17-27</v>
      </c>
      <c r="E56">
        <v>20</v>
      </c>
      <c r="F56" s="1">
        <v>37032</v>
      </c>
      <c r="G56" s="1" t="str">
        <f>VLOOKUP(H56,Table7[#All], 2, FALSE)</f>
        <v>Tennessee</v>
      </c>
      <c r="H56" s="2" t="s">
        <v>120</v>
      </c>
      <c r="I56" s="2" t="s">
        <v>22</v>
      </c>
      <c r="J56" s="2" t="s">
        <v>40</v>
      </c>
      <c r="K56" s="2" t="s">
        <v>24</v>
      </c>
      <c r="L56" s="2" t="s">
        <v>9</v>
      </c>
      <c r="M56" s="2" t="s">
        <v>10</v>
      </c>
      <c r="N56" s="2" t="s">
        <v>19</v>
      </c>
      <c r="O56" s="2" t="s">
        <v>27</v>
      </c>
      <c r="P56" s="2" t="s">
        <v>32</v>
      </c>
      <c r="Q56" s="2" t="s">
        <v>46</v>
      </c>
      <c r="R56" s="2" t="s">
        <v>18</v>
      </c>
      <c r="S56">
        <v>1</v>
      </c>
    </row>
    <row r="57" spans="1:19" x14ac:dyDescent="0.3">
      <c r="A57">
        <v>3464</v>
      </c>
      <c r="B57">
        <f>YEAR(Cleaned_HR_Data_Analysis__2[[#This Row],[Joining_Date]])</f>
        <v>2018</v>
      </c>
      <c r="C57" s="1">
        <v>43437</v>
      </c>
      <c r="D57" s="1" t="str" cm="1">
        <f t="array" ref="D57">_xlfn.IFS(E57&lt;28, "17-27",
AND(E57&gt;27, E57&lt;38), "28-37",
AND(E57&gt;37, E57 &lt;48), "38-47",
AND(E57&gt;47, E57 &lt;58), "48-57",
AND(E57&gt;57, E57&lt;68), "58-67",
AND(E57&gt;67, E57&lt;78), "68-77",
E57&gt;77,"Above than 77")</f>
        <v>17-27</v>
      </c>
      <c r="E57">
        <v>20</v>
      </c>
      <c r="F57" s="1">
        <v>35963</v>
      </c>
      <c r="G57" s="1" t="str">
        <f>VLOOKUP(H57,Table7[#All], 2, FALSE)</f>
        <v>Massachusetts</v>
      </c>
      <c r="H57" s="2" t="s">
        <v>14</v>
      </c>
      <c r="I57" s="2" t="s">
        <v>22</v>
      </c>
      <c r="J57" s="2" t="s">
        <v>17</v>
      </c>
      <c r="K57" s="2" t="s">
        <v>24</v>
      </c>
      <c r="L57" s="2" t="s">
        <v>9</v>
      </c>
      <c r="M57" s="2" t="s">
        <v>10</v>
      </c>
      <c r="N57" s="2" t="s">
        <v>26</v>
      </c>
      <c r="O57" s="2" t="s">
        <v>27</v>
      </c>
      <c r="P57" s="2" t="s">
        <v>58</v>
      </c>
      <c r="Q57" s="2" t="s">
        <v>37</v>
      </c>
      <c r="R57" s="2" t="s">
        <v>56</v>
      </c>
      <c r="S57">
        <v>5</v>
      </c>
    </row>
    <row r="58" spans="1:19" x14ac:dyDescent="0.3">
      <c r="A58">
        <v>2603</v>
      </c>
      <c r="B58">
        <f>YEAR(Cleaned_HR_Data_Analysis__2[[#This Row],[Joining_Date]])</f>
        <v>2019</v>
      </c>
      <c r="C58" s="1">
        <v>43529</v>
      </c>
      <c r="D58" s="1" t="str" cm="1">
        <f t="array" ref="D58">_xlfn.IFS(E58&lt;28, "17-27",
AND(E58&gt;27, E58&lt;38), "28-37",
AND(E58&gt;37, E58 &lt;48), "38-47",
AND(E58&gt;47, E58 &lt;58), "48-57",
AND(E58&gt;57, E58&lt;68), "58-67",
AND(E58&gt;67, E58&lt;78), "68-77",
E58&gt;77,"Above than 77")</f>
        <v>17-27</v>
      </c>
      <c r="E58">
        <v>20</v>
      </c>
      <c r="F58" s="1">
        <v>36319</v>
      </c>
      <c r="G58" s="1" t="str">
        <f>VLOOKUP(H58,Table7[#All], 2, FALSE)</f>
        <v>Massachusetts</v>
      </c>
      <c r="H58" s="2" t="s">
        <v>14</v>
      </c>
      <c r="I58" s="2" t="s">
        <v>22</v>
      </c>
      <c r="J58" s="2" t="s">
        <v>40</v>
      </c>
      <c r="K58" s="2" t="s">
        <v>24</v>
      </c>
      <c r="L58" s="2" t="s">
        <v>9</v>
      </c>
      <c r="M58" s="2" t="s">
        <v>20</v>
      </c>
      <c r="N58" s="2" t="s">
        <v>19</v>
      </c>
      <c r="O58" s="2" t="s">
        <v>27</v>
      </c>
      <c r="P58" s="2" t="s">
        <v>49</v>
      </c>
      <c r="Q58" s="2" t="s">
        <v>30</v>
      </c>
      <c r="R58" s="2" t="s">
        <v>18</v>
      </c>
      <c r="S58">
        <v>1</v>
      </c>
    </row>
    <row r="59" spans="1:19" x14ac:dyDescent="0.3">
      <c r="A59">
        <v>3839</v>
      </c>
      <c r="B59">
        <f>YEAR(Cleaned_HR_Data_Analysis__2[[#This Row],[Joining_Date]])</f>
        <v>2021</v>
      </c>
      <c r="C59" s="1">
        <v>44480</v>
      </c>
      <c r="D59" s="1" t="str" cm="1">
        <f t="array" ref="D59">_xlfn.IFS(E59&lt;28, "17-27",
AND(E59&gt;27, E59&lt;38), "28-37",
AND(E59&gt;37, E59 &lt;48), "38-47",
AND(E59&gt;47, E59 &lt;58), "48-57",
AND(E59&gt;57, E59&lt;68), "58-67",
AND(E59&gt;67, E59&lt;78), "68-77",
E59&gt;77,"Above than 77")</f>
        <v>17-27</v>
      </c>
      <c r="E59">
        <v>21</v>
      </c>
      <c r="F59" s="1">
        <v>36796</v>
      </c>
      <c r="G59" s="1" t="str">
        <f>VLOOKUP(H59,Table7[#All], 2, FALSE)</f>
        <v>Massachusetts</v>
      </c>
      <c r="H59" s="2" t="s">
        <v>14</v>
      </c>
      <c r="I59" s="2" t="s">
        <v>22</v>
      </c>
      <c r="J59" s="2" t="s">
        <v>40</v>
      </c>
      <c r="K59" s="2" t="s">
        <v>72</v>
      </c>
      <c r="L59" s="2" t="s">
        <v>9</v>
      </c>
      <c r="M59" s="2" t="s">
        <v>10</v>
      </c>
      <c r="N59" s="2" t="s">
        <v>26</v>
      </c>
      <c r="O59" s="2" t="s">
        <v>53</v>
      </c>
      <c r="P59" s="2" t="s">
        <v>32</v>
      </c>
      <c r="Q59" s="2" t="s">
        <v>23</v>
      </c>
      <c r="R59" s="2" t="s">
        <v>65</v>
      </c>
      <c r="S59">
        <v>3</v>
      </c>
    </row>
    <row r="60" spans="1:19" x14ac:dyDescent="0.3">
      <c r="A60">
        <v>1359</v>
      </c>
      <c r="B60">
        <f>YEAR(Cleaned_HR_Data_Analysis__2[[#This Row],[Joining_Date]])</f>
        <v>2019</v>
      </c>
      <c r="C60" s="1">
        <v>43491</v>
      </c>
      <c r="D60" s="1" t="str" cm="1">
        <f t="array" ref="D60">_xlfn.IFS(E60&lt;28, "17-27",
AND(E60&gt;27, E60&lt;38), "28-37",
AND(E60&gt;37, E60 &lt;48), "38-47",
AND(E60&gt;47, E60 &lt;58), "48-57",
AND(E60&gt;57, E60&lt;68), "58-67",
AND(E60&gt;67, E60&lt;78), "68-77",
E60&gt;77,"Above than 77")</f>
        <v>17-27</v>
      </c>
      <c r="E60">
        <v>21</v>
      </c>
      <c r="F60" s="1">
        <v>35873</v>
      </c>
      <c r="G60" s="1" t="str">
        <f>VLOOKUP(H60,Table7[#All], 2, FALSE)</f>
        <v>Massachusetts</v>
      </c>
      <c r="H60" s="2" t="s">
        <v>14</v>
      </c>
      <c r="I60" s="2" t="s">
        <v>22</v>
      </c>
      <c r="J60" s="2" t="s">
        <v>34</v>
      </c>
      <c r="K60" s="2" t="s">
        <v>72</v>
      </c>
      <c r="L60" s="2" t="s">
        <v>9</v>
      </c>
      <c r="M60" s="2" t="s">
        <v>25</v>
      </c>
      <c r="N60" s="2" t="s">
        <v>19</v>
      </c>
      <c r="O60" s="2" t="s">
        <v>90</v>
      </c>
      <c r="P60" s="2" t="s">
        <v>60</v>
      </c>
      <c r="Q60" s="2" t="s">
        <v>46</v>
      </c>
      <c r="R60" s="2" t="s">
        <v>18</v>
      </c>
      <c r="S60">
        <v>5</v>
      </c>
    </row>
    <row r="61" spans="1:19" x14ac:dyDescent="0.3">
      <c r="A61">
        <v>3963</v>
      </c>
      <c r="B61">
        <f>YEAR(Cleaned_HR_Data_Analysis__2[[#This Row],[Joining_Date]])</f>
        <v>2019</v>
      </c>
      <c r="C61" s="1">
        <v>43707</v>
      </c>
      <c r="D61" s="1" t="str" cm="1">
        <f t="array" ref="D61">_xlfn.IFS(E61&lt;28, "17-27",
AND(E61&gt;27, E61&lt;38), "28-37",
AND(E61&gt;37, E61 &lt;48), "38-47",
AND(E61&gt;47, E61 &lt;58), "48-57",
AND(E61&gt;57, E61&lt;68), "58-67",
AND(E61&gt;67, E61&lt;78), "68-77",
E61&gt;77,"Above than 77")</f>
        <v>17-27</v>
      </c>
      <c r="E61">
        <v>21</v>
      </c>
      <c r="F61" s="1">
        <v>35934</v>
      </c>
      <c r="G61" s="1" t="str">
        <f>VLOOKUP(H61,Table7[#All], 2, FALSE)</f>
        <v>Massachusetts</v>
      </c>
      <c r="H61" s="2" t="s">
        <v>14</v>
      </c>
      <c r="I61" s="2" t="s">
        <v>15</v>
      </c>
      <c r="J61" s="2" t="s">
        <v>17</v>
      </c>
      <c r="K61" s="2" t="s">
        <v>84</v>
      </c>
      <c r="L61" s="2" t="s">
        <v>9</v>
      </c>
      <c r="M61" s="2" t="s">
        <v>20</v>
      </c>
      <c r="N61" s="2" t="s">
        <v>26</v>
      </c>
      <c r="O61" s="2" t="s">
        <v>53</v>
      </c>
      <c r="P61" s="2" t="s">
        <v>35</v>
      </c>
      <c r="Q61" s="2" t="s">
        <v>37</v>
      </c>
      <c r="R61" s="2" t="s">
        <v>18</v>
      </c>
      <c r="S61">
        <v>1</v>
      </c>
    </row>
    <row r="62" spans="1:19" x14ac:dyDescent="0.3">
      <c r="A62">
        <v>1073</v>
      </c>
      <c r="B62">
        <f>YEAR(Cleaned_HR_Data_Analysis__2[[#This Row],[Joining_Date]])</f>
        <v>2019</v>
      </c>
      <c r="C62" s="1">
        <v>43596</v>
      </c>
      <c r="D62" s="1" t="str" cm="1">
        <f t="array" ref="D62">_xlfn.IFS(E62&lt;28, "17-27",
AND(E62&gt;27, E62&lt;38), "28-37",
AND(E62&gt;37, E62 &lt;48), "38-47",
AND(E62&gt;47, E62 &lt;58), "48-57",
AND(E62&gt;57, E62&lt;68), "58-67",
AND(E62&gt;67, E62&lt;78), "68-77",
E62&gt;77,"Above than 77")</f>
        <v>17-27</v>
      </c>
      <c r="E62">
        <v>21</v>
      </c>
      <c r="F62" s="1">
        <v>36062</v>
      </c>
      <c r="G62" s="1" t="str">
        <f>VLOOKUP(H62,Table7[#All], 2, FALSE)</f>
        <v>Massachusetts</v>
      </c>
      <c r="H62" s="2" t="s">
        <v>14</v>
      </c>
      <c r="I62" s="2" t="s">
        <v>22</v>
      </c>
      <c r="J62" s="2" t="s">
        <v>31</v>
      </c>
      <c r="K62" s="2" t="s">
        <v>86</v>
      </c>
      <c r="L62" s="2" t="s">
        <v>9</v>
      </c>
      <c r="M62" s="2" t="s">
        <v>25</v>
      </c>
      <c r="N62" s="2" t="s">
        <v>19</v>
      </c>
      <c r="O62" s="2" t="s">
        <v>87</v>
      </c>
      <c r="P62" s="2" t="s">
        <v>35</v>
      </c>
      <c r="Q62" s="2" t="s">
        <v>16</v>
      </c>
      <c r="R62" s="2" t="s">
        <v>18</v>
      </c>
      <c r="S62">
        <v>4</v>
      </c>
    </row>
    <row r="63" spans="1:19" x14ac:dyDescent="0.3">
      <c r="A63">
        <v>1079</v>
      </c>
      <c r="B63">
        <f>YEAR(Cleaned_HR_Data_Analysis__2[[#This Row],[Joining_Date]])</f>
        <v>2021</v>
      </c>
      <c r="C63" s="1">
        <v>44293</v>
      </c>
      <c r="D63" s="1" t="str" cm="1">
        <f t="array" ref="D63">_xlfn.IFS(E63&lt;28, "17-27",
AND(E63&gt;27, E63&lt;38), "28-37",
AND(E63&gt;37, E63 &lt;48), "38-47",
AND(E63&gt;47, E63 &lt;58), "48-57",
AND(E63&gt;57, E63&lt;68), "58-67",
AND(E63&gt;67, E63&lt;78), "68-77",
E63&gt;77,"Above than 77")</f>
        <v>17-27</v>
      </c>
      <c r="E63">
        <v>21</v>
      </c>
      <c r="F63" s="1">
        <v>36627</v>
      </c>
      <c r="G63" s="1" t="str">
        <f>VLOOKUP(H63,Table7[#All], 2, FALSE)</f>
        <v>Massachusetts</v>
      </c>
      <c r="H63" s="2" t="s">
        <v>14</v>
      </c>
      <c r="I63" s="2" t="s">
        <v>15</v>
      </c>
      <c r="J63" s="2" t="s">
        <v>40</v>
      </c>
      <c r="K63" s="2" t="s">
        <v>88</v>
      </c>
      <c r="L63" s="2" t="s">
        <v>9</v>
      </c>
      <c r="M63" s="2" t="s">
        <v>20</v>
      </c>
      <c r="N63" s="2" t="s">
        <v>26</v>
      </c>
      <c r="O63" s="2" t="s">
        <v>87</v>
      </c>
      <c r="P63" s="2" t="s">
        <v>57</v>
      </c>
      <c r="Q63" s="2" t="s">
        <v>23</v>
      </c>
      <c r="R63" s="2" t="s">
        <v>18</v>
      </c>
      <c r="S63">
        <v>2</v>
      </c>
    </row>
    <row r="64" spans="1:19" x14ac:dyDescent="0.3">
      <c r="A64">
        <v>1721</v>
      </c>
      <c r="B64">
        <f>YEAR(Cleaned_HR_Data_Analysis__2[[#This Row],[Joining_Date]])</f>
        <v>2019</v>
      </c>
      <c r="C64" s="1">
        <v>43730</v>
      </c>
      <c r="D64" s="1" t="str" cm="1">
        <f t="array" ref="D64">_xlfn.IFS(E64&lt;28, "17-27",
AND(E64&gt;27, E64&lt;38), "28-37",
AND(E64&gt;37, E64 &lt;48), "38-47",
AND(E64&gt;47, E64 &lt;58), "48-57",
AND(E64&gt;57, E64&lt;68), "58-67",
AND(E64&gt;67, E64&lt;78), "68-77",
E64&gt;77,"Above than 77")</f>
        <v>17-27</v>
      </c>
      <c r="E64">
        <v>21</v>
      </c>
      <c r="F64" s="1">
        <v>36124</v>
      </c>
      <c r="G64" s="1" t="str">
        <f>VLOOKUP(H64,Table7[#All], 2, FALSE)</f>
        <v>Massachusetts</v>
      </c>
      <c r="H64" s="2" t="s">
        <v>14</v>
      </c>
      <c r="I64" s="2" t="s">
        <v>22</v>
      </c>
      <c r="J64" s="2" t="s">
        <v>40</v>
      </c>
      <c r="K64" s="2" t="s">
        <v>89</v>
      </c>
      <c r="L64" s="2" t="s">
        <v>9</v>
      </c>
      <c r="M64" s="2" t="s">
        <v>25</v>
      </c>
      <c r="N64" s="2" t="s">
        <v>26</v>
      </c>
      <c r="O64" s="2" t="s">
        <v>53</v>
      </c>
      <c r="P64" s="2" t="s">
        <v>13</v>
      </c>
      <c r="Q64" s="2" t="s">
        <v>16</v>
      </c>
      <c r="R64" s="2" t="s">
        <v>18</v>
      </c>
      <c r="S64">
        <v>4</v>
      </c>
    </row>
    <row r="65" spans="1:19" x14ac:dyDescent="0.3">
      <c r="A65">
        <v>3740</v>
      </c>
      <c r="B65">
        <f>YEAR(Cleaned_HR_Data_Analysis__2[[#This Row],[Joining_Date]])</f>
        <v>2022</v>
      </c>
      <c r="C65" s="1">
        <v>44849</v>
      </c>
      <c r="D65" s="1" t="str" cm="1">
        <f t="array" ref="D65">_xlfn.IFS(E65&lt;28, "17-27",
AND(E65&gt;27, E65&lt;38), "28-37",
AND(E65&gt;37, E65 &lt;48), "38-47",
AND(E65&gt;47, E65 &lt;58), "48-57",
AND(E65&gt;57, E65&lt;68), "58-67",
AND(E65&gt;67, E65&lt;78), "68-77",
E65&gt;77,"Above than 77")</f>
        <v>17-27</v>
      </c>
      <c r="E65">
        <v>21</v>
      </c>
      <c r="F65" s="1">
        <v>37035</v>
      </c>
      <c r="G65" s="1" t="str">
        <f>VLOOKUP(H65,Table7[#All], 2, FALSE)</f>
        <v>Massachusetts</v>
      </c>
      <c r="H65" s="2" t="s">
        <v>14</v>
      </c>
      <c r="I65" s="2" t="s">
        <v>15</v>
      </c>
      <c r="J65" s="2" t="s">
        <v>31</v>
      </c>
      <c r="K65" s="2" t="s">
        <v>64</v>
      </c>
      <c r="L65" s="2" t="s">
        <v>66</v>
      </c>
      <c r="M65" s="2" t="s">
        <v>25</v>
      </c>
      <c r="N65" s="2" t="s">
        <v>11</v>
      </c>
      <c r="O65" s="2" t="s">
        <v>12</v>
      </c>
      <c r="P65" s="2" t="s">
        <v>62</v>
      </c>
      <c r="Q65" s="2" t="s">
        <v>30</v>
      </c>
      <c r="R65" s="2" t="s">
        <v>18</v>
      </c>
      <c r="S65">
        <v>2</v>
      </c>
    </row>
    <row r="66" spans="1:19" x14ac:dyDescent="0.3">
      <c r="A66">
        <v>3342</v>
      </c>
      <c r="B66">
        <f>YEAR(Cleaned_HR_Data_Analysis__2[[#This Row],[Joining_Date]])</f>
        <v>2021</v>
      </c>
      <c r="C66" s="1">
        <v>44408</v>
      </c>
      <c r="D66" s="1" t="str" cm="1">
        <f t="array" ref="D66">_xlfn.IFS(E66&lt;28, "17-27",
AND(E66&gt;27, E66&lt;38), "28-37",
AND(E66&gt;37, E66 &lt;48), "38-47",
AND(E66&gt;47, E66 &lt;58), "48-57",
AND(E66&gt;57, E66&lt;68), "58-67",
AND(E66&gt;67, E66&lt;78), "68-77",
E66&gt;77,"Above than 77")</f>
        <v>17-27</v>
      </c>
      <c r="E66">
        <v>21</v>
      </c>
      <c r="F66" s="1">
        <v>36573</v>
      </c>
      <c r="G66" s="1" t="str">
        <f>VLOOKUP(H66,Table7[#All], 2, FALSE)</f>
        <v>Massachusetts</v>
      </c>
      <c r="H66" s="2" t="s">
        <v>14</v>
      </c>
      <c r="I66" s="2" t="s">
        <v>22</v>
      </c>
      <c r="J66" s="2" t="s">
        <v>17</v>
      </c>
      <c r="K66" s="2" t="s">
        <v>64</v>
      </c>
      <c r="L66" s="2" t="s">
        <v>9</v>
      </c>
      <c r="M66" s="2" t="s">
        <v>25</v>
      </c>
      <c r="N66" s="2" t="s">
        <v>11</v>
      </c>
      <c r="O66" s="2" t="s">
        <v>12</v>
      </c>
      <c r="P66" s="2" t="s">
        <v>21</v>
      </c>
      <c r="Q66" s="2" t="s">
        <v>30</v>
      </c>
      <c r="R66" s="2" t="s">
        <v>18</v>
      </c>
      <c r="S66">
        <v>4</v>
      </c>
    </row>
    <row r="67" spans="1:19" x14ac:dyDescent="0.3">
      <c r="A67">
        <v>1602</v>
      </c>
      <c r="B67">
        <f>YEAR(Cleaned_HR_Data_Analysis__2[[#This Row],[Joining_Date]])</f>
        <v>2021</v>
      </c>
      <c r="C67" s="1">
        <v>44504</v>
      </c>
      <c r="D67" s="1" t="str" cm="1">
        <f t="array" ref="D67">_xlfn.IFS(E67&lt;28, "17-27",
AND(E67&gt;27, E67&lt;38), "28-37",
AND(E67&gt;37, E67 &lt;48), "38-47",
AND(E67&gt;47, E67 &lt;58), "48-57",
AND(E67&gt;57, E67&lt;68), "58-67",
AND(E67&gt;67, E67&lt;78), "68-77",
E67&gt;77,"Above than 77")</f>
        <v>17-27</v>
      </c>
      <c r="E67">
        <v>21</v>
      </c>
      <c r="F67" s="1">
        <v>36809</v>
      </c>
      <c r="G67" s="1" t="str">
        <f>VLOOKUP(H67,Table7[#All], 2, FALSE)</f>
        <v>Massachusetts</v>
      </c>
      <c r="H67" s="2" t="s">
        <v>14</v>
      </c>
      <c r="I67" s="2" t="s">
        <v>15</v>
      </c>
      <c r="J67" s="2" t="s">
        <v>34</v>
      </c>
      <c r="K67" s="2" t="s">
        <v>64</v>
      </c>
      <c r="L67" s="2" t="s">
        <v>9</v>
      </c>
      <c r="M67" s="2" t="s">
        <v>25</v>
      </c>
      <c r="N67" s="2" t="s">
        <v>19</v>
      </c>
      <c r="O67" s="2" t="s">
        <v>12</v>
      </c>
      <c r="P67" s="2" t="s">
        <v>32</v>
      </c>
      <c r="Q67" s="2" t="s">
        <v>46</v>
      </c>
      <c r="R67" s="2" t="s">
        <v>41</v>
      </c>
      <c r="S67">
        <v>1</v>
      </c>
    </row>
    <row r="68" spans="1:19" x14ac:dyDescent="0.3">
      <c r="A68">
        <v>1535</v>
      </c>
      <c r="B68">
        <f>YEAR(Cleaned_HR_Data_Analysis__2[[#This Row],[Joining_Date]])</f>
        <v>2021</v>
      </c>
      <c r="C68" s="1">
        <v>44324</v>
      </c>
      <c r="D68" s="1" t="str" cm="1">
        <f t="array" ref="D68">_xlfn.IFS(E68&lt;28, "17-27",
AND(E68&gt;27, E68&lt;38), "28-37",
AND(E68&gt;37, E68 &lt;48), "38-47",
AND(E68&gt;47, E68 &lt;58), "48-57",
AND(E68&gt;57, E68&lt;68), "58-67",
AND(E68&gt;67, E68&lt;78), "68-77",
E68&gt;77,"Above than 77")</f>
        <v>17-27</v>
      </c>
      <c r="E68">
        <v>21</v>
      </c>
      <c r="F68" s="1">
        <v>36841</v>
      </c>
      <c r="G68" s="1" t="str">
        <f>VLOOKUP(H68,Table7[#All], 2, FALSE)</f>
        <v>Massachusetts</v>
      </c>
      <c r="H68" s="2" t="s">
        <v>14</v>
      </c>
      <c r="I68" s="2" t="s">
        <v>15</v>
      </c>
      <c r="J68" s="2" t="s">
        <v>17</v>
      </c>
      <c r="K68" s="2" t="s">
        <v>64</v>
      </c>
      <c r="L68" s="2" t="s">
        <v>9</v>
      </c>
      <c r="M68" s="2" t="s">
        <v>10</v>
      </c>
      <c r="N68" s="2" t="s">
        <v>26</v>
      </c>
      <c r="O68" s="2" t="s">
        <v>12</v>
      </c>
      <c r="P68" s="2" t="s">
        <v>32</v>
      </c>
      <c r="Q68" s="2" t="s">
        <v>37</v>
      </c>
      <c r="R68" s="2" t="s">
        <v>18</v>
      </c>
      <c r="S68">
        <v>2</v>
      </c>
    </row>
    <row r="69" spans="1:19" x14ac:dyDescent="0.3">
      <c r="A69">
        <v>1515</v>
      </c>
      <c r="B69">
        <f>YEAR(Cleaned_HR_Data_Analysis__2[[#This Row],[Joining_Date]])</f>
        <v>2018</v>
      </c>
      <c r="C69" s="1">
        <v>43369</v>
      </c>
      <c r="D69" s="1" t="str" cm="1">
        <f t="array" ref="D69">_xlfn.IFS(E69&lt;28, "17-27",
AND(E69&gt;27, E69&lt;38), "28-37",
AND(E69&gt;37, E69 &lt;48), "38-47",
AND(E69&gt;47, E69 &lt;58), "48-57",
AND(E69&gt;57, E69&lt;68), "58-67",
AND(E69&gt;67, E69&lt;78), "68-77",
E69&gt;77,"Above than 77")</f>
        <v>17-27</v>
      </c>
      <c r="E69">
        <v>21</v>
      </c>
      <c r="F69" s="1">
        <v>35538</v>
      </c>
      <c r="G69" s="1" t="str">
        <f>VLOOKUP(H69,Table7[#All], 2, FALSE)</f>
        <v>Massachusetts</v>
      </c>
      <c r="H69" s="2" t="s">
        <v>14</v>
      </c>
      <c r="I69" s="2" t="s">
        <v>15</v>
      </c>
      <c r="J69" s="2" t="s">
        <v>34</v>
      </c>
      <c r="K69" s="2" t="s">
        <v>64</v>
      </c>
      <c r="L69" s="2" t="s">
        <v>9</v>
      </c>
      <c r="M69" s="2" t="s">
        <v>25</v>
      </c>
      <c r="N69" s="2" t="s">
        <v>26</v>
      </c>
      <c r="O69" s="2" t="s">
        <v>12</v>
      </c>
      <c r="P69" s="2" t="s">
        <v>32</v>
      </c>
      <c r="Q69" s="2" t="s">
        <v>30</v>
      </c>
      <c r="R69" s="2" t="s">
        <v>18</v>
      </c>
      <c r="S69">
        <v>3</v>
      </c>
    </row>
    <row r="70" spans="1:19" x14ac:dyDescent="0.3">
      <c r="A70">
        <v>3792</v>
      </c>
      <c r="B70">
        <f>YEAR(Cleaned_HR_Data_Analysis__2[[#This Row],[Joining_Date]])</f>
        <v>2019</v>
      </c>
      <c r="C70" s="1">
        <v>43608</v>
      </c>
      <c r="D70" s="1" t="str" cm="1">
        <f t="array" ref="D70">_xlfn.IFS(E70&lt;28, "17-27",
AND(E70&gt;27, E70&lt;38), "28-37",
AND(E70&gt;37, E70 &lt;48), "38-47",
AND(E70&gt;47, E70 &lt;58), "48-57",
AND(E70&gt;57, E70&lt;68), "58-67",
AND(E70&gt;67, E70&lt;78), "68-77",
E70&gt;77,"Above than 77")</f>
        <v>17-27</v>
      </c>
      <c r="E70">
        <v>21</v>
      </c>
      <c r="F70" s="1">
        <v>35954</v>
      </c>
      <c r="G70" s="1" t="str">
        <f>VLOOKUP(H70,Table7[#All], 2, FALSE)</f>
        <v>Massachusetts</v>
      </c>
      <c r="H70" s="2" t="s">
        <v>14</v>
      </c>
      <c r="I70" s="2" t="s">
        <v>22</v>
      </c>
      <c r="J70" s="2" t="s">
        <v>34</v>
      </c>
      <c r="K70" s="2" t="s">
        <v>8</v>
      </c>
      <c r="L70" s="2" t="s">
        <v>9</v>
      </c>
      <c r="M70" s="2" t="s">
        <v>20</v>
      </c>
      <c r="N70" s="2" t="s">
        <v>11</v>
      </c>
      <c r="O70" s="2" t="s">
        <v>12</v>
      </c>
      <c r="P70" s="2" t="s">
        <v>42</v>
      </c>
      <c r="Q70" s="2" t="s">
        <v>16</v>
      </c>
      <c r="R70" s="2" t="s">
        <v>18</v>
      </c>
      <c r="S70">
        <v>2</v>
      </c>
    </row>
    <row r="71" spans="1:19" x14ac:dyDescent="0.3">
      <c r="A71">
        <v>3774</v>
      </c>
      <c r="B71">
        <f>YEAR(Cleaned_HR_Data_Analysis__2[[#This Row],[Joining_Date]])</f>
        <v>2019</v>
      </c>
      <c r="C71" s="1">
        <v>43636</v>
      </c>
      <c r="D71" s="1" t="str" cm="1">
        <f t="array" ref="D71">_xlfn.IFS(E71&lt;28, "17-27",
AND(E71&gt;27, E71&lt;38), "28-37",
AND(E71&gt;37, E71 &lt;48), "38-47",
AND(E71&gt;47, E71 &lt;58), "48-57",
AND(E71&gt;57, E71&lt;68), "58-67",
AND(E71&gt;67, E71&lt;78), "68-77",
E71&gt;77,"Above than 77")</f>
        <v>17-27</v>
      </c>
      <c r="E71">
        <v>21</v>
      </c>
      <c r="F71" s="1">
        <v>35891</v>
      </c>
      <c r="G71" s="1" t="str">
        <f>VLOOKUP(H71,Table7[#All], 2, FALSE)</f>
        <v>Massachusetts</v>
      </c>
      <c r="H71" s="2" t="s">
        <v>14</v>
      </c>
      <c r="I71" s="2" t="s">
        <v>22</v>
      </c>
      <c r="J71" s="2" t="s">
        <v>31</v>
      </c>
      <c r="K71" s="2" t="s">
        <v>8</v>
      </c>
      <c r="L71" s="2" t="s">
        <v>9</v>
      </c>
      <c r="M71" s="2" t="s">
        <v>20</v>
      </c>
      <c r="N71" s="2" t="s">
        <v>26</v>
      </c>
      <c r="O71" s="2" t="s">
        <v>12</v>
      </c>
      <c r="P71" s="2" t="s">
        <v>42</v>
      </c>
      <c r="Q71" s="2" t="s">
        <v>37</v>
      </c>
      <c r="R71" s="2" t="s">
        <v>18</v>
      </c>
      <c r="S71">
        <v>3</v>
      </c>
    </row>
    <row r="72" spans="1:19" x14ac:dyDescent="0.3">
      <c r="A72">
        <v>3621</v>
      </c>
      <c r="B72">
        <f>YEAR(Cleaned_HR_Data_Analysis__2[[#This Row],[Joining_Date]])</f>
        <v>2018</v>
      </c>
      <c r="C72" s="1">
        <v>43432</v>
      </c>
      <c r="D72" s="1" t="str" cm="1">
        <f t="array" ref="D72">_xlfn.IFS(E72&lt;28, "17-27",
AND(E72&gt;27, E72&lt;38), "28-37",
AND(E72&gt;37, E72 &lt;48), "38-47",
AND(E72&gt;47, E72 &lt;58), "48-57",
AND(E72&gt;57, E72&lt;68), "58-67",
AND(E72&gt;67, E72&lt;78), "68-77",
E72&gt;77,"Above than 77")</f>
        <v>17-27</v>
      </c>
      <c r="E72">
        <v>21</v>
      </c>
      <c r="F72" s="1">
        <v>35682</v>
      </c>
      <c r="G72" s="1" t="str">
        <f>VLOOKUP(H72,Table7[#All], 2, FALSE)</f>
        <v>Massachusetts</v>
      </c>
      <c r="H72" s="2" t="s">
        <v>14</v>
      </c>
      <c r="I72" s="2" t="s">
        <v>22</v>
      </c>
      <c r="J72" s="2" t="s">
        <v>34</v>
      </c>
      <c r="K72" s="2" t="s">
        <v>8</v>
      </c>
      <c r="L72" s="2" t="s">
        <v>9</v>
      </c>
      <c r="M72" s="2" t="s">
        <v>10</v>
      </c>
      <c r="N72" s="2" t="s">
        <v>19</v>
      </c>
      <c r="O72" s="2" t="s">
        <v>12</v>
      </c>
      <c r="P72" s="2" t="s">
        <v>61</v>
      </c>
      <c r="Q72" s="2" t="s">
        <v>16</v>
      </c>
      <c r="R72" s="2" t="s">
        <v>18</v>
      </c>
      <c r="S72">
        <v>3</v>
      </c>
    </row>
    <row r="73" spans="1:19" x14ac:dyDescent="0.3">
      <c r="A73">
        <v>3375</v>
      </c>
      <c r="B73">
        <f>YEAR(Cleaned_HR_Data_Analysis__2[[#This Row],[Joining_Date]])</f>
        <v>2020</v>
      </c>
      <c r="C73" s="1">
        <v>43990</v>
      </c>
      <c r="D73" s="1" t="str" cm="1">
        <f t="array" ref="D73">_xlfn.IFS(E73&lt;28, "17-27",
AND(E73&gt;27, E73&lt;38), "28-37",
AND(E73&gt;37, E73 &lt;48), "38-47",
AND(E73&gt;47, E73 &lt;58), "48-57",
AND(E73&gt;57, E73&lt;68), "58-67",
AND(E73&gt;67, E73&lt;78), "68-77",
E73&gt;77,"Above than 77")</f>
        <v>17-27</v>
      </c>
      <c r="E73">
        <v>21</v>
      </c>
      <c r="F73" s="1">
        <v>36423</v>
      </c>
      <c r="G73" s="1" t="str">
        <f>VLOOKUP(H73,Table7[#All], 2, FALSE)</f>
        <v>Massachusetts</v>
      </c>
      <c r="H73" s="2" t="s">
        <v>14</v>
      </c>
      <c r="I73" s="2" t="s">
        <v>15</v>
      </c>
      <c r="J73" s="2" t="s">
        <v>40</v>
      </c>
      <c r="K73" s="2" t="s">
        <v>8</v>
      </c>
      <c r="L73" s="2" t="s">
        <v>66</v>
      </c>
      <c r="M73" s="2" t="s">
        <v>25</v>
      </c>
      <c r="N73" s="2" t="s">
        <v>26</v>
      </c>
      <c r="O73" s="2" t="s">
        <v>12</v>
      </c>
      <c r="P73" s="2" t="s">
        <v>42</v>
      </c>
      <c r="Q73" s="2" t="s">
        <v>37</v>
      </c>
      <c r="R73" s="2" t="s">
        <v>41</v>
      </c>
      <c r="S73">
        <v>4</v>
      </c>
    </row>
    <row r="74" spans="1:19" x14ac:dyDescent="0.3">
      <c r="A74">
        <v>3269</v>
      </c>
      <c r="B74">
        <f>YEAR(Cleaned_HR_Data_Analysis__2[[#This Row],[Joining_Date]])</f>
        <v>2021</v>
      </c>
      <c r="C74" s="1">
        <v>44367</v>
      </c>
      <c r="D74" s="1" t="str" cm="1">
        <f t="array" ref="D74">_xlfn.IFS(E74&lt;28, "17-27",
AND(E74&gt;27, E74&lt;38), "28-37",
AND(E74&gt;37, E74 &lt;48), "38-47",
AND(E74&gt;47, E74 &lt;58), "48-57",
AND(E74&gt;57, E74&lt;68), "58-67",
AND(E74&gt;67, E74&lt;78), "68-77",
E74&gt;77,"Above than 77")</f>
        <v>17-27</v>
      </c>
      <c r="E74">
        <v>21</v>
      </c>
      <c r="F74" s="1">
        <v>36624</v>
      </c>
      <c r="G74" s="1" t="str">
        <f>VLOOKUP(H74,Table7[#All], 2, FALSE)</f>
        <v>Massachusetts</v>
      </c>
      <c r="H74" s="2" t="s">
        <v>14</v>
      </c>
      <c r="I74" s="2" t="s">
        <v>22</v>
      </c>
      <c r="J74" s="2" t="s">
        <v>34</v>
      </c>
      <c r="K74" s="2" t="s">
        <v>8</v>
      </c>
      <c r="L74" s="2" t="s">
        <v>9</v>
      </c>
      <c r="M74" s="2" t="s">
        <v>25</v>
      </c>
      <c r="N74" s="2" t="s">
        <v>11</v>
      </c>
      <c r="O74" s="2" t="s">
        <v>12</v>
      </c>
      <c r="P74" s="2" t="s">
        <v>35</v>
      </c>
      <c r="Q74" s="2" t="s">
        <v>46</v>
      </c>
      <c r="R74" s="2" t="s">
        <v>18</v>
      </c>
      <c r="S74">
        <v>5</v>
      </c>
    </row>
    <row r="75" spans="1:19" x14ac:dyDescent="0.3">
      <c r="A75">
        <v>3202</v>
      </c>
      <c r="B75">
        <f>YEAR(Cleaned_HR_Data_Analysis__2[[#This Row],[Joining_Date]])</f>
        <v>2020</v>
      </c>
      <c r="C75" s="1">
        <v>44003</v>
      </c>
      <c r="D75" s="1" t="str" cm="1">
        <f t="array" ref="D75">_xlfn.IFS(E75&lt;28, "17-27",
AND(E75&gt;27, E75&lt;38), "28-37",
AND(E75&gt;37, E75 &lt;48), "38-47",
AND(E75&gt;47, E75 &lt;58), "48-57",
AND(E75&gt;57, E75&lt;68), "58-67",
AND(E75&gt;67, E75&lt;78), "68-77",
E75&gt;77,"Above than 77")</f>
        <v>17-27</v>
      </c>
      <c r="E75">
        <v>21</v>
      </c>
      <c r="F75" s="1">
        <v>36247</v>
      </c>
      <c r="G75" s="1" t="str">
        <f>VLOOKUP(H75,Table7[#All], 2, FALSE)</f>
        <v>Massachusetts</v>
      </c>
      <c r="H75" s="2" t="s">
        <v>14</v>
      </c>
      <c r="I75" s="2" t="s">
        <v>15</v>
      </c>
      <c r="J75" s="2" t="s">
        <v>31</v>
      </c>
      <c r="K75" s="2" t="s">
        <v>8</v>
      </c>
      <c r="L75" s="2" t="s">
        <v>66</v>
      </c>
      <c r="M75" s="2" t="s">
        <v>10</v>
      </c>
      <c r="N75" s="2" t="s">
        <v>19</v>
      </c>
      <c r="O75" s="2" t="s">
        <v>12</v>
      </c>
      <c r="P75" s="2" t="s">
        <v>42</v>
      </c>
      <c r="Q75" s="2" t="s">
        <v>30</v>
      </c>
      <c r="R75" s="2" t="s">
        <v>18</v>
      </c>
      <c r="S75">
        <v>5</v>
      </c>
    </row>
    <row r="76" spans="1:19" x14ac:dyDescent="0.3">
      <c r="A76">
        <v>3185</v>
      </c>
      <c r="B76">
        <f>YEAR(Cleaned_HR_Data_Analysis__2[[#This Row],[Joining_Date]])</f>
        <v>2020</v>
      </c>
      <c r="C76" s="1">
        <v>44097</v>
      </c>
      <c r="D76" s="1" t="str" cm="1">
        <f t="array" ref="D76">_xlfn.IFS(E76&lt;28, "17-27",
AND(E76&gt;27, E76&lt;38), "28-37",
AND(E76&gt;37, E76 &lt;48), "38-47",
AND(E76&gt;47, E76 &lt;58), "48-57",
AND(E76&gt;57, E76&lt;68), "58-67",
AND(E76&gt;67, E76&lt;78), "68-77",
E76&gt;77,"Above than 77")</f>
        <v>17-27</v>
      </c>
      <c r="E76">
        <v>21</v>
      </c>
      <c r="F76" s="1">
        <v>36474</v>
      </c>
      <c r="G76" s="1" t="str">
        <f>VLOOKUP(H76,Table7[#All], 2, FALSE)</f>
        <v>Massachusetts</v>
      </c>
      <c r="H76" s="2" t="s">
        <v>14</v>
      </c>
      <c r="I76" s="2" t="s">
        <v>15</v>
      </c>
      <c r="J76" s="2" t="s">
        <v>40</v>
      </c>
      <c r="K76" s="2" t="s">
        <v>8</v>
      </c>
      <c r="L76" s="2" t="s">
        <v>66</v>
      </c>
      <c r="M76" s="2" t="s">
        <v>10</v>
      </c>
      <c r="N76" s="2" t="s">
        <v>11</v>
      </c>
      <c r="O76" s="2" t="s">
        <v>12</v>
      </c>
      <c r="P76" s="2" t="s">
        <v>35</v>
      </c>
      <c r="Q76" s="2" t="s">
        <v>30</v>
      </c>
      <c r="R76" s="2" t="s">
        <v>65</v>
      </c>
      <c r="S76">
        <v>4</v>
      </c>
    </row>
    <row r="77" spans="1:19" x14ac:dyDescent="0.3">
      <c r="A77">
        <v>2991</v>
      </c>
      <c r="B77">
        <f>YEAR(Cleaned_HR_Data_Analysis__2[[#This Row],[Joining_Date]])</f>
        <v>2020</v>
      </c>
      <c r="C77" s="1">
        <v>43903</v>
      </c>
      <c r="D77" s="1" t="str" cm="1">
        <f t="array" ref="D77">_xlfn.IFS(E77&lt;28, "17-27",
AND(E77&gt;27, E77&lt;38), "28-37",
AND(E77&gt;37, E77 &lt;48), "38-47",
AND(E77&gt;47, E77 &lt;58), "48-57",
AND(E77&gt;57, E77&lt;68), "58-67",
AND(E77&gt;67, E77&lt;78), "68-77",
E77&gt;77,"Above than 77")</f>
        <v>17-27</v>
      </c>
      <c r="E77">
        <v>21</v>
      </c>
      <c r="F77" s="1">
        <v>36236</v>
      </c>
      <c r="G77" s="1" t="str">
        <f>VLOOKUP(H77,Table7[#All], 2, FALSE)</f>
        <v>Massachusetts</v>
      </c>
      <c r="H77" s="2" t="s">
        <v>14</v>
      </c>
      <c r="I77" s="2" t="s">
        <v>15</v>
      </c>
      <c r="J77" s="2" t="s">
        <v>31</v>
      </c>
      <c r="K77" s="2" t="s">
        <v>8</v>
      </c>
      <c r="L77" s="2" t="s">
        <v>9</v>
      </c>
      <c r="M77" s="2" t="s">
        <v>10</v>
      </c>
      <c r="N77" s="2" t="s">
        <v>19</v>
      </c>
      <c r="O77" s="2" t="s">
        <v>12</v>
      </c>
      <c r="P77" s="2" t="s">
        <v>32</v>
      </c>
      <c r="Q77" s="2" t="s">
        <v>16</v>
      </c>
      <c r="R77" s="2" t="s">
        <v>41</v>
      </c>
      <c r="S77">
        <v>5</v>
      </c>
    </row>
    <row r="78" spans="1:19" x14ac:dyDescent="0.3">
      <c r="A78">
        <v>2979</v>
      </c>
      <c r="B78">
        <f>YEAR(Cleaned_HR_Data_Analysis__2[[#This Row],[Joining_Date]])</f>
        <v>2022</v>
      </c>
      <c r="C78" s="1">
        <v>44618</v>
      </c>
      <c r="D78" s="1" t="str" cm="1">
        <f t="array" ref="D78">_xlfn.IFS(E78&lt;28, "17-27",
AND(E78&gt;27, E78&lt;38), "28-37",
AND(E78&gt;37, E78 &lt;48), "38-47",
AND(E78&gt;47, E78 &lt;58), "48-57",
AND(E78&gt;57, E78&lt;68), "58-67",
AND(E78&gt;67, E78&lt;78), "68-77",
E78&gt;77,"Above than 77")</f>
        <v>17-27</v>
      </c>
      <c r="E78">
        <v>21</v>
      </c>
      <c r="F78" s="1">
        <v>37058</v>
      </c>
      <c r="G78" s="1" t="str">
        <f>VLOOKUP(H78,Table7[#All], 2, FALSE)</f>
        <v>Massachusetts</v>
      </c>
      <c r="H78" s="2" t="s">
        <v>14</v>
      </c>
      <c r="I78" s="2" t="s">
        <v>15</v>
      </c>
      <c r="J78" s="2" t="s">
        <v>17</v>
      </c>
      <c r="K78" s="2" t="s">
        <v>8</v>
      </c>
      <c r="L78" s="2" t="s">
        <v>9</v>
      </c>
      <c r="M78" s="2" t="s">
        <v>25</v>
      </c>
      <c r="N78" s="2" t="s">
        <v>19</v>
      </c>
      <c r="O78" s="2" t="s">
        <v>12</v>
      </c>
      <c r="P78" s="2" t="s">
        <v>35</v>
      </c>
      <c r="Q78" s="2" t="s">
        <v>30</v>
      </c>
      <c r="R78" s="2" t="s">
        <v>18</v>
      </c>
      <c r="S78">
        <v>5</v>
      </c>
    </row>
    <row r="79" spans="1:19" x14ac:dyDescent="0.3">
      <c r="A79">
        <v>2880</v>
      </c>
      <c r="B79">
        <f>YEAR(Cleaned_HR_Data_Analysis__2[[#This Row],[Joining_Date]])</f>
        <v>2021</v>
      </c>
      <c r="C79" s="1">
        <v>44358</v>
      </c>
      <c r="D79" s="1" t="str" cm="1">
        <f t="array" ref="D79">_xlfn.IFS(E79&lt;28, "17-27",
AND(E79&gt;27, E79&lt;38), "28-37",
AND(E79&gt;37, E79 &lt;48), "38-47",
AND(E79&gt;47, E79 &lt;58), "48-57",
AND(E79&gt;57, E79&lt;68), "58-67",
AND(E79&gt;67, E79&lt;78), "68-77",
E79&gt;77,"Above than 77")</f>
        <v>17-27</v>
      </c>
      <c r="E79">
        <v>21</v>
      </c>
      <c r="F79" s="1">
        <v>36759</v>
      </c>
      <c r="G79" s="1" t="str">
        <f>VLOOKUP(H79,Table7[#All], 2, FALSE)</f>
        <v>Massachusetts</v>
      </c>
      <c r="H79" s="2" t="s">
        <v>14</v>
      </c>
      <c r="I79" s="2" t="s">
        <v>15</v>
      </c>
      <c r="J79" s="2" t="s">
        <v>31</v>
      </c>
      <c r="K79" s="2" t="s">
        <v>8</v>
      </c>
      <c r="L79" s="2" t="s">
        <v>9</v>
      </c>
      <c r="M79" s="2" t="s">
        <v>10</v>
      </c>
      <c r="N79" s="2" t="s">
        <v>19</v>
      </c>
      <c r="O79" s="2" t="s">
        <v>12</v>
      </c>
      <c r="P79" s="2" t="s">
        <v>32</v>
      </c>
      <c r="Q79" s="2" t="s">
        <v>37</v>
      </c>
      <c r="R79" s="2" t="s">
        <v>18</v>
      </c>
      <c r="S79">
        <v>1</v>
      </c>
    </row>
    <row r="80" spans="1:19" x14ac:dyDescent="0.3">
      <c r="A80">
        <v>2821</v>
      </c>
      <c r="B80">
        <f>YEAR(Cleaned_HR_Data_Analysis__2[[#This Row],[Joining_Date]])</f>
        <v>2019</v>
      </c>
      <c r="C80" s="1">
        <v>43716</v>
      </c>
      <c r="D80" s="1" t="str" cm="1">
        <f t="array" ref="D80">_xlfn.IFS(E80&lt;28, "17-27",
AND(E80&gt;27, E80&lt;38), "28-37",
AND(E80&gt;37, E80 &lt;48), "38-47",
AND(E80&gt;47, E80 &lt;58), "48-57",
AND(E80&gt;57, E80&lt;68), "58-67",
AND(E80&gt;67, E80&lt;78), "68-77",
E80&gt;77,"Above than 77")</f>
        <v>17-27</v>
      </c>
      <c r="E80">
        <v>21</v>
      </c>
      <c r="F80" s="1">
        <v>36060</v>
      </c>
      <c r="G80" s="1" t="str">
        <f>VLOOKUP(H80,Table7[#All], 2, FALSE)</f>
        <v>Massachusetts</v>
      </c>
      <c r="H80" s="2" t="s">
        <v>14</v>
      </c>
      <c r="I80" s="2" t="s">
        <v>22</v>
      </c>
      <c r="J80" s="2" t="s">
        <v>31</v>
      </c>
      <c r="K80" s="2" t="s">
        <v>8</v>
      </c>
      <c r="L80" s="2" t="s">
        <v>9</v>
      </c>
      <c r="M80" s="2" t="s">
        <v>25</v>
      </c>
      <c r="N80" s="2" t="s">
        <v>26</v>
      </c>
      <c r="O80" s="2" t="s">
        <v>12</v>
      </c>
      <c r="P80" s="2" t="s">
        <v>35</v>
      </c>
      <c r="Q80" s="2" t="s">
        <v>23</v>
      </c>
      <c r="R80" s="2" t="s">
        <v>18</v>
      </c>
      <c r="S80">
        <v>5</v>
      </c>
    </row>
    <row r="81" spans="1:19" x14ac:dyDescent="0.3">
      <c r="A81">
        <v>2134</v>
      </c>
      <c r="B81">
        <f>YEAR(Cleaned_HR_Data_Analysis__2[[#This Row],[Joining_Date]])</f>
        <v>2022</v>
      </c>
      <c r="C81" s="1">
        <v>44620</v>
      </c>
      <c r="D81" s="1" t="str" cm="1">
        <f t="array" ref="D81">_xlfn.IFS(E81&lt;28, "17-27",
AND(E81&gt;27, E81&lt;38), "28-37",
AND(E81&gt;37, E81 &lt;48), "38-47",
AND(E81&gt;47, E81 &lt;58), "48-57",
AND(E81&gt;57, E81&lt;68), "58-67",
AND(E81&gt;67, E81&lt;78), "68-77",
E81&gt;77,"Above than 77")</f>
        <v>17-27</v>
      </c>
      <c r="E81">
        <v>21</v>
      </c>
      <c r="F81" s="1">
        <v>37081</v>
      </c>
      <c r="G81" s="1" t="str">
        <f>VLOOKUP(H81,Table7[#All], 2, FALSE)</f>
        <v>Massachusetts</v>
      </c>
      <c r="H81" s="2" t="s">
        <v>14</v>
      </c>
      <c r="I81" s="2" t="s">
        <v>15</v>
      </c>
      <c r="J81" s="2" t="s">
        <v>17</v>
      </c>
      <c r="K81" s="2" t="s">
        <v>8</v>
      </c>
      <c r="L81" s="2" t="s">
        <v>9</v>
      </c>
      <c r="M81" s="2" t="s">
        <v>20</v>
      </c>
      <c r="N81" s="2" t="s">
        <v>26</v>
      </c>
      <c r="O81" s="2" t="s">
        <v>12</v>
      </c>
      <c r="P81" s="2" t="s">
        <v>21</v>
      </c>
      <c r="Q81" s="2" t="s">
        <v>23</v>
      </c>
      <c r="R81" s="2" t="s">
        <v>41</v>
      </c>
      <c r="S81">
        <v>2</v>
      </c>
    </row>
    <row r="82" spans="1:19" x14ac:dyDescent="0.3">
      <c r="A82">
        <v>1878</v>
      </c>
      <c r="B82">
        <f>YEAR(Cleaned_HR_Data_Analysis__2[[#This Row],[Joining_Date]])</f>
        <v>2022</v>
      </c>
      <c r="C82" s="1">
        <v>44836</v>
      </c>
      <c r="D82" s="1" t="str" cm="1">
        <f t="array" ref="D82">_xlfn.IFS(E82&lt;28, "17-27",
AND(E82&gt;27, E82&lt;38), "28-37",
AND(E82&gt;37, E82 &lt;48), "38-47",
AND(E82&gt;47, E82 &lt;58), "48-57",
AND(E82&gt;57, E82&lt;68), "58-67",
AND(E82&gt;67, E82&lt;78), "68-77",
E82&gt;77,"Above than 77")</f>
        <v>17-27</v>
      </c>
      <c r="E82">
        <v>21</v>
      </c>
      <c r="F82" s="1">
        <v>37059</v>
      </c>
      <c r="G82" s="1" t="str">
        <f>VLOOKUP(H82,Table7[#All], 2, FALSE)</f>
        <v>Massachusetts</v>
      </c>
      <c r="H82" s="2" t="s">
        <v>14</v>
      </c>
      <c r="I82" s="2" t="s">
        <v>15</v>
      </c>
      <c r="J82" s="2" t="s">
        <v>31</v>
      </c>
      <c r="K82" s="2" t="s">
        <v>8</v>
      </c>
      <c r="L82" s="2" t="s">
        <v>9</v>
      </c>
      <c r="M82" s="2" t="s">
        <v>20</v>
      </c>
      <c r="N82" s="2" t="s">
        <v>26</v>
      </c>
      <c r="O82" s="2" t="s">
        <v>12</v>
      </c>
      <c r="P82" s="2" t="s">
        <v>49</v>
      </c>
      <c r="Q82" s="2" t="s">
        <v>16</v>
      </c>
      <c r="R82" s="2" t="s">
        <v>18</v>
      </c>
      <c r="S82">
        <v>3</v>
      </c>
    </row>
    <row r="83" spans="1:19" x14ac:dyDescent="0.3">
      <c r="A83">
        <v>1848</v>
      </c>
      <c r="B83">
        <f>YEAR(Cleaned_HR_Data_Analysis__2[[#This Row],[Joining_Date]])</f>
        <v>2021</v>
      </c>
      <c r="C83" s="1">
        <v>44553</v>
      </c>
      <c r="D83" s="1" t="str" cm="1">
        <f t="array" ref="D83">_xlfn.IFS(E83&lt;28, "17-27",
AND(E83&gt;27, E83&lt;38), "28-37",
AND(E83&gt;37, E83 &lt;48), "38-47",
AND(E83&gt;47, E83 &lt;58), "48-57",
AND(E83&gt;57, E83&lt;68), "58-67",
AND(E83&gt;67, E83&lt;78), "68-77",
E83&gt;77,"Above than 77")</f>
        <v>17-27</v>
      </c>
      <c r="E83">
        <v>21</v>
      </c>
      <c r="F83" s="1">
        <v>36816</v>
      </c>
      <c r="G83" s="1" t="str">
        <f>VLOOKUP(H83,Table7[#All], 2, FALSE)</f>
        <v>Massachusetts</v>
      </c>
      <c r="H83" s="2" t="s">
        <v>14</v>
      </c>
      <c r="I83" s="2" t="s">
        <v>22</v>
      </c>
      <c r="J83" s="2" t="s">
        <v>40</v>
      </c>
      <c r="K83" s="2" t="s">
        <v>8</v>
      </c>
      <c r="L83" s="2" t="s">
        <v>9</v>
      </c>
      <c r="M83" s="2" t="s">
        <v>10</v>
      </c>
      <c r="N83" s="2" t="s">
        <v>11</v>
      </c>
      <c r="O83" s="2" t="s">
        <v>12</v>
      </c>
      <c r="P83" s="2" t="s">
        <v>42</v>
      </c>
      <c r="Q83" s="2" t="s">
        <v>37</v>
      </c>
      <c r="R83" s="2" t="s">
        <v>65</v>
      </c>
      <c r="S83">
        <v>4</v>
      </c>
    </row>
    <row r="84" spans="1:19" x14ac:dyDescent="0.3">
      <c r="A84">
        <v>1775</v>
      </c>
      <c r="B84">
        <f>YEAR(Cleaned_HR_Data_Analysis__2[[#This Row],[Joining_Date]])</f>
        <v>2018</v>
      </c>
      <c r="C84" s="1">
        <v>43379</v>
      </c>
      <c r="D84" s="1" t="str" cm="1">
        <f t="array" ref="D84">_xlfn.IFS(E84&lt;28, "17-27",
AND(E84&gt;27, E84&lt;38), "28-37",
AND(E84&gt;37, E84 &lt;48), "38-47",
AND(E84&gt;47, E84 &lt;58), "48-57",
AND(E84&gt;57, E84&lt;68), "58-67",
AND(E84&gt;67, E84&lt;78), "68-77",
E84&gt;77,"Above than 77")</f>
        <v>17-27</v>
      </c>
      <c r="E84">
        <v>21</v>
      </c>
      <c r="F84" s="1">
        <v>35561</v>
      </c>
      <c r="G84" s="1" t="str">
        <f>VLOOKUP(H84,Table7[#All], 2, FALSE)</f>
        <v>Massachusetts</v>
      </c>
      <c r="H84" s="2" t="s">
        <v>14</v>
      </c>
      <c r="I84" s="2" t="s">
        <v>22</v>
      </c>
      <c r="J84" s="2" t="s">
        <v>31</v>
      </c>
      <c r="K84" s="2" t="s">
        <v>8</v>
      </c>
      <c r="L84" s="2" t="s">
        <v>9</v>
      </c>
      <c r="M84" s="2" t="s">
        <v>10</v>
      </c>
      <c r="N84" s="2" t="s">
        <v>19</v>
      </c>
      <c r="O84" s="2" t="s">
        <v>12</v>
      </c>
      <c r="P84" s="2" t="s">
        <v>42</v>
      </c>
      <c r="Q84" s="2" t="s">
        <v>37</v>
      </c>
      <c r="R84" s="2" t="s">
        <v>18</v>
      </c>
      <c r="S84">
        <v>2</v>
      </c>
    </row>
    <row r="85" spans="1:19" x14ac:dyDescent="0.3">
      <c r="A85">
        <v>1302</v>
      </c>
      <c r="B85">
        <f>YEAR(Cleaned_HR_Data_Analysis__2[[#This Row],[Joining_Date]])</f>
        <v>2021</v>
      </c>
      <c r="C85" s="1">
        <v>44263</v>
      </c>
      <c r="D85" s="1" t="str" cm="1">
        <f t="array" ref="D85">_xlfn.IFS(E85&lt;28, "17-27",
AND(E85&gt;27, E85&lt;38), "28-37",
AND(E85&gt;37, E85 &lt;48), "38-47",
AND(E85&gt;47, E85 &lt;58), "48-57",
AND(E85&gt;57, E85&lt;68), "58-67",
AND(E85&gt;67, E85&lt;78), "68-77",
E85&gt;77,"Above than 77")</f>
        <v>17-27</v>
      </c>
      <c r="E85">
        <v>21</v>
      </c>
      <c r="F85" s="1">
        <v>36709</v>
      </c>
      <c r="G85" s="1" t="str">
        <f>VLOOKUP(H85,Table7[#All], 2, FALSE)</f>
        <v>Massachusetts</v>
      </c>
      <c r="H85" s="2" t="s">
        <v>14</v>
      </c>
      <c r="I85" s="2" t="s">
        <v>15</v>
      </c>
      <c r="J85" s="2" t="s">
        <v>34</v>
      </c>
      <c r="K85" s="2" t="s">
        <v>8</v>
      </c>
      <c r="L85" s="2" t="s">
        <v>66</v>
      </c>
      <c r="M85" s="2" t="s">
        <v>25</v>
      </c>
      <c r="N85" s="2" t="s">
        <v>19</v>
      </c>
      <c r="O85" s="2" t="s">
        <v>12</v>
      </c>
      <c r="P85" s="2" t="s">
        <v>35</v>
      </c>
      <c r="Q85" s="2" t="s">
        <v>30</v>
      </c>
      <c r="R85" s="2" t="s">
        <v>18</v>
      </c>
      <c r="S85">
        <v>2</v>
      </c>
    </row>
    <row r="86" spans="1:19" x14ac:dyDescent="0.3">
      <c r="A86">
        <v>1283</v>
      </c>
      <c r="B86">
        <f>YEAR(Cleaned_HR_Data_Analysis__2[[#This Row],[Joining_Date]])</f>
        <v>2021</v>
      </c>
      <c r="C86" s="1">
        <v>44207</v>
      </c>
      <c r="D86" s="1" t="str" cm="1">
        <f t="array" ref="D86">_xlfn.IFS(E86&lt;28, "17-27",
AND(E86&gt;27, E86&lt;38), "28-37",
AND(E86&gt;37, E86 &lt;48), "38-47",
AND(E86&gt;47, E86 &lt;58), "48-57",
AND(E86&gt;57, E86&lt;68), "58-67",
AND(E86&gt;67, E86&lt;78), "68-77",
E86&gt;77,"Above than 77")</f>
        <v>17-27</v>
      </c>
      <c r="E86">
        <v>21</v>
      </c>
      <c r="F86" s="1">
        <v>36574</v>
      </c>
      <c r="G86" s="1" t="str">
        <f>VLOOKUP(H86,Table7[#All], 2, FALSE)</f>
        <v>Massachusetts</v>
      </c>
      <c r="H86" s="2" t="s">
        <v>14</v>
      </c>
      <c r="I86" s="2" t="s">
        <v>15</v>
      </c>
      <c r="J86" s="2" t="s">
        <v>34</v>
      </c>
      <c r="K86" s="2" t="s">
        <v>8</v>
      </c>
      <c r="L86" s="2" t="s">
        <v>9</v>
      </c>
      <c r="M86" s="2" t="s">
        <v>25</v>
      </c>
      <c r="N86" s="2" t="s">
        <v>11</v>
      </c>
      <c r="O86" s="2" t="s">
        <v>12</v>
      </c>
      <c r="P86" s="2" t="s">
        <v>38</v>
      </c>
      <c r="Q86" s="2" t="s">
        <v>46</v>
      </c>
      <c r="R86" s="2" t="s">
        <v>18</v>
      </c>
      <c r="S86">
        <v>1</v>
      </c>
    </row>
    <row r="87" spans="1:19" x14ac:dyDescent="0.3">
      <c r="A87">
        <v>1264</v>
      </c>
      <c r="B87">
        <f>YEAR(Cleaned_HR_Data_Analysis__2[[#This Row],[Joining_Date]])</f>
        <v>2019</v>
      </c>
      <c r="C87" s="1">
        <v>43511</v>
      </c>
      <c r="D87" s="1" t="str" cm="1">
        <f t="array" ref="D87">_xlfn.IFS(E87&lt;28, "17-27",
AND(E87&gt;27, E87&lt;38), "28-37",
AND(E87&gt;37, E87 &lt;48), "38-47",
AND(E87&gt;47, E87 &lt;58), "48-57",
AND(E87&gt;57, E87&lt;68), "58-67",
AND(E87&gt;67, E87&lt;78), "68-77",
E87&gt;77,"Above than 77")</f>
        <v>17-27</v>
      </c>
      <c r="E87">
        <v>21</v>
      </c>
      <c r="F87" s="1">
        <v>36091</v>
      </c>
      <c r="G87" s="1" t="str">
        <f>VLOOKUP(H87,Table7[#All], 2, FALSE)</f>
        <v>Massachusetts</v>
      </c>
      <c r="H87" s="2" t="s">
        <v>14</v>
      </c>
      <c r="I87" s="2" t="s">
        <v>15</v>
      </c>
      <c r="J87" s="2" t="s">
        <v>34</v>
      </c>
      <c r="K87" s="2" t="s">
        <v>8</v>
      </c>
      <c r="L87" s="2" t="s">
        <v>9</v>
      </c>
      <c r="M87" s="2" t="s">
        <v>25</v>
      </c>
      <c r="N87" s="2" t="s">
        <v>11</v>
      </c>
      <c r="O87" s="2" t="s">
        <v>12</v>
      </c>
      <c r="P87" s="2" t="s">
        <v>35</v>
      </c>
      <c r="Q87" s="2" t="s">
        <v>23</v>
      </c>
      <c r="R87" s="2" t="s">
        <v>18</v>
      </c>
      <c r="S87">
        <v>5</v>
      </c>
    </row>
    <row r="88" spans="1:19" x14ac:dyDescent="0.3">
      <c r="A88">
        <v>1239</v>
      </c>
      <c r="B88">
        <f>YEAR(Cleaned_HR_Data_Analysis__2[[#This Row],[Joining_Date]])</f>
        <v>2022</v>
      </c>
      <c r="C88" s="1">
        <v>44723</v>
      </c>
      <c r="D88" s="1" t="str" cm="1">
        <f t="array" ref="D88">_xlfn.IFS(E88&lt;28, "17-27",
AND(E88&gt;27, E88&lt;38), "28-37",
AND(E88&gt;37, E88 &lt;48), "38-47",
AND(E88&gt;47, E88 &lt;58), "48-57",
AND(E88&gt;57, E88&lt;68), "58-67",
AND(E88&gt;67, E88&lt;78), "68-77",
E88&gt;77,"Above than 77")</f>
        <v>17-27</v>
      </c>
      <c r="E88">
        <v>21</v>
      </c>
      <c r="F88" s="1">
        <v>37081</v>
      </c>
      <c r="G88" s="1" t="str">
        <f>VLOOKUP(H88,Table7[#All], 2, FALSE)</f>
        <v>Massachusetts</v>
      </c>
      <c r="H88" s="2" t="s">
        <v>14</v>
      </c>
      <c r="I88" s="2" t="s">
        <v>15</v>
      </c>
      <c r="J88" s="2" t="s">
        <v>31</v>
      </c>
      <c r="K88" s="2" t="s">
        <v>8</v>
      </c>
      <c r="L88" s="2" t="s">
        <v>66</v>
      </c>
      <c r="M88" s="2" t="s">
        <v>20</v>
      </c>
      <c r="N88" s="2" t="s">
        <v>11</v>
      </c>
      <c r="O88" s="2" t="s">
        <v>12</v>
      </c>
      <c r="P88" s="2" t="s">
        <v>49</v>
      </c>
      <c r="Q88" s="2" t="s">
        <v>23</v>
      </c>
      <c r="R88" s="2" t="s">
        <v>18</v>
      </c>
      <c r="S88">
        <v>5</v>
      </c>
    </row>
    <row r="89" spans="1:19" x14ac:dyDescent="0.3">
      <c r="A89">
        <v>2343</v>
      </c>
      <c r="B89">
        <f>YEAR(Cleaned_HR_Data_Analysis__2[[#This Row],[Joining_Date]])</f>
        <v>2019</v>
      </c>
      <c r="C89" s="1">
        <v>43726</v>
      </c>
      <c r="D89" s="1" t="str" cm="1">
        <f t="array" ref="D89">_xlfn.IFS(E89&lt;28, "17-27",
AND(E89&gt;27, E89&lt;38), "28-37",
AND(E89&gt;37, E89 &lt;48), "38-47",
AND(E89&gt;47, E89 &lt;58), "48-57",
AND(E89&gt;57, E89&lt;68), "58-67",
AND(E89&gt;67, E89&lt;78), "68-77",
E89&gt;77,"Above than 77")</f>
        <v>17-27</v>
      </c>
      <c r="E89">
        <v>21</v>
      </c>
      <c r="F89" s="1">
        <v>36085</v>
      </c>
      <c r="G89" s="1" t="str">
        <f>VLOOKUP(H89,Table7[#All], 2, FALSE)</f>
        <v>Massachusetts</v>
      </c>
      <c r="H89" s="2" t="s">
        <v>14</v>
      </c>
      <c r="I89" s="2" t="s">
        <v>15</v>
      </c>
      <c r="J89" s="2" t="s">
        <v>31</v>
      </c>
      <c r="K89" s="2" t="s">
        <v>91</v>
      </c>
      <c r="L89" s="2" t="s">
        <v>9</v>
      </c>
      <c r="M89" s="2" t="s">
        <v>25</v>
      </c>
      <c r="N89" s="2" t="s">
        <v>26</v>
      </c>
      <c r="O89" s="2" t="s">
        <v>12</v>
      </c>
      <c r="P89" s="2" t="s">
        <v>61</v>
      </c>
      <c r="Q89" s="2" t="s">
        <v>23</v>
      </c>
      <c r="R89" s="2" t="s">
        <v>18</v>
      </c>
      <c r="S89">
        <v>3</v>
      </c>
    </row>
    <row r="90" spans="1:19" x14ac:dyDescent="0.3">
      <c r="A90">
        <v>2325</v>
      </c>
      <c r="B90">
        <f>YEAR(Cleaned_HR_Data_Analysis__2[[#This Row],[Joining_Date]])</f>
        <v>2020</v>
      </c>
      <c r="C90" s="1">
        <v>44194</v>
      </c>
      <c r="D90" s="1" t="str" cm="1">
        <f t="array" ref="D90">_xlfn.IFS(E90&lt;28, "17-27",
AND(E90&gt;27, E90&lt;38), "28-37",
AND(E90&gt;37, E90 &lt;48), "38-47",
AND(E90&gt;47, E90 &lt;58), "48-57",
AND(E90&gt;57, E90&lt;68), "58-67",
AND(E90&gt;67, E90&lt;78), "68-77",
E90&gt;77,"Above than 77")</f>
        <v>17-27</v>
      </c>
      <c r="E90">
        <v>21</v>
      </c>
      <c r="F90" s="1">
        <v>36453</v>
      </c>
      <c r="G90" s="1" t="str">
        <f>VLOOKUP(H90,Table7[#All], 2, FALSE)</f>
        <v>Massachusetts</v>
      </c>
      <c r="H90" s="2" t="s">
        <v>14</v>
      </c>
      <c r="I90" s="2" t="s">
        <v>15</v>
      </c>
      <c r="J90" s="2" t="s">
        <v>40</v>
      </c>
      <c r="K90" s="2" t="s">
        <v>91</v>
      </c>
      <c r="L90" s="2" t="s">
        <v>9</v>
      </c>
      <c r="M90" s="2" t="s">
        <v>20</v>
      </c>
      <c r="N90" s="2" t="s">
        <v>19</v>
      </c>
      <c r="O90" s="2" t="s">
        <v>12</v>
      </c>
      <c r="P90" s="2" t="s">
        <v>35</v>
      </c>
      <c r="Q90" s="2" t="s">
        <v>46</v>
      </c>
      <c r="R90" s="2" t="s">
        <v>18</v>
      </c>
      <c r="S90">
        <v>4</v>
      </c>
    </row>
    <row r="91" spans="1:19" x14ac:dyDescent="0.3">
      <c r="A91">
        <v>2281</v>
      </c>
      <c r="B91">
        <f>YEAR(Cleaned_HR_Data_Analysis__2[[#This Row],[Joining_Date]])</f>
        <v>2019</v>
      </c>
      <c r="C91" s="1">
        <v>43718</v>
      </c>
      <c r="D91" s="1" t="str" cm="1">
        <f t="array" ref="D91">_xlfn.IFS(E91&lt;28, "17-27",
AND(E91&gt;27, E91&lt;38), "28-37",
AND(E91&gt;37, E91 &lt;48), "38-47",
AND(E91&gt;47, E91 &lt;58), "48-57",
AND(E91&gt;57, E91&lt;68), "58-67",
AND(E91&gt;67, E91&lt;78), "68-77",
E91&gt;77,"Above than 77")</f>
        <v>17-27</v>
      </c>
      <c r="E91">
        <v>21</v>
      </c>
      <c r="F91" s="1">
        <v>36050</v>
      </c>
      <c r="G91" s="1" t="str">
        <f>VLOOKUP(H91,Table7[#All], 2, FALSE)</f>
        <v>Massachusetts</v>
      </c>
      <c r="H91" s="2" t="s">
        <v>14</v>
      </c>
      <c r="I91" s="2" t="s">
        <v>22</v>
      </c>
      <c r="J91" s="2" t="s">
        <v>31</v>
      </c>
      <c r="K91" s="2" t="s">
        <v>91</v>
      </c>
      <c r="L91" s="2" t="s">
        <v>9</v>
      </c>
      <c r="M91" s="2" t="s">
        <v>25</v>
      </c>
      <c r="N91" s="2" t="s">
        <v>11</v>
      </c>
      <c r="O91" s="2" t="s">
        <v>12</v>
      </c>
      <c r="P91" s="2" t="s">
        <v>35</v>
      </c>
      <c r="Q91" s="2" t="s">
        <v>23</v>
      </c>
      <c r="R91" s="2" t="s">
        <v>18</v>
      </c>
      <c r="S91">
        <v>4</v>
      </c>
    </row>
    <row r="92" spans="1:19" x14ac:dyDescent="0.3">
      <c r="A92">
        <v>2306</v>
      </c>
      <c r="B92">
        <f>YEAR(Cleaned_HR_Data_Analysis__2[[#This Row],[Joining_Date]])</f>
        <v>2020</v>
      </c>
      <c r="C92" s="1">
        <v>44125</v>
      </c>
      <c r="D92" s="1" t="str" cm="1">
        <f t="array" ref="D92">_xlfn.IFS(E92&lt;28, "17-27",
AND(E92&gt;27, E92&lt;38), "28-37",
AND(E92&gt;37, E92 &lt;48), "38-47",
AND(E92&gt;47, E92 &lt;58), "48-57",
AND(E92&gt;57, E92&lt;68), "58-67",
AND(E92&gt;67, E92&lt;78), "68-77",
E92&gt;77,"Above than 77")</f>
        <v>17-27</v>
      </c>
      <c r="E92">
        <v>21</v>
      </c>
      <c r="F92" s="1">
        <v>36470</v>
      </c>
      <c r="G92" s="1" t="str">
        <f>VLOOKUP(H92,Table7[#All], 2, FALSE)</f>
        <v>Massachusetts</v>
      </c>
      <c r="H92" s="2" t="s">
        <v>14</v>
      </c>
      <c r="I92" s="2" t="s">
        <v>22</v>
      </c>
      <c r="J92" s="2" t="s">
        <v>34</v>
      </c>
      <c r="K92" s="2" t="s">
        <v>71</v>
      </c>
      <c r="L92" s="2" t="s">
        <v>9</v>
      </c>
      <c r="M92" s="2" t="s">
        <v>20</v>
      </c>
      <c r="N92" s="2" t="s">
        <v>26</v>
      </c>
      <c r="O92" s="2" t="s">
        <v>12</v>
      </c>
      <c r="P92" s="2" t="s">
        <v>54</v>
      </c>
      <c r="Q92" s="2" t="s">
        <v>23</v>
      </c>
      <c r="R92" s="2" t="s">
        <v>18</v>
      </c>
      <c r="S92">
        <v>4</v>
      </c>
    </row>
    <row r="93" spans="1:19" x14ac:dyDescent="0.3">
      <c r="A93">
        <v>3847</v>
      </c>
      <c r="B93">
        <f>YEAR(Cleaned_HR_Data_Analysis__2[[#This Row],[Joining_Date]])</f>
        <v>2019</v>
      </c>
      <c r="C93" s="1">
        <v>43520</v>
      </c>
      <c r="D93" s="1" t="str" cm="1">
        <f t="array" ref="D93">_xlfn.IFS(E93&lt;28, "17-27",
AND(E93&gt;27, E93&lt;38), "28-37",
AND(E93&gt;37, E93 &lt;48), "38-47",
AND(E93&gt;47, E93 &lt;58), "48-57",
AND(E93&gt;57, E93&lt;68), "58-67",
AND(E93&gt;67, E93&lt;78), "68-77",
E93&gt;77,"Above than 77")</f>
        <v>17-27</v>
      </c>
      <c r="E93">
        <v>21</v>
      </c>
      <c r="F93" s="1">
        <v>36044</v>
      </c>
      <c r="G93" s="1" t="str">
        <f>VLOOKUP(H93,Table7[#All], 2, FALSE)</f>
        <v>Massachusetts</v>
      </c>
      <c r="H93" s="2" t="s">
        <v>14</v>
      </c>
      <c r="I93" s="2" t="s">
        <v>22</v>
      </c>
      <c r="J93" s="2" t="s">
        <v>31</v>
      </c>
      <c r="K93" s="2" t="s">
        <v>70</v>
      </c>
      <c r="L93" s="2" t="s">
        <v>9</v>
      </c>
      <c r="M93" s="2" t="s">
        <v>20</v>
      </c>
      <c r="N93" s="2" t="s">
        <v>26</v>
      </c>
      <c r="O93" s="2" t="s">
        <v>53</v>
      </c>
      <c r="P93" s="2" t="s">
        <v>35</v>
      </c>
      <c r="Q93" s="2" t="s">
        <v>23</v>
      </c>
      <c r="R93" s="2" t="s">
        <v>18</v>
      </c>
      <c r="S93">
        <v>3</v>
      </c>
    </row>
    <row r="94" spans="1:19" x14ac:dyDescent="0.3">
      <c r="A94">
        <v>2240</v>
      </c>
      <c r="B94">
        <f>YEAR(Cleaned_HR_Data_Analysis__2[[#This Row],[Joining_Date]])</f>
        <v>2018</v>
      </c>
      <c r="C94" s="1">
        <v>43439</v>
      </c>
      <c r="D94" s="1" t="str" cm="1">
        <f t="array" ref="D94">_xlfn.IFS(E94&lt;28, "17-27",
AND(E94&gt;27, E94&lt;38), "28-37",
AND(E94&gt;37, E94 &lt;48), "38-47",
AND(E94&gt;47, E94 &lt;58), "48-57",
AND(E94&gt;57, E94&lt;68), "58-67",
AND(E94&gt;67, E94&lt;78), "68-77",
E94&gt;77,"Above than 77")</f>
        <v>17-27</v>
      </c>
      <c r="E94">
        <v>21</v>
      </c>
      <c r="F94" s="1">
        <v>35762</v>
      </c>
      <c r="G94" s="1" t="str">
        <f>VLOOKUP(H94,Table7[#All], 2, FALSE)</f>
        <v>Massachusetts</v>
      </c>
      <c r="H94" s="2" t="s">
        <v>14</v>
      </c>
      <c r="I94" s="2" t="s">
        <v>15</v>
      </c>
      <c r="J94" s="2" t="s">
        <v>34</v>
      </c>
      <c r="K94" s="2" t="s">
        <v>70</v>
      </c>
      <c r="L94" s="2" t="s">
        <v>9</v>
      </c>
      <c r="M94" s="2" t="s">
        <v>20</v>
      </c>
      <c r="N94" s="2" t="s">
        <v>26</v>
      </c>
      <c r="O94" s="2" t="s">
        <v>53</v>
      </c>
      <c r="P94" s="2" t="s">
        <v>13</v>
      </c>
      <c r="Q94" s="2" t="s">
        <v>23</v>
      </c>
      <c r="R94" s="2" t="s">
        <v>18</v>
      </c>
      <c r="S94">
        <v>4</v>
      </c>
    </row>
    <row r="95" spans="1:19" x14ac:dyDescent="0.3">
      <c r="A95">
        <v>2224</v>
      </c>
      <c r="B95">
        <f>YEAR(Cleaned_HR_Data_Analysis__2[[#This Row],[Joining_Date]])</f>
        <v>2020</v>
      </c>
      <c r="C95" s="1">
        <v>44117</v>
      </c>
      <c r="D95" s="1" t="str" cm="1">
        <f t="array" ref="D95">_xlfn.IFS(E95&lt;28, "17-27",
AND(E95&gt;27, E95&lt;38), "28-37",
AND(E95&gt;37, E95 &lt;48), "38-47",
AND(E95&gt;47, E95 &lt;58), "48-57",
AND(E95&gt;57, E95&lt;68), "58-67",
AND(E95&gt;67, E95&lt;78), "68-77",
E95&gt;77,"Above than 77")</f>
        <v>17-27</v>
      </c>
      <c r="E95">
        <v>21</v>
      </c>
      <c r="F95" s="1">
        <v>36174</v>
      </c>
      <c r="G95" s="1" t="str">
        <f>VLOOKUP(H95,Table7[#All], 2, FALSE)</f>
        <v>Connecticut</v>
      </c>
      <c r="H95" s="2" t="s">
        <v>36</v>
      </c>
      <c r="I95" s="2" t="s">
        <v>15</v>
      </c>
      <c r="J95" s="2" t="s">
        <v>40</v>
      </c>
      <c r="K95" s="2" t="s">
        <v>102</v>
      </c>
      <c r="L95" s="2" t="s">
        <v>9</v>
      </c>
      <c r="M95" s="2" t="s">
        <v>25</v>
      </c>
      <c r="N95" s="2" t="s">
        <v>19</v>
      </c>
      <c r="O95" s="2" t="s">
        <v>53</v>
      </c>
      <c r="P95" s="2" t="s">
        <v>59</v>
      </c>
      <c r="Q95" s="2" t="s">
        <v>46</v>
      </c>
      <c r="R95" s="2" t="s">
        <v>41</v>
      </c>
      <c r="S95">
        <v>1</v>
      </c>
    </row>
    <row r="96" spans="1:19" x14ac:dyDescent="0.3">
      <c r="A96">
        <v>2481</v>
      </c>
      <c r="B96">
        <f>YEAR(Cleaned_HR_Data_Analysis__2[[#This Row],[Joining_Date]])</f>
        <v>2018</v>
      </c>
      <c r="C96" s="1">
        <v>43446</v>
      </c>
      <c r="D96" s="1" t="str" cm="1">
        <f t="array" ref="D96">_xlfn.IFS(E96&lt;28, "17-27",
AND(E96&gt;27, E96&lt;38), "28-37",
AND(E96&gt;37, E96 &lt;48), "38-47",
AND(E96&gt;47, E96 &lt;58), "48-57",
AND(E96&gt;57, E96&lt;68), "58-67",
AND(E96&gt;67, E96&lt;78), "68-77",
E96&gt;77,"Above than 77")</f>
        <v>17-27</v>
      </c>
      <c r="E96">
        <v>21</v>
      </c>
      <c r="F96" s="1">
        <v>35614</v>
      </c>
      <c r="G96" s="1" t="str">
        <f>VLOOKUP(H96,Table7[#All], 2, FALSE)</f>
        <v>Massachusetts</v>
      </c>
      <c r="H96" s="2" t="s">
        <v>14</v>
      </c>
      <c r="I96" s="2" t="s">
        <v>22</v>
      </c>
      <c r="J96" s="2" t="s">
        <v>40</v>
      </c>
      <c r="K96" s="2" t="s">
        <v>103</v>
      </c>
      <c r="L96" s="2" t="s">
        <v>9</v>
      </c>
      <c r="M96" s="2" t="s">
        <v>25</v>
      </c>
      <c r="N96" s="2" t="s">
        <v>19</v>
      </c>
      <c r="O96" s="2" t="s">
        <v>53</v>
      </c>
      <c r="P96" s="2" t="s">
        <v>21</v>
      </c>
      <c r="Q96" s="2" t="s">
        <v>37</v>
      </c>
      <c r="R96" s="2" t="s">
        <v>18</v>
      </c>
      <c r="S96">
        <v>5</v>
      </c>
    </row>
    <row r="97" spans="1:19" x14ac:dyDescent="0.3">
      <c r="A97">
        <v>2353</v>
      </c>
      <c r="B97">
        <f>YEAR(Cleaned_HR_Data_Analysis__2[[#This Row],[Joining_Date]])</f>
        <v>2018</v>
      </c>
      <c r="C97" s="1">
        <v>43350</v>
      </c>
      <c r="D97" s="1" t="str" cm="1">
        <f t="array" ref="D97">_xlfn.IFS(E97&lt;28, "17-27",
AND(E97&gt;27, E97&lt;38), "28-37",
AND(E97&gt;37, E97 &lt;48), "38-47",
AND(E97&gt;47, E97 &lt;58), "48-57",
AND(E97&gt;57, E97&lt;68), "58-67",
AND(E97&gt;67, E97&lt;78), "68-77",
E97&gt;77,"Above than 77")</f>
        <v>17-27</v>
      </c>
      <c r="E97">
        <v>21</v>
      </c>
      <c r="F97" s="1">
        <v>35637</v>
      </c>
      <c r="G97" s="1" t="str">
        <f>VLOOKUP(H97,Table7[#All], 2, FALSE)</f>
        <v>Massachusetts</v>
      </c>
      <c r="H97" s="2" t="s">
        <v>14</v>
      </c>
      <c r="I97" s="2" t="s">
        <v>15</v>
      </c>
      <c r="J97" s="2" t="s">
        <v>34</v>
      </c>
      <c r="K97" s="2" t="s">
        <v>80</v>
      </c>
      <c r="L97" s="2" t="s">
        <v>9</v>
      </c>
      <c r="M97" s="2" t="s">
        <v>20</v>
      </c>
      <c r="N97" s="2" t="s">
        <v>26</v>
      </c>
      <c r="O97" s="2" t="s">
        <v>53</v>
      </c>
      <c r="P97" s="2" t="s">
        <v>35</v>
      </c>
      <c r="Q97" s="2" t="s">
        <v>23</v>
      </c>
      <c r="R97" s="2" t="s">
        <v>18</v>
      </c>
      <c r="S97">
        <v>4</v>
      </c>
    </row>
    <row r="98" spans="1:19" x14ac:dyDescent="0.3">
      <c r="A98">
        <v>2313</v>
      </c>
      <c r="B98">
        <f>YEAR(Cleaned_HR_Data_Analysis__2[[#This Row],[Joining_Date]])</f>
        <v>2021</v>
      </c>
      <c r="C98" s="1">
        <v>44452</v>
      </c>
      <c r="D98" s="1" t="str" cm="1">
        <f t="array" ref="D98">_xlfn.IFS(E98&lt;28, "17-27",
AND(E98&gt;27, E98&lt;38), "28-37",
AND(E98&gt;37, E98 &lt;48), "38-47",
AND(E98&gt;47, E98 &lt;58), "48-57",
AND(E98&gt;57, E98&lt;68), "58-67",
AND(E98&gt;67, E98&lt;78), "68-77",
E98&gt;77,"Above than 77")</f>
        <v>17-27</v>
      </c>
      <c r="E98">
        <v>21</v>
      </c>
      <c r="F98" s="1">
        <v>36829</v>
      </c>
      <c r="G98" s="1" t="str">
        <f>VLOOKUP(H98,Table7[#All], 2, FALSE)</f>
        <v>Massachusetts</v>
      </c>
      <c r="H98" s="2" t="s">
        <v>14</v>
      </c>
      <c r="I98" s="2" t="s">
        <v>22</v>
      </c>
      <c r="J98" s="2" t="s">
        <v>40</v>
      </c>
      <c r="K98" s="2" t="s">
        <v>78</v>
      </c>
      <c r="L98" s="2" t="s">
        <v>9</v>
      </c>
      <c r="M98" s="2" t="s">
        <v>20</v>
      </c>
      <c r="N98" s="2" t="s">
        <v>11</v>
      </c>
      <c r="O98" s="2" t="s">
        <v>53</v>
      </c>
      <c r="P98" s="2" t="s">
        <v>58</v>
      </c>
      <c r="Q98" s="2" t="s">
        <v>46</v>
      </c>
      <c r="R98" s="2" t="s">
        <v>18</v>
      </c>
      <c r="S98">
        <v>2</v>
      </c>
    </row>
    <row r="99" spans="1:19" x14ac:dyDescent="0.3">
      <c r="A99">
        <v>3975</v>
      </c>
      <c r="B99">
        <f>YEAR(Cleaned_HR_Data_Analysis__2[[#This Row],[Joining_Date]])</f>
        <v>2020</v>
      </c>
      <c r="C99" s="1">
        <v>44138</v>
      </c>
      <c r="D99" s="1" t="str" cm="1">
        <f t="array" ref="D99">_xlfn.IFS(E99&lt;28, "17-27",
AND(E99&gt;27, E99&lt;38), "28-37",
AND(E99&gt;37, E99 &lt;48), "38-47",
AND(E99&gt;47, E99 &lt;58), "48-57",
AND(E99&gt;57, E99&lt;68), "58-67",
AND(E99&gt;67, E99&lt;78), "68-77",
E99&gt;77,"Above than 77")</f>
        <v>17-27</v>
      </c>
      <c r="E99">
        <v>21</v>
      </c>
      <c r="F99" s="1">
        <v>36185</v>
      </c>
      <c r="G99" s="1" t="str">
        <f>VLOOKUP(H99,Table7[#All], 2, FALSE)</f>
        <v>Texas</v>
      </c>
      <c r="H99" s="2" t="s">
        <v>45</v>
      </c>
      <c r="I99" s="2" t="s">
        <v>22</v>
      </c>
      <c r="J99" s="2" t="s">
        <v>31</v>
      </c>
      <c r="K99" s="2" t="s">
        <v>82</v>
      </c>
      <c r="L99" s="2" t="s">
        <v>66</v>
      </c>
      <c r="M99" s="2" t="s">
        <v>20</v>
      </c>
      <c r="N99" s="2" t="s">
        <v>26</v>
      </c>
      <c r="O99" s="2" t="s">
        <v>53</v>
      </c>
      <c r="P99" s="2" t="s">
        <v>35</v>
      </c>
      <c r="Q99" s="2" t="s">
        <v>46</v>
      </c>
      <c r="R99" s="2" t="s">
        <v>18</v>
      </c>
      <c r="S99">
        <v>4</v>
      </c>
    </row>
    <row r="100" spans="1:19" x14ac:dyDescent="0.3">
      <c r="A100">
        <v>2644</v>
      </c>
      <c r="B100">
        <f>YEAR(Cleaned_HR_Data_Analysis__2[[#This Row],[Joining_Date]])</f>
        <v>2020</v>
      </c>
      <c r="C100" s="1">
        <v>44031</v>
      </c>
      <c r="D100" s="1" t="str" cm="1">
        <f t="array" ref="D100">_xlfn.IFS(E100&lt;28, "17-27",
AND(E100&gt;27, E100&lt;38), "28-37",
AND(E100&gt;37, E100 &lt;48), "38-47",
AND(E100&gt;47, E100 &lt;58), "48-57",
AND(E100&gt;57, E100&lt;68), "58-67",
AND(E100&gt;67, E100&lt;78), "68-77",
E100&gt;77,"Above than 77")</f>
        <v>17-27</v>
      </c>
      <c r="E100">
        <v>21</v>
      </c>
      <c r="F100" s="1">
        <v>36183</v>
      </c>
      <c r="G100" s="1" t="str">
        <f>VLOOKUP(H100,Table7[#All], 2, FALSE)</f>
        <v>Tennessee</v>
      </c>
      <c r="H100" s="2" t="s">
        <v>120</v>
      </c>
      <c r="I100" s="2" t="s">
        <v>22</v>
      </c>
      <c r="J100" s="2" t="s">
        <v>31</v>
      </c>
      <c r="K100" s="2" t="s">
        <v>24</v>
      </c>
      <c r="L100" s="2" t="s">
        <v>9</v>
      </c>
      <c r="M100" s="2" t="s">
        <v>25</v>
      </c>
      <c r="N100" s="2" t="s">
        <v>11</v>
      </c>
      <c r="O100" s="2" t="s">
        <v>27</v>
      </c>
      <c r="P100" s="2" t="s">
        <v>21</v>
      </c>
      <c r="Q100" s="2" t="s">
        <v>30</v>
      </c>
      <c r="R100" s="2" t="s">
        <v>18</v>
      </c>
      <c r="S100">
        <v>1</v>
      </c>
    </row>
    <row r="101" spans="1:19" x14ac:dyDescent="0.3">
      <c r="A101">
        <v>2595</v>
      </c>
      <c r="B101">
        <f>YEAR(Cleaned_HR_Data_Analysis__2[[#This Row],[Joining_Date]])</f>
        <v>2019</v>
      </c>
      <c r="C101" s="1">
        <v>43746</v>
      </c>
      <c r="D101" s="1" t="str" cm="1">
        <f t="array" ref="D101">_xlfn.IFS(E101&lt;28, "17-27",
AND(E101&gt;27, E101&lt;38), "28-37",
AND(E101&gt;37, E101 &lt;48), "38-47",
AND(E101&gt;47, E101 &lt;58), "48-57",
AND(E101&gt;57, E101&lt;68), "58-67",
AND(E101&gt;67, E101&lt;78), "68-77",
E101&gt;77,"Above than 77")</f>
        <v>17-27</v>
      </c>
      <c r="E101">
        <v>21</v>
      </c>
      <c r="F101" s="1">
        <v>35879</v>
      </c>
      <c r="G101" s="1" t="str">
        <f>VLOOKUP(H101,Table7[#All], 2, FALSE)</f>
        <v>Tennessee</v>
      </c>
      <c r="H101" s="2" t="s">
        <v>120</v>
      </c>
      <c r="I101" s="2" t="s">
        <v>22</v>
      </c>
      <c r="J101" s="2" t="s">
        <v>40</v>
      </c>
      <c r="K101" s="2" t="s">
        <v>24</v>
      </c>
      <c r="L101" s="2" t="s">
        <v>9</v>
      </c>
      <c r="M101" s="2" t="s">
        <v>20</v>
      </c>
      <c r="N101" s="2" t="s">
        <v>19</v>
      </c>
      <c r="O101" s="2" t="s">
        <v>27</v>
      </c>
      <c r="P101" s="2" t="s">
        <v>21</v>
      </c>
      <c r="Q101" s="2" t="s">
        <v>46</v>
      </c>
      <c r="R101" s="2" t="s">
        <v>18</v>
      </c>
      <c r="S101">
        <v>5</v>
      </c>
    </row>
    <row r="102" spans="1:19" x14ac:dyDescent="0.3">
      <c r="A102">
        <v>3468</v>
      </c>
      <c r="B102">
        <f>YEAR(Cleaned_HR_Data_Analysis__2[[#This Row],[Joining_Date]])</f>
        <v>2019</v>
      </c>
      <c r="C102" s="1">
        <v>43717</v>
      </c>
      <c r="D102" s="1" t="str" cm="1">
        <f t="array" ref="D102">_xlfn.IFS(E102&lt;28, "17-27",
AND(E102&gt;27, E102&lt;38), "28-37",
AND(E102&gt;37, E102 &lt;48), "38-47",
AND(E102&gt;47, E102 &lt;58), "48-57",
AND(E102&gt;57, E102&lt;68), "58-67",
AND(E102&gt;67, E102&lt;78), "68-77",
E102&gt;77,"Above than 77")</f>
        <v>17-27</v>
      </c>
      <c r="E102">
        <v>21</v>
      </c>
      <c r="F102" s="1">
        <v>35911</v>
      </c>
      <c r="G102" s="1" t="str">
        <f>VLOOKUP(H102,Table7[#All], 2, FALSE)</f>
        <v>Kentucky</v>
      </c>
      <c r="H102" s="2" t="s">
        <v>51</v>
      </c>
      <c r="I102" s="2" t="s">
        <v>15</v>
      </c>
      <c r="J102" s="2" t="s">
        <v>31</v>
      </c>
      <c r="K102" s="2" t="s">
        <v>24</v>
      </c>
      <c r="L102" s="2" t="s">
        <v>9</v>
      </c>
      <c r="M102" s="2" t="s">
        <v>10</v>
      </c>
      <c r="N102" s="2" t="s">
        <v>26</v>
      </c>
      <c r="O102" s="2" t="s">
        <v>27</v>
      </c>
      <c r="P102" s="2" t="s">
        <v>59</v>
      </c>
      <c r="Q102" s="2" t="s">
        <v>37</v>
      </c>
      <c r="R102" s="2" t="s">
        <v>18</v>
      </c>
      <c r="S102">
        <v>1</v>
      </c>
    </row>
    <row r="103" spans="1:19" x14ac:dyDescent="0.3">
      <c r="A103">
        <v>2672</v>
      </c>
      <c r="B103">
        <f>YEAR(Cleaned_HR_Data_Analysis__2[[#This Row],[Joining_Date]])</f>
        <v>2020</v>
      </c>
      <c r="C103" s="1">
        <v>43930</v>
      </c>
      <c r="D103" s="1" t="str" cm="1">
        <f t="array" ref="D103">_xlfn.IFS(E103&lt;28, "17-27",
AND(E103&gt;27, E103&lt;38), "28-37",
AND(E103&gt;37, E103 &lt;48), "38-47",
AND(E103&gt;47, E103 &lt;58), "48-57",
AND(E103&gt;57, E103&lt;68), "58-67",
AND(E103&gt;67, E103&lt;78), "68-77",
E103&gt;77,"Above than 77")</f>
        <v>17-27</v>
      </c>
      <c r="E103">
        <v>21</v>
      </c>
      <c r="F103" s="1">
        <v>36364</v>
      </c>
      <c r="G103" s="1" t="str">
        <f>VLOOKUP(H103,Table7[#All], 2, FALSE)</f>
        <v>Arizona</v>
      </c>
      <c r="H103" s="2" t="s">
        <v>114</v>
      </c>
      <c r="I103" s="2" t="s">
        <v>22</v>
      </c>
      <c r="J103" s="2" t="s">
        <v>34</v>
      </c>
      <c r="K103" s="2" t="s">
        <v>24</v>
      </c>
      <c r="L103" s="2" t="s">
        <v>9</v>
      </c>
      <c r="M103" s="2" t="s">
        <v>10</v>
      </c>
      <c r="N103" s="2" t="s">
        <v>19</v>
      </c>
      <c r="O103" s="2" t="s">
        <v>27</v>
      </c>
      <c r="P103" s="2" t="s">
        <v>55</v>
      </c>
      <c r="Q103" s="2" t="s">
        <v>46</v>
      </c>
      <c r="R103" s="2" t="s">
        <v>18</v>
      </c>
      <c r="S103">
        <v>2</v>
      </c>
    </row>
    <row r="104" spans="1:19" x14ac:dyDescent="0.3">
      <c r="A104">
        <v>1381</v>
      </c>
      <c r="B104">
        <f>YEAR(Cleaned_HR_Data_Analysis__2[[#This Row],[Joining_Date]])</f>
        <v>2022</v>
      </c>
      <c r="C104" s="1">
        <v>44851</v>
      </c>
      <c r="D104" s="1" t="str" cm="1">
        <f t="array" ref="D104">_xlfn.IFS(E104&lt;28, "17-27",
AND(E104&gt;27, E104&lt;38), "28-37",
AND(E104&gt;37, E104 &lt;48), "38-47",
AND(E104&gt;47, E104 &lt;58), "48-57",
AND(E104&gt;57, E104&lt;68), "58-67",
AND(E104&gt;67, E104&lt;78), "68-77",
E104&gt;77,"Above than 77")</f>
        <v>17-27</v>
      </c>
      <c r="E104">
        <v>22</v>
      </c>
      <c r="F104" s="1">
        <v>36831</v>
      </c>
      <c r="G104" s="1" t="str">
        <f>VLOOKUP(H104,Table7[#All], 2, FALSE)</f>
        <v>Massachusetts</v>
      </c>
      <c r="H104" s="2" t="s">
        <v>14</v>
      </c>
      <c r="I104" s="2" t="s">
        <v>15</v>
      </c>
      <c r="J104" s="2" t="s">
        <v>31</v>
      </c>
      <c r="K104" s="2" t="s">
        <v>72</v>
      </c>
      <c r="L104" s="2" t="s">
        <v>9</v>
      </c>
      <c r="M104" s="2" t="s">
        <v>25</v>
      </c>
      <c r="N104" s="2" t="s">
        <v>19</v>
      </c>
      <c r="O104" s="2" t="s">
        <v>53</v>
      </c>
      <c r="P104" s="2" t="s">
        <v>21</v>
      </c>
      <c r="Q104" s="2" t="s">
        <v>30</v>
      </c>
      <c r="R104" s="2" t="s">
        <v>65</v>
      </c>
      <c r="S104">
        <v>2</v>
      </c>
    </row>
    <row r="105" spans="1:19" x14ac:dyDescent="0.3">
      <c r="A105">
        <v>1375</v>
      </c>
      <c r="B105">
        <f>YEAR(Cleaned_HR_Data_Analysis__2[[#This Row],[Joining_Date]])</f>
        <v>2021</v>
      </c>
      <c r="C105" s="1">
        <v>44391</v>
      </c>
      <c r="D105" s="1" t="str" cm="1">
        <f t="array" ref="D105">_xlfn.IFS(E105&lt;28, "17-27",
AND(E105&gt;27, E105&lt;38), "28-37",
AND(E105&gt;37, E105 &lt;48), "38-47",
AND(E105&gt;47, E105 &lt;58), "48-57",
AND(E105&gt;57, E105&lt;68), "58-67",
AND(E105&gt;67, E105&lt;78), "68-77",
E105&gt;77,"Above than 77")</f>
        <v>17-27</v>
      </c>
      <c r="E105">
        <v>22</v>
      </c>
      <c r="F105" s="1">
        <v>36348</v>
      </c>
      <c r="G105" s="1" t="str">
        <f>VLOOKUP(H105,Table7[#All], 2, FALSE)</f>
        <v>Massachusetts</v>
      </c>
      <c r="H105" s="2" t="s">
        <v>14</v>
      </c>
      <c r="I105" s="2" t="s">
        <v>15</v>
      </c>
      <c r="J105" s="2" t="s">
        <v>40</v>
      </c>
      <c r="K105" s="2" t="s">
        <v>84</v>
      </c>
      <c r="L105" s="2" t="s">
        <v>9</v>
      </c>
      <c r="M105" s="2" t="s">
        <v>10</v>
      </c>
      <c r="N105" s="2" t="s">
        <v>26</v>
      </c>
      <c r="O105" s="2" t="s">
        <v>90</v>
      </c>
      <c r="P105" s="2" t="s">
        <v>68</v>
      </c>
      <c r="Q105" s="2" t="s">
        <v>46</v>
      </c>
      <c r="R105" s="2" t="s">
        <v>41</v>
      </c>
      <c r="S105">
        <v>3</v>
      </c>
    </row>
    <row r="106" spans="1:19" x14ac:dyDescent="0.3">
      <c r="A106">
        <v>3965</v>
      </c>
      <c r="B106">
        <f>YEAR(Cleaned_HR_Data_Analysis__2[[#This Row],[Joining_Date]])</f>
        <v>2020</v>
      </c>
      <c r="C106" s="1">
        <v>43943</v>
      </c>
      <c r="D106" s="1" t="str" cm="1">
        <f t="array" ref="D106">_xlfn.IFS(E106&lt;28, "17-27",
AND(E106&gt;27, E106&lt;38), "28-37",
AND(E106&gt;37, E106 &lt;48), "38-47",
AND(E106&gt;47, E106 &lt;58), "48-57",
AND(E106&gt;57, E106&lt;68), "58-67",
AND(E106&gt;67, E106&lt;78), "68-77",
E106&gt;77,"Above than 77")</f>
        <v>17-27</v>
      </c>
      <c r="E106">
        <v>22</v>
      </c>
      <c r="F106" s="1">
        <v>36100</v>
      </c>
      <c r="G106" s="1" t="str">
        <f>VLOOKUP(H106,Table7[#All], 2, FALSE)</f>
        <v>Massachusetts</v>
      </c>
      <c r="H106" s="2" t="s">
        <v>14</v>
      </c>
      <c r="I106" s="2" t="s">
        <v>15</v>
      </c>
      <c r="J106" s="2" t="s">
        <v>34</v>
      </c>
      <c r="K106" s="2" t="s">
        <v>85</v>
      </c>
      <c r="L106" s="2" t="s">
        <v>9</v>
      </c>
      <c r="M106" s="2" t="s">
        <v>10</v>
      </c>
      <c r="N106" s="2" t="s">
        <v>26</v>
      </c>
      <c r="O106" s="2" t="s">
        <v>53</v>
      </c>
      <c r="P106" s="2" t="s">
        <v>32</v>
      </c>
      <c r="Q106" s="2" t="s">
        <v>30</v>
      </c>
      <c r="R106" s="2" t="s">
        <v>18</v>
      </c>
      <c r="S106">
        <v>1</v>
      </c>
    </row>
    <row r="107" spans="1:19" x14ac:dyDescent="0.3">
      <c r="A107">
        <v>2509</v>
      </c>
      <c r="B107">
        <f>YEAR(Cleaned_HR_Data_Analysis__2[[#This Row],[Joining_Date]])</f>
        <v>2020</v>
      </c>
      <c r="C107" s="1">
        <v>44095</v>
      </c>
      <c r="D107" s="1" t="str" cm="1">
        <f t="array" ref="D107">_xlfn.IFS(E107&lt;28, "17-27",
AND(E107&gt;27, E107&lt;38), "28-37",
AND(E107&gt;37, E107 &lt;48), "38-47",
AND(E107&gt;47, E107 &lt;58), "48-57",
AND(E107&gt;57, E107&lt;68), "58-67",
AND(E107&gt;67, E107&lt;78), "68-77",
E107&gt;77,"Above than 77")</f>
        <v>17-27</v>
      </c>
      <c r="E107">
        <v>22</v>
      </c>
      <c r="F107" s="1">
        <v>35873</v>
      </c>
      <c r="G107" s="1" t="str">
        <f>VLOOKUP(H107,Table7[#All], 2, FALSE)</f>
        <v>Massachusetts</v>
      </c>
      <c r="H107" s="2" t="s">
        <v>14</v>
      </c>
      <c r="I107" s="2" t="s">
        <v>15</v>
      </c>
      <c r="J107" s="2" t="s">
        <v>34</v>
      </c>
      <c r="K107" s="2" t="s">
        <v>86</v>
      </c>
      <c r="L107" s="2" t="s">
        <v>9</v>
      </c>
      <c r="M107" s="2" t="s">
        <v>20</v>
      </c>
      <c r="N107" s="2" t="s">
        <v>11</v>
      </c>
      <c r="O107" s="2" t="s">
        <v>87</v>
      </c>
      <c r="P107" s="2" t="s">
        <v>67</v>
      </c>
      <c r="Q107" s="2" t="s">
        <v>23</v>
      </c>
      <c r="R107" s="2" t="s">
        <v>18</v>
      </c>
      <c r="S107">
        <v>2</v>
      </c>
    </row>
    <row r="108" spans="1:19" x14ac:dyDescent="0.3">
      <c r="A108">
        <v>1714</v>
      </c>
      <c r="B108">
        <f>YEAR(Cleaned_HR_Data_Analysis__2[[#This Row],[Joining_Date]])</f>
        <v>2022</v>
      </c>
      <c r="C108" s="1">
        <v>44573</v>
      </c>
      <c r="D108" s="1" t="str" cm="1">
        <f t="array" ref="D108">_xlfn.IFS(E108&lt;28, "17-27",
AND(E108&gt;27, E108&lt;38), "28-37",
AND(E108&gt;37, E108 &lt;48), "38-47",
AND(E108&gt;47, E108 &lt;58), "48-57",
AND(E108&gt;57, E108&lt;68), "58-67",
AND(E108&gt;67, E108&lt;78), "68-77",
E108&gt;77,"Above than 77")</f>
        <v>17-27</v>
      </c>
      <c r="E108">
        <v>22</v>
      </c>
      <c r="F108" s="1">
        <v>36636</v>
      </c>
      <c r="G108" s="1" t="str">
        <f>VLOOKUP(H108,Table7[#All], 2, FALSE)</f>
        <v>Massachusetts</v>
      </c>
      <c r="H108" s="2" t="s">
        <v>14</v>
      </c>
      <c r="I108" s="2" t="s">
        <v>15</v>
      </c>
      <c r="J108" s="2" t="s">
        <v>34</v>
      </c>
      <c r="K108" s="2" t="s">
        <v>98</v>
      </c>
      <c r="L108" s="2" t="s">
        <v>9</v>
      </c>
      <c r="M108" s="2" t="s">
        <v>25</v>
      </c>
      <c r="N108" s="2" t="s">
        <v>26</v>
      </c>
      <c r="O108" s="2" t="s">
        <v>27</v>
      </c>
      <c r="P108" s="2" t="s">
        <v>35</v>
      </c>
      <c r="Q108" s="2" t="s">
        <v>16</v>
      </c>
      <c r="R108" s="2" t="s">
        <v>18</v>
      </c>
      <c r="S108">
        <v>2</v>
      </c>
    </row>
    <row r="109" spans="1:19" x14ac:dyDescent="0.3">
      <c r="A109">
        <v>3738</v>
      </c>
      <c r="B109">
        <f>YEAR(Cleaned_HR_Data_Analysis__2[[#This Row],[Joining_Date]])</f>
        <v>2022</v>
      </c>
      <c r="C109" s="1">
        <v>44666</v>
      </c>
      <c r="D109" s="1" t="str" cm="1">
        <f t="array" ref="D109">_xlfn.IFS(E109&lt;28, "17-27",
AND(E109&gt;27, E109&lt;38), "28-37",
AND(E109&gt;37, E109 &lt;48), "38-47",
AND(E109&gt;47, E109 &lt;58), "48-57",
AND(E109&gt;57, E109&lt;68), "58-67",
AND(E109&gt;67, E109&lt;78), "68-77",
E109&gt;77,"Above than 77")</f>
        <v>17-27</v>
      </c>
      <c r="E109">
        <v>22</v>
      </c>
      <c r="F109" s="1">
        <v>36772</v>
      </c>
      <c r="G109" s="1" t="str">
        <f>VLOOKUP(H109,Table7[#All], 2, FALSE)</f>
        <v>Massachusetts</v>
      </c>
      <c r="H109" s="2" t="s">
        <v>14</v>
      </c>
      <c r="I109" s="2" t="s">
        <v>15</v>
      </c>
      <c r="J109" s="2" t="s">
        <v>17</v>
      </c>
      <c r="K109" s="2" t="s">
        <v>64</v>
      </c>
      <c r="L109" s="2" t="s">
        <v>66</v>
      </c>
      <c r="M109" s="2" t="s">
        <v>25</v>
      </c>
      <c r="N109" s="2" t="s">
        <v>19</v>
      </c>
      <c r="O109" s="2" t="s">
        <v>12</v>
      </c>
      <c r="P109" s="2" t="s">
        <v>32</v>
      </c>
      <c r="Q109" s="2" t="s">
        <v>23</v>
      </c>
      <c r="R109" s="2" t="s">
        <v>18</v>
      </c>
      <c r="S109">
        <v>3</v>
      </c>
    </row>
    <row r="110" spans="1:19" x14ac:dyDescent="0.3">
      <c r="A110">
        <v>3301</v>
      </c>
      <c r="B110">
        <f>YEAR(Cleaned_HR_Data_Analysis__2[[#This Row],[Joining_Date]])</f>
        <v>2019</v>
      </c>
      <c r="C110" s="1">
        <v>43598</v>
      </c>
      <c r="D110" s="1" t="str" cm="1">
        <f t="array" ref="D110">_xlfn.IFS(E110&lt;28, "17-27",
AND(E110&gt;27, E110&lt;38), "28-37",
AND(E110&gt;37, E110 &lt;48), "38-47",
AND(E110&gt;47, E110 &lt;58), "48-57",
AND(E110&gt;57, E110&lt;68), "58-67",
AND(E110&gt;67, E110&lt;78), "68-77",
E110&gt;77,"Above than 77")</f>
        <v>17-27</v>
      </c>
      <c r="E110">
        <v>22</v>
      </c>
      <c r="F110" s="1">
        <v>35669</v>
      </c>
      <c r="G110" s="1" t="str">
        <f>VLOOKUP(H110,Table7[#All], 2, FALSE)</f>
        <v>Massachusetts</v>
      </c>
      <c r="H110" s="2" t="s">
        <v>14</v>
      </c>
      <c r="I110" s="2" t="s">
        <v>22</v>
      </c>
      <c r="J110" s="2" t="s">
        <v>40</v>
      </c>
      <c r="K110" s="2" t="s">
        <v>64</v>
      </c>
      <c r="L110" s="2" t="s">
        <v>66</v>
      </c>
      <c r="M110" s="2" t="s">
        <v>10</v>
      </c>
      <c r="N110" s="2" t="s">
        <v>26</v>
      </c>
      <c r="O110" s="2" t="s">
        <v>12</v>
      </c>
      <c r="P110" s="2" t="s">
        <v>35</v>
      </c>
      <c r="Q110" s="2" t="s">
        <v>37</v>
      </c>
      <c r="R110" s="2" t="s">
        <v>18</v>
      </c>
      <c r="S110">
        <v>2</v>
      </c>
    </row>
    <row r="111" spans="1:19" x14ac:dyDescent="0.3">
      <c r="A111">
        <v>3180</v>
      </c>
      <c r="B111">
        <f>YEAR(Cleaned_HR_Data_Analysis__2[[#This Row],[Joining_Date]])</f>
        <v>2019</v>
      </c>
      <c r="C111" s="1">
        <v>43623</v>
      </c>
      <c r="D111" s="1" t="str" cm="1">
        <f t="array" ref="D111">_xlfn.IFS(E111&lt;28, "17-27",
AND(E111&gt;27, E111&lt;38), "28-37",
AND(E111&gt;37, E111 &lt;48), "38-47",
AND(E111&gt;47, E111 &lt;58), "48-57",
AND(E111&gt;57, E111&lt;68), "58-67",
AND(E111&gt;67, E111&lt;78), "68-77",
E111&gt;77,"Above than 77")</f>
        <v>17-27</v>
      </c>
      <c r="E111">
        <v>22</v>
      </c>
      <c r="F111" s="1">
        <v>35730</v>
      </c>
      <c r="G111" s="1" t="str">
        <f>VLOOKUP(H111,Table7[#All], 2, FALSE)</f>
        <v>Massachusetts</v>
      </c>
      <c r="H111" s="2" t="s">
        <v>14</v>
      </c>
      <c r="I111" s="2" t="s">
        <v>15</v>
      </c>
      <c r="J111" s="2" t="s">
        <v>40</v>
      </c>
      <c r="K111" s="2" t="s">
        <v>64</v>
      </c>
      <c r="L111" s="2" t="s">
        <v>66</v>
      </c>
      <c r="M111" s="2" t="s">
        <v>25</v>
      </c>
      <c r="N111" s="2" t="s">
        <v>26</v>
      </c>
      <c r="O111" s="2" t="s">
        <v>12</v>
      </c>
      <c r="P111" s="2" t="s">
        <v>35</v>
      </c>
      <c r="Q111" s="2" t="s">
        <v>23</v>
      </c>
      <c r="R111" s="2" t="s">
        <v>18</v>
      </c>
      <c r="S111">
        <v>1</v>
      </c>
    </row>
    <row r="112" spans="1:19" x14ac:dyDescent="0.3">
      <c r="A112">
        <v>2187</v>
      </c>
      <c r="B112">
        <f>YEAR(Cleaned_HR_Data_Analysis__2[[#This Row],[Joining_Date]])</f>
        <v>2020</v>
      </c>
      <c r="C112" s="1">
        <v>43889</v>
      </c>
      <c r="D112" s="1" t="str" cm="1">
        <f t="array" ref="D112">_xlfn.IFS(E112&lt;28, "17-27",
AND(E112&gt;27, E112&lt;38), "28-37",
AND(E112&gt;37, E112 &lt;48), "38-47",
AND(E112&gt;47, E112 &lt;58), "48-57",
AND(E112&gt;57, E112&lt;68), "58-67",
AND(E112&gt;67, E112&lt;78), "68-77",
E112&gt;77,"Above than 77")</f>
        <v>17-27</v>
      </c>
      <c r="E112">
        <v>22</v>
      </c>
      <c r="F112" s="1">
        <v>35821</v>
      </c>
      <c r="G112" s="1" t="str">
        <f>VLOOKUP(H112,Table7[#All], 2, FALSE)</f>
        <v>Massachusetts</v>
      </c>
      <c r="H112" s="2" t="s">
        <v>14</v>
      </c>
      <c r="I112" s="2" t="s">
        <v>15</v>
      </c>
      <c r="J112" s="2" t="s">
        <v>34</v>
      </c>
      <c r="K112" s="2" t="s">
        <v>64</v>
      </c>
      <c r="L112" s="2" t="s">
        <v>9</v>
      </c>
      <c r="M112" s="2" t="s">
        <v>20</v>
      </c>
      <c r="N112" s="2" t="s">
        <v>26</v>
      </c>
      <c r="O112" s="2" t="s">
        <v>12</v>
      </c>
      <c r="P112" s="2" t="s">
        <v>42</v>
      </c>
      <c r="Q112" s="2" t="s">
        <v>23</v>
      </c>
      <c r="R112" s="2" t="s">
        <v>41</v>
      </c>
      <c r="S112">
        <v>1</v>
      </c>
    </row>
    <row r="113" spans="1:19" x14ac:dyDescent="0.3">
      <c r="A113">
        <v>2166</v>
      </c>
      <c r="B113">
        <f>YEAR(Cleaned_HR_Data_Analysis__2[[#This Row],[Joining_Date]])</f>
        <v>2019</v>
      </c>
      <c r="C113" s="1">
        <v>43544</v>
      </c>
      <c r="D113" s="1" t="str" cm="1">
        <f t="array" ref="D113">_xlfn.IFS(E113&lt;28, "17-27",
AND(E113&gt;27, E113&lt;38), "28-37",
AND(E113&gt;37, E113 &lt;48), "38-47",
AND(E113&gt;47, E113 &lt;58), "48-57",
AND(E113&gt;57, E113&lt;68), "58-67",
AND(E113&gt;67, E113&lt;78), "68-77",
E113&gt;77,"Above than 77")</f>
        <v>17-27</v>
      </c>
      <c r="E113">
        <v>22</v>
      </c>
      <c r="F113" s="1">
        <v>35682</v>
      </c>
      <c r="G113" s="1" t="str">
        <f>VLOOKUP(H113,Table7[#All], 2, FALSE)</f>
        <v>Massachusetts</v>
      </c>
      <c r="H113" s="2" t="s">
        <v>14</v>
      </c>
      <c r="I113" s="2" t="s">
        <v>15</v>
      </c>
      <c r="J113" s="2" t="s">
        <v>17</v>
      </c>
      <c r="K113" s="2" t="s">
        <v>64</v>
      </c>
      <c r="L113" s="2" t="s">
        <v>9</v>
      </c>
      <c r="M113" s="2" t="s">
        <v>10</v>
      </c>
      <c r="N113" s="2" t="s">
        <v>26</v>
      </c>
      <c r="O113" s="2" t="s">
        <v>12</v>
      </c>
      <c r="P113" s="2" t="s">
        <v>35</v>
      </c>
      <c r="Q113" s="2" t="s">
        <v>46</v>
      </c>
      <c r="R113" s="2" t="s">
        <v>41</v>
      </c>
      <c r="S113">
        <v>2</v>
      </c>
    </row>
    <row r="114" spans="1:19" x14ac:dyDescent="0.3">
      <c r="A114">
        <v>2121</v>
      </c>
      <c r="B114">
        <f>YEAR(Cleaned_HR_Data_Analysis__2[[#This Row],[Joining_Date]])</f>
        <v>2020</v>
      </c>
      <c r="C114" s="1">
        <v>44063</v>
      </c>
      <c r="D114" s="1" t="str" cm="1">
        <f t="array" ref="D114">_xlfn.IFS(E114&lt;28, "17-27",
AND(E114&gt;27, E114&lt;38), "28-37",
AND(E114&gt;37, E114 &lt;48), "38-47",
AND(E114&gt;47, E114 &lt;58), "48-57",
AND(E114&gt;57, E114&lt;68), "58-67",
AND(E114&gt;67, E114&lt;78), "68-77",
E114&gt;77,"Above than 77")</f>
        <v>17-27</v>
      </c>
      <c r="E114">
        <v>22</v>
      </c>
      <c r="F114" s="1">
        <v>36049</v>
      </c>
      <c r="G114" s="1" t="str">
        <f>VLOOKUP(H114,Table7[#All], 2, FALSE)</f>
        <v>Massachusetts</v>
      </c>
      <c r="H114" s="2" t="s">
        <v>14</v>
      </c>
      <c r="I114" s="2" t="s">
        <v>15</v>
      </c>
      <c r="J114" s="2" t="s">
        <v>34</v>
      </c>
      <c r="K114" s="2" t="s">
        <v>64</v>
      </c>
      <c r="L114" s="2" t="s">
        <v>9</v>
      </c>
      <c r="M114" s="2" t="s">
        <v>20</v>
      </c>
      <c r="N114" s="2" t="s">
        <v>19</v>
      </c>
      <c r="O114" s="2" t="s">
        <v>12</v>
      </c>
      <c r="P114" s="2" t="s">
        <v>49</v>
      </c>
      <c r="Q114" s="2" t="s">
        <v>46</v>
      </c>
      <c r="R114" s="2" t="s">
        <v>41</v>
      </c>
      <c r="S114">
        <v>1</v>
      </c>
    </row>
    <row r="115" spans="1:19" x14ac:dyDescent="0.3">
      <c r="A115">
        <v>1538</v>
      </c>
      <c r="B115">
        <f>YEAR(Cleaned_HR_Data_Analysis__2[[#This Row],[Joining_Date]])</f>
        <v>2023</v>
      </c>
      <c r="C115" s="1">
        <v>44946</v>
      </c>
      <c r="D115" s="1" t="str" cm="1">
        <f t="array" ref="D115">_xlfn.IFS(E115&lt;28, "17-27",
AND(E115&gt;27, E115&lt;38), "28-37",
AND(E115&gt;37, E115 &lt;48), "38-47",
AND(E115&gt;47, E115 &lt;58), "48-57",
AND(E115&gt;57, E115&lt;68), "58-67",
AND(E115&gt;67, E115&lt;78), "68-77",
E115&gt;77,"Above than 77")</f>
        <v>17-27</v>
      </c>
      <c r="E115">
        <v>22</v>
      </c>
      <c r="F115" s="1">
        <v>36909</v>
      </c>
      <c r="G115" s="1" t="str">
        <f>VLOOKUP(H115,Table7[#All], 2, FALSE)</f>
        <v>Massachusetts</v>
      </c>
      <c r="H115" s="2" t="s">
        <v>14</v>
      </c>
      <c r="I115" s="2" t="s">
        <v>22</v>
      </c>
      <c r="J115" s="2" t="s">
        <v>17</v>
      </c>
      <c r="K115" s="2" t="s">
        <v>64</v>
      </c>
      <c r="L115" s="2" t="s">
        <v>9</v>
      </c>
      <c r="M115" s="2" t="s">
        <v>10</v>
      </c>
      <c r="N115" s="2" t="s">
        <v>26</v>
      </c>
      <c r="O115" s="2" t="s">
        <v>12</v>
      </c>
      <c r="P115" s="2" t="s">
        <v>49</v>
      </c>
      <c r="Q115" s="2" t="s">
        <v>16</v>
      </c>
      <c r="R115" s="2" t="s">
        <v>18</v>
      </c>
      <c r="S115">
        <v>4</v>
      </c>
    </row>
    <row r="116" spans="1:19" x14ac:dyDescent="0.3">
      <c r="A116">
        <v>1235</v>
      </c>
      <c r="B116">
        <f>YEAR(Cleaned_HR_Data_Analysis__2[[#This Row],[Joining_Date]])</f>
        <v>2020</v>
      </c>
      <c r="C116" s="1">
        <v>43935</v>
      </c>
      <c r="D116" s="1" t="str" cm="1">
        <f t="array" ref="D116">_xlfn.IFS(E116&lt;28, "17-27",
AND(E116&gt;27, E116&lt;38), "28-37",
AND(E116&gt;37, E116 &lt;48), "38-47",
AND(E116&gt;47, E116 &lt;58), "48-57",
AND(E116&gt;57, E116&lt;68), "58-67",
AND(E116&gt;67, E116&lt;78), "68-77",
E116&gt;77,"Above than 77")</f>
        <v>17-27</v>
      </c>
      <c r="E116">
        <v>22</v>
      </c>
      <c r="F116" s="1">
        <v>35932</v>
      </c>
      <c r="G116" s="1" t="str">
        <f>VLOOKUP(H116,Table7[#All], 2, FALSE)</f>
        <v>Massachusetts</v>
      </c>
      <c r="H116" s="2" t="s">
        <v>14</v>
      </c>
      <c r="I116" s="2" t="s">
        <v>15</v>
      </c>
      <c r="J116" s="2" t="s">
        <v>17</v>
      </c>
      <c r="K116" s="2" t="s">
        <v>64</v>
      </c>
      <c r="L116" s="2" t="s">
        <v>9</v>
      </c>
      <c r="M116" s="2" t="s">
        <v>25</v>
      </c>
      <c r="N116" s="2" t="s">
        <v>26</v>
      </c>
      <c r="O116" s="2" t="s">
        <v>12</v>
      </c>
      <c r="P116" s="2" t="s">
        <v>32</v>
      </c>
      <c r="Q116" s="2" t="s">
        <v>30</v>
      </c>
      <c r="R116" s="2" t="s">
        <v>18</v>
      </c>
      <c r="S116">
        <v>5</v>
      </c>
    </row>
    <row r="117" spans="1:19" x14ac:dyDescent="0.3">
      <c r="A117">
        <v>1190</v>
      </c>
      <c r="B117">
        <f>YEAR(Cleaned_HR_Data_Analysis__2[[#This Row],[Joining_Date]])</f>
        <v>2020</v>
      </c>
      <c r="C117" s="1">
        <v>44187</v>
      </c>
      <c r="D117" s="1" t="str" cm="1">
        <f t="array" ref="D117">_xlfn.IFS(E117&lt;28, "17-27",
AND(E117&gt;27, E117&lt;38), "28-37",
AND(E117&gt;37, E117 &lt;48), "38-47",
AND(E117&gt;47, E117 &lt;58), "48-57",
AND(E117&gt;57, E117&lt;68), "58-67",
AND(E117&gt;67, E117&lt;78), "68-77",
E117&gt;77,"Above than 77")</f>
        <v>17-27</v>
      </c>
      <c r="E117">
        <v>22</v>
      </c>
      <c r="F117" s="1">
        <v>35905</v>
      </c>
      <c r="G117" s="1" t="str">
        <f>VLOOKUP(H117,Table7[#All], 2, FALSE)</f>
        <v>Massachusetts</v>
      </c>
      <c r="H117" s="2" t="s">
        <v>14</v>
      </c>
      <c r="I117" s="2" t="s">
        <v>15</v>
      </c>
      <c r="J117" s="2" t="s">
        <v>34</v>
      </c>
      <c r="K117" s="2" t="s">
        <v>64</v>
      </c>
      <c r="L117" s="2" t="s">
        <v>66</v>
      </c>
      <c r="M117" s="2" t="s">
        <v>10</v>
      </c>
      <c r="N117" s="2" t="s">
        <v>26</v>
      </c>
      <c r="O117" s="2" t="s">
        <v>12</v>
      </c>
      <c r="P117" s="2" t="s">
        <v>57</v>
      </c>
      <c r="Q117" s="2" t="s">
        <v>23</v>
      </c>
      <c r="R117" s="2" t="s">
        <v>18</v>
      </c>
      <c r="S117">
        <v>5</v>
      </c>
    </row>
    <row r="118" spans="1:19" x14ac:dyDescent="0.3">
      <c r="A118">
        <v>3794</v>
      </c>
      <c r="B118">
        <f>YEAR(Cleaned_HR_Data_Analysis__2[[#This Row],[Joining_Date]])</f>
        <v>2018</v>
      </c>
      <c r="C118" s="1">
        <v>43352</v>
      </c>
      <c r="D118" s="1" t="str" cm="1">
        <f t="array" ref="D118">_xlfn.IFS(E118&lt;28, "17-27",
AND(E118&gt;27, E118&lt;38), "28-37",
AND(E118&gt;37, E118 &lt;48), "38-47",
AND(E118&gt;47, E118 &lt;58), "48-57",
AND(E118&gt;57, E118&lt;68), "58-67",
AND(E118&gt;67, E118&lt;78), "68-77",
E118&gt;77,"Above than 77")</f>
        <v>17-27</v>
      </c>
      <c r="E118">
        <v>22</v>
      </c>
      <c r="F118" s="1">
        <v>35084</v>
      </c>
      <c r="G118" s="1" t="str">
        <f>VLOOKUP(H118,Table7[#All], 2, FALSE)</f>
        <v>Massachusetts</v>
      </c>
      <c r="H118" s="2" t="s">
        <v>14</v>
      </c>
      <c r="I118" s="2" t="s">
        <v>22</v>
      </c>
      <c r="J118" s="2" t="s">
        <v>17</v>
      </c>
      <c r="K118" s="2" t="s">
        <v>8</v>
      </c>
      <c r="L118" s="2" t="s">
        <v>9</v>
      </c>
      <c r="M118" s="2" t="s">
        <v>10</v>
      </c>
      <c r="N118" s="2" t="s">
        <v>19</v>
      </c>
      <c r="O118" s="2" t="s">
        <v>12</v>
      </c>
      <c r="P118" s="2" t="s">
        <v>32</v>
      </c>
      <c r="Q118" s="2" t="s">
        <v>46</v>
      </c>
      <c r="R118" s="2" t="s">
        <v>18</v>
      </c>
      <c r="S118">
        <v>1</v>
      </c>
    </row>
    <row r="119" spans="1:19" x14ac:dyDescent="0.3">
      <c r="A119">
        <v>3731</v>
      </c>
      <c r="B119">
        <f>YEAR(Cleaned_HR_Data_Analysis__2[[#This Row],[Joining_Date]])</f>
        <v>2020</v>
      </c>
      <c r="C119" s="1">
        <v>43889</v>
      </c>
      <c r="D119" s="1" t="str" cm="1">
        <f t="array" ref="D119">_xlfn.IFS(E119&lt;28, "17-27",
AND(E119&gt;27, E119&lt;38), "28-37",
AND(E119&gt;37, E119 &lt;48), "38-47",
AND(E119&gt;47, E119 &lt;58), "48-57",
AND(E119&gt;57, E119&lt;68), "58-67",
AND(E119&gt;67, E119&lt;78), "68-77",
E119&gt;77,"Above than 77")</f>
        <v>17-27</v>
      </c>
      <c r="E119">
        <v>22</v>
      </c>
      <c r="F119" s="1">
        <v>35980</v>
      </c>
      <c r="G119" s="1" t="str">
        <f>VLOOKUP(H119,Table7[#All], 2, FALSE)</f>
        <v>Massachusetts</v>
      </c>
      <c r="H119" s="2" t="s">
        <v>14</v>
      </c>
      <c r="I119" s="2" t="s">
        <v>22</v>
      </c>
      <c r="J119" s="2" t="s">
        <v>31</v>
      </c>
      <c r="K119" s="2" t="s">
        <v>8</v>
      </c>
      <c r="L119" s="2" t="s">
        <v>9</v>
      </c>
      <c r="M119" s="2" t="s">
        <v>20</v>
      </c>
      <c r="N119" s="2" t="s">
        <v>26</v>
      </c>
      <c r="O119" s="2" t="s">
        <v>12</v>
      </c>
      <c r="P119" s="2" t="s">
        <v>35</v>
      </c>
      <c r="Q119" s="2" t="s">
        <v>23</v>
      </c>
      <c r="R119" s="2" t="s">
        <v>18</v>
      </c>
      <c r="S119">
        <v>4</v>
      </c>
    </row>
    <row r="120" spans="1:19" x14ac:dyDescent="0.3">
      <c r="A120">
        <v>3678</v>
      </c>
      <c r="B120">
        <f>YEAR(Cleaned_HR_Data_Analysis__2[[#This Row],[Joining_Date]])</f>
        <v>2021</v>
      </c>
      <c r="C120" s="1">
        <v>44399</v>
      </c>
      <c r="D120" s="1" t="str" cm="1">
        <f t="array" ref="D120">_xlfn.IFS(E120&lt;28, "17-27",
AND(E120&gt;27, E120&lt;38), "28-37",
AND(E120&gt;37, E120 &lt;48), "38-47",
AND(E120&gt;47, E120 &lt;58), "48-57",
AND(E120&gt;57, E120&lt;68), "58-67",
AND(E120&gt;67, E120&lt;78), "68-77",
E120&gt;77,"Above than 77")</f>
        <v>17-27</v>
      </c>
      <c r="E120">
        <v>22</v>
      </c>
      <c r="F120" s="1">
        <v>36304</v>
      </c>
      <c r="G120" s="1" t="str">
        <f>VLOOKUP(H120,Table7[#All], 2, FALSE)</f>
        <v>Massachusetts</v>
      </c>
      <c r="H120" s="2" t="s">
        <v>14</v>
      </c>
      <c r="I120" s="2" t="s">
        <v>22</v>
      </c>
      <c r="J120" s="2" t="s">
        <v>31</v>
      </c>
      <c r="K120" s="2" t="s">
        <v>8</v>
      </c>
      <c r="L120" s="2" t="s">
        <v>9</v>
      </c>
      <c r="M120" s="2" t="s">
        <v>25</v>
      </c>
      <c r="N120" s="2" t="s">
        <v>19</v>
      </c>
      <c r="O120" s="2" t="s">
        <v>12</v>
      </c>
      <c r="P120" s="2" t="s">
        <v>38</v>
      </c>
      <c r="Q120" s="2" t="s">
        <v>46</v>
      </c>
      <c r="R120" s="2" t="s">
        <v>18</v>
      </c>
      <c r="S120">
        <v>4</v>
      </c>
    </row>
    <row r="121" spans="1:19" x14ac:dyDescent="0.3">
      <c r="A121">
        <v>3417</v>
      </c>
      <c r="B121">
        <f>YEAR(Cleaned_HR_Data_Analysis__2[[#This Row],[Joining_Date]])</f>
        <v>2022</v>
      </c>
      <c r="C121" s="1">
        <v>44599</v>
      </c>
      <c r="D121" s="1" t="str" cm="1">
        <f t="array" ref="D121">_xlfn.IFS(E121&lt;28, "17-27",
AND(E121&gt;27, E121&lt;38), "28-37",
AND(E121&gt;37, E121 &lt;48), "38-47",
AND(E121&gt;47, E121 &lt;58), "48-57",
AND(E121&gt;57, E121&lt;68), "58-67",
AND(E121&gt;67, E121&lt;78), "68-77",
E121&gt;77,"Above than 77")</f>
        <v>17-27</v>
      </c>
      <c r="E121">
        <v>22</v>
      </c>
      <c r="F121" s="1">
        <v>36795</v>
      </c>
      <c r="G121" s="1" t="str">
        <f>VLOOKUP(H121,Table7[#All], 2, FALSE)</f>
        <v>Massachusetts</v>
      </c>
      <c r="H121" s="2" t="s">
        <v>14</v>
      </c>
      <c r="I121" s="2" t="s">
        <v>15</v>
      </c>
      <c r="J121" s="2" t="s">
        <v>17</v>
      </c>
      <c r="K121" s="2" t="s">
        <v>8</v>
      </c>
      <c r="L121" s="2" t="s">
        <v>9</v>
      </c>
      <c r="M121" s="2" t="s">
        <v>20</v>
      </c>
      <c r="N121" s="2" t="s">
        <v>19</v>
      </c>
      <c r="O121" s="2" t="s">
        <v>12</v>
      </c>
      <c r="P121" s="2" t="s">
        <v>49</v>
      </c>
      <c r="Q121" s="2" t="s">
        <v>30</v>
      </c>
      <c r="R121" s="2" t="s">
        <v>18</v>
      </c>
      <c r="S121">
        <v>5</v>
      </c>
    </row>
    <row r="122" spans="1:19" x14ac:dyDescent="0.3">
      <c r="A122">
        <v>3192</v>
      </c>
      <c r="B122">
        <f>YEAR(Cleaned_HR_Data_Analysis__2[[#This Row],[Joining_Date]])</f>
        <v>2019</v>
      </c>
      <c r="C122" s="1">
        <v>43576</v>
      </c>
      <c r="D122" s="1" t="str" cm="1">
        <f t="array" ref="D122">_xlfn.IFS(E122&lt;28, "17-27",
AND(E122&gt;27, E122&lt;38), "28-37",
AND(E122&gt;37, E122 &lt;48), "38-47",
AND(E122&gt;47, E122 &lt;58), "48-57",
AND(E122&gt;57, E122&lt;68), "58-67",
AND(E122&gt;67, E122&lt;78), "68-77",
E122&gt;77,"Above than 77")</f>
        <v>17-27</v>
      </c>
      <c r="E122">
        <v>22</v>
      </c>
      <c r="F122" s="1">
        <v>35442</v>
      </c>
      <c r="G122" s="1" t="str">
        <f>VLOOKUP(H122,Table7[#All], 2, FALSE)</f>
        <v>Massachusetts</v>
      </c>
      <c r="H122" s="2" t="s">
        <v>14</v>
      </c>
      <c r="I122" s="2" t="s">
        <v>15</v>
      </c>
      <c r="J122" s="2" t="s">
        <v>31</v>
      </c>
      <c r="K122" s="2" t="s">
        <v>8</v>
      </c>
      <c r="L122" s="2" t="s">
        <v>9</v>
      </c>
      <c r="M122" s="2" t="s">
        <v>25</v>
      </c>
      <c r="N122" s="2" t="s">
        <v>19</v>
      </c>
      <c r="O122" s="2" t="s">
        <v>12</v>
      </c>
      <c r="P122" s="2" t="s">
        <v>21</v>
      </c>
      <c r="Q122" s="2" t="s">
        <v>37</v>
      </c>
      <c r="R122" s="2" t="s">
        <v>18</v>
      </c>
      <c r="S122">
        <v>4</v>
      </c>
    </row>
    <row r="123" spans="1:19" x14ac:dyDescent="0.3">
      <c r="A123">
        <v>3190</v>
      </c>
      <c r="B123">
        <f>YEAR(Cleaned_HR_Data_Analysis__2[[#This Row],[Joining_Date]])</f>
        <v>2020</v>
      </c>
      <c r="C123" s="1">
        <v>44150</v>
      </c>
      <c r="D123" s="1" t="str" cm="1">
        <f t="array" ref="D123">_xlfn.IFS(E123&lt;28, "17-27",
AND(E123&gt;27, E123&lt;38), "28-37",
AND(E123&gt;37, E123 &lt;48), "38-47",
AND(E123&gt;47, E123 &lt;58), "48-57",
AND(E123&gt;57, E123&lt;68), "58-67",
AND(E123&gt;67, E123&lt;78), "68-77",
E123&gt;77,"Above than 77")</f>
        <v>17-27</v>
      </c>
      <c r="E123">
        <v>22</v>
      </c>
      <c r="F123" s="1">
        <v>35836</v>
      </c>
      <c r="G123" s="1" t="str">
        <f>VLOOKUP(H123,Table7[#All], 2, FALSE)</f>
        <v>Massachusetts</v>
      </c>
      <c r="H123" s="2" t="s">
        <v>14</v>
      </c>
      <c r="I123" s="2" t="s">
        <v>22</v>
      </c>
      <c r="J123" s="2" t="s">
        <v>40</v>
      </c>
      <c r="K123" s="2" t="s">
        <v>8</v>
      </c>
      <c r="L123" s="2" t="s">
        <v>9</v>
      </c>
      <c r="M123" s="2" t="s">
        <v>10</v>
      </c>
      <c r="N123" s="2" t="s">
        <v>11</v>
      </c>
      <c r="O123" s="2" t="s">
        <v>12</v>
      </c>
      <c r="P123" s="2" t="s">
        <v>32</v>
      </c>
      <c r="Q123" s="2" t="s">
        <v>16</v>
      </c>
      <c r="R123" s="2" t="s">
        <v>65</v>
      </c>
      <c r="S123">
        <v>5</v>
      </c>
    </row>
    <row r="124" spans="1:19" x14ac:dyDescent="0.3">
      <c r="A124">
        <v>3016</v>
      </c>
      <c r="B124">
        <f>YEAR(Cleaned_HR_Data_Analysis__2[[#This Row],[Joining_Date]])</f>
        <v>2022</v>
      </c>
      <c r="C124" s="1">
        <v>44566</v>
      </c>
      <c r="D124" s="1" t="str" cm="1">
        <f t="array" ref="D124">_xlfn.IFS(E124&lt;28, "17-27",
AND(E124&gt;27, E124&lt;38), "28-37",
AND(E124&gt;37, E124 &lt;48), "38-47",
AND(E124&gt;47, E124 &lt;58), "48-57",
AND(E124&gt;57, E124&lt;68), "58-67",
AND(E124&gt;67, E124&lt;78), "68-77",
E124&gt;77,"Above than 77")</f>
        <v>17-27</v>
      </c>
      <c r="E124">
        <v>22</v>
      </c>
      <c r="F124" s="1">
        <v>36709</v>
      </c>
      <c r="G124" s="1" t="str">
        <f>VLOOKUP(H124,Table7[#All], 2, FALSE)</f>
        <v>Massachusetts</v>
      </c>
      <c r="H124" s="2" t="s">
        <v>14</v>
      </c>
      <c r="I124" s="2" t="s">
        <v>22</v>
      </c>
      <c r="J124" s="2" t="s">
        <v>17</v>
      </c>
      <c r="K124" s="2" t="s">
        <v>8</v>
      </c>
      <c r="L124" s="2" t="s">
        <v>9</v>
      </c>
      <c r="M124" s="2" t="s">
        <v>20</v>
      </c>
      <c r="N124" s="2" t="s">
        <v>19</v>
      </c>
      <c r="O124" s="2" t="s">
        <v>12</v>
      </c>
      <c r="P124" s="2" t="s">
        <v>13</v>
      </c>
      <c r="Q124" s="2" t="s">
        <v>37</v>
      </c>
      <c r="R124" s="2" t="s">
        <v>65</v>
      </c>
      <c r="S124">
        <v>1</v>
      </c>
    </row>
    <row r="125" spans="1:19" x14ac:dyDescent="0.3">
      <c r="A125">
        <v>3009</v>
      </c>
      <c r="B125">
        <f>YEAR(Cleaned_HR_Data_Analysis__2[[#This Row],[Joining_Date]])</f>
        <v>2019</v>
      </c>
      <c r="C125" s="1">
        <v>43618</v>
      </c>
      <c r="D125" s="1" t="str" cm="1">
        <f t="array" ref="D125">_xlfn.IFS(E125&lt;28, "17-27",
AND(E125&gt;27, E125&lt;38), "28-37",
AND(E125&gt;37, E125 &lt;48), "38-47",
AND(E125&gt;47, E125 &lt;58), "48-57",
AND(E125&gt;57, E125&lt;68), "58-67",
AND(E125&gt;67, E125&lt;78), "68-77",
E125&gt;77,"Above than 77")</f>
        <v>17-27</v>
      </c>
      <c r="E125">
        <v>22</v>
      </c>
      <c r="F125" s="1">
        <v>35551</v>
      </c>
      <c r="G125" s="1" t="str">
        <f>VLOOKUP(H125,Table7[#All], 2, FALSE)</f>
        <v>Massachusetts</v>
      </c>
      <c r="H125" s="2" t="s">
        <v>14</v>
      </c>
      <c r="I125" s="2" t="s">
        <v>22</v>
      </c>
      <c r="J125" s="2" t="s">
        <v>34</v>
      </c>
      <c r="K125" s="2" t="s">
        <v>8</v>
      </c>
      <c r="L125" s="2" t="s">
        <v>9</v>
      </c>
      <c r="M125" s="2" t="s">
        <v>20</v>
      </c>
      <c r="N125" s="2" t="s">
        <v>11</v>
      </c>
      <c r="O125" s="2" t="s">
        <v>12</v>
      </c>
      <c r="P125" s="2" t="s">
        <v>67</v>
      </c>
      <c r="Q125" s="2" t="s">
        <v>16</v>
      </c>
      <c r="R125" s="2" t="s">
        <v>18</v>
      </c>
      <c r="S125">
        <v>2</v>
      </c>
    </row>
    <row r="126" spans="1:19" x14ac:dyDescent="0.3">
      <c r="A126">
        <v>2811</v>
      </c>
      <c r="B126">
        <f>YEAR(Cleaned_HR_Data_Analysis__2[[#This Row],[Joining_Date]])</f>
        <v>2018</v>
      </c>
      <c r="C126" s="1">
        <v>43325</v>
      </c>
      <c r="D126" s="1" t="str" cm="1">
        <f t="array" ref="D126">_xlfn.IFS(E126&lt;28, "17-27",
AND(E126&gt;27, E126&lt;38), "28-37",
AND(E126&gt;37, E126 &lt;48), "38-47",
AND(E126&gt;47, E126 &lt;58), "48-57",
AND(E126&gt;57, E126&lt;68), "58-67",
AND(E126&gt;67, E126&lt;78), "68-77",
E126&gt;77,"Above than 77")</f>
        <v>17-27</v>
      </c>
      <c r="E126">
        <v>22</v>
      </c>
      <c r="F126" s="1">
        <v>35068</v>
      </c>
      <c r="G126" s="1" t="str">
        <f>VLOOKUP(H126,Table7[#All], 2, FALSE)</f>
        <v>Massachusetts</v>
      </c>
      <c r="H126" s="2" t="s">
        <v>14</v>
      </c>
      <c r="I126" s="2" t="s">
        <v>22</v>
      </c>
      <c r="J126" s="2" t="s">
        <v>17</v>
      </c>
      <c r="K126" s="2" t="s">
        <v>8</v>
      </c>
      <c r="L126" s="2" t="s">
        <v>9</v>
      </c>
      <c r="M126" s="2" t="s">
        <v>20</v>
      </c>
      <c r="N126" s="2" t="s">
        <v>19</v>
      </c>
      <c r="O126" s="2" t="s">
        <v>12</v>
      </c>
      <c r="P126" s="2" t="s">
        <v>35</v>
      </c>
      <c r="Q126" s="2" t="s">
        <v>23</v>
      </c>
      <c r="R126" s="2" t="s">
        <v>18</v>
      </c>
      <c r="S126">
        <v>4</v>
      </c>
    </row>
    <row r="127" spans="1:19" x14ac:dyDescent="0.3">
      <c r="A127">
        <v>1955</v>
      </c>
      <c r="B127">
        <f>YEAR(Cleaned_HR_Data_Analysis__2[[#This Row],[Joining_Date]])</f>
        <v>2020</v>
      </c>
      <c r="C127" s="1">
        <v>44114</v>
      </c>
      <c r="D127" s="1" t="str" cm="1">
        <f t="array" ref="D127">_xlfn.IFS(E127&lt;28, "17-27",
AND(E127&gt;27, E127&lt;38), "28-37",
AND(E127&gt;37, E127 &lt;48), "38-47",
AND(E127&gt;47, E127 &lt;58), "48-57",
AND(E127&gt;57, E127&lt;68), "58-67",
AND(E127&gt;67, E127&lt;78), "68-77",
E127&gt;77,"Above than 77")</f>
        <v>17-27</v>
      </c>
      <c r="E127">
        <v>22</v>
      </c>
      <c r="F127" s="1">
        <v>35889</v>
      </c>
      <c r="G127" s="1" t="str">
        <f>VLOOKUP(H127,Table7[#All], 2, FALSE)</f>
        <v>Massachusetts</v>
      </c>
      <c r="H127" s="2" t="s">
        <v>14</v>
      </c>
      <c r="I127" s="2" t="s">
        <v>22</v>
      </c>
      <c r="J127" s="2" t="s">
        <v>34</v>
      </c>
      <c r="K127" s="2" t="s">
        <v>8</v>
      </c>
      <c r="L127" s="2" t="s">
        <v>9</v>
      </c>
      <c r="M127" s="2" t="s">
        <v>25</v>
      </c>
      <c r="N127" s="2" t="s">
        <v>19</v>
      </c>
      <c r="O127" s="2" t="s">
        <v>12</v>
      </c>
      <c r="P127" s="2" t="s">
        <v>35</v>
      </c>
      <c r="Q127" s="2" t="s">
        <v>16</v>
      </c>
      <c r="R127" s="2" t="s">
        <v>18</v>
      </c>
      <c r="S127">
        <v>3</v>
      </c>
    </row>
    <row r="128" spans="1:19" x14ac:dyDescent="0.3">
      <c r="A128">
        <v>1898</v>
      </c>
      <c r="B128">
        <f>YEAR(Cleaned_HR_Data_Analysis__2[[#This Row],[Joining_Date]])</f>
        <v>2019</v>
      </c>
      <c r="C128" s="1">
        <v>43621</v>
      </c>
      <c r="D128" s="1" t="str" cm="1">
        <f t="array" ref="D128">_xlfn.IFS(E128&lt;28, "17-27",
AND(E128&gt;27, E128&lt;38), "28-37",
AND(E128&gt;37, E128 &lt;48), "38-47",
AND(E128&gt;47, E128 &lt;58), "48-57",
AND(E128&gt;57, E128&lt;68), "58-67",
AND(E128&gt;67, E128&lt;78), "68-77",
E128&gt;77,"Above than 77")</f>
        <v>17-27</v>
      </c>
      <c r="E128">
        <v>22</v>
      </c>
      <c r="F128" s="1">
        <v>35444</v>
      </c>
      <c r="G128" s="1" t="str">
        <f>VLOOKUP(H128,Table7[#All], 2, FALSE)</f>
        <v>Massachusetts</v>
      </c>
      <c r="H128" s="2" t="s">
        <v>14</v>
      </c>
      <c r="I128" s="2" t="s">
        <v>15</v>
      </c>
      <c r="J128" s="2" t="s">
        <v>31</v>
      </c>
      <c r="K128" s="2" t="s">
        <v>8</v>
      </c>
      <c r="L128" s="2" t="s">
        <v>9</v>
      </c>
      <c r="M128" s="2" t="s">
        <v>25</v>
      </c>
      <c r="N128" s="2" t="s">
        <v>11</v>
      </c>
      <c r="O128" s="2" t="s">
        <v>12</v>
      </c>
      <c r="P128" s="2" t="s">
        <v>35</v>
      </c>
      <c r="Q128" s="2" t="s">
        <v>16</v>
      </c>
      <c r="R128" s="2" t="s">
        <v>18</v>
      </c>
      <c r="S128">
        <v>5</v>
      </c>
    </row>
    <row r="129" spans="1:19" x14ac:dyDescent="0.3">
      <c r="A129">
        <v>1868</v>
      </c>
      <c r="B129">
        <f>YEAR(Cleaned_HR_Data_Analysis__2[[#This Row],[Joining_Date]])</f>
        <v>2022</v>
      </c>
      <c r="C129" s="1">
        <v>44642</v>
      </c>
      <c r="D129" s="1" t="str" cm="1">
        <f t="array" ref="D129">_xlfn.IFS(E129&lt;28, "17-27",
AND(E129&gt;27, E129&lt;38), "28-37",
AND(E129&gt;37, E129 &lt;48), "38-47",
AND(E129&gt;47, E129 &lt;58), "48-57",
AND(E129&gt;57, E129&lt;68), "58-67",
AND(E129&gt;67, E129&lt;78), "68-77",
E129&gt;77,"Above than 77")</f>
        <v>17-27</v>
      </c>
      <c r="E129">
        <v>22</v>
      </c>
      <c r="F129" s="1">
        <v>36858</v>
      </c>
      <c r="G129" s="1" t="str">
        <f>VLOOKUP(H129,Table7[#All], 2, FALSE)</f>
        <v>Massachusetts</v>
      </c>
      <c r="H129" s="2" t="s">
        <v>14</v>
      </c>
      <c r="I129" s="2" t="s">
        <v>22</v>
      </c>
      <c r="J129" s="2" t="s">
        <v>31</v>
      </c>
      <c r="K129" s="2" t="s">
        <v>8</v>
      </c>
      <c r="L129" s="2" t="s">
        <v>9</v>
      </c>
      <c r="M129" s="2" t="s">
        <v>20</v>
      </c>
      <c r="N129" s="2" t="s">
        <v>19</v>
      </c>
      <c r="O129" s="2" t="s">
        <v>12</v>
      </c>
      <c r="P129" s="2" t="s">
        <v>35</v>
      </c>
      <c r="Q129" s="2" t="s">
        <v>37</v>
      </c>
      <c r="R129" s="2" t="s">
        <v>56</v>
      </c>
      <c r="S129">
        <v>3</v>
      </c>
    </row>
    <row r="130" spans="1:19" x14ac:dyDescent="0.3">
      <c r="A130">
        <v>1847</v>
      </c>
      <c r="B130">
        <f>YEAR(Cleaned_HR_Data_Analysis__2[[#This Row],[Joining_Date]])</f>
        <v>2022</v>
      </c>
      <c r="C130" s="1">
        <v>44898</v>
      </c>
      <c r="D130" s="1" t="str" cm="1">
        <f t="array" ref="D130">_xlfn.IFS(E130&lt;28, "17-27",
AND(E130&gt;27, E130&lt;38), "28-37",
AND(E130&gt;37, E130 &lt;48), "38-47",
AND(E130&gt;47, E130 &lt;58), "48-57",
AND(E130&gt;57, E130&lt;68), "58-67",
AND(E130&gt;67, E130&lt;78), "68-77",
E130&gt;77,"Above than 77")</f>
        <v>17-27</v>
      </c>
      <c r="E130">
        <v>22</v>
      </c>
      <c r="F130" s="1">
        <v>36815</v>
      </c>
      <c r="G130" s="1" t="str">
        <f>VLOOKUP(H130,Table7[#All], 2, FALSE)</f>
        <v>Massachusetts</v>
      </c>
      <c r="H130" s="2" t="s">
        <v>14</v>
      </c>
      <c r="I130" s="2" t="s">
        <v>22</v>
      </c>
      <c r="J130" s="2" t="s">
        <v>40</v>
      </c>
      <c r="K130" s="2" t="s">
        <v>8</v>
      </c>
      <c r="L130" s="2" t="s">
        <v>9</v>
      </c>
      <c r="M130" s="2" t="s">
        <v>25</v>
      </c>
      <c r="N130" s="2" t="s">
        <v>11</v>
      </c>
      <c r="O130" s="2" t="s">
        <v>12</v>
      </c>
      <c r="P130" s="2" t="s">
        <v>54</v>
      </c>
      <c r="Q130" s="2" t="s">
        <v>30</v>
      </c>
      <c r="R130" s="2" t="s">
        <v>56</v>
      </c>
      <c r="S130">
        <v>2</v>
      </c>
    </row>
    <row r="131" spans="1:19" x14ac:dyDescent="0.3">
      <c r="A131">
        <v>1762</v>
      </c>
      <c r="B131">
        <f>YEAR(Cleaned_HR_Data_Analysis__2[[#This Row],[Joining_Date]])</f>
        <v>2023</v>
      </c>
      <c r="C131" s="1">
        <v>45111</v>
      </c>
      <c r="D131" s="1" t="str" cm="1">
        <f t="array" ref="D131">_xlfn.IFS(E131&lt;28, "17-27",
AND(E131&gt;27, E131&lt;38), "28-37",
AND(E131&gt;37, E131 &lt;48), "38-47",
AND(E131&gt;47, E131 &lt;58), "48-57",
AND(E131&gt;57, E131&lt;68), "58-67",
AND(E131&gt;67, E131&lt;78), "68-77",
E131&gt;77,"Above than 77")</f>
        <v>17-27</v>
      </c>
      <c r="E131">
        <v>22</v>
      </c>
      <c r="F131" s="1">
        <v>36941</v>
      </c>
      <c r="G131" s="1" t="str">
        <f>VLOOKUP(H131,Table7[#All], 2, FALSE)</f>
        <v>Massachusetts</v>
      </c>
      <c r="H131" s="2" t="s">
        <v>14</v>
      </c>
      <c r="I131" s="2" t="s">
        <v>15</v>
      </c>
      <c r="J131" s="2" t="s">
        <v>40</v>
      </c>
      <c r="K131" s="2" t="s">
        <v>8</v>
      </c>
      <c r="L131" s="2" t="s">
        <v>66</v>
      </c>
      <c r="M131" s="2" t="s">
        <v>10</v>
      </c>
      <c r="N131" s="2" t="s">
        <v>26</v>
      </c>
      <c r="O131" s="2" t="s">
        <v>12</v>
      </c>
      <c r="P131" s="2" t="s">
        <v>61</v>
      </c>
      <c r="Q131" s="2" t="s">
        <v>16</v>
      </c>
      <c r="R131" s="2" t="s">
        <v>18</v>
      </c>
      <c r="S131">
        <v>3</v>
      </c>
    </row>
    <row r="132" spans="1:19" x14ac:dyDescent="0.3">
      <c r="A132">
        <v>1751</v>
      </c>
      <c r="B132">
        <f>YEAR(Cleaned_HR_Data_Analysis__2[[#This Row],[Joining_Date]])</f>
        <v>2023</v>
      </c>
      <c r="C132" s="1">
        <v>45035</v>
      </c>
      <c r="D132" s="1" t="str" cm="1">
        <f t="array" ref="D132">_xlfn.IFS(E132&lt;28, "17-27",
AND(E132&gt;27, E132&lt;38), "28-37",
AND(E132&gt;37, E132 &lt;48), "38-47",
AND(E132&gt;47, E132 &lt;58), "48-57",
AND(E132&gt;57, E132&lt;68), "58-67",
AND(E132&gt;67, E132&lt;78), "68-77",
E132&gt;77,"Above than 77")</f>
        <v>17-27</v>
      </c>
      <c r="E132">
        <v>22</v>
      </c>
      <c r="F132" s="1">
        <v>37040</v>
      </c>
      <c r="G132" s="1" t="str">
        <f>VLOOKUP(H132,Table7[#All], 2, FALSE)</f>
        <v>Massachusetts</v>
      </c>
      <c r="H132" s="2" t="s">
        <v>14</v>
      </c>
      <c r="I132" s="2" t="s">
        <v>15</v>
      </c>
      <c r="J132" s="2" t="s">
        <v>17</v>
      </c>
      <c r="K132" s="2" t="s">
        <v>8</v>
      </c>
      <c r="L132" s="2" t="s">
        <v>9</v>
      </c>
      <c r="M132" s="2" t="s">
        <v>10</v>
      </c>
      <c r="N132" s="2" t="s">
        <v>11</v>
      </c>
      <c r="O132" s="2" t="s">
        <v>12</v>
      </c>
      <c r="P132" s="2" t="s">
        <v>32</v>
      </c>
      <c r="Q132" s="2" t="s">
        <v>23</v>
      </c>
      <c r="R132" s="2" t="s">
        <v>18</v>
      </c>
      <c r="S132">
        <v>4</v>
      </c>
    </row>
    <row r="133" spans="1:19" x14ac:dyDescent="0.3">
      <c r="A133">
        <v>1530</v>
      </c>
      <c r="B133">
        <f>YEAR(Cleaned_HR_Data_Analysis__2[[#This Row],[Joining_Date]])</f>
        <v>2022</v>
      </c>
      <c r="C133" s="1">
        <v>44908</v>
      </c>
      <c r="D133" s="1" t="str" cm="1">
        <f t="array" ref="D133">_xlfn.IFS(E133&lt;28, "17-27",
AND(E133&gt;27, E133&lt;38), "28-37",
AND(E133&gt;37, E133 &lt;48), "38-47",
AND(E133&gt;47, E133 &lt;58), "48-57",
AND(E133&gt;57, E133&lt;68), "58-67",
AND(E133&gt;67, E133&lt;78), "68-77",
E133&gt;77,"Above than 77")</f>
        <v>17-27</v>
      </c>
      <c r="E133">
        <v>22</v>
      </c>
      <c r="F133" s="1">
        <v>36558</v>
      </c>
      <c r="G133" s="1" t="str">
        <f>VLOOKUP(H133,Table7[#All], 2, FALSE)</f>
        <v>Massachusetts</v>
      </c>
      <c r="H133" s="2" t="s">
        <v>14</v>
      </c>
      <c r="I133" s="2" t="s">
        <v>15</v>
      </c>
      <c r="J133" s="2" t="s">
        <v>31</v>
      </c>
      <c r="K133" s="2" t="s">
        <v>8</v>
      </c>
      <c r="L133" s="2" t="s">
        <v>9</v>
      </c>
      <c r="M133" s="2" t="s">
        <v>10</v>
      </c>
      <c r="N133" s="2" t="s">
        <v>26</v>
      </c>
      <c r="O133" s="2" t="s">
        <v>12</v>
      </c>
      <c r="P133" s="2" t="s">
        <v>35</v>
      </c>
      <c r="Q133" s="2" t="s">
        <v>30</v>
      </c>
      <c r="R133" s="2" t="s">
        <v>18</v>
      </c>
      <c r="S133">
        <v>2</v>
      </c>
    </row>
    <row r="134" spans="1:19" x14ac:dyDescent="0.3">
      <c r="A134">
        <v>1501</v>
      </c>
      <c r="B134">
        <f>YEAR(Cleaned_HR_Data_Analysis__2[[#This Row],[Joining_Date]])</f>
        <v>2021</v>
      </c>
      <c r="C134" s="1">
        <v>44493</v>
      </c>
      <c r="D134" s="1" t="str" cm="1">
        <f t="array" ref="D134">_xlfn.IFS(E134&lt;28, "17-27",
AND(E134&gt;27, E134&lt;38), "28-37",
AND(E134&gt;37, E134 &lt;48), "38-47",
AND(E134&gt;47, E134 &lt;58), "48-57",
AND(E134&gt;57, E134&lt;68), "58-67",
AND(E134&gt;67, E134&lt;78), "68-77",
E134&gt;77,"Above than 77")</f>
        <v>17-27</v>
      </c>
      <c r="E134">
        <v>22</v>
      </c>
      <c r="F134" s="1">
        <v>36434</v>
      </c>
      <c r="G134" s="1" t="str">
        <f>VLOOKUP(H134,Table7[#All], 2, FALSE)</f>
        <v>Massachusetts</v>
      </c>
      <c r="H134" s="2" t="s">
        <v>14</v>
      </c>
      <c r="I134" s="2" t="s">
        <v>22</v>
      </c>
      <c r="J134" s="2" t="s">
        <v>17</v>
      </c>
      <c r="K134" s="2" t="s">
        <v>8</v>
      </c>
      <c r="L134" s="2" t="s">
        <v>9</v>
      </c>
      <c r="M134" s="2" t="s">
        <v>10</v>
      </c>
      <c r="N134" s="2" t="s">
        <v>19</v>
      </c>
      <c r="O134" s="2" t="s">
        <v>12</v>
      </c>
      <c r="P134" s="2" t="s">
        <v>35</v>
      </c>
      <c r="Q134" s="2" t="s">
        <v>23</v>
      </c>
      <c r="R134" s="2" t="s">
        <v>18</v>
      </c>
      <c r="S134">
        <v>4</v>
      </c>
    </row>
    <row r="135" spans="1:19" x14ac:dyDescent="0.3">
      <c r="A135">
        <v>1426</v>
      </c>
      <c r="B135">
        <f>YEAR(Cleaned_HR_Data_Analysis__2[[#This Row],[Joining_Date]])</f>
        <v>2022</v>
      </c>
      <c r="C135" s="1">
        <v>44628</v>
      </c>
      <c r="D135" s="1" t="str" cm="1">
        <f t="array" ref="D135">_xlfn.IFS(E135&lt;28, "17-27",
AND(E135&gt;27, E135&lt;38), "28-37",
AND(E135&gt;37, E135 &lt;48), "38-47",
AND(E135&gt;47, E135 &lt;58), "48-57",
AND(E135&gt;57, E135&lt;68), "58-67",
AND(E135&gt;67, E135&lt;78), "68-77",
E135&gt;77,"Above than 77")</f>
        <v>17-27</v>
      </c>
      <c r="E135">
        <v>22</v>
      </c>
      <c r="F135" s="1">
        <v>36726</v>
      </c>
      <c r="G135" s="1" t="str">
        <f>VLOOKUP(H135,Table7[#All], 2, FALSE)</f>
        <v>Massachusetts</v>
      </c>
      <c r="H135" s="2" t="s">
        <v>14</v>
      </c>
      <c r="I135" s="2" t="s">
        <v>15</v>
      </c>
      <c r="J135" s="2" t="s">
        <v>17</v>
      </c>
      <c r="K135" s="2" t="s">
        <v>8</v>
      </c>
      <c r="L135" s="2" t="s">
        <v>66</v>
      </c>
      <c r="M135" s="2" t="s">
        <v>25</v>
      </c>
      <c r="N135" s="2" t="s">
        <v>19</v>
      </c>
      <c r="O135" s="2" t="s">
        <v>12</v>
      </c>
      <c r="P135" s="2" t="s">
        <v>32</v>
      </c>
      <c r="Q135" s="2" t="s">
        <v>23</v>
      </c>
      <c r="R135" s="2" t="s">
        <v>41</v>
      </c>
      <c r="S135">
        <v>5</v>
      </c>
    </row>
    <row r="136" spans="1:19" x14ac:dyDescent="0.3">
      <c r="A136">
        <v>1286</v>
      </c>
      <c r="B136">
        <f>YEAR(Cleaned_HR_Data_Analysis__2[[#This Row],[Joining_Date]])</f>
        <v>2021</v>
      </c>
      <c r="C136" s="1">
        <v>44448</v>
      </c>
      <c r="D136" s="1" t="str" cm="1">
        <f t="array" ref="D136">_xlfn.IFS(E136&lt;28, "17-27",
AND(E136&gt;27, E136&lt;38), "28-37",
AND(E136&gt;37, E136 &lt;48), "38-47",
AND(E136&gt;47, E136 &lt;58), "48-57",
AND(E136&gt;57, E136&lt;68), "58-67",
AND(E136&gt;67, E136&lt;78), "68-77",
E136&gt;77,"Above than 77")</f>
        <v>17-27</v>
      </c>
      <c r="E136">
        <v>22</v>
      </c>
      <c r="F136" s="1">
        <v>36305</v>
      </c>
      <c r="G136" s="1" t="str">
        <f>VLOOKUP(H136,Table7[#All], 2, FALSE)</f>
        <v>Massachusetts</v>
      </c>
      <c r="H136" s="2" t="s">
        <v>14</v>
      </c>
      <c r="I136" s="2" t="s">
        <v>22</v>
      </c>
      <c r="J136" s="2" t="s">
        <v>40</v>
      </c>
      <c r="K136" s="2" t="s">
        <v>8</v>
      </c>
      <c r="L136" s="2" t="s">
        <v>66</v>
      </c>
      <c r="M136" s="2" t="s">
        <v>25</v>
      </c>
      <c r="N136" s="2" t="s">
        <v>26</v>
      </c>
      <c r="O136" s="2" t="s">
        <v>12</v>
      </c>
      <c r="P136" s="2" t="s">
        <v>35</v>
      </c>
      <c r="Q136" s="2" t="s">
        <v>46</v>
      </c>
      <c r="R136" s="2" t="s">
        <v>18</v>
      </c>
      <c r="S136">
        <v>5</v>
      </c>
    </row>
    <row r="137" spans="1:19" x14ac:dyDescent="0.3">
      <c r="A137">
        <v>1175</v>
      </c>
      <c r="B137">
        <f>YEAR(Cleaned_HR_Data_Analysis__2[[#This Row],[Joining_Date]])</f>
        <v>2018</v>
      </c>
      <c r="C137" s="1">
        <v>43454</v>
      </c>
      <c r="D137" s="1" t="str" cm="1">
        <f t="array" ref="D137">_xlfn.IFS(E137&lt;28, "17-27",
AND(E137&gt;27, E137&lt;38), "28-37",
AND(E137&gt;37, E137 &lt;48), "38-47",
AND(E137&gt;47, E137 &lt;58), "48-57",
AND(E137&gt;57, E137&lt;68), "58-67",
AND(E137&gt;67, E137&lt;78), "68-77",
E137&gt;77,"Above than 77")</f>
        <v>17-27</v>
      </c>
      <c r="E137">
        <v>22</v>
      </c>
      <c r="F137" s="1">
        <v>35281</v>
      </c>
      <c r="G137" s="1" t="str">
        <f>VLOOKUP(H137,Table7[#All], 2, FALSE)</f>
        <v>Massachusetts</v>
      </c>
      <c r="H137" s="2" t="s">
        <v>14</v>
      </c>
      <c r="I137" s="2" t="s">
        <v>15</v>
      </c>
      <c r="J137" s="2" t="s">
        <v>40</v>
      </c>
      <c r="K137" s="2" t="s">
        <v>8</v>
      </c>
      <c r="L137" s="2" t="s">
        <v>66</v>
      </c>
      <c r="M137" s="2" t="s">
        <v>25</v>
      </c>
      <c r="N137" s="2" t="s">
        <v>19</v>
      </c>
      <c r="O137" s="2" t="s">
        <v>12</v>
      </c>
      <c r="P137" s="2" t="s">
        <v>60</v>
      </c>
      <c r="Q137" s="2" t="s">
        <v>46</v>
      </c>
      <c r="R137" s="2" t="s">
        <v>18</v>
      </c>
      <c r="S137">
        <v>1</v>
      </c>
    </row>
    <row r="138" spans="1:19" x14ac:dyDescent="0.3">
      <c r="A138">
        <v>1117</v>
      </c>
      <c r="B138">
        <f>YEAR(Cleaned_HR_Data_Analysis__2[[#This Row],[Joining_Date]])</f>
        <v>2019</v>
      </c>
      <c r="C138" s="1">
        <v>43517</v>
      </c>
      <c r="D138" s="1" t="str" cm="1">
        <f t="array" ref="D138">_xlfn.IFS(E138&lt;28, "17-27",
AND(E138&gt;27, E138&lt;38), "28-37",
AND(E138&gt;37, E138 &lt;48), "38-47",
AND(E138&gt;47, E138 &lt;58), "48-57",
AND(E138&gt;57, E138&lt;68), "58-67",
AND(E138&gt;67, E138&lt;78), "68-77",
E138&gt;77,"Above than 77")</f>
        <v>17-27</v>
      </c>
      <c r="E138">
        <v>22</v>
      </c>
      <c r="F138" s="1">
        <v>35665</v>
      </c>
      <c r="G138" s="1" t="str">
        <f>VLOOKUP(H138,Table7[#All], 2, FALSE)</f>
        <v>Massachusetts</v>
      </c>
      <c r="H138" s="2" t="s">
        <v>14</v>
      </c>
      <c r="I138" s="2" t="s">
        <v>22</v>
      </c>
      <c r="J138" s="2" t="s">
        <v>40</v>
      </c>
      <c r="K138" s="2" t="s">
        <v>8</v>
      </c>
      <c r="L138" s="2" t="s">
        <v>66</v>
      </c>
      <c r="M138" s="2" t="s">
        <v>25</v>
      </c>
      <c r="N138" s="2" t="s">
        <v>11</v>
      </c>
      <c r="O138" s="2" t="s">
        <v>12</v>
      </c>
      <c r="P138" s="2" t="s">
        <v>32</v>
      </c>
      <c r="Q138" s="2" t="s">
        <v>30</v>
      </c>
      <c r="R138" s="2" t="s">
        <v>18</v>
      </c>
      <c r="S138">
        <v>5</v>
      </c>
    </row>
    <row r="139" spans="1:19" x14ac:dyDescent="0.3">
      <c r="A139">
        <v>1115</v>
      </c>
      <c r="B139">
        <f>YEAR(Cleaned_HR_Data_Analysis__2[[#This Row],[Joining_Date]])</f>
        <v>2019</v>
      </c>
      <c r="C139" s="1">
        <v>43547</v>
      </c>
      <c r="D139" s="1" t="str" cm="1">
        <f t="array" ref="D139">_xlfn.IFS(E139&lt;28, "17-27",
AND(E139&gt;27, E139&lt;38), "28-37",
AND(E139&gt;37, E139 &lt;48), "38-47",
AND(E139&gt;47, E139 &lt;58), "48-57",
AND(E139&gt;57, E139&lt;68), "58-67",
AND(E139&gt;67, E139&lt;78), "68-77",
E139&gt;77,"Above than 77")</f>
        <v>17-27</v>
      </c>
      <c r="E139">
        <v>22</v>
      </c>
      <c r="F139" s="1">
        <v>35480</v>
      </c>
      <c r="G139" s="1" t="str">
        <f>VLOOKUP(H139,Table7[#All], 2, FALSE)</f>
        <v>Massachusetts</v>
      </c>
      <c r="H139" s="2" t="s">
        <v>14</v>
      </c>
      <c r="I139" s="2" t="s">
        <v>22</v>
      </c>
      <c r="J139" s="2" t="s">
        <v>17</v>
      </c>
      <c r="K139" s="2" t="s">
        <v>8</v>
      </c>
      <c r="L139" s="2" t="s">
        <v>9</v>
      </c>
      <c r="M139" s="2" t="s">
        <v>10</v>
      </c>
      <c r="N139" s="2" t="s">
        <v>19</v>
      </c>
      <c r="O139" s="2" t="s">
        <v>12</v>
      </c>
      <c r="P139" s="2" t="s">
        <v>35</v>
      </c>
      <c r="Q139" s="2" t="s">
        <v>37</v>
      </c>
      <c r="R139" s="2" t="s">
        <v>18</v>
      </c>
      <c r="S139">
        <v>1</v>
      </c>
    </row>
    <row r="140" spans="1:19" x14ac:dyDescent="0.3">
      <c r="A140">
        <v>2293</v>
      </c>
      <c r="B140">
        <f>YEAR(Cleaned_HR_Data_Analysis__2[[#This Row],[Joining_Date]])</f>
        <v>2020</v>
      </c>
      <c r="C140" s="1">
        <v>43997</v>
      </c>
      <c r="D140" s="1" t="str" cm="1">
        <f t="array" ref="D140">_xlfn.IFS(E140&lt;28, "17-27",
AND(E140&gt;27, E140&lt;38), "28-37",
AND(E140&gt;37, E140 &lt;48), "38-47",
AND(E140&gt;47, E140 &lt;58), "48-57",
AND(E140&gt;57, E140&lt;68), "58-67",
AND(E140&gt;67, E140&lt;78), "68-77",
E140&gt;77,"Above than 77")</f>
        <v>17-27</v>
      </c>
      <c r="E140">
        <v>22</v>
      </c>
      <c r="F140" s="1">
        <v>35886</v>
      </c>
      <c r="G140" s="1" t="str">
        <f>VLOOKUP(H140,Table7[#All], 2, FALSE)</f>
        <v>Massachusetts</v>
      </c>
      <c r="H140" s="2" t="s">
        <v>14</v>
      </c>
      <c r="I140" s="2" t="s">
        <v>22</v>
      </c>
      <c r="J140" s="2" t="s">
        <v>31</v>
      </c>
      <c r="K140" s="2" t="s">
        <v>91</v>
      </c>
      <c r="L140" s="2" t="s">
        <v>9</v>
      </c>
      <c r="M140" s="2" t="s">
        <v>10</v>
      </c>
      <c r="N140" s="2" t="s">
        <v>26</v>
      </c>
      <c r="O140" s="2" t="s">
        <v>12</v>
      </c>
      <c r="P140" s="2" t="s">
        <v>35</v>
      </c>
      <c r="Q140" s="2" t="s">
        <v>30</v>
      </c>
      <c r="R140" s="2" t="s">
        <v>18</v>
      </c>
      <c r="S140">
        <v>3</v>
      </c>
    </row>
    <row r="141" spans="1:19" x14ac:dyDescent="0.3">
      <c r="A141">
        <v>3855</v>
      </c>
      <c r="B141">
        <f>YEAR(Cleaned_HR_Data_Analysis__2[[#This Row],[Joining_Date]])</f>
        <v>2021</v>
      </c>
      <c r="C141" s="1">
        <v>44341</v>
      </c>
      <c r="D141" s="1" t="str" cm="1">
        <f t="array" ref="D141">_xlfn.IFS(E141&lt;28, "17-27",
AND(E141&gt;27, E141&lt;38), "28-37",
AND(E141&gt;37, E141 &lt;48), "38-47",
AND(E141&gt;47, E141 &lt;58), "48-57",
AND(E141&gt;57, E141&lt;68), "58-67",
AND(E141&gt;67, E141&lt;78), "68-77",
E141&gt;77,"Above than 77")</f>
        <v>17-27</v>
      </c>
      <c r="E141">
        <v>22</v>
      </c>
      <c r="F141" s="1">
        <v>36434</v>
      </c>
      <c r="G141" s="1" t="str">
        <f>VLOOKUP(H141,Table7[#All], 2, FALSE)</f>
        <v>Massachusetts</v>
      </c>
      <c r="H141" s="2" t="s">
        <v>14</v>
      </c>
      <c r="I141" s="2" t="s">
        <v>22</v>
      </c>
      <c r="J141" s="2" t="s">
        <v>17</v>
      </c>
      <c r="K141" s="2" t="s">
        <v>71</v>
      </c>
      <c r="L141" s="2" t="s">
        <v>9</v>
      </c>
      <c r="M141" s="2" t="s">
        <v>20</v>
      </c>
      <c r="N141" s="2" t="s">
        <v>26</v>
      </c>
      <c r="O141" s="2" t="s">
        <v>73</v>
      </c>
      <c r="P141" s="2" t="s">
        <v>62</v>
      </c>
      <c r="Q141" s="2" t="s">
        <v>30</v>
      </c>
      <c r="R141" s="2" t="s">
        <v>18</v>
      </c>
      <c r="S141">
        <v>3</v>
      </c>
    </row>
    <row r="142" spans="1:19" x14ac:dyDescent="0.3">
      <c r="A142">
        <v>3922</v>
      </c>
      <c r="B142">
        <f>YEAR(Cleaned_HR_Data_Analysis__2[[#This Row],[Joining_Date]])</f>
        <v>2018</v>
      </c>
      <c r="C142" s="1">
        <v>43459</v>
      </c>
      <c r="D142" s="1" t="str" cm="1">
        <f t="array" ref="D142">_xlfn.IFS(E142&lt;28, "17-27",
AND(E142&gt;27, E142&lt;38), "28-37",
AND(E142&gt;37, E142 &lt;48), "38-47",
AND(E142&gt;47, E142 &lt;58), "48-57",
AND(E142&gt;57, E142&lt;68), "58-67",
AND(E142&gt;67, E142&lt;78), "68-77",
E142&gt;77,"Above than 77")</f>
        <v>17-27</v>
      </c>
      <c r="E142">
        <v>22</v>
      </c>
      <c r="F142" s="1">
        <v>35342</v>
      </c>
      <c r="G142" s="1" t="str">
        <f>VLOOKUP(H142,Table7[#All], 2, FALSE)</f>
        <v>Massachusetts</v>
      </c>
      <c r="H142" s="2" t="s">
        <v>14</v>
      </c>
      <c r="I142" s="2" t="s">
        <v>15</v>
      </c>
      <c r="J142" s="2" t="s">
        <v>17</v>
      </c>
      <c r="K142" s="2" t="s">
        <v>70</v>
      </c>
      <c r="L142" s="2" t="s">
        <v>9</v>
      </c>
      <c r="M142" s="2" t="s">
        <v>20</v>
      </c>
      <c r="N142" s="2" t="s">
        <v>19</v>
      </c>
      <c r="O142" s="2" t="s">
        <v>53</v>
      </c>
      <c r="P142" s="2" t="s">
        <v>32</v>
      </c>
      <c r="Q142" s="2" t="s">
        <v>16</v>
      </c>
      <c r="R142" s="2" t="s">
        <v>18</v>
      </c>
      <c r="S142">
        <v>3</v>
      </c>
    </row>
    <row r="143" spans="1:19" x14ac:dyDescent="0.3">
      <c r="A143">
        <v>3826</v>
      </c>
      <c r="B143">
        <f>YEAR(Cleaned_HR_Data_Analysis__2[[#This Row],[Joining_Date]])</f>
        <v>2023</v>
      </c>
      <c r="C143" s="1">
        <v>45042</v>
      </c>
      <c r="D143" s="1" t="str" cm="1">
        <f t="array" ref="D143">_xlfn.IFS(E143&lt;28, "17-27",
AND(E143&gt;27, E143&lt;38), "28-37",
AND(E143&gt;37, E143 &lt;48), "38-47",
AND(E143&gt;47, E143 &lt;58), "48-57",
AND(E143&gt;57, E143&lt;68), "58-67",
AND(E143&gt;67, E143&lt;78), "68-77",
E143&gt;77,"Above than 77")</f>
        <v>17-27</v>
      </c>
      <c r="E143">
        <v>22</v>
      </c>
      <c r="F143" s="1">
        <v>36992</v>
      </c>
      <c r="G143" s="1" t="str">
        <f>VLOOKUP(H143,Table7[#All], 2, FALSE)</f>
        <v>Massachusetts</v>
      </c>
      <c r="H143" s="2" t="s">
        <v>14</v>
      </c>
      <c r="I143" s="2" t="s">
        <v>22</v>
      </c>
      <c r="J143" s="2" t="s">
        <v>40</v>
      </c>
      <c r="K143" s="2" t="s">
        <v>70</v>
      </c>
      <c r="L143" s="2" t="s">
        <v>9</v>
      </c>
      <c r="M143" s="2" t="s">
        <v>20</v>
      </c>
      <c r="N143" s="2" t="s">
        <v>26</v>
      </c>
      <c r="O143" s="2" t="s">
        <v>53</v>
      </c>
      <c r="P143" s="2" t="s">
        <v>35</v>
      </c>
      <c r="Q143" s="2" t="s">
        <v>46</v>
      </c>
      <c r="R143" s="2" t="s">
        <v>18</v>
      </c>
      <c r="S143">
        <v>1</v>
      </c>
    </row>
    <row r="144" spans="1:19" x14ac:dyDescent="0.3">
      <c r="A144">
        <v>2222</v>
      </c>
      <c r="B144">
        <f>YEAR(Cleaned_HR_Data_Analysis__2[[#This Row],[Joining_Date]])</f>
        <v>2020</v>
      </c>
      <c r="C144" s="1">
        <v>44033</v>
      </c>
      <c r="D144" s="1" t="str" cm="1">
        <f t="array" ref="D144">_xlfn.IFS(E144&lt;28, "17-27",
AND(E144&gt;27, E144&lt;38), "28-37",
AND(E144&gt;37, E144 &lt;48), "38-47",
AND(E144&gt;47, E144 &lt;58), "48-57",
AND(E144&gt;57, E144&lt;68), "58-67",
AND(E144&gt;67, E144&lt;78), "68-77",
E144&gt;77,"Above than 77")</f>
        <v>17-27</v>
      </c>
      <c r="E144">
        <v>22</v>
      </c>
      <c r="F144" s="1">
        <v>35993</v>
      </c>
      <c r="G144" s="1" t="str">
        <f>VLOOKUP(H144,Table7[#All], 2, FALSE)</f>
        <v>Massachusetts</v>
      </c>
      <c r="H144" s="2" t="s">
        <v>14</v>
      </c>
      <c r="I144" s="2" t="s">
        <v>15</v>
      </c>
      <c r="J144" s="2" t="s">
        <v>17</v>
      </c>
      <c r="K144" s="2" t="s">
        <v>70</v>
      </c>
      <c r="L144" s="2" t="s">
        <v>9</v>
      </c>
      <c r="M144" s="2" t="s">
        <v>20</v>
      </c>
      <c r="N144" s="2" t="s">
        <v>19</v>
      </c>
      <c r="O144" s="2" t="s">
        <v>53</v>
      </c>
      <c r="P144" s="2" t="s">
        <v>59</v>
      </c>
      <c r="Q144" s="2" t="s">
        <v>23</v>
      </c>
      <c r="R144" s="2" t="s">
        <v>41</v>
      </c>
      <c r="S144">
        <v>3</v>
      </c>
    </row>
    <row r="145" spans="1:19" x14ac:dyDescent="0.3">
      <c r="A145">
        <v>2258</v>
      </c>
      <c r="B145">
        <f>YEAR(Cleaned_HR_Data_Analysis__2[[#This Row],[Joining_Date]])</f>
        <v>2021</v>
      </c>
      <c r="C145" s="1">
        <v>44289</v>
      </c>
      <c r="D145" s="1" t="str" cm="1">
        <f t="array" ref="D145">_xlfn.IFS(E145&lt;28, "17-27",
AND(E145&gt;27, E145&lt;38), "28-37",
AND(E145&gt;37, E145 &lt;48), "38-47",
AND(E145&gt;47, E145 &lt;58), "48-57",
AND(E145&gt;57, E145&lt;68), "58-67",
AND(E145&gt;67, E145&lt;78), "68-77",
E145&gt;77,"Above than 77")</f>
        <v>17-27</v>
      </c>
      <c r="E145">
        <v>22</v>
      </c>
      <c r="F145" s="1">
        <v>36211</v>
      </c>
      <c r="G145" s="1" t="str">
        <f>VLOOKUP(H145,Table7[#All], 2, FALSE)</f>
        <v>Massachusetts</v>
      </c>
      <c r="H145" s="2" t="s">
        <v>14</v>
      </c>
      <c r="I145" s="2" t="s">
        <v>22</v>
      </c>
      <c r="J145" s="2" t="s">
        <v>17</v>
      </c>
      <c r="K145" s="2" t="s">
        <v>102</v>
      </c>
      <c r="L145" s="2" t="s">
        <v>9</v>
      </c>
      <c r="M145" s="2" t="s">
        <v>25</v>
      </c>
      <c r="N145" s="2" t="s">
        <v>11</v>
      </c>
      <c r="O145" s="2" t="s">
        <v>53</v>
      </c>
      <c r="P145" s="2" t="s">
        <v>42</v>
      </c>
      <c r="Q145" s="2" t="s">
        <v>16</v>
      </c>
      <c r="R145" s="2" t="s">
        <v>18</v>
      </c>
      <c r="S145">
        <v>5</v>
      </c>
    </row>
    <row r="146" spans="1:19" x14ac:dyDescent="0.3">
      <c r="A146">
        <v>2515</v>
      </c>
      <c r="B146">
        <f>YEAR(Cleaned_HR_Data_Analysis__2[[#This Row],[Joining_Date]])</f>
        <v>2018</v>
      </c>
      <c r="C146" s="1">
        <v>43354</v>
      </c>
      <c r="D146" s="1" t="str" cm="1">
        <f t="array" ref="D146">_xlfn.IFS(E146&lt;28, "17-27",
AND(E146&gt;27, E146&lt;38), "28-37",
AND(E146&gt;37, E146 &lt;48), "38-47",
AND(E146&gt;47, E146 &lt;58), "48-57",
AND(E146&gt;57, E146&lt;68), "58-67",
AND(E146&gt;67, E146&lt;78), "68-77",
E146&gt;77,"Above than 77")</f>
        <v>17-27</v>
      </c>
      <c r="E146">
        <v>22</v>
      </c>
      <c r="F146" s="1">
        <v>35226</v>
      </c>
      <c r="G146" s="1" t="str">
        <f>VLOOKUP(H146,Table7[#All], 2, FALSE)</f>
        <v>Massachusetts</v>
      </c>
      <c r="H146" s="2" t="s">
        <v>14</v>
      </c>
      <c r="I146" s="2" t="s">
        <v>22</v>
      </c>
      <c r="J146" s="2" t="s">
        <v>31</v>
      </c>
      <c r="K146" s="2" t="s">
        <v>104</v>
      </c>
      <c r="L146" s="2" t="s">
        <v>9</v>
      </c>
      <c r="M146" s="2" t="s">
        <v>10</v>
      </c>
      <c r="N146" s="2" t="s">
        <v>19</v>
      </c>
      <c r="O146" s="2" t="s">
        <v>53</v>
      </c>
      <c r="P146" s="2" t="s">
        <v>28</v>
      </c>
      <c r="Q146" s="2" t="s">
        <v>23</v>
      </c>
      <c r="R146" s="2" t="s">
        <v>18</v>
      </c>
      <c r="S146">
        <v>1</v>
      </c>
    </row>
    <row r="147" spans="1:19" x14ac:dyDescent="0.3">
      <c r="A147">
        <v>3956</v>
      </c>
      <c r="B147">
        <f>YEAR(Cleaned_HR_Data_Analysis__2[[#This Row],[Joining_Date]])</f>
        <v>2019</v>
      </c>
      <c r="C147" s="1">
        <v>43684</v>
      </c>
      <c r="D147" s="1" t="str" cm="1">
        <f t="array" ref="D147">_xlfn.IFS(E147&lt;28, "17-27",
AND(E147&gt;27, E147&lt;38), "28-37",
AND(E147&gt;37, E147 &lt;48), "38-47",
AND(E147&gt;47, E147 &lt;58), "48-57",
AND(E147&gt;57, E147&lt;68), "58-67",
AND(E147&gt;67, E147&lt;78), "68-77",
E147&gt;77,"Above than 77")</f>
        <v>17-27</v>
      </c>
      <c r="E147">
        <v>22</v>
      </c>
      <c r="F147" s="1">
        <v>35432</v>
      </c>
      <c r="G147" s="1" t="str">
        <f>VLOOKUP(H147,Table7[#All], 2, FALSE)</f>
        <v>Texas</v>
      </c>
      <c r="H147" s="2" t="s">
        <v>45</v>
      </c>
      <c r="I147" s="2" t="s">
        <v>15</v>
      </c>
      <c r="J147" s="2" t="s">
        <v>17</v>
      </c>
      <c r="K147" s="2" t="s">
        <v>77</v>
      </c>
      <c r="L147" s="2" t="s">
        <v>9</v>
      </c>
      <c r="M147" s="2" t="s">
        <v>10</v>
      </c>
      <c r="N147" s="2" t="s">
        <v>19</v>
      </c>
      <c r="O147" s="2" t="s">
        <v>53</v>
      </c>
      <c r="P147" s="2" t="s">
        <v>28</v>
      </c>
      <c r="Q147" s="2" t="s">
        <v>37</v>
      </c>
      <c r="R147" s="2" t="s">
        <v>18</v>
      </c>
      <c r="S147">
        <v>5</v>
      </c>
    </row>
    <row r="148" spans="1:19" x14ac:dyDescent="0.3">
      <c r="A148">
        <v>3996</v>
      </c>
      <c r="B148">
        <f>YEAR(Cleaned_HR_Data_Analysis__2[[#This Row],[Joining_Date]])</f>
        <v>2021</v>
      </c>
      <c r="C148" s="1">
        <v>44440</v>
      </c>
      <c r="D148" s="1" t="str" cm="1">
        <f t="array" ref="D148">_xlfn.IFS(E148&lt;28, "17-27",
AND(E148&gt;27, E148&lt;38), "28-37",
AND(E148&gt;37, E148 &lt;48), "38-47",
AND(E148&gt;47, E148 &lt;58), "48-57",
AND(E148&gt;57, E148&lt;68), "58-67",
AND(E148&gt;67, E148&lt;78), "68-77",
E148&gt;77,"Above than 77")</f>
        <v>17-27</v>
      </c>
      <c r="E148">
        <v>22</v>
      </c>
      <c r="F148" s="1">
        <v>36493</v>
      </c>
      <c r="G148" s="1" t="str">
        <f>VLOOKUP(H148,Table7[#All], 2, FALSE)</f>
        <v>Massachusetts</v>
      </c>
      <c r="H148" s="2" t="s">
        <v>14</v>
      </c>
      <c r="I148" s="2" t="s">
        <v>15</v>
      </c>
      <c r="J148" s="2" t="s">
        <v>17</v>
      </c>
      <c r="K148" s="2" t="s">
        <v>77</v>
      </c>
      <c r="L148" s="2" t="s">
        <v>9</v>
      </c>
      <c r="M148" s="2" t="s">
        <v>20</v>
      </c>
      <c r="N148" s="2" t="s">
        <v>11</v>
      </c>
      <c r="O148" s="2" t="s">
        <v>53</v>
      </c>
      <c r="P148" s="2" t="s">
        <v>60</v>
      </c>
      <c r="Q148" s="2" t="s">
        <v>16</v>
      </c>
      <c r="R148" s="2" t="s">
        <v>18</v>
      </c>
      <c r="S148">
        <v>5</v>
      </c>
    </row>
    <row r="149" spans="1:19" x14ac:dyDescent="0.3">
      <c r="A149">
        <v>3955</v>
      </c>
      <c r="B149">
        <f>YEAR(Cleaned_HR_Data_Analysis__2[[#This Row],[Joining_Date]])</f>
        <v>2020</v>
      </c>
      <c r="C149" s="1">
        <v>43877</v>
      </c>
      <c r="D149" s="1" t="str" cm="1">
        <f t="array" ref="D149">_xlfn.IFS(E149&lt;28, "17-27",
AND(E149&gt;27, E149&lt;38), "28-37",
AND(E149&gt;37, E149 &lt;48), "38-47",
AND(E149&gt;47, E149 &lt;58), "48-57",
AND(E149&gt;57, E149&lt;68), "58-67",
AND(E149&gt;67, E149&lt;78), "68-77",
E149&gt;77,"Above than 77")</f>
        <v>17-27</v>
      </c>
      <c r="E149">
        <v>22</v>
      </c>
      <c r="F149" s="1">
        <v>36096</v>
      </c>
      <c r="G149" s="1" t="str">
        <f>VLOOKUP(H149,Table7[#All], 2, FALSE)</f>
        <v>Massachusetts</v>
      </c>
      <c r="H149" s="2" t="s">
        <v>14</v>
      </c>
      <c r="I149" s="2" t="s">
        <v>15</v>
      </c>
      <c r="J149" s="2" t="s">
        <v>34</v>
      </c>
      <c r="K149" s="2" t="s">
        <v>77</v>
      </c>
      <c r="L149" s="2" t="s">
        <v>9</v>
      </c>
      <c r="M149" s="2" t="s">
        <v>10</v>
      </c>
      <c r="N149" s="2" t="s">
        <v>11</v>
      </c>
      <c r="O149" s="2" t="s">
        <v>53</v>
      </c>
      <c r="P149" s="2" t="s">
        <v>54</v>
      </c>
      <c r="Q149" s="2" t="s">
        <v>23</v>
      </c>
      <c r="R149" s="2" t="s">
        <v>18</v>
      </c>
      <c r="S149">
        <v>1</v>
      </c>
    </row>
    <row r="150" spans="1:19" x14ac:dyDescent="0.3">
      <c r="A150">
        <v>2371</v>
      </c>
      <c r="B150">
        <f>YEAR(Cleaned_HR_Data_Analysis__2[[#This Row],[Joining_Date]])</f>
        <v>2022</v>
      </c>
      <c r="C150" s="1">
        <v>44886</v>
      </c>
      <c r="D150" s="1" t="str" cm="1">
        <f t="array" ref="D150">_xlfn.IFS(E150&lt;28, "17-27",
AND(E150&gt;27, E150&lt;38), "28-37",
AND(E150&gt;37, E150 &lt;48), "38-47",
AND(E150&gt;47, E150 &lt;58), "48-57",
AND(E150&gt;57, E150&lt;68), "58-67",
AND(E150&gt;67, E150&lt;78), "68-77",
E150&gt;77,"Above than 77")</f>
        <v>17-27</v>
      </c>
      <c r="E150">
        <v>22</v>
      </c>
      <c r="F150" s="1">
        <v>36676</v>
      </c>
      <c r="G150" s="1" t="str">
        <f>VLOOKUP(H150,Table7[#All], 2, FALSE)</f>
        <v>Massachusetts</v>
      </c>
      <c r="H150" s="2" t="s">
        <v>14</v>
      </c>
      <c r="I150" s="2" t="s">
        <v>22</v>
      </c>
      <c r="J150" s="2" t="s">
        <v>34</v>
      </c>
      <c r="K150" s="2" t="s">
        <v>78</v>
      </c>
      <c r="L150" s="2" t="s">
        <v>9</v>
      </c>
      <c r="M150" s="2" t="s">
        <v>10</v>
      </c>
      <c r="N150" s="2" t="s">
        <v>26</v>
      </c>
      <c r="O150" s="2" t="s">
        <v>12</v>
      </c>
      <c r="P150" s="2" t="s">
        <v>35</v>
      </c>
      <c r="Q150" s="2" t="s">
        <v>16</v>
      </c>
      <c r="R150" s="2" t="s">
        <v>18</v>
      </c>
      <c r="S150">
        <v>1</v>
      </c>
    </row>
    <row r="151" spans="1:19" x14ac:dyDescent="0.3">
      <c r="A151">
        <v>1623</v>
      </c>
      <c r="B151">
        <f>YEAR(Cleaned_HR_Data_Analysis__2[[#This Row],[Joining_Date]])</f>
        <v>2023</v>
      </c>
      <c r="C151" s="1">
        <v>45096</v>
      </c>
      <c r="D151" s="1" t="str" cm="1">
        <f t="array" ref="D151">_xlfn.IFS(E151&lt;28, "17-27",
AND(E151&gt;27, E151&lt;38), "28-37",
AND(E151&gt;37, E151 &lt;48), "38-47",
AND(E151&gt;47, E151 &lt;58), "48-57",
AND(E151&gt;57, E151&lt;68), "58-67",
AND(E151&gt;67, E151&lt;78), "68-77",
E151&gt;77,"Above than 77")</f>
        <v>17-27</v>
      </c>
      <c r="E151">
        <v>22</v>
      </c>
      <c r="F151" s="1">
        <v>37059</v>
      </c>
      <c r="G151" s="1" t="str">
        <f>VLOOKUP(H151,Table7[#All], 2, FALSE)</f>
        <v>Massachusetts</v>
      </c>
      <c r="H151" s="2" t="s">
        <v>14</v>
      </c>
      <c r="I151" s="2" t="s">
        <v>22</v>
      </c>
      <c r="J151" s="2" t="s">
        <v>40</v>
      </c>
      <c r="K151" s="2" t="s">
        <v>97</v>
      </c>
      <c r="L151" s="2" t="s">
        <v>9</v>
      </c>
      <c r="M151" s="2" t="s">
        <v>25</v>
      </c>
      <c r="N151" s="2" t="s">
        <v>11</v>
      </c>
      <c r="O151" s="2" t="s">
        <v>53</v>
      </c>
      <c r="P151" s="2" t="s">
        <v>13</v>
      </c>
      <c r="Q151" s="2" t="s">
        <v>30</v>
      </c>
      <c r="R151" s="2" t="s">
        <v>56</v>
      </c>
      <c r="S151">
        <v>2</v>
      </c>
    </row>
    <row r="152" spans="1:19" x14ac:dyDescent="0.3">
      <c r="A152">
        <v>2713</v>
      </c>
      <c r="B152">
        <f>YEAR(Cleaned_HR_Data_Analysis__2[[#This Row],[Joining_Date]])</f>
        <v>2019</v>
      </c>
      <c r="C152" s="1">
        <v>43753</v>
      </c>
      <c r="D152" s="1" t="str" cm="1">
        <f t="array" ref="D152">_xlfn.IFS(E152&lt;28, "17-27",
AND(E152&gt;27, E152&lt;38), "28-37",
AND(E152&gt;37, E152 &lt;48), "38-47",
AND(E152&gt;47, E152 &lt;58), "48-57",
AND(E152&gt;57, E152&lt;68), "58-67",
AND(E152&gt;67, E152&lt;78), "68-77",
E152&gt;77,"Above than 77")</f>
        <v>17-27</v>
      </c>
      <c r="E152">
        <v>22</v>
      </c>
      <c r="F152" s="1">
        <v>35470</v>
      </c>
      <c r="G152" s="1" t="str">
        <f>VLOOKUP(H152,Table7[#All], 2, FALSE)</f>
        <v>New York</v>
      </c>
      <c r="H152" s="2" t="s">
        <v>118</v>
      </c>
      <c r="I152" s="2" t="s">
        <v>22</v>
      </c>
      <c r="J152" s="2" t="s">
        <v>34</v>
      </c>
      <c r="K152" s="2" t="s">
        <v>24</v>
      </c>
      <c r="L152" s="2" t="s">
        <v>9</v>
      </c>
      <c r="M152" s="2" t="s">
        <v>25</v>
      </c>
      <c r="N152" s="2" t="s">
        <v>19</v>
      </c>
      <c r="O152" s="2" t="s">
        <v>27</v>
      </c>
      <c r="P152" s="2" t="s">
        <v>21</v>
      </c>
      <c r="Q152" s="2" t="s">
        <v>37</v>
      </c>
      <c r="R152" s="2" t="s">
        <v>18</v>
      </c>
      <c r="S152">
        <v>2</v>
      </c>
    </row>
    <row r="153" spans="1:19" x14ac:dyDescent="0.3">
      <c r="A153">
        <v>1654</v>
      </c>
      <c r="B153">
        <f>YEAR(Cleaned_HR_Data_Analysis__2[[#This Row],[Joining_Date]])</f>
        <v>2021</v>
      </c>
      <c r="C153" s="1">
        <v>44404</v>
      </c>
      <c r="D153" s="1" t="str" cm="1">
        <f t="array" ref="D153">_xlfn.IFS(E153&lt;28, "17-27",
AND(E153&gt;27, E153&lt;38), "28-37",
AND(E153&gt;37, E153 &lt;48), "38-47",
AND(E153&gt;47, E153 &lt;58), "48-57",
AND(E153&gt;57, E153&lt;68), "58-67",
AND(E153&gt;67, E153&lt;78), "68-77",
E153&gt;77,"Above than 77")</f>
        <v>17-27</v>
      </c>
      <c r="E153">
        <v>22</v>
      </c>
      <c r="F153" s="1">
        <v>36513</v>
      </c>
      <c r="G153" s="1" t="str">
        <f>VLOOKUP(H153,Table7[#All], 2, FALSE)</f>
        <v>Massachusetts</v>
      </c>
      <c r="H153" s="2" t="s">
        <v>14</v>
      </c>
      <c r="I153" s="2" t="s">
        <v>22</v>
      </c>
      <c r="J153" s="2" t="s">
        <v>40</v>
      </c>
      <c r="K153" s="2" t="s">
        <v>24</v>
      </c>
      <c r="L153" s="2" t="s">
        <v>9</v>
      </c>
      <c r="M153" s="2" t="s">
        <v>25</v>
      </c>
      <c r="N153" s="2" t="s">
        <v>26</v>
      </c>
      <c r="O153" s="2" t="s">
        <v>53</v>
      </c>
      <c r="P153" s="2" t="s">
        <v>42</v>
      </c>
      <c r="Q153" s="2" t="s">
        <v>37</v>
      </c>
      <c r="R153" s="2" t="s">
        <v>18</v>
      </c>
      <c r="S153">
        <v>3</v>
      </c>
    </row>
    <row r="154" spans="1:19" x14ac:dyDescent="0.3">
      <c r="A154">
        <v>3455</v>
      </c>
      <c r="B154">
        <f>YEAR(Cleaned_HR_Data_Analysis__2[[#This Row],[Joining_Date]])</f>
        <v>2021</v>
      </c>
      <c r="C154" s="1">
        <v>44376</v>
      </c>
      <c r="D154" s="1" t="str" cm="1">
        <f t="array" ref="D154">_xlfn.IFS(E154&lt;28, "17-27",
AND(E154&gt;27, E154&lt;38), "28-37",
AND(E154&gt;37, E154 &lt;48), "38-47",
AND(E154&gt;47, E154 &lt;58), "48-57",
AND(E154&gt;57, E154&lt;68), "58-67",
AND(E154&gt;67, E154&lt;78), "68-77",
E154&gt;77,"Above than 77")</f>
        <v>17-27</v>
      </c>
      <c r="E154">
        <v>22</v>
      </c>
      <c r="F154" s="1">
        <v>36178</v>
      </c>
      <c r="G154" s="1" t="str">
        <f>VLOOKUP(H154,Table7[#All], 2, FALSE)</f>
        <v>Kentucky</v>
      </c>
      <c r="H154" s="2" t="s">
        <v>51</v>
      </c>
      <c r="I154" s="2" t="s">
        <v>22</v>
      </c>
      <c r="J154" s="2" t="s">
        <v>17</v>
      </c>
      <c r="K154" s="2" t="s">
        <v>24</v>
      </c>
      <c r="L154" s="2" t="s">
        <v>9</v>
      </c>
      <c r="M154" s="2" t="s">
        <v>25</v>
      </c>
      <c r="N154" s="2" t="s">
        <v>11</v>
      </c>
      <c r="O154" s="2" t="s">
        <v>27</v>
      </c>
      <c r="P154" s="2" t="s">
        <v>57</v>
      </c>
      <c r="Q154" s="2" t="s">
        <v>30</v>
      </c>
      <c r="R154" s="2" t="s">
        <v>41</v>
      </c>
      <c r="S154">
        <v>1</v>
      </c>
    </row>
    <row r="155" spans="1:19" x14ac:dyDescent="0.3">
      <c r="A155">
        <v>2704</v>
      </c>
      <c r="B155">
        <f>YEAR(Cleaned_HR_Data_Analysis__2[[#This Row],[Joining_Date]])</f>
        <v>2020</v>
      </c>
      <c r="C155" s="1">
        <v>43857</v>
      </c>
      <c r="D155" s="1" t="str" cm="1">
        <f t="array" ref="D155">_xlfn.IFS(E155&lt;28, "17-27",
AND(E155&gt;27, E155&lt;38), "28-37",
AND(E155&gt;37, E155 &lt;48), "38-47",
AND(E155&gt;47, E155 &lt;58), "48-57",
AND(E155&gt;57, E155&lt;68), "58-67",
AND(E155&gt;67, E155&lt;78), "68-77",
E155&gt;77,"Above than 77")</f>
        <v>17-27</v>
      </c>
      <c r="E155">
        <v>22</v>
      </c>
      <c r="F155" s="1">
        <v>36006</v>
      </c>
      <c r="G155" s="1" t="str">
        <f>VLOOKUP(H155,Table7[#All], 2, FALSE)</f>
        <v>Arizona</v>
      </c>
      <c r="H155" s="2" t="s">
        <v>114</v>
      </c>
      <c r="I155" s="2" t="s">
        <v>22</v>
      </c>
      <c r="J155" s="2" t="s">
        <v>17</v>
      </c>
      <c r="K155" s="2" t="s">
        <v>24</v>
      </c>
      <c r="L155" s="2" t="s">
        <v>9</v>
      </c>
      <c r="M155" s="2" t="s">
        <v>20</v>
      </c>
      <c r="N155" s="2" t="s">
        <v>19</v>
      </c>
      <c r="O155" s="2" t="s">
        <v>27</v>
      </c>
      <c r="P155" s="2" t="s">
        <v>35</v>
      </c>
      <c r="Q155" s="2" t="s">
        <v>37</v>
      </c>
      <c r="R155" s="2" t="s">
        <v>18</v>
      </c>
      <c r="S155">
        <v>4</v>
      </c>
    </row>
    <row r="156" spans="1:19" x14ac:dyDescent="0.3">
      <c r="A156">
        <v>1358</v>
      </c>
      <c r="B156">
        <f>YEAR(Cleaned_HR_Data_Analysis__2[[#This Row],[Joining_Date]])</f>
        <v>2018</v>
      </c>
      <c r="C156" s="1">
        <v>43412</v>
      </c>
      <c r="D156" s="1" t="str" cm="1">
        <f t="array" ref="D156">_xlfn.IFS(E156&lt;28, "17-27",
AND(E156&gt;27, E156&lt;38), "28-37",
AND(E156&gt;37, E156 &lt;48), "38-47",
AND(E156&gt;47, E156 &lt;58), "48-57",
AND(E156&gt;57, E156&lt;68), "58-67",
AND(E156&gt;67, E156&lt;78), "68-77",
E156&gt;77,"Above than 77")</f>
        <v>17-27</v>
      </c>
      <c r="E156">
        <v>22</v>
      </c>
      <c r="F156" s="1">
        <v>35153</v>
      </c>
      <c r="G156" s="1" t="str">
        <f>VLOOKUP(H156,Table7[#All], 2, FALSE)</f>
        <v>Massachusetts</v>
      </c>
      <c r="H156" s="2" t="s">
        <v>14</v>
      </c>
      <c r="I156" s="2" t="s">
        <v>22</v>
      </c>
      <c r="J156" s="2" t="s">
        <v>34</v>
      </c>
      <c r="K156" s="2" t="s">
        <v>96</v>
      </c>
      <c r="L156" s="2" t="s">
        <v>9</v>
      </c>
      <c r="M156" s="2" t="s">
        <v>20</v>
      </c>
      <c r="N156" s="2" t="s">
        <v>26</v>
      </c>
      <c r="O156" s="2" t="s">
        <v>90</v>
      </c>
      <c r="P156" s="2" t="s">
        <v>35</v>
      </c>
      <c r="Q156" s="2" t="s">
        <v>37</v>
      </c>
      <c r="R156" s="2" t="s">
        <v>18</v>
      </c>
      <c r="S156">
        <v>2</v>
      </c>
    </row>
    <row r="157" spans="1:19" x14ac:dyDescent="0.3">
      <c r="A157">
        <v>3874</v>
      </c>
      <c r="B157">
        <f>YEAR(Cleaned_HR_Data_Analysis__2[[#This Row],[Joining_Date]])</f>
        <v>2020</v>
      </c>
      <c r="C157" s="1">
        <v>43984</v>
      </c>
      <c r="D157" s="1" t="str" cm="1">
        <f t="array" ref="D157">_xlfn.IFS(E157&lt;28, "17-27",
AND(E157&gt;27, E157&lt;38), "28-37",
AND(E157&gt;37, E157 &lt;48), "38-47",
AND(E157&gt;47, E157 &lt;58), "48-57",
AND(E157&gt;57, E157&lt;68), "58-67",
AND(E157&gt;67, E157&lt;78), "68-77",
E157&gt;77,"Above than 77")</f>
        <v>17-27</v>
      </c>
      <c r="E157">
        <v>23</v>
      </c>
      <c r="F157" s="1">
        <v>35725</v>
      </c>
      <c r="G157" s="1" t="str">
        <f>VLOOKUP(H157,Table7[#All], 2, FALSE)</f>
        <v>Connecticut</v>
      </c>
      <c r="H157" s="2" t="s">
        <v>36</v>
      </c>
      <c r="I157" s="2" t="s">
        <v>22</v>
      </c>
      <c r="J157" s="2" t="s">
        <v>34</v>
      </c>
      <c r="K157" s="2" t="s">
        <v>72</v>
      </c>
      <c r="L157" s="2" t="s">
        <v>9</v>
      </c>
      <c r="M157" s="2" t="s">
        <v>20</v>
      </c>
      <c r="N157" s="2" t="s">
        <v>11</v>
      </c>
      <c r="O157" s="2" t="s">
        <v>53</v>
      </c>
      <c r="P157" s="2" t="s">
        <v>32</v>
      </c>
      <c r="Q157" s="2" t="s">
        <v>23</v>
      </c>
      <c r="R157" s="2" t="s">
        <v>18</v>
      </c>
      <c r="S157">
        <v>4</v>
      </c>
    </row>
    <row r="158" spans="1:19" x14ac:dyDescent="0.3">
      <c r="A158">
        <v>1078</v>
      </c>
      <c r="B158">
        <f>YEAR(Cleaned_HR_Data_Analysis__2[[#This Row],[Joining_Date]])</f>
        <v>2020</v>
      </c>
      <c r="C158" s="1">
        <v>43885</v>
      </c>
      <c r="D158" s="1" t="str" cm="1">
        <f t="array" ref="D158">_xlfn.IFS(E158&lt;28, "17-27",
AND(E158&gt;27, E158&lt;38), "28-37",
AND(E158&gt;37, E158 &lt;48), "38-47",
AND(E158&gt;47, E158 &lt;58), "48-57",
AND(E158&gt;57, E158&lt;68), "58-67",
AND(E158&gt;67, E158&lt;78), "68-77",
E158&gt;77,"Above than 77")</f>
        <v>17-27</v>
      </c>
      <c r="E158">
        <v>23</v>
      </c>
      <c r="F158" s="1">
        <v>35508</v>
      </c>
      <c r="G158" s="1" t="str">
        <f>VLOOKUP(H158,Table7[#All], 2, FALSE)</f>
        <v>Massachusetts</v>
      </c>
      <c r="H158" s="2" t="s">
        <v>14</v>
      </c>
      <c r="I158" s="2" t="s">
        <v>15</v>
      </c>
      <c r="J158" s="2" t="s">
        <v>40</v>
      </c>
      <c r="K158" s="2" t="s">
        <v>86</v>
      </c>
      <c r="L158" s="2" t="s">
        <v>9</v>
      </c>
      <c r="M158" s="2" t="s">
        <v>10</v>
      </c>
      <c r="N158" s="2" t="s">
        <v>11</v>
      </c>
      <c r="O158" s="2" t="s">
        <v>87</v>
      </c>
      <c r="P158" s="2" t="s">
        <v>21</v>
      </c>
      <c r="Q158" s="2" t="s">
        <v>46</v>
      </c>
      <c r="R158" s="2" t="s">
        <v>18</v>
      </c>
      <c r="S158">
        <v>3</v>
      </c>
    </row>
    <row r="159" spans="1:19" x14ac:dyDescent="0.3">
      <c r="A159">
        <v>1068</v>
      </c>
      <c r="B159">
        <f>YEAR(Cleaned_HR_Data_Analysis__2[[#This Row],[Joining_Date]])</f>
        <v>2021</v>
      </c>
      <c r="C159" s="1">
        <v>44470</v>
      </c>
      <c r="D159" s="1" t="str" cm="1">
        <f t="array" ref="D159">_xlfn.IFS(E159&lt;28, "17-27",
AND(E159&gt;27, E159&lt;38), "28-37",
AND(E159&gt;37, E159 &lt;48), "38-47",
AND(E159&gt;47, E159 &lt;58), "48-57",
AND(E159&gt;57, E159&lt;68), "58-67",
AND(E159&gt;67, E159&lt;78), "68-77",
E159&gt;77,"Above than 77")</f>
        <v>17-27</v>
      </c>
      <c r="E159">
        <v>23</v>
      </c>
      <c r="F159" s="1">
        <v>36153</v>
      </c>
      <c r="G159" s="1" t="str">
        <f>VLOOKUP(H159,Table7[#All], 2, FALSE)</f>
        <v>Massachusetts</v>
      </c>
      <c r="H159" s="2" t="s">
        <v>14</v>
      </c>
      <c r="I159" s="2" t="s">
        <v>15</v>
      </c>
      <c r="J159" s="2" t="s">
        <v>17</v>
      </c>
      <c r="K159" s="2" t="s">
        <v>86</v>
      </c>
      <c r="L159" s="2" t="s">
        <v>9</v>
      </c>
      <c r="M159" s="2" t="s">
        <v>25</v>
      </c>
      <c r="N159" s="2" t="s">
        <v>26</v>
      </c>
      <c r="O159" s="2" t="s">
        <v>87</v>
      </c>
      <c r="P159" s="2" t="s">
        <v>59</v>
      </c>
      <c r="Q159" s="2" t="s">
        <v>37</v>
      </c>
      <c r="R159" s="2" t="s">
        <v>18</v>
      </c>
      <c r="S159">
        <v>2</v>
      </c>
    </row>
    <row r="160" spans="1:19" x14ac:dyDescent="0.3">
      <c r="A160">
        <v>1065</v>
      </c>
      <c r="B160">
        <f>YEAR(Cleaned_HR_Data_Analysis__2[[#This Row],[Joining_Date]])</f>
        <v>2018</v>
      </c>
      <c r="C160" s="1">
        <v>43340</v>
      </c>
      <c r="D160" s="1" t="str" cm="1">
        <f t="array" ref="D160">_xlfn.IFS(E160&lt;28, "17-27",
AND(E160&gt;27, E160&lt;38), "28-37",
AND(E160&gt;37, E160 &lt;48), "38-47",
AND(E160&gt;47, E160 &lt;58), "48-57",
AND(E160&gt;57, E160&lt;68), "58-67",
AND(E160&gt;67, E160&lt;78), "68-77",
E160&gt;77,"Above than 77")</f>
        <v>17-27</v>
      </c>
      <c r="E160">
        <v>23</v>
      </c>
      <c r="F160" s="1">
        <v>34876</v>
      </c>
      <c r="G160" s="1" t="str">
        <f>VLOOKUP(H160,Table7[#All], 2, FALSE)</f>
        <v>Massachusetts</v>
      </c>
      <c r="H160" s="2" t="s">
        <v>14</v>
      </c>
      <c r="I160" s="2" t="s">
        <v>22</v>
      </c>
      <c r="J160" s="2" t="s">
        <v>17</v>
      </c>
      <c r="K160" s="2" t="s">
        <v>86</v>
      </c>
      <c r="L160" s="2" t="s">
        <v>9</v>
      </c>
      <c r="M160" s="2" t="s">
        <v>10</v>
      </c>
      <c r="N160" s="2" t="s">
        <v>11</v>
      </c>
      <c r="O160" s="2" t="s">
        <v>87</v>
      </c>
      <c r="P160" s="2" t="s">
        <v>42</v>
      </c>
      <c r="Q160" s="2" t="s">
        <v>30</v>
      </c>
      <c r="R160" s="2" t="s">
        <v>18</v>
      </c>
      <c r="S160">
        <v>3</v>
      </c>
    </row>
    <row r="161" spans="1:19" x14ac:dyDescent="0.3">
      <c r="A161">
        <v>1055</v>
      </c>
      <c r="B161">
        <f>YEAR(Cleaned_HR_Data_Analysis__2[[#This Row],[Joining_Date]])</f>
        <v>2018</v>
      </c>
      <c r="C161" s="1">
        <v>43351</v>
      </c>
      <c r="D161" s="1" t="str" cm="1">
        <f t="array" ref="D161">_xlfn.IFS(E161&lt;28, "17-27",
AND(E161&gt;27, E161&lt;38), "28-37",
AND(E161&gt;37, E161 &lt;48), "38-47",
AND(E161&gt;47, E161 &lt;58), "48-57",
AND(E161&gt;57, E161&lt;68), "58-67",
AND(E161&gt;67, E161&lt;78), "68-77",
E161&gt;77,"Above than 77")</f>
        <v>17-27</v>
      </c>
      <c r="E161">
        <v>23</v>
      </c>
      <c r="F161" s="1">
        <v>35027</v>
      </c>
      <c r="G161" s="1" t="str">
        <f>VLOOKUP(H161,Table7[#All], 2, FALSE)</f>
        <v>Massachusetts</v>
      </c>
      <c r="H161" s="2" t="s">
        <v>14</v>
      </c>
      <c r="I161" s="2" t="s">
        <v>15</v>
      </c>
      <c r="J161" s="2" t="s">
        <v>17</v>
      </c>
      <c r="K161" s="2" t="s">
        <v>86</v>
      </c>
      <c r="L161" s="2" t="s">
        <v>9</v>
      </c>
      <c r="M161" s="2" t="s">
        <v>10</v>
      </c>
      <c r="N161" s="2" t="s">
        <v>11</v>
      </c>
      <c r="O161" s="2" t="s">
        <v>87</v>
      </c>
      <c r="P161" s="2" t="s">
        <v>35</v>
      </c>
      <c r="Q161" s="2" t="s">
        <v>16</v>
      </c>
      <c r="R161" s="2" t="s">
        <v>18</v>
      </c>
      <c r="S161">
        <v>4</v>
      </c>
    </row>
    <row r="162" spans="1:19" x14ac:dyDescent="0.3">
      <c r="A162">
        <v>3162</v>
      </c>
      <c r="B162">
        <f>YEAR(Cleaned_HR_Data_Analysis__2[[#This Row],[Joining_Date]])</f>
        <v>2020</v>
      </c>
      <c r="C162" s="1">
        <v>43885</v>
      </c>
      <c r="D162" s="1" t="str" cm="1">
        <f t="array" ref="D162">_xlfn.IFS(E162&lt;28, "17-27",
AND(E162&gt;27, E162&lt;38), "28-37",
AND(E162&gt;37, E162 &lt;48), "38-47",
AND(E162&gt;47, E162 &lt;58), "48-57",
AND(E162&gt;57, E162&lt;68), "58-67",
AND(E162&gt;67, E162&lt;78), "68-77",
E162&gt;77,"Above than 77")</f>
        <v>17-27</v>
      </c>
      <c r="E162">
        <v>23</v>
      </c>
      <c r="F162" s="1">
        <v>35669</v>
      </c>
      <c r="G162" s="1" t="str">
        <f>VLOOKUP(H162,Table7[#All], 2, FALSE)</f>
        <v>Massachusetts</v>
      </c>
      <c r="H162" s="2" t="s">
        <v>14</v>
      </c>
      <c r="I162" s="2" t="s">
        <v>22</v>
      </c>
      <c r="J162" s="2" t="s">
        <v>31</v>
      </c>
      <c r="K162" s="2" t="s">
        <v>64</v>
      </c>
      <c r="L162" s="2" t="s">
        <v>9</v>
      </c>
      <c r="M162" s="2" t="s">
        <v>20</v>
      </c>
      <c r="N162" s="2" t="s">
        <v>19</v>
      </c>
      <c r="O162" s="2" t="s">
        <v>12</v>
      </c>
      <c r="P162" s="2" t="s">
        <v>92</v>
      </c>
      <c r="Q162" s="2" t="s">
        <v>16</v>
      </c>
      <c r="R162" s="2" t="s">
        <v>18</v>
      </c>
      <c r="S162">
        <v>4</v>
      </c>
    </row>
    <row r="163" spans="1:19" x14ac:dyDescent="0.3">
      <c r="A163">
        <v>3137</v>
      </c>
      <c r="B163">
        <f>YEAR(Cleaned_HR_Data_Analysis__2[[#This Row],[Joining_Date]])</f>
        <v>2018</v>
      </c>
      <c r="C163" s="1">
        <v>43443</v>
      </c>
      <c r="D163" s="1" t="str" cm="1">
        <f t="array" ref="D163">_xlfn.IFS(E163&lt;28, "17-27",
AND(E163&gt;27, E163&lt;38), "28-37",
AND(E163&gt;37, E163 &lt;48), "38-47",
AND(E163&gt;47, E163 &lt;58), "48-57",
AND(E163&gt;57, E163&lt;68), "58-67",
AND(E163&gt;67, E163&lt;78), "68-77",
E163&gt;77,"Above than 77")</f>
        <v>17-27</v>
      </c>
      <c r="E163">
        <v>23</v>
      </c>
      <c r="F163" s="1">
        <v>34853</v>
      </c>
      <c r="G163" s="1" t="str">
        <f>VLOOKUP(H163,Table7[#All], 2, FALSE)</f>
        <v>Massachusetts</v>
      </c>
      <c r="H163" s="2" t="s">
        <v>14</v>
      </c>
      <c r="I163" s="2" t="s">
        <v>15</v>
      </c>
      <c r="J163" s="2" t="s">
        <v>31</v>
      </c>
      <c r="K163" s="2" t="s">
        <v>64</v>
      </c>
      <c r="L163" s="2" t="s">
        <v>66</v>
      </c>
      <c r="M163" s="2" t="s">
        <v>10</v>
      </c>
      <c r="N163" s="2" t="s">
        <v>26</v>
      </c>
      <c r="O163" s="2" t="s">
        <v>12</v>
      </c>
      <c r="P163" s="2" t="s">
        <v>35</v>
      </c>
      <c r="Q163" s="2" t="s">
        <v>30</v>
      </c>
      <c r="R163" s="2" t="s">
        <v>18</v>
      </c>
      <c r="S163">
        <v>2</v>
      </c>
    </row>
    <row r="164" spans="1:19" x14ac:dyDescent="0.3">
      <c r="A164">
        <v>3025</v>
      </c>
      <c r="B164">
        <f>YEAR(Cleaned_HR_Data_Analysis__2[[#This Row],[Joining_Date]])</f>
        <v>2022</v>
      </c>
      <c r="C164" s="1">
        <v>44704</v>
      </c>
      <c r="D164" s="1" t="str" cm="1">
        <f t="array" ref="D164">_xlfn.IFS(E164&lt;28, "17-27",
AND(E164&gt;27, E164&lt;38), "28-37",
AND(E164&gt;37, E164 &lt;48), "38-47",
AND(E164&gt;47, E164 &lt;58), "48-57",
AND(E164&gt;57, E164&lt;68), "58-67",
AND(E164&gt;67, E164&lt;78), "68-77",
E164&gt;77,"Above than 77")</f>
        <v>17-27</v>
      </c>
      <c r="E164">
        <v>23</v>
      </c>
      <c r="F164" s="1">
        <v>36248</v>
      </c>
      <c r="G164" s="1" t="str">
        <f>VLOOKUP(H164,Table7[#All], 2, FALSE)</f>
        <v>Massachusetts</v>
      </c>
      <c r="H164" s="2" t="s">
        <v>14</v>
      </c>
      <c r="I164" s="2" t="s">
        <v>15</v>
      </c>
      <c r="J164" s="2" t="s">
        <v>34</v>
      </c>
      <c r="K164" s="2" t="s">
        <v>64</v>
      </c>
      <c r="L164" s="2" t="s">
        <v>9</v>
      </c>
      <c r="M164" s="2" t="s">
        <v>10</v>
      </c>
      <c r="N164" s="2" t="s">
        <v>11</v>
      </c>
      <c r="O164" s="2" t="s">
        <v>12</v>
      </c>
      <c r="P164" s="2" t="s">
        <v>54</v>
      </c>
      <c r="Q164" s="2" t="s">
        <v>37</v>
      </c>
      <c r="R164" s="2" t="s">
        <v>18</v>
      </c>
      <c r="S164">
        <v>4</v>
      </c>
    </row>
    <row r="165" spans="1:19" x14ac:dyDescent="0.3">
      <c r="A165">
        <v>3004</v>
      </c>
      <c r="B165">
        <f>YEAR(Cleaned_HR_Data_Analysis__2[[#This Row],[Joining_Date]])</f>
        <v>2019</v>
      </c>
      <c r="C165" s="1">
        <v>43706</v>
      </c>
      <c r="D165" s="1" t="str" cm="1">
        <f t="array" ref="D165">_xlfn.IFS(E165&lt;28, "17-27",
AND(E165&gt;27, E165&lt;38), "28-37",
AND(E165&gt;37, E165 &lt;48), "38-47",
AND(E165&gt;47, E165 &lt;58), "48-57",
AND(E165&gt;57, E165&lt;68), "58-67",
AND(E165&gt;67, E165&lt;78), "68-77",
E165&gt;77,"Above than 77")</f>
        <v>17-27</v>
      </c>
      <c r="E165">
        <v>23</v>
      </c>
      <c r="F165" s="1">
        <v>35088</v>
      </c>
      <c r="G165" s="1" t="str">
        <f>VLOOKUP(H165,Table7[#All], 2, FALSE)</f>
        <v>Massachusetts</v>
      </c>
      <c r="H165" s="2" t="s">
        <v>14</v>
      </c>
      <c r="I165" s="2" t="s">
        <v>15</v>
      </c>
      <c r="J165" s="2" t="s">
        <v>40</v>
      </c>
      <c r="K165" s="2" t="s">
        <v>64</v>
      </c>
      <c r="L165" s="2" t="s">
        <v>9</v>
      </c>
      <c r="M165" s="2" t="s">
        <v>25</v>
      </c>
      <c r="N165" s="2" t="s">
        <v>26</v>
      </c>
      <c r="O165" s="2" t="s">
        <v>12</v>
      </c>
      <c r="P165" s="2" t="s">
        <v>32</v>
      </c>
      <c r="Q165" s="2" t="s">
        <v>46</v>
      </c>
      <c r="R165" s="2" t="s">
        <v>18</v>
      </c>
      <c r="S165">
        <v>3</v>
      </c>
    </row>
    <row r="166" spans="1:19" x14ac:dyDescent="0.3">
      <c r="A166">
        <v>2168</v>
      </c>
      <c r="B166">
        <f>YEAR(Cleaned_HR_Data_Analysis__2[[#This Row],[Joining_Date]])</f>
        <v>2018</v>
      </c>
      <c r="C166" s="1">
        <v>43320</v>
      </c>
      <c r="D166" s="1" t="str" cm="1">
        <f t="array" ref="D166">_xlfn.IFS(E166&lt;28, "17-27",
AND(E166&gt;27, E166&lt;38), "28-37",
AND(E166&gt;37, E166 &lt;48), "38-47",
AND(E166&gt;47, E166 &lt;58), "48-57",
AND(E166&gt;57, E166&lt;68), "58-67",
AND(E166&gt;67, E166&lt;78), "68-77",
E166&gt;77,"Above than 77")</f>
        <v>17-27</v>
      </c>
      <c r="E166">
        <v>23</v>
      </c>
      <c r="F166" s="1">
        <v>34715</v>
      </c>
      <c r="G166" s="1" t="str">
        <f>VLOOKUP(H166,Table7[#All], 2, FALSE)</f>
        <v>Massachusetts</v>
      </c>
      <c r="H166" s="2" t="s">
        <v>14</v>
      </c>
      <c r="I166" s="2" t="s">
        <v>15</v>
      </c>
      <c r="J166" s="2" t="s">
        <v>40</v>
      </c>
      <c r="K166" s="2" t="s">
        <v>64</v>
      </c>
      <c r="L166" s="2" t="s">
        <v>9</v>
      </c>
      <c r="M166" s="2" t="s">
        <v>20</v>
      </c>
      <c r="N166" s="2" t="s">
        <v>26</v>
      </c>
      <c r="O166" s="2" t="s">
        <v>12</v>
      </c>
      <c r="P166" s="2" t="s">
        <v>35</v>
      </c>
      <c r="Q166" s="2" t="s">
        <v>37</v>
      </c>
      <c r="R166" s="2" t="s">
        <v>41</v>
      </c>
      <c r="S166">
        <v>1</v>
      </c>
    </row>
    <row r="167" spans="1:19" x14ac:dyDescent="0.3">
      <c r="A167">
        <v>2091</v>
      </c>
      <c r="B167">
        <f>YEAR(Cleaned_HR_Data_Analysis__2[[#This Row],[Joining_Date]])</f>
        <v>2022</v>
      </c>
      <c r="C167" s="1">
        <v>44890</v>
      </c>
      <c r="D167" s="1" t="str" cm="1">
        <f t="array" ref="D167">_xlfn.IFS(E167&lt;28, "17-27",
AND(E167&gt;27, E167&lt;38), "28-37",
AND(E167&gt;37, E167 &lt;48), "38-47",
AND(E167&gt;47, E167 &lt;58), "48-57",
AND(E167&gt;57, E167&lt;68), "58-67",
AND(E167&gt;67, E167&lt;78), "68-77",
E167&gt;77,"Above than 77")</f>
        <v>17-27</v>
      </c>
      <c r="E167">
        <v>23</v>
      </c>
      <c r="F167" s="1">
        <v>36233</v>
      </c>
      <c r="G167" s="1" t="str">
        <f>VLOOKUP(H167,Table7[#All], 2, FALSE)</f>
        <v>Massachusetts</v>
      </c>
      <c r="H167" s="2" t="s">
        <v>14</v>
      </c>
      <c r="I167" s="2" t="s">
        <v>15</v>
      </c>
      <c r="J167" s="2" t="s">
        <v>31</v>
      </c>
      <c r="K167" s="2" t="s">
        <v>64</v>
      </c>
      <c r="L167" s="2" t="s">
        <v>9</v>
      </c>
      <c r="M167" s="2" t="s">
        <v>10</v>
      </c>
      <c r="N167" s="2" t="s">
        <v>11</v>
      </c>
      <c r="O167" s="2" t="s">
        <v>12</v>
      </c>
      <c r="P167" s="2" t="s">
        <v>35</v>
      </c>
      <c r="Q167" s="2" t="s">
        <v>37</v>
      </c>
      <c r="R167" s="2" t="s">
        <v>18</v>
      </c>
      <c r="S167">
        <v>1</v>
      </c>
    </row>
    <row r="168" spans="1:19" x14ac:dyDescent="0.3">
      <c r="A168">
        <v>1998</v>
      </c>
      <c r="B168">
        <f>YEAR(Cleaned_HR_Data_Analysis__2[[#This Row],[Joining_Date]])</f>
        <v>2022</v>
      </c>
      <c r="C168" s="1">
        <v>44644</v>
      </c>
      <c r="D168" s="1" t="str" cm="1">
        <f t="array" ref="D168">_xlfn.IFS(E168&lt;28, "17-27",
AND(E168&gt;27, E168&lt;38), "28-37",
AND(E168&gt;37, E168 &lt;48), "38-47",
AND(E168&gt;47, E168 &lt;58), "48-57",
AND(E168&gt;57, E168&lt;68), "58-67",
AND(E168&gt;67, E168&lt;78), "68-77",
E168&gt;77,"Above than 77")</f>
        <v>17-27</v>
      </c>
      <c r="E168">
        <v>23</v>
      </c>
      <c r="F168" s="1">
        <v>36212</v>
      </c>
      <c r="G168" s="1" t="str">
        <f>VLOOKUP(H168,Table7[#All], 2, FALSE)</f>
        <v>Massachusetts</v>
      </c>
      <c r="H168" s="2" t="s">
        <v>14</v>
      </c>
      <c r="I168" s="2" t="s">
        <v>15</v>
      </c>
      <c r="J168" s="2" t="s">
        <v>17</v>
      </c>
      <c r="K168" s="2" t="s">
        <v>64</v>
      </c>
      <c r="L168" s="2" t="s">
        <v>9</v>
      </c>
      <c r="M168" s="2" t="s">
        <v>25</v>
      </c>
      <c r="N168" s="2" t="s">
        <v>11</v>
      </c>
      <c r="O168" s="2" t="s">
        <v>12</v>
      </c>
      <c r="P168" s="2" t="s">
        <v>32</v>
      </c>
      <c r="Q168" s="2" t="s">
        <v>37</v>
      </c>
      <c r="R168" s="2" t="s">
        <v>18</v>
      </c>
      <c r="S168">
        <v>4</v>
      </c>
    </row>
    <row r="169" spans="1:19" x14ac:dyDescent="0.3">
      <c r="A169">
        <v>3640</v>
      </c>
      <c r="B169">
        <f>YEAR(Cleaned_HR_Data_Analysis__2[[#This Row],[Joining_Date]])</f>
        <v>2023</v>
      </c>
      <c r="C169" s="1">
        <v>44933</v>
      </c>
      <c r="D169" s="1" t="str" cm="1">
        <f t="array" ref="D169">_xlfn.IFS(E169&lt;28, "17-27",
AND(E169&gt;27, E169&lt;38), "28-37",
AND(E169&gt;37, E169 &lt;48), "38-47",
AND(E169&gt;47, E169 &lt;58), "48-57",
AND(E169&gt;57, E169&lt;68), "58-67",
AND(E169&gt;67, E169&lt;78), "68-77",
E169&gt;77,"Above than 77")</f>
        <v>17-27</v>
      </c>
      <c r="E169">
        <v>23</v>
      </c>
      <c r="F169" s="1">
        <v>36790</v>
      </c>
      <c r="G169" s="1" t="str">
        <f>VLOOKUP(H169,Table7[#All], 2, FALSE)</f>
        <v>Massachusetts</v>
      </c>
      <c r="H169" s="2" t="s">
        <v>14</v>
      </c>
      <c r="I169" s="2" t="s">
        <v>15</v>
      </c>
      <c r="J169" s="2" t="s">
        <v>40</v>
      </c>
      <c r="K169" s="2" t="s">
        <v>8</v>
      </c>
      <c r="L169" s="2" t="s">
        <v>9</v>
      </c>
      <c r="M169" s="2" t="s">
        <v>10</v>
      </c>
      <c r="N169" s="2" t="s">
        <v>19</v>
      </c>
      <c r="O169" s="2" t="s">
        <v>12</v>
      </c>
      <c r="P169" s="2" t="s">
        <v>35</v>
      </c>
      <c r="Q169" s="2" t="s">
        <v>46</v>
      </c>
      <c r="R169" s="2" t="s">
        <v>18</v>
      </c>
      <c r="S169">
        <v>1</v>
      </c>
    </row>
    <row r="170" spans="1:19" x14ac:dyDescent="0.3">
      <c r="A170">
        <v>3424</v>
      </c>
      <c r="B170">
        <f>YEAR(Cleaned_HR_Data_Analysis__2[[#This Row],[Joining_Date]])</f>
        <v>2020</v>
      </c>
      <c r="C170" s="1">
        <v>44174</v>
      </c>
      <c r="D170" s="1" t="str" cm="1">
        <f t="array" ref="D170">_xlfn.IFS(E170&lt;28, "17-27",
AND(E170&gt;27, E170&lt;38), "28-37",
AND(E170&gt;37, E170 &lt;48), "38-47",
AND(E170&gt;47, E170 &lt;58), "48-57",
AND(E170&gt;57, E170&lt;68), "58-67",
AND(E170&gt;67, E170&lt;78), "68-77",
E170&gt;77,"Above than 77")</f>
        <v>17-27</v>
      </c>
      <c r="E170">
        <v>23</v>
      </c>
      <c r="F170" s="1">
        <v>35457</v>
      </c>
      <c r="G170" s="1" t="str">
        <f>VLOOKUP(H170,Table7[#All], 2, FALSE)</f>
        <v>Massachusetts</v>
      </c>
      <c r="H170" s="2" t="s">
        <v>14</v>
      </c>
      <c r="I170" s="2" t="s">
        <v>22</v>
      </c>
      <c r="J170" s="2" t="s">
        <v>31</v>
      </c>
      <c r="K170" s="2" t="s">
        <v>8</v>
      </c>
      <c r="L170" s="2" t="s">
        <v>66</v>
      </c>
      <c r="M170" s="2" t="s">
        <v>10</v>
      </c>
      <c r="N170" s="2" t="s">
        <v>26</v>
      </c>
      <c r="O170" s="2" t="s">
        <v>12</v>
      </c>
      <c r="P170" s="2" t="s">
        <v>59</v>
      </c>
      <c r="Q170" s="2" t="s">
        <v>16</v>
      </c>
      <c r="R170" s="2" t="s">
        <v>18</v>
      </c>
      <c r="S170">
        <v>4</v>
      </c>
    </row>
    <row r="171" spans="1:19" x14ac:dyDescent="0.3">
      <c r="A171">
        <v>3374</v>
      </c>
      <c r="B171">
        <f>YEAR(Cleaned_HR_Data_Analysis__2[[#This Row],[Joining_Date]])</f>
        <v>2022</v>
      </c>
      <c r="C171" s="1">
        <v>44828</v>
      </c>
      <c r="D171" s="1" t="str" cm="1">
        <f t="array" ref="D171">_xlfn.IFS(E171&lt;28, "17-27",
AND(E171&gt;27, E171&lt;38), "28-37",
AND(E171&gt;37, E171 &lt;48), "38-47",
AND(E171&gt;47, E171 &lt;58), "48-57",
AND(E171&gt;57, E171&lt;68), "58-67",
AND(E171&gt;67, E171&lt;78), "68-77",
E171&gt;77,"Above than 77")</f>
        <v>17-27</v>
      </c>
      <c r="E171">
        <v>23</v>
      </c>
      <c r="F171" s="1">
        <v>36498</v>
      </c>
      <c r="G171" s="1" t="str">
        <f>VLOOKUP(H171,Table7[#All], 2, FALSE)</f>
        <v>Massachusetts</v>
      </c>
      <c r="H171" s="2" t="s">
        <v>14</v>
      </c>
      <c r="I171" s="2" t="s">
        <v>22</v>
      </c>
      <c r="J171" s="2" t="s">
        <v>40</v>
      </c>
      <c r="K171" s="2" t="s">
        <v>8</v>
      </c>
      <c r="L171" s="2" t="s">
        <v>66</v>
      </c>
      <c r="M171" s="2" t="s">
        <v>20</v>
      </c>
      <c r="N171" s="2" t="s">
        <v>19</v>
      </c>
      <c r="O171" s="2" t="s">
        <v>12</v>
      </c>
      <c r="P171" s="2" t="s">
        <v>35</v>
      </c>
      <c r="Q171" s="2" t="s">
        <v>23</v>
      </c>
      <c r="R171" s="2" t="s">
        <v>41</v>
      </c>
      <c r="S171">
        <v>3</v>
      </c>
    </row>
    <row r="172" spans="1:19" x14ac:dyDescent="0.3">
      <c r="A172">
        <v>3290</v>
      </c>
      <c r="B172">
        <f>YEAR(Cleaned_HR_Data_Analysis__2[[#This Row],[Joining_Date]])</f>
        <v>2018</v>
      </c>
      <c r="C172" s="1">
        <v>43319</v>
      </c>
      <c r="D172" s="1" t="str" cm="1">
        <f t="array" ref="D172">_xlfn.IFS(E172&lt;28, "17-27",
AND(E172&gt;27, E172&lt;38), "28-37",
AND(E172&gt;37, E172 &lt;48), "38-47",
AND(E172&gt;47, E172 &lt;58), "48-57",
AND(E172&gt;57, E172&lt;68), "58-67",
AND(E172&gt;67, E172&lt;78), "68-77",
E172&gt;77,"Above than 77")</f>
        <v>17-27</v>
      </c>
      <c r="E172">
        <v>23</v>
      </c>
      <c r="F172" s="1">
        <v>35040</v>
      </c>
      <c r="G172" s="1" t="str">
        <f>VLOOKUP(H172,Table7[#All], 2, FALSE)</f>
        <v>Massachusetts</v>
      </c>
      <c r="H172" s="2" t="s">
        <v>14</v>
      </c>
      <c r="I172" s="2" t="s">
        <v>22</v>
      </c>
      <c r="J172" s="2" t="s">
        <v>31</v>
      </c>
      <c r="K172" s="2" t="s">
        <v>8</v>
      </c>
      <c r="L172" s="2" t="s">
        <v>9</v>
      </c>
      <c r="M172" s="2" t="s">
        <v>20</v>
      </c>
      <c r="N172" s="2" t="s">
        <v>19</v>
      </c>
      <c r="O172" s="2" t="s">
        <v>12</v>
      </c>
      <c r="P172" s="2" t="s">
        <v>35</v>
      </c>
      <c r="Q172" s="2" t="s">
        <v>30</v>
      </c>
      <c r="R172" s="2" t="s">
        <v>18</v>
      </c>
      <c r="S172">
        <v>1</v>
      </c>
    </row>
    <row r="173" spans="1:19" x14ac:dyDescent="0.3">
      <c r="A173">
        <v>2840</v>
      </c>
      <c r="B173">
        <f>YEAR(Cleaned_HR_Data_Analysis__2[[#This Row],[Joining_Date]])</f>
        <v>2023</v>
      </c>
      <c r="C173" s="1">
        <v>45042</v>
      </c>
      <c r="D173" s="1" t="str" cm="1">
        <f t="array" ref="D173">_xlfn.IFS(E173&lt;28, "17-27",
AND(E173&gt;27, E173&lt;38), "28-37",
AND(E173&gt;37, E173 &lt;48), "38-47",
AND(E173&gt;47, E173 &lt;58), "48-57",
AND(E173&gt;57, E173&lt;68), "58-67",
AND(E173&gt;67, E173&lt;78), "68-77",
E173&gt;77,"Above than 77")</f>
        <v>17-27</v>
      </c>
      <c r="E173">
        <v>23</v>
      </c>
      <c r="F173" s="1">
        <v>36645</v>
      </c>
      <c r="G173" s="1" t="str">
        <f>VLOOKUP(H173,Table7[#All], 2, FALSE)</f>
        <v>Massachusetts</v>
      </c>
      <c r="H173" s="2" t="s">
        <v>14</v>
      </c>
      <c r="I173" s="2" t="s">
        <v>22</v>
      </c>
      <c r="J173" s="2" t="s">
        <v>40</v>
      </c>
      <c r="K173" s="2" t="s">
        <v>8</v>
      </c>
      <c r="L173" s="2" t="s">
        <v>9</v>
      </c>
      <c r="M173" s="2" t="s">
        <v>10</v>
      </c>
      <c r="N173" s="2" t="s">
        <v>26</v>
      </c>
      <c r="O173" s="2" t="s">
        <v>12</v>
      </c>
      <c r="P173" s="2" t="s">
        <v>55</v>
      </c>
      <c r="Q173" s="2" t="s">
        <v>23</v>
      </c>
      <c r="R173" s="2" t="s">
        <v>18</v>
      </c>
      <c r="S173">
        <v>2</v>
      </c>
    </row>
    <row r="174" spans="1:19" x14ac:dyDescent="0.3">
      <c r="A174">
        <v>2819</v>
      </c>
      <c r="B174">
        <f>YEAR(Cleaned_HR_Data_Analysis__2[[#This Row],[Joining_Date]])</f>
        <v>2023</v>
      </c>
      <c r="C174" s="1">
        <v>45052</v>
      </c>
      <c r="D174" s="1" t="str" cm="1">
        <f t="array" ref="D174">_xlfn.IFS(E174&lt;28, "17-27",
AND(E174&gt;27, E174&lt;38), "28-37",
AND(E174&gt;37, E174 &lt;48), "38-47",
AND(E174&gt;47, E174 &lt;58), "48-57",
AND(E174&gt;57, E174&lt;68), "58-67",
AND(E174&gt;67, E174&lt;78), "68-77",
E174&gt;77,"Above than 77")</f>
        <v>17-27</v>
      </c>
      <c r="E174">
        <v>23</v>
      </c>
      <c r="F174" s="1">
        <v>36559</v>
      </c>
      <c r="G174" s="1" t="str">
        <f>VLOOKUP(H174,Table7[#All], 2, FALSE)</f>
        <v>Massachusetts</v>
      </c>
      <c r="H174" s="2" t="s">
        <v>14</v>
      </c>
      <c r="I174" s="2" t="s">
        <v>22</v>
      </c>
      <c r="J174" s="2" t="s">
        <v>17</v>
      </c>
      <c r="K174" s="2" t="s">
        <v>8</v>
      </c>
      <c r="L174" s="2" t="s">
        <v>9</v>
      </c>
      <c r="M174" s="2" t="s">
        <v>25</v>
      </c>
      <c r="N174" s="2" t="s">
        <v>11</v>
      </c>
      <c r="O174" s="2" t="s">
        <v>12</v>
      </c>
      <c r="P174" s="2" t="s">
        <v>32</v>
      </c>
      <c r="Q174" s="2" t="s">
        <v>16</v>
      </c>
      <c r="R174" s="2" t="s">
        <v>18</v>
      </c>
      <c r="S174">
        <v>3</v>
      </c>
    </row>
    <row r="175" spans="1:19" x14ac:dyDescent="0.3">
      <c r="A175">
        <v>2051</v>
      </c>
      <c r="B175">
        <f>YEAR(Cleaned_HR_Data_Analysis__2[[#This Row],[Joining_Date]])</f>
        <v>2022</v>
      </c>
      <c r="C175" s="1">
        <v>44618</v>
      </c>
      <c r="D175" s="1" t="str" cm="1">
        <f t="array" ref="D175">_xlfn.IFS(E175&lt;28, "17-27",
AND(E175&gt;27, E175&lt;38), "28-37",
AND(E175&gt;37, E175 &lt;48), "38-47",
AND(E175&gt;47, E175 &lt;58), "48-57",
AND(E175&gt;57, E175&lt;68), "58-67",
AND(E175&gt;67, E175&lt;78), "68-77",
E175&gt;77,"Above than 77")</f>
        <v>17-27</v>
      </c>
      <c r="E175">
        <v>23</v>
      </c>
      <c r="F175" s="1">
        <v>36263</v>
      </c>
      <c r="G175" s="1" t="str">
        <f>VLOOKUP(H175,Table7[#All], 2, FALSE)</f>
        <v>Massachusetts</v>
      </c>
      <c r="H175" s="2" t="s">
        <v>14</v>
      </c>
      <c r="I175" s="2" t="s">
        <v>15</v>
      </c>
      <c r="J175" s="2" t="s">
        <v>31</v>
      </c>
      <c r="K175" s="2" t="s">
        <v>8</v>
      </c>
      <c r="L175" s="2" t="s">
        <v>9</v>
      </c>
      <c r="M175" s="2" t="s">
        <v>20</v>
      </c>
      <c r="N175" s="2" t="s">
        <v>11</v>
      </c>
      <c r="O175" s="2" t="s">
        <v>12</v>
      </c>
      <c r="P175" s="2" t="s">
        <v>35</v>
      </c>
      <c r="Q175" s="2" t="s">
        <v>37</v>
      </c>
      <c r="R175" s="2" t="s">
        <v>18</v>
      </c>
      <c r="S175">
        <v>2</v>
      </c>
    </row>
    <row r="176" spans="1:19" x14ac:dyDescent="0.3">
      <c r="A176">
        <v>1931</v>
      </c>
      <c r="B176">
        <f>YEAR(Cleaned_HR_Data_Analysis__2[[#This Row],[Joining_Date]])</f>
        <v>2022</v>
      </c>
      <c r="C176" s="1">
        <v>44874</v>
      </c>
      <c r="D176" s="1" t="str" cm="1">
        <f t="array" ref="D176">_xlfn.IFS(E176&lt;28, "17-27",
AND(E176&gt;27, E176&lt;38), "28-37",
AND(E176&gt;37, E176 &lt;48), "38-47",
AND(E176&gt;47, E176 &lt;58), "48-57",
AND(E176&gt;57, E176&lt;68), "58-67",
AND(E176&gt;67, E176&lt;78), "68-77",
E176&gt;77,"Above than 77")</f>
        <v>17-27</v>
      </c>
      <c r="E176">
        <v>23</v>
      </c>
      <c r="F176" s="1">
        <v>36516</v>
      </c>
      <c r="G176" s="1" t="str">
        <f>VLOOKUP(H176,Table7[#All], 2, FALSE)</f>
        <v>Massachusetts</v>
      </c>
      <c r="H176" s="2" t="s">
        <v>14</v>
      </c>
      <c r="I176" s="2" t="s">
        <v>15</v>
      </c>
      <c r="J176" s="2" t="s">
        <v>31</v>
      </c>
      <c r="K176" s="2" t="s">
        <v>8</v>
      </c>
      <c r="L176" s="2" t="s">
        <v>9</v>
      </c>
      <c r="M176" s="2" t="s">
        <v>25</v>
      </c>
      <c r="N176" s="2" t="s">
        <v>26</v>
      </c>
      <c r="O176" s="2" t="s">
        <v>12</v>
      </c>
      <c r="P176" s="2" t="s">
        <v>55</v>
      </c>
      <c r="Q176" s="2" t="s">
        <v>16</v>
      </c>
      <c r="R176" s="2" t="s">
        <v>18</v>
      </c>
      <c r="S176">
        <v>3</v>
      </c>
    </row>
    <row r="177" spans="1:19" x14ac:dyDescent="0.3">
      <c r="A177">
        <v>1850</v>
      </c>
      <c r="B177">
        <f>YEAR(Cleaned_HR_Data_Analysis__2[[#This Row],[Joining_Date]])</f>
        <v>2019</v>
      </c>
      <c r="C177" s="1">
        <v>43814</v>
      </c>
      <c r="D177" s="1" t="str" cm="1">
        <f t="array" ref="D177">_xlfn.IFS(E177&lt;28, "17-27",
AND(E177&gt;27, E177&lt;38), "28-37",
AND(E177&gt;37, E177 &lt;48), "38-47",
AND(E177&gt;47, E177 &lt;58), "48-57",
AND(E177&gt;57, E177&lt;68), "58-67",
AND(E177&gt;67, E177&lt;78), "68-77",
E177&gt;77,"Above than 77")</f>
        <v>17-27</v>
      </c>
      <c r="E177">
        <v>23</v>
      </c>
      <c r="F177" s="1">
        <v>35361</v>
      </c>
      <c r="G177" s="1" t="str">
        <f>VLOOKUP(H177,Table7[#All], 2, FALSE)</f>
        <v>Massachusetts</v>
      </c>
      <c r="H177" s="2" t="s">
        <v>14</v>
      </c>
      <c r="I177" s="2" t="s">
        <v>15</v>
      </c>
      <c r="J177" s="2" t="s">
        <v>34</v>
      </c>
      <c r="K177" s="2" t="s">
        <v>8</v>
      </c>
      <c r="L177" s="2" t="s">
        <v>66</v>
      </c>
      <c r="M177" s="2" t="s">
        <v>10</v>
      </c>
      <c r="N177" s="2" t="s">
        <v>19</v>
      </c>
      <c r="O177" s="2" t="s">
        <v>12</v>
      </c>
      <c r="P177" s="2" t="s">
        <v>21</v>
      </c>
      <c r="Q177" s="2" t="s">
        <v>16</v>
      </c>
      <c r="R177" s="2" t="s">
        <v>65</v>
      </c>
      <c r="S177">
        <v>1</v>
      </c>
    </row>
    <row r="178" spans="1:19" x14ac:dyDescent="0.3">
      <c r="A178">
        <v>1842</v>
      </c>
      <c r="B178">
        <f>YEAR(Cleaned_HR_Data_Analysis__2[[#This Row],[Joining_Date]])</f>
        <v>2021</v>
      </c>
      <c r="C178" s="1">
        <v>44407</v>
      </c>
      <c r="D178" s="1" t="str" cm="1">
        <f t="array" ref="D178">_xlfn.IFS(E178&lt;28, "17-27",
AND(E178&gt;27, E178&lt;38), "28-37",
AND(E178&gt;37, E178 &lt;48), "38-47",
AND(E178&gt;47, E178 &lt;58), "48-57",
AND(E178&gt;57, E178&lt;68), "58-67",
AND(E178&gt;67, E178&lt;78), "68-77",
E178&gt;77,"Above than 77")</f>
        <v>17-27</v>
      </c>
      <c r="E178">
        <v>23</v>
      </c>
      <c r="F178" s="1">
        <v>35925</v>
      </c>
      <c r="G178" s="1" t="str">
        <f>VLOOKUP(H178,Table7[#All], 2, FALSE)</f>
        <v>Massachusetts</v>
      </c>
      <c r="H178" s="2" t="s">
        <v>14</v>
      </c>
      <c r="I178" s="2" t="s">
        <v>22</v>
      </c>
      <c r="J178" s="2" t="s">
        <v>40</v>
      </c>
      <c r="K178" s="2" t="s">
        <v>8</v>
      </c>
      <c r="L178" s="2" t="s">
        <v>9</v>
      </c>
      <c r="M178" s="2" t="s">
        <v>20</v>
      </c>
      <c r="N178" s="2" t="s">
        <v>26</v>
      </c>
      <c r="O178" s="2" t="s">
        <v>12</v>
      </c>
      <c r="P178" s="2" t="s">
        <v>32</v>
      </c>
      <c r="Q178" s="2" t="s">
        <v>46</v>
      </c>
      <c r="R178" s="2" t="s">
        <v>41</v>
      </c>
      <c r="S178">
        <v>4</v>
      </c>
    </row>
    <row r="179" spans="1:19" x14ac:dyDescent="0.3">
      <c r="A179">
        <v>1608</v>
      </c>
      <c r="B179">
        <f>YEAR(Cleaned_HR_Data_Analysis__2[[#This Row],[Joining_Date]])</f>
        <v>2020</v>
      </c>
      <c r="C179" s="1">
        <v>44140</v>
      </c>
      <c r="D179" s="1" t="str" cm="1">
        <f t="array" ref="D179">_xlfn.IFS(E179&lt;28, "17-27",
AND(E179&gt;27, E179&lt;38), "28-37",
AND(E179&gt;37, E179 &lt;48), "38-47",
AND(E179&gt;47, E179 &lt;58), "48-57",
AND(E179&gt;57, E179&lt;68), "58-67",
AND(E179&gt;67, E179&lt;78), "68-77",
E179&gt;77,"Above than 77")</f>
        <v>17-27</v>
      </c>
      <c r="E179">
        <v>23</v>
      </c>
      <c r="F179" s="1">
        <v>35485</v>
      </c>
      <c r="G179" s="1" t="str">
        <f>VLOOKUP(H179,Table7[#All], 2, FALSE)</f>
        <v>Massachusetts</v>
      </c>
      <c r="H179" s="2" t="s">
        <v>14</v>
      </c>
      <c r="I179" s="2" t="s">
        <v>15</v>
      </c>
      <c r="J179" s="2" t="s">
        <v>17</v>
      </c>
      <c r="K179" s="2" t="s">
        <v>8</v>
      </c>
      <c r="L179" s="2" t="s">
        <v>9</v>
      </c>
      <c r="M179" s="2" t="s">
        <v>20</v>
      </c>
      <c r="N179" s="2" t="s">
        <v>19</v>
      </c>
      <c r="O179" s="2" t="s">
        <v>12</v>
      </c>
      <c r="P179" s="2" t="s">
        <v>35</v>
      </c>
      <c r="Q179" s="2" t="s">
        <v>16</v>
      </c>
      <c r="R179" s="2" t="s">
        <v>65</v>
      </c>
      <c r="S179">
        <v>4</v>
      </c>
    </row>
    <row r="180" spans="1:19" x14ac:dyDescent="0.3">
      <c r="A180">
        <v>1481</v>
      </c>
      <c r="B180">
        <f>YEAR(Cleaned_HR_Data_Analysis__2[[#This Row],[Joining_Date]])</f>
        <v>2023</v>
      </c>
      <c r="C180" s="1">
        <v>45000</v>
      </c>
      <c r="D180" s="1" t="str" cm="1">
        <f t="array" ref="D180">_xlfn.IFS(E180&lt;28, "17-27",
AND(E180&gt;27, E180&lt;38), "28-37",
AND(E180&gt;37, E180 &lt;48), "38-47",
AND(E180&gt;47, E180 &lt;58), "48-57",
AND(E180&gt;57, E180&lt;68), "58-67",
AND(E180&gt;67, E180&lt;78), "68-77",
E180&gt;77,"Above than 77")</f>
        <v>17-27</v>
      </c>
      <c r="E180">
        <v>23</v>
      </c>
      <c r="F180" s="1">
        <v>36716</v>
      </c>
      <c r="G180" s="1" t="str">
        <f>VLOOKUP(H180,Table7[#All], 2, FALSE)</f>
        <v>Massachusetts</v>
      </c>
      <c r="H180" s="2" t="s">
        <v>14</v>
      </c>
      <c r="I180" s="2" t="s">
        <v>22</v>
      </c>
      <c r="J180" s="2" t="s">
        <v>31</v>
      </c>
      <c r="K180" s="2" t="s">
        <v>8</v>
      </c>
      <c r="L180" s="2" t="s">
        <v>9</v>
      </c>
      <c r="M180" s="2" t="s">
        <v>25</v>
      </c>
      <c r="N180" s="2" t="s">
        <v>19</v>
      </c>
      <c r="O180" s="2" t="s">
        <v>12</v>
      </c>
      <c r="P180" s="2" t="s">
        <v>35</v>
      </c>
      <c r="Q180" s="2" t="s">
        <v>46</v>
      </c>
      <c r="R180" s="2" t="s">
        <v>41</v>
      </c>
      <c r="S180">
        <v>5</v>
      </c>
    </row>
    <row r="181" spans="1:19" x14ac:dyDescent="0.3">
      <c r="A181">
        <v>1435</v>
      </c>
      <c r="B181">
        <f>YEAR(Cleaned_HR_Data_Analysis__2[[#This Row],[Joining_Date]])</f>
        <v>2021</v>
      </c>
      <c r="C181" s="1">
        <v>44407</v>
      </c>
      <c r="D181" s="1" t="str" cm="1">
        <f t="array" ref="D181">_xlfn.IFS(E181&lt;28, "17-27",
AND(E181&gt;27, E181&lt;38), "28-37",
AND(E181&gt;37, E181 &lt;48), "38-47",
AND(E181&gt;47, E181 &lt;58), "48-57",
AND(E181&gt;57, E181&lt;68), "58-67",
AND(E181&gt;67, E181&lt;78), "68-77",
E181&gt;77,"Above than 77")</f>
        <v>17-27</v>
      </c>
      <c r="E181">
        <v>23</v>
      </c>
      <c r="F181" s="1">
        <v>36128</v>
      </c>
      <c r="G181" s="1" t="str">
        <f>VLOOKUP(H181,Table7[#All], 2, FALSE)</f>
        <v>Massachusetts</v>
      </c>
      <c r="H181" s="2" t="s">
        <v>14</v>
      </c>
      <c r="I181" s="2" t="s">
        <v>15</v>
      </c>
      <c r="J181" s="2" t="s">
        <v>31</v>
      </c>
      <c r="K181" s="2" t="s">
        <v>8</v>
      </c>
      <c r="L181" s="2" t="s">
        <v>9</v>
      </c>
      <c r="M181" s="2" t="s">
        <v>10</v>
      </c>
      <c r="N181" s="2" t="s">
        <v>11</v>
      </c>
      <c r="O181" s="2" t="s">
        <v>12</v>
      </c>
      <c r="P181" s="2" t="s">
        <v>35</v>
      </c>
      <c r="Q181" s="2" t="s">
        <v>23</v>
      </c>
      <c r="R181" s="2" t="s">
        <v>41</v>
      </c>
      <c r="S181">
        <v>2</v>
      </c>
    </row>
    <row r="182" spans="1:19" x14ac:dyDescent="0.3">
      <c r="A182">
        <v>1305</v>
      </c>
      <c r="B182">
        <f>YEAR(Cleaned_HR_Data_Analysis__2[[#This Row],[Joining_Date]])</f>
        <v>2021</v>
      </c>
      <c r="C182" s="1">
        <v>44202</v>
      </c>
      <c r="D182" s="1" t="str" cm="1">
        <f t="array" ref="D182">_xlfn.IFS(E182&lt;28, "17-27",
AND(E182&gt;27, E182&lt;38), "28-37",
AND(E182&gt;37, E182 &lt;48), "38-47",
AND(E182&gt;47, E182 &lt;58), "48-57",
AND(E182&gt;57, E182&lt;68), "58-67",
AND(E182&gt;67, E182&lt;78), "68-77",
E182&gt;77,"Above than 77")</f>
        <v>17-27</v>
      </c>
      <c r="E182">
        <v>23</v>
      </c>
      <c r="F182" s="1">
        <v>36113</v>
      </c>
      <c r="G182" s="1" t="str">
        <f>VLOOKUP(H182,Table7[#All], 2, FALSE)</f>
        <v>Massachusetts</v>
      </c>
      <c r="H182" s="2" t="s">
        <v>14</v>
      </c>
      <c r="I182" s="2" t="s">
        <v>22</v>
      </c>
      <c r="J182" s="2" t="s">
        <v>34</v>
      </c>
      <c r="K182" s="2" t="s">
        <v>8</v>
      </c>
      <c r="L182" s="2" t="s">
        <v>66</v>
      </c>
      <c r="M182" s="2" t="s">
        <v>25</v>
      </c>
      <c r="N182" s="2" t="s">
        <v>26</v>
      </c>
      <c r="O182" s="2" t="s">
        <v>12</v>
      </c>
      <c r="P182" s="2" t="s">
        <v>35</v>
      </c>
      <c r="Q182" s="2" t="s">
        <v>16</v>
      </c>
      <c r="R182" s="2" t="s">
        <v>18</v>
      </c>
      <c r="S182">
        <v>5</v>
      </c>
    </row>
    <row r="183" spans="1:19" x14ac:dyDescent="0.3">
      <c r="A183">
        <v>1249</v>
      </c>
      <c r="B183">
        <f>YEAR(Cleaned_HR_Data_Analysis__2[[#This Row],[Joining_Date]])</f>
        <v>2019</v>
      </c>
      <c r="C183" s="1">
        <v>43653</v>
      </c>
      <c r="D183" s="1" t="str" cm="1">
        <f t="array" ref="D183">_xlfn.IFS(E183&lt;28, "17-27",
AND(E183&gt;27, E183&lt;38), "28-37",
AND(E183&gt;37, E183 &lt;48), "38-47",
AND(E183&gt;47, E183 &lt;58), "48-57",
AND(E183&gt;57, E183&lt;68), "58-67",
AND(E183&gt;67, E183&lt;78), "68-77",
E183&gt;77,"Above than 77")</f>
        <v>17-27</v>
      </c>
      <c r="E183">
        <v>23</v>
      </c>
      <c r="F183" s="1">
        <v>35399</v>
      </c>
      <c r="G183" s="1" t="str">
        <f>VLOOKUP(H183,Table7[#All], 2, FALSE)</f>
        <v>Massachusetts</v>
      </c>
      <c r="H183" s="2" t="s">
        <v>14</v>
      </c>
      <c r="I183" s="2" t="s">
        <v>15</v>
      </c>
      <c r="J183" s="2" t="s">
        <v>40</v>
      </c>
      <c r="K183" s="2" t="s">
        <v>8</v>
      </c>
      <c r="L183" s="2" t="s">
        <v>9</v>
      </c>
      <c r="M183" s="2" t="s">
        <v>25</v>
      </c>
      <c r="N183" s="2" t="s">
        <v>19</v>
      </c>
      <c r="O183" s="2" t="s">
        <v>12</v>
      </c>
      <c r="P183" s="2" t="s">
        <v>35</v>
      </c>
      <c r="Q183" s="2" t="s">
        <v>46</v>
      </c>
      <c r="R183" s="2" t="s">
        <v>18</v>
      </c>
      <c r="S183">
        <v>4</v>
      </c>
    </row>
    <row r="184" spans="1:19" x14ac:dyDescent="0.3">
      <c r="A184">
        <v>1157</v>
      </c>
      <c r="B184">
        <f>YEAR(Cleaned_HR_Data_Analysis__2[[#This Row],[Joining_Date]])</f>
        <v>2019</v>
      </c>
      <c r="C184" s="1">
        <v>43506</v>
      </c>
      <c r="D184" s="1" t="str" cm="1">
        <f t="array" ref="D184">_xlfn.IFS(E184&lt;28, "17-27",
AND(E184&gt;27, E184&lt;38), "28-37",
AND(E184&gt;37, E184 &lt;48), "38-47",
AND(E184&gt;47, E184 &lt;58), "48-57",
AND(E184&gt;57, E184&lt;68), "58-67",
AND(E184&gt;67, E184&lt;78), "68-77",
E184&gt;77,"Above than 77")</f>
        <v>17-27</v>
      </c>
      <c r="E184">
        <v>23</v>
      </c>
      <c r="F184" s="1">
        <v>35142</v>
      </c>
      <c r="G184" s="1" t="str">
        <f>VLOOKUP(H184,Table7[#All], 2, FALSE)</f>
        <v>Massachusetts</v>
      </c>
      <c r="H184" s="2" t="s">
        <v>14</v>
      </c>
      <c r="I184" s="2" t="s">
        <v>22</v>
      </c>
      <c r="J184" s="2" t="s">
        <v>34</v>
      </c>
      <c r="K184" s="2" t="s">
        <v>8</v>
      </c>
      <c r="L184" s="2" t="s">
        <v>9</v>
      </c>
      <c r="M184" s="2" t="s">
        <v>20</v>
      </c>
      <c r="N184" s="2" t="s">
        <v>19</v>
      </c>
      <c r="O184" s="2" t="s">
        <v>12</v>
      </c>
      <c r="P184" s="2" t="s">
        <v>59</v>
      </c>
      <c r="Q184" s="2" t="s">
        <v>23</v>
      </c>
      <c r="R184" s="2" t="s">
        <v>18</v>
      </c>
      <c r="S184">
        <v>4</v>
      </c>
    </row>
    <row r="185" spans="1:19" x14ac:dyDescent="0.3">
      <c r="A185">
        <v>1130</v>
      </c>
      <c r="B185">
        <f>YEAR(Cleaned_HR_Data_Analysis__2[[#This Row],[Joining_Date]])</f>
        <v>2020</v>
      </c>
      <c r="C185" s="1">
        <v>44188</v>
      </c>
      <c r="D185" s="1" t="str" cm="1">
        <f t="array" ref="D185">_xlfn.IFS(E185&lt;28, "17-27",
AND(E185&gt;27, E185&lt;38), "28-37",
AND(E185&gt;37, E185 &lt;48), "38-47",
AND(E185&gt;47, E185 &lt;58), "48-57",
AND(E185&gt;57, E185&lt;68), "58-67",
AND(E185&gt;67, E185&lt;78), "68-77",
E185&gt;77,"Above than 77")</f>
        <v>17-27</v>
      </c>
      <c r="E185">
        <v>23</v>
      </c>
      <c r="F185" s="1">
        <v>35478</v>
      </c>
      <c r="G185" s="1" t="str">
        <f>VLOOKUP(H185,Table7[#All], 2, FALSE)</f>
        <v>Massachusetts</v>
      </c>
      <c r="H185" s="2" t="s">
        <v>14</v>
      </c>
      <c r="I185" s="2" t="s">
        <v>15</v>
      </c>
      <c r="J185" s="2" t="s">
        <v>40</v>
      </c>
      <c r="K185" s="2" t="s">
        <v>8</v>
      </c>
      <c r="L185" s="2" t="s">
        <v>9</v>
      </c>
      <c r="M185" s="2" t="s">
        <v>10</v>
      </c>
      <c r="N185" s="2" t="s">
        <v>19</v>
      </c>
      <c r="O185" s="2" t="s">
        <v>12</v>
      </c>
      <c r="P185" s="2" t="s">
        <v>68</v>
      </c>
      <c r="Q185" s="2" t="s">
        <v>23</v>
      </c>
      <c r="R185" s="2" t="s">
        <v>18</v>
      </c>
      <c r="S185">
        <v>5</v>
      </c>
    </row>
    <row r="186" spans="1:19" x14ac:dyDescent="0.3">
      <c r="A186">
        <v>2295</v>
      </c>
      <c r="B186">
        <f>YEAR(Cleaned_HR_Data_Analysis__2[[#This Row],[Joining_Date]])</f>
        <v>2022</v>
      </c>
      <c r="C186" s="1">
        <v>44700</v>
      </c>
      <c r="D186" s="1" t="str" cm="1">
        <f t="array" ref="D186">_xlfn.IFS(E186&lt;28, "17-27",
AND(E186&gt;27, E186&lt;38), "28-37",
AND(E186&gt;37, E186 &lt;48), "38-47",
AND(E186&gt;47, E186 &lt;58), "48-57",
AND(E186&gt;57, E186&lt;68), "58-67",
AND(E186&gt;67, E186&lt;78), "68-77",
E186&gt;77,"Above than 77")</f>
        <v>17-27</v>
      </c>
      <c r="E186">
        <v>23</v>
      </c>
      <c r="F186" s="1">
        <v>36185</v>
      </c>
      <c r="G186" s="1" t="str">
        <f>VLOOKUP(H186,Table7[#All], 2, FALSE)</f>
        <v>Massachusetts</v>
      </c>
      <c r="H186" s="2" t="s">
        <v>14</v>
      </c>
      <c r="I186" s="2" t="s">
        <v>15</v>
      </c>
      <c r="J186" s="2" t="s">
        <v>40</v>
      </c>
      <c r="K186" s="2" t="s">
        <v>91</v>
      </c>
      <c r="L186" s="2" t="s">
        <v>9</v>
      </c>
      <c r="M186" s="2" t="s">
        <v>25</v>
      </c>
      <c r="N186" s="2" t="s">
        <v>26</v>
      </c>
      <c r="O186" s="2" t="s">
        <v>12</v>
      </c>
      <c r="P186" s="2" t="s">
        <v>35</v>
      </c>
      <c r="Q186" s="2" t="s">
        <v>46</v>
      </c>
      <c r="R186" s="2" t="s">
        <v>18</v>
      </c>
      <c r="S186">
        <v>5</v>
      </c>
    </row>
    <row r="187" spans="1:19" x14ac:dyDescent="0.3">
      <c r="A187">
        <v>1165</v>
      </c>
      <c r="B187">
        <f>YEAR(Cleaned_HR_Data_Analysis__2[[#This Row],[Joining_Date]])</f>
        <v>2021</v>
      </c>
      <c r="C187" s="1">
        <v>44235</v>
      </c>
      <c r="D187" s="1" t="str" cm="1">
        <f t="array" ref="D187">_xlfn.IFS(E187&lt;28, "17-27",
AND(E187&gt;27, E187&lt;38), "28-37",
AND(E187&gt;37, E187 &lt;48), "38-47",
AND(E187&gt;47, E187 &lt;58), "48-57",
AND(E187&gt;57, E187&lt;68), "58-67",
AND(E187&gt;67, E187&lt;78), "68-77",
E187&gt;77,"Above than 77")</f>
        <v>17-27</v>
      </c>
      <c r="E187">
        <v>23</v>
      </c>
      <c r="F187" s="1">
        <v>36047</v>
      </c>
      <c r="G187" s="1" t="str">
        <f>VLOOKUP(H187,Table7[#All], 2, FALSE)</f>
        <v>Massachusetts</v>
      </c>
      <c r="H187" s="2" t="s">
        <v>14</v>
      </c>
      <c r="I187" s="2" t="s">
        <v>15</v>
      </c>
      <c r="J187" s="2" t="s">
        <v>17</v>
      </c>
      <c r="K187" s="2" t="s">
        <v>91</v>
      </c>
      <c r="L187" s="2" t="s">
        <v>9</v>
      </c>
      <c r="M187" s="2" t="s">
        <v>25</v>
      </c>
      <c r="N187" s="2" t="s">
        <v>11</v>
      </c>
      <c r="O187" s="2" t="s">
        <v>12</v>
      </c>
      <c r="P187" s="2" t="s">
        <v>35</v>
      </c>
      <c r="Q187" s="2" t="s">
        <v>30</v>
      </c>
      <c r="R187" s="2" t="s">
        <v>18</v>
      </c>
      <c r="S187">
        <v>3</v>
      </c>
    </row>
    <row r="188" spans="1:19" x14ac:dyDescent="0.3">
      <c r="A188">
        <v>3890</v>
      </c>
      <c r="B188">
        <f>YEAR(Cleaned_HR_Data_Analysis__2[[#This Row],[Joining_Date]])</f>
        <v>2022</v>
      </c>
      <c r="C188" s="1">
        <v>44761</v>
      </c>
      <c r="D188" s="1" t="str" cm="1">
        <f t="array" ref="D188">_xlfn.IFS(E188&lt;28, "17-27",
AND(E188&gt;27, E188&lt;38), "28-37",
AND(E188&gt;37, E188 &lt;48), "38-47",
AND(E188&gt;47, E188 &lt;58), "48-57",
AND(E188&gt;57, E188&lt;68), "58-67",
AND(E188&gt;67, E188&lt;78), "68-77",
E188&gt;77,"Above than 77")</f>
        <v>17-27</v>
      </c>
      <c r="E188">
        <v>23</v>
      </c>
      <c r="F188" s="1">
        <v>36392</v>
      </c>
      <c r="G188" s="1" t="str">
        <f>VLOOKUP(H188,Table7[#All], 2, FALSE)</f>
        <v>Massachusetts</v>
      </c>
      <c r="H188" s="2" t="s">
        <v>14</v>
      </c>
      <c r="I188" s="2" t="s">
        <v>22</v>
      </c>
      <c r="J188" s="2" t="s">
        <v>40</v>
      </c>
      <c r="K188" s="2" t="s">
        <v>71</v>
      </c>
      <c r="L188" s="2" t="s">
        <v>9</v>
      </c>
      <c r="M188" s="2" t="s">
        <v>25</v>
      </c>
      <c r="N188" s="2" t="s">
        <v>26</v>
      </c>
      <c r="O188" s="2" t="s">
        <v>53</v>
      </c>
      <c r="P188" s="2" t="s">
        <v>32</v>
      </c>
      <c r="Q188" s="2" t="s">
        <v>46</v>
      </c>
      <c r="R188" s="2" t="s">
        <v>18</v>
      </c>
      <c r="S188">
        <v>3</v>
      </c>
    </row>
    <row r="189" spans="1:19" x14ac:dyDescent="0.3">
      <c r="A189">
        <v>3879</v>
      </c>
      <c r="B189">
        <f>YEAR(Cleaned_HR_Data_Analysis__2[[#This Row],[Joining_Date]])</f>
        <v>2019</v>
      </c>
      <c r="C189" s="1">
        <v>43504</v>
      </c>
      <c r="D189" s="1" t="str" cm="1">
        <f t="array" ref="D189">_xlfn.IFS(E189&lt;28, "17-27",
AND(E189&gt;27, E189&lt;38), "28-37",
AND(E189&gt;37, E189 &lt;48), "38-47",
AND(E189&gt;47, E189 &lt;58), "48-57",
AND(E189&gt;57, E189&lt;68), "58-67",
AND(E189&gt;67, E189&lt;78), "68-77",
E189&gt;77,"Above than 77")</f>
        <v>17-27</v>
      </c>
      <c r="E189">
        <v>23</v>
      </c>
      <c r="F189" s="1">
        <v>35077</v>
      </c>
      <c r="G189" s="1" t="str">
        <f>VLOOKUP(H189,Table7[#All], 2, FALSE)</f>
        <v>Massachusetts</v>
      </c>
      <c r="H189" s="2" t="s">
        <v>14</v>
      </c>
      <c r="I189" s="2" t="s">
        <v>22</v>
      </c>
      <c r="J189" s="2" t="s">
        <v>34</v>
      </c>
      <c r="K189" s="2" t="s">
        <v>71</v>
      </c>
      <c r="L189" s="2" t="s">
        <v>9</v>
      </c>
      <c r="M189" s="2" t="s">
        <v>25</v>
      </c>
      <c r="N189" s="2" t="s">
        <v>11</v>
      </c>
      <c r="O189" s="2" t="s">
        <v>53</v>
      </c>
      <c r="P189" s="2" t="s">
        <v>35</v>
      </c>
      <c r="Q189" s="2" t="s">
        <v>23</v>
      </c>
      <c r="R189" s="2" t="s">
        <v>18</v>
      </c>
      <c r="S189">
        <v>5</v>
      </c>
    </row>
    <row r="190" spans="1:19" x14ac:dyDescent="0.3">
      <c r="A190">
        <v>3848</v>
      </c>
      <c r="B190">
        <f>YEAR(Cleaned_HR_Data_Analysis__2[[#This Row],[Joining_Date]])</f>
        <v>2019</v>
      </c>
      <c r="C190" s="1">
        <v>43732</v>
      </c>
      <c r="D190" s="1" t="str" cm="1">
        <f t="array" ref="D190">_xlfn.IFS(E190&lt;28, "17-27",
AND(E190&gt;27, E190&lt;38), "28-37",
AND(E190&gt;37, E190 &lt;48), "38-47",
AND(E190&gt;47, E190 &lt;58), "48-57",
AND(E190&gt;57, E190&lt;68), "58-67",
AND(E190&gt;67, E190&lt;78), "68-77",
E190&gt;77,"Above than 77")</f>
        <v>17-27</v>
      </c>
      <c r="E190">
        <v>23</v>
      </c>
      <c r="F190" s="1">
        <v>35295</v>
      </c>
      <c r="G190" s="1" t="str">
        <f>VLOOKUP(H190,Table7[#All], 2, FALSE)</f>
        <v>Massachusetts</v>
      </c>
      <c r="H190" s="2" t="s">
        <v>14</v>
      </c>
      <c r="I190" s="2" t="s">
        <v>22</v>
      </c>
      <c r="J190" s="2" t="s">
        <v>34</v>
      </c>
      <c r="K190" s="2" t="s">
        <v>70</v>
      </c>
      <c r="L190" s="2" t="s">
        <v>9</v>
      </c>
      <c r="M190" s="2" t="s">
        <v>25</v>
      </c>
      <c r="N190" s="2" t="s">
        <v>11</v>
      </c>
      <c r="O190" s="2" t="s">
        <v>53</v>
      </c>
      <c r="P190" s="2" t="s">
        <v>35</v>
      </c>
      <c r="Q190" s="2" t="s">
        <v>46</v>
      </c>
      <c r="R190" s="2" t="s">
        <v>18</v>
      </c>
      <c r="S190">
        <v>1</v>
      </c>
    </row>
    <row r="191" spans="1:19" x14ac:dyDescent="0.3">
      <c r="A191">
        <v>2248</v>
      </c>
      <c r="B191">
        <f>YEAR(Cleaned_HR_Data_Analysis__2[[#This Row],[Joining_Date]])</f>
        <v>2022</v>
      </c>
      <c r="C191" s="1">
        <v>44911</v>
      </c>
      <c r="D191" s="1" t="str" cm="1">
        <f t="array" ref="D191">_xlfn.IFS(E191&lt;28, "17-27",
AND(E191&gt;27, E191&lt;38), "28-37",
AND(E191&gt;37, E191 &lt;48), "38-47",
AND(E191&gt;47, E191 &lt;58), "48-57",
AND(E191&gt;57, E191&lt;68), "58-67",
AND(E191&gt;67, E191&lt;78), "68-77",
E191&gt;77,"Above than 77")</f>
        <v>17-27</v>
      </c>
      <c r="E191">
        <v>23</v>
      </c>
      <c r="F191" s="1">
        <v>36511</v>
      </c>
      <c r="G191" s="1" t="str">
        <f>VLOOKUP(H191,Table7[#All], 2, FALSE)</f>
        <v>Massachusetts</v>
      </c>
      <c r="H191" s="2" t="s">
        <v>14</v>
      </c>
      <c r="I191" s="2" t="s">
        <v>15</v>
      </c>
      <c r="J191" s="2" t="s">
        <v>17</v>
      </c>
      <c r="K191" s="2" t="s">
        <v>70</v>
      </c>
      <c r="L191" s="2" t="s">
        <v>9</v>
      </c>
      <c r="M191" s="2" t="s">
        <v>20</v>
      </c>
      <c r="N191" s="2" t="s">
        <v>26</v>
      </c>
      <c r="O191" s="2" t="s">
        <v>53</v>
      </c>
      <c r="P191" s="2" t="s">
        <v>35</v>
      </c>
      <c r="Q191" s="2" t="s">
        <v>23</v>
      </c>
      <c r="R191" s="2" t="s">
        <v>18</v>
      </c>
      <c r="S191">
        <v>5</v>
      </c>
    </row>
    <row r="192" spans="1:19" x14ac:dyDescent="0.3">
      <c r="A192">
        <v>3944</v>
      </c>
      <c r="B192">
        <f>YEAR(Cleaned_HR_Data_Analysis__2[[#This Row],[Joining_Date]])</f>
        <v>2020</v>
      </c>
      <c r="C192" s="1">
        <v>44186</v>
      </c>
      <c r="D192" s="1" t="str" cm="1">
        <f t="array" ref="D192">_xlfn.IFS(E192&lt;28, "17-27",
AND(E192&gt;27, E192&lt;38), "28-37",
AND(E192&gt;37, E192 &lt;48), "38-47",
AND(E192&gt;47, E192 &lt;58), "48-57",
AND(E192&gt;57, E192&lt;68), "58-67",
AND(E192&gt;67, E192&lt;78), "68-77",
E192&gt;77,"Above than 77")</f>
        <v>17-27</v>
      </c>
      <c r="E192">
        <v>23</v>
      </c>
      <c r="F192" s="1">
        <v>35616</v>
      </c>
      <c r="G192" s="1" t="str">
        <f>VLOOKUP(H192,Table7[#All], 2, FALSE)</f>
        <v>Massachusetts</v>
      </c>
      <c r="H192" s="2" t="s">
        <v>14</v>
      </c>
      <c r="I192" s="2" t="s">
        <v>15</v>
      </c>
      <c r="J192" s="2" t="s">
        <v>31</v>
      </c>
      <c r="K192" s="2" t="s">
        <v>78</v>
      </c>
      <c r="L192" s="2" t="s">
        <v>9</v>
      </c>
      <c r="M192" s="2" t="s">
        <v>25</v>
      </c>
      <c r="N192" s="2" t="s">
        <v>19</v>
      </c>
      <c r="O192" s="2" t="s">
        <v>53</v>
      </c>
      <c r="P192" s="2" t="s">
        <v>28</v>
      </c>
      <c r="Q192" s="2" t="s">
        <v>16</v>
      </c>
      <c r="R192" s="2" t="s">
        <v>18</v>
      </c>
      <c r="S192">
        <v>3</v>
      </c>
    </row>
    <row r="193" spans="1:19" x14ac:dyDescent="0.3">
      <c r="A193">
        <v>2308</v>
      </c>
      <c r="B193">
        <f>YEAR(Cleaned_HR_Data_Analysis__2[[#This Row],[Joining_Date]])</f>
        <v>2022</v>
      </c>
      <c r="C193" s="1">
        <v>44705</v>
      </c>
      <c r="D193" s="1" t="str" cm="1">
        <f t="array" ref="D193">_xlfn.IFS(E193&lt;28, "17-27",
AND(E193&gt;27, E193&lt;38), "28-37",
AND(E193&gt;37, E193 &lt;48), "38-47",
AND(E193&gt;47, E193 &lt;58), "48-57",
AND(E193&gt;57, E193&lt;68), "58-67",
AND(E193&gt;67, E193&lt;78), "68-77",
E193&gt;77,"Above than 77")</f>
        <v>17-27</v>
      </c>
      <c r="E193">
        <v>23</v>
      </c>
      <c r="F193" s="1">
        <v>36289</v>
      </c>
      <c r="G193" s="1" t="str">
        <f>VLOOKUP(H193,Table7[#All], 2, FALSE)</f>
        <v>Massachusetts</v>
      </c>
      <c r="H193" s="2" t="s">
        <v>14</v>
      </c>
      <c r="I193" s="2" t="s">
        <v>22</v>
      </c>
      <c r="J193" s="2" t="s">
        <v>40</v>
      </c>
      <c r="K193" s="2" t="s">
        <v>78</v>
      </c>
      <c r="L193" s="2" t="s">
        <v>9</v>
      </c>
      <c r="M193" s="2" t="s">
        <v>25</v>
      </c>
      <c r="N193" s="2" t="s">
        <v>19</v>
      </c>
      <c r="O193" s="2" t="s">
        <v>12</v>
      </c>
      <c r="P193" s="2" t="s">
        <v>35</v>
      </c>
      <c r="Q193" s="2" t="s">
        <v>30</v>
      </c>
      <c r="R193" s="2" t="s">
        <v>18</v>
      </c>
      <c r="S193">
        <v>2</v>
      </c>
    </row>
    <row r="194" spans="1:19" x14ac:dyDescent="0.3">
      <c r="A194">
        <v>1727</v>
      </c>
      <c r="B194">
        <f>YEAR(Cleaned_HR_Data_Analysis__2[[#This Row],[Joining_Date]])</f>
        <v>2019</v>
      </c>
      <c r="C194" s="1">
        <v>43616</v>
      </c>
      <c r="D194" s="1" t="str" cm="1">
        <f t="array" ref="D194">_xlfn.IFS(E194&lt;28, "17-27",
AND(E194&gt;27, E194&lt;38), "28-37",
AND(E194&gt;37, E194 &lt;48), "38-47",
AND(E194&gt;47, E194 &lt;58), "48-57",
AND(E194&gt;57, E194&lt;68), "58-67",
AND(E194&gt;67, E194&lt;78), "68-77",
E194&gt;77,"Above than 77")</f>
        <v>17-27</v>
      </c>
      <c r="E194">
        <v>23</v>
      </c>
      <c r="F194" s="1">
        <v>35111</v>
      </c>
      <c r="G194" s="1" t="str">
        <f>VLOOKUP(H194,Table7[#All], 2, FALSE)</f>
        <v>Massachusetts</v>
      </c>
      <c r="H194" s="2" t="s">
        <v>14</v>
      </c>
      <c r="I194" s="2" t="s">
        <v>22</v>
      </c>
      <c r="J194" s="2" t="s">
        <v>17</v>
      </c>
      <c r="K194" s="2" t="s">
        <v>97</v>
      </c>
      <c r="L194" s="2" t="s">
        <v>9</v>
      </c>
      <c r="M194" s="2" t="s">
        <v>25</v>
      </c>
      <c r="N194" s="2" t="s">
        <v>26</v>
      </c>
      <c r="O194" s="2" t="s">
        <v>53</v>
      </c>
      <c r="P194" s="2" t="s">
        <v>32</v>
      </c>
      <c r="Q194" s="2" t="s">
        <v>23</v>
      </c>
      <c r="R194" s="2" t="s">
        <v>18</v>
      </c>
      <c r="S194">
        <v>2</v>
      </c>
    </row>
    <row r="195" spans="1:19" x14ac:dyDescent="0.3">
      <c r="A195">
        <v>2692</v>
      </c>
      <c r="B195">
        <f>YEAR(Cleaned_HR_Data_Analysis__2[[#This Row],[Joining_Date]])</f>
        <v>2020</v>
      </c>
      <c r="C195" s="1">
        <v>44044</v>
      </c>
      <c r="D195" s="1" t="str" cm="1">
        <f t="array" ref="D195">_xlfn.IFS(E195&lt;28, "17-27",
AND(E195&gt;27, E195&lt;38), "28-37",
AND(E195&gt;37, E195 &lt;48), "38-47",
AND(E195&gt;47, E195 &lt;58), "48-57",
AND(E195&gt;57, E195&lt;68), "58-67",
AND(E195&gt;67, E195&lt;78), "68-77",
E195&gt;77,"Above than 77")</f>
        <v>17-27</v>
      </c>
      <c r="E195">
        <v>23</v>
      </c>
      <c r="F195" s="1">
        <v>35756</v>
      </c>
      <c r="G195" s="1" t="str">
        <f>VLOOKUP(H195,Table7[#All], 2, FALSE)</f>
        <v>Tennessee</v>
      </c>
      <c r="H195" s="2" t="s">
        <v>120</v>
      </c>
      <c r="I195" s="2" t="s">
        <v>22</v>
      </c>
      <c r="J195" s="2" t="s">
        <v>17</v>
      </c>
      <c r="K195" s="2" t="s">
        <v>24</v>
      </c>
      <c r="L195" s="2" t="s">
        <v>9</v>
      </c>
      <c r="M195" s="2" t="s">
        <v>25</v>
      </c>
      <c r="N195" s="2" t="s">
        <v>19</v>
      </c>
      <c r="O195" s="2" t="s">
        <v>27</v>
      </c>
      <c r="P195" s="2" t="s">
        <v>69</v>
      </c>
      <c r="Q195" s="2" t="s">
        <v>16</v>
      </c>
      <c r="R195" s="2" t="s">
        <v>18</v>
      </c>
      <c r="S195">
        <v>5</v>
      </c>
    </row>
    <row r="196" spans="1:19" x14ac:dyDescent="0.3">
      <c r="A196">
        <v>3430</v>
      </c>
      <c r="B196">
        <f>YEAR(Cleaned_HR_Data_Analysis__2[[#This Row],[Joining_Date]])</f>
        <v>2021</v>
      </c>
      <c r="C196" s="1">
        <v>44368</v>
      </c>
      <c r="D196" s="1" t="str" cm="1">
        <f t="array" ref="D196">_xlfn.IFS(E196&lt;28, "17-27",
AND(E196&gt;27, E196&lt;38), "28-37",
AND(E196&gt;37, E196 &lt;48), "38-47",
AND(E196&gt;47, E196 &lt;58), "48-57",
AND(E196&gt;57, E196&lt;68), "58-67",
AND(E196&gt;67, E196&lt;78), "68-77",
E196&gt;77,"Above than 77")</f>
        <v>17-27</v>
      </c>
      <c r="E196">
        <v>23</v>
      </c>
      <c r="F196" s="1">
        <v>35889</v>
      </c>
      <c r="G196" s="1" t="str">
        <f>VLOOKUP(H196,Table7[#All], 2, FALSE)</f>
        <v>North Dakota</v>
      </c>
      <c r="H196" s="2" t="s">
        <v>29</v>
      </c>
      <c r="I196" s="2" t="s">
        <v>22</v>
      </c>
      <c r="J196" s="2" t="s">
        <v>31</v>
      </c>
      <c r="K196" s="2" t="s">
        <v>24</v>
      </c>
      <c r="L196" s="2" t="s">
        <v>9</v>
      </c>
      <c r="M196" s="2" t="s">
        <v>10</v>
      </c>
      <c r="N196" s="2" t="s">
        <v>19</v>
      </c>
      <c r="O196" s="2" t="s">
        <v>27</v>
      </c>
      <c r="P196" s="2" t="s">
        <v>13</v>
      </c>
      <c r="Q196" s="2" t="s">
        <v>30</v>
      </c>
      <c r="R196" s="2" t="s">
        <v>18</v>
      </c>
      <c r="S196">
        <v>5</v>
      </c>
    </row>
    <row r="197" spans="1:19" x14ac:dyDescent="0.3">
      <c r="A197">
        <v>1644</v>
      </c>
      <c r="B197">
        <f>YEAR(Cleaned_HR_Data_Analysis__2[[#This Row],[Joining_Date]])</f>
        <v>2023</v>
      </c>
      <c r="C197" s="1">
        <v>45008</v>
      </c>
      <c r="D197" s="1" t="str" cm="1">
        <f t="array" ref="D197">_xlfn.IFS(E197&lt;28, "17-27",
AND(E197&gt;27, E197&lt;38), "28-37",
AND(E197&gt;37, E197 &lt;48), "38-47",
AND(E197&gt;47, E197 &lt;58), "48-57",
AND(E197&gt;57, E197&lt;68), "58-67",
AND(E197&gt;67, E197&lt;78), "68-77",
E197&gt;77,"Above than 77")</f>
        <v>17-27</v>
      </c>
      <c r="E197">
        <v>23</v>
      </c>
      <c r="F197" s="1">
        <v>36804</v>
      </c>
      <c r="G197" s="1" t="str">
        <f>VLOOKUP(H197,Table7[#All], 2, FALSE)</f>
        <v>Massachusetts</v>
      </c>
      <c r="H197" s="2" t="s">
        <v>14</v>
      </c>
      <c r="I197" s="2" t="s">
        <v>22</v>
      </c>
      <c r="J197" s="2" t="s">
        <v>17</v>
      </c>
      <c r="K197" s="2" t="s">
        <v>24</v>
      </c>
      <c r="L197" s="2" t="s">
        <v>9</v>
      </c>
      <c r="M197" s="2" t="s">
        <v>10</v>
      </c>
      <c r="N197" s="2" t="s">
        <v>11</v>
      </c>
      <c r="O197" s="2" t="s">
        <v>53</v>
      </c>
      <c r="P197" s="2" t="s">
        <v>21</v>
      </c>
      <c r="Q197" s="2" t="s">
        <v>30</v>
      </c>
      <c r="R197" s="2" t="s">
        <v>18</v>
      </c>
      <c r="S197">
        <v>1</v>
      </c>
    </row>
    <row r="198" spans="1:19" x14ac:dyDescent="0.3">
      <c r="A198">
        <v>2631</v>
      </c>
      <c r="B198">
        <f>YEAR(Cleaned_HR_Data_Analysis__2[[#This Row],[Joining_Date]])</f>
        <v>2021</v>
      </c>
      <c r="C198" s="1">
        <v>44258</v>
      </c>
      <c r="D198" s="1" t="str" cm="1">
        <f t="array" ref="D198">_xlfn.IFS(E198&lt;28, "17-27",
AND(E198&gt;27, E198&lt;38), "28-37",
AND(E198&gt;37, E198 &lt;48), "38-47",
AND(E198&gt;47, E198 &lt;58), "48-57",
AND(E198&gt;57, E198&lt;68), "58-67",
AND(E198&gt;67, E198&lt;78), "68-77",
E198&gt;77,"Above than 77")</f>
        <v>17-27</v>
      </c>
      <c r="E198">
        <v>23</v>
      </c>
      <c r="F198" s="1">
        <v>35894</v>
      </c>
      <c r="G198" s="1" t="str">
        <f>VLOOKUP(H198,Table7[#All], 2, FALSE)</f>
        <v>Idaho</v>
      </c>
      <c r="H198" s="2" t="s">
        <v>111</v>
      </c>
      <c r="I198" s="2" t="s">
        <v>15</v>
      </c>
      <c r="J198" s="2" t="s">
        <v>17</v>
      </c>
      <c r="K198" s="2" t="s">
        <v>24</v>
      </c>
      <c r="L198" s="2" t="s">
        <v>9</v>
      </c>
      <c r="M198" s="2" t="s">
        <v>25</v>
      </c>
      <c r="N198" s="2" t="s">
        <v>11</v>
      </c>
      <c r="O198" s="2" t="s">
        <v>27</v>
      </c>
      <c r="P198" s="2" t="s">
        <v>60</v>
      </c>
      <c r="Q198" s="2" t="s">
        <v>37</v>
      </c>
      <c r="R198" s="2" t="s">
        <v>18</v>
      </c>
      <c r="S198">
        <v>1</v>
      </c>
    </row>
    <row r="199" spans="1:19" x14ac:dyDescent="0.3">
      <c r="A199">
        <v>3484</v>
      </c>
      <c r="B199">
        <f>YEAR(Cleaned_HR_Data_Analysis__2[[#This Row],[Joining_Date]])</f>
        <v>2018</v>
      </c>
      <c r="C199" s="1">
        <v>43341</v>
      </c>
      <c r="D199" s="1" t="str" cm="1">
        <f t="array" ref="D199">_xlfn.IFS(E199&lt;28, "17-27",
AND(E199&gt;27, E199&lt;38), "28-37",
AND(E199&gt;37, E199 &lt;48), "38-47",
AND(E199&gt;47, E199 &lt;58), "48-57",
AND(E199&gt;57, E199&lt;68), "58-67",
AND(E199&gt;67, E199&lt;78), "68-77",
E199&gt;77,"Above than 77")</f>
        <v>17-27</v>
      </c>
      <c r="E199">
        <v>23</v>
      </c>
      <c r="F199" s="1">
        <v>34898</v>
      </c>
      <c r="G199" s="1" t="str">
        <f>VLOOKUP(H199,Table7[#All], 2, FALSE)</f>
        <v>Colorado</v>
      </c>
      <c r="H199" s="2" t="s">
        <v>50</v>
      </c>
      <c r="I199" s="2" t="s">
        <v>22</v>
      </c>
      <c r="J199" s="2" t="s">
        <v>31</v>
      </c>
      <c r="K199" s="2" t="s">
        <v>24</v>
      </c>
      <c r="L199" s="2" t="s">
        <v>9</v>
      </c>
      <c r="M199" s="2" t="s">
        <v>20</v>
      </c>
      <c r="N199" s="2" t="s">
        <v>26</v>
      </c>
      <c r="O199" s="2" t="s">
        <v>27</v>
      </c>
      <c r="P199" s="2" t="s">
        <v>32</v>
      </c>
      <c r="Q199" s="2" t="s">
        <v>30</v>
      </c>
      <c r="R199" s="2" t="s">
        <v>18</v>
      </c>
      <c r="S199">
        <v>2</v>
      </c>
    </row>
    <row r="200" spans="1:19" x14ac:dyDescent="0.3">
      <c r="A200">
        <v>3544</v>
      </c>
      <c r="B200">
        <f>YEAR(Cleaned_HR_Data_Analysis__2[[#This Row],[Joining_Date]])</f>
        <v>2023</v>
      </c>
      <c r="C200" s="1">
        <v>45106</v>
      </c>
      <c r="D200" s="1" t="str" cm="1">
        <f t="array" ref="D200">_xlfn.IFS(E200&lt;28, "17-27",
AND(E200&gt;27, E200&lt;38), "28-37",
AND(E200&gt;37, E200 &lt;48), "38-47",
AND(E200&gt;47, E200 &lt;58), "48-57",
AND(E200&gt;57, E200&lt;68), "58-67",
AND(E200&gt;67, E200&lt;78), "68-77",
E200&gt;77,"Above than 77")</f>
        <v>17-27</v>
      </c>
      <c r="E200">
        <v>23</v>
      </c>
      <c r="F200" s="1">
        <v>36785</v>
      </c>
      <c r="G200" s="1" t="str">
        <f>VLOOKUP(H200,Table7[#All], 2, FALSE)</f>
        <v>California</v>
      </c>
      <c r="H200" s="2" t="s">
        <v>39</v>
      </c>
      <c r="I200" s="2" t="s">
        <v>22</v>
      </c>
      <c r="J200" s="2" t="s">
        <v>31</v>
      </c>
      <c r="K200" s="2" t="s">
        <v>24</v>
      </c>
      <c r="L200" s="2" t="s">
        <v>9</v>
      </c>
      <c r="M200" s="2" t="s">
        <v>10</v>
      </c>
      <c r="N200" s="2" t="s">
        <v>19</v>
      </c>
      <c r="O200" s="2" t="s">
        <v>27</v>
      </c>
      <c r="P200" s="2" t="s">
        <v>21</v>
      </c>
      <c r="Q200" s="2" t="s">
        <v>46</v>
      </c>
      <c r="R200" s="2" t="s">
        <v>18</v>
      </c>
      <c r="S200">
        <v>5</v>
      </c>
    </row>
    <row r="201" spans="1:19" x14ac:dyDescent="0.3">
      <c r="A201">
        <v>2718</v>
      </c>
      <c r="B201">
        <f>YEAR(Cleaned_HR_Data_Analysis__2[[#This Row],[Joining_Date]])</f>
        <v>2022</v>
      </c>
      <c r="C201" s="1">
        <v>44601</v>
      </c>
      <c r="D201" s="1" t="str" cm="1">
        <f t="array" ref="D201">_xlfn.IFS(E201&lt;28, "17-27",
AND(E201&gt;27, E201&lt;38), "28-37",
AND(E201&gt;37, E201 &lt;48), "38-47",
AND(E201&gt;47, E201 &lt;58), "48-57",
AND(E201&gt;57, E201&lt;68), "58-67",
AND(E201&gt;67, E201&lt;78), "68-77",
E201&gt;77,"Above than 77")</f>
        <v>17-27</v>
      </c>
      <c r="E201">
        <v>23</v>
      </c>
      <c r="F201" s="1">
        <v>36186</v>
      </c>
      <c r="G201" s="1" t="str">
        <f>VLOOKUP(H201,Table7[#All], 2, FALSE)</f>
        <v>Arizona</v>
      </c>
      <c r="H201" s="2" t="s">
        <v>114</v>
      </c>
      <c r="I201" s="2" t="s">
        <v>22</v>
      </c>
      <c r="J201" s="2" t="s">
        <v>34</v>
      </c>
      <c r="K201" s="2" t="s">
        <v>24</v>
      </c>
      <c r="L201" s="2" t="s">
        <v>9</v>
      </c>
      <c r="M201" s="2" t="s">
        <v>20</v>
      </c>
      <c r="N201" s="2" t="s">
        <v>19</v>
      </c>
      <c r="O201" s="2" t="s">
        <v>27</v>
      </c>
      <c r="P201" s="2" t="s">
        <v>21</v>
      </c>
      <c r="Q201" s="2" t="s">
        <v>30</v>
      </c>
      <c r="R201" s="2" t="s">
        <v>18</v>
      </c>
      <c r="S201">
        <v>5</v>
      </c>
    </row>
    <row r="202" spans="1:19" x14ac:dyDescent="0.3">
      <c r="A202">
        <v>2673</v>
      </c>
      <c r="B202">
        <f>YEAR(Cleaned_HR_Data_Analysis__2[[#This Row],[Joining_Date]])</f>
        <v>2022</v>
      </c>
      <c r="C202" s="1">
        <v>44568</v>
      </c>
      <c r="D202" s="1" t="str" cm="1">
        <f t="array" ref="D202">_xlfn.IFS(E202&lt;28, "17-27",
AND(E202&gt;27, E202&lt;38), "28-37",
AND(E202&gt;37, E202 &lt;48), "38-47",
AND(E202&gt;47, E202 &lt;58), "48-57",
AND(E202&gt;57, E202&lt;68), "58-67",
AND(E202&gt;67, E202&lt;78), "68-77",
E202&gt;77,"Above than 77")</f>
        <v>17-27</v>
      </c>
      <c r="E202">
        <v>23</v>
      </c>
      <c r="F202" s="1">
        <v>36360</v>
      </c>
      <c r="G202" s="1" t="str">
        <f>VLOOKUP(H202,Table7[#All], 2, FALSE)</f>
        <v>Arizona</v>
      </c>
      <c r="H202" s="2" t="s">
        <v>114</v>
      </c>
      <c r="I202" s="2" t="s">
        <v>22</v>
      </c>
      <c r="J202" s="2" t="s">
        <v>31</v>
      </c>
      <c r="K202" s="2" t="s">
        <v>24</v>
      </c>
      <c r="L202" s="2" t="s">
        <v>9</v>
      </c>
      <c r="M202" s="2" t="s">
        <v>25</v>
      </c>
      <c r="N202" s="2" t="s">
        <v>26</v>
      </c>
      <c r="O202" s="2" t="s">
        <v>27</v>
      </c>
      <c r="P202" s="2" t="s">
        <v>49</v>
      </c>
      <c r="Q202" s="2" t="s">
        <v>30</v>
      </c>
      <c r="R202" s="2" t="s">
        <v>18</v>
      </c>
      <c r="S202">
        <v>1</v>
      </c>
    </row>
    <row r="203" spans="1:19" x14ac:dyDescent="0.3">
      <c r="A203">
        <v>1351</v>
      </c>
      <c r="B203">
        <f>YEAR(Cleaned_HR_Data_Analysis__2[[#This Row],[Joining_Date]])</f>
        <v>2021</v>
      </c>
      <c r="C203" s="1">
        <v>44283</v>
      </c>
      <c r="D203" s="1" t="str" cm="1">
        <f t="array" ref="D203">_xlfn.IFS(E203&lt;28, "17-27",
AND(E203&gt;27, E203&lt;38), "28-37",
AND(E203&gt;37, E203 &lt;48), "38-47",
AND(E203&gt;47, E203 &lt;58), "48-57",
AND(E203&gt;57, E203&lt;68), "58-67",
AND(E203&gt;67, E203&lt;78), "68-77",
E203&gt;77,"Above than 77")</f>
        <v>17-27</v>
      </c>
      <c r="E203">
        <v>23</v>
      </c>
      <c r="F203" s="1">
        <v>35859</v>
      </c>
      <c r="G203" s="1" t="str">
        <f>VLOOKUP(H203,Table7[#All], 2, FALSE)</f>
        <v>Massachusetts</v>
      </c>
      <c r="H203" s="2" t="s">
        <v>14</v>
      </c>
      <c r="I203" s="2" t="s">
        <v>22</v>
      </c>
      <c r="J203" s="2" t="s">
        <v>40</v>
      </c>
      <c r="K203" s="2" t="s">
        <v>96</v>
      </c>
      <c r="L203" s="2" t="s">
        <v>9</v>
      </c>
      <c r="M203" s="2" t="s">
        <v>10</v>
      </c>
      <c r="N203" s="2" t="s">
        <v>11</v>
      </c>
      <c r="O203" s="2" t="s">
        <v>90</v>
      </c>
      <c r="P203" s="2" t="s">
        <v>35</v>
      </c>
      <c r="Q203" s="2" t="s">
        <v>16</v>
      </c>
      <c r="R203" s="2" t="s">
        <v>18</v>
      </c>
      <c r="S203">
        <v>1</v>
      </c>
    </row>
    <row r="204" spans="1:19" x14ac:dyDescent="0.3">
      <c r="A204">
        <v>3674</v>
      </c>
      <c r="B204">
        <f>YEAR(Cleaned_HR_Data_Analysis__2[[#This Row],[Joining_Date]])</f>
        <v>2020</v>
      </c>
      <c r="C204" s="1">
        <v>44007</v>
      </c>
      <c r="D204" s="1" t="str" cm="1">
        <f t="array" ref="D204">_xlfn.IFS(E204&lt;28, "17-27",
AND(E204&gt;27, E204&lt;38), "28-37",
AND(E204&gt;37, E204 &lt;48), "38-47",
AND(E204&gt;47, E204 &lt;58), "48-57",
AND(E204&gt;57, E204&lt;68), "58-67",
AND(E204&gt;67, E204&lt;78), "68-77",
E204&gt;77,"Above than 77")</f>
        <v>17-27</v>
      </c>
      <c r="E204">
        <v>24</v>
      </c>
      <c r="F204" s="1">
        <v>35186</v>
      </c>
      <c r="G204" s="1" t="str">
        <f>VLOOKUP(H204,Table7[#All], 2, FALSE)</f>
        <v>Massachusetts</v>
      </c>
      <c r="H204" s="2" t="s">
        <v>14</v>
      </c>
      <c r="I204" s="2" t="s">
        <v>15</v>
      </c>
      <c r="J204" s="2" t="s">
        <v>31</v>
      </c>
      <c r="K204" s="2" t="s">
        <v>64</v>
      </c>
      <c r="L204" s="2" t="s">
        <v>66</v>
      </c>
      <c r="M204" s="2" t="s">
        <v>20</v>
      </c>
      <c r="N204" s="2" t="s">
        <v>11</v>
      </c>
      <c r="O204" s="2" t="s">
        <v>12</v>
      </c>
      <c r="P204" s="2" t="s">
        <v>42</v>
      </c>
      <c r="Q204" s="2" t="s">
        <v>30</v>
      </c>
      <c r="R204" s="2" t="s">
        <v>18</v>
      </c>
      <c r="S204">
        <v>4</v>
      </c>
    </row>
    <row r="205" spans="1:19" x14ac:dyDescent="0.3">
      <c r="A205">
        <v>3624</v>
      </c>
      <c r="B205">
        <f>YEAR(Cleaned_HR_Data_Analysis__2[[#This Row],[Joining_Date]])</f>
        <v>2020</v>
      </c>
      <c r="C205" s="1">
        <v>43839</v>
      </c>
      <c r="D205" s="1" t="str" cm="1">
        <f t="array" ref="D205">_xlfn.IFS(E205&lt;28, "17-27",
AND(E205&gt;27, E205&lt;38), "28-37",
AND(E205&gt;37, E205 &lt;48), "38-47",
AND(E205&gt;47, E205 &lt;58), "48-57",
AND(E205&gt;57, E205&lt;68), "58-67",
AND(E205&gt;67, E205&lt;78), "68-77",
E205&gt;77,"Above than 77")</f>
        <v>17-27</v>
      </c>
      <c r="E205">
        <v>24</v>
      </c>
      <c r="F205" s="1">
        <v>35099</v>
      </c>
      <c r="G205" s="1" t="str">
        <f>VLOOKUP(H205,Table7[#All], 2, FALSE)</f>
        <v>Massachusetts</v>
      </c>
      <c r="H205" s="2" t="s">
        <v>14</v>
      </c>
      <c r="I205" s="2" t="s">
        <v>15</v>
      </c>
      <c r="J205" s="2" t="s">
        <v>34</v>
      </c>
      <c r="K205" s="2" t="s">
        <v>64</v>
      </c>
      <c r="L205" s="2" t="s">
        <v>9</v>
      </c>
      <c r="M205" s="2" t="s">
        <v>20</v>
      </c>
      <c r="N205" s="2" t="s">
        <v>26</v>
      </c>
      <c r="O205" s="2" t="s">
        <v>12</v>
      </c>
      <c r="P205" s="2" t="s">
        <v>68</v>
      </c>
      <c r="Q205" s="2" t="s">
        <v>46</v>
      </c>
      <c r="R205" s="2" t="s">
        <v>18</v>
      </c>
      <c r="S205">
        <v>2</v>
      </c>
    </row>
    <row r="206" spans="1:19" x14ac:dyDescent="0.3">
      <c r="A206">
        <v>3386</v>
      </c>
      <c r="B206">
        <f>YEAR(Cleaned_HR_Data_Analysis__2[[#This Row],[Joining_Date]])</f>
        <v>2019</v>
      </c>
      <c r="C206" s="1">
        <v>43794</v>
      </c>
      <c r="D206" s="1" t="str" cm="1">
        <f t="array" ref="D206">_xlfn.IFS(E206&lt;28, "17-27",
AND(E206&gt;27, E206&lt;38), "28-37",
AND(E206&gt;37, E206 &lt;48), "38-47",
AND(E206&gt;47, E206 &lt;58), "48-57",
AND(E206&gt;57, E206&lt;68), "58-67",
AND(E206&gt;67, E206&lt;78), "68-77",
E206&gt;77,"Above than 77")</f>
        <v>17-27</v>
      </c>
      <c r="E206">
        <v>24</v>
      </c>
      <c r="F206" s="1">
        <v>34748</v>
      </c>
      <c r="G206" s="1" t="str">
        <f>VLOOKUP(H206,Table7[#All], 2, FALSE)</f>
        <v>Massachusetts</v>
      </c>
      <c r="H206" s="2" t="s">
        <v>14</v>
      </c>
      <c r="I206" s="2" t="s">
        <v>15</v>
      </c>
      <c r="J206" s="2" t="s">
        <v>17</v>
      </c>
      <c r="K206" s="2" t="s">
        <v>64</v>
      </c>
      <c r="L206" s="2" t="s">
        <v>9</v>
      </c>
      <c r="M206" s="2" t="s">
        <v>10</v>
      </c>
      <c r="N206" s="2" t="s">
        <v>11</v>
      </c>
      <c r="O206" s="2" t="s">
        <v>12</v>
      </c>
      <c r="P206" s="2" t="s">
        <v>32</v>
      </c>
      <c r="Q206" s="2" t="s">
        <v>23</v>
      </c>
      <c r="R206" s="2" t="s">
        <v>18</v>
      </c>
      <c r="S206">
        <v>1</v>
      </c>
    </row>
    <row r="207" spans="1:19" x14ac:dyDescent="0.3">
      <c r="A207">
        <v>3298</v>
      </c>
      <c r="B207">
        <f>YEAR(Cleaned_HR_Data_Analysis__2[[#This Row],[Joining_Date]])</f>
        <v>2020</v>
      </c>
      <c r="C207" s="1">
        <v>44154</v>
      </c>
      <c r="D207" s="1" t="str" cm="1">
        <f t="array" ref="D207">_xlfn.IFS(E207&lt;28, "17-27",
AND(E207&gt;27, E207&lt;38), "28-37",
AND(E207&gt;37, E207 &lt;48), "38-47",
AND(E207&gt;47, E207 &lt;58), "48-57",
AND(E207&gt;57, E207&lt;68), "58-67",
AND(E207&gt;67, E207&lt;78), "68-77",
E207&gt;77,"Above than 77")</f>
        <v>17-27</v>
      </c>
      <c r="E207">
        <v>24</v>
      </c>
      <c r="F207" s="1">
        <v>35134</v>
      </c>
      <c r="G207" s="1" t="str">
        <f>VLOOKUP(H207,Table7[#All], 2, FALSE)</f>
        <v>Massachusetts</v>
      </c>
      <c r="H207" s="2" t="s">
        <v>14</v>
      </c>
      <c r="I207" s="2" t="s">
        <v>15</v>
      </c>
      <c r="J207" s="2" t="s">
        <v>17</v>
      </c>
      <c r="K207" s="2" t="s">
        <v>64</v>
      </c>
      <c r="L207" s="2" t="s">
        <v>9</v>
      </c>
      <c r="M207" s="2" t="s">
        <v>25</v>
      </c>
      <c r="N207" s="2" t="s">
        <v>19</v>
      </c>
      <c r="O207" s="2" t="s">
        <v>12</v>
      </c>
      <c r="P207" s="2" t="s">
        <v>35</v>
      </c>
      <c r="Q207" s="2" t="s">
        <v>23</v>
      </c>
      <c r="R207" s="2" t="s">
        <v>18</v>
      </c>
      <c r="S207">
        <v>4</v>
      </c>
    </row>
    <row r="208" spans="1:19" x14ac:dyDescent="0.3">
      <c r="A208">
        <v>2971</v>
      </c>
      <c r="B208">
        <f>YEAR(Cleaned_HR_Data_Analysis__2[[#This Row],[Joining_Date]])</f>
        <v>2020</v>
      </c>
      <c r="C208" s="1">
        <v>43870</v>
      </c>
      <c r="D208" s="1" t="str" cm="1">
        <f t="array" ref="D208">_xlfn.IFS(E208&lt;28, "17-27",
AND(E208&gt;27, E208&lt;38), "28-37",
AND(E208&gt;37, E208 &lt;48), "38-47",
AND(E208&gt;47, E208 &lt;58), "48-57",
AND(E208&gt;57, E208&lt;68), "58-67",
AND(E208&gt;67, E208&lt;78), "68-77",
E208&gt;77,"Above than 77")</f>
        <v>17-27</v>
      </c>
      <c r="E208">
        <v>24</v>
      </c>
      <c r="F208" s="1">
        <v>35345</v>
      </c>
      <c r="G208" s="1" t="str">
        <f>VLOOKUP(H208,Table7[#All], 2, FALSE)</f>
        <v>Massachusetts</v>
      </c>
      <c r="H208" s="2" t="s">
        <v>14</v>
      </c>
      <c r="I208" s="2" t="s">
        <v>15</v>
      </c>
      <c r="J208" s="2" t="s">
        <v>40</v>
      </c>
      <c r="K208" s="2" t="s">
        <v>64</v>
      </c>
      <c r="L208" s="2" t="s">
        <v>9</v>
      </c>
      <c r="M208" s="2" t="s">
        <v>10</v>
      </c>
      <c r="N208" s="2" t="s">
        <v>11</v>
      </c>
      <c r="O208" s="2" t="s">
        <v>12</v>
      </c>
      <c r="P208" s="2" t="s">
        <v>21</v>
      </c>
      <c r="Q208" s="2" t="s">
        <v>16</v>
      </c>
      <c r="R208" s="2" t="s">
        <v>18</v>
      </c>
      <c r="S208">
        <v>5</v>
      </c>
    </row>
    <row r="209" spans="1:19" x14ac:dyDescent="0.3">
      <c r="A209">
        <v>2930</v>
      </c>
      <c r="B209">
        <f>YEAR(Cleaned_HR_Data_Analysis__2[[#This Row],[Joining_Date]])</f>
        <v>2023</v>
      </c>
      <c r="C209" s="1">
        <v>45037</v>
      </c>
      <c r="D209" s="1" t="str" cm="1">
        <f t="array" ref="D209">_xlfn.IFS(E209&lt;28, "17-27",
AND(E209&gt;27, E209&lt;38), "28-37",
AND(E209&gt;37, E209 &lt;48), "38-47",
AND(E209&gt;47, E209 &lt;58), "48-57",
AND(E209&gt;57, E209&lt;68), "58-67",
AND(E209&gt;67, E209&lt;78), "68-77",
E209&gt;77,"Above than 77")</f>
        <v>17-27</v>
      </c>
      <c r="E209">
        <v>24</v>
      </c>
      <c r="F209" s="1">
        <v>36239</v>
      </c>
      <c r="G209" s="1" t="str">
        <f>VLOOKUP(H209,Table7[#All], 2, FALSE)</f>
        <v>Massachusetts</v>
      </c>
      <c r="H209" s="2" t="s">
        <v>14</v>
      </c>
      <c r="I209" s="2" t="s">
        <v>15</v>
      </c>
      <c r="J209" s="2" t="s">
        <v>17</v>
      </c>
      <c r="K209" s="2" t="s">
        <v>64</v>
      </c>
      <c r="L209" s="2" t="s">
        <v>9</v>
      </c>
      <c r="M209" s="2" t="s">
        <v>20</v>
      </c>
      <c r="N209" s="2" t="s">
        <v>19</v>
      </c>
      <c r="O209" s="2" t="s">
        <v>12</v>
      </c>
      <c r="P209" s="2" t="s">
        <v>61</v>
      </c>
      <c r="Q209" s="2" t="s">
        <v>37</v>
      </c>
      <c r="R209" s="2" t="s">
        <v>41</v>
      </c>
      <c r="S209">
        <v>4</v>
      </c>
    </row>
    <row r="210" spans="1:19" x14ac:dyDescent="0.3">
      <c r="A210">
        <v>2144</v>
      </c>
      <c r="B210">
        <f>YEAR(Cleaned_HR_Data_Analysis__2[[#This Row],[Joining_Date]])</f>
        <v>2022</v>
      </c>
      <c r="C210" s="1">
        <v>44798</v>
      </c>
      <c r="D210" s="1" t="str" cm="1">
        <f t="array" ref="D210">_xlfn.IFS(E210&lt;28, "17-27",
AND(E210&gt;27, E210&lt;38), "28-37",
AND(E210&gt;37, E210 &lt;48), "38-47",
AND(E210&gt;47, E210 &lt;58), "48-57",
AND(E210&gt;57, E210&lt;68), "58-67",
AND(E210&gt;67, E210&lt;78), "68-77",
E210&gt;77,"Above than 77")</f>
        <v>17-27</v>
      </c>
      <c r="E210">
        <v>24</v>
      </c>
      <c r="F210" s="1">
        <v>35823</v>
      </c>
      <c r="G210" s="1" t="str">
        <f>VLOOKUP(H210,Table7[#All], 2, FALSE)</f>
        <v>Massachusetts</v>
      </c>
      <c r="H210" s="2" t="s">
        <v>14</v>
      </c>
      <c r="I210" s="2" t="s">
        <v>15</v>
      </c>
      <c r="J210" s="2" t="s">
        <v>40</v>
      </c>
      <c r="K210" s="2" t="s">
        <v>64</v>
      </c>
      <c r="L210" s="2" t="s">
        <v>9</v>
      </c>
      <c r="M210" s="2" t="s">
        <v>25</v>
      </c>
      <c r="N210" s="2" t="s">
        <v>26</v>
      </c>
      <c r="O210" s="2" t="s">
        <v>12</v>
      </c>
      <c r="P210" s="2" t="s">
        <v>35</v>
      </c>
      <c r="Q210" s="2" t="s">
        <v>23</v>
      </c>
      <c r="R210" s="2" t="s">
        <v>41</v>
      </c>
      <c r="S210">
        <v>5</v>
      </c>
    </row>
    <row r="211" spans="1:19" x14ac:dyDescent="0.3">
      <c r="A211">
        <v>1971</v>
      </c>
      <c r="B211">
        <f>YEAR(Cleaned_HR_Data_Analysis__2[[#This Row],[Joining_Date]])</f>
        <v>2018</v>
      </c>
      <c r="C211" s="1">
        <v>43358</v>
      </c>
      <c r="D211" s="1" t="str" cm="1">
        <f t="array" ref="D211">_xlfn.IFS(E211&lt;28, "17-27",
AND(E211&gt;27, E211&lt;38), "28-37",
AND(E211&gt;37, E211 &lt;48), "38-47",
AND(E211&gt;47, E211 &lt;58), "48-57",
AND(E211&gt;57, E211&lt;68), "58-67",
AND(E211&gt;67, E211&lt;78), "68-77",
E211&gt;77,"Above than 77")</f>
        <v>17-27</v>
      </c>
      <c r="E211">
        <v>24</v>
      </c>
      <c r="F211" s="1">
        <v>34375</v>
      </c>
      <c r="G211" s="1" t="str">
        <f>VLOOKUP(H211,Table7[#All], 2, FALSE)</f>
        <v>Massachusetts</v>
      </c>
      <c r="H211" s="2" t="s">
        <v>14</v>
      </c>
      <c r="I211" s="2" t="s">
        <v>15</v>
      </c>
      <c r="J211" s="2" t="s">
        <v>40</v>
      </c>
      <c r="K211" s="2" t="s">
        <v>64</v>
      </c>
      <c r="L211" s="2" t="s">
        <v>66</v>
      </c>
      <c r="M211" s="2" t="s">
        <v>20</v>
      </c>
      <c r="N211" s="2" t="s">
        <v>11</v>
      </c>
      <c r="O211" s="2" t="s">
        <v>12</v>
      </c>
      <c r="P211" s="2" t="s">
        <v>32</v>
      </c>
      <c r="Q211" s="2" t="s">
        <v>30</v>
      </c>
      <c r="R211" s="2" t="s">
        <v>18</v>
      </c>
      <c r="S211">
        <v>2</v>
      </c>
    </row>
    <row r="212" spans="1:19" x14ac:dyDescent="0.3">
      <c r="A212">
        <v>3784</v>
      </c>
      <c r="B212">
        <f>YEAR(Cleaned_HR_Data_Analysis__2[[#This Row],[Joining_Date]])</f>
        <v>2022</v>
      </c>
      <c r="C212" s="1">
        <v>44787</v>
      </c>
      <c r="D212" s="1" t="str" cm="1">
        <f t="array" ref="D212">_xlfn.IFS(E212&lt;28, "17-27",
AND(E212&gt;27, E212&lt;38), "28-37",
AND(E212&gt;37, E212 &lt;48), "38-47",
AND(E212&gt;47, E212 &lt;58), "48-57",
AND(E212&gt;57, E212&lt;68), "58-67",
AND(E212&gt;67, E212&lt;78), "68-77",
E212&gt;77,"Above than 77")</f>
        <v>17-27</v>
      </c>
      <c r="E212">
        <v>24</v>
      </c>
      <c r="F212" s="1">
        <v>35868</v>
      </c>
      <c r="G212" s="1" t="str">
        <f>VLOOKUP(H212,Table7[#All], 2, FALSE)</f>
        <v>Massachusetts</v>
      </c>
      <c r="H212" s="2" t="s">
        <v>14</v>
      </c>
      <c r="I212" s="2" t="s">
        <v>15</v>
      </c>
      <c r="J212" s="2" t="s">
        <v>31</v>
      </c>
      <c r="K212" s="2" t="s">
        <v>8</v>
      </c>
      <c r="L212" s="2" t="s">
        <v>9</v>
      </c>
      <c r="M212" s="2" t="s">
        <v>10</v>
      </c>
      <c r="N212" s="2" t="s">
        <v>19</v>
      </c>
      <c r="O212" s="2" t="s">
        <v>12</v>
      </c>
      <c r="P212" s="2" t="s">
        <v>49</v>
      </c>
      <c r="Q212" s="2" t="s">
        <v>16</v>
      </c>
      <c r="R212" s="2" t="s">
        <v>18</v>
      </c>
      <c r="S212">
        <v>3</v>
      </c>
    </row>
    <row r="213" spans="1:19" x14ac:dyDescent="0.3">
      <c r="A213">
        <v>3667</v>
      </c>
      <c r="B213">
        <f>YEAR(Cleaned_HR_Data_Analysis__2[[#This Row],[Joining_Date]])</f>
        <v>2022</v>
      </c>
      <c r="C213" s="1">
        <v>44906</v>
      </c>
      <c r="D213" s="1" t="str" cm="1">
        <f t="array" ref="D213">_xlfn.IFS(E213&lt;28, "17-27",
AND(E213&gt;27, E213&lt;38), "28-37",
AND(E213&gt;37, E213 &lt;48), "38-47",
AND(E213&gt;47, E213 &lt;58), "48-57",
AND(E213&gt;57, E213&lt;68), "58-67",
AND(E213&gt;67, E213&lt;78), "68-77",
E213&gt;77,"Above than 77")</f>
        <v>17-27</v>
      </c>
      <c r="E213">
        <v>24</v>
      </c>
      <c r="F213" s="1">
        <v>36030</v>
      </c>
      <c r="G213" s="1" t="str">
        <f>VLOOKUP(H213,Table7[#All], 2, FALSE)</f>
        <v>Massachusetts</v>
      </c>
      <c r="H213" s="2" t="s">
        <v>14</v>
      </c>
      <c r="I213" s="2" t="s">
        <v>22</v>
      </c>
      <c r="J213" s="2" t="s">
        <v>31</v>
      </c>
      <c r="K213" s="2" t="s">
        <v>8</v>
      </c>
      <c r="L213" s="2" t="s">
        <v>9</v>
      </c>
      <c r="M213" s="2" t="s">
        <v>20</v>
      </c>
      <c r="N213" s="2" t="s">
        <v>26</v>
      </c>
      <c r="O213" s="2" t="s">
        <v>12</v>
      </c>
      <c r="P213" s="2" t="s">
        <v>67</v>
      </c>
      <c r="Q213" s="2" t="s">
        <v>37</v>
      </c>
      <c r="R213" s="2" t="s">
        <v>18</v>
      </c>
      <c r="S213">
        <v>1</v>
      </c>
    </row>
    <row r="214" spans="1:19" x14ac:dyDescent="0.3">
      <c r="A214">
        <v>3569</v>
      </c>
      <c r="B214">
        <f>YEAR(Cleaned_HR_Data_Analysis__2[[#This Row],[Joining_Date]])</f>
        <v>2019</v>
      </c>
      <c r="C214" s="1">
        <v>43505</v>
      </c>
      <c r="D214" s="1" t="str" cm="1">
        <f t="array" ref="D214">_xlfn.IFS(E214&lt;28, "17-27",
AND(E214&gt;27, E214&lt;38), "28-37",
AND(E214&gt;37, E214 &lt;48), "38-47",
AND(E214&gt;47, E214 &lt;58), "48-57",
AND(E214&gt;57, E214&lt;68), "58-67",
AND(E214&gt;67, E214&lt;78), "68-77",
E214&gt;77,"Above than 77")</f>
        <v>17-27</v>
      </c>
      <c r="E214">
        <v>24</v>
      </c>
      <c r="F214" s="1">
        <v>34899</v>
      </c>
      <c r="G214" s="1" t="str">
        <f>VLOOKUP(H214,Table7[#All], 2, FALSE)</f>
        <v>Massachusetts</v>
      </c>
      <c r="H214" s="2" t="s">
        <v>14</v>
      </c>
      <c r="I214" s="2" t="s">
        <v>15</v>
      </c>
      <c r="J214" s="2" t="s">
        <v>40</v>
      </c>
      <c r="K214" s="2" t="s">
        <v>8</v>
      </c>
      <c r="L214" s="2" t="s">
        <v>9</v>
      </c>
      <c r="M214" s="2" t="s">
        <v>20</v>
      </c>
      <c r="N214" s="2" t="s">
        <v>26</v>
      </c>
      <c r="O214" s="2" t="s">
        <v>12</v>
      </c>
      <c r="P214" s="2" t="s">
        <v>60</v>
      </c>
      <c r="Q214" s="2" t="s">
        <v>23</v>
      </c>
      <c r="R214" s="2" t="s">
        <v>18</v>
      </c>
      <c r="S214">
        <v>3</v>
      </c>
    </row>
    <row r="215" spans="1:19" x14ac:dyDescent="0.3">
      <c r="A215">
        <v>3414</v>
      </c>
      <c r="B215">
        <f>YEAR(Cleaned_HR_Data_Analysis__2[[#This Row],[Joining_Date]])</f>
        <v>2022</v>
      </c>
      <c r="C215" s="1">
        <v>44715</v>
      </c>
      <c r="D215" s="1" t="str" cm="1">
        <f t="array" ref="D215">_xlfn.IFS(E215&lt;28, "17-27",
AND(E215&gt;27, E215&lt;38), "28-37",
AND(E215&gt;37, E215 &lt;48), "38-47",
AND(E215&gt;47, E215 &lt;58), "48-57",
AND(E215&gt;57, E215&lt;68), "58-67",
AND(E215&gt;67, E215&lt;78), "68-77",
E215&gt;77,"Above than 77")</f>
        <v>17-27</v>
      </c>
      <c r="E215">
        <v>24</v>
      </c>
      <c r="F215" s="1">
        <v>35919</v>
      </c>
      <c r="G215" s="1" t="str">
        <f>VLOOKUP(H215,Table7[#All], 2, FALSE)</f>
        <v>Massachusetts</v>
      </c>
      <c r="H215" s="2" t="s">
        <v>14</v>
      </c>
      <c r="I215" s="2" t="s">
        <v>15</v>
      </c>
      <c r="J215" s="2" t="s">
        <v>34</v>
      </c>
      <c r="K215" s="2" t="s">
        <v>8</v>
      </c>
      <c r="L215" s="2" t="s">
        <v>9</v>
      </c>
      <c r="M215" s="2" t="s">
        <v>10</v>
      </c>
      <c r="N215" s="2" t="s">
        <v>11</v>
      </c>
      <c r="O215" s="2" t="s">
        <v>12</v>
      </c>
      <c r="P215" s="2" t="s">
        <v>32</v>
      </c>
      <c r="Q215" s="2" t="s">
        <v>23</v>
      </c>
      <c r="R215" s="2" t="s">
        <v>41</v>
      </c>
      <c r="S215">
        <v>2</v>
      </c>
    </row>
    <row r="216" spans="1:19" x14ac:dyDescent="0.3">
      <c r="A216">
        <v>3308</v>
      </c>
      <c r="B216">
        <f>YEAR(Cleaned_HR_Data_Analysis__2[[#This Row],[Joining_Date]])</f>
        <v>2022</v>
      </c>
      <c r="C216" s="1">
        <v>44722</v>
      </c>
      <c r="D216" s="1" t="str" cm="1">
        <f t="array" ref="D216">_xlfn.IFS(E216&lt;28, "17-27",
AND(E216&gt;27, E216&lt;38), "28-37",
AND(E216&gt;37, E216 &lt;48), "38-47",
AND(E216&gt;47, E216 &lt;58), "48-57",
AND(E216&gt;57, E216&lt;68), "58-67",
AND(E216&gt;67, E216&lt;78), "68-77",
E216&gt;77,"Above than 77")</f>
        <v>17-27</v>
      </c>
      <c r="E216">
        <v>24</v>
      </c>
      <c r="F216" s="1">
        <v>36121</v>
      </c>
      <c r="G216" s="1" t="str">
        <f>VLOOKUP(H216,Table7[#All], 2, FALSE)</f>
        <v>Massachusetts</v>
      </c>
      <c r="H216" s="2" t="s">
        <v>14</v>
      </c>
      <c r="I216" s="2" t="s">
        <v>15</v>
      </c>
      <c r="J216" s="2" t="s">
        <v>34</v>
      </c>
      <c r="K216" s="2" t="s">
        <v>8</v>
      </c>
      <c r="L216" s="2" t="s">
        <v>9</v>
      </c>
      <c r="M216" s="2" t="s">
        <v>10</v>
      </c>
      <c r="N216" s="2" t="s">
        <v>11</v>
      </c>
      <c r="O216" s="2" t="s">
        <v>12</v>
      </c>
      <c r="P216" s="2" t="s">
        <v>28</v>
      </c>
      <c r="Q216" s="2" t="s">
        <v>37</v>
      </c>
      <c r="R216" s="2" t="s">
        <v>18</v>
      </c>
      <c r="S216">
        <v>3</v>
      </c>
    </row>
    <row r="217" spans="1:19" x14ac:dyDescent="0.3">
      <c r="A217">
        <v>3273</v>
      </c>
      <c r="B217">
        <f>YEAR(Cleaned_HR_Data_Analysis__2[[#This Row],[Joining_Date]])</f>
        <v>2022</v>
      </c>
      <c r="C217" s="1">
        <v>44820</v>
      </c>
      <c r="D217" s="1" t="str" cm="1">
        <f t="array" ref="D217">_xlfn.IFS(E217&lt;28, "17-27",
AND(E217&gt;27, E217&lt;38), "28-37",
AND(E217&gt;37, E217 &lt;48), "38-47",
AND(E217&gt;47, E217 &lt;58), "48-57",
AND(E217&gt;57, E217&lt;68), "58-67",
AND(E217&gt;67, E217&lt;78), "68-77",
E217&gt;77,"Above than 77")</f>
        <v>17-27</v>
      </c>
      <c r="E217">
        <v>24</v>
      </c>
      <c r="F217" s="1">
        <v>36137</v>
      </c>
      <c r="G217" s="1" t="str">
        <f>VLOOKUP(H217,Table7[#All], 2, FALSE)</f>
        <v>Massachusetts</v>
      </c>
      <c r="H217" s="2" t="s">
        <v>14</v>
      </c>
      <c r="I217" s="2" t="s">
        <v>15</v>
      </c>
      <c r="J217" s="2" t="s">
        <v>40</v>
      </c>
      <c r="K217" s="2" t="s">
        <v>8</v>
      </c>
      <c r="L217" s="2" t="s">
        <v>9</v>
      </c>
      <c r="M217" s="2" t="s">
        <v>25</v>
      </c>
      <c r="N217" s="2" t="s">
        <v>19</v>
      </c>
      <c r="O217" s="2" t="s">
        <v>12</v>
      </c>
      <c r="P217" s="2" t="s">
        <v>62</v>
      </c>
      <c r="Q217" s="2" t="s">
        <v>46</v>
      </c>
      <c r="R217" s="2" t="s">
        <v>18</v>
      </c>
      <c r="S217">
        <v>5</v>
      </c>
    </row>
    <row r="218" spans="1:19" x14ac:dyDescent="0.3">
      <c r="A218">
        <v>3266</v>
      </c>
      <c r="B218">
        <f>YEAR(Cleaned_HR_Data_Analysis__2[[#This Row],[Joining_Date]])</f>
        <v>2020</v>
      </c>
      <c r="C218" s="1">
        <v>44036</v>
      </c>
      <c r="D218" s="1" t="str" cm="1">
        <f t="array" ref="D218">_xlfn.IFS(E218&lt;28, "17-27",
AND(E218&gt;27, E218&lt;38), "28-37",
AND(E218&gt;37, E218 &lt;48), "38-47",
AND(E218&gt;47, E218 &lt;58), "48-57",
AND(E218&gt;57, E218&lt;68), "58-67",
AND(E218&gt;67, E218&lt;78), "68-77",
E218&gt;77,"Above than 77")</f>
        <v>17-27</v>
      </c>
      <c r="E218">
        <v>24</v>
      </c>
      <c r="F218" s="1">
        <v>35300</v>
      </c>
      <c r="G218" s="1" t="str">
        <f>VLOOKUP(H218,Table7[#All], 2, FALSE)</f>
        <v>Massachusetts</v>
      </c>
      <c r="H218" s="2" t="s">
        <v>14</v>
      </c>
      <c r="I218" s="2" t="s">
        <v>15</v>
      </c>
      <c r="J218" s="2" t="s">
        <v>34</v>
      </c>
      <c r="K218" s="2" t="s">
        <v>8</v>
      </c>
      <c r="L218" s="2" t="s">
        <v>9</v>
      </c>
      <c r="M218" s="2" t="s">
        <v>10</v>
      </c>
      <c r="N218" s="2" t="s">
        <v>19</v>
      </c>
      <c r="O218" s="2" t="s">
        <v>12</v>
      </c>
      <c r="P218" s="2" t="s">
        <v>59</v>
      </c>
      <c r="Q218" s="2" t="s">
        <v>37</v>
      </c>
      <c r="R218" s="2" t="s">
        <v>18</v>
      </c>
      <c r="S218">
        <v>2</v>
      </c>
    </row>
    <row r="219" spans="1:19" x14ac:dyDescent="0.3">
      <c r="A219">
        <v>3250</v>
      </c>
      <c r="B219">
        <f>YEAR(Cleaned_HR_Data_Analysis__2[[#This Row],[Joining_Date]])</f>
        <v>2021</v>
      </c>
      <c r="C219" s="1">
        <v>44280</v>
      </c>
      <c r="D219" s="1" t="str" cm="1">
        <f t="array" ref="D219">_xlfn.IFS(E219&lt;28, "17-27",
AND(E219&gt;27, E219&lt;38), "28-37",
AND(E219&gt;37, E219 &lt;48), "38-47",
AND(E219&gt;47, E219 &lt;58), "48-57",
AND(E219&gt;57, E219&lt;68), "58-67",
AND(E219&gt;67, E219&lt;78), "68-77",
E219&gt;77,"Above than 77")</f>
        <v>17-27</v>
      </c>
      <c r="E219">
        <v>24</v>
      </c>
      <c r="F219" s="1">
        <v>35592</v>
      </c>
      <c r="G219" s="1" t="str">
        <f>VLOOKUP(H219,Table7[#All], 2, FALSE)</f>
        <v>Massachusetts</v>
      </c>
      <c r="H219" s="2" t="s">
        <v>14</v>
      </c>
      <c r="I219" s="2" t="s">
        <v>22</v>
      </c>
      <c r="J219" s="2" t="s">
        <v>34</v>
      </c>
      <c r="K219" s="2" t="s">
        <v>8</v>
      </c>
      <c r="L219" s="2" t="s">
        <v>9</v>
      </c>
      <c r="M219" s="2" t="s">
        <v>25</v>
      </c>
      <c r="N219" s="2" t="s">
        <v>26</v>
      </c>
      <c r="O219" s="2" t="s">
        <v>12</v>
      </c>
      <c r="P219" s="2" t="s">
        <v>54</v>
      </c>
      <c r="Q219" s="2" t="s">
        <v>46</v>
      </c>
      <c r="R219" s="2" t="s">
        <v>18</v>
      </c>
      <c r="S219">
        <v>1</v>
      </c>
    </row>
    <row r="220" spans="1:19" x14ac:dyDescent="0.3">
      <c r="A220">
        <v>3231</v>
      </c>
      <c r="B220">
        <f>YEAR(Cleaned_HR_Data_Analysis__2[[#This Row],[Joining_Date]])</f>
        <v>2021</v>
      </c>
      <c r="C220" s="1">
        <v>44340</v>
      </c>
      <c r="D220" s="1" t="str" cm="1">
        <f t="array" ref="D220">_xlfn.IFS(E220&lt;28, "17-27",
AND(E220&gt;27, E220&lt;38), "28-37",
AND(E220&gt;37, E220 &lt;48), "38-47",
AND(E220&gt;47, E220 &lt;58), "48-57",
AND(E220&gt;57, E220&lt;68), "58-67",
AND(E220&gt;67, E220&lt;78), "68-77",
E220&gt;77,"Above than 77")</f>
        <v>17-27</v>
      </c>
      <c r="E220">
        <v>24</v>
      </c>
      <c r="F220" s="1">
        <v>35564</v>
      </c>
      <c r="G220" s="1" t="str">
        <f>VLOOKUP(H220,Table7[#All], 2, FALSE)</f>
        <v>Massachusetts</v>
      </c>
      <c r="H220" s="2" t="s">
        <v>14</v>
      </c>
      <c r="I220" s="2" t="s">
        <v>15</v>
      </c>
      <c r="J220" s="2" t="s">
        <v>40</v>
      </c>
      <c r="K220" s="2" t="s">
        <v>8</v>
      </c>
      <c r="L220" s="2" t="s">
        <v>9</v>
      </c>
      <c r="M220" s="2" t="s">
        <v>25</v>
      </c>
      <c r="N220" s="2" t="s">
        <v>11</v>
      </c>
      <c r="O220" s="2" t="s">
        <v>12</v>
      </c>
      <c r="P220" s="2" t="s">
        <v>58</v>
      </c>
      <c r="Q220" s="2" t="s">
        <v>16</v>
      </c>
      <c r="R220" s="2" t="s">
        <v>41</v>
      </c>
      <c r="S220">
        <v>3</v>
      </c>
    </row>
    <row r="221" spans="1:19" x14ac:dyDescent="0.3">
      <c r="A221">
        <v>3147</v>
      </c>
      <c r="B221">
        <f>YEAR(Cleaned_HR_Data_Analysis__2[[#This Row],[Joining_Date]])</f>
        <v>2023</v>
      </c>
      <c r="C221" s="1">
        <v>45124</v>
      </c>
      <c r="D221" s="1" t="str" cm="1">
        <f t="array" ref="D221">_xlfn.IFS(E221&lt;28, "17-27",
AND(E221&gt;27, E221&lt;38), "28-37",
AND(E221&gt;37, E221 &lt;48), "38-47",
AND(E221&gt;47, E221 &lt;58), "48-57",
AND(E221&gt;57, E221&lt;68), "58-67",
AND(E221&gt;67, E221&lt;78), "68-77",
E221&gt;77,"Above than 77")</f>
        <v>17-27</v>
      </c>
      <c r="E221">
        <v>24</v>
      </c>
      <c r="F221" s="1">
        <v>36273</v>
      </c>
      <c r="G221" s="1" t="str">
        <f>VLOOKUP(H221,Table7[#All], 2, FALSE)</f>
        <v>Massachusetts</v>
      </c>
      <c r="H221" s="2" t="s">
        <v>14</v>
      </c>
      <c r="I221" s="2" t="s">
        <v>22</v>
      </c>
      <c r="J221" s="2" t="s">
        <v>40</v>
      </c>
      <c r="K221" s="2" t="s">
        <v>8</v>
      </c>
      <c r="L221" s="2" t="s">
        <v>9</v>
      </c>
      <c r="M221" s="2" t="s">
        <v>10</v>
      </c>
      <c r="N221" s="2" t="s">
        <v>26</v>
      </c>
      <c r="O221" s="2" t="s">
        <v>12</v>
      </c>
      <c r="P221" s="2" t="s">
        <v>28</v>
      </c>
      <c r="Q221" s="2" t="s">
        <v>23</v>
      </c>
      <c r="R221" s="2" t="s">
        <v>18</v>
      </c>
      <c r="S221">
        <v>2</v>
      </c>
    </row>
    <row r="222" spans="1:19" x14ac:dyDescent="0.3">
      <c r="A222">
        <v>3084</v>
      </c>
      <c r="B222">
        <f>YEAR(Cleaned_HR_Data_Analysis__2[[#This Row],[Joining_Date]])</f>
        <v>2020</v>
      </c>
      <c r="C222" s="1">
        <v>44131</v>
      </c>
      <c r="D222" s="1" t="str" cm="1">
        <f t="array" ref="D222">_xlfn.IFS(E222&lt;28, "17-27",
AND(E222&gt;27, E222&lt;38), "28-37",
AND(E222&gt;37, E222 &lt;48), "38-47",
AND(E222&gt;47, E222 &lt;58), "48-57",
AND(E222&gt;57, E222&lt;68), "58-67",
AND(E222&gt;67, E222&lt;78), "68-77",
E222&gt;77,"Above than 77")</f>
        <v>17-27</v>
      </c>
      <c r="E222">
        <v>24</v>
      </c>
      <c r="F222" s="1">
        <v>35245</v>
      </c>
      <c r="G222" s="1" t="str">
        <f>VLOOKUP(H222,Table7[#All], 2, FALSE)</f>
        <v>Massachusetts</v>
      </c>
      <c r="H222" s="2" t="s">
        <v>14</v>
      </c>
      <c r="I222" s="2" t="s">
        <v>22</v>
      </c>
      <c r="J222" s="2" t="s">
        <v>17</v>
      </c>
      <c r="K222" s="2" t="s">
        <v>8</v>
      </c>
      <c r="L222" s="2" t="s">
        <v>9</v>
      </c>
      <c r="M222" s="2" t="s">
        <v>20</v>
      </c>
      <c r="N222" s="2" t="s">
        <v>19</v>
      </c>
      <c r="O222" s="2" t="s">
        <v>12</v>
      </c>
      <c r="P222" s="2" t="s">
        <v>32</v>
      </c>
      <c r="Q222" s="2" t="s">
        <v>37</v>
      </c>
      <c r="R222" s="2" t="s">
        <v>18</v>
      </c>
      <c r="S222">
        <v>3</v>
      </c>
    </row>
    <row r="223" spans="1:19" x14ac:dyDescent="0.3">
      <c r="A223">
        <v>2873</v>
      </c>
      <c r="B223">
        <f>YEAR(Cleaned_HR_Data_Analysis__2[[#This Row],[Joining_Date]])</f>
        <v>2022</v>
      </c>
      <c r="C223" s="1">
        <v>44648</v>
      </c>
      <c r="D223" s="1" t="str" cm="1">
        <f t="array" ref="D223">_xlfn.IFS(E223&lt;28, "17-27",
AND(E223&gt;27, E223&lt;38), "28-37",
AND(E223&gt;37, E223 &lt;48), "38-47",
AND(E223&gt;47, E223 &lt;58), "48-57",
AND(E223&gt;57, E223&lt;68), "58-67",
AND(E223&gt;67, E223&lt;78), "68-77",
E223&gt;77,"Above than 77")</f>
        <v>17-27</v>
      </c>
      <c r="E223">
        <v>24</v>
      </c>
      <c r="F223" s="1">
        <v>36050</v>
      </c>
      <c r="G223" s="1" t="str">
        <f>VLOOKUP(H223,Table7[#All], 2, FALSE)</f>
        <v>Massachusetts</v>
      </c>
      <c r="H223" s="2" t="s">
        <v>14</v>
      </c>
      <c r="I223" s="2" t="s">
        <v>22</v>
      </c>
      <c r="J223" s="2" t="s">
        <v>40</v>
      </c>
      <c r="K223" s="2" t="s">
        <v>8</v>
      </c>
      <c r="L223" s="2" t="s">
        <v>9</v>
      </c>
      <c r="M223" s="2" t="s">
        <v>20</v>
      </c>
      <c r="N223" s="2" t="s">
        <v>19</v>
      </c>
      <c r="O223" s="2" t="s">
        <v>12</v>
      </c>
      <c r="P223" s="2" t="s">
        <v>35</v>
      </c>
      <c r="Q223" s="2" t="s">
        <v>23</v>
      </c>
      <c r="R223" s="2" t="s">
        <v>18</v>
      </c>
      <c r="S223">
        <v>2</v>
      </c>
    </row>
    <row r="224" spans="1:19" x14ac:dyDescent="0.3">
      <c r="A224">
        <v>2761</v>
      </c>
      <c r="B224">
        <f>YEAR(Cleaned_HR_Data_Analysis__2[[#This Row],[Joining_Date]])</f>
        <v>2021</v>
      </c>
      <c r="C224" s="1">
        <v>44543</v>
      </c>
      <c r="D224" s="1" t="str" cm="1">
        <f t="array" ref="D224">_xlfn.IFS(E224&lt;28, "17-27",
AND(E224&gt;27, E224&lt;38), "28-37",
AND(E224&gt;37, E224 &lt;48), "38-47",
AND(E224&gt;47, E224 &lt;58), "48-57",
AND(E224&gt;57, E224&lt;68), "58-67",
AND(E224&gt;67, E224&lt;78), "68-77",
E224&gt;77,"Above than 77")</f>
        <v>17-27</v>
      </c>
      <c r="E224">
        <v>24</v>
      </c>
      <c r="F224" s="1">
        <v>35468</v>
      </c>
      <c r="G224" s="1" t="str">
        <f>VLOOKUP(H224,Table7[#All], 2, FALSE)</f>
        <v>Massachusetts</v>
      </c>
      <c r="H224" s="2" t="s">
        <v>14</v>
      </c>
      <c r="I224" s="2" t="s">
        <v>15</v>
      </c>
      <c r="J224" s="2" t="s">
        <v>34</v>
      </c>
      <c r="K224" s="2" t="s">
        <v>8</v>
      </c>
      <c r="L224" s="2" t="s">
        <v>9</v>
      </c>
      <c r="M224" s="2" t="s">
        <v>10</v>
      </c>
      <c r="N224" s="2" t="s">
        <v>11</v>
      </c>
      <c r="O224" s="2" t="s">
        <v>12</v>
      </c>
      <c r="P224" s="2" t="s">
        <v>59</v>
      </c>
      <c r="Q224" s="2" t="s">
        <v>46</v>
      </c>
      <c r="R224" s="2" t="s">
        <v>18</v>
      </c>
      <c r="S224">
        <v>4</v>
      </c>
    </row>
    <row r="225" spans="1:19" x14ac:dyDescent="0.3">
      <c r="A225">
        <v>2149</v>
      </c>
      <c r="B225">
        <f>YEAR(Cleaned_HR_Data_Analysis__2[[#This Row],[Joining_Date]])</f>
        <v>2021</v>
      </c>
      <c r="C225" s="1">
        <v>44318</v>
      </c>
      <c r="D225" s="1" t="str" cm="1">
        <f t="array" ref="D225">_xlfn.IFS(E225&lt;28, "17-27",
AND(E225&gt;27, E225&lt;38), "28-37",
AND(E225&gt;37, E225 &lt;48), "38-47",
AND(E225&gt;47, E225 &lt;58), "48-57",
AND(E225&gt;57, E225&lt;68), "58-67",
AND(E225&gt;67, E225&lt;78), "68-77",
E225&gt;77,"Above than 77")</f>
        <v>17-27</v>
      </c>
      <c r="E225">
        <v>24</v>
      </c>
      <c r="F225" s="1">
        <v>35515</v>
      </c>
      <c r="G225" s="1" t="str">
        <f>VLOOKUP(H225,Table7[#All], 2, FALSE)</f>
        <v>Massachusetts</v>
      </c>
      <c r="H225" s="2" t="s">
        <v>14</v>
      </c>
      <c r="I225" s="2" t="s">
        <v>15</v>
      </c>
      <c r="J225" s="2" t="s">
        <v>31</v>
      </c>
      <c r="K225" s="2" t="s">
        <v>8</v>
      </c>
      <c r="L225" s="2" t="s">
        <v>66</v>
      </c>
      <c r="M225" s="2" t="s">
        <v>25</v>
      </c>
      <c r="N225" s="2" t="s">
        <v>19</v>
      </c>
      <c r="O225" s="2" t="s">
        <v>12</v>
      </c>
      <c r="P225" s="2" t="s">
        <v>54</v>
      </c>
      <c r="Q225" s="2" t="s">
        <v>16</v>
      </c>
      <c r="R225" s="2" t="s">
        <v>41</v>
      </c>
      <c r="S225">
        <v>3</v>
      </c>
    </row>
    <row r="226" spans="1:19" x14ac:dyDescent="0.3">
      <c r="A226">
        <v>2009</v>
      </c>
      <c r="B226">
        <f>YEAR(Cleaned_HR_Data_Analysis__2[[#This Row],[Joining_Date]])</f>
        <v>2021</v>
      </c>
      <c r="C226" s="1">
        <v>44517</v>
      </c>
      <c r="D226" s="1" t="str" cm="1">
        <f t="array" ref="D226">_xlfn.IFS(E226&lt;28, "17-27",
AND(E226&gt;27, E226&lt;38), "28-37",
AND(E226&gt;37, E226 &lt;48), "38-47",
AND(E226&gt;47, E226 &lt;58), "48-57",
AND(E226&gt;57, E226&lt;68), "58-67",
AND(E226&gt;67, E226&lt;78), "68-77",
E226&gt;77,"Above than 77")</f>
        <v>17-27</v>
      </c>
      <c r="E226">
        <v>24</v>
      </c>
      <c r="F226" s="1">
        <v>35704</v>
      </c>
      <c r="G226" s="1" t="str">
        <f>VLOOKUP(H226,Table7[#All], 2, FALSE)</f>
        <v>Massachusetts</v>
      </c>
      <c r="H226" s="2" t="s">
        <v>14</v>
      </c>
      <c r="I226" s="2" t="s">
        <v>15</v>
      </c>
      <c r="J226" s="2" t="s">
        <v>17</v>
      </c>
      <c r="K226" s="2" t="s">
        <v>8</v>
      </c>
      <c r="L226" s="2" t="s">
        <v>9</v>
      </c>
      <c r="M226" s="2" t="s">
        <v>10</v>
      </c>
      <c r="N226" s="2" t="s">
        <v>11</v>
      </c>
      <c r="O226" s="2" t="s">
        <v>12</v>
      </c>
      <c r="P226" s="2" t="s">
        <v>54</v>
      </c>
      <c r="Q226" s="2" t="s">
        <v>16</v>
      </c>
      <c r="R226" s="2" t="s">
        <v>18</v>
      </c>
      <c r="S226">
        <v>2</v>
      </c>
    </row>
    <row r="227" spans="1:19" x14ac:dyDescent="0.3">
      <c r="A227">
        <v>1613</v>
      </c>
      <c r="B227">
        <f>YEAR(Cleaned_HR_Data_Analysis__2[[#This Row],[Joining_Date]])</f>
        <v>2019</v>
      </c>
      <c r="C227" s="1">
        <v>43734</v>
      </c>
      <c r="D227" s="1" t="str" cm="1">
        <f t="array" ref="D227">_xlfn.IFS(E227&lt;28, "17-27",
AND(E227&gt;27, E227&lt;38), "28-37",
AND(E227&gt;37, E227 &lt;48), "38-47",
AND(E227&gt;47, E227 &lt;58), "48-57",
AND(E227&gt;57, E227&lt;68), "58-67",
AND(E227&gt;67, E227&lt;78), "68-77",
E227&gt;77,"Above than 77")</f>
        <v>17-27</v>
      </c>
      <c r="E227">
        <v>24</v>
      </c>
      <c r="F227" s="1">
        <v>34883</v>
      </c>
      <c r="G227" s="1" t="str">
        <f>VLOOKUP(H227,Table7[#All], 2, FALSE)</f>
        <v>Massachusetts</v>
      </c>
      <c r="H227" s="2" t="s">
        <v>14</v>
      </c>
      <c r="I227" s="2" t="s">
        <v>15</v>
      </c>
      <c r="J227" s="2" t="s">
        <v>31</v>
      </c>
      <c r="K227" s="2" t="s">
        <v>8</v>
      </c>
      <c r="L227" s="2" t="s">
        <v>9</v>
      </c>
      <c r="M227" s="2" t="s">
        <v>10</v>
      </c>
      <c r="N227" s="2" t="s">
        <v>11</v>
      </c>
      <c r="O227" s="2" t="s">
        <v>12</v>
      </c>
      <c r="P227" s="2" t="s">
        <v>35</v>
      </c>
      <c r="Q227" s="2" t="s">
        <v>30</v>
      </c>
      <c r="R227" s="2" t="s">
        <v>41</v>
      </c>
      <c r="S227">
        <v>2</v>
      </c>
    </row>
    <row r="228" spans="1:19" x14ac:dyDescent="0.3">
      <c r="A228">
        <v>1589</v>
      </c>
      <c r="B228">
        <f>YEAR(Cleaned_HR_Data_Analysis__2[[#This Row],[Joining_Date]])</f>
        <v>2020</v>
      </c>
      <c r="C228" s="1">
        <v>44071</v>
      </c>
      <c r="D228" s="1" t="str" cm="1">
        <f t="array" ref="D228">_xlfn.IFS(E228&lt;28, "17-27",
AND(E228&gt;27, E228&lt;38), "28-37",
AND(E228&gt;37, E228 &lt;48), "38-47",
AND(E228&gt;47, E228 &lt;58), "48-57",
AND(E228&gt;57, E228&lt;68), "58-67",
AND(E228&gt;67, E228&lt;78), "68-77",
E228&gt;77,"Above than 77")</f>
        <v>17-27</v>
      </c>
      <c r="E228">
        <v>24</v>
      </c>
      <c r="F228" s="1">
        <v>35248</v>
      </c>
      <c r="G228" s="1" t="str">
        <f>VLOOKUP(H228,Table7[#All], 2, FALSE)</f>
        <v>Massachusetts</v>
      </c>
      <c r="H228" s="2" t="s">
        <v>14</v>
      </c>
      <c r="I228" s="2" t="s">
        <v>15</v>
      </c>
      <c r="J228" s="2" t="s">
        <v>34</v>
      </c>
      <c r="K228" s="2" t="s">
        <v>8</v>
      </c>
      <c r="L228" s="2" t="s">
        <v>9</v>
      </c>
      <c r="M228" s="2" t="s">
        <v>10</v>
      </c>
      <c r="N228" s="2" t="s">
        <v>19</v>
      </c>
      <c r="O228" s="2" t="s">
        <v>12</v>
      </c>
      <c r="P228" s="2" t="s">
        <v>35</v>
      </c>
      <c r="Q228" s="2" t="s">
        <v>16</v>
      </c>
      <c r="R228" s="2" t="s">
        <v>18</v>
      </c>
      <c r="S228">
        <v>1</v>
      </c>
    </row>
    <row r="229" spans="1:19" x14ac:dyDescent="0.3">
      <c r="A229">
        <v>1455</v>
      </c>
      <c r="B229">
        <f>YEAR(Cleaned_HR_Data_Analysis__2[[#This Row],[Joining_Date]])</f>
        <v>2019</v>
      </c>
      <c r="C229" s="1">
        <v>43826</v>
      </c>
      <c r="D229" s="1" t="str" cm="1">
        <f t="array" ref="D229">_xlfn.IFS(E229&lt;28, "17-27",
AND(E229&gt;27, E229&lt;38), "28-37",
AND(E229&gt;37, E229 &lt;48), "38-47",
AND(E229&gt;47, E229 &lt;58), "48-57",
AND(E229&gt;57, E229&lt;68), "58-67",
AND(E229&gt;67, E229&lt;78), "68-77",
E229&gt;77,"Above than 77")</f>
        <v>17-27</v>
      </c>
      <c r="E229">
        <v>24</v>
      </c>
      <c r="F229" s="1">
        <v>34777</v>
      </c>
      <c r="G229" s="1" t="str">
        <f>VLOOKUP(H229,Table7[#All], 2, FALSE)</f>
        <v>Massachusetts</v>
      </c>
      <c r="H229" s="2" t="s">
        <v>14</v>
      </c>
      <c r="I229" s="2" t="s">
        <v>15</v>
      </c>
      <c r="J229" s="2" t="s">
        <v>17</v>
      </c>
      <c r="K229" s="2" t="s">
        <v>8</v>
      </c>
      <c r="L229" s="2" t="s">
        <v>9</v>
      </c>
      <c r="M229" s="2" t="s">
        <v>10</v>
      </c>
      <c r="N229" s="2" t="s">
        <v>11</v>
      </c>
      <c r="O229" s="2" t="s">
        <v>12</v>
      </c>
      <c r="P229" s="2" t="s">
        <v>28</v>
      </c>
      <c r="Q229" s="2" t="s">
        <v>30</v>
      </c>
      <c r="R229" s="2" t="s">
        <v>56</v>
      </c>
      <c r="S229">
        <v>2</v>
      </c>
    </row>
    <row r="230" spans="1:19" x14ac:dyDescent="0.3">
      <c r="A230">
        <v>1437</v>
      </c>
      <c r="B230">
        <f>YEAR(Cleaned_HR_Data_Analysis__2[[#This Row],[Joining_Date]])</f>
        <v>2020</v>
      </c>
      <c r="C230" s="1">
        <v>44133</v>
      </c>
      <c r="D230" s="1" t="str" cm="1">
        <f t="array" ref="D230">_xlfn.IFS(E230&lt;28, "17-27",
AND(E230&gt;27, E230&lt;38), "28-37",
AND(E230&gt;37, E230 &lt;48), "38-47",
AND(E230&gt;47, E230 &lt;58), "48-57",
AND(E230&gt;57, E230&lt;68), "58-67",
AND(E230&gt;67, E230&lt;78), "68-77",
E230&gt;77,"Above than 77")</f>
        <v>17-27</v>
      </c>
      <c r="E230">
        <v>24</v>
      </c>
      <c r="F230" s="1">
        <v>35241</v>
      </c>
      <c r="G230" s="1" t="str">
        <f>VLOOKUP(H230,Table7[#All], 2, FALSE)</f>
        <v>Massachusetts</v>
      </c>
      <c r="H230" s="2" t="s">
        <v>14</v>
      </c>
      <c r="I230" s="2" t="s">
        <v>22</v>
      </c>
      <c r="J230" s="2" t="s">
        <v>31</v>
      </c>
      <c r="K230" s="2" t="s">
        <v>8</v>
      </c>
      <c r="L230" s="2" t="s">
        <v>9</v>
      </c>
      <c r="M230" s="2" t="s">
        <v>10</v>
      </c>
      <c r="N230" s="2" t="s">
        <v>11</v>
      </c>
      <c r="O230" s="2" t="s">
        <v>12</v>
      </c>
      <c r="P230" s="2" t="s">
        <v>54</v>
      </c>
      <c r="Q230" s="2" t="s">
        <v>46</v>
      </c>
      <c r="R230" s="2" t="s">
        <v>41</v>
      </c>
      <c r="S230">
        <v>5</v>
      </c>
    </row>
    <row r="231" spans="1:19" x14ac:dyDescent="0.3">
      <c r="A231">
        <v>1312</v>
      </c>
      <c r="B231">
        <f>YEAR(Cleaned_HR_Data_Analysis__2[[#This Row],[Joining_Date]])</f>
        <v>2021</v>
      </c>
      <c r="C231" s="1">
        <v>44296</v>
      </c>
      <c r="D231" s="1" t="str" cm="1">
        <f t="array" ref="D231">_xlfn.IFS(E231&lt;28, "17-27",
AND(E231&gt;27, E231&lt;38), "28-37",
AND(E231&gt;37, E231 &lt;48), "38-47",
AND(E231&gt;47, E231 &lt;58), "48-57",
AND(E231&gt;57, E231&lt;68), "58-67",
AND(E231&gt;67, E231&lt;78), "68-77",
E231&gt;77,"Above than 77")</f>
        <v>17-27</v>
      </c>
      <c r="E231">
        <v>24</v>
      </c>
      <c r="F231" s="1">
        <v>35651</v>
      </c>
      <c r="G231" s="1" t="str">
        <f>VLOOKUP(H231,Table7[#All], 2, FALSE)</f>
        <v>Massachusetts</v>
      </c>
      <c r="H231" s="2" t="s">
        <v>14</v>
      </c>
      <c r="I231" s="2" t="s">
        <v>15</v>
      </c>
      <c r="J231" s="2" t="s">
        <v>17</v>
      </c>
      <c r="K231" s="2" t="s">
        <v>8</v>
      </c>
      <c r="L231" s="2" t="s">
        <v>9</v>
      </c>
      <c r="M231" s="2" t="s">
        <v>25</v>
      </c>
      <c r="N231" s="2" t="s">
        <v>26</v>
      </c>
      <c r="O231" s="2" t="s">
        <v>12</v>
      </c>
      <c r="P231" s="2" t="s">
        <v>38</v>
      </c>
      <c r="Q231" s="2" t="s">
        <v>37</v>
      </c>
      <c r="R231" s="2" t="s">
        <v>18</v>
      </c>
      <c r="S231">
        <v>5</v>
      </c>
    </row>
    <row r="232" spans="1:19" x14ac:dyDescent="0.3">
      <c r="A232">
        <v>1306</v>
      </c>
      <c r="B232">
        <f>YEAR(Cleaned_HR_Data_Analysis__2[[#This Row],[Joining_Date]])</f>
        <v>2021</v>
      </c>
      <c r="C232" s="1">
        <v>44302</v>
      </c>
      <c r="D232" s="1" t="str" cm="1">
        <f t="array" ref="D232">_xlfn.IFS(E232&lt;28, "17-27",
AND(E232&gt;27, E232&lt;38), "28-37",
AND(E232&gt;37, E232 &lt;48), "38-47",
AND(E232&gt;47, E232 &lt;58), "48-57",
AND(E232&gt;57, E232&lt;68), "58-67",
AND(E232&gt;67, E232&lt;78), "68-77",
E232&gt;77,"Above than 77")</f>
        <v>17-27</v>
      </c>
      <c r="E232">
        <v>24</v>
      </c>
      <c r="F232" s="1">
        <v>35649</v>
      </c>
      <c r="G232" s="1" t="str">
        <f>VLOOKUP(H232,Table7[#All], 2, FALSE)</f>
        <v>Massachusetts</v>
      </c>
      <c r="H232" s="2" t="s">
        <v>14</v>
      </c>
      <c r="I232" s="2" t="s">
        <v>22</v>
      </c>
      <c r="J232" s="2" t="s">
        <v>31</v>
      </c>
      <c r="K232" s="2" t="s">
        <v>8</v>
      </c>
      <c r="L232" s="2" t="s">
        <v>9</v>
      </c>
      <c r="M232" s="2" t="s">
        <v>20</v>
      </c>
      <c r="N232" s="2" t="s">
        <v>26</v>
      </c>
      <c r="O232" s="2" t="s">
        <v>12</v>
      </c>
      <c r="P232" s="2" t="s">
        <v>54</v>
      </c>
      <c r="Q232" s="2" t="s">
        <v>23</v>
      </c>
      <c r="R232" s="2" t="s">
        <v>18</v>
      </c>
      <c r="S232">
        <v>3</v>
      </c>
    </row>
    <row r="233" spans="1:19" x14ac:dyDescent="0.3">
      <c r="A233">
        <v>1288</v>
      </c>
      <c r="B233">
        <f>YEAR(Cleaned_HR_Data_Analysis__2[[#This Row],[Joining_Date]])</f>
        <v>2022</v>
      </c>
      <c r="C233" s="1">
        <v>44572</v>
      </c>
      <c r="D233" s="1" t="str" cm="1">
        <f t="array" ref="D233">_xlfn.IFS(E233&lt;28, "17-27",
AND(E233&gt;27, E233&lt;38), "28-37",
AND(E233&gt;37, E233 &lt;48), "38-47",
AND(E233&gt;47, E233 &lt;58), "48-57",
AND(E233&gt;57, E233&lt;68), "58-67",
AND(E233&gt;67, E233&lt;78), "68-77",
E233&gt;77,"Above than 77")</f>
        <v>17-27</v>
      </c>
      <c r="E233">
        <v>24</v>
      </c>
      <c r="F233" s="1">
        <v>35944</v>
      </c>
      <c r="G233" s="1" t="str">
        <f>VLOOKUP(H233,Table7[#All], 2, FALSE)</f>
        <v>Massachusetts</v>
      </c>
      <c r="H233" s="2" t="s">
        <v>14</v>
      </c>
      <c r="I233" s="2" t="s">
        <v>15</v>
      </c>
      <c r="J233" s="2" t="s">
        <v>31</v>
      </c>
      <c r="K233" s="2" t="s">
        <v>8</v>
      </c>
      <c r="L233" s="2" t="s">
        <v>9</v>
      </c>
      <c r="M233" s="2" t="s">
        <v>25</v>
      </c>
      <c r="N233" s="2" t="s">
        <v>11</v>
      </c>
      <c r="O233" s="2" t="s">
        <v>12</v>
      </c>
      <c r="P233" s="2" t="s">
        <v>21</v>
      </c>
      <c r="Q233" s="2" t="s">
        <v>23</v>
      </c>
      <c r="R233" s="2" t="s">
        <v>18</v>
      </c>
      <c r="S233">
        <v>4</v>
      </c>
    </row>
    <row r="234" spans="1:19" x14ac:dyDescent="0.3">
      <c r="A234">
        <v>1131</v>
      </c>
      <c r="B234">
        <f>YEAR(Cleaned_HR_Data_Analysis__2[[#This Row],[Joining_Date]])</f>
        <v>2019</v>
      </c>
      <c r="C234" s="1">
        <v>43553</v>
      </c>
      <c r="D234" s="1" t="str" cm="1">
        <f t="array" ref="D234">_xlfn.IFS(E234&lt;28, "17-27",
AND(E234&gt;27, E234&lt;38), "28-37",
AND(E234&gt;37, E234 &lt;48), "38-47",
AND(E234&gt;47, E234 &lt;58), "48-57",
AND(E234&gt;57, E234&lt;68), "58-67",
AND(E234&gt;67, E234&lt;78), "68-77",
E234&gt;77,"Above than 77")</f>
        <v>17-27</v>
      </c>
      <c r="E234">
        <v>24</v>
      </c>
      <c r="F234" s="1">
        <v>34780</v>
      </c>
      <c r="G234" s="1" t="str">
        <f>VLOOKUP(H234,Table7[#All], 2, FALSE)</f>
        <v>Massachusetts</v>
      </c>
      <c r="H234" s="2" t="s">
        <v>14</v>
      </c>
      <c r="I234" s="2" t="s">
        <v>15</v>
      </c>
      <c r="J234" s="2" t="s">
        <v>31</v>
      </c>
      <c r="K234" s="2" t="s">
        <v>8</v>
      </c>
      <c r="L234" s="2" t="s">
        <v>9</v>
      </c>
      <c r="M234" s="2" t="s">
        <v>20</v>
      </c>
      <c r="N234" s="2" t="s">
        <v>26</v>
      </c>
      <c r="O234" s="2" t="s">
        <v>12</v>
      </c>
      <c r="P234" s="2" t="s">
        <v>49</v>
      </c>
      <c r="Q234" s="2" t="s">
        <v>37</v>
      </c>
      <c r="R234" s="2" t="s">
        <v>18</v>
      </c>
      <c r="S234">
        <v>4</v>
      </c>
    </row>
    <row r="235" spans="1:19" x14ac:dyDescent="0.3">
      <c r="A235">
        <v>1104</v>
      </c>
      <c r="B235">
        <f>YEAR(Cleaned_HR_Data_Analysis__2[[#This Row],[Joining_Date]])</f>
        <v>2019</v>
      </c>
      <c r="C235" s="1">
        <v>43632</v>
      </c>
      <c r="D235" s="1" t="str" cm="1">
        <f t="array" ref="D235">_xlfn.IFS(E235&lt;28, "17-27",
AND(E235&gt;27, E235&lt;38), "28-37",
AND(E235&gt;37, E235 &lt;48), "38-47",
AND(E235&gt;47, E235 &lt;58), "48-57",
AND(E235&gt;57, E235&lt;68), "58-67",
AND(E235&gt;67, E235&lt;78), "68-77",
E235&gt;77,"Above than 77")</f>
        <v>17-27</v>
      </c>
      <c r="E235">
        <v>24</v>
      </c>
      <c r="F235" s="1">
        <v>34956</v>
      </c>
      <c r="G235" s="1" t="str">
        <f>VLOOKUP(H235,Table7[#All], 2, FALSE)</f>
        <v>Massachusetts</v>
      </c>
      <c r="H235" s="2" t="s">
        <v>14</v>
      </c>
      <c r="I235" s="2" t="s">
        <v>22</v>
      </c>
      <c r="J235" s="2" t="s">
        <v>40</v>
      </c>
      <c r="K235" s="2" t="s">
        <v>8</v>
      </c>
      <c r="L235" s="2" t="s">
        <v>9</v>
      </c>
      <c r="M235" s="2" t="s">
        <v>20</v>
      </c>
      <c r="N235" s="2" t="s">
        <v>11</v>
      </c>
      <c r="O235" s="2" t="s">
        <v>12</v>
      </c>
      <c r="P235" s="2" t="s">
        <v>38</v>
      </c>
      <c r="Q235" s="2" t="s">
        <v>46</v>
      </c>
      <c r="R235" s="2" t="s">
        <v>18</v>
      </c>
      <c r="S235">
        <v>4</v>
      </c>
    </row>
    <row r="236" spans="1:19" x14ac:dyDescent="0.3">
      <c r="A236">
        <v>1097</v>
      </c>
      <c r="B236">
        <f>YEAR(Cleaned_HR_Data_Analysis__2[[#This Row],[Joining_Date]])</f>
        <v>2023</v>
      </c>
      <c r="C236" s="1">
        <v>45124</v>
      </c>
      <c r="D236" s="1" t="str" cm="1">
        <f t="array" ref="D236">_xlfn.IFS(E236&lt;28, "17-27",
AND(E236&gt;27, E236&lt;38), "28-37",
AND(E236&gt;37, E236 &lt;48), "38-47",
AND(E236&gt;47, E236 &lt;58), "48-57",
AND(E236&gt;57, E236&lt;68), "58-67",
AND(E236&gt;67, E236&lt;78), "68-77",
E236&gt;77,"Above than 77")</f>
        <v>17-27</v>
      </c>
      <c r="E236">
        <v>24</v>
      </c>
      <c r="F236" s="1">
        <v>36374</v>
      </c>
      <c r="G236" s="1" t="str">
        <f>VLOOKUP(H236,Table7[#All], 2, FALSE)</f>
        <v>Massachusetts</v>
      </c>
      <c r="H236" s="2" t="s">
        <v>14</v>
      </c>
      <c r="I236" s="2" t="s">
        <v>22</v>
      </c>
      <c r="J236" s="2" t="s">
        <v>40</v>
      </c>
      <c r="K236" s="2" t="s">
        <v>8</v>
      </c>
      <c r="L236" s="2" t="s">
        <v>9</v>
      </c>
      <c r="M236" s="2" t="s">
        <v>10</v>
      </c>
      <c r="N236" s="2" t="s">
        <v>26</v>
      </c>
      <c r="O236" s="2" t="s">
        <v>12</v>
      </c>
      <c r="P236" s="2" t="s">
        <v>35</v>
      </c>
      <c r="Q236" s="2" t="s">
        <v>23</v>
      </c>
      <c r="R236" s="2" t="s">
        <v>18</v>
      </c>
      <c r="S236">
        <v>2</v>
      </c>
    </row>
    <row r="237" spans="1:19" x14ac:dyDescent="0.3">
      <c r="A237">
        <v>2359</v>
      </c>
      <c r="B237">
        <f>YEAR(Cleaned_HR_Data_Analysis__2[[#This Row],[Joining_Date]])</f>
        <v>2020</v>
      </c>
      <c r="C237" s="1">
        <v>44178</v>
      </c>
      <c r="D237" s="1" t="str" cm="1">
        <f t="array" ref="D237">_xlfn.IFS(E237&lt;28, "17-27",
AND(E237&gt;27, E237&lt;38), "28-37",
AND(E237&gt;37, E237 &lt;48), "38-47",
AND(E237&gt;47, E237 &lt;58), "48-57",
AND(E237&gt;57, E237&lt;68), "58-67",
AND(E237&gt;67, E237&lt;78), "68-77",
E237&gt;77,"Above than 77")</f>
        <v>17-27</v>
      </c>
      <c r="E237">
        <v>24</v>
      </c>
      <c r="F237" s="1">
        <v>35247</v>
      </c>
      <c r="G237" s="1" t="str">
        <f>VLOOKUP(H237,Table7[#All], 2, FALSE)</f>
        <v>Massachusetts</v>
      </c>
      <c r="H237" s="2" t="s">
        <v>14</v>
      </c>
      <c r="I237" s="2" t="s">
        <v>15</v>
      </c>
      <c r="J237" s="2" t="s">
        <v>34</v>
      </c>
      <c r="K237" s="2" t="s">
        <v>91</v>
      </c>
      <c r="L237" s="2" t="s">
        <v>9</v>
      </c>
      <c r="M237" s="2" t="s">
        <v>25</v>
      </c>
      <c r="N237" s="2" t="s">
        <v>26</v>
      </c>
      <c r="O237" s="2" t="s">
        <v>12</v>
      </c>
      <c r="P237" s="2" t="s">
        <v>42</v>
      </c>
      <c r="Q237" s="2" t="s">
        <v>30</v>
      </c>
      <c r="R237" s="2" t="s">
        <v>18</v>
      </c>
      <c r="S237">
        <v>4</v>
      </c>
    </row>
    <row r="238" spans="1:19" x14ac:dyDescent="0.3">
      <c r="A238">
        <v>1209</v>
      </c>
      <c r="B238">
        <f>YEAR(Cleaned_HR_Data_Analysis__2[[#This Row],[Joining_Date]])</f>
        <v>2023</v>
      </c>
      <c r="C238" s="1">
        <v>45077</v>
      </c>
      <c r="D238" s="1" t="str" cm="1">
        <f t="array" ref="D238">_xlfn.IFS(E238&lt;28, "17-27",
AND(E238&gt;27, E238&lt;38), "28-37",
AND(E238&gt;37, E238 &lt;48), "38-47",
AND(E238&gt;47, E238 &lt;58), "48-57",
AND(E238&gt;57, E238&lt;68), "58-67",
AND(E238&gt;67, E238&lt;78), "68-77",
E238&gt;77,"Above than 77")</f>
        <v>17-27</v>
      </c>
      <c r="E238">
        <v>24</v>
      </c>
      <c r="F238" s="1">
        <v>36315</v>
      </c>
      <c r="G238" s="1" t="str">
        <f>VLOOKUP(H238,Table7[#All], 2, FALSE)</f>
        <v>Massachusetts</v>
      </c>
      <c r="H238" s="2" t="s">
        <v>14</v>
      </c>
      <c r="I238" s="2" t="s">
        <v>15</v>
      </c>
      <c r="J238" s="2" t="s">
        <v>34</v>
      </c>
      <c r="K238" s="2" t="s">
        <v>91</v>
      </c>
      <c r="L238" s="2" t="s">
        <v>9</v>
      </c>
      <c r="M238" s="2" t="s">
        <v>20</v>
      </c>
      <c r="N238" s="2" t="s">
        <v>19</v>
      </c>
      <c r="O238" s="2" t="s">
        <v>12</v>
      </c>
      <c r="P238" s="2" t="s">
        <v>59</v>
      </c>
      <c r="Q238" s="2" t="s">
        <v>30</v>
      </c>
      <c r="R238" s="2" t="s">
        <v>18</v>
      </c>
      <c r="S238">
        <v>3</v>
      </c>
    </row>
    <row r="239" spans="1:19" x14ac:dyDescent="0.3">
      <c r="A239">
        <v>1187</v>
      </c>
      <c r="B239">
        <f>YEAR(Cleaned_HR_Data_Analysis__2[[#This Row],[Joining_Date]])</f>
        <v>2021</v>
      </c>
      <c r="C239" s="1">
        <v>44381</v>
      </c>
      <c r="D239" s="1" t="str" cm="1">
        <f t="array" ref="D239">_xlfn.IFS(E239&lt;28, "17-27",
AND(E239&gt;27, E239&lt;38), "28-37",
AND(E239&gt;37, E239 &lt;48), "38-47",
AND(E239&gt;47, E239 &lt;58), "48-57",
AND(E239&gt;57, E239&lt;68), "58-67",
AND(E239&gt;67, E239&lt;78), "68-77",
E239&gt;77,"Above than 77")</f>
        <v>17-27</v>
      </c>
      <c r="E239">
        <v>24</v>
      </c>
      <c r="F239" s="1">
        <v>35688</v>
      </c>
      <c r="G239" s="1" t="str">
        <f>VLOOKUP(H239,Table7[#All], 2, FALSE)</f>
        <v>Massachusetts</v>
      </c>
      <c r="H239" s="2" t="s">
        <v>14</v>
      </c>
      <c r="I239" s="2" t="s">
        <v>15</v>
      </c>
      <c r="J239" s="2" t="s">
        <v>31</v>
      </c>
      <c r="K239" s="2" t="s">
        <v>91</v>
      </c>
      <c r="L239" s="2" t="s">
        <v>9</v>
      </c>
      <c r="M239" s="2" t="s">
        <v>20</v>
      </c>
      <c r="N239" s="2" t="s">
        <v>19</v>
      </c>
      <c r="O239" s="2" t="s">
        <v>12</v>
      </c>
      <c r="P239" s="2" t="s">
        <v>21</v>
      </c>
      <c r="Q239" s="2" t="s">
        <v>37</v>
      </c>
      <c r="R239" s="2" t="s">
        <v>18</v>
      </c>
      <c r="S239">
        <v>1</v>
      </c>
    </row>
    <row r="240" spans="1:19" x14ac:dyDescent="0.3">
      <c r="A240">
        <v>3860</v>
      </c>
      <c r="B240">
        <f>YEAR(Cleaned_HR_Data_Analysis__2[[#This Row],[Joining_Date]])</f>
        <v>2020</v>
      </c>
      <c r="C240" s="1">
        <v>44013</v>
      </c>
      <c r="D240" s="1" t="str" cm="1">
        <f t="array" ref="D240">_xlfn.IFS(E240&lt;28, "17-27",
AND(E240&gt;27, E240&lt;38), "28-37",
AND(E240&gt;37, E240 &lt;48), "38-47",
AND(E240&gt;47, E240 &lt;58), "48-57",
AND(E240&gt;57, E240&lt;68), "58-67",
AND(E240&gt;67, E240&lt;78), "68-77",
E240&gt;77,"Above than 77")</f>
        <v>17-27</v>
      </c>
      <c r="E240">
        <v>24</v>
      </c>
      <c r="F240" s="1">
        <v>35068</v>
      </c>
      <c r="G240" s="1" t="str">
        <f>VLOOKUP(H240,Table7[#All], 2, FALSE)</f>
        <v>Massachusetts</v>
      </c>
      <c r="H240" s="2" t="s">
        <v>14</v>
      </c>
      <c r="I240" s="2" t="s">
        <v>15</v>
      </c>
      <c r="J240" s="2" t="s">
        <v>31</v>
      </c>
      <c r="K240" s="2" t="s">
        <v>70</v>
      </c>
      <c r="L240" s="2" t="s">
        <v>9</v>
      </c>
      <c r="M240" s="2" t="s">
        <v>10</v>
      </c>
      <c r="N240" s="2" t="s">
        <v>26</v>
      </c>
      <c r="O240" s="2" t="s">
        <v>53</v>
      </c>
      <c r="P240" s="2" t="s">
        <v>60</v>
      </c>
      <c r="Q240" s="2" t="s">
        <v>46</v>
      </c>
      <c r="R240" s="2" t="s">
        <v>18</v>
      </c>
      <c r="S240">
        <v>4</v>
      </c>
    </row>
    <row r="241" spans="1:19" x14ac:dyDescent="0.3">
      <c r="A241">
        <v>3825</v>
      </c>
      <c r="B241">
        <f>YEAR(Cleaned_HR_Data_Analysis__2[[#This Row],[Joining_Date]])</f>
        <v>2022</v>
      </c>
      <c r="C241" s="1">
        <v>44870</v>
      </c>
      <c r="D241" s="1" t="str" cm="1">
        <f t="array" ref="D241">_xlfn.IFS(E241&lt;28, "17-27",
AND(E241&gt;27, E241&lt;38), "28-37",
AND(E241&gt;37, E241 &lt;48), "38-47",
AND(E241&gt;47, E241 &lt;58), "48-57",
AND(E241&gt;57, E241&lt;68), "58-67",
AND(E241&gt;67, E241&lt;78), "68-77",
E241&gt;77,"Above than 77")</f>
        <v>17-27</v>
      </c>
      <c r="E241">
        <v>24</v>
      </c>
      <c r="F241" s="1">
        <v>35938</v>
      </c>
      <c r="G241" s="1" t="str">
        <f>VLOOKUP(H241,Table7[#All], 2, FALSE)</f>
        <v>Massachusetts</v>
      </c>
      <c r="H241" s="2" t="s">
        <v>14</v>
      </c>
      <c r="I241" s="2" t="s">
        <v>22</v>
      </c>
      <c r="J241" s="2" t="s">
        <v>34</v>
      </c>
      <c r="K241" s="2" t="s">
        <v>70</v>
      </c>
      <c r="L241" s="2" t="s">
        <v>9</v>
      </c>
      <c r="M241" s="2" t="s">
        <v>25</v>
      </c>
      <c r="N241" s="2" t="s">
        <v>19</v>
      </c>
      <c r="O241" s="2" t="s">
        <v>53</v>
      </c>
      <c r="P241" s="2" t="s">
        <v>35</v>
      </c>
      <c r="Q241" s="2" t="s">
        <v>37</v>
      </c>
      <c r="R241" s="2" t="s">
        <v>18</v>
      </c>
      <c r="S241">
        <v>4</v>
      </c>
    </row>
    <row r="242" spans="1:19" x14ac:dyDescent="0.3">
      <c r="A242">
        <v>2249</v>
      </c>
      <c r="B242">
        <f>YEAR(Cleaned_HR_Data_Analysis__2[[#This Row],[Joining_Date]])</f>
        <v>2018</v>
      </c>
      <c r="C242" s="1">
        <v>43371</v>
      </c>
      <c r="D242" s="1" t="str" cm="1">
        <f t="array" ref="D242">_xlfn.IFS(E242&lt;28, "17-27",
AND(E242&gt;27, E242&lt;38), "28-37",
AND(E242&gt;37, E242 &lt;48), "38-47",
AND(E242&gt;47, E242 &lt;58), "48-57",
AND(E242&gt;57, E242&lt;68), "58-67",
AND(E242&gt;67, E242&lt;78), "68-77",
E242&gt;77,"Above than 77")</f>
        <v>17-27</v>
      </c>
      <c r="E242">
        <v>24</v>
      </c>
      <c r="F242" s="1">
        <v>34645</v>
      </c>
      <c r="G242" s="1" t="str">
        <f>VLOOKUP(H242,Table7[#All], 2, FALSE)</f>
        <v>Massachusetts</v>
      </c>
      <c r="H242" s="2" t="s">
        <v>14</v>
      </c>
      <c r="I242" s="2" t="s">
        <v>15</v>
      </c>
      <c r="J242" s="2" t="s">
        <v>40</v>
      </c>
      <c r="K242" s="2" t="s">
        <v>70</v>
      </c>
      <c r="L242" s="2" t="s">
        <v>9</v>
      </c>
      <c r="M242" s="2" t="s">
        <v>10</v>
      </c>
      <c r="N242" s="2" t="s">
        <v>11</v>
      </c>
      <c r="O242" s="2" t="s">
        <v>53</v>
      </c>
      <c r="P242" s="2" t="s">
        <v>35</v>
      </c>
      <c r="Q242" s="2" t="s">
        <v>37</v>
      </c>
      <c r="R242" s="2" t="s">
        <v>18</v>
      </c>
      <c r="S242">
        <v>5</v>
      </c>
    </row>
    <row r="243" spans="1:19" x14ac:dyDescent="0.3">
      <c r="A243">
        <v>3936</v>
      </c>
      <c r="B243">
        <f>YEAR(Cleaned_HR_Data_Analysis__2[[#This Row],[Joining_Date]])</f>
        <v>2022</v>
      </c>
      <c r="C243" s="1">
        <v>44763</v>
      </c>
      <c r="D243" s="1" t="str" cm="1">
        <f t="array" ref="D243">_xlfn.IFS(E243&lt;28, "17-27",
AND(E243&gt;27, E243&lt;38), "28-37",
AND(E243&gt;37, E243 &lt;48), "38-47",
AND(E243&gt;47, E243 &lt;58), "48-57",
AND(E243&gt;57, E243&lt;68), "58-67",
AND(E243&gt;67, E243&lt;78), "68-77",
E243&gt;77,"Above than 77")</f>
        <v>17-27</v>
      </c>
      <c r="E243">
        <v>24</v>
      </c>
      <c r="F243" s="1">
        <v>35973</v>
      </c>
      <c r="G243" s="1" t="str">
        <f>VLOOKUP(H243,Table7[#All], 2, FALSE)</f>
        <v>Connecticut</v>
      </c>
      <c r="H243" s="2" t="s">
        <v>36</v>
      </c>
      <c r="I243" s="2" t="s">
        <v>22</v>
      </c>
      <c r="J243" s="2" t="s">
        <v>17</v>
      </c>
      <c r="K243" s="2" t="s">
        <v>75</v>
      </c>
      <c r="L243" s="2" t="s">
        <v>66</v>
      </c>
      <c r="M243" s="2" t="s">
        <v>25</v>
      </c>
      <c r="N243" s="2" t="s">
        <v>26</v>
      </c>
      <c r="O243" s="2" t="s">
        <v>53</v>
      </c>
      <c r="P243" s="2" t="s">
        <v>28</v>
      </c>
      <c r="Q243" s="2" t="s">
        <v>30</v>
      </c>
      <c r="R243" s="2" t="s">
        <v>18</v>
      </c>
      <c r="S243">
        <v>3</v>
      </c>
    </row>
    <row r="244" spans="1:19" x14ac:dyDescent="0.3">
      <c r="A244">
        <v>2564</v>
      </c>
      <c r="B244">
        <f>YEAR(Cleaned_HR_Data_Analysis__2[[#This Row],[Joining_Date]])</f>
        <v>2019</v>
      </c>
      <c r="C244" s="1">
        <v>43769</v>
      </c>
      <c r="D244" s="1" t="str" cm="1">
        <f t="array" ref="D244">_xlfn.IFS(E244&lt;28, "17-27",
AND(E244&gt;27, E244&lt;38), "28-37",
AND(E244&gt;37, E244 &lt;48), "38-47",
AND(E244&gt;47, E244 &lt;58), "48-57",
AND(E244&gt;57, E244&lt;68), "58-67",
AND(E244&gt;67, E244&lt;78), "68-77",
E244&gt;77,"Above than 77")</f>
        <v>17-27</v>
      </c>
      <c r="E244">
        <v>24</v>
      </c>
      <c r="F244" s="1">
        <v>34891</v>
      </c>
      <c r="G244" s="1" t="str">
        <f>VLOOKUP(H244,Table7[#All], 2, FALSE)</f>
        <v>Massachusetts</v>
      </c>
      <c r="H244" s="2" t="s">
        <v>14</v>
      </c>
      <c r="I244" s="2" t="s">
        <v>22</v>
      </c>
      <c r="J244" s="2" t="s">
        <v>34</v>
      </c>
      <c r="K244" s="2" t="s">
        <v>104</v>
      </c>
      <c r="L244" s="2" t="s">
        <v>9</v>
      </c>
      <c r="M244" s="2" t="s">
        <v>10</v>
      </c>
      <c r="N244" s="2" t="s">
        <v>26</v>
      </c>
      <c r="O244" s="2" t="s">
        <v>27</v>
      </c>
      <c r="P244" s="2" t="s">
        <v>32</v>
      </c>
      <c r="Q244" s="2" t="s">
        <v>23</v>
      </c>
      <c r="R244" s="2" t="s">
        <v>18</v>
      </c>
      <c r="S244">
        <v>4</v>
      </c>
    </row>
    <row r="245" spans="1:19" x14ac:dyDescent="0.3">
      <c r="A245">
        <v>2556</v>
      </c>
      <c r="B245">
        <f>YEAR(Cleaned_HR_Data_Analysis__2[[#This Row],[Joining_Date]])</f>
        <v>2020</v>
      </c>
      <c r="C245" s="1">
        <v>44175</v>
      </c>
      <c r="D245" s="1" t="str" cm="1">
        <f t="array" ref="D245">_xlfn.IFS(E245&lt;28, "17-27",
AND(E245&gt;27, E245&lt;38), "28-37",
AND(E245&gt;37, E245 &lt;48), "38-47",
AND(E245&gt;47, E245 &lt;58), "48-57",
AND(E245&gt;57, E245&lt;68), "58-67",
AND(E245&gt;67, E245&lt;78), "68-77",
E245&gt;77,"Above than 77")</f>
        <v>17-27</v>
      </c>
      <c r="E245">
        <v>24</v>
      </c>
      <c r="F245" s="1">
        <v>35180</v>
      </c>
      <c r="G245" s="1" t="str">
        <f>VLOOKUP(H245,Table7[#All], 2, FALSE)</f>
        <v>Massachusetts</v>
      </c>
      <c r="H245" s="2" t="s">
        <v>14</v>
      </c>
      <c r="I245" s="2" t="s">
        <v>22</v>
      </c>
      <c r="J245" s="2" t="s">
        <v>34</v>
      </c>
      <c r="K245" s="2" t="s">
        <v>104</v>
      </c>
      <c r="L245" s="2" t="s">
        <v>9</v>
      </c>
      <c r="M245" s="2" t="s">
        <v>20</v>
      </c>
      <c r="N245" s="2" t="s">
        <v>19</v>
      </c>
      <c r="O245" s="2" t="s">
        <v>27</v>
      </c>
      <c r="P245" s="2" t="s">
        <v>57</v>
      </c>
      <c r="Q245" s="2" t="s">
        <v>16</v>
      </c>
      <c r="R245" s="2" t="s">
        <v>18</v>
      </c>
      <c r="S245">
        <v>1</v>
      </c>
    </row>
    <row r="246" spans="1:19" x14ac:dyDescent="0.3">
      <c r="A246">
        <v>3947</v>
      </c>
      <c r="B246">
        <f>YEAR(Cleaned_HR_Data_Analysis__2[[#This Row],[Joining_Date]])</f>
        <v>2020</v>
      </c>
      <c r="C246" s="1">
        <v>43925</v>
      </c>
      <c r="D246" s="1" t="str" cm="1">
        <f t="array" ref="D246">_xlfn.IFS(E246&lt;28, "17-27",
AND(E246&gt;27, E246&lt;38), "28-37",
AND(E246&gt;37, E246 &lt;48), "38-47",
AND(E246&gt;47, E246 &lt;58), "48-57",
AND(E246&gt;57, E246&lt;68), "58-67",
AND(E246&gt;67, E246&lt;78), "68-77",
E246&gt;77,"Above than 77")</f>
        <v>17-27</v>
      </c>
      <c r="E246">
        <v>24</v>
      </c>
      <c r="F246" s="1">
        <v>35402</v>
      </c>
      <c r="G246" s="1" t="str">
        <f>VLOOKUP(H246,Table7[#All], 2, FALSE)</f>
        <v>Massachusetts</v>
      </c>
      <c r="H246" s="2" t="s">
        <v>14</v>
      </c>
      <c r="I246" s="2" t="s">
        <v>15</v>
      </c>
      <c r="J246" s="2" t="s">
        <v>34</v>
      </c>
      <c r="K246" s="2" t="s">
        <v>77</v>
      </c>
      <c r="L246" s="2" t="s">
        <v>66</v>
      </c>
      <c r="M246" s="2" t="s">
        <v>25</v>
      </c>
      <c r="N246" s="2" t="s">
        <v>26</v>
      </c>
      <c r="O246" s="2" t="s">
        <v>53</v>
      </c>
      <c r="P246" s="2" t="s">
        <v>35</v>
      </c>
      <c r="Q246" s="2" t="s">
        <v>23</v>
      </c>
      <c r="R246" s="2" t="s">
        <v>18</v>
      </c>
      <c r="S246">
        <v>3</v>
      </c>
    </row>
    <row r="247" spans="1:19" x14ac:dyDescent="0.3">
      <c r="A247">
        <v>2409</v>
      </c>
      <c r="B247">
        <f>YEAR(Cleaned_HR_Data_Analysis__2[[#This Row],[Joining_Date]])</f>
        <v>2020</v>
      </c>
      <c r="C247" s="1">
        <v>43867</v>
      </c>
      <c r="D247" s="1" t="str" cm="1">
        <f t="array" ref="D247">_xlfn.IFS(E247&lt;28, "17-27",
AND(E247&gt;27, E247&lt;38), "28-37",
AND(E247&gt;37, E247 &lt;48), "38-47",
AND(E247&gt;47, E247 &lt;58), "48-57",
AND(E247&gt;57, E247&lt;68), "58-67",
AND(E247&gt;67, E247&lt;78), "68-77",
E247&gt;77,"Above than 77")</f>
        <v>17-27</v>
      </c>
      <c r="E247">
        <v>24</v>
      </c>
      <c r="F247" s="1">
        <v>35368</v>
      </c>
      <c r="G247" s="1" t="str">
        <f>VLOOKUP(H247,Table7[#All], 2, FALSE)</f>
        <v>Massachusetts</v>
      </c>
      <c r="H247" s="2" t="s">
        <v>14</v>
      </c>
      <c r="I247" s="2" t="s">
        <v>15</v>
      </c>
      <c r="J247" s="2" t="s">
        <v>31</v>
      </c>
      <c r="K247" s="2" t="s">
        <v>80</v>
      </c>
      <c r="L247" s="2" t="s">
        <v>9</v>
      </c>
      <c r="M247" s="2" t="s">
        <v>25</v>
      </c>
      <c r="N247" s="2" t="s">
        <v>26</v>
      </c>
      <c r="O247" s="2" t="s">
        <v>53</v>
      </c>
      <c r="P247" s="2" t="s">
        <v>42</v>
      </c>
      <c r="Q247" s="2" t="s">
        <v>16</v>
      </c>
      <c r="R247" s="2" t="s">
        <v>18</v>
      </c>
      <c r="S247">
        <v>3</v>
      </c>
    </row>
    <row r="248" spans="1:19" x14ac:dyDescent="0.3">
      <c r="A248">
        <v>3945</v>
      </c>
      <c r="B248">
        <f>YEAR(Cleaned_HR_Data_Analysis__2[[#This Row],[Joining_Date]])</f>
        <v>2022</v>
      </c>
      <c r="C248" s="1">
        <v>44767</v>
      </c>
      <c r="D248" s="1" t="str" cm="1">
        <f t="array" ref="D248">_xlfn.IFS(E248&lt;28, "17-27",
AND(E248&gt;27, E248&lt;38), "28-37",
AND(E248&gt;37, E248 &lt;48), "38-47",
AND(E248&gt;47, E248 &lt;58), "48-57",
AND(E248&gt;57, E248&lt;68), "58-67",
AND(E248&gt;67, E248&lt;78), "68-77",
E248&gt;77,"Above than 77")</f>
        <v>17-27</v>
      </c>
      <c r="E248">
        <v>24</v>
      </c>
      <c r="F248" s="1">
        <v>35877</v>
      </c>
      <c r="G248" s="1" t="str">
        <f>VLOOKUP(H248,Table7[#All], 2, FALSE)</f>
        <v>Massachusetts</v>
      </c>
      <c r="H248" s="2" t="s">
        <v>14</v>
      </c>
      <c r="I248" s="2" t="s">
        <v>15</v>
      </c>
      <c r="J248" s="2" t="s">
        <v>31</v>
      </c>
      <c r="K248" s="2" t="s">
        <v>78</v>
      </c>
      <c r="L248" s="2" t="s">
        <v>9</v>
      </c>
      <c r="M248" s="2" t="s">
        <v>25</v>
      </c>
      <c r="N248" s="2" t="s">
        <v>11</v>
      </c>
      <c r="O248" s="2" t="s">
        <v>53</v>
      </c>
      <c r="P248" s="2" t="s">
        <v>42</v>
      </c>
      <c r="Q248" s="2" t="s">
        <v>37</v>
      </c>
      <c r="R248" s="2" t="s">
        <v>65</v>
      </c>
      <c r="S248">
        <v>4</v>
      </c>
    </row>
    <row r="249" spans="1:19" x14ac:dyDescent="0.3">
      <c r="A249">
        <v>2583</v>
      </c>
      <c r="B249">
        <f>YEAR(Cleaned_HR_Data_Analysis__2[[#This Row],[Joining_Date]])</f>
        <v>2020</v>
      </c>
      <c r="C249" s="1">
        <v>44090</v>
      </c>
      <c r="D249" s="1" t="str" cm="1">
        <f t="array" ref="D249">_xlfn.IFS(E249&lt;28, "17-27",
AND(E249&gt;27, E249&lt;38), "28-37",
AND(E249&gt;37, E249 &lt;48), "38-47",
AND(E249&gt;47, E249 &lt;58), "48-57",
AND(E249&gt;57, E249&lt;68), "58-67",
AND(E249&gt;67, E249&lt;78), "68-77",
E249&gt;77,"Above than 77")</f>
        <v>17-27</v>
      </c>
      <c r="E249">
        <v>24</v>
      </c>
      <c r="F249" s="1">
        <v>35124</v>
      </c>
      <c r="G249" s="1" t="str">
        <f>VLOOKUP(H249,Table7[#All], 2, FALSE)</f>
        <v>New York</v>
      </c>
      <c r="H249" s="2" t="s">
        <v>118</v>
      </c>
      <c r="I249" s="2" t="s">
        <v>22</v>
      </c>
      <c r="J249" s="2" t="s">
        <v>34</v>
      </c>
      <c r="K249" s="2" t="s">
        <v>24</v>
      </c>
      <c r="L249" s="2" t="s">
        <v>9</v>
      </c>
      <c r="M249" s="2" t="s">
        <v>10</v>
      </c>
      <c r="N249" s="2" t="s">
        <v>26</v>
      </c>
      <c r="O249" s="2" t="s">
        <v>27</v>
      </c>
      <c r="P249" s="2" t="s">
        <v>42</v>
      </c>
      <c r="Q249" s="2" t="s">
        <v>37</v>
      </c>
      <c r="R249" s="2" t="s">
        <v>18</v>
      </c>
      <c r="S249">
        <v>5</v>
      </c>
    </row>
    <row r="250" spans="1:19" x14ac:dyDescent="0.3">
      <c r="A250">
        <v>1633</v>
      </c>
      <c r="B250">
        <f>YEAR(Cleaned_HR_Data_Analysis__2[[#This Row],[Joining_Date]])</f>
        <v>2018</v>
      </c>
      <c r="C250" s="1">
        <v>43395</v>
      </c>
      <c r="D250" s="1" t="str" cm="1">
        <f t="array" ref="D250">_xlfn.IFS(E250&lt;28, "17-27",
AND(E250&gt;27, E250&lt;38), "28-37",
AND(E250&gt;37, E250 &lt;48), "38-47",
AND(E250&gt;47, E250 &lt;58), "48-57",
AND(E250&gt;57, E250&lt;68), "58-67",
AND(E250&gt;67, E250&lt;78), "68-77",
E250&gt;77,"Above than 77")</f>
        <v>17-27</v>
      </c>
      <c r="E250">
        <v>24</v>
      </c>
      <c r="F250" s="1">
        <v>34459</v>
      </c>
      <c r="G250" s="1" t="str">
        <f>VLOOKUP(H250,Table7[#All], 2, FALSE)</f>
        <v>Massachusetts</v>
      </c>
      <c r="H250" s="2" t="s">
        <v>14</v>
      </c>
      <c r="I250" s="2" t="s">
        <v>15</v>
      </c>
      <c r="J250" s="2" t="s">
        <v>17</v>
      </c>
      <c r="K250" s="2" t="s">
        <v>24</v>
      </c>
      <c r="L250" s="2" t="s">
        <v>9</v>
      </c>
      <c r="M250" s="2" t="s">
        <v>10</v>
      </c>
      <c r="N250" s="2" t="s">
        <v>26</v>
      </c>
      <c r="O250" s="2" t="s">
        <v>53</v>
      </c>
      <c r="P250" s="2" t="s">
        <v>35</v>
      </c>
      <c r="Q250" s="2" t="s">
        <v>37</v>
      </c>
      <c r="R250" s="2" t="s">
        <v>18</v>
      </c>
      <c r="S250">
        <v>3</v>
      </c>
    </row>
    <row r="251" spans="1:19" x14ac:dyDescent="0.3">
      <c r="A251">
        <v>3535</v>
      </c>
      <c r="B251">
        <f>YEAR(Cleaned_HR_Data_Analysis__2[[#This Row],[Joining_Date]])</f>
        <v>2018</v>
      </c>
      <c r="C251" s="1">
        <v>43445</v>
      </c>
      <c r="D251" s="1" t="str" cm="1">
        <f t="array" ref="D251">_xlfn.IFS(E251&lt;28, "17-27",
AND(E251&gt;27, E251&lt;38), "28-37",
AND(E251&gt;37, E251 &lt;48), "38-47",
AND(E251&gt;47, E251 &lt;58), "48-57",
AND(E251&gt;57, E251&lt;68), "58-67",
AND(E251&gt;67, E251&lt;78), "68-77",
E251&gt;77,"Above than 77")</f>
        <v>17-27</v>
      </c>
      <c r="E251">
        <v>24</v>
      </c>
      <c r="F251" s="1">
        <v>34367</v>
      </c>
      <c r="G251" s="1" t="str">
        <f>VLOOKUP(H251,Table7[#All], 2, FALSE)</f>
        <v>Kentucky</v>
      </c>
      <c r="H251" s="2" t="s">
        <v>51</v>
      </c>
      <c r="I251" s="2" t="s">
        <v>15</v>
      </c>
      <c r="J251" s="2" t="s">
        <v>31</v>
      </c>
      <c r="K251" s="2" t="s">
        <v>24</v>
      </c>
      <c r="L251" s="2" t="s">
        <v>9</v>
      </c>
      <c r="M251" s="2" t="s">
        <v>25</v>
      </c>
      <c r="N251" s="2" t="s">
        <v>19</v>
      </c>
      <c r="O251" s="2" t="s">
        <v>27</v>
      </c>
      <c r="P251" s="2" t="s">
        <v>55</v>
      </c>
      <c r="Q251" s="2" t="s">
        <v>37</v>
      </c>
      <c r="R251" s="2" t="s">
        <v>18</v>
      </c>
      <c r="S251">
        <v>5</v>
      </c>
    </row>
    <row r="252" spans="1:19" x14ac:dyDescent="0.3">
      <c r="A252">
        <v>3511</v>
      </c>
      <c r="B252">
        <f>YEAR(Cleaned_HR_Data_Analysis__2[[#This Row],[Joining_Date]])</f>
        <v>2021</v>
      </c>
      <c r="C252" s="1">
        <v>44425</v>
      </c>
      <c r="D252" s="1" t="str" cm="1">
        <f t="array" ref="D252">_xlfn.IFS(E252&lt;28, "17-27",
AND(E252&gt;27, E252&lt;38), "28-37",
AND(E252&gt;37, E252 &lt;48), "38-47",
AND(E252&gt;47, E252 &lt;58), "48-57",
AND(E252&gt;57, E252&lt;68), "58-67",
AND(E252&gt;67, E252&lt;78), "68-77",
E252&gt;77,"Above than 77")</f>
        <v>17-27</v>
      </c>
      <c r="E252">
        <v>24</v>
      </c>
      <c r="F252" s="1">
        <v>35479</v>
      </c>
      <c r="G252" s="1" t="str">
        <f>VLOOKUP(H252,Table7[#All], 2, FALSE)</f>
        <v>Kentucky</v>
      </c>
      <c r="H252" s="2" t="s">
        <v>51</v>
      </c>
      <c r="I252" s="2" t="s">
        <v>15</v>
      </c>
      <c r="J252" s="2" t="s">
        <v>40</v>
      </c>
      <c r="K252" s="2" t="s">
        <v>24</v>
      </c>
      <c r="L252" s="2" t="s">
        <v>9</v>
      </c>
      <c r="M252" s="2" t="s">
        <v>20</v>
      </c>
      <c r="N252" s="2" t="s">
        <v>26</v>
      </c>
      <c r="O252" s="2" t="s">
        <v>27</v>
      </c>
      <c r="P252" s="2" t="s">
        <v>13</v>
      </c>
      <c r="Q252" s="2" t="s">
        <v>46</v>
      </c>
      <c r="R252" s="2" t="s">
        <v>18</v>
      </c>
      <c r="S252">
        <v>4</v>
      </c>
    </row>
    <row r="253" spans="1:19" x14ac:dyDescent="0.3">
      <c r="A253">
        <v>3910</v>
      </c>
      <c r="B253">
        <f>YEAR(Cleaned_HR_Data_Analysis__2[[#This Row],[Joining_Date]])</f>
        <v>2022</v>
      </c>
      <c r="C253" s="1">
        <v>44755</v>
      </c>
      <c r="D253" s="1" t="str" cm="1">
        <f t="array" ref="D253">_xlfn.IFS(E253&lt;28, "17-27",
AND(E253&gt;27, E253&lt;38), "28-37",
AND(E253&gt;37, E253 &lt;48), "38-47",
AND(E253&gt;47, E253 &lt;58), "48-57",
AND(E253&gt;57, E253&lt;68), "58-67",
AND(E253&gt;67, E253&lt;78), "68-77",
E253&gt;77,"Above than 77")</f>
        <v>17-27</v>
      </c>
      <c r="E253">
        <v>25</v>
      </c>
      <c r="F253" s="1">
        <v>35483</v>
      </c>
      <c r="G253" s="1" t="str">
        <f>VLOOKUP(H253,Table7[#All], 2, FALSE)</f>
        <v>Massachusetts</v>
      </c>
      <c r="H253" s="2" t="s">
        <v>14</v>
      </c>
      <c r="I253" s="2" t="s">
        <v>15</v>
      </c>
      <c r="J253" s="2" t="s">
        <v>17</v>
      </c>
      <c r="K253" s="2" t="s">
        <v>72</v>
      </c>
      <c r="L253" s="2" t="s">
        <v>9</v>
      </c>
      <c r="M253" s="2" t="s">
        <v>20</v>
      </c>
      <c r="N253" s="2" t="s">
        <v>19</v>
      </c>
      <c r="O253" s="2" t="s">
        <v>53</v>
      </c>
      <c r="P253" s="2" t="s">
        <v>61</v>
      </c>
      <c r="Q253" s="2" t="s">
        <v>16</v>
      </c>
      <c r="R253" s="2" t="s">
        <v>56</v>
      </c>
      <c r="S253">
        <v>3</v>
      </c>
    </row>
    <row r="254" spans="1:19" x14ac:dyDescent="0.3">
      <c r="A254">
        <v>1057</v>
      </c>
      <c r="B254">
        <f>YEAR(Cleaned_HR_Data_Analysis__2[[#This Row],[Joining_Date]])</f>
        <v>2023</v>
      </c>
      <c r="C254" s="1">
        <v>45108</v>
      </c>
      <c r="D254" s="1" t="str" cm="1">
        <f t="array" ref="D254">_xlfn.IFS(E254&lt;28, "17-27",
AND(E254&gt;27, E254&lt;38), "28-37",
AND(E254&gt;37, E254 &lt;48), "38-47",
AND(E254&gt;47, E254 &lt;58), "48-57",
AND(E254&gt;57, E254&lt;68), "58-67",
AND(E254&gt;67, E254&lt;78), "68-77",
E254&gt;77,"Above than 77")</f>
        <v>17-27</v>
      </c>
      <c r="E254">
        <v>25</v>
      </c>
      <c r="F254" s="1">
        <v>36095</v>
      </c>
      <c r="G254" s="1" t="str">
        <f>VLOOKUP(H254,Table7[#All], 2, FALSE)</f>
        <v>Massachusetts</v>
      </c>
      <c r="H254" s="2" t="s">
        <v>14</v>
      </c>
      <c r="I254" s="2" t="s">
        <v>22</v>
      </c>
      <c r="J254" s="2" t="s">
        <v>17</v>
      </c>
      <c r="K254" s="2" t="s">
        <v>86</v>
      </c>
      <c r="L254" s="2" t="s">
        <v>9</v>
      </c>
      <c r="M254" s="2" t="s">
        <v>25</v>
      </c>
      <c r="N254" s="2" t="s">
        <v>19</v>
      </c>
      <c r="O254" s="2" t="s">
        <v>87</v>
      </c>
      <c r="P254" s="2" t="s">
        <v>59</v>
      </c>
      <c r="Q254" s="2" t="s">
        <v>46</v>
      </c>
      <c r="R254" s="2" t="s">
        <v>18</v>
      </c>
      <c r="S254">
        <v>2</v>
      </c>
    </row>
    <row r="255" spans="1:19" x14ac:dyDescent="0.3">
      <c r="A255">
        <v>3622</v>
      </c>
      <c r="B255">
        <f>YEAR(Cleaned_HR_Data_Analysis__2[[#This Row],[Joining_Date]])</f>
        <v>2020</v>
      </c>
      <c r="C255" s="1">
        <v>44021</v>
      </c>
      <c r="D255" s="1" t="str" cm="1">
        <f t="array" ref="D255">_xlfn.IFS(E255&lt;28, "17-27",
AND(E255&gt;27, E255&lt;38), "28-37",
AND(E255&gt;37, E255 &lt;48), "38-47",
AND(E255&gt;47, E255 &lt;58), "48-57",
AND(E255&gt;57, E255&lt;68), "58-67",
AND(E255&gt;67, E255&lt;78), "68-77",
E255&gt;77,"Above than 77")</f>
        <v>17-27</v>
      </c>
      <c r="E255">
        <v>25</v>
      </c>
      <c r="F255" s="1">
        <v>34988</v>
      </c>
      <c r="G255" s="1" t="str">
        <f>VLOOKUP(H255,Table7[#All], 2, FALSE)</f>
        <v>Massachusetts</v>
      </c>
      <c r="H255" s="2" t="s">
        <v>14</v>
      </c>
      <c r="I255" s="2" t="s">
        <v>15</v>
      </c>
      <c r="J255" s="2" t="s">
        <v>40</v>
      </c>
      <c r="K255" s="2" t="s">
        <v>64</v>
      </c>
      <c r="L255" s="2" t="s">
        <v>9</v>
      </c>
      <c r="M255" s="2" t="s">
        <v>20</v>
      </c>
      <c r="N255" s="2" t="s">
        <v>19</v>
      </c>
      <c r="O255" s="2" t="s">
        <v>12</v>
      </c>
      <c r="P255" s="2" t="s">
        <v>35</v>
      </c>
      <c r="Q255" s="2" t="s">
        <v>23</v>
      </c>
      <c r="R255" s="2" t="s">
        <v>18</v>
      </c>
      <c r="S255">
        <v>1</v>
      </c>
    </row>
    <row r="256" spans="1:19" x14ac:dyDescent="0.3">
      <c r="A256">
        <v>3564</v>
      </c>
      <c r="B256">
        <f>YEAR(Cleaned_HR_Data_Analysis__2[[#This Row],[Joining_Date]])</f>
        <v>2019</v>
      </c>
      <c r="C256" s="1">
        <v>43491</v>
      </c>
      <c r="D256" s="1" t="str" cm="1">
        <f t="array" ref="D256">_xlfn.IFS(E256&lt;28, "17-27",
AND(E256&gt;27, E256&lt;38), "28-37",
AND(E256&gt;37, E256 &lt;48), "38-47",
AND(E256&gt;47, E256 &lt;58), "48-57",
AND(E256&gt;57, E256&lt;68), "58-67",
AND(E256&gt;67, E256&lt;78), "68-77",
E256&gt;77,"Above than 77")</f>
        <v>17-27</v>
      </c>
      <c r="E256">
        <v>25</v>
      </c>
      <c r="F256" s="1">
        <v>34645</v>
      </c>
      <c r="G256" s="1" t="str">
        <f>VLOOKUP(H256,Table7[#All], 2, FALSE)</f>
        <v>Massachusetts</v>
      </c>
      <c r="H256" s="2" t="s">
        <v>14</v>
      </c>
      <c r="I256" s="2" t="s">
        <v>15</v>
      </c>
      <c r="J256" s="2" t="s">
        <v>40</v>
      </c>
      <c r="K256" s="2" t="s">
        <v>64</v>
      </c>
      <c r="L256" s="2" t="s">
        <v>66</v>
      </c>
      <c r="M256" s="2" t="s">
        <v>25</v>
      </c>
      <c r="N256" s="2" t="s">
        <v>11</v>
      </c>
      <c r="O256" s="2" t="s">
        <v>12</v>
      </c>
      <c r="P256" s="2" t="s">
        <v>21</v>
      </c>
      <c r="Q256" s="2" t="s">
        <v>16</v>
      </c>
      <c r="R256" s="2" t="s">
        <v>18</v>
      </c>
      <c r="S256">
        <v>4</v>
      </c>
    </row>
    <row r="257" spans="1:19" x14ac:dyDescent="0.3">
      <c r="A257">
        <v>3279</v>
      </c>
      <c r="B257">
        <f>YEAR(Cleaned_HR_Data_Analysis__2[[#This Row],[Joining_Date]])</f>
        <v>2019</v>
      </c>
      <c r="C257" s="1">
        <v>43488</v>
      </c>
      <c r="D257" s="1" t="str" cm="1">
        <f t="array" ref="D257">_xlfn.IFS(E257&lt;28, "17-27",
AND(E257&gt;27, E257&lt;38), "28-37",
AND(E257&gt;37, E257 &lt;48), "38-47",
AND(E257&gt;47, E257 &lt;58), "48-57",
AND(E257&gt;57, E257&lt;68), "58-67",
AND(E257&gt;67, E257&lt;78), "68-77",
E257&gt;77,"Above than 77")</f>
        <v>17-27</v>
      </c>
      <c r="E257">
        <v>25</v>
      </c>
      <c r="F257" s="1">
        <v>34365</v>
      </c>
      <c r="G257" s="1" t="str">
        <f>VLOOKUP(H257,Table7[#All], 2, FALSE)</f>
        <v>Massachusetts</v>
      </c>
      <c r="H257" s="2" t="s">
        <v>14</v>
      </c>
      <c r="I257" s="2" t="s">
        <v>22</v>
      </c>
      <c r="J257" s="2" t="s">
        <v>34</v>
      </c>
      <c r="K257" s="2" t="s">
        <v>64</v>
      </c>
      <c r="L257" s="2" t="s">
        <v>9</v>
      </c>
      <c r="M257" s="2" t="s">
        <v>25</v>
      </c>
      <c r="N257" s="2" t="s">
        <v>19</v>
      </c>
      <c r="O257" s="2" t="s">
        <v>12</v>
      </c>
      <c r="P257" s="2" t="s">
        <v>42</v>
      </c>
      <c r="Q257" s="2" t="s">
        <v>37</v>
      </c>
      <c r="R257" s="2" t="s">
        <v>18</v>
      </c>
      <c r="S257">
        <v>2</v>
      </c>
    </row>
    <row r="258" spans="1:19" x14ac:dyDescent="0.3">
      <c r="A258">
        <v>3136</v>
      </c>
      <c r="B258">
        <f>YEAR(Cleaned_HR_Data_Analysis__2[[#This Row],[Joining_Date]])</f>
        <v>2022</v>
      </c>
      <c r="C258" s="1">
        <v>44881</v>
      </c>
      <c r="D258" s="1" t="str" cm="1">
        <f t="array" ref="D258">_xlfn.IFS(E258&lt;28, "17-27",
AND(E258&gt;27, E258&lt;38), "28-37",
AND(E258&gt;37, E258 &lt;48), "38-47",
AND(E258&gt;47, E258 &lt;58), "48-57",
AND(E258&gt;57, E258&lt;68), "58-67",
AND(E258&gt;67, E258&lt;78), "68-77",
E258&gt;77,"Above than 77")</f>
        <v>17-27</v>
      </c>
      <c r="E258">
        <v>25</v>
      </c>
      <c r="F258" s="1">
        <v>35567</v>
      </c>
      <c r="G258" s="1" t="str">
        <f>VLOOKUP(H258,Table7[#All], 2, FALSE)</f>
        <v>Massachusetts</v>
      </c>
      <c r="H258" s="2" t="s">
        <v>14</v>
      </c>
      <c r="I258" s="2" t="s">
        <v>15</v>
      </c>
      <c r="J258" s="2" t="s">
        <v>34</v>
      </c>
      <c r="K258" s="2" t="s">
        <v>64</v>
      </c>
      <c r="L258" s="2" t="s">
        <v>9</v>
      </c>
      <c r="M258" s="2" t="s">
        <v>25</v>
      </c>
      <c r="N258" s="2" t="s">
        <v>26</v>
      </c>
      <c r="O258" s="2" t="s">
        <v>12</v>
      </c>
      <c r="P258" s="2" t="s">
        <v>54</v>
      </c>
      <c r="Q258" s="2" t="s">
        <v>23</v>
      </c>
      <c r="R258" s="2" t="s">
        <v>18</v>
      </c>
      <c r="S258">
        <v>3</v>
      </c>
    </row>
    <row r="259" spans="1:19" x14ac:dyDescent="0.3">
      <c r="A259">
        <v>3076</v>
      </c>
      <c r="B259">
        <f>YEAR(Cleaned_HR_Data_Analysis__2[[#This Row],[Joining_Date]])</f>
        <v>2023</v>
      </c>
      <c r="C259" s="1">
        <v>45042</v>
      </c>
      <c r="D259" s="1" t="str" cm="1">
        <f t="array" ref="D259">_xlfn.IFS(E259&lt;28, "17-27",
AND(E259&gt;27, E259&lt;38), "28-37",
AND(E259&gt;37, E259 &lt;48), "38-47",
AND(E259&gt;47, E259 &lt;58), "48-57",
AND(E259&gt;57, E259&lt;68), "58-67",
AND(E259&gt;67, E259&lt;78), "68-77",
E259&gt;77,"Above than 77")</f>
        <v>17-27</v>
      </c>
      <c r="E259">
        <v>25</v>
      </c>
      <c r="F259" s="1">
        <v>35941</v>
      </c>
      <c r="G259" s="1" t="str">
        <f>VLOOKUP(H259,Table7[#All], 2, FALSE)</f>
        <v>Massachusetts</v>
      </c>
      <c r="H259" s="2" t="s">
        <v>14</v>
      </c>
      <c r="I259" s="2" t="s">
        <v>22</v>
      </c>
      <c r="J259" s="2" t="s">
        <v>34</v>
      </c>
      <c r="K259" s="2" t="s">
        <v>64</v>
      </c>
      <c r="L259" s="2" t="s">
        <v>9</v>
      </c>
      <c r="M259" s="2" t="s">
        <v>20</v>
      </c>
      <c r="N259" s="2" t="s">
        <v>11</v>
      </c>
      <c r="O259" s="2" t="s">
        <v>12</v>
      </c>
      <c r="P259" s="2" t="s">
        <v>32</v>
      </c>
      <c r="Q259" s="2" t="s">
        <v>16</v>
      </c>
      <c r="R259" s="2" t="s">
        <v>18</v>
      </c>
      <c r="S259">
        <v>1</v>
      </c>
    </row>
    <row r="260" spans="1:19" x14ac:dyDescent="0.3">
      <c r="A260">
        <v>2867</v>
      </c>
      <c r="B260">
        <f>YEAR(Cleaned_HR_Data_Analysis__2[[#This Row],[Joining_Date]])</f>
        <v>2019</v>
      </c>
      <c r="C260" s="1">
        <v>43521</v>
      </c>
      <c r="D260" s="1" t="str" cm="1">
        <f t="array" ref="D260">_xlfn.IFS(E260&lt;28, "17-27",
AND(E260&gt;27, E260&lt;38), "28-37",
AND(E260&gt;37, E260 &lt;48), "38-47",
AND(E260&gt;47, E260 &lt;58), "48-57",
AND(E260&gt;57, E260&lt;68), "58-67",
AND(E260&gt;67, E260&lt;78), "68-77",
E260&gt;77,"Above than 77")</f>
        <v>17-27</v>
      </c>
      <c r="E260">
        <v>25</v>
      </c>
      <c r="F260" s="1">
        <v>34500</v>
      </c>
      <c r="G260" s="1" t="str">
        <f>VLOOKUP(H260,Table7[#All], 2, FALSE)</f>
        <v>Massachusetts</v>
      </c>
      <c r="H260" s="2" t="s">
        <v>14</v>
      </c>
      <c r="I260" s="2" t="s">
        <v>15</v>
      </c>
      <c r="J260" s="2" t="s">
        <v>31</v>
      </c>
      <c r="K260" s="2" t="s">
        <v>64</v>
      </c>
      <c r="L260" s="2" t="s">
        <v>9</v>
      </c>
      <c r="M260" s="2" t="s">
        <v>20</v>
      </c>
      <c r="N260" s="2" t="s">
        <v>19</v>
      </c>
      <c r="O260" s="2" t="s">
        <v>12</v>
      </c>
      <c r="P260" s="2" t="s">
        <v>68</v>
      </c>
      <c r="Q260" s="2" t="s">
        <v>16</v>
      </c>
      <c r="R260" s="2" t="s">
        <v>18</v>
      </c>
      <c r="S260">
        <v>1</v>
      </c>
    </row>
    <row r="261" spans="1:19" x14ac:dyDescent="0.3">
      <c r="A261">
        <v>2808</v>
      </c>
      <c r="B261">
        <f>YEAR(Cleaned_HR_Data_Analysis__2[[#This Row],[Joining_Date]])</f>
        <v>2018</v>
      </c>
      <c r="C261" s="1">
        <v>43431</v>
      </c>
      <c r="D261" s="1" t="str" cm="1">
        <f t="array" ref="D261">_xlfn.IFS(E261&lt;28, "17-27",
AND(E261&gt;27, E261&lt;38), "28-37",
AND(E261&gt;37, E261 &lt;48), "38-47",
AND(E261&gt;47, E261 &lt;58), "48-57",
AND(E261&gt;57, E261&lt;68), "58-67",
AND(E261&gt;67, E261&lt;78), "68-77",
E261&gt;77,"Above than 77")</f>
        <v>17-27</v>
      </c>
      <c r="E261">
        <v>25</v>
      </c>
      <c r="F261" s="1">
        <v>34328</v>
      </c>
      <c r="G261" s="1" t="str">
        <f>VLOOKUP(H261,Table7[#All], 2, FALSE)</f>
        <v>Massachusetts</v>
      </c>
      <c r="H261" s="2" t="s">
        <v>14</v>
      </c>
      <c r="I261" s="2" t="s">
        <v>15</v>
      </c>
      <c r="J261" s="2" t="s">
        <v>40</v>
      </c>
      <c r="K261" s="2" t="s">
        <v>64</v>
      </c>
      <c r="L261" s="2" t="s">
        <v>9</v>
      </c>
      <c r="M261" s="2" t="s">
        <v>20</v>
      </c>
      <c r="N261" s="2" t="s">
        <v>26</v>
      </c>
      <c r="O261" s="2" t="s">
        <v>12</v>
      </c>
      <c r="P261" s="2" t="s">
        <v>67</v>
      </c>
      <c r="Q261" s="2" t="s">
        <v>46</v>
      </c>
      <c r="R261" s="2" t="s">
        <v>18</v>
      </c>
      <c r="S261">
        <v>2</v>
      </c>
    </row>
    <row r="262" spans="1:19" x14ac:dyDescent="0.3">
      <c r="A262">
        <v>2169</v>
      </c>
      <c r="B262">
        <f>YEAR(Cleaned_HR_Data_Analysis__2[[#This Row],[Joining_Date]])</f>
        <v>2020</v>
      </c>
      <c r="C262" s="1">
        <v>44016</v>
      </c>
      <c r="D262" s="1" t="str" cm="1">
        <f t="array" ref="D262">_xlfn.IFS(E262&lt;28, "17-27",
AND(E262&gt;27, E262&lt;38), "28-37",
AND(E262&gt;37, E262 &lt;48), "38-47",
AND(E262&gt;47, E262 &lt;58), "48-57",
AND(E262&gt;57, E262&lt;68), "58-67",
AND(E262&gt;67, E262&lt;78), "68-77",
E262&gt;77,"Above than 77")</f>
        <v>17-27</v>
      </c>
      <c r="E262">
        <v>25</v>
      </c>
      <c r="F262" s="1">
        <v>35059</v>
      </c>
      <c r="G262" s="1" t="str">
        <f>VLOOKUP(H262,Table7[#All], 2, FALSE)</f>
        <v>Massachusetts</v>
      </c>
      <c r="H262" s="2" t="s">
        <v>14</v>
      </c>
      <c r="I262" s="2" t="s">
        <v>15</v>
      </c>
      <c r="J262" s="2" t="s">
        <v>17</v>
      </c>
      <c r="K262" s="2" t="s">
        <v>64</v>
      </c>
      <c r="L262" s="2" t="s">
        <v>9</v>
      </c>
      <c r="M262" s="2" t="s">
        <v>25</v>
      </c>
      <c r="N262" s="2" t="s">
        <v>19</v>
      </c>
      <c r="O262" s="2" t="s">
        <v>12</v>
      </c>
      <c r="P262" s="2" t="s">
        <v>32</v>
      </c>
      <c r="Q262" s="2" t="s">
        <v>37</v>
      </c>
      <c r="R262" s="2" t="s">
        <v>41</v>
      </c>
      <c r="S262">
        <v>2</v>
      </c>
    </row>
    <row r="263" spans="1:19" x14ac:dyDescent="0.3">
      <c r="A263">
        <v>2041</v>
      </c>
      <c r="B263">
        <f>YEAR(Cleaned_HR_Data_Analysis__2[[#This Row],[Joining_Date]])</f>
        <v>2022</v>
      </c>
      <c r="C263" s="1">
        <v>44817</v>
      </c>
      <c r="D263" s="1" t="str" cm="1">
        <f t="array" ref="D263">_xlfn.IFS(E263&lt;28, "17-27",
AND(E263&gt;27, E263&lt;38), "28-37",
AND(E263&gt;37, E263 &lt;48), "38-47",
AND(E263&gt;47, E263 &lt;58), "48-57",
AND(E263&gt;57, E263&lt;68), "58-67",
AND(E263&gt;67, E263&lt;78), "68-77",
E263&gt;77,"Above than 77")</f>
        <v>17-27</v>
      </c>
      <c r="E263">
        <v>25</v>
      </c>
      <c r="F263" s="1">
        <v>35538</v>
      </c>
      <c r="G263" s="1" t="str">
        <f>VLOOKUP(H263,Table7[#All], 2, FALSE)</f>
        <v>Massachusetts</v>
      </c>
      <c r="H263" s="2" t="s">
        <v>14</v>
      </c>
      <c r="I263" s="2" t="s">
        <v>15</v>
      </c>
      <c r="J263" s="2" t="s">
        <v>31</v>
      </c>
      <c r="K263" s="2" t="s">
        <v>64</v>
      </c>
      <c r="L263" s="2" t="s">
        <v>9</v>
      </c>
      <c r="M263" s="2" t="s">
        <v>20</v>
      </c>
      <c r="N263" s="2" t="s">
        <v>11</v>
      </c>
      <c r="O263" s="2" t="s">
        <v>12</v>
      </c>
      <c r="P263" s="2" t="s">
        <v>32</v>
      </c>
      <c r="Q263" s="2" t="s">
        <v>37</v>
      </c>
      <c r="R263" s="2" t="s">
        <v>18</v>
      </c>
      <c r="S263">
        <v>1</v>
      </c>
    </row>
    <row r="264" spans="1:19" x14ac:dyDescent="0.3">
      <c r="A264">
        <v>1972</v>
      </c>
      <c r="B264">
        <f>YEAR(Cleaned_HR_Data_Analysis__2[[#This Row],[Joining_Date]])</f>
        <v>2021</v>
      </c>
      <c r="C264" s="1">
        <v>44534</v>
      </c>
      <c r="D264" s="1" t="str" cm="1">
        <f t="array" ref="D264">_xlfn.IFS(E264&lt;28, "17-27",
AND(E264&gt;27, E264&lt;38), "28-37",
AND(E264&gt;37, E264 &lt;48), "38-47",
AND(E264&gt;47, E264 &lt;58), "48-57",
AND(E264&gt;57, E264&lt;68), "58-67",
AND(E264&gt;67, E264&lt;78), "68-77",
E264&gt;77,"Above than 77")</f>
        <v>17-27</v>
      </c>
      <c r="E264">
        <v>25</v>
      </c>
      <c r="F264" s="1">
        <v>35087</v>
      </c>
      <c r="G264" s="1" t="str">
        <f>VLOOKUP(H264,Table7[#All], 2, FALSE)</f>
        <v>Massachusetts</v>
      </c>
      <c r="H264" s="2" t="s">
        <v>14</v>
      </c>
      <c r="I264" s="2" t="s">
        <v>22</v>
      </c>
      <c r="J264" s="2" t="s">
        <v>31</v>
      </c>
      <c r="K264" s="2" t="s">
        <v>64</v>
      </c>
      <c r="L264" s="2" t="s">
        <v>9</v>
      </c>
      <c r="M264" s="2" t="s">
        <v>10</v>
      </c>
      <c r="N264" s="2" t="s">
        <v>19</v>
      </c>
      <c r="O264" s="2" t="s">
        <v>12</v>
      </c>
      <c r="P264" s="2" t="s">
        <v>35</v>
      </c>
      <c r="Q264" s="2" t="s">
        <v>46</v>
      </c>
      <c r="R264" s="2" t="s">
        <v>18</v>
      </c>
      <c r="S264">
        <v>2</v>
      </c>
    </row>
    <row r="265" spans="1:19" x14ac:dyDescent="0.3">
      <c r="A265">
        <v>1600</v>
      </c>
      <c r="B265">
        <f>YEAR(Cleaned_HR_Data_Analysis__2[[#This Row],[Joining_Date]])</f>
        <v>2018</v>
      </c>
      <c r="C265" s="1">
        <v>43410</v>
      </c>
      <c r="D265" s="1" t="str" cm="1">
        <f t="array" ref="D265">_xlfn.IFS(E265&lt;28, "17-27",
AND(E265&gt;27, E265&lt;38), "28-37",
AND(E265&gt;37, E265 &lt;48), "38-47",
AND(E265&gt;47, E265 &lt;58), "48-57",
AND(E265&gt;57, E265&lt;68), "58-67",
AND(E265&gt;67, E265&lt;78), "68-77",
E265&gt;77,"Above than 77")</f>
        <v>17-27</v>
      </c>
      <c r="E265">
        <v>25</v>
      </c>
      <c r="F265" s="1">
        <v>34108</v>
      </c>
      <c r="G265" s="1" t="str">
        <f>VLOOKUP(H265,Table7[#All], 2, FALSE)</f>
        <v>Massachusetts</v>
      </c>
      <c r="H265" s="2" t="s">
        <v>14</v>
      </c>
      <c r="I265" s="2" t="s">
        <v>15</v>
      </c>
      <c r="J265" s="2" t="s">
        <v>34</v>
      </c>
      <c r="K265" s="2" t="s">
        <v>64</v>
      </c>
      <c r="L265" s="2" t="s">
        <v>9</v>
      </c>
      <c r="M265" s="2" t="s">
        <v>10</v>
      </c>
      <c r="N265" s="2" t="s">
        <v>19</v>
      </c>
      <c r="O265" s="2" t="s">
        <v>12</v>
      </c>
      <c r="P265" s="2" t="s">
        <v>32</v>
      </c>
      <c r="Q265" s="2" t="s">
        <v>23</v>
      </c>
      <c r="R265" s="2" t="s">
        <v>41</v>
      </c>
      <c r="S265">
        <v>3</v>
      </c>
    </row>
    <row r="266" spans="1:19" x14ac:dyDescent="0.3">
      <c r="A266">
        <v>1582</v>
      </c>
      <c r="B266">
        <f>YEAR(Cleaned_HR_Data_Analysis__2[[#This Row],[Joining_Date]])</f>
        <v>2020</v>
      </c>
      <c r="C266" s="1">
        <v>43927</v>
      </c>
      <c r="D266" s="1" t="str" cm="1">
        <f t="array" ref="D266">_xlfn.IFS(E266&lt;28, "17-27",
AND(E266&gt;27, E266&lt;38), "28-37",
AND(E266&gt;37, E266 &lt;48), "38-47",
AND(E266&gt;47, E266 &lt;58), "48-57",
AND(E266&gt;57, E266&lt;68), "58-67",
AND(E266&gt;67, E266&lt;78), "68-77",
E266&gt;77,"Above than 77")</f>
        <v>17-27</v>
      </c>
      <c r="E266">
        <v>25</v>
      </c>
      <c r="F266" s="1">
        <v>34790</v>
      </c>
      <c r="G266" s="1" t="str">
        <f>VLOOKUP(H266,Table7[#All], 2, FALSE)</f>
        <v>Massachusetts</v>
      </c>
      <c r="H266" s="2" t="s">
        <v>14</v>
      </c>
      <c r="I266" s="2" t="s">
        <v>15</v>
      </c>
      <c r="J266" s="2" t="s">
        <v>31</v>
      </c>
      <c r="K266" s="2" t="s">
        <v>64</v>
      </c>
      <c r="L266" s="2" t="s">
        <v>66</v>
      </c>
      <c r="M266" s="2" t="s">
        <v>20</v>
      </c>
      <c r="N266" s="2" t="s">
        <v>11</v>
      </c>
      <c r="O266" s="2" t="s">
        <v>12</v>
      </c>
      <c r="P266" s="2" t="s">
        <v>35</v>
      </c>
      <c r="Q266" s="2" t="s">
        <v>30</v>
      </c>
      <c r="R266" s="2" t="s">
        <v>56</v>
      </c>
      <c r="S266">
        <v>1</v>
      </c>
    </row>
    <row r="267" spans="1:19" x14ac:dyDescent="0.3">
      <c r="A267">
        <v>1497</v>
      </c>
      <c r="B267">
        <f>YEAR(Cleaned_HR_Data_Analysis__2[[#This Row],[Joining_Date]])</f>
        <v>2020</v>
      </c>
      <c r="C267" s="1">
        <v>44138</v>
      </c>
      <c r="D267" s="1" t="str" cm="1">
        <f t="array" ref="D267">_xlfn.IFS(E267&lt;28, "17-27",
AND(E267&gt;27, E267&lt;38), "28-37",
AND(E267&gt;37, E267 &lt;48), "38-47",
AND(E267&gt;47, E267 &lt;58), "48-57",
AND(E267&gt;57, E267&lt;68), "58-67",
AND(E267&gt;67, E267&lt;78), "68-77",
E267&gt;77,"Above than 77")</f>
        <v>17-27</v>
      </c>
      <c r="E267">
        <v>25</v>
      </c>
      <c r="F267" s="1">
        <v>35044</v>
      </c>
      <c r="G267" s="1" t="str">
        <f>VLOOKUP(H267,Table7[#All], 2, FALSE)</f>
        <v>Massachusetts</v>
      </c>
      <c r="H267" s="2" t="s">
        <v>14</v>
      </c>
      <c r="I267" s="2" t="s">
        <v>22</v>
      </c>
      <c r="J267" s="2" t="s">
        <v>17</v>
      </c>
      <c r="K267" s="2" t="s">
        <v>64</v>
      </c>
      <c r="L267" s="2" t="s">
        <v>9</v>
      </c>
      <c r="M267" s="2" t="s">
        <v>10</v>
      </c>
      <c r="N267" s="2" t="s">
        <v>11</v>
      </c>
      <c r="O267" s="2" t="s">
        <v>12</v>
      </c>
      <c r="P267" s="2" t="s">
        <v>42</v>
      </c>
      <c r="Q267" s="2" t="s">
        <v>37</v>
      </c>
      <c r="R267" s="2" t="s">
        <v>56</v>
      </c>
      <c r="S267">
        <v>4</v>
      </c>
    </row>
    <row r="268" spans="1:19" x14ac:dyDescent="0.3">
      <c r="A268">
        <v>3726</v>
      </c>
      <c r="B268">
        <f>YEAR(Cleaned_HR_Data_Analysis__2[[#This Row],[Joining_Date]])</f>
        <v>2020</v>
      </c>
      <c r="C268" s="1">
        <v>44025</v>
      </c>
      <c r="D268" s="1" t="str" cm="1">
        <f t="array" ref="D268">_xlfn.IFS(E268&lt;28, "17-27",
AND(E268&gt;27, E268&lt;38), "28-37",
AND(E268&gt;37, E268 &lt;48), "38-47",
AND(E268&gt;47, E268 &lt;58), "48-57",
AND(E268&gt;57, E268&lt;68), "58-67",
AND(E268&gt;67, E268&lt;78), "68-77",
E268&gt;77,"Above than 77")</f>
        <v>17-27</v>
      </c>
      <c r="E268">
        <v>25</v>
      </c>
      <c r="F268" s="1">
        <v>34905</v>
      </c>
      <c r="G268" s="1" t="str">
        <f>VLOOKUP(H268,Table7[#All], 2, FALSE)</f>
        <v>Massachusetts</v>
      </c>
      <c r="H268" s="2" t="s">
        <v>14</v>
      </c>
      <c r="I268" s="2" t="s">
        <v>15</v>
      </c>
      <c r="J268" s="2" t="s">
        <v>34</v>
      </c>
      <c r="K268" s="2" t="s">
        <v>8</v>
      </c>
      <c r="L268" s="2" t="s">
        <v>9</v>
      </c>
      <c r="M268" s="2" t="s">
        <v>10</v>
      </c>
      <c r="N268" s="2" t="s">
        <v>19</v>
      </c>
      <c r="O268" s="2" t="s">
        <v>12</v>
      </c>
      <c r="P268" s="2" t="s">
        <v>32</v>
      </c>
      <c r="Q268" s="2" t="s">
        <v>30</v>
      </c>
      <c r="R268" s="2" t="s">
        <v>18</v>
      </c>
      <c r="S268">
        <v>4</v>
      </c>
    </row>
    <row r="269" spans="1:19" x14ac:dyDescent="0.3">
      <c r="A269">
        <v>3676</v>
      </c>
      <c r="B269">
        <f>YEAR(Cleaned_HR_Data_Analysis__2[[#This Row],[Joining_Date]])</f>
        <v>2018</v>
      </c>
      <c r="C269" s="1">
        <v>43341</v>
      </c>
      <c r="D269" s="1" t="str" cm="1">
        <f t="array" ref="D269">_xlfn.IFS(E269&lt;28, "17-27",
AND(E269&gt;27, E269&lt;38), "28-37",
AND(E269&gt;37, E269 &lt;48), "38-47",
AND(E269&gt;47, E269 &lt;58), "48-57",
AND(E269&gt;57, E269&lt;68), "58-67",
AND(E269&gt;67, E269&lt;78), "68-77",
E269&gt;77,"Above than 77")</f>
        <v>17-27</v>
      </c>
      <c r="E269">
        <v>25</v>
      </c>
      <c r="F269" s="1">
        <v>34302</v>
      </c>
      <c r="G269" s="1" t="str">
        <f>VLOOKUP(H269,Table7[#All], 2, FALSE)</f>
        <v>Massachusetts</v>
      </c>
      <c r="H269" s="2" t="s">
        <v>14</v>
      </c>
      <c r="I269" s="2" t="s">
        <v>22</v>
      </c>
      <c r="J269" s="2" t="s">
        <v>40</v>
      </c>
      <c r="K269" s="2" t="s">
        <v>8</v>
      </c>
      <c r="L269" s="2" t="s">
        <v>9</v>
      </c>
      <c r="M269" s="2" t="s">
        <v>10</v>
      </c>
      <c r="N269" s="2" t="s">
        <v>26</v>
      </c>
      <c r="O269" s="2" t="s">
        <v>12</v>
      </c>
      <c r="P269" s="2" t="s">
        <v>63</v>
      </c>
      <c r="Q269" s="2" t="s">
        <v>37</v>
      </c>
      <c r="R269" s="2" t="s">
        <v>18</v>
      </c>
      <c r="S269">
        <v>4</v>
      </c>
    </row>
    <row r="270" spans="1:19" x14ac:dyDescent="0.3">
      <c r="A270">
        <v>3655</v>
      </c>
      <c r="B270">
        <f>YEAR(Cleaned_HR_Data_Analysis__2[[#This Row],[Joining_Date]])</f>
        <v>2023</v>
      </c>
      <c r="C270" s="1">
        <v>44982</v>
      </c>
      <c r="D270" s="1" t="str" cm="1">
        <f t="array" ref="D270">_xlfn.IFS(E270&lt;28, "17-27",
AND(E270&gt;27, E270&lt;38), "28-37",
AND(E270&gt;37, E270 &lt;48), "38-47",
AND(E270&gt;47, E270 &lt;58), "48-57",
AND(E270&gt;57, E270&lt;68), "58-67",
AND(E270&gt;67, E270&lt;78), "68-77",
E270&gt;77,"Above than 77")</f>
        <v>17-27</v>
      </c>
      <c r="E270">
        <v>25</v>
      </c>
      <c r="F270" s="1">
        <v>36088</v>
      </c>
      <c r="G270" s="1" t="str">
        <f>VLOOKUP(H270,Table7[#All], 2, FALSE)</f>
        <v>Massachusetts</v>
      </c>
      <c r="H270" s="2" t="s">
        <v>14</v>
      </c>
      <c r="I270" s="2" t="s">
        <v>22</v>
      </c>
      <c r="J270" s="2" t="s">
        <v>34</v>
      </c>
      <c r="K270" s="2" t="s">
        <v>8</v>
      </c>
      <c r="L270" s="2" t="s">
        <v>9</v>
      </c>
      <c r="M270" s="2" t="s">
        <v>20</v>
      </c>
      <c r="N270" s="2" t="s">
        <v>11</v>
      </c>
      <c r="O270" s="2" t="s">
        <v>12</v>
      </c>
      <c r="P270" s="2" t="s">
        <v>42</v>
      </c>
      <c r="Q270" s="2" t="s">
        <v>46</v>
      </c>
      <c r="R270" s="2" t="s">
        <v>18</v>
      </c>
      <c r="S270">
        <v>5</v>
      </c>
    </row>
    <row r="271" spans="1:19" x14ac:dyDescent="0.3">
      <c r="A271">
        <v>3572</v>
      </c>
      <c r="B271">
        <f>YEAR(Cleaned_HR_Data_Analysis__2[[#This Row],[Joining_Date]])</f>
        <v>2019</v>
      </c>
      <c r="C271" s="1">
        <v>43536</v>
      </c>
      <c r="D271" s="1" t="str" cm="1">
        <f t="array" ref="D271">_xlfn.IFS(E271&lt;28, "17-27",
AND(E271&gt;27, E271&lt;38), "28-37",
AND(E271&gt;37, E271 &lt;48), "38-47",
AND(E271&gt;47, E271 &lt;58), "48-57",
AND(E271&gt;57, E271&lt;68), "58-67",
AND(E271&gt;67, E271&lt;78), "68-77",
E271&gt;77,"Above than 77")</f>
        <v>17-27</v>
      </c>
      <c r="E271">
        <v>25</v>
      </c>
      <c r="F271" s="1">
        <v>34492</v>
      </c>
      <c r="G271" s="1" t="str">
        <f>VLOOKUP(H271,Table7[#All], 2, FALSE)</f>
        <v>Massachusetts</v>
      </c>
      <c r="H271" s="2" t="s">
        <v>14</v>
      </c>
      <c r="I271" s="2" t="s">
        <v>22</v>
      </c>
      <c r="J271" s="2" t="s">
        <v>31</v>
      </c>
      <c r="K271" s="2" t="s">
        <v>8</v>
      </c>
      <c r="L271" s="2" t="s">
        <v>9</v>
      </c>
      <c r="M271" s="2" t="s">
        <v>10</v>
      </c>
      <c r="N271" s="2" t="s">
        <v>19</v>
      </c>
      <c r="O271" s="2" t="s">
        <v>12</v>
      </c>
      <c r="P271" s="2" t="s">
        <v>55</v>
      </c>
      <c r="Q271" s="2" t="s">
        <v>16</v>
      </c>
      <c r="R271" s="2" t="s">
        <v>18</v>
      </c>
      <c r="S271">
        <v>5</v>
      </c>
    </row>
    <row r="272" spans="1:19" x14ac:dyDescent="0.3">
      <c r="A272">
        <v>3276</v>
      </c>
      <c r="B272">
        <f>YEAR(Cleaned_HR_Data_Analysis__2[[#This Row],[Joining_Date]])</f>
        <v>2021</v>
      </c>
      <c r="C272" s="1">
        <v>44221</v>
      </c>
      <c r="D272" s="1" t="str" cm="1">
        <f t="array" ref="D272">_xlfn.IFS(E272&lt;28, "17-27",
AND(E272&gt;27, E272&lt;38), "28-37",
AND(E272&gt;37, E272 &lt;48), "38-47",
AND(E272&gt;47, E272 &lt;58), "48-57",
AND(E272&gt;57, E272&lt;68), "58-67",
AND(E272&gt;67, E272&lt;78), "68-77",
E272&gt;77,"Above than 77")</f>
        <v>17-27</v>
      </c>
      <c r="E272">
        <v>25</v>
      </c>
      <c r="F272" s="1">
        <v>35389</v>
      </c>
      <c r="G272" s="1" t="str">
        <f>VLOOKUP(H272,Table7[#All], 2, FALSE)</f>
        <v>Massachusetts</v>
      </c>
      <c r="H272" s="2" t="s">
        <v>14</v>
      </c>
      <c r="I272" s="2" t="s">
        <v>22</v>
      </c>
      <c r="J272" s="2" t="s">
        <v>40</v>
      </c>
      <c r="K272" s="2" t="s">
        <v>8</v>
      </c>
      <c r="L272" s="2" t="s">
        <v>9</v>
      </c>
      <c r="M272" s="2" t="s">
        <v>10</v>
      </c>
      <c r="N272" s="2" t="s">
        <v>19</v>
      </c>
      <c r="O272" s="2" t="s">
        <v>12</v>
      </c>
      <c r="P272" s="2" t="s">
        <v>42</v>
      </c>
      <c r="Q272" s="2" t="s">
        <v>46</v>
      </c>
      <c r="R272" s="2" t="s">
        <v>18</v>
      </c>
      <c r="S272">
        <v>2</v>
      </c>
    </row>
    <row r="273" spans="1:19" x14ac:dyDescent="0.3">
      <c r="A273">
        <v>3265</v>
      </c>
      <c r="B273">
        <f>YEAR(Cleaned_HR_Data_Analysis__2[[#This Row],[Joining_Date]])</f>
        <v>2018</v>
      </c>
      <c r="C273" s="1">
        <v>43404</v>
      </c>
      <c r="D273" s="1" t="str" cm="1">
        <f t="array" ref="D273">_xlfn.IFS(E273&lt;28, "17-27",
AND(E273&gt;27, E273&lt;38), "28-37",
AND(E273&gt;37, E273 &lt;48), "38-47",
AND(E273&gt;47, E273 &lt;58), "48-57",
AND(E273&gt;57, E273&lt;68), "58-67",
AND(E273&gt;67, E273&lt;78), "68-77",
E273&gt;77,"Above than 77")</f>
        <v>17-27</v>
      </c>
      <c r="E273">
        <v>25</v>
      </c>
      <c r="F273" s="1">
        <v>33992</v>
      </c>
      <c r="G273" s="1" t="str">
        <f>VLOOKUP(H273,Table7[#All], 2, FALSE)</f>
        <v>Massachusetts</v>
      </c>
      <c r="H273" s="2" t="s">
        <v>14</v>
      </c>
      <c r="I273" s="2" t="s">
        <v>15</v>
      </c>
      <c r="J273" s="2" t="s">
        <v>31</v>
      </c>
      <c r="K273" s="2" t="s">
        <v>8</v>
      </c>
      <c r="L273" s="2" t="s">
        <v>9</v>
      </c>
      <c r="M273" s="2" t="s">
        <v>20</v>
      </c>
      <c r="N273" s="2" t="s">
        <v>11</v>
      </c>
      <c r="O273" s="2" t="s">
        <v>12</v>
      </c>
      <c r="P273" s="2" t="s">
        <v>21</v>
      </c>
      <c r="Q273" s="2" t="s">
        <v>46</v>
      </c>
      <c r="R273" s="2" t="s">
        <v>18</v>
      </c>
      <c r="S273">
        <v>3</v>
      </c>
    </row>
    <row r="274" spans="1:19" x14ac:dyDescent="0.3">
      <c r="A274">
        <v>3171</v>
      </c>
      <c r="B274">
        <f>YEAR(Cleaned_HR_Data_Analysis__2[[#This Row],[Joining_Date]])</f>
        <v>2020</v>
      </c>
      <c r="C274" s="1">
        <v>44069</v>
      </c>
      <c r="D274" s="1" t="str" cm="1">
        <f t="array" ref="D274">_xlfn.IFS(E274&lt;28, "17-27",
AND(E274&gt;27, E274&lt;38), "28-37",
AND(E274&gt;37, E274 &lt;48), "38-47",
AND(E274&gt;47, E274 &lt;58), "48-57",
AND(E274&gt;57, E274&lt;68), "58-67",
AND(E274&gt;67, E274&lt;78), "68-77",
E274&gt;77,"Above than 77")</f>
        <v>17-27</v>
      </c>
      <c r="E274">
        <v>25</v>
      </c>
      <c r="F274" s="1">
        <v>34755</v>
      </c>
      <c r="G274" s="1" t="str">
        <f>VLOOKUP(H274,Table7[#All], 2, FALSE)</f>
        <v>Massachusetts</v>
      </c>
      <c r="H274" s="2" t="s">
        <v>14</v>
      </c>
      <c r="I274" s="2" t="s">
        <v>15</v>
      </c>
      <c r="J274" s="2" t="s">
        <v>17</v>
      </c>
      <c r="K274" s="2" t="s">
        <v>8</v>
      </c>
      <c r="L274" s="2" t="s">
        <v>9</v>
      </c>
      <c r="M274" s="2" t="s">
        <v>20</v>
      </c>
      <c r="N274" s="2" t="s">
        <v>19</v>
      </c>
      <c r="O274" s="2" t="s">
        <v>12</v>
      </c>
      <c r="P274" s="2" t="s">
        <v>42</v>
      </c>
      <c r="Q274" s="2" t="s">
        <v>16</v>
      </c>
      <c r="R274" s="2" t="s">
        <v>18</v>
      </c>
      <c r="S274">
        <v>1</v>
      </c>
    </row>
    <row r="275" spans="1:19" x14ac:dyDescent="0.3">
      <c r="A275">
        <v>3165</v>
      </c>
      <c r="B275">
        <f>YEAR(Cleaned_HR_Data_Analysis__2[[#This Row],[Joining_Date]])</f>
        <v>2019</v>
      </c>
      <c r="C275" s="1">
        <v>43532</v>
      </c>
      <c r="D275" s="1" t="str" cm="1">
        <f t="array" ref="D275">_xlfn.IFS(E275&lt;28, "17-27",
AND(E275&gt;27, E275&lt;38), "28-37",
AND(E275&gt;37, E275 &lt;48), "38-47",
AND(E275&gt;47, E275 &lt;58), "48-57",
AND(E275&gt;57, E275&lt;68), "58-67",
AND(E275&gt;67, E275&lt;78), "68-77",
E275&gt;77,"Above than 77")</f>
        <v>17-27</v>
      </c>
      <c r="E275">
        <v>25</v>
      </c>
      <c r="F275" s="1">
        <v>34692</v>
      </c>
      <c r="G275" s="1" t="str">
        <f>VLOOKUP(H275,Table7[#All], 2, FALSE)</f>
        <v>Massachusetts</v>
      </c>
      <c r="H275" s="2" t="s">
        <v>14</v>
      </c>
      <c r="I275" s="2" t="s">
        <v>15</v>
      </c>
      <c r="J275" s="2" t="s">
        <v>31</v>
      </c>
      <c r="K275" s="2" t="s">
        <v>8</v>
      </c>
      <c r="L275" s="2" t="s">
        <v>9</v>
      </c>
      <c r="M275" s="2" t="s">
        <v>20</v>
      </c>
      <c r="N275" s="2" t="s">
        <v>11</v>
      </c>
      <c r="O275" s="2" t="s">
        <v>12</v>
      </c>
      <c r="P275" s="2" t="s">
        <v>35</v>
      </c>
      <c r="Q275" s="2" t="s">
        <v>37</v>
      </c>
      <c r="R275" s="2" t="s">
        <v>18</v>
      </c>
      <c r="S275">
        <v>5</v>
      </c>
    </row>
    <row r="276" spans="1:19" x14ac:dyDescent="0.3">
      <c r="A276">
        <v>3164</v>
      </c>
      <c r="B276">
        <f>YEAR(Cleaned_HR_Data_Analysis__2[[#This Row],[Joining_Date]])</f>
        <v>2022</v>
      </c>
      <c r="C276" s="1">
        <v>44902</v>
      </c>
      <c r="D276" s="1" t="str" cm="1">
        <f t="array" ref="D276">_xlfn.IFS(E276&lt;28, "17-27",
AND(E276&gt;27, E276&lt;38), "28-37",
AND(E276&gt;37, E276 &lt;48), "38-47",
AND(E276&gt;47, E276 &lt;58), "48-57",
AND(E276&gt;57, E276&lt;68), "58-67",
AND(E276&gt;67, E276&lt;78), "68-77",
E276&gt;77,"Above than 77")</f>
        <v>17-27</v>
      </c>
      <c r="E276">
        <v>25</v>
      </c>
      <c r="F276" s="1">
        <v>35507</v>
      </c>
      <c r="G276" s="1" t="str">
        <f>VLOOKUP(H276,Table7[#All], 2, FALSE)</f>
        <v>Massachusetts</v>
      </c>
      <c r="H276" s="2" t="s">
        <v>14</v>
      </c>
      <c r="I276" s="2" t="s">
        <v>15</v>
      </c>
      <c r="J276" s="2" t="s">
        <v>34</v>
      </c>
      <c r="K276" s="2" t="s">
        <v>8</v>
      </c>
      <c r="L276" s="2" t="s">
        <v>66</v>
      </c>
      <c r="M276" s="2" t="s">
        <v>25</v>
      </c>
      <c r="N276" s="2" t="s">
        <v>11</v>
      </c>
      <c r="O276" s="2" t="s">
        <v>12</v>
      </c>
      <c r="P276" s="2" t="s">
        <v>35</v>
      </c>
      <c r="Q276" s="2" t="s">
        <v>30</v>
      </c>
      <c r="R276" s="2" t="s">
        <v>18</v>
      </c>
      <c r="S276">
        <v>2</v>
      </c>
    </row>
    <row r="277" spans="1:19" x14ac:dyDescent="0.3">
      <c r="A277">
        <v>3153</v>
      </c>
      <c r="B277">
        <f>YEAR(Cleaned_HR_Data_Analysis__2[[#This Row],[Joining_Date]])</f>
        <v>2019</v>
      </c>
      <c r="C277" s="1">
        <v>43798</v>
      </c>
      <c r="D277" s="1" t="str" cm="1">
        <f t="array" ref="D277">_xlfn.IFS(E277&lt;28, "17-27",
AND(E277&gt;27, E277&lt;38), "28-37",
AND(E277&gt;37, E277 &lt;48), "38-47",
AND(E277&gt;47, E277 &lt;58), "48-57",
AND(E277&gt;57, E277&lt;68), "58-67",
AND(E277&gt;67, E277&lt;78), "68-77",
E277&gt;77,"Above than 77")</f>
        <v>17-27</v>
      </c>
      <c r="E277">
        <v>25</v>
      </c>
      <c r="F277" s="1">
        <v>34681</v>
      </c>
      <c r="G277" s="1" t="str">
        <f>VLOOKUP(H277,Table7[#All], 2, FALSE)</f>
        <v>Massachusetts</v>
      </c>
      <c r="H277" s="2" t="s">
        <v>14</v>
      </c>
      <c r="I277" s="2" t="s">
        <v>15</v>
      </c>
      <c r="J277" s="2" t="s">
        <v>31</v>
      </c>
      <c r="K277" s="2" t="s">
        <v>8</v>
      </c>
      <c r="L277" s="2" t="s">
        <v>9</v>
      </c>
      <c r="M277" s="2" t="s">
        <v>20</v>
      </c>
      <c r="N277" s="2" t="s">
        <v>19</v>
      </c>
      <c r="O277" s="2" t="s">
        <v>12</v>
      </c>
      <c r="P277" s="2" t="s">
        <v>35</v>
      </c>
      <c r="Q277" s="2" t="s">
        <v>30</v>
      </c>
      <c r="R277" s="2" t="s">
        <v>18</v>
      </c>
      <c r="S277">
        <v>5</v>
      </c>
    </row>
    <row r="278" spans="1:19" x14ac:dyDescent="0.3">
      <c r="A278">
        <v>2935</v>
      </c>
      <c r="B278">
        <f>YEAR(Cleaned_HR_Data_Analysis__2[[#This Row],[Joining_Date]])</f>
        <v>2020</v>
      </c>
      <c r="C278" s="1">
        <v>44107</v>
      </c>
      <c r="D278" s="1" t="str" cm="1">
        <f t="array" ref="D278">_xlfn.IFS(E278&lt;28, "17-27",
AND(E278&gt;27, E278&lt;38), "28-37",
AND(E278&gt;37, E278 &lt;48), "38-47",
AND(E278&gt;47, E278 &lt;58), "48-57",
AND(E278&gt;57, E278&lt;68), "58-67",
AND(E278&gt;67, E278&lt;78), "68-77",
E278&gt;77,"Above than 77")</f>
        <v>17-27</v>
      </c>
      <c r="E278">
        <v>25</v>
      </c>
      <c r="F278" s="1">
        <v>35042</v>
      </c>
      <c r="G278" s="1" t="str">
        <f>VLOOKUP(H278,Table7[#All], 2, FALSE)</f>
        <v>Massachusetts</v>
      </c>
      <c r="H278" s="2" t="s">
        <v>14</v>
      </c>
      <c r="I278" s="2" t="s">
        <v>22</v>
      </c>
      <c r="J278" s="2" t="s">
        <v>40</v>
      </c>
      <c r="K278" s="2" t="s">
        <v>8</v>
      </c>
      <c r="L278" s="2" t="s">
        <v>9</v>
      </c>
      <c r="M278" s="2" t="s">
        <v>10</v>
      </c>
      <c r="N278" s="2" t="s">
        <v>26</v>
      </c>
      <c r="O278" s="2" t="s">
        <v>12</v>
      </c>
      <c r="P278" s="2" t="s">
        <v>59</v>
      </c>
      <c r="Q278" s="2" t="s">
        <v>16</v>
      </c>
      <c r="R278" s="2" t="s">
        <v>18</v>
      </c>
      <c r="S278">
        <v>1</v>
      </c>
    </row>
    <row r="279" spans="1:19" x14ac:dyDescent="0.3">
      <c r="A279">
        <v>2903</v>
      </c>
      <c r="B279">
        <f>YEAR(Cleaned_HR_Data_Analysis__2[[#This Row],[Joining_Date]])</f>
        <v>2023</v>
      </c>
      <c r="C279" s="1">
        <v>44966</v>
      </c>
      <c r="D279" s="1" t="str" cm="1">
        <f t="array" ref="D279">_xlfn.IFS(E279&lt;28, "17-27",
AND(E279&gt;27, E279&lt;38), "28-37",
AND(E279&gt;37, E279 &lt;48), "38-47",
AND(E279&gt;47, E279 &lt;58), "48-57",
AND(E279&gt;57, E279&lt;68), "58-67",
AND(E279&gt;67, E279&lt;78), "68-77",
E279&gt;77,"Above than 77")</f>
        <v>17-27</v>
      </c>
      <c r="E279">
        <v>25</v>
      </c>
      <c r="F279" s="1">
        <v>35852</v>
      </c>
      <c r="G279" s="1" t="str">
        <f>VLOOKUP(H279,Table7[#All], 2, FALSE)</f>
        <v>Massachusetts</v>
      </c>
      <c r="H279" s="2" t="s">
        <v>14</v>
      </c>
      <c r="I279" s="2" t="s">
        <v>22</v>
      </c>
      <c r="J279" s="2" t="s">
        <v>31</v>
      </c>
      <c r="K279" s="2" t="s">
        <v>8</v>
      </c>
      <c r="L279" s="2" t="s">
        <v>9</v>
      </c>
      <c r="M279" s="2" t="s">
        <v>20</v>
      </c>
      <c r="N279" s="2" t="s">
        <v>19</v>
      </c>
      <c r="O279" s="2" t="s">
        <v>12</v>
      </c>
      <c r="P279" s="2" t="s">
        <v>42</v>
      </c>
      <c r="Q279" s="2" t="s">
        <v>46</v>
      </c>
      <c r="R279" s="2" t="s">
        <v>56</v>
      </c>
      <c r="S279">
        <v>3</v>
      </c>
    </row>
    <row r="280" spans="1:19" x14ac:dyDescent="0.3">
      <c r="A280">
        <v>2895</v>
      </c>
      <c r="B280">
        <f>YEAR(Cleaned_HR_Data_Analysis__2[[#This Row],[Joining_Date]])</f>
        <v>2023</v>
      </c>
      <c r="C280" s="1">
        <v>45020</v>
      </c>
      <c r="D280" s="1" t="str" cm="1">
        <f t="array" ref="D280">_xlfn.IFS(E280&lt;28, "17-27",
AND(E280&gt;27, E280&lt;38), "28-37",
AND(E280&gt;37, E280 &lt;48), "38-47",
AND(E280&gt;47, E280 &lt;58), "48-57",
AND(E280&gt;57, E280&lt;68), "58-67",
AND(E280&gt;67, E280&lt;78), "68-77",
E280&gt;77,"Above than 77")</f>
        <v>17-27</v>
      </c>
      <c r="E280">
        <v>25</v>
      </c>
      <c r="F280" s="1">
        <v>35896</v>
      </c>
      <c r="G280" s="1" t="str">
        <f>VLOOKUP(H280,Table7[#All], 2, FALSE)</f>
        <v>Massachusetts</v>
      </c>
      <c r="H280" s="2" t="s">
        <v>14</v>
      </c>
      <c r="I280" s="2" t="s">
        <v>22</v>
      </c>
      <c r="J280" s="2" t="s">
        <v>34</v>
      </c>
      <c r="K280" s="2" t="s">
        <v>8</v>
      </c>
      <c r="L280" s="2" t="s">
        <v>66</v>
      </c>
      <c r="M280" s="2" t="s">
        <v>25</v>
      </c>
      <c r="N280" s="2" t="s">
        <v>19</v>
      </c>
      <c r="O280" s="2" t="s">
        <v>12</v>
      </c>
      <c r="P280" s="2" t="s">
        <v>35</v>
      </c>
      <c r="Q280" s="2" t="s">
        <v>46</v>
      </c>
      <c r="R280" s="2" t="s">
        <v>18</v>
      </c>
      <c r="S280">
        <v>2</v>
      </c>
    </row>
    <row r="281" spans="1:19" x14ac:dyDescent="0.3">
      <c r="A281">
        <v>2817</v>
      </c>
      <c r="B281">
        <f>YEAR(Cleaned_HR_Data_Analysis__2[[#This Row],[Joining_Date]])</f>
        <v>2023</v>
      </c>
      <c r="C281" s="1">
        <v>44937</v>
      </c>
      <c r="D281" s="1" t="str" cm="1">
        <f t="array" ref="D281">_xlfn.IFS(E281&lt;28, "17-27",
AND(E281&gt;27, E281&lt;38), "28-37",
AND(E281&gt;37, E281 &lt;48), "38-47",
AND(E281&gt;47, E281 &lt;58), "48-57",
AND(E281&gt;57, E281&lt;68), "58-67",
AND(E281&gt;67, E281&lt;78), "68-77",
E281&gt;77,"Above than 77")</f>
        <v>17-27</v>
      </c>
      <c r="E281">
        <v>25</v>
      </c>
      <c r="F281" s="1">
        <v>36050</v>
      </c>
      <c r="G281" s="1" t="str">
        <f>VLOOKUP(H281,Table7[#All], 2, FALSE)</f>
        <v>Massachusetts</v>
      </c>
      <c r="H281" s="2" t="s">
        <v>14</v>
      </c>
      <c r="I281" s="2" t="s">
        <v>22</v>
      </c>
      <c r="J281" s="2" t="s">
        <v>17</v>
      </c>
      <c r="K281" s="2" t="s">
        <v>8</v>
      </c>
      <c r="L281" s="2" t="s">
        <v>9</v>
      </c>
      <c r="M281" s="2" t="s">
        <v>10</v>
      </c>
      <c r="N281" s="2" t="s">
        <v>19</v>
      </c>
      <c r="O281" s="2" t="s">
        <v>12</v>
      </c>
      <c r="P281" s="2" t="s">
        <v>35</v>
      </c>
      <c r="Q281" s="2" t="s">
        <v>16</v>
      </c>
      <c r="R281" s="2" t="s">
        <v>18</v>
      </c>
      <c r="S281">
        <v>1</v>
      </c>
    </row>
    <row r="282" spans="1:19" x14ac:dyDescent="0.3">
      <c r="A282">
        <v>2054</v>
      </c>
      <c r="B282">
        <f>YEAR(Cleaned_HR_Data_Analysis__2[[#This Row],[Joining_Date]])</f>
        <v>2018</v>
      </c>
      <c r="C282" s="1">
        <v>43398</v>
      </c>
      <c r="D282" s="1" t="str" cm="1">
        <f t="array" ref="D282">_xlfn.IFS(E282&lt;28, "17-27",
AND(E282&gt;27, E282&lt;38), "28-37",
AND(E282&gt;37, E282 &lt;48), "38-47",
AND(E282&gt;47, E282 &lt;58), "48-57",
AND(E282&gt;57, E282&lt;68), "58-67",
AND(E282&gt;67, E282&lt;78), "68-77",
E282&gt;77,"Above than 77")</f>
        <v>17-27</v>
      </c>
      <c r="E282">
        <v>25</v>
      </c>
      <c r="F282" s="1">
        <v>34333</v>
      </c>
      <c r="G282" s="1" t="str">
        <f>VLOOKUP(H282,Table7[#All], 2, FALSE)</f>
        <v>Massachusetts</v>
      </c>
      <c r="H282" s="2" t="s">
        <v>14</v>
      </c>
      <c r="I282" s="2" t="s">
        <v>15</v>
      </c>
      <c r="J282" s="2" t="s">
        <v>34</v>
      </c>
      <c r="K282" s="2" t="s">
        <v>8</v>
      </c>
      <c r="L282" s="2" t="s">
        <v>9</v>
      </c>
      <c r="M282" s="2" t="s">
        <v>10</v>
      </c>
      <c r="N282" s="2" t="s">
        <v>11</v>
      </c>
      <c r="O282" s="2" t="s">
        <v>12</v>
      </c>
      <c r="P282" s="2" t="s">
        <v>54</v>
      </c>
      <c r="Q282" s="2" t="s">
        <v>37</v>
      </c>
      <c r="R282" s="2" t="s">
        <v>18</v>
      </c>
      <c r="S282">
        <v>5</v>
      </c>
    </row>
    <row r="283" spans="1:19" x14ac:dyDescent="0.3">
      <c r="A283">
        <v>1967</v>
      </c>
      <c r="B283">
        <f>YEAR(Cleaned_HR_Data_Analysis__2[[#This Row],[Joining_Date]])</f>
        <v>2019</v>
      </c>
      <c r="C283" s="1">
        <v>43494</v>
      </c>
      <c r="D283" s="1" t="str" cm="1">
        <f t="array" ref="D283">_xlfn.IFS(E283&lt;28, "17-27",
AND(E283&gt;27, E283&lt;38), "28-37",
AND(E283&gt;37, E283 &lt;48), "38-47",
AND(E283&gt;47, E283 &lt;58), "48-57",
AND(E283&gt;57, E283&lt;68), "58-67",
AND(E283&gt;67, E283&lt;78), "68-77",
E283&gt;77,"Above than 77")</f>
        <v>17-27</v>
      </c>
      <c r="E283">
        <v>25</v>
      </c>
      <c r="F283" s="1">
        <v>34679</v>
      </c>
      <c r="G283" s="1" t="str">
        <f>VLOOKUP(H283,Table7[#All], 2, FALSE)</f>
        <v>Massachusetts</v>
      </c>
      <c r="H283" s="2" t="s">
        <v>14</v>
      </c>
      <c r="I283" s="2" t="s">
        <v>15</v>
      </c>
      <c r="J283" s="2" t="s">
        <v>31</v>
      </c>
      <c r="K283" s="2" t="s">
        <v>8</v>
      </c>
      <c r="L283" s="2" t="s">
        <v>9</v>
      </c>
      <c r="M283" s="2" t="s">
        <v>20</v>
      </c>
      <c r="N283" s="2" t="s">
        <v>19</v>
      </c>
      <c r="O283" s="2" t="s">
        <v>12</v>
      </c>
      <c r="P283" s="2" t="s">
        <v>32</v>
      </c>
      <c r="Q283" s="2" t="s">
        <v>30</v>
      </c>
      <c r="R283" s="2" t="s">
        <v>18</v>
      </c>
      <c r="S283">
        <v>2</v>
      </c>
    </row>
    <row r="284" spans="1:19" x14ac:dyDescent="0.3">
      <c r="A284">
        <v>1887</v>
      </c>
      <c r="B284">
        <f>YEAR(Cleaned_HR_Data_Analysis__2[[#This Row],[Joining_Date]])</f>
        <v>2022</v>
      </c>
      <c r="C284" s="1">
        <v>44643</v>
      </c>
      <c r="D284" s="1" t="str" cm="1">
        <f t="array" ref="D284">_xlfn.IFS(E284&lt;28, "17-27",
AND(E284&gt;27, E284&lt;38), "28-37",
AND(E284&gt;37, E284 &lt;48), "38-47",
AND(E284&gt;47, E284 &lt;58), "48-57",
AND(E284&gt;57, E284&lt;68), "58-67",
AND(E284&gt;67, E284&lt;78), "68-77",
E284&gt;77,"Above than 77")</f>
        <v>17-27</v>
      </c>
      <c r="E284">
        <v>25</v>
      </c>
      <c r="F284" s="1">
        <v>35686</v>
      </c>
      <c r="G284" s="1" t="str">
        <f>VLOOKUP(H284,Table7[#All], 2, FALSE)</f>
        <v>Massachusetts</v>
      </c>
      <c r="H284" s="2" t="s">
        <v>14</v>
      </c>
      <c r="I284" s="2" t="s">
        <v>22</v>
      </c>
      <c r="J284" s="2" t="s">
        <v>40</v>
      </c>
      <c r="K284" s="2" t="s">
        <v>8</v>
      </c>
      <c r="L284" s="2" t="s">
        <v>9</v>
      </c>
      <c r="M284" s="2" t="s">
        <v>25</v>
      </c>
      <c r="N284" s="2" t="s">
        <v>11</v>
      </c>
      <c r="O284" s="2" t="s">
        <v>12</v>
      </c>
      <c r="P284" s="2" t="s">
        <v>35</v>
      </c>
      <c r="Q284" s="2" t="s">
        <v>16</v>
      </c>
      <c r="R284" s="2" t="s">
        <v>18</v>
      </c>
      <c r="S284">
        <v>3</v>
      </c>
    </row>
    <row r="285" spans="1:19" x14ac:dyDescent="0.3">
      <c r="A285">
        <v>1871</v>
      </c>
      <c r="B285">
        <f>YEAR(Cleaned_HR_Data_Analysis__2[[#This Row],[Joining_Date]])</f>
        <v>2021</v>
      </c>
      <c r="C285" s="1">
        <v>44431</v>
      </c>
      <c r="D285" s="1" t="str" cm="1">
        <f t="array" ref="D285">_xlfn.IFS(E285&lt;28, "17-27",
AND(E285&gt;27, E285&lt;38), "28-37",
AND(E285&gt;37, E285 &lt;48), "38-47",
AND(E285&gt;47, E285 &lt;58), "48-57",
AND(E285&gt;57, E285&lt;68), "58-67",
AND(E285&gt;67, E285&lt;78), "68-77",
E285&gt;77,"Above than 77")</f>
        <v>17-27</v>
      </c>
      <c r="E285">
        <v>25</v>
      </c>
      <c r="F285" s="1">
        <v>35286</v>
      </c>
      <c r="G285" s="1" t="str">
        <f>VLOOKUP(H285,Table7[#All], 2, FALSE)</f>
        <v>Massachusetts</v>
      </c>
      <c r="H285" s="2" t="s">
        <v>14</v>
      </c>
      <c r="I285" s="2" t="s">
        <v>15</v>
      </c>
      <c r="J285" s="2" t="s">
        <v>17</v>
      </c>
      <c r="K285" s="2" t="s">
        <v>8</v>
      </c>
      <c r="L285" s="2" t="s">
        <v>9</v>
      </c>
      <c r="M285" s="2" t="s">
        <v>10</v>
      </c>
      <c r="N285" s="2" t="s">
        <v>11</v>
      </c>
      <c r="O285" s="2" t="s">
        <v>12</v>
      </c>
      <c r="P285" s="2" t="s">
        <v>59</v>
      </c>
      <c r="Q285" s="2" t="s">
        <v>16</v>
      </c>
      <c r="R285" s="2" t="s">
        <v>18</v>
      </c>
      <c r="S285">
        <v>4</v>
      </c>
    </row>
    <row r="286" spans="1:19" x14ac:dyDescent="0.3">
      <c r="A286">
        <v>1825</v>
      </c>
      <c r="B286">
        <f>YEAR(Cleaned_HR_Data_Analysis__2[[#This Row],[Joining_Date]])</f>
        <v>2021</v>
      </c>
      <c r="C286" s="1">
        <v>44332</v>
      </c>
      <c r="D286" s="1" t="str" cm="1">
        <f t="array" ref="D286">_xlfn.IFS(E286&lt;28, "17-27",
AND(E286&gt;27, E286&lt;38), "28-37",
AND(E286&gt;37, E286 &lt;48), "38-47",
AND(E286&gt;47, E286 &lt;58), "48-57",
AND(E286&gt;57, E286&lt;68), "58-67",
AND(E286&gt;67, E286&lt;78), "68-77",
E286&gt;77,"Above than 77")</f>
        <v>17-27</v>
      </c>
      <c r="E286">
        <v>25</v>
      </c>
      <c r="F286" s="1">
        <v>35404</v>
      </c>
      <c r="G286" s="1" t="str">
        <f>VLOOKUP(H286,Table7[#All], 2, FALSE)</f>
        <v>Massachusetts</v>
      </c>
      <c r="H286" s="2" t="s">
        <v>14</v>
      </c>
      <c r="I286" s="2" t="s">
        <v>22</v>
      </c>
      <c r="J286" s="2" t="s">
        <v>34</v>
      </c>
      <c r="K286" s="2" t="s">
        <v>8</v>
      </c>
      <c r="L286" s="2" t="s">
        <v>9</v>
      </c>
      <c r="M286" s="2" t="s">
        <v>10</v>
      </c>
      <c r="N286" s="2" t="s">
        <v>19</v>
      </c>
      <c r="O286" s="2" t="s">
        <v>12</v>
      </c>
      <c r="P286" s="2" t="s">
        <v>49</v>
      </c>
      <c r="Q286" s="2" t="s">
        <v>16</v>
      </c>
      <c r="R286" s="2" t="s">
        <v>18</v>
      </c>
      <c r="S286">
        <v>3</v>
      </c>
    </row>
    <row r="287" spans="1:19" x14ac:dyDescent="0.3">
      <c r="A287">
        <v>1755</v>
      </c>
      <c r="B287">
        <f>YEAR(Cleaned_HR_Data_Analysis__2[[#This Row],[Joining_Date]])</f>
        <v>2019</v>
      </c>
      <c r="C287" s="1">
        <v>43467</v>
      </c>
      <c r="D287" s="1" t="str" cm="1">
        <f t="array" ref="D287">_xlfn.IFS(E287&lt;28, "17-27",
AND(E287&gt;27, E287&lt;38), "28-37",
AND(E287&gt;37, E287 &lt;48), "38-47",
AND(E287&gt;47, E287 &lt;58), "48-57",
AND(E287&gt;57, E287&lt;68), "58-67",
AND(E287&gt;67, E287&lt;78), "68-77",
E287&gt;77,"Above than 77")</f>
        <v>17-27</v>
      </c>
      <c r="E287">
        <v>25</v>
      </c>
      <c r="F287" s="1">
        <v>34612</v>
      </c>
      <c r="G287" s="1" t="str">
        <f>VLOOKUP(H287,Table7[#All], 2, FALSE)</f>
        <v>Massachusetts</v>
      </c>
      <c r="H287" s="2" t="s">
        <v>14</v>
      </c>
      <c r="I287" s="2" t="s">
        <v>22</v>
      </c>
      <c r="J287" s="2" t="s">
        <v>17</v>
      </c>
      <c r="K287" s="2" t="s">
        <v>8</v>
      </c>
      <c r="L287" s="2" t="s">
        <v>9</v>
      </c>
      <c r="M287" s="2" t="s">
        <v>20</v>
      </c>
      <c r="N287" s="2" t="s">
        <v>26</v>
      </c>
      <c r="O287" s="2" t="s">
        <v>12</v>
      </c>
      <c r="P287" s="2" t="s">
        <v>32</v>
      </c>
      <c r="Q287" s="2" t="s">
        <v>30</v>
      </c>
      <c r="R287" s="2" t="s">
        <v>18</v>
      </c>
      <c r="S287">
        <v>1</v>
      </c>
    </row>
    <row r="288" spans="1:19" x14ac:dyDescent="0.3">
      <c r="A288">
        <v>1507</v>
      </c>
      <c r="B288">
        <f>YEAR(Cleaned_HR_Data_Analysis__2[[#This Row],[Joining_Date]])</f>
        <v>2021</v>
      </c>
      <c r="C288" s="1">
        <v>44398</v>
      </c>
      <c r="D288" s="1" t="str" cm="1">
        <f t="array" ref="D288">_xlfn.IFS(E288&lt;28, "17-27",
AND(E288&gt;27, E288&lt;38), "28-37",
AND(E288&gt;37, E288 &lt;48), "38-47",
AND(E288&gt;47, E288 &lt;58), "48-57",
AND(E288&gt;57, E288&lt;68), "58-67",
AND(E288&gt;67, E288&lt;78), "68-77",
E288&gt;77,"Above than 77")</f>
        <v>17-27</v>
      </c>
      <c r="E288">
        <v>25</v>
      </c>
      <c r="F288" s="1">
        <v>35292</v>
      </c>
      <c r="G288" s="1" t="str">
        <f>VLOOKUP(H288,Table7[#All], 2, FALSE)</f>
        <v>Massachusetts</v>
      </c>
      <c r="H288" s="2" t="s">
        <v>14</v>
      </c>
      <c r="I288" s="2" t="s">
        <v>15</v>
      </c>
      <c r="J288" s="2" t="s">
        <v>17</v>
      </c>
      <c r="K288" s="2" t="s">
        <v>8</v>
      </c>
      <c r="L288" s="2" t="s">
        <v>9</v>
      </c>
      <c r="M288" s="2" t="s">
        <v>25</v>
      </c>
      <c r="N288" s="2" t="s">
        <v>11</v>
      </c>
      <c r="O288" s="2" t="s">
        <v>12</v>
      </c>
      <c r="P288" s="2" t="s">
        <v>28</v>
      </c>
      <c r="Q288" s="2" t="s">
        <v>37</v>
      </c>
      <c r="R288" s="2" t="s">
        <v>18</v>
      </c>
      <c r="S288">
        <v>2</v>
      </c>
    </row>
    <row r="289" spans="1:19" x14ac:dyDescent="0.3">
      <c r="A289">
        <v>1480</v>
      </c>
      <c r="B289">
        <f>YEAR(Cleaned_HR_Data_Analysis__2[[#This Row],[Joining_Date]])</f>
        <v>2019</v>
      </c>
      <c r="C289" s="1">
        <v>43483</v>
      </c>
      <c r="D289" s="1" t="str" cm="1">
        <f t="array" ref="D289">_xlfn.IFS(E289&lt;28, "17-27",
AND(E289&gt;27, E289&lt;38), "28-37",
AND(E289&gt;37, E289 &lt;48), "38-47",
AND(E289&gt;47, E289 &lt;58), "48-57",
AND(E289&gt;57, E289&lt;68), "58-67",
AND(E289&gt;67, E289&lt;78), "68-77",
E289&gt;77,"Above than 77")</f>
        <v>17-27</v>
      </c>
      <c r="E289">
        <v>25</v>
      </c>
      <c r="F289" s="1">
        <v>34451</v>
      </c>
      <c r="G289" s="1" t="str">
        <f>VLOOKUP(H289,Table7[#All], 2, FALSE)</f>
        <v>Massachusetts</v>
      </c>
      <c r="H289" s="2" t="s">
        <v>14</v>
      </c>
      <c r="I289" s="2" t="s">
        <v>22</v>
      </c>
      <c r="J289" s="2" t="s">
        <v>34</v>
      </c>
      <c r="K289" s="2" t="s">
        <v>8</v>
      </c>
      <c r="L289" s="2" t="s">
        <v>9</v>
      </c>
      <c r="M289" s="2" t="s">
        <v>20</v>
      </c>
      <c r="N289" s="2" t="s">
        <v>26</v>
      </c>
      <c r="O289" s="2" t="s">
        <v>12</v>
      </c>
      <c r="P289" s="2" t="s">
        <v>58</v>
      </c>
      <c r="Q289" s="2" t="s">
        <v>37</v>
      </c>
      <c r="R289" s="2" t="s">
        <v>56</v>
      </c>
      <c r="S289">
        <v>1</v>
      </c>
    </row>
    <row r="290" spans="1:19" x14ac:dyDescent="0.3">
      <c r="A290">
        <v>1442</v>
      </c>
      <c r="B290">
        <f>YEAR(Cleaned_HR_Data_Analysis__2[[#This Row],[Joining_Date]])</f>
        <v>2018</v>
      </c>
      <c r="C290" s="1">
        <v>43370</v>
      </c>
      <c r="D290" s="1" t="str" cm="1">
        <f t="array" ref="D290">_xlfn.IFS(E290&lt;28, "17-27",
AND(E290&gt;27, E290&lt;38), "28-37",
AND(E290&gt;37, E290 &lt;48), "38-47",
AND(E290&gt;47, E290 &lt;58), "48-57",
AND(E290&gt;57, E290&lt;68), "58-67",
AND(E290&gt;67, E290&lt;78), "68-77",
E290&gt;77,"Above than 77")</f>
        <v>17-27</v>
      </c>
      <c r="E290">
        <v>25</v>
      </c>
      <c r="F290" s="1">
        <v>34160</v>
      </c>
      <c r="G290" s="1" t="str">
        <f>VLOOKUP(H290,Table7[#All], 2, FALSE)</f>
        <v>Massachusetts</v>
      </c>
      <c r="H290" s="2" t="s">
        <v>14</v>
      </c>
      <c r="I290" s="2" t="s">
        <v>15</v>
      </c>
      <c r="J290" s="2" t="s">
        <v>31</v>
      </c>
      <c r="K290" s="2" t="s">
        <v>8</v>
      </c>
      <c r="L290" s="2" t="s">
        <v>9</v>
      </c>
      <c r="M290" s="2" t="s">
        <v>25</v>
      </c>
      <c r="N290" s="2" t="s">
        <v>19</v>
      </c>
      <c r="O290" s="2" t="s">
        <v>12</v>
      </c>
      <c r="P290" s="2" t="s">
        <v>93</v>
      </c>
      <c r="Q290" s="2" t="s">
        <v>37</v>
      </c>
      <c r="R290" s="2" t="s">
        <v>56</v>
      </c>
      <c r="S290">
        <v>4</v>
      </c>
    </row>
    <row r="291" spans="1:19" x14ac:dyDescent="0.3">
      <c r="A291">
        <v>1314</v>
      </c>
      <c r="B291">
        <f>YEAR(Cleaned_HR_Data_Analysis__2[[#This Row],[Joining_Date]])</f>
        <v>2021</v>
      </c>
      <c r="C291" s="1">
        <v>44482</v>
      </c>
      <c r="D291" s="1" t="str" cm="1">
        <f t="array" ref="D291">_xlfn.IFS(E291&lt;28, "17-27",
AND(E291&gt;27, E291&lt;38), "28-37",
AND(E291&gt;37, E291 &lt;48), "38-47",
AND(E291&gt;47, E291 &lt;58), "48-57",
AND(E291&gt;57, E291&lt;68), "58-67",
AND(E291&gt;67, E291&lt;78), "68-77",
E291&gt;77,"Above than 77")</f>
        <v>17-27</v>
      </c>
      <c r="E291">
        <v>25</v>
      </c>
      <c r="F291" s="1">
        <v>35307</v>
      </c>
      <c r="G291" s="1" t="str">
        <f>VLOOKUP(H291,Table7[#All], 2, FALSE)</f>
        <v>Massachusetts</v>
      </c>
      <c r="H291" s="2" t="s">
        <v>14</v>
      </c>
      <c r="I291" s="2" t="s">
        <v>15</v>
      </c>
      <c r="J291" s="2" t="s">
        <v>40</v>
      </c>
      <c r="K291" s="2" t="s">
        <v>8</v>
      </c>
      <c r="L291" s="2" t="s">
        <v>9</v>
      </c>
      <c r="M291" s="2" t="s">
        <v>10</v>
      </c>
      <c r="N291" s="2" t="s">
        <v>11</v>
      </c>
      <c r="O291" s="2" t="s">
        <v>12</v>
      </c>
      <c r="P291" s="2" t="s">
        <v>32</v>
      </c>
      <c r="Q291" s="2" t="s">
        <v>16</v>
      </c>
      <c r="R291" s="2" t="s">
        <v>18</v>
      </c>
      <c r="S291">
        <v>5</v>
      </c>
    </row>
    <row r="292" spans="1:19" x14ac:dyDescent="0.3">
      <c r="A292">
        <v>1290</v>
      </c>
      <c r="B292">
        <f>YEAR(Cleaned_HR_Data_Analysis__2[[#This Row],[Joining_Date]])</f>
        <v>2021</v>
      </c>
      <c r="C292" s="1">
        <v>44299</v>
      </c>
      <c r="D292" s="1" t="str" cm="1">
        <f t="array" ref="D292">_xlfn.IFS(E292&lt;28, "17-27",
AND(E292&gt;27, E292&lt;38), "28-37",
AND(E292&gt;37, E292 &lt;48), "38-47",
AND(E292&gt;47, E292 &lt;58), "48-57",
AND(E292&gt;57, E292&lt;68), "58-67",
AND(E292&gt;67, E292&lt;78), "68-77",
E292&gt;77,"Above than 77")</f>
        <v>17-27</v>
      </c>
      <c r="E292">
        <v>25</v>
      </c>
      <c r="F292" s="1">
        <v>35199</v>
      </c>
      <c r="G292" s="1" t="str">
        <f>VLOOKUP(H292,Table7[#All], 2, FALSE)</f>
        <v>Massachusetts</v>
      </c>
      <c r="H292" s="2" t="s">
        <v>14</v>
      </c>
      <c r="I292" s="2" t="s">
        <v>15</v>
      </c>
      <c r="J292" s="2" t="s">
        <v>34</v>
      </c>
      <c r="K292" s="2" t="s">
        <v>8</v>
      </c>
      <c r="L292" s="2" t="s">
        <v>9</v>
      </c>
      <c r="M292" s="2" t="s">
        <v>25</v>
      </c>
      <c r="N292" s="2" t="s">
        <v>19</v>
      </c>
      <c r="O292" s="2" t="s">
        <v>12</v>
      </c>
      <c r="P292" s="2" t="s">
        <v>28</v>
      </c>
      <c r="Q292" s="2" t="s">
        <v>16</v>
      </c>
      <c r="R292" s="2" t="s">
        <v>18</v>
      </c>
      <c r="S292">
        <v>4</v>
      </c>
    </row>
    <row r="293" spans="1:19" x14ac:dyDescent="0.3">
      <c r="A293">
        <v>1223</v>
      </c>
      <c r="B293">
        <f>YEAR(Cleaned_HR_Data_Analysis__2[[#This Row],[Joining_Date]])</f>
        <v>2021</v>
      </c>
      <c r="C293" s="1">
        <v>44222</v>
      </c>
      <c r="D293" s="1" t="str" cm="1">
        <f t="array" ref="D293">_xlfn.IFS(E293&lt;28, "17-27",
AND(E293&gt;27, E293&lt;38), "28-37",
AND(E293&gt;37, E293 &lt;48), "38-47",
AND(E293&gt;47, E293 &lt;58), "48-57",
AND(E293&gt;57, E293&lt;68), "58-67",
AND(E293&gt;67, E293&lt;78), "68-77",
E293&gt;77,"Above than 77")</f>
        <v>17-27</v>
      </c>
      <c r="E293">
        <v>25</v>
      </c>
      <c r="F293" s="1">
        <v>35079</v>
      </c>
      <c r="G293" s="1" t="str">
        <f>VLOOKUP(H293,Table7[#All], 2, FALSE)</f>
        <v>Massachusetts</v>
      </c>
      <c r="H293" s="2" t="s">
        <v>14</v>
      </c>
      <c r="I293" s="2" t="s">
        <v>15</v>
      </c>
      <c r="J293" s="2" t="s">
        <v>17</v>
      </c>
      <c r="K293" s="2" t="s">
        <v>8</v>
      </c>
      <c r="L293" s="2" t="s">
        <v>9</v>
      </c>
      <c r="M293" s="2" t="s">
        <v>25</v>
      </c>
      <c r="N293" s="2" t="s">
        <v>11</v>
      </c>
      <c r="O293" s="2" t="s">
        <v>12</v>
      </c>
      <c r="P293" s="2" t="s">
        <v>42</v>
      </c>
      <c r="Q293" s="2" t="s">
        <v>46</v>
      </c>
      <c r="R293" s="2" t="s">
        <v>18</v>
      </c>
      <c r="S293">
        <v>1</v>
      </c>
    </row>
    <row r="294" spans="1:19" x14ac:dyDescent="0.3">
      <c r="A294">
        <v>1134</v>
      </c>
      <c r="B294">
        <f>YEAR(Cleaned_HR_Data_Analysis__2[[#This Row],[Joining_Date]])</f>
        <v>2021</v>
      </c>
      <c r="C294" s="1">
        <v>44536</v>
      </c>
      <c r="D294" s="1" t="str" cm="1">
        <f t="array" ref="D294">_xlfn.IFS(E294&lt;28, "17-27",
AND(E294&gt;27, E294&lt;38), "28-37",
AND(E294&gt;37, E294 &lt;48), "38-47",
AND(E294&gt;47, E294 &lt;58), "48-57",
AND(E294&gt;57, E294&lt;68), "58-67",
AND(E294&gt;67, E294&lt;78), "68-77",
E294&gt;77,"Above than 77")</f>
        <v>17-27</v>
      </c>
      <c r="E294">
        <v>25</v>
      </c>
      <c r="F294" s="1">
        <v>35315</v>
      </c>
      <c r="G294" s="1" t="str">
        <f>VLOOKUP(H294,Table7[#All], 2, FALSE)</f>
        <v>Massachusetts</v>
      </c>
      <c r="H294" s="2" t="s">
        <v>14</v>
      </c>
      <c r="I294" s="2" t="s">
        <v>15</v>
      </c>
      <c r="J294" s="2" t="s">
        <v>31</v>
      </c>
      <c r="K294" s="2" t="s">
        <v>8</v>
      </c>
      <c r="L294" s="2" t="s">
        <v>66</v>
      </c>
      <c r="M294" s="2" t="s">
        <v>20</v>
      </c>
      <c r="N294" s="2" t="s">
        <v>11</v>
      </c>
      <c r="O294" s="2" t="s">
        <v>12</v>
      </c>
      <c r="P294" s="2" t="s">
        <v>32</v>
      </c>
      <c r="Q294" s="2" t="s">
        <v>46</v>
      </c>
      <c r="R294" s="2" t="s">
        <v>18</v>
      </c>
      <c r="S294">
        <v>1</v>
      </c>
    </row>
    <row r="295" spans="1:19" x14ac:dyDescent="0.3">
      <c r="A295">
        <v>1119</v>
      </c>
      <c r="B295">
        <f>YEAR(Cleaned_HR_Data_Analysis__2[[#This Row],[Joining_Date]])</f>
        <v>2019</v>
      </c>
      <c r="C295" s="1">
        <v>43793</v>
      </c>
      <c r="D295" s="1" t="str" cm="1">
        <f t="array" ref="D295">_xlfn.IFS(E295&lt;28, "17-27",
AND(E295&gt;27, E295&lt;38), "28-37",
AND(E295&gt;37, E295 &lt;48), "38-47",
AND(E295&gt;47, E295 &lt;58), "48-57",
AND(E295&gt;57, E295&lt;68), "58-67",
AND(E295&gt;67, E295&lt;78), "68-77",
E295&gt;77,"Above than 77")</f>
        <v>17-27</v>
      </c>
      <c r="E295">
        <v>25</v>
      </c>
      <c r="F295" s="1">
        <v>34699</v>
      </c>
      <c r="G295" s="1" t="str">
        <f>VLOOKUP(H295,Table7[#All], 2, FALSE)</f>
        <v>Massachusetts</v>
      </c>
      <c r="H295" s="2" t="s">
        <v>14</v>
      </c>
      <c r="I295" s="2" t="s">
        <v>15</v>
      </c>
      <c r="J295" s="2" t="s">
        <v>31</v>
      </c>
      <c r="K295" s="2" t="s">
        <v>8</v>
      </c>
      <c r="L295" s="2" t="s">
        <v>9</v>
      </c>
      <c r="M295" s="2" t="s">
        <v>20</v>
      </c>
      <c r="N295" s="2" t="s">
        <v>11</v>
      </c>
      <c r="O295" s="2" t="s">
        <v>12</v>
      </c>
      <c r="P295" s="2" t="s">
        <v>35</v>
      </c>
      <c r="Q295" s="2" t="s">
        <v>16</v>
      </c>
      <c r="R295" s="2" t="s">
        <v>18</v>
      </c>
      <c r="S295">
        <v>4</v>
      </c>
    </row>
    <row r="296" spans="1:19" x14ac:dyDescent="0.3">
      <c r="A296">
        <v>2393</v>
      </c>
      <c r="B296">
        <f>YEAR(Cleaned_HR_Data_Analysis__2[[#This Row],[Joining_Date]])</f>
        <v>2018</v>
      </c>
      <c r="C296" s="1">
        <v>43439</v>
      </c>
      <c r="D296" s="1" t="str" cm="1">
        <f t="array" ref="D296">_xlfn.IFS(E296&lt;28, "17-27",
AND(E296&gt;27, E296&lt;38), "28-37",
AND(E296&gt;37, E296 &lt;48), "38-47",
AND(E296&gt;47, E296 &lt;58), "48-57",
AND(E296&gt;57, E296&lt;68), "58-67",
AND(E296&gt;67, E296&lt;78), "68-77",
E296&gt;77,"Above than 77")</f>
        <v>17-27</v>
      </c>
      <c r="E296">
        <v>25</v>
      </c>
      <c r="F296" s="1">
        <v>34216</v>
      </c>
      <c r="G296" s="1" t="str">
        <f>VLOOKUP(H296,Table7[#All], 2, FALSE)</f>
        <v>Massachusetts</v>
      </c>
      <c r="H296" s="2" t="s">
        <v>14</v>
      </c>
      <c r="I296" s="2" t="s">
        <v>15</v>
      </c>
      <c r="J296" s="2" t="s">
        <v>17</v>
      </c>
      <c r="K296" s="2" t="s">
        <v>91</v>
      </c>
      <c r="L296" s="2" t="s">
        <v>9</v>
      </c>
      <c r="M296" s="2" t="s">
        <v>25</v>
      </c>
      <c r="N296" s="2" t="s">
        <v>11</v>
      </c>
      <c r="O296" s="2" t="s">
        <v>12</v>
      </c>
      <c r="P296" s="2" t="s">
        <v>42</v>
      </c>
      <c r="Q296" s="2" t="s">
        <v>30</v>
      </c>
      <c r="R296" s="2" t="s">
        <v>18</v>
      </c>
      <c r="S296">
        <v>2</v>
      </c>
    </row>
    <row r="297" spans="1:19" x14ac:dyDescent="0.3">
      <c r="A297">
        <v>2324</v>
      </c>
      <c r="B297">
        <f>YEAR(Cleaned_HR_Data_Analysis__2[[#This Row],[Joining_Date]])</f>
        <v>2021</v>
      </c>
      <c r="C297" s="1">
        <v>44400</v>
      </c>
      <c r="D297" s="1" t="str" cm="1">
        <f t="array" ref="D297">_xlfn.IFS(E297&lt;28, "17-27",
AND(E297&gt;27, E297&lt;38), "28-37",
AND(E297&gt;37, E297 &lt;48), "38-47",
AND(E297&gt;47, E297 &lt;58), "48-57",
AND(E297&gt;57, E297&lt;68), "58-67",
AND(E297&gt;67, E297&lt;78), "68-77",
E297&gt;77,"Above than 77")</f>
        <v>17-27</v>
      </c>
      <c r="E297">
        <v>25</v>
      </c>
      <c r="F297" s="1">
        <v>35263</v>
      </c>
      <c r="G297" s="1" t="str">
        <f>VLOOKUP(H297,Table7[#All], 2, FALSE)</f>
        <v>Massachusetts</v>
      </c>
      <c r="H297" s="2" t="s">
        <v>14</v>
      </c>
      <c r="I297" s="2" t="s">
        <v>15</v>
      </c>
      <c r="J297" s="2" t="s">
        <v>17</v>
      </c>
      <c r="K297" s="2" t="s">
        <v>91</v>
      </c>
      <c r="L297" s="2" t="s">
        <v>66</v>
      </c>
      <c r="M297" s="2" t="s">
        <v>20</v>
      </c>
      <c r="N297" s="2" t="s">
        <v>19</v>
      </c>
      <c r="O297" s="2" t="s">
        <v>12</v>
      </c>
      <c r="P297" s="2" t="s">
        <v>32</v>
      </c>
      <c r="Q297" s="2" t="s">
        <v>37</v>
      </c>
      <c r="R297" s="2" t="s">
        <v>18</v>
      </c>
      <c r="S297">
        <v>2</v>
      </c>
    </row>
    <row r="298" spans="1:19" x14ac:dyDescent="0.3">
      <c r="A298">
        <v>2217</v>
      </c>
      <c r="B298">
        <f>YEAR(Cleaned_HR_Data_Analysis__2[[#This Row],[Joining_Date]])</f>
        <v>2020</v>
      </c>
      <c r="C298" s="1">
        <v>44158</v>
      </c>
      <c r="D298" s="1" t="str" cm="1">
        <f t="array" ref="D298">_xlfn.IFS(E298&lt;28, "17-27",
AND(E298&gt;27, E298&lt;38), "28-37",
AND(E298&gt;37, E298 &lt;48), "38-47",
AND(E298&gt;47, E298 &lt;58), "48-57",
AND(E298&gt;57, E298&lt;68), "58-67",
AND(E298&gt;67, E298&lt;78), "68-77",
E298&gt;77,"Above than 77")</f>
        <v>17-27</v>
      </c>
      <c r="E298">
        <v>25</v>
      </c>
      <c r="F298" s="1">
        <v>34901</v>
      </c>
      <c r="G298" s="1" t="str">
        <f>VLOOKUP(H298,Table7[#All], 2, FALSE)</f>
        <v>Connecticut</v>
      </c>
      <c r="H298" s="2" t="s">
        <v>36</v>
      </c>
      <c r="I298" s="2" t="s">
        <v>15</v>
      </c>
      <c r="J298" s="2" t="s">
        <v>40</v>
      </c>
      <c r="K298" s="2" t="s">
        <v>102</v>
      </c>
      <c r="L298" s="2" t="s">
        <v>9</v>
      </c>
      <c r="M298" s="2" t="s">
        <v>20</v>
      </c>
      <c r="N298" s="2" t="s">
        <v>19</v>
      </c>
      <c r="O298" s="2" t="s">
        <v>53</v>
      </c>
      <c r="P298" s="2" t="s">
        <v>62</v>
      </c>
      <c r="Q298" s="2" t="s">
        <v>23</v>
      </c>
      <c r="R298" s="2" t="s">
        <v>41</v>
      </c>
      <c r="S298">
        <v>1</v>
      </c>
    </row>
    <row r="299" spans="1:19" x14ac:dyDescent="0.3">
      <c r="A299">
        <v>2459</v>
      </c>
      <c r="B299">
        <f>YEAR(Cleaned_HR_Data_Analysis__2[[#This Row],[Joining_Date]])</f>
        <v>2020</v>
      </c>
      <c r="C299" s="1">
        <v>44180</v>
      </c>
      <c r="D299" s="1" t="str" cm="1">
        <f t="array" ref="D299">_xlfn.IFS(E299&lt;28, "17-27",
AND(E299&gt;27, E299&lt;38), "28-37",
AND(E299&gt;37, E299 &lt;48), "38-47",
AND(E299&gt;47, E299 &lt;58), "48-57",
AND(E299&gt;57, E299&lt;68), "58-67",
AND(E299&gt;67, E299&lt;78), "68-77",
E299&gt;77,"Above than 77")</f>
        <v>17-27</v>
      </c>
      <c r="E299">
        <v>25</v>
      </c>
      <c r="F299" s="1">
        <v>34890</v>
      </c>
      <c r="G299" s="1" t="str">
        <f>VLOOKUP(H299,Table7[#All], 2, FALSE)</f>
        <v>Rhode Island</v>
      </c>
      <c r="H299" s="2" t="s">
        <v>105</v>
      </c>
      <c r="I299" s="2" t="s">
        <v>15</v>
      </c>
      <c r="J299" s="2" t="s">
        <v>34</v>
      </c>
      <c r="K299" s="2" t="s">
        <v>106</v>
      </c>
      <c r="L299" s="2" t="s">
        <v>9</v>
      </c>
      <c r="M299" s="2" t="s">
        <v>25</v>
      </c>
      <c r="N299" s="2" t="s">
        <v>19</v>
      </c>
      <c r="O299" s="2" t="s">
        <v>12</v>
      </c>
      <c r="P299" s="2" t="s">
        <v>35</v>
      </c>
      <c r="Q299" s="2" t="s">
        <v>46</v>
      </c>
      <c r="R299" s="2" t="s">
        <v>18</v>
      </c>
      <c r="S299">
        <v>5</v>
      </c>
    </row>
    <row r="300" spans="1:19" x14ac:dyDescent="0.3">
      <c r="A300">
        <v>3446</v>
      </c>
      <c r="B300">
        <f>YEAR(Cleaned_HR_Data_Analysis__2[[#This Row],[Joining_Date]])</f>
        <v>2021</v>
      </c>
      <c r="C300" s="1">
        <v>44432</v>
      </c>
      <c r="D300" s="1" t="str" cm="1">
        <f t="array" ref="D300">_xlfn.IFS(E300&lt;28, "17-27",
AND(E300&gt;27, E300&lt;38), "28-37",
AND(E300&gt;37, E300 &lt;48), "38-47",
AND(E300&gt;47, E300 &lt;58), "48-57",
AND(E300&gt;57, E300&lt;68), "58-67",
AND(E300&gt;67, E300&lt;78), "68-77",
E300&gt;77,"Above than 77")</f>
        <v>17-27</v>
      </c>
      <c r="E300">
        <v>25</v>
      </c>
      <c r="F300" s="1">
        <v>35186</v>
      </c>
      <c r="G300" s="1" t="str">
        <f>VLOOKUP(H300,Table7[#All], 2, FALSE)</f>
        <v>Texas</v>
      </c>
      <c r="H300" s="2" t="s">
        <v>45</v>
      </c>
      <c r="I300" s="2" t="s">
        <v>15</v>
      </c>
      <c r="J300" s="2" t="s">
        <v>40</v>
      </c>
      <c r="K300" s="2" t="s">
        <v>24</v>
      </c>
      <c r="L300" s="2" t="s">
        <v>9</v>
      </c>
      <c r="M300" s="2" t="s">
        <v>20</v>
      </c>
      <c r="N300" s="2" t="s">
        <v>19</v>
      </c>
      <c r="O300" s="2" t="s">
        <v>27</v>
      </c>
      <c r="P300" s="2" t="s">
        <v>35</v>
      </c>
      <c r="Q300" s="2" t="s">
        <v>16</v>
      </c>
      <c r="R300" s="2" t="s">
        <v>41</v>
      </c>
      <c r="S300">
        <v>3</v>
      </c>
    </row>
    <row r="301" spans="1:19" x14ac:dyDescent="0.3">
      <c r="A301">
        <v>2717</v>
      </c>
      <c r="B301">
        <f>YEAR(Cleaned_HR_Data_Analysis__2[[#This Row],[Joining_Date]])</f>
        <v>2020</v>
      </c>
      <c r="C301" s="1">
        <v>43977</v>
      </c>
      <c r="D301" s="1" t="str" cm="1">
        <f t="array" ref="D301">_xlfn.IFS(E301&lt;28, "17-27",
AND(E301&gt;27, E301&lt;38), "28-37",
AND(E301&gt;37, E301 &lt;48), "38-47",
AND(E301&gt;47, E301 &lt;58), "48-57",
AND(E301&gt;57, E301&lt;68), "58-67",
AND(E301&gt;67, E301&lt;78), "68-77",
E301&gt;77,"Above than 77")</f>
        <v>17-27</v>
      </c>
      <c r="E301">
        <v>25</v>
      </c>
      <c r="F301" s="1">
        <v>35008</v>
      </c>
      <c r="G301" s="1" t="str">
        <f>VLOOKUP(H301,Table7[#All], 2, FALSE)</f>
        <v>Massachusetts</v>
      </c>
      <c r="H301" s="2" t="s">
        <v>14</v>
      </c>
      <c r="I301" s="2" t="s">
        <v>22</v>
      </c>
      <c r="J301" s="2" t="s">
        <v>40</v>
      </c>
      <c r="K301" s="2" t="s">
        <v>24</v>
      </c>
      <c r="L301" s="2" t="s">
        <v>9</v>
      </c>
      <c r="M301" s="2" t="s">
        <v>25</v>
      </c>
      <c r="N301" s="2" t="s">
        <v>19</v>
      </c>
      <c r="O301" s="2" t="s">
        <v>27</v>
      </c>
      <c r="P301" s="2" t="s">
        <v>35</v>
      </c>
      <c r="Q301" s="2" t="s">
        <v>37</v>
      </c>
      <c r="R301" s="2" t="s">
        <v>18</v>
      </c>
      <c r="S301">
        <v>1</v>
      </c>
    </row>
    <row r="302" spans="1:19" x14ac:dyDescent="0.3">
      <c r="A302">
        <v>3498</v>
      </c>
      <c r="B302">
        <f>YEAR(Cleaned_HR_Data_Analysis__2[[#This Row],[Joining_Date]])</f>
        <v>2023</v>
      </c>
      <c r="C302" s="1">
        <v>45042</v>
      </c>
      <c r="D302" s="1" t="str" cm="1">
        <f t="array" ref="D302">_xlfn.IFS(E302&lt;28, "17-27",
AND(E302&gt;27, E302&lt;38), "28-37",
AND(E302&gt;37, E302 &lt;48), "38-47",
AND(E302&gt;47, E302 &lt;58), "48-57",
AND(E302&gt;57, E302&lt;68), "58-67",
AND(E302&gt;67, E302&lt;78), "68-77",
E302&gt;77,"Above than 77")</f>
        <v>17-27</v>
      </c>
      <c r="E302">
        <v>25</v>
      </c>
      <c r="F302" s="1">
        <v>36085</v>
      </c>
      <c r="G302" s="1" t="str">
        <f>VLOOKUP(H302,Table7[#All], 2, FALSE)</f>
        <v>Kentucky</v>
      </c>
      <c r="H302" s="2" t="s">
        <v>51</v>
      </c>
      <c r="I302" s="2" t="s">
        <v>15</v>
      </c>
      <c r="J302" s="2" t="s">
        <v>17</v>
      </c>
      <c r="K302" s="2" t="s">
        <v>24</v>
      </c>
      <c r="L302" s="2" t="s">
        <v>9</v>
      </c>
      <c r="M302" s="2" t="s">
        <v>25</v>
      </c>
      <c r="N302" s="2" t="s">
        <v>19</v>
      </c>
      <c r="O302" s="2" t="s">
        <v>27</v>
      </c>
      <c r="P302" s="2" t="s">
        <v>28</v>
      </c>
      <c r="Q302" s="2" t="s">
        <v>16</v>
      </c>
      <c r="R302" s="2" t="s">
        <v>18</v>
      </c>
      <c r="S302">
        <v>3</v>
      </c>
    </row>
    <row r="303" spans="1:19" x14ac:dyDescent="0.3">
      <c r="A303">
        <v>3488</v>
      </c>
      <c r="B303">
        <f>YEAR(Cleaned_HR_Data_Analysis__2[[#This Row],[Joining_Date]])</f>
        <v>2022</v>
      </c>
      <c r="C303" s="1">
        <v>44813</v>
      </c>
      <c r="D303" s="1" t="str" cm="1">
        <f t="array" ref="D303">_xlfn.IFS(E303&lt;28, "17-27",
AND(E303&gt;27, E303&lt;38), "28-37",
AND(E303&gt;37, E303 &lt;48), "38-47",
AND(E303&gt;47, E303 &lt;58), "48-57",
AND(E303&gt;57, E303&lt;68), "58-67",
AND(E303&gt;67, E303&lt;78), "68-77",
E303&gt;77,"Above than 77")</f>
        <v>17-27</v>
      </c>
      <c r="E303">
        <v>25</v>
      </c>
      <c r="F303" s="1">
        <v>35746</v>
      </c>
      <c r="G303" s="1" t="str">
        <f>VLOOKUP(H303,Table7[#All], 2, FALSE)</f>
        <v>Kentucky</v>
      </c>
      <c r="H303" s="2" t="s">
        <v>51</v>
      </c>
      <c r="I303" s="2" t="s">
        <v>15</v>
      </c>
      <c r="J303" s="2" t="s">
        <v>31</v>
      </c>
      <c r="K303" s="2" t="s">
        <v>24</v>
      </c>
      <c r="L303" s="2" t="s">
        <v>9</v>
      </c>
      <c r="M303" s="2" t="s">
        <v>10</v>
      </c>
      <c r="N303" s="2" t="s">
        <v>26</v>
      </c>
      <c r="O303" s="2" t="s">
        <v>27</v>
      </c>
      <c r="P303" s="2" t="s">
        <v>59</v>
      </c>
      <c r="Q303" s="2" t="s">
        <v>46</v>
      </c>
      <c r="R303" s="2" t="s">
        <v>18</v>
      </c>
      <c r="S303">
        <v>5</v>
      </c>
    </row>
    <row r="304" spans="1:19" x14ac:dyDescent="0.3">
      <c r="A304">
        <v>2690</v>
      </c>
      <c r="B304">
        <f>YEAR(Cleaned_HR_Data_Analysis__2[[#This Row],[Joining_Date]])</f>
        <v>2022</v>
      </c>
      <c r="C304" s="1">
        <v>44663</v>
      </c>
      <c r="D304" s="1" t="str" cm="1">
        <f t="array" ref="D304">_xlfn.IFS(E304&lt;28, "17-27",
AND(E304&gt;27, E304&lt;38), "28-37",
AND(E304&gt;37, E304 &lt;48), "38-47",
AND(E304&gt;47, E304 &lt;58), "48-57",
AND(E304&gt;57, E304&lt;68), "58-67",
AND(E304&gt;67, E304&lt;78), "68-77",
E304&gt;77,"Above than 77")</f>
        <v>17-27</v>
      </c>
      <c r="E304">
        <v>25</v>
      </c>
      <c r="F304" s="1">
        <v>35534</v>
      </c>
      <c r="G304" s="1" t="str">
        <f>VLOOKUP(H304,Table7[#All], 2, FALSE)</f>
        <v>Arizona</v>
      </c>
      <c r="H304" s="2" t="s">
        <v>114</v>
      </c>
      <c r="I304" s="2" t="s">
        <v>22</v>
      </c>
      <c r="J304" s="2" t="s">
        <v>34</v>
      </c>
      <c r="K304" s="2" t="s">
        <v>24</v>
      </c>
      <c r="L304" s="2" t="s">
        <v>9</v>
      </c>
      <c r="M304" s="2" t="s">
        <v>20</v>
      </c>
      <c r="N304" s="2" t="s">
        <v>26</v>
      </c>
      <c r="O304" s="2" t="s">
        <v>27</v>
      </c>
      <c r="P304" s="2" t="s">
        <v>54</v>
      </c>
      <c r="Q304" s="2" t="s">
        <v>37</v>
      </c>
      <c r="R304" s="2" t="s">
        <v>18</v>
      </c>
      <c r="S304">
        <v>3</v>
      </c>
    </row>
    <row r="305" spans="1:19" x14ac:dyDescent="0.3">
      <c r="A305">
        <v>2590</v>
      </c>
      <c r="B305">
        <f>YEAR(Cleaned_HR_Data_Analysis__2[[#This Row],[Joining_Date]])</f>
        <v>2023</v>
      </c>
      <c r="C305" s="1">
        <v>44939</v>
      </c>
      <c r="D305" s="1" t="str" cm="1">
        <f t="array" ref="D305">_xlfn.IFS(E305&lt;28, "17-27",
AND(E305&gt;27, E305&lt;38), "28-37",
AND(E305&gt;37, E305 &lt;48), "38-47",
AND(E305&gt;47, E305 &lt;58), "48-57",
AND(E305&gt;57, E305&lt;68), "58-67",
AND(E305&gt;67, E305&lt;78), "68-77",
E305&gt;77,"Above than 77")</f>
        <v>17-27</v>
      </c>
      <c r="E305">
        <v>25</v>
      </c>
      <c r="F305" s="1">
        <v>35833</v>
      </c>
      <c r="G305" s="1" t="str">
        <f>VLOOKUP(H305,Table7[#All], 2, FALSE)</f>
        <v>Arizona</v>
      </c>
      <c r="H305" s="2" t="s">
        <v>114</v>
      </c>
      <c r="I305" s="2" t="s">
        <v>22</v>
      </c>
      <c r="J305" s="2" t="s">
        <v>34</v>
      </c>
      <c r="K305" s="2" t="s">
        <v>24</v>
      </c>
      <c r="L305" s="2" t="s">
        <v>9</v>
      </c>
      <c r="M305" s="2" t="s">
        <v>20</v>
      </c>
      <c r="N305" s="2" t="s">
        <v>19</v>
      </c>
      <c r="O305" s="2" t="s">
        <v>27</v>
      </c>
      <c r="P305" s="2" t="s">
        <v>42</v>
      </c>
      <c r="Q305" s="2" t="s">
        <v>46</v>
      </c>
      <c r="R305" s="2" t="s">
        <v>18</v>
      </c>
      <c r="S305">
        <v>1</v>
      </c>
    </row>
    <row r="306" spans="1:19" x14ac:dyDescent="0.3">
      <c r="A306">
        <v>2617</v>
      </c>
      <c r="B306">
        <f>YEAR(Cleaned_HR_Data_Analysis__2[[#This Row],[Joining_Date]])</f>
        <v>2020</v>
      </c>
      <c r="C306" s="1">
        <v>44045</v>
      </c>
      <c r="D306" s="1" t="str" cm="1">
        <f t="array" ref="D306">_xlfn.IFS(E306&lt;28, "17-27",
AND(E306&gt;27, E306&lt;38), "28-37",
AND(E306&gt;37, E306 &lt;48), "38-47",
AND(E306&gt;47, E306 &lt;58), "48-57",
AND(E306&gt;57, E306&lt;68), "58-67",
AND(E306&gt;67, E306&lt;78), "68-77",
E306&gt;77,"Above than 77")</f>
        <v>17-27</v>
      </c>
      <c r="E306">
        <v>25</v>
      </c>
      <c r="F306" s="1">
        <v>34815</v>
      </c>
      <c r="G306" s="1" t="str">
        <f>VLOOKUP(H306,Table7[#All], 2, FALSE)</f>
        <v>Washington</v>
      </c>
      <c r="H306" s="2" t="s">
        <v>113</v>
      </c>
      <c r="I306" s="2" t="s">
        <v>15</v>
      </c>
      <c r="J306" s="2" t="s">
        <v>31</v>
      </c>
      <c r="K306" s="2" t="s">
        <v>95</v>
      </c>
      <c r="L306" s="2" t="s">
        <v>9</v>
      </c>
      <c r="M306" s="2" t="s">
        <v>25</v>
      </c>
      <c r="N306" s="2" t="s">
        <v>11</v>
      </c>
      <c r="O306" s="2" t="s">
        <v>27</v>
      </c>
      <c r="P306" s="2" t="s">
        <v>60</v>
      </c>
      <c r="Q306" s="2" t="s">
        <v>23</v>
      </c>
      <c r="R306" s="2" t="s">
        <v>18</v>
      </c>
      <c r="S306">
        <v>4</v>
      </c>
    </row>
    <row r="307" spans="1:19" x14ac:dyDescent="0.3">
      <c r="A307">
        <v>2618</v>
      </c>
      <c r="B307">
        <f>YEAR(Cleaned_HR_Data_Analysis__2[[#This Row],[Joining_Date]])</f>
        <v>2019</v>
      </c>
      <c r="C307" s="1">
        <v>43620</v>
      </c>
      <c r="D307" s="1" t="str" cm="1">
        <f t="array" ref="D307">_xlfn.IFS(E307&lt;28, "17-27",
AND(E307&gt;27, E307&lt;38), "28-37",
AND(E307&gt;37, E307 &lt;48), "38-47",
AND(E307&gt;47, E307 &lt;58), "48-57",
AND(E307&gt;57, E307&lt;68), "58-67",
AND(E307&gt;67, E307&lt;78), "68-77",
E307&gt;77,"Above than 77")</f>
        <v>17-27</v>
      </c>
      <c r="E307">
        <v>25</v>
      </c>
      <c r="F307" s="1">
        <v>34658</v>
      </c>
      <c r="G307" s="1" t="str">
        <f>VLOOKUP(H307,Table7[#All], 2, FALSE)</f>
        <v>Massachusetts</v>
      </c>
      <c r="H307" s="2" t="s">
        <v>14</v>
      </c>
      <c r="I307" s="2" t="s">
        <v>15</v>
      </c>
      <c r="J307" s="2" t="s">
        <v>34</v>
      </c>
      <c r="K307" s="2" t="s">
        <v>96</v>
      </c>
      <c r="L307" s="2" t="s">
        <v>9</v>
      </c>
      <c r="M307" s="2" t="s">
        <v>20</v>
      </c>
      <c r="N307" s="2" t="s">
        <v>19</v>
      </c>
      <c r="O307" s="2" t="s">
        <v>90</v>
      </c>
      <c r="P307" s="2" t="s">
        <v>59</v>
      </c>
      <c r="Q307" s="2" t="s">
        <v>16</v>
      </c>
      <c r="R307" s="2" t="s">
        <v>18</v>
      </c>
      <c r="S307">
        <v>3</v>
      </c>
    </row>
    <row r="308" spans="1:19" x14ac:dyDescent="0.3">
      <c r="A308">
        <v>1033</v>
      </c>
      <c r="B308">
        <f>YEAR(Cleaned_HR_Data_Analysis__2[[#This Row],[Joining_Date]])</f>
        <v>2023</v>
      </c>
      <c r="C308" s="1">
        <v>45013</v>
      </c>
      <c r="D308" s="1" t="str" cm="1">
        <f t="array" ref="D308">_xlfn.IFS(E308&lt;28, "17-27",
AND(E308&gt;27, E308&lt;38), "28-37",
AND(E308&gt;37, E308 &lt;48), "38-47",
AND(E308&gt;47, E308 &lt;58), "48-57",
AND(E308&gt;57, E308&lt;68), "58-67",
AND(E308&gt;67, E308&lt;78), "68-77",
E308&gt;77,"Above than 77")</f>
        <v>17-27</v>
      </c>
      <c r="E308">
        <v>26</v>
      </c>
      <c r="F308" s="1">
        <v>35517</v>
      </c>
      <c r="G308" s="1" t="str">
        <f>VLOOKUP(H308,Table7[#All], 2, FALSE)</f>
        <v>Massachusetts</v>
      </c>
      <c r="H308" s="2" t="s">
        <v>14</v>
      </c>
      <c r="I308" s="2" t="s">
        <v>22</v>
      </c>
      <c r="J308" s="2" t="s">
        <v>31</v>
      </c>
      <c r="K308" s="2" t="s">
        <v>88</v>
      </c>
      <c r="L308" s="2" t="s">
        <v>9</v>
      </c>
      <c r="M308" s="2" t="s">
        <v>10</v>
      </c>
      <c r="N308" s="2" t="s">
        <v>26</v>
      </c>
      <c r="O308" s="2" t="s">
        <v>87</v>
      </c>
      <c r="P308" s="2" t="s">
        <v>35</v>
      </c>
      <c r="Q308" s="2" t="s">
        <v>30</v>
      </c>
      <c r="R308" s="2" t="s">
        <v>18</v>
      </c>
      <c r="S308">
        <v>1</v>
      </c>
    </row>
    <row r="309" spans="1:19" x14ac:dyDescent="0.3">
      <c r="A309">
        <v>1023</v>
      </c>
      <c r="B309">
        <f>YEAR(Cleaned_HR_Data_Analysis__2[[#This Row],[Joining_Date]])</f>
        <v>2018</v>
      </c>
      <c r="C309" s="1">
        <v>43413</v>
      </c>
      <c r="D309" s="1" t="str" cm="1">
        <f t="array" ref="D309">_xlfn.IFS(E309&lt;28, "17-27",
AND(E309&gt;27, E309&lt;38), "28-37",
AND(E309&gt;37, E309 &lt;48), "38-47",
AND(E309&gt;47, E309 &lt;58), "48-57",
AND(E309&gt;57, E309&lt;68), "58-67",
AND(E309&gt;67, E309&lt;78), "68-77",
E309&gt;77,"Above than 77")</f>
        <v>17-27</v>
      </c>
      <c r="E309">
        <v>26</v>
      </c>
      <c r="F309" s="1">
        <v>33699</v>
      </c>
      <c r="G309" s="1" t="str">
        <f>VLOOKUP(H309,Table7[#All], 2, FALSE)</f>
        <v>Massachusetts</v>
      </c>
      <c r="H309" s="2" t="s">
        <v>14</v>
      </c>
      <c r="I309" s="2" t="s">
        <v>22</v>
      </c>
      <c r="J309" s="2" t="s">
        <v>40</v>
      </c>
      <c r="K309" s="2" t="s">
        <v>88</v>
      </c>
      <c r="L309" s="2" t="s">
        <v>9</v>
      </c>
      <c r="M309" s="2" t="s">
        <v>10</v>
      </c>
      <c r="N309" s="2" t="s">
        <v>11</v>
      </c>
      <c r="O309" s="2" t="s">
        <v>87</v>
      </c>
      <c r="P309" s="2" t="s">
        <v>32</v>
      </c>
      <c r="Q309" s="2" t="s">
        <v>23</v>
      </c>
      <c r="R309" s="2" t="s">
        <v>18</v>
      </c>
      <c r="S309">
        <v>4</v>
      </c>
    </row>
    <row r="310" spans="1:19" x14ac:dyDescent="0.3">
      <c r="A310">
        <v>1638</v>
      </c>
      <c r="B310">
        <f>YEAR(Cleaned_HR_Data_Analysis__2[[#This Row],[Joining_Date]])</f>
        <v>2020</v>
      </c>
      <c r="C310" s="1">
        <v>43852</v>
      </c>
      <c r="D310" s="1" t="str" cm="1">
        <f t="array" ref="D310">_xlfn.IFS(E310&lt;28, "17-27",
AND(E310&gt;27, E310&lt;38), "28-37",
AND(E310&gt;37, E310 &lt;48), "38-47",
AND(E310&gt;47, E310 &lt;58), "48-57",
AND(E310&gt;57, E310&lt;68), "58-67",
AND(E310&gt;67, E310&lt;78), "68-77",
E310&gt;77,"Above than 77")</f>
        <v>17-27</v>
      </c>
      <c r="E310">
        <v>26</v>
      </c>
      <c r="F310" s="1">
        <v>34535</v>
      </c>
      <c r="G310" s="1" t="str">
        <f>VLOOKUP(H310,Table7[#All], 2, FALSE)</f>
        <v>Massachusetts</v>
      </c>
      <c r="H310" s="2" t="s">
        <v>14</v>
      </c>
      <c r="I310" s="2" t="s">
        <v>22</v>
      </c>
      <c r="J310" s="2" t="s">
        <v>40</v>
      </c>
      <c r="K310" s="2" t="s">
        <v>98</v>
      </c>
      <c r="L310" s="2" t="s">
        <v>9</v>
      </c>
      <c r="M310" s="2" t="s">
        <v>25</v>
      </c>
      <c r="N310" s="2" t="s">
        <v>26</v>
      </c>
      <c r="O310" s="2" t="s">
        <v>27</v>
      </c>
      <c r="P310" s="2" t="s">
        <v>13</v>
      </c>
      <c r="Q310" s="2" t="s">
        <v>46</v>
      </c>
      <c r="R310" s="2" t="s">
        <v>18</v>
      </c>
      <c r="S310">
        <v>4</v>
      </c>
    </row>
    <row r="311" spans="1:19" x14ac:dyDescent="0.3">
      <c r="A311">
        <v>2186</v>
      </c>
      <c r="B311">
        <f>YEAR(Cleaned_HR_Data_Analysis__2[[#This Row],[Joining_Date]])</f>
        <v>2023</v>
      </c>
      <c r="C311" s="1">
        <v>44988</v>
      </c>
      <c r="D311" s="1" t="str" cm="1">
        <f t="array" ref="D311">_xlfn.IFS(E311&lt;28, "17-27",
AND(E311&gt;27, E311&lt;38), "28-37",
AND(E311&gt;37, E311 &lt;48), "38-47",
AND(E311&gt;47, E311 &lt;58), "48-57",
AND(E311&gt;57, E311&lt;68), "58-67",
AND(E311&gt;67, E311&lt;78), "68-77",
E311&gt;77,"Above than 77")</f>
        <v>17-27</v>
      </c>
      <c r="E311">
        <v>26</v>
      </c>
      <c r="F311" s="1">
        <v>35567</v>
      </c>
      <c r="G311" s="1" t="str">
        <f>VLOOKUP(H311,Table7[#All], 2, FALSE)</f>
        <v>Massachusetts</v>
      </c>
      <c r="H311" s="2" t="s">
        <v>14</v>
      </c>
      <c r="I311" s="2" t="s">
        <v>22</v>
      </c>
      <c r="J311" s="2" t="s">
        <v>34</v>
      </c>
      <c r="K311" s="2" t="s">
        <v>64</v>
      </c>
      <c r="L311" s="2" t="s">
        <v>9</v>
      </c>
      <c r="M311" s="2" t="s">
        <v>20</v>
      </c>
      <c r="N311" s="2" t="s">
        <v>19</v>
      </c>
      <c r="O311" s="2" t="s">
        <v>12</v>
      </c>
      <c r="P311" s="2" t="s">
        <v>35</v>
      </c>
      <c r="Q311" s="2" t="s">
        <v>23</v>
      </c>
      <c r="R311" s="2" t="s">
        <v>41</v>
      </c>
      <c r="S311">
        <v>1</v>
      </c>
    </row>
    <row r="312" spans="1:19" x14ac:dyDescent="0.3">
      <c r="A312">
        <v>2095</v>
      </c>
      <c r="B312">
        <f>YEAR(Cleaned_HR_Data_Analysis__2[[#This Row],[Joining_Date]])</f>
        <v>2023</v>
      </c>
      <c r="C312" s="1">
        <v>45121</v>
      </c>
      <c r="D312" s="1" t="str" cm="1">
        <f t="array" ref="D312">_xlfn.IFS(E312&lt;28, "17-27",
AND(E312&gt;27, E312&lt;38), "28-37",
AND(E312&gt;37, E312 &lt;48), "38-47",
AND(E312&gt;47, E312 &lt;58), "48-57",
AND(E312&gt;57, E312&lt;68), "58-67",
AND(E312&gt;67, E312&lt;78), "68-77",
E312&gt;77,"Above than 77")</f>
        <v>17-27</v>
      </c>
      <c r="E312">
        <v>26</v>
      </c>
      <c r="F312" s="1">
        <v>35722</v>
      </c>
      <c r="G312" s="1" t="str">
        <f>VLOOKUP(H312,Table7[#All], 2, FALSE)</f>
        <v>Massachusetts</v>
      </c>
      <c r="H312" s="2" t="s">
        <v>14</v>
      </c>
      <c r="I312" s="2" t="s">
        <v>15</v>
      </c>
      <c r="J312" s="2" t="s">
        <v>40</v>
      </c>
      <c r="K312" s="2" t="s">
        <v>64</v>
      </c>
      <c r="L312" s="2" t="s">
        <v>9</v>
      </c>
      <c r="M312" s="2" t="s">
        <v>25</v>
      </c>
      <c r="N312" s="2" t="s">
        <v>19</v>
      </c>
      <c r="O312" s="2" t="s">
        <v>12</v>
      </c>
      <c r="P312" s="2" t="s">
        <v>54</v>
      </c>
      <c r="Q312" s="2" t="s">
        <v>30</v>
      </c>
      <c r="R312" s="2" t="s">
        <v>18</v>
      </c>
      <c r="S312">
        <v>3</v>
      </c>
    </row>
    <row r="313" spans="1:19" x14ac:dyDescent="0.3">
      <c r="A313">
        <v>1513</v>
      </c>
      <c r="B313">
        <f>YEAR(Cleaned_HR_Data_Analysis__2[[#This Row],[Joining_Date]])</f>
        <v>2019</v>
      </c>
      <c r="C313" s="1">
        <v>43820</v>
      </c>
      <c r="D313" s="1" t="str" cm="1">
        <f t="array" ref="D313">_xlfn.IFS(E313&lt;28, "17-27",
AND(E313&gt;27, E313&lt;38), "28-37",
AND(E313&gt;37, E313 &lt;48), "38-47",
AND(E313&gt;47, E313 &lt;58), "48-57",
AND(E313&gt;57, E313&lt;68), "58-67",
AND(E313&gt;67, E313&lt;78), "68-77",
E313&gt;77,"Above than 77")</f>
        <v>17-27</v>
      </c>
      <c r="E313">
        <v>26</v>
      </c>
      <c r="F313" s="1">
        <v>34245</v>
      </c>
      <c r="G313" s="1" t="str">
        <f>VLOOKUP(H313,Table7[#All], 2, FALSE)</f>
        <v>Massachusetts</v>
      </c>
      <c r="H313" s="2" t="s">
        <v>14</v>
      </c>
      <c r="I313" s="2" t="s">
        <v>22</v>
      </c>
      <c r="J313" s="2" t="s">
        <v>17</v>
      </c>
      <c r="K313" s="2" t="s">
        <v>64</v>
      </c>
      <c r="L313" s="2" t="s">
        <v>9</v>
      </c>
      <c r="M313" s="2" t="s">
        <v>10</v>
      </c>
      <c r="N313" s="2" t="s">
        <v>11</v>
      </c>
      <c r="O313" s="2" t="s">
        <v>12</v>
      </c>
      <c r="P313" s="2" t="s">
        <v>38</v>
      </c>
      <c r="Q313" s="2" t="s">
        <v>30</v>
      </c>
      <c r="R313" s="2" t="s">
        <v>18</v>
      </c>
      <c r="S313">
        <v>3</v>
      </c>
    </row>
    <row r="314" spans="1:19" x14ac:dyDescent="0.3">
      <c r="A314">
        <v>1106</v>
      </c>
      <c r="B314">
        <f>YEAR(Cleaned_HR_Data_Analysis__2[[#This Row],[Joining_Date]])</f>
        <v>2021</v>
      </c>
      <c r="C314" s="1">
        <v>44426</v>
      </c>
      <c r="D314" s="1" t="str" cm="1">
        <f t="array" ref="D314">_xlfn.IFS(E314&lt;28, "17-27",
AND(E314&gt;27, E314&lt;38), "28-37",
AND(E314&gt;37, E314 &lt;48), "38-47",
AND(E314&gt;47, E314 &lt;58), "48-57",
AND(E314&gt;57, E314&lt;68), "58-67",
AND(E314&gt;67, E314&lt;78), "68-77",
E314&gt;77,"Above than 77")</f>
        <v>17-27</v>
      </c>
      <c r="E314">
        <v>26</v>
      </c>
      <c r="F314" s="1">
        <v>34700</v>
      </c>
      <c r="G314" s="1" t="str">
        <f>VLOOKUP(H314,Table7[#All], 2, FALSE)</f>
        <v>Massachusetts</v>
      </c>
      <c r="H314" s="2" t="s">
        <v>14</v>
      </c>
      <c r="I314" s="2" t="s">
        <v>22</v>
      </c>
      <c r="J314" s="2" t="s">
        <v>31</v>
      </c>
      <c r="K314" s="2" t="s">
        <v>64</v>
      </c>
      <c r="L314" s="2" t="s">
        <v>9</v>
      </c>
      <c r="M314" s="2" t="s">
        <v>25</v>
      </c>
      <c r="N314" s="2" t="s">
        <v>26</v>
      </c>
      <c r="O314" s="2" t="s">
        <v>12</v>
      </c>
      <c r="P314" s="2" t="s">
        <v>21</v>
      </c>
      <c r="Q314" s="2" t="s">
        <v>30</v>
      </c>
      <c r="R314" s="2" t="s">
        <v>18</v>
      </c>
      <c r="S314">
        <v>3</v>
      </c>
    </row>
    <row r="315" spans="1:19" x14ac:dyDescent="0.3">
      <c r="A315">
        <v>3653</v>
      </c>
      <c r="B315">
        <f>YEAR(Cleaned_HR_Data_Analysis__2[[#This Row],[Joining_Date]])</f>
        <v>2021</v>
      </c>
      <c r="C315" s="1">
        <v>44231</v>
      </c>
      <c r="D315" s="1" t="str" cm="1">
        <f t="array" ref="D315">_xlfn.IFS(E315&lt;28, "17-27",
AND(E315&gt;27, E315&lt;38), "28-37",
AND(E315&gt;37, E315 &lt;48), "38-47",
AND(E315&gt;47, E315 &lt;58), "48-57",
AND(E315&gt;57, E315&lt;68), "58-67",
AND(E315&gt;67, E315&lt;78), "68-77",
E315&gt;77,"Above than 77")</f>
        <v>17-27</v>
      </c>
      <c r="E315">
        <v>26</v>
      </c>
      <c r="F315" s="1">
        <v>34879</v>
      </c>
      <c r="G315" s="1" t="str">
        <f>VLOOKUP(H315,Table7[#All], 2, FALSE)</f>
        <v>Massachusetts</v>
      </c>
      <c r="H315" s="2" t="s">
        <v>14</v>
      </c>
      <c r="I315" s="2" t="s">
        <v>22</v>
      </c>
      <c r="J315" s="2" t="s">
        <v>17</v>
      </c>
      <c r="K315" s="2" t="s">
        <v>8</v>
      </c>
      <c r="L315" s="2" t="s">
        <v>66</v>
      </c>
      <c r="M315" s="2" t="s">
        <v>10</v>
      </c>
      <c r="N315" s="2" t="s">
        <v>26</v>
      </c>
      <c r="O315" s="2" t="s">
        <v>12</v>
      </c>
      <c r="P315" s="2" t="s">
        <v>32</v>
      </c>
      <c r="Q315" s="2" t="s">
        <v>46</v>
      </c>
      <c r="R315" s="2" t="s">
        <v>41</v>
      </c>
      <c r="S315">
        <v>4</v>
      </c>
    </row>
    <row r="316" spans="1:19" x14ac:dyDescent="0.3">
      <c r="A316">
        <v>3418</v>
      </c>
      <c r="B316">
        <f>YEAR(Cleaned_HR_Data_Analysis__2[[#This Row],[Joining_Date]])</f>
        <v>2022</v>
      </c>
      <c r="C316" s="1">
        <v>44848</v>
      </c>
      <c r="D316" s="1" t="str" cm="1">
        <f t="array" ref="D316">_xlfn.IFS(E316&lt;28, "17-27",
AND(E316&gt;27, E316&lt;38), "28-37",
AND(E316&gt;37, E316 &lt;48), "38-47",
AND(E316&gt;47, E316 &lt;58), "48-57",
AND(E316&gt;57, E316&lt;68), "58-67",
AND(E316&gt;67, E316&lt;78), "68-77",
E316&gt;77,"Above than 77")</f>
        <v>17-27</v>
      </c>
      <c r="E316">
        <v>26</v>
      </c>
      <c r="F316" s="1">
        <v>35289</v>
      </c>
      <c r="G316" s="1" t="str">
        <f>VLOOKUP(H316,Table7[#All], 2, FALSE)</f>
        <v>Massachusetts</v>
      </c>
      <c r="H316" s="2" t="s">
        <v>14</v>
      </c>
      <c r="I316" s="2" t="s">
        <v>15</v>
      </c>
      <c r="J316" s="2" t="s">
        <v>17</v>
      </c>
      <c r="K316" s="2" t="s">
        <v>8</v>
      </c>
      <c r="L316" s="2" t="s">
        <v>9</v>
      </c>
      <c r="M316" s="2" t="s">
        <v>20</v>
      </c>
      <c r="N316" s="2" t="s">
        <v>26</v>
      </c>
      <c r="O316" s="2" t="s">
        <v>12</v>
      </c>
      <c r="P316" s="2" t="s">
        <v>32</v>
      </c>
      <c r="Q316" s="2" t="s">
        <v>46</v>
      </c>
      <c r="R316" s="2" t="s">
        <v>18</v>
      </c>
      <c r="S316">
        <v>3</v>
      </c>
    </row>
    <row r="317" spans="1:19" x14ac:dyDescent="0.3">
      <c r="A317">
        <v>3194</v>
      </c>
      <c r="B317">
        <f>YEAR(Cleaned_HR_Data_Analysis__2[[#This Row],[Joining_Date]])</f>
        <v>2021</v>
      </c>
      <c r="C317" s="1">
        <v>44280</v>
      </c>
      <c r="D317" s="1" t="str" cm="1">
        <f t="array" ref="D317">_xlfn.IFS(E317&lt;28, "17-27",
AND(E317&gt;27, E317&lt;38), "28-37",
AND(E317&gt;37, E317 &lt;48), "38-47",
AND(E317&gt;47, E317 &lt;58), "48-57",
AND(E317&gt;57, E317&lt;68), "58-67",
AND(E317&gt;67, E317&lt;78), "68-77",
E317&gt;77,"Above than 77")</f>
        <v>17-27</v>
      </c>
      <c r="E317">
        <v>26</v>
      </c>
      <c r="F317" s="1">
        <v>34922</v>
      </c>
      <c r="G317" s="1" t="str">
        <f>VLOOKUP(H317,Table7[#All], 2, FALSE)</f>
        <v>Massachusetts</v>
      </c>
      <c r="H317" s="2" t="s">
        <v>14</v>
      </c>
      <c r="I317" s="2" t="s">
        <v>15</v>
      </c>
      <c r="J317" s="2" t="s">
        <v>40</v>
      </c>
      <c r="K317" s="2" t="s">
        <v>8</v>
      </c>
      <c r="L317" s="2" t="s">
        <v>9</v>
      </c>
      <c r="M317" s="2" t="s">
        <v>10</v>
      </c>
      <c r="N317" s="2" t="s">
        <v>26</v>
      </c>
      <c r="O317" s="2" t="s">
        <v>12</v>
      </c>
      <c r="P317" s="2" t="s">
        <v>35</v>
      </c>
      <c r="Q317" s="2" t="s">
        <v>46</v>
      </c>
      <c r="R317" s="2" t="s">
        <v>18</v>
      </c>
      <c r="S317">
        <v>5</v>
      </c>
    </row>
    <row r="318" spans="1:19" x14ac:dyDescent="0.3">
      <c r="A318">
        <v>3166</v>
      </c>
      <c r="B318">
        <f>YEAR(Cleaned_HR_Data_Analysis__2[[#This Row],[Joining_Date]])</f>
        <v>2019</v>
      </c>
      <c r="C318" s="1">
        <v>43683</v>
      </c>
      <c r="D318" s="1" t="str" cm="1">
        <f t="array" ref="D318">_xlfn.IFS(E318&lt;28, "17-27",
AND(E318&gt;27, E318&lt;38), "28-37",
AND(E318&gt;37, E318 &lt;48), "38-47",
AND(E318&gt;47, E318 &lt;58), "48-57",
AND(E318&gt;57, E318&lt;68), "58-67",
AND(E318&gt;67, E318&lt;78), "68-77",
E318&gt;77,"Above than 77")</f>
        <v>17-27</v>
      </c>
      <c r="E318">
        <v>26</v>
      </c>
      <c r="F318" s="1">
        <v>34275</v>
      </c>
      <c r="G318" s="1" t="str">
        <f>VLOOKUP(H318,Table7[#All], 2, FALSE)</f>
        <v>Massachusetts</v>
      </c>
      <c r="H318" s="2" t="s">
        <v>14</v>
      </c>
      <c r="I318" s="2" t="s">
        <v>15</v>
      </c>
      <c r="J318" s="2" t="s">
        <v>31</v>
      </c>
      <c r="K318" s="2" t="s">
        <v>8</v>
      </c>
      <c r="L318" s="2" t="s">
        <v>9</v>
      </c>
      <c r="M318" s="2" t="s">
        <v>20</v>
      </c>
      <c r="N318" s="2" t="s">
        <v>19</v>
      </c>
      <c r="O318" s="2" t="s">
        <v>12</v>
      </c>
      <c r="P318" s="2" t="s">
        <v>35</v>
      </c>
      <c r="Q318" s="2" t="s">
        <v>16</v>
      </c>
      <c r="R318" s="2" t="s">
        <v>41</v>
      </c>
      <c r="S318">
        <v>4</v>
      </c>
    </row>
    <row r="319" spans="1:19" x14ac:dyDescent="0.3">
      <c r="A319">
        <v>2891</v>
      </c>
      <c r="B319">
        <f>YEAR(Cleaned_HR_Data_Analysis__2[[#This Row],[Joining_Date]])</f>
        <v>2021</v>
      </c>
      <c r="C319" s="1">
        <v>44419</v>
      </c>
      <c r="D319" s="1" t="str" cm="1">
        <f t="array" ref="D319">_xlfn.IFS(E319&lt;28, "17-27",
AND(E319&gt;27, E319&lt;38), "28-37",
AND(E319&gt;37, E319 &lt;48), "38-47",
AND(E319&gt;47, E319 &lt;58), "48-57",
AND(E319&gt;57, E319&lt;68), "58-67",
AND(E319&gt;67, E319&lt;78), "68-77",
E319&gt;77,"Above than 77")</f>
        <v>17-27</v>
      </c>
      <c r="E319">
        <v>26</v>
      </c>
      <c r="F319" s="1">
        <v>34927</v>
      </c>
      <c r="G319" s="1" t="str">
        <f>VLOOKUP(H319,Table7[#All], 2, FALSE)</f>
        <v>Massachusetts</v>
      </c>
      <c r="H319" s="2" t="s">
        <v>14</v>
      </c>
      <c r="I319" s="2" t="s">
        <v>22</v>
      </c>
      <c r="J319" s="2" t="s">
        <v>17</v>
      </c>
      <c r="K319" s="2" t="s">
        <v>8</v>
      </c>
      <c r="L319" s="2" t="s">
        <v>9</v>
      </c>
      <c r="M319" s="2" t="s">
        <v>10</v>
      </c>
      <c r="N319" s="2" t="s">
        <v>19</v>
      </c>
      <c r="O319" s="2" t="s">
        <v>12</v>
      </c>
      <c r="P319" s="2" t="s">
        <v>59</v>
      </c>
      <c r="Q319" s="2" t="s">
        <v>37</v>
      </c>
      <c r="R319" s="2" t="s">
        <v>18</v>
      </c>
      <c r="S319">
        <v>2</v>
      </c>
    </row>
    <row r="320" spans="1:19" x14ac:dyDescent="0.3">
      <c r="A320">
        <v>2835</v>
      </c>
      <c r="B320">
        <f>YEAR(Cleaned_HR_Data_Analysis__2[[#This Row],[Joining_Date]])</f>
        <v>2021</v>
      </c>
      <c r="C320" s="1">
        <v>44394</v>
      </c>
      <c r="D320" s="1" t="str" cm="1">
        <f t="array" ref="D320">_xlfn.IFS(E320&lt;28, "17-27",
AND(E320&gt;27, E320&lt;38), "28-37",
AND(E320&gt;37, E320 &lt;48), "38-47",
AND(E320&gt;47, E320 &lt;58), "48-57",
AND(E320&gt;57, E320&lt;68), "58-67",
AND(E320&gt;67, E320&lt;78), "68-77",
E320&gt;77,"Above than 77")</f>
        <v>17-27</v>
      </c>
      <c r="E320">
        <v>26</v>
      </c>
      <c r="F320" s="1">
        <v>34800</v>
      </c>
      <c r="G320" s="1" t="str">
        <f>VLOOKUP(H320,Table7[#All], 2, FALSE)</f>
        <v>Massachusetts</v>
      </c>
      <c r="H320" s="2" t="s">
        <v>14</v>
      </c>
      <c r="I320" s="2" t="s">
        <v>15</v>
      </c>
      <c r="J320" s="2" t="s">
        <v>40</v>
      </c>
      <c r="K320" s="2" t="s">
        <v>8</v>
      </c>
      <c r="L320" s="2" t="s">
        <v>9</v>
      </c>
      <c r="M320" s="2" t="s">
        <v>10</v>
      </c>
      <c r="N320" s="2" t="s">
        <v>11</v>
      </c>
      <c r="O320" s="2" t="s">
        <v>12</v>
      </c>
      <c r="P320" s="2" t="s">
        <v>42</v>
      </c>
      <c r="Q320" s="2" t="s">
        <v>16</v>
      </c>
      <c r="R320" s="2" t="s">
        <v>18</v>
      </c>
      <c r="S320">
        <v>5</v>
      </c>
    </row>
    <row r="321" spans="1:19" x14ac:dyDescent="0.3">
      <c r="A321">
        <v>2179</v>
      </c>
      <c r="B321">
        <f>YEAR(Cleaned_HR_Data_Analysis__2[[#This Row],[Joining_Date]])</f>
        <v>2022</v>
      </c>
      <c r="C321" s="1">
        <v>44862</v>
      </c>
      <c r="D321" s="1" t="str" cm="1">
        <f t="array" ref="D321">_xlfn.IFS(E321&lt;28, "17-27",
AND(E321&gt;27, E321&lt;38), "28-37",
AND(E321&gt;37, E321 &lt;48), "38-47",
AND(E321&gt;47, E321 &lt;58), "48-57",
AND(E321&gt;57, E321&lt;68), "58-67",
AND(E321&gt;67, E321&lt;78), "68-77",
E321&gt;77,"Above than 77")</f>
        <v>17-27</v>
      </c>
      <c r="E321">
        <v>26</v>
      </c>
      <c r="F321" s="1">
        <v>35068</v>
      </c>
      <c r="G321" s="1" t="str">
        <f>VLOOKUP(H321,Table7[#All], 2, FALSE)</f>
        <v>Massachusetts</v>
      </c>
      <c r="H321" s="2" t="s">
        <v>14</v>
      </c>
      <c r="I321" s="2" t="s">
        <v>15</v>
      </c>
      <c r="J321" s="2" t="s">
        <v>17</v>
      </c>
      <c r="K321" s="2" t="s">
        <v>8</v>
      </c>
      <c r="L321" s="2" t="s">
        <v>66</v>
      </c>
      <c r="M321" s="2" t="s">
        <v>10</v>
      </c>
      <c r="N321" s="2" t="s">
        <v>26</v>
      </c>
      <c r="O321" s="2" t="s">
        <v>12</v>
      </c>
      <c r="P321" s="2" t="s">
        <v>54</v>
      </c>
      <c r="Q321" s="2" t="s">
        <v>37</v>
      </c>
      <c r="R321" s="2" t="s">
        <v>65</v>
      </c>
      <c r="S321">
        <v>3</v>
      </c>
    </row>
    <row r="322" spans="1:19" x14ac:dyDescent="0.3">
      <c r="A322">
        <v>2032</v>
      </c>
      <c r="B322">
        <f>YEAR(Cleaned_HR_Data_Analysis__2[[#This Row],[Joining_Date]])</f>
        <v>2022</v>
      </c>
      <c r="C322" s="1">
        <v>44667</v>
      </c>
      <c r="D322" s="1" t="str" cm="1">
        <f t="array" ref="D322">_xlfn.IFS(E322&lt;28, "17-27",
AND(E322&gt;27, E322&lt;38), "28-37",
AND(E322&gt;37, E322 &lt;48), "38-47",
AND(E322&gt;47, E322 &lt;58), "48-57",
AND(E322&gt;57, E322&lt;68), "58-67",
AND(E322&gt;67, E322&lt;78), "68-77",
E322&gt;77,"Above than 77")</f>
        <v>17-27</v>
      </c>
      <c r="E322">
        <v>26</v>
      </c>
      <c r="F322" s="1">
        <v>35374</v>
      </c>
      <c r="G322" s="1" t="str">
        <f>VLOOKUP(H322,Table7[#All], 2, FALSE)</f>
        <v>Massachusetts</v>
      </c>
      <c r="H322" s="2" t="s">
        <v>14</v>
      </c>
      <c r="I322" s="2" t="s">
        <v>22</v>
      </c>
      <c r="J322" s="2" t="s">
        <v>40</v>
      </c>
      <c r="K322" s="2" t="s">
        <v>8</v>
      </c>
      <c r="L322" s="2" t="s">
        <v>9</v>
      </c>
      <c r="M322" s="2" t="s">
        <v>10</v>
      </c>
      <c r="N322" s="2" t="s">
        <v>11</v>
      </c>
      <c r="O322" s="2" t="s">
        <v>12</v>
      </c>
      <c r="P322" s="2" t="s">
        <v>35</v>
      </c>
      <c r="Q322" s="2" t="s">
        <v>46</v>
      </c>
      <c r="R322" s="2" t="s">
        <v>18</v>
      </c>
      <c r="S322">
        <v>2</v>
      </c>
    </row>
    <row r="323" spans="1:19" x14ac:dyDescent="0.3">
      <c r="A323">
        <v>1544</v>
      </c>
      <c r="B323">
        <f>YEAR(Cleaned_HR_Data_Analysis__2[[#This Row],[Joining_Date]])</f>
        <v>2020</v>
      </c>
      <c r="C323" s="1">
        <v>44052</v>
      </c>
      <c r="D323" s="1" t="str" cm="1">
        <f t="array" ref="D323">_xlfn.IFS(E323&lt;28, "17-27",
AND(E323&gt;27, E323&lt;38), "28-37",
AND(E323&gt;37, E323 &lt;48), "38-47",
AND(E323&gt;47, E323 &lt;58), "48-57",
AND(E323&gt;57, E323&lt;68), "58-67",
AND(E323&gt;67, E323&lt;78), "68-77",
E323&gt;77,"Above than 77")</f>
        <v>17-27</v>
      </c>
      <c r="E323">
        <v>26</v>
      </c>
      <c r="F323" s="1">
        <v>34472</v>
      </c>
      <c r="G323" s="1" t="str">
        <f>VLOOKUP(H323,Table7[#All], 2, FALSE)</f>
        <v>Massachusetts</v>
      </c>
      <c r="H323" s="2" t="s">
        <v>14</v>
      </c>
      <c r="I323" s="2" t="s">
        <v>15</v>
      </c>
      <c r="J323" s="2" t="s">
        <v>34</v>
      </c>
      <c r="K323" s="2" t="s">
        <v>8</v>
      </c>
      <c r="L323" s="2" t="s">
        <v>9</v>
      </c>
      <c r="M323" s="2" t="s">
        <v>20</v>
      </c>
      <c r="N323" s="2" t="s">
        <v>11</v>
      </c>
      <c r="O323" s="2" t="s">
        <v>12</v>
      </c>
      <c r="P323" s="2" t="s">
        <v>38</v>
      </c>
      <c r="Q323" s="2" t="s">
        <v>30</v>
      </c>
      <c r="R323" s="2" t="s">
        <v>18</v>
      </c>
      <c r="S323">
        <v>1</v>
      </c>
    </row>
    <row r="324" spans="1:19" x14ac:dyDescent="0.3">
      <c r="A324">
        <v>1440</v>
      </c>
      <c r="B324">
        <f>YEAR(Cleaned_HR_Data_Analysis__2[[#This Row],[Joining_Date]])</f>
        <v>2023</v>
      </c>
      <c r="C324" s="1">
        <v>45142</v>
      </c>
      <c r="D324" s="1" t="str" cm="1">
        <f t="array" ref="D324">_xlfn.IFS(E324&lt;28, "17-27",
AND(E324&gt;27, E324&lt;38), "28-37",
AND(E324&gt;37, E324 &lt;48), "38-47",
AND(E324&gt;47, E324 &lt;58), "48-57",
AND(E324&gt;57, E324&lt;68), "58-67",
AND(E324&gt;67, E324&lt;78), "68-77",
E324&gt;77,"Above than 77")</f>
        <v>17-27</v>
      </c>
      <c r="E324">
        <v>26</v>
      </c>
      <c r="F324" s="1">
        <v>35482</v>
      </c>
      <c r="G324" s="1" t="str">
        <f>VLOOKUP(H324,Table7[#All], 2, FALSE)</f>
        <v>Massachusetts</v>
      </c>
      <c r="H324" s="2" t="s">
        <v>14</v>
      </c>
      <c r="I324" s="2" t="s">
        <v>15</v>
      </c>
      <c r="J324" s="2" t="s">
        <v>31</v>
      </c>
      <c r="K324" s="2" t="s">
        <v>8</v>
      </c>
      <c r="L324" s="2" t="s">
        <v>9</v>
      </c>
      <c r="M324" s="2" t="s">
        <v>20</v>
      </c>
      <c r="N324" s="2" t="s">
        <v>19</v>
      </c>
      <c r="O324" s="2" t="s">
        <v>12</v>
      </c>
      <c r="P324" s="2" t="s">
        <v>35</v>
      </c>
      <c r="Q324" s="2" t="s">
        <v>23</v>
      </c>
      <c r="R324" s="2" t="s">
        <v>56</v>
      </c>
      <c r="S324">
        <v>1</v>
      </c>
    </row>
    <row r="325" spans="1:19" x14ac:dyDescent="0.3">
      <c r="A325">
        <v>1433</v>
      </c>
      <c r="B325">
        <f>YEAR(Cleaned_HR_Data_Analysis__2[[#This Row],[Joining_Date]])</f>
        <v>2021</v>
      </c>
      <c r="C325" s="1">
        <v>44295</v>
      </c>
      <c r="D325" s="1" t="str" cm="1">
        <f t="array" ref="D325">_xlfn.IFS(E325&lt;28, "17-27",
AND(E325&gt;27, E325&lt;38), "28-37",
AND(E325&gt;37, E325 &lt;48), "38-47",
AND(E325&gt;47, E325 &lt;58), "48-57",
AND(E325&gt;57, E325&lt;68), "58-67",
AND(E325&gt;67, E325&lt;78), "68-77",
E325&gt;77,"Above than 77")</f>
        <v>17-27</v>
      </c>
      <c r="E325">
        <v>26</v>
      </c>
      <c r="F325" s="1">
        <v>34936</v>
      </c>
      <c r="G325" s="1" t="str">
        <f>VLOOKUP(H325,Table7[#All], 2, FALSE)</f>
        <v>Massachusetts</v>
      </c>
      <c r="H325" s="2" t="s">
        <v>14</v>
      </c>
      <c r="I325" s="2" t="s">
        <v>15</v>
      </c>
      <c r="J325" s="2" t="s">
        <v>17</v>
      </c>
      <c r="K325" s="2" t="s">
        <v>8</v>
      </c>
      <c r="L325" s="2" t="s">
        <v>9</v>
      </c>
      <c r="M325" s="2" t="s">
        <v>20</v>
      </c>
      <c r="N325" s="2" t="s">
        <v>11</v>
      </c>
      <c r="O325" s="2" t="s">
        <v>12</v>
      </c>
      <c r="P325" s="2" t="s">
        <v>32</v>
      </c>
      <c r="Q325" s="2" t="s">
        <v>16</v>
      </c>
      <c r="R325" s="2" t="s">
        <v>56</v>
      </c>
      <c r="S325">
        <v>1</v>
      </c>
    </row>
    <row r="326" spans="1:19" x14ac:dyDescent="0.3">
      <c r="A326">
        <v>1098</v>
      </c>
      <c r="B326">
        <f>YEAR(Cleaned_HR_Data_Analysis__2[[#This Row],[Joining_Date]])</f>
        <v>2019</v>
      </c>
      <c r="C326" s="1">
        <v>43588</v>
      </c>
      <c r="D326" s="1" t="str" cm="1">
        <f t="array" ref="D326">_xlfn.IFS(E326&lt;28, "17-27",
AND(E326&gt;27, E326&lt;38), "28-37",
AND(E326&gt;37, E326 &lt;48), "38-47",
AND(E326&gt;47, E326 &lt;58), "48-57",
AND(E326&gt;57, E326&lt;68), "58-67",
AND(E326&gt;67, E326&lt;78), "68-77",
E326&gt;77,"Above than 77")</f>
        <v>17-27</v>
      </c>
      <c r="E326">
        <v>26</v>
      </c>
      <c r="F326" s="1">
        <v>33979</v>
      </c>
      <c r="G326" s="1" t="str">
        <f>VLOOKUP(H326,Table7[#All], 2, FALSE)</f>
        <v>Massachusetts</v>
      </c>
      <c r="H326" s="2" t="s">
        <v>14</v>
      </c>
      <c r="I326" s="2" t="s">
        <v>22</v>
      </c>
      <c r="J326" s="2" t="s">
        <v>17</v>
      </c>
      <c r="K326" s="2" t="s">
        <v>8</v>
      </c>
      <c r="L326" s="2" t="s">
        <v>66</v>
      </c>
      <c r="M326" s="2" t="s">
        <v>20</v>
      </c>
      <c r="N326" s="2" t="s">
        <v>19</v>
      </c>
      <c r="O326" s="2" t="s">
        <v>12</v>
      </c>
      <c r="P326" s="2" t="s">
        <v>38</v>
      </c>
      <c r="Q326" s="2" t="s">
        <v>46</v>
      </c>
      <c r="R326" s="2" t="s">
        <v>18</v>
      </c>
      <c r="S326">
        <v>2</v>
      </c>
    </row>
    <row r="327" spans="1:19" x14ac:dyDescent="0.3">
      <c r="A327">
        <v>2450</v>
      </c>
      <c r="B327">
        <f>YEAR(Cleaned_HR_Data_Analysis__2[[#This Row],[Joining_Date]])</f>
        <v>2022</v>
      </c>
      <c r="C327" s="1">
        <v>44791</v>
      </c>
      <c r="D327" s="1" t="str" cm="1">
        <f t="array" ref="D327">_xlfn.IFS(E327&lt;28, "17-27",
AND(E327&gt;27, E327&lt;38), "28-37",
AND(E327&gt;37, E327 &lt;48), "38-47",
AND(E327&gt;47, E327 &lt;58), "48-57",
AND(E327&gt;57, E327&lt;68), "58-67",
AND(E327&gt;67, E327&lt;78), "68-77",
E327&gt;77,"Above than 77")</f>
        <v>17-27</v>
      </c>
      <c r="E327">
        <v>26</v>
      </c>
      <c r="F327" s="1">
        <v>35353</v>
      </c>
      <c r="G327" s="1" t="str">
        <f>VLOOKUP(H327,Table7[#All], 2, FALSE)</f>
        <v>Massachusetts</v>
      </c>
      <c r="H327" s="2" t="s">
        <v>14</v>
      </c>
      <c r="I327" s="2" t="s">
        <v>22</v>
      </c>
      <c r="J327" s="2" t="s">
        <v>31</v>
      </c>
      <c r="K327" s="2" t="s">
        <v>91</v>
      </c>
      <c r="L327" s="2" t="s">
        <v>9</v>
      </c>
      <c r="M327" s="2" t="s">
        <v>25</v>
      </c>
      <c r="N327" s="2" t="s">
        <v>19</v>
      </c>
      <c r="O327" s="2" t="s">
        <v>12</v>
      </c>
      <c r="P327" s="2" t="s">
        <v>21</v>
      </c>
      <c r="Q327" s="2" t="s">
        <v>46</v>
      </c>
      <c r="R327" s="2" t="s">
        <v>18</v>
      </c>
      <c r="S327">
        <v>3</v>
      </c>
    </row>
    <row r="328" spans="1:19" x14ac:dyDescent="0.3">
      <c r="A328">
        <v>2361</v>
      </c>
      <c r="B328">
        <f>YEAR(Cleaned_HR_Data_Analysis__2[[#This Row],[Joining_Date]])</f>
        <v>2022</v>
      </c>
      <c r="C328" s="1">
        <v>44896</v>
      </c>
      <c r="D328" s="1" t="str" cm="1">
        <f t="array" ref="D328">_xlfn.IFS(E328&lt;28, "17-27",
AND(E328&gt;27, E328&lt;38), "28-37",
AND(E328&gt;37, E328 &lt;48), "38-47",
AND(E328&gt;47, E328 &lt;58), "48-57",
AND(E328&gt;57, E328&lt;68), "58-67",
AND(E328&gt;67, E328&lt;78), "68-77",
E328&gt;77,"Above than 77")</f>
        <v>17-27</v>
      </c>
      <c r="E328">
        <v>26</v>
      </c>
      <c r="F328" s="1">
        <v>35404</v>
      </c>
      <c r="G328" s="1" t="str">
        <f>VLOOKUP(H328,Table7[#All], 2, FALSE)</f>
        <v>Massachusetts</v>
      </c>
      <c r="H328" s="2" t="s">
        <v>14</v>
      </c>
      <c r="I328" s="2" t="s">
        <v>15</v>
      </c>
      <c r="J328" s="2" t="s">
        <v>40</v>
      </c>
      <c r="K328" s="2" t="s">
        <v>91</v>
      </c>
      <c r="L328" s="2" t="s">
        <v>66</v>
      </c>
      <c r="M328" s="2" t="s">
        <v>25</v>
      </c>
      <c r="N328" s="2" t="s">
        <v>11</v>
      </c>
      <c r="O328" s="2" t="s">
        <v>12</v>
      </c>
      <c r="P328" s="2" t="s">
        <v>54</v>
      </c>
      <c r="Q328" s="2" t="s">
        <v>46</v>
      </c>
      <c r="R328" s="2" t="s">
        <v>18</v>
      </c>
      <c r="S328">
        <v>4</v>
      </c>
    </row>
    <row r="329" spans="1:19" x14ac:dyDescent="0.3">
      <c r="A329">
        <v>1231</v>
      </c>
      <c r="B329">
        <f>YEAR(Cleaned_HR_Data_Analysis__2[[#This Row],[Joining_Date]])</f>
        <v>2020</v>
      </c>
      <c r="C329" s="1">
        <v>43897</v>
      </c>
      <c r="D329" s="1" t="str" cm="1">
        <f t="array" ref="D329">_xlfn.IFS(E329&lt;28, "17-27",
AND(E329&gt;27, E329&lt;38), "28-37",
AND(E329&gt;37, E329 &lt;48), "38-47",
AND(E329&gt;47, E329 &lt;58), "48-57",
AND(E329&gt;57, E329&lt;68), "58-67",
AND(E329&gt;67, E329&lt;78), "68-77",
E329&gt;77,"Above than 77")</f>
        <v>17-27</v>
      </c>
      <c r="E329">
        <v>26</v>
      </c>
      <c r="F329" s="1">
        <v>34610</v>
      </c>
      <c r="G329" s="1" t="str">
        <f>VLOOKUP(H329,Table7[#All], 2, FALSE)</f>
        <v>Massachusetts</v>
      </c>
      <c r="H329" s="2" t="s">
        <v>14</v>
      </c>
      <c r="I329" s="2" t="s">
        <v>15</v>
      </c>
      <c r="J329" s="2" t="s">
        <v>34</v>
      </c>
      <c r="K329" s="2" t="s">
        <v>91</v>
      </c>
      <c r="L329" s="2" t="s">
        <v>9</v>
      </c>
      <c r="M329" s="2" t="s">
        <v>10</v>
      </c>
      <c r="N329" s="2" t="s">
        <v>26</v>
      </c>
      <c r="O329" s="2" t="s">
        <v>12</v>
      </c>
      <c r="P329" s="2" t="s">
        <v>61</v>
      </c>
      <c r="Q329" s="2" t="s">
        <v>37</v>
      </c>
      <c r="R329" s="2" t="s">
        <v>18</v>
      </c>
      <c r="S329">
        <v>2</v>
      </c>
    </row>
    <row r="330" spans="1:19" x14ac:dyDescent="0.3">
      <c r="A330">
        <v>1163</v>
      </c>
      <c r="B330">
        <f>YEAR(Cleaned_HR_Data_Analysis__2[[#This Row],[Joining_Date]])</f>
        <v>2022</v>
      </c>
      <c r="C330" s="1">
        <v>44913</v>
      </c>
      <c r="D330" s="1" t="str" cm="1">
        <f t="array" ref="D330">_xlfn.IFS(E330&lt;28, "17-27",
AND(E330&gt;27, E330&lt;38), "28-37",
AND(E330&gt;37, E330 &lt;48), "38-47",
AND(E330&gt;47, E330 &lt;58), "48-57",
AND(E330&gt;57, E330&lt;68), "58-67",
AND(E330&gt;67, E330&lt;78), "68-77",
E330&gt;77,"Above than 77")</f>
        <v>17-27</v>
      </c>
      <c r="E330">
        <v>26</v>
      </c>
      <c r="F330" s="1">
        <v>35102</v>
      </c>
      <c r="G330" s="1" t="str">
        <f>VLOOKUP(H330,Table7[#All], 2, FALSE)</f>
        <v>Massachusetts</v>
      </c>
      <c r="H330" s="2" t="s">
        <v>14</v>
      </c>
      <c r="I330" s="2" t="s">
        <v>15</v>
      </c>
      <c r="J330" s="2" t="s">
        <v>40</v>
      </c>
      <c r="K330" s="2" t="s">
        <v>91</v>
      </c>
      <c r="L330" s="2" t="s">
        <v>9</v>
      </c>
      <c r="M330" s="2" t="s">
        <v>10</v>
      </c>
      <c r="N330" s="2" t="s">
        <v>19</v>
      </c>
      <c r="O330" s="2" t="s">
        <v>12</v>
      </c>
      <c r="P330" s="2" t="s">
        <v>54</v>
      </c>
      <c r="Q330" s="2" t="s">
        <v>16</v>
      </c>
      <c r="R330" s="2" t="s">
        <v>18</v>
      </c>
      <c r="S330">
        <v>2</v>
      </c>
    </row>
    <row r="331" spans="1:19" x14ac:dyDescent="0.3">
      <c r="A331">
        <v>3917</v>
      </c>
      <c r="B331">
        <f>YEAR(Cleaned_HR_Data_Analysis__2[[#This Row],[Joining_Date]])</f>
        <v>2019</v>
      </c>
      <c r="C331" s="1">
        <v>43818</v>
      </c>
      <c r="D331" s="1" t="str" cm="1">
        <f t="array" ref="D331">_xlfn.IFS(E331&lt;28, "17-27",
AND(E331&gt;27, E331&lt;38), "28-37",
AND(E331&gt;37, E331 &lt;48), "38-47",
AND(E331&gt;47, E331 &lt;58), "48-57",
AND(E331&gt;57, E331&lt;68), "58-67",
AND(E331&gt;67, E331&lt;78), "68-77",
E331&gt;77,"Above than 77")</f>
        <v>17-27</v>
      </c>
      <c r="E331">
        <v>26</v>
      </c>
      <c r="F331" s="1">
        <v>34070</v>
      </c>
      <c r="G331" s="1" t="str">
        <f>VLOOKUP(H331,Table7[#All], 2, FALSE)</f>
        <v>Massachusetts</v>
      </c>
      <c r="H331" s="2" t="s">
        <v>14</v>
      </c>
      <c r="I331" s="2" t="s">
        <v>15</v>
      </c>
      <c r="J331" s="2" t="s">
        <v>17</v>
      </c>
      <c r="K331" s="2" t="s">
        <v>71</v>
      </c>
      <c r="L331" s="2" t="s">
        <v>9</v>
      </c>
      <c r="M331" s="2" t="s">
        <v>20</v>
      </c>
      <c r="N331" s="2" t="s">
        <v>11</v>
      </c>
      <c r="O331" s="2" t="s">
        <v>53</v>
      </c>
      <c r="P331" s="2" t="s">
        <v>32</v>
      </c>
      <c r="Q331" s="2" t="s">
        <v>37</v>
      </c>
      <c r="R331" s="2" t="s">
        <v>41</v>
      </c>
      <c r="S331">
        <v>1</v>
      </c>
    </row>
    <row r="332" spans="1:19" x14ac:dyDescent="0.3">
      <c r="A332">
        <v>3903</v>
      </c>
      <c r="B332">
        <f>YEAR(Cleaned_HR_Data_Analysis__2[[#This Row],[Joining_Date]])</f>
        <v>2019</v>
      </c>
      <c r="C332" s="1">
        <v>43599</v>
      </c>
      <c r="D332" s="1" t="str" cm="1">
        <f t="array" ref="D332">_xlfn.IFS(E332&lt;28, "17-27",
AND(E332&gt;27, E332&lt;38), "28-37",
AND(E332&gt;37, E332 &lt;48), "38-47",
AND(E332&gt;47, E332 &lt;58), "48-57",
AND(E332&gt;57, E332&lt;68), "58-67",
AND(E332&gt;67, E332&lt;78), "68-77",
E332&gt;77,"Above than 77")</f>
        <v>17-27</v>
      </c>
      <c r="E332">
        <v>26</v>
      </c>
      <c r="F332" s="1">
        <v>34171</v>
      </c>
      <c r="G332" s="1" t="str">
        <f>VLOOKUP(H332,Table7[#All], 2, FALSE)</f>
        <v>Massachusetts</v>
      </c>
      <c r="H332" s="2" t="s">
        <v>14</v>
      </c>
      <c r="I332" s="2" t="s">
        <v>22</v>
      </c>
      <c r="J332" s="2" t="s">
        <v>31</v>
      </c>
      <c r="K332" s="2" t="s">
        <v>71</v>
      </c>
      <c r="L332" s="2" t="s">
        <v>9</v>
      </c>
      <c r="M332" s="2" t="s">
        <v>25</v>
      </c>
      <c r="N332" s="2" t="s">
        <v>19</v>
      </c>
      <c r="O332" s="2" t="s">
        <v>53</v>
      </c>
      <c r="P332" s="2" t="s">
        <v>35</v>
      </c>
      <c r="Q332" s="2" t="s">
        <v>23</v>
      </c>
      <c r="R332" s="2" t="s">
        <v>18</v>
      </c>
      <c r="S332">
        <v>4</v>
      </c>
    </row>
    <row r="333" spans="1:19" x14ac:dyDescent="0.3">
      <c r="A333">
        <v>3835</v>
      </c>
      <c r="B333">
        <f>YEAR(Cleaned_HR_Data_Analysis__2[[#This Row],[Joining_Date]])</f>
        <v>2019</v>
      </c>
      <c r="C333" s="1">
        <v>43467</v>
      </c>
      <c r="D333" s="1" t="str" cm="1">
        <f t="array" ref="D333">_xlfn.IFS(E333&lt;28, "17-27",
AND(E333&gt;27, E333&lt;38), "28-37",
AND(E333&gt;37, E333 &lt;48), "38-47",
AND(E333&gt;47, E333 &lt;58), "48-57",
AND(E333&gt;57, E333&lt;68), "58-67",
AND(E333&gt;67, E333&lt;78), "68-77",
E333&gt;77,"Above than 77")</f>
        <v>17-27</v>
      </c>
      <c r="E333">
        <v>26</v>
      </c>
      <c r="F333" s="1">
        <v>34253</v>
      </c>
      <c r="G333" s="1" t="str">
        <f>VLOOKUP(H333,Table7[#All], 2, FALSE)</f>
        <v>Massachusetts</v>
      </c>
      <c r="H333" s="2" t="s">
        <v>14</v>
      </c>
      <c r="I333" s="2" t="s">
        <v>22</v>
      </c>
      <c r="J333" s="2" t="s">
        <v>40</v>
      </c>
      <c r="K333" s="2" t="s">
        <v>70</v>
      </c>
      <c r="L333" s="2" t="s">
        <v>9</v>
      </c>
      <c r="M333" s="2" t="s">
        <v>20</v>
      </c>
      <c r="N333" s="2" t="s">
        <v>26</v>
      </c>
      <c r="O333" s="2" t="s">
        <v>53</v>
      </c>
      <c r="P333" s="2" t="s">
        <v>63</v>
      </c>
      <c r="Q333" s="2" t="s">
        <v>23</v>
      </c>
      <c r="R333" s="2" t="s">
        <v>18</v>
      </c>
      <c r="S333">
        <v>3</v>
      </c>
    </row>
    <row r="334" spans="1:19" x14ac:dyDescent="0.3">
      <c r="A334">
        <v>2271</v>
      </c>
      <c r="B334">
        <f>YEAR(Cleaned_HR_Data_Analysis__2[[#This Row],[Joining_Date]])</f>
        <v>2022</v>
      </c>
      <c r="C334" s="1">
        <v>44751</v>
      </c>
      <c r="D334" s="1" t="str" cm="1">
        <f t="array" ref="D334">_xlfn.IFS(E334&lt;28, "17-27",
AND(E334&gt;27, E334&lt;38), "28-37",
AND(E334&gt;37, E334 &lt;48), "38-47",
AND(E334&gt;47, E334 &lt;58), "48-57",
AND(E334&gt;57, E334&lt;68), "58-67",
AND(E334&gt;67, E334&lt;78), "68-77",
E334&gt;77,"Above than 77")</f>
        <v>17-27</v>
      </c>
      <c r="E334">
        <v>26</v>
      </c>
      <c r="F334" s="1">
        <v>35266</v>
      </c>
      <c r="G334" s="1" t="str">
        <f>VLOOKUP(H334,Table7[#All], 2, FALSE)</f>
        <v>Massachusetts</v>
      </c>
      <c r="H334" s="2" t="s">
        <v>14</v>
      </c>
      <c r="I334" s="2" t="s">
        <v>15</v>
      </c>
      <c r="J334" s="2" t="s">
        <v>31</v>
      </c>
      <c r="K334" s="2" t="s">
        <v>70</v>
      </c>
      <c r="L334" s="2" t="s">
        <v>9</v>
      </c>
      <c r="M334" s="2" t="s">
        <v>25</v>
      </c>
      <c r="N334" s="2" t="s">
        <v>19</v>
      </c>
      <c r="O334" s="2" t="s">
        <v>53</v>
      </c>
      <c r="P334" s="2" t="s">
        <v>35</v>
      </c>
      <c r="Q334" s="2" t="s">
        <v>23</v>
      </c>
      <c r="R334" s="2" t="s">
        <v>18</v>
      </c>
      <c r="S334">
        <v>4</v>
      </c>
    </row>
    <row r="335" spans="1:19" x14ac:dyDescent="0.3">
      <c r="A335">
        <v>2227</v>
      </c>
      <c r="B335">
        <f>YEAR(Cleaned_HR_Data_Analysis__2[[#This Row],[Joining_Date]])</f>
        <v>2021</v>
      </c>
      <c r="C335" s="1">
        <v>44557</v>
      </c>
      <c r="D335" s="1" t="str" cm="1">
        <f t="array" ref="D335">_xlfn.IFS(E335&lt;28, "17-27",
AND(E335&gt;27, E335&lt;38), "28-37",
AND(E335&gt;37, E335 &lt;48), "38-47",
AND(E335&gt;47, E335 &lt;58), "48-57",
AND(E335&gt;57, E335&lt;68), "58-67",
AND(E335&gt;67, E335&lt;78), "68-77",
E335&gt;77,"Above than 77")</f>
        <v>17-27</v>
      </c>
      <c r="E335">
        <v>26</v>
      </c>
      <c r="F335" s="1">
        <v>34855</v>
      </c>
      <c r="G335" s="1" t="str">
        <f>VLOOKUP(H335,Table7[#All], 2, FALSE)</f>
        <v>Massachusetts</v>
      </c>
      <c r="H335" s="2" t="s">
        <v>14</v>
      </c>
      <c r="I335" s="2" t="s">
        <v>15</v>
      </c>
      <c r="J335" s="2" t="s">
        <v>17</v>
      </c>
      <c r="K335" s="2" t="s">
        <v>70</v>
      </c>
      <c r="L335" s="2" t="s">
        <v>9</v>
      </c>
      <c r="M335" s="2" t="s">
        <v>10</v>
      </c>
      <c r="N335" s="2" t="s">
        <v>26</v>
      </c>
      <c r="O335" s="2" t="s">
        <v>53</v>
      </c>
      <c r="P335" s="2" t="s">
        <v>21</v>
      </c>
      <c r="Q335" s="2" t="s">
        <v>37</v>
      </c>
      <c r="R335" s="2" t="s">
        <v>56</v>
      </c>
      <c r="S335">
        <v>3</v>
      </c>
    </row>
    <row r="336" spans="1:19" x14ac:dyDescent="0.3">
      <c r="A336">
        <v>2221</v>
      </c>
      <c r="B336">
        <f>YEAR(Cleaned_HR_Data_Analysis__2[[#This Row],[Joining_Date]])</f>
        <v>2019</v>
      </c>
      <c r="C336" s="1">
        <v>43616</v>
      </c>
      <c r="D336" s="1" t="str" cm="1">
        <f t="array" ref="D336">_xlfn.IFS(E336&lt;28, "17-27",
AND(E336&gt;27, E336&lt;38), "28-37",
AND(E336&gt;37, E336 &lt;48), "38-47",
AND(E336&gt;47, E336 &lt;58), "48-57",
AND(E336&gt;57, E336&lt;68), "58-67",
AND(E336&gt;67, E336&lt;78), "68-77",
E336&gt;77,"Above than 77")</f>
        <v>17-27</v>
      </c>
      <c r="E336">
        <v>26</v>
      </c>
      <c r="F336" s="1">
        <v>34287</v>
      </c>
      <c r="G336" s="1" t="str">
        <f>VLOOKUP(H336,Table7[#All], 2, FALSE)</f>
        <v>Massachusetts</v>
      </c>
      <c r="H336" s="2" t="s">
        <v>14</v>
      </c>
      <c r="I336" s="2" t="s">
        <v>15</v>
      </c>
      <c r="J336" s="2" t="s">
        <v>31</v>
      </c>
      <c r="K336" s="2" t="s">
        <v>70</v>
      </c>
      <c r="L336" s="2" t="s">
        <v>9</v>
      </c>
      <c r="M336" s="2" t="s">
        <v>10</v>
      </c>
      <c r="N336" s="2" t="s">
        <v>11</v>
      </c>
      <c r="O336" s="2" t="s">
        <v>53</v>
      </c>
      <c r="P336" s="2" t="s">
        <v>35</v>
      </c>
      <c r="Q336" s="2" t="s">
        <v>23</v>
      </c>
      <c r="R336" s="2" t="s">
        <v>41</v>
      </c>
      <c r="S336">
        <v>5</v>
      </c>
    </row>
    <row r="337" spans="1:19" x14ac:dyDescent="0.3">
      <c r="A337">
        <v>2569</v>
      </c>
      <c r="B337">
        <f>YEAR(Cleaned_HR_Data_Analysis__2[[#This Row],[Joining_Date]])</f>
        <v>2021</v>
      </c>
      <c r="C337" s="1">
        <v>44476</v>
      </c>
      <c r="D337" s="1" t="str" cm="1">
        <f t="array" ref="D337">_xlfn.IFS(E337&lt;28, "17-27",
AND(E337&gt;27, E337&lt;38), "28-37",
AND(E337&gt;37, E337 &lt;48), "38-47",
AND(E337&gt;47, E337 &lt;58), "48-57",
AND(E337&gt;57, E337&lt;68), "58-67",
AND(E337&gt;67, E337&lt;78), "68-77",
E337&gt;77,"Above than 77")</f>
        <v>17-27</v>
      </c>
      <c r="E337">
        <v>26</v>
      </c>
      <c r="F337" s="1">
        <v>34786</v>
      </c>
      <c r="G337" s="1" t="str">
        <f>VLOOKUP(H337,Table7[#All], 2, FALSE)</f>
        <v>Massachusetts</v>
      </c>
      <c r="H337" s="2" t="s">
        <v>14</v>
      </c>
      <c r="I337" s="2" t="s">
        <v>22</v>
      </c>
      <c r="J337" s="2" t="s">
        <v>31</v>
      </c>
      <c r="K337" s="2" t="s">
        <v>103</v>
      </c>
      <c r="L337" s="2" t="s">
        <v>9</v>
      </c>
      <c r="M337" s="2" t="s">
        <v>25</v>
      </c>
      <c r="N337" s="2" t="s">
        <v>11</v>
      </c>
      <c r="O337" s="2" t="s">
        <v>53</v>
      </c>
      <c r="P337" s="2" t="s">
        <v>32</v>
      </c>
      <c r="Q337" s="2" t="s">
        <v>37</v>
      </c>
      <c r="R337" s="2" t="s">
        <v>18</v>
      </c>
      <c r="S337">
        <v>4</v>
      </c>
    </row>
    <row r="338" spans="1:19" x14ac:dyDescent="0.3">
      <c r="A338">
        <v>2478</v>
      </c>
      <c r="B338">
        <f>YEAR(Cleaned_HR_Data_Analysis__2[[#This Row],[Joining_Date]])</f>
        <v>2020</v>
      </c>
      <c r="C338" s="1">
        <v>43983</v>
      </c>
      <c r="D338" s="1" t="str" cm="1">
        <f t="array" ref="D338">_xlfn.IFS(E338&lt;28, "17-27",
AND(E338&gt;27, E338&lt;38), "28-37",
AND(E338&gt;37, E338 &lt;48), "38-47",
AND(E338&gt;47, E338 &lt;58), "48-57",
AND(E338&gt;57, E338&lt;68), "58-67",
AND(E338&gt;67, E338&lt;78), "68-77",
E338&gt;77,"Above than 77")</f>
        <v>17-27</v>
      </c>
      <c r="E338">
        <v>26</v>
      </c>
      <c r="F338" s="1">
        <v>34541</v>
      </c>
      <c r="G338" s="1" t="str">
        <f>VLOOKUP(H338,Table7[#All], 2, FALSE)</f>
        <v>Rhode Island</v>
      </c>
      <c r="H338" s="2" t="s">
        <v>105</v>
      </c>
      <c r="I338" s="2" t="s">
        <v>15</v>
      </c>
      <c r="J338" s="2" t="s">
        <v>31</v>
      </c>
      <c r="K338" s="2" t="s">
        <v>106</v>
      </c>
      <c r="L338" s="2" t="s">
        <v>9</v>
      </c>
      <c r="M338" s="2" t="s">
        <v>25</v>
      </c>
      <c r="N338" s="2" t="s">
        <v>19</v>
      </c>
      <c r="O338" s="2" t="s">
        <v>12</v>
      </c>
      <c r="P338" s="2" t="s">
        <v>32</v>
      </c>
      <c r="Q338" s="2" t="s">
        <v>16</v>
      </c>
      <c r="R338" s="2" t="s">
        <v>18</v>
      </c>
      <c r="S338">
        <v>4</v>
      </c>
    </row>
    <row r="339" spans="1:19" x14ac:dyDescent="0.3">
      <c r="A339">
        <v>3993</v>
      </c>
      <c r="B339">
        <f>YEAR(Cleaned_HR_Data_Analysis__2[[#This Row],[Joining_Date]])</f>
        <v>2022</v>
      </c>
      <c r="C339" s="1">
        <v>44734</v>
      </c>
      <c r="D339" s="1" t="str" cm="1">
        <f t="array" ref="D339">_xlfn.IFS(E339&lt;28, "17-27",
AND(E339&gt;27, E339&lt;38), "28-37",
AND(E339&gt;37, E339 &lt;48), "38-47",
AND(E339&gt;47, E339 &lt;58), "48-57",
AND(E339&gt;57, E339&lt;68), "58-67",
AND(E339&gt;67, E339&lt;78), "68-77",
E339&gt;77,"Above than 77")</f>
        <v>17-27</v>
      </c>
      <c r="E339">
        <v>26</v>
      </c>
      <c r="F339" s="1">
        <v>35209</v>
      </c>
      <c r="G339" s="1" t="str">
        <f>VLOOKUP(H339,Table7[#All], 2, FALSE)</f>
        <v>Massachusetts</v>
      </c>
      <c r="H339" s="2" t="s">
        <v>14</v>
      </c>
      <c r="I339" s="2" t="s">
        <v>15</v>
      </c>
      <c r="J339" s="2" t="s">
        <v>34</v>
      </c>
      <c r="K339" s="2" t="s">
        <v>78</v>
      </c>
      <c r="L339" s="2" t="s">
        <v>9</v>
      </c>
      <c r="M339" s="2" t="s">
        <v>10</v>
      </c>
      <c r="N339" s="2" t="s">
        <v>11</v>
      </c>
      <c r="O339" s="2" t="s">
        <v>53</v>
      </c>
      <c r="P339" s="2" t="s">
        <v>35</v>
      </c>
      <c r="Q339" s="2" t="s">
        <v>46</v>
      </c>
      <c r="R339" s="2" t="s">
        <v>18</v>
      </c>
      <c r="S339">
        <v>4</v>
      </c>
    </row>
    <row r="340" spans="1:19" x14ac:dyDescent="0.3">
      <c r="A340">
        <v>1704</v>
      </c>
      <c r="B340">
        <f>YEAR(Cleaned_HR_Data_Analysis__2[[#This Row],[Joining_Date]])</f>
        <v>2020</v>
      </c>
      <c r="C340" s="1">
        <v>44161</v>
      </c>
      <c r="D340" s="1" t="str" cm="1">
        <f t="array" ref="D340">_xlfn.IFS(E340&lt;28, "17-27",
AND(E340&gt;27, E340&lt;38), "28-37",
AND(E340&gt;37, E340 &lt;48), "38-47",
AND(E340&gt;47, E340 &lt;58), "48-57",
AND(E340&gt;57, E340&lt;68), "58-67",
AND(E340&gt;67, E340&lt;78), "68-77",
E340&gt;77,"Above than 77")</f>
        <v>17-27</v>
      </c>
      <c r="E340">
        <v>26</v>
      </c>
      <c r="F340" s="1">
        <v>34506</v>
      </c>
      <c r="G340" s="1" t="str">
        <f>VLOOKUP(H340,Table7[#All], 2, FALSE)</f>
        <v>Massachusetts</v>
      </c>
      <c r="H340" s="2" t="s">
        <v>14</v>
      </c>
      <c r="I340" s="2" t="s">
        <v>15</v>
      </c>
      <c r="J340" s="2" t="s">
        <v>17</v>
      </c>
      <c r="K340" s="2" t="s">
        <v>82</v>
      </c>
      <c r="L340" s="2" t="s">
        <v>9</v>
      </c>
      <c r="M340" s="2" t="s">
        <v>20</v>
      </c>
      <c r="N340" s="2" t="s">
        <v>11</v>
      </c>
      <c r="O340" s="2" t="s">
        <v>53</v>
      </c>
      <c r="P340" s="2" t="s">
        <v>54</v>
      </c>
      <c r="Q340" s="2" t="s">
        <v>23</v>
      </c>
      <c r="R340" s="2" t="s">
        <v>18</v>
      </c>
      <c r="S340">
        <v>4</v>
      </c>
    </row>
    <row r="341" spans="1:19" x14ac:dyDescent="0.3">
      <c r="A341">
        <v>1651</v>
      </c>
      <c r="B341">
        <f>YEAR(Cleaned_HR_Data_Analysis__2[[#This Row],[Joining_Date]])</f>
        <v>2019</v>
      </c>
      <c r="C341" s="1">
        <v>43743</v>
      </c>
      <c r="D341" s="1" t="str" cm="1">
        <f t="array" ref="D341">_xlfn.IFS(E341&lt;28, "17-27",
AND(E341&gt;27, E341&lt;38), "28-37",
AND(E341&gt;37, E341 &lt;48), "38-47",
AND(E341&gt;47, E341 &lt;58), "48-57",
AND(E341&gt;57, E341&lt;68), "58-67",
AND(E341&gt;67, E341&lt;78), "68-77",
E341&gt;77,"Above than 77")</f>
        <v>17-27</v>
      </c>
      <c r="E341">
        <v>26</v>
      </c>
      <c r="F341" s="1">
        <v>33992</v>
      </c>
      <c r="G341" s="1" t="str">
        <f>VLOOKUP(H341,Table7[#All], 2, FALSE)</f>
        <v>Massachusetts</v>
      </c>
      <c r="H341" s="2" t="s">
        <v>14</v>
      </c>
      <c r="I341" s="2" t="s">
        <v>15</v>
      </c>
      <c r="J341" s="2" t="s">
        <v>17</v>
      </c>
      <c r="K341" s="2" t="s">
        <v>97</v>
      </c>
      <c r="L341" s="2" t="s">
        <v>66</v>
      </c>
      <c r="M341" s="2" t="s">
        <v>20</v>
      </c>
      <c r="N341" s="2" t="s">
        <v>19</v>
      </c>
      <c r="O341" s="2" t="s">
        <v>53</v>
      </c>
      <c r="P341" s="2" t="s">
        <v>21</v>
      </c>
      <c r="Q341" s="2" t="s">
        <v>37</v>
      </c>
      <c r="R341" s="2" t="s">
        <v>18</v>
      </c>
      <c r="S341">
        <v>4</v>
      </c>
    </row>
    <row r="342" spans="1:19" x14ac:dyDescent="0.3">
      <c r="A342">
        <v>2712</v>
      </c>
      <c r="B342">
        <f>YEAR(Cleaned_HR_Data_Analysis__2[[#This Row],[Joining_Date]])</f>
        <v>2018</v>
      </c>
      <c r="C342" s="1">
        <v>43331</v>
      </c>
      <c r="D342" s="1" t="str" cm="1">
        <f t="array" ref="D342">_xlfn.IFS(E342&lt;28, "17-27",
AND(E342&gt;27, E342&lt;38), "28-37",
AND(E342&gt;37, E342 &lt;48), "38-47",
AND(E342&gt;47, E342 &lt;58), "48-57",
AND(E342&gt;57, E342&lt;68), "58-67",
AND(E342&gt;67, E342&lt;78), "68-77",
E342&gt;77,"Above than 77")</f>
        <v>17-27</v>
      </c>
      <c r="E342">
        <v>26</v>
      </c>
      <c r="F342" s="1">
        <v>33793</v>
      </c>
      <c r="G342" s="1" t="str">
        <f>VLOOKUP(H342,Table7[#All], 2, FALSE)</f>
        <v>New York</v>
      </c>
      <c r="H342" s="2" t="s">
        <v>118</v>
      </c>
      <c r="I342" s="2" t="s">
        <v>22</v>
      </c>
      <c r="J342" s="2" t="s">
        <v>34</v>
      </c>
      <c r="K342" s="2" t="s">
        <v>24</v>
      </c>
      <c r="L342" s="2" t="s">
        <v>9</v>
      </c>
      <c r="M342" s="2" t="s">
        <v>25</v>
      </c>
      <c r="N342" s="2" t="s">
        <v>19</v>
      </c>
      <c r="O342" s="2" t="s">
        <v>27</v>
      </c>
      <c r="P342" s="2" t="s">
        <v>32</v>
      </c>
      <c r="Q342" s="2" t="s">
        <v>30</v>
      </c>
      <c r="R342" s="2" t="s">
        <v>18</v>
      </c>
      <c r="S342">
        <v>2</v>
      </c>
    </row>
    <row r="343" spans="1:19" x14ac:dyDescent="0.3">
      <c r="A343">
        <v>3529</v>
      </c>
      <c r="B343">
        <f>YEAR(Cleaned_HR_Data_Analysis__2[[#This Row],[Joining_Date]])</f>
        <v>2020</v>
      </c>
      <c r="C343" s="1">
        <v>43833</v>
      </c>
      <c r="D343" s="1" t="str" cm="1">
        <f t="array" ref="D343">_xlfn.IFS(E343&lt;28, "17-27",
AND(E343&gt;27, E343&lt;38), "28-37",
AND(E343&gt;37, E343 &lt;48), "38-47",
AND(E343&gt;47, E343 &lt;58), "48-57",
AND(E343&gt;57, E343&lt;68), "58-67",
AND(E343&gt;67, E343&lt;78), "68-77",
E343&gt;77,"Above than 77")</f>
        <v>17-27</v>
      </c>
      <c r="E343">
        <v>26</v>
      </c>
      <c r="F343" s="1">
        <v>34503</v>
      </c>
      <c r="G343" s="1" t="str">
        <f>VLOOKUP(H343,Table7[#All], 2, FALSE)</f>
        <v>Indiana</v>
      </c>
      <c r="H343" s="2" t="s">
        <v>47</v>
      </c>
      <c r="I343" s="2" t="s">
        <v>22</v>
      </c>
      <c r="J343" s="2" t="s">
        <v>31</v>
      </c>
      <c r="K343" s="2" t="s">
        <v>24</v>
      </c>
      <c r="L343" s="2" t="s">
        <v>9</v>
      </c>
      <c r="M343" s="2" t="s">
        <v>20</v>
      </c>
      <c r="N343" s="2" t="s">
        <v>11</v>
      </c>
      <c r="O343" s="2" t="s">
        <v>27</v>
      </c>
      <c r="P343" s="2" t="s">
        <v>35</v>
      </c>
      <c r="Q343" s="2" t="s">
        <v>23</v>
      </c>
      <c r="R343" s="2" t="s">
        <v>18</v>
      </c>
      <c r="S343">
        <v>3</v>
      </c>
    </row>
    <row r="344" spans="1:19" x14ac:dyDescent="0.3">
      <c r="A344">
        <v>3494</v>
      </c>
      <c r="B344">
        <f>YEAR(Cleaned_HR_Data_Analysis__2[[#This Row],[Joining_Date]])</f>
        <v>2020</v>
      </c>
      <c r="C344" s="1">
        <v>44000</v>
      </c>
      <c r="D344" s="1" t="str" cm="1">
        <f t="array" ref="D344">_xlfn.IFS(E344&lt;28, "17-27",
AND(E344&gt;27, E344&lt;38), "28-37",
AND(E344&gt;37, E344 &lt;48), "38-47",
AND(E344&gt;47, E344 &lt;58), "48-57",
AND(E344&gt;57, E344&lt;68), "58-67",
AND(E344&gt;67, E344&lt;78), "68-77",
E344&gt;77,"Above than 77")</f>
        <v>17-27</v>
      </c>
      <c r="E344">
        <v>26</v>
      </c>
      <c r="F344" s="1">
        <v>34373</v>
      </c>
      <c r="G344" s="1" t="str">
        <f>VLOOKUP(H344,Table7[#All], 2, FALSE)</f>
        <v>Colorado</v>
      </c>
      <c r="H344" s="2" t="s">
        <v>50</v>
      </c>
      <c r="I344" s="2" t="s">
        <v>22</v>
      </c>
      <c r="J344" s="2" t="s">
        <v>31</v>
      </c>
      <c r="K344" s="2" t="s">
        <v>24</v>
      </c>
      <c r="L344" s="2" t="s">
        <v>9</v>
      </c>
      <c r="M344" s="2" t="s">
        <v>10</v>
      </c>
      <c r="N344" s="2" t="s">
        <v>26</v>
      </c>
      <c r="O344" s="2" t="s">
        <v>27</v>
      </c>
      <c r="P344" s="2" t="s">
        <v>32</v>
      </c>
      <c r="Q344" s="2" t="s">
        <v>37</v>
      </c>
      <c r="R344" s="2" t="s">
        <v>18</v>
      </c>
      <c r="S344">
        <v>2</v>
      </c>
    </row>
    <row r="345" spans="1:19" x14ac:dyDescent="0.3">
      <c r="A345">
        <v>3492</v>
      </c>
      <c r="B345">
        <f>YEAR(Cleaned_HR_Data_Analysis__2[[#This Row],[Joining_Date]])</f>
        <v>2019</v>
      </c>
      <c r="C345" s="1">
        <v>43795</v>
      </c>
      <c r="D345" s="1" t="str" cm="1">
        <f t="array" ref="D345">_xlfn.IFS(E345&lt;28, "17-27",
AND(E345&gt;27, E345&lt;38), "28-37",
AND(E345&gt;37, E345 &lt;48), "38-47",
AND(E345&gt;47, E345 &lt;58), "48-57",
AND(E345&gt;57, E345&lt;68), "58-67",
AND(E345&gt;67, E345&lt;78), "68-77",
E345&gt;77,"Above than 77")</f>
        <v>17-27</v>
      </c>
      <c r="E345">
        <v>26</v>
      </c>
      <c r="F345" s="1">
        <v>33977</v>
      </c>
      <c r="G345" s="1" t="str">
        <f>VLOOKUP(H345,Table7[#All], 2, FALSE)</f>
        <v>Colorado</v>
      </c>
      <c r="H345" s="2" t="s">
        <v>50</v>
      </c>
      <c r="I345" s="2" t="s">
        <v>22</v>
      </c>
      <c r="J345" s="2" t="s">
        <v>34</v>
      </c>
      <c r="K345" s="2" t="s">
        <v>24</v>
      </c>
      <c r="L345" s="2" t="s">
        <v>9</v>
      </c>
      <c r="M345" s="2" t="s">
        <v>25</v>
      </c>
      <c r="N345" s="2" t="s">
        <v>11</v>
      </c>
      <c r="O345" s="2" t="s">
        <v>27</v>
      </c>
      <c r="P345" s="2" t="s">
        <v>32</v>
      </c>
      <c r="Q345" s="2" t="s">
        <v>46</v>
      </c>
      <c r="R345" s="2" t="s">
        <v>18</v>
      </c>
      <c r="S345">
        <v>5</v>
      </c>
    </row>
    <row r="346" spans="1:19" x14ac:dyDescent="0.3">
      <c r="A346">
        <v>3450</v>
      </c>
      <c r="B346">
        <f>YEAR(Cleaned_HR_Data_Analysis__2[[#This Row],[Joining_Date]])</f>
        <v>2020</v>
      </c>
      <c r="C346" s="1">
        <v>44075</v>
      </c>
      <c r="D346" s="1" t="str" cm="1">
        <f t="array" ref="D346">_xlfn.IFS(E346&lt;28, "17-27",
AND(E346&gt;27, E346&lt;38), "28-37",
AND(E346&gt;37, E346 &lt;48), "38-47",
AND(E346&gt;47, E346 &lt;58), "48-57",
AND(E346&gt;57, E346&lt;68), "58-67",
AND(E346&gt;67, E346&lt;78), "68-77",
E346&gt;77,"Above than 77")</f>
        <v>17-27</v>
      </c>
      <c r="E346">
        <v>26</v>
      </c>
      <c r="F346" s="1">
        <v>34557</v>
      </c>
      <c r="G346" s="1" t="str">
        <f>VLOOKUP(H346,Table7[#All], 2, FALSE)</f>
        <v>Colorado</v>
      </c>
      <c r="H346" s="2" t="s">
        <v>50</v>
      </c>
      <c r="I346" s="2" t="s">
        <v>22</v>
      </c>
      <c r="J346" s="2" t="s">
        <v>31</v>
      </c>
      <c r="K346" s="2" t="s">
        <v>24</v>
      </c>
      <c r="L346" s="2" t="s">
        <v>9</v>
      </c>
      <c r="M346" s="2" t="s">
        <v>10</v>
      </c>
      <c r="N346" s="2" t="s">
        <v>11</v>
      </c>
      <c r="O346" s="2" t="s">
        <v>27</v>
      </c>
      <c r="P346" s="2" t="s">
        <v>35</v>
      </c>
      <c r="Q346" s="2" t="s">
        <v>30</v>
      </c>
      <c r="R346" s="2" t="s">
        <v>41</v>
      </c>
      <c r="S346">
        <v>3</v>
      </c>
    </row>
    <row r="347" spans="1:19" x14ac:dyDescent="0.3">
      <c r="A347">
        <v>3530</v>
      </c>
      <c r="B347">
        <f>YEAR(Cleaned_HR_Data_Analysis__2[[#This Row],[Joining_Date]])</f>
        <v>2019</v>
      </c>
      <c r="C347" s="1">
        <v>43782</v>
      </c>
      <c r="D347" s="1" t="str" cm="1">
        <f t="array" ref="D347">_xlfn.IFS(E347&lt;28, "17-27",
AND(E347&gt;27, E347&lt;38), "28-37",
AND(E347&gt;37, E347 &lt;48), "38-47",
AND(E347&gt;47, E347 &lt;58), "48-57",
AND(E347&gt;57, E347&lt;68), "58-67",
AND(E347&gt;67, E347&lt;78), "68-77",
E347&gt;77,"Above than 77")</f>
        <v>17-27</v>
      </c>
      <c r="E347">
        <v>26</v>
      </c>
      <c r="F347" s="1">
        <v>34136</v>
      </c>
      <c r="G347" s="1" t="str">
        <f>VLOOKUP(H347,Table7[#All], 2, FALSE)</f>
        <v>California</v>
      </c>
      <c r="H347" s="2" t="s">
        <v>39</v>
      </c>
      <c r="I347" s="2" t="s">
        <v>15</v>
      </c>
      <c r="J347" s="2" t="s">
        <v>17</v>
      </c>
      <c r="K347" s="2" t="s">
        <v>24</v>
      </c>
      <c r="L347" s="2" t="s">
        <v>9</v>
      </c>
      <c r="M347" s="2" t="s">
        <v>25</v>
      </c>
      <c r="N347" s="2" t="s">
        <v>26</v>
      </c>
      <c r="O347" s="2" t="s">
        <v>27</v>
      </c>
      <c r="P347" s="2" t="s">
        <v>35</v>
      </c>
      <c r="Q347" s="2" t="s">
        <v>37</v>
      </c>
      <c r="R347" s="2" t="s">
        <v>18</v>
      </c>
      <c r="S347">
        <v>2</v>
      </c>
    </row>
    <row r="348" spans="1:19" x14ac:dyDescent="0.3">
      <c r="A348">
        <v>2733</v>
      </c>
      <c r="B348">
        <f>YEAR(Cleaned_HR_Data_Analysis__2[[#This Row],[Joining_Date]])</f>
        <v>2022</v>
      </c>
      <c r="C348" s="1">
        <v>44593</v>
      </c>
      <c r="D348" s="1" t="str" cm="1">
        <f t="array" ref="D348">_xlfn.IFS(E348&lt;28, "17-27",
AND(E348&gt;27, E348&lt;38), "28-37",
AND(E348&gt;37, E348 &lt;48), "38-47",
AND(E348&gt;47, E348 &lt;58), "48-57",
AND(E348&gt;57, E348&lt;68), "58-67",
AND(E348&gt;67, E348&lt;78), "68-77",
E348&gt;77,"Above than 77")</f>
        <v>17-27</v>
      </c>
      <c r="E348">
        <v>26</v>
      </c>
      <c r="F348" s="1">
        <v>35069</v>
      </c>
      <c r="G348" s="1" t="str">
        <f>VLOOKUP(H348,Table7[#All], 2, FALSE)</f>
        <v>Arizona</v>
      </c>
      <c r="H348" s="2" t="s">
        <v>114</v>
      </c>
      <c r="I348" s="2" t="s">
        <v>22</v>
      </c>
      <c r="J348" s="2" t="s">
        <v>31</v>
      </c>
      <c r="K348" s="2" t="s">
        <v>24</v>
      </c>
      <c r="L348" s="2" t="s">
        <v>9</v>
      </c>
      <c r="M348" s="2" t="s">
        <v>10</v>
      </c>
      <c r="N348" s="2" t="s">
        <v>19</v>
      </c>
      <c r="O348" s="2" t="s">
        <v>27</v>
      </c>
      <c r="P348" s="2" t="s">
        <v>28</v>
      </c>
      <c r="Q348" s="2" t="s">
        <v>37</v>
      </c>
      <c r="R348" s="2" t="s">
        <v>18</v>
      </c>
      <c r="S348">
        <v>4</v>
      </c>
    </row>
    <row r="349" spans="1:19" x14ac:dyDescent="0.3">
      <c r="A349">
        <v>2719</v>
      </c>
      <c r="B349">
        <f>YEAR(Cleaned_HR_Data_Analysis__2[[#This Row],[Joining_Date]])</f>
        <v>2022</v>
      </c>
      <c r="C349" s="1">
        <v>44732</v>
      </c>
      <c r="D349" s="1" t="str" cm="1">
        <f t="array" ref="D349">_xlfn.IFS(E349&lt;28, "17-27",
AND(E349&gt;27, E349&lt;38), "28-37",
AND(E349&gt;37, E349 &lt;48), "38-47",
AND(E349&gt;47, E349 &lt;58), "48-57",
AND(E349&gt;57, E349&lt;68), "58-67",
AND(E349&gt;67, E349&lt;78), "68-77",
E349&gt;77,"Above than 77")</f>
        <v>17-27</v>
      </c>
      <c r="E349">
        <v>26</v>
      </c>
      <c r="F349" s="1">
        <v>35106</v>
      </c>
      <c r="G349" s="1" t="str">
        <f>VLOOKUP(H349,Table7[#All], 2, FALSE)</f>
        <v>Arizona</v>
      </c>
      <c r="H349" s="2" t="s">
        <v>114</v>
      </c>
      <c r="I349" s="2" t="s">
        <v>22</v>
      </c>
      <c r="J349" s="2" t="s">
        <v>40</v>
      </c>
      <c r="K349" s="2" t="s">
        <v>24</v>
      </c>
      <c r="L349" s="2" t="s">
        <v>9</v>
      </c>
      <c r="M349" s="2" t="s">
        <v>10</v>
      </c>
      <c r="N349" s="2" t="s">
        <v>11</v>
      </c>
      <c r="O349" s="2" t="s">
        <v>27</v>
      </c>
      <c r="P349" s="2" t="s">
        <v>13</v>
      </c>
      <c r="Q349" s="2" t="s">
        <v>23</v>
      </c>
      <c r="R349" s="2" t="s">
        <v>18</v>
      </c>
      <c r="S349">
        <v>5</v>
      </c>
    </row>
    <row r="350" spans="1:19" x14ac:dyDescent="0.3">
      <c r="A350">
        <v>2657</v>
      </c>
      <c r="B350">
        <f>YEAR(Cleaned_HR_Data_Analysis__2[[#This Row],[Joining_Date]])</f>
        <v>2021</v>
      </c>
      <c r="C350" s="1">
        <v>44523</v>
      </c>
      <c r="D350" s="1" t="str" cm="1">
        <f t="array" ref="D350">_xlfn.IFS(E350&lt;28, "17-27",
AND(E350&gt;27, E350&lt;38), "28-37",
AND(E350&gt;37, E350 &lt;48), "38-47",
AND(E350&gt;47, E350 &lt;58), "48-57",
AND(E350&gt;57, E350&lt;68), "58-67",
AND(E350&gt;67, E350&lt;78), "68-77",
E350&gt;77,"Above than 77")</f>
        <v>17-27</v>
      </c>
      <c r="E350">
        <v>26</v>
      </c>
      <c r="F350" s="1">
        <v>34856</v>
      </c>
      <c r="G350" s="1" t="str">
        <f>VLOOKUP(H350,Table7[#All], 2, FALSE)</f>
        <v>Arizona</v>
      </c>
      <c r="H350" s="2" t="s">
        <v>114</v>
      </c>
      <c r="I350" s="2" t="s">
        <v>22</v>
      </c>
      <c r="J350" s="2" t="s">
        <v>17</v>
      </c>
      <c r="K350" s="2" t="s">
        <v>24</v>
      </c>
      <c r="L350" s="2" t="s">
        <v>9</v>
      </c>
      <c r="M350" s="2" t="s">
        <v>10</v>
      </c>
      <c r="N350" s="2" t="s">
        <v>26</v>
      </c>
      <c r="O350" s="2" t="s">
        <v>27</v>
      </c>
      <c r="P350" s="2" t="s">
        <v>92</v>
      </c>
      <c r="Q350" s="2" t="s">
        <v>16</v>
      </c>
      <c r="R350" s="2" t="s">
        <v>18</v>
      </c>
      <c r="S350">
        <v>3</v>
      </c>
    </row>
    <row r="351" spans="1:19" x14ac:dyDescent="0.3">
      <c r="A351">
        <v>2591</v>
      </c>
      <c r="B351">
        <f>YEAR(Cleaned_HR_Data_Analysis__2[[#This Row],[Joining_Date]])</f>
        <v>2019</v>
      </c>
      <c r="C351" s="1">
        <v>43725</v>
      </c>
      <c r="D351" s="1" t="str" cm="1">
        <f t="array" ref="D351">_xlfn.IFS(E351&lt;28, "17-27",
AND(E351&gt;27, E351&lt;38), "28-37",
AND(E351&gt;37, E351 &lt;48), "38-47",
AND(E351&gt;47, E351 &lt;58), "48-57",
AND(E351&gt;57, E351&lt;68), "58-67",
AND(E351&gt;67, E351&lt;78), "68-77",
E351&gt;77,"Above than 77")</f>
        <v>17-27</v>
      </c>
      <c r="E351">
        <v>26</v>
      </c>
      <c r="F351" s="1">
        <v>34189</v>
      </c>
      <c r="G351" s="1" t="str">
        <f>VLOOKUP(H351,Table7[#All], 2, FALSE)</f>
        <v>Arizona</v>
      </c>
      <c r="H351" s="2" t="s">
        <v>114</v>
      </c>
      <c r="I351" s="2" t="s">
        <v>22</v>
      </c>
      <c r="J351" s="2" t="s">
        <v>31</v>
      </c>
      <c r="K351" s="2" t="s">
        <v>24</v>
      </c>
      <c r="L351" s="2" t="s">
        <v>9</v>
      </c>
      <c r="M351" s="2" t="s">
        <v>25</v>
      </c>
      <c r="N351" s="2" t="s">
        <v>26</v>
      </c>
      <c r="O351" s="2" t="s">
        <v>27</v>
      </c>
      <c r="P351" s="2" t="s">
        <v>32</v>
      </c>
      <c r="Q351" s="2" t="s">
        <v>46</v>
      </c>
      <c r="R351" s="2" t="s">
        <v>18</v>
      </c>
      <c r="S351">
        <v>5</v>
      </c>
    </row>
    <row r="352" spans="1:19" x14ac:dyDescent="0.3">
      <c r="A352">
        <v>1347</v>
      </c>
      <c r="B352">
        <f>YEAR(Cleaned_HR_Data_Analysis__2[[#This Row],[Joining_Date]])</f>
        <v>2022</v>
      </c>
      <c r="C352" s="1">
        <v>44624</v>
      </c>
      <c r="D352" s="1" t="str" cm="1">
        <f t="array" ref="D352">_xlfn.IFS(E352&lt;28, "17-27",
AND(E352&gt;27, E352&lt;38), "28-37",
AND(E352&gt;37, E352 &lt;48), "38-47",
AND(E352&gt;47, E352 &lt;58), "48-57",
AND(E352&gt;57, E352&lt;68), "58-67",
AND(E352&gt;67, E352&lt;78), "68-77",
E352&gt;77,"Above than 77")</f>
        <v>17-27</v>
      </c>
      <c r="E352">
        <v>27</v>
      </c>
      <c r="F352" s="1">
        <v>34779</v>
      </c>
      <c r="G352" s="1" t="str">
        <f>VLOOKUP(H352,Table7[#All], 2, FALSE)</f>
        <v>Massachusetts</v>
      </c>
      <c r="H352" s="2" t="s">
        <v>14</v>
      </c>
      <c r="I352" s="2" t="s">
        <v>22</v>
      </c>
      <c r="J352" s="2" t="s">
        <v>34</v>
      </c>
      <c r="K352" s="2" t="s">
        <v>72</v>
      </c>
      <c r="L352" s="2" t="s">
        <v>9</v>
      </c>
      <c r="M352" s="2" t="s">
        <v>20</v>
      </c>
      <c r="N352" s="2" t="s">
        <v>26</v>
      </c>
      <c r="O352" s="2" t="s">
        <v>53</v>
      </c>
      <c r="P352" s="2" t="s">
        <v>32</v>
      </c>
      <c r="Q352" s="2" t="s">
        <v>23</v>
      </c>
      <c r="R352" s="2" t="s">
        <v>18</v>
      </c>
      <c r="S352">
        <v>3</v>
      </c>
    </row>
    <row r="353" spans="1:19" x14ac:dyDescent="0.3">
      <c r="A353">
        <v>1368</v>
      </c>
      <c r="B353">
        <f>YEAR(Cleaned_HR_Data_Analysis__2[[#This Row],[Joining_Date]])</f>
        <v>2020</v>
      </c>
      <c r="C353" s="1">
        <v>43925</v>
      </c>
      <c r="D353" s="1" t="str" cm="1">
        <f t="array" ref="D353">_xlfn.IFS(E353&lt;28, "17-27",
AND(E353&gt;27, E353&lt;38), "28-37",
AND(E353&gt;37, E353 &lt;48), "38-47",
AND(E353&gt;47, E353 &lt;58), "48-57",
AND(E353&gt;57, E353&lt;68), "58-67",
AND(E353&gt;67, E353&lt;78), "68-77",
E353&gt;77,"Above than 77")</f>
        <v>17-27</v>
      </c>
      <c r="E353">
        <v>27</v>
      </c>
      <c r="F353" s="1">
        <v>34207</v>
      </c>
      <c r="G353" s="1" t="str">
        <f>VLOOKUP(H353,Table7[#All], 2, FALSE)</f>
        <v>Massachusetts</v>
      </c>
      <c r="H353" s="2" t="s">
        <v>14</v>
      </c>
      <c r="I353" s="2" t="s">
        <v>15</v>
      </c>
      <c r="J353" s="2" t="s">
        <v>17</v>
      </c>
      <c r="K353" s="2" t="s">
        <v>84</v>
      </c>
      <c r="L353" s="2" t="s">
        <v>9</v>
      </c>
      <c r="M353" s="2" t="s">
        <v>20</v>
      </c>
      <c r="N353" s="2" t="s">
        <v>11</v>
      </c>
      <c r="O353" s="2" t="s">
        <v>90</v>
      </c>
      <c r="P353" s="2" t="s">
        <v>28</v>
      </c>
      <c r="Q353" s="2" t="s">
        <v>16</v>
      </c>
      <c r="R353" s="2" t="s">
        <v>41</v>
      </c>
      <c r="S353">
        <v>2</v>
      </c>
    </row>
    <row r="354" spans="1:19" x14ac:dyDescent="0.3">
      <c r="A354">
        <v>1077</v>
      </c>
      <c r="B354">
        <f>YEAR(Cleaned_HR_Data_Analysis__2[[#This Row],[Joining_Date]])</f>
        <v>2019</v>
      </c>
      <c r="C354" s="1">
        <v>43498</v>
      </c>
      <c r="D354" s="1" t="str" cm="1">
        <f t="array" ref="D354">_xlfn.IFS(E354&lt;28, "17-27",
AND(E354&gt;27, E354&lt;38), "28-37",
AND(E354&gt;37, E354 &lt;48), "38-47",
AND(E354&gt;47, E354 &lt;58), "48-57",
AND(E354&gt;57, E354&lt;68), "58-67",
AND(E354&gt;67, E354&lt;78), "68-77",
E354&gt;77,"Above than 77")</f>
        <v>17-27</v>
      </c>
      <c r="E354">
        <v>27</v>
      </c>
      <c r="F354" s="1">
        <v>33734</v>
      </c>
      <c r="G354" s="1" t="str">
        <f>VLOOKUP(H354,Table7[#All], 2, FALSE)</f>
        <v>Massachusetts</v>
      </c>
      <c r="H354" s="2" t="s">
        <v>14</v>
      </c>
      <c r="I354" s="2" t="s">
        <v>15</v>
      </c>
      <c r="J354" s="2" t="s">
        <v>31</v>
      </c>
      <c r="K354" s="2" t="s">
        <v>86</v>
      </c>
      <c r="L354" s="2" t="s">
        <v>9</v>
      </c>
      <c r="M354" s="2" t="s">
        <v>10</v>
      </c>
      <c r="N354" s="2" t="s">
        <v>26</v>
      </c>
      <c r="O354" s="2" t="s">
        <v>87</v>
      </c>
      <c r="P354" s="2" t="s">
        <v>61</v>
      </c>
      <c r="Q354" s="2" t="s">
        <v>37</v>
      </c>
      <c r="R354" s="2" t="s">
        <v>18</v>
      </c>
      <c r="S354">
        <v>2</v>
      </c>
    </row>
    <row r="355" spans="1:19" x14ac:dyDescent="0.3">
      <c r="A355">
        <v>1050</v>
      </c>
      <c r="B355">
        <f>YEAR(Cleaned_HR_Data_Analysis__2[[#This Row],[Joining_Date]])</f>
        <v>2020</v>
      </c>
      <c r="C355" s="1">
        <v>44158</v>
      </c>
      <c r="D355" s="1" t="str" cm="1">
        <f t="array" ref="D355">_xlfn.IFS(E355&lt;28, "17-27",
AND(E355&gt;27, E355&lt;38), "28-37",
AND(E355&gt;37, E355 &lt;48), "38-47",
AND(E355&gt;47, E355 &lt;58), "48-57",
AND(E355&gt;57, E355&lt;68), "58-67",
AND(E355&gt;67, E355&lt;78), "68-77",
E355&gt;77,"Above than 77")</f>
        <v>17-27</v>
      </c>
      <c r="E355">
        <v>27</v>
      </c>
      <c r="F355" s="1">
        <v>34154</v>
      </c>
      <c r="G355" s="1" t="str">
        <f>VLOOKUP(H355,Table7[#All], 2, FALSE)</f>
        <v>Massachusetts</v>
      </c>
      <c r="H355" s="2" t="s">
        <v>14</v>
      </c>
      <c r="I355" s="2" t="s">
        <v>22</v>
      </c>
      <c r="J355" s="2" t="s">
        <v>17</v>
      </c>
      <c r="K355" s="2" t="s">
        <v>86</v>
      </c>
      <c r="L355" s="2" t="s">
        <v>9</v>
      </c>
      <c r="M355" s="2" t="s">
        <v>10</v>
      </c>
      <c r="N355" s="2" t="s">
        <v>26</v>
      </c>
      <c r="O355" s="2" t="s">
        <v>87</v>
      </c>
      <c r="P355" s="2" t="s">
        <v>13</v>
      </c>
      <c r="Q355" s="2" t="s">
        <v>37</v>
      </c>
      <c r="R355" s="2" t="s">
        <v>18</v>
      </c>
      <c r="S355">
        <v>5</v>
      </c>
    </row>
    <row r="356" spans="1:19" x14ac:dyDescent="0.3">
      <c r="A356">
        <v>1037</v>
      </c>
      <c r="B356">
        <f>YEAR(Cleaned_HR_Data_Analysis__2[[#This Row],[Joining_Date]])</f>
        <v>2020</v>
      </c>
      <c r="C356" s="1">
        <v>44098</v>
      </c>
      <c r="D356" s="1" t="str" cm="1">
        <f t="array" ref="D356">_xlfn.IFS(E356&lt;28, "17-27",
AND(E356&gt;27, E356&lt;38), "28-37",
AND(E356&gt;37, E356 &lt;48), "38-47",
AND(E356&gt;47, E356 &lt;58), "48-57",
AND(E356&gt;57, E356&lt;68), "58-67",
AND(E356&gt;67, E356&lt;78), "68-77",
E356&gt;77,"Above than 77")</f>
        <v>17-27</v>
      </c>
      <c r="E356">
        <v>27</v>
      </c>
      <c r="F356" s="1">
        <v>34177</v>
      </c>
      <c r="G356" s="1" t="str">
        <f>VLOOKUP(H356,Table7[#All], 2, FALSE)</f>
        <v>Massachusetts</v>
      </c>
      <c r="H356" s="2" t="s">
        <v>14</v>
      </c>
      <c r="I356" s="2" t="s">
        <v>22</v>
      </c>
      <c r="J356" s="2" t="s">
        <v>17</v>
      </c>
      <c r="K356" s="2" t="s">
        <v>86</v>
      </c>
      <c r="L356" s="2" t="s">
        <v>66</v>
      </c>
      <c r="M356" s="2" t="s">
        <v>20</v>
      </c>
      <c r="N356" s="2" t="s">
        <v>11</v>
      </c>
      <c r="O356" s="2" t="s">
        <v>87</v>
      </c>
      <c r="P356" s="2" t="s">
        <v>55</v>
      </c>
      <c r="Q356" s="2" t="s">
        <v>30</v>
      </c>
      <c r="R356" s="2" t="s">
        <v>18</v>
      </c>
      <c r="S356">
        <v>1</v>
      </c>
    </row>
    <row r="357" spans="1:19" x14ac:dyDescent="0.3">
      <c r="A357">
        <v>1624</v>
      </c>
      <c r="B357">
        <f>YEAR(Cleaned_HR_Data_Analysis__2[[#This Row],[Joining_Date]])</f>
        <v>2023</v>
      </c>
      <c r="C357" s="1">
        <v>45058</v>
      </c>
      <c r="D357" s="1" t="str" cm="1">
        <f t="array" ref="D357">_xlfn.IFS(E357&lt;28, "17-27",
AND(E357&gt;27, E357&lt;38), "28-37",
AND(E357&gt;37, E357 &lt;48), "38-47",
AND(E357&gt;47, E357 &lt;58), "48-57",
AND(E357&gt;57, E357&lt;68), "58-67",
AND(E357&gt;67, E357&lt;78), "68-77",
E357&gt;77,"Above than 77")</f>
        <v>17-27</v>
      </c>
      <c r="E357">
        <v>27</v>
      </c>
      <c r="F357" s="1">
        <v>35360</v>
      </c>
      <c r="G357" s="1" t="str">
        <f>VLOOKUP(H357,Table7[#All], 2, FALSE)</f>
        <v>Massachusetts</v>
      </c>
      <c r="H357" s="2" t="s">
        <v>14</v>
      </c>
      <c r="I357" s="2" t="s">
        <v>22</v>
      </c>
      <c r="J357" s="2" t="s">
        <v>17</v>
      </c>
      <c r="K357" s="2" t="s">
        <v>89</v>
      </c>
      <c r="L357" s="2" t="s">
        <v>9</v>
      </c>
      <c r="M357" s="2" t="s">
        <v>25</v>
      </c>
      <c r="N357" s="2" t="s">
        <v>19</v>
      </c>
      <c r="O357" s="2" t="s">
        <v>53</v>
      </c>
      <c r="P357" s="2" t="s">
        <v>35</v>
      </c>
      <c r="Q357" s="2" t="s">
        <v>16</v>
      </c>
      <c r="R357" s="2" t="s">
        <v>56</v>
      </c>
      <c r="S357">
        <v>1</v>
      </c>
    </row>
    <row r="358" spans="1:19" x14ac:dyDescent="0.3">
      <c r="A358">
        <v>3764</v>
      </c>
      <c r="B358">
        <f>YEAR(Cleaned_HR_Data_Analysis__2[[#This Row],[Joining_Date]])</f>
        <v>2022</v>
      </c>
      <c r="C358" s="1">
        <v>44608</v>
      </c>
      <c r="D358" s="1" t="str" cm="1">
        <f t="array" ref="D358">_xlfn.IFS(E358&lt;28, "17-27",
AND(E358&gt;27, E358&lt;38), "28-37",
AND(E358&gt;37, E358 &lt;48), "38-47",
AND(E358&gt;47, E358 &lt;58), "48-57",
AND(E358&gt;57, E358&lt;68), "58-67",
AND(E358&gt;67, E358&lt;78), "68-77",
E358&gt;77,"Above than 77")</f>
        <v>17-27</v>
      </c>
      <c r="E358">
        <v>27</v>
      </c>
      <c r="F358" s="1">
        <v>35046</v>
      </c>
      <c r="G358" s="1" t="str">
        <f>VLOOKUP(H358,Table7[#All], 2, FALSE)</f>
        <v>Massachusetts</v>
      </c>
      <c r="H358" s="2" t="s">
        <v>14</v>
      </c>
      <c r="I358" s="2" t="s">
        <v>15</v>
      </c>
      <c r="J358" s="2" t="s">
        <v>31</v>
      </c>
      <c r="K358" s="2" t="s">
        <v>64</v>
      </c>
      <c r="L358" s="2" t="s">
        <v>9</v>
      </c>
      <c r="M358" s="2" t="s">
        <v>25</v>
      </c>
      <c r="N358" s="2" t="s">
        <v>26</v>
      </c>
      <c r="O358" s="2" t="s">
        <v>12</v>
      </c>
      <c r="P358" s="2" t="s">
        <v>28</v>
      </c>
      <c r="Q358" s="2" t="s">
        <v>37</v>
      </c>
      <c r="R358" s="2" t="s">
        <v>18</v>
      </c>
      <c r="S358">
        <v>1</v>
      </c>
    </row>
    <row r="359" spans="1:19" x14ac:dyDescent="0.3">
      <c r="A359">
        <v>3602</v>
      </c>
      <c r="B359">
        <f>YEAR(Cleaned_HR_Data_Analysis__2[[#This Row],[Joining_Date]])</f>
        <v>2021</v>
      </c>
      <c r="C359" s="1">
        <v>44297</v>
      </c>
      <c r="D359" s="1" t="str" cm="1">
        <f t="array" ref="D359">_xlfn.IFS(E359&lt;28, "17-27",
AND(E359&gt;27, E359&lt;38), "28-37",
AND(E359&gt;37, E359 &lt;48), "38-47",
AND(E359&gt;47, E359 &lt;58), "48-57",
AND(E359&gt;57, E359&lt;68), "58-67",
AND(E359&gt;67, E359&lt;78), "68-77",
E359&gt;77,"Above than 77")</f>
        <v>17-27</v>
      </c>
      <c r="E359">
        <v>27</v>
      </c>
      <c r="F359" s="1">
        <v>34619</v>
      </c>
      <c r="G359" s="1" t="str">
        <f>VLOOKUP(H359,Table7[#All], 2, FALSE)</f>
        <v>Massachusetts</v>
      </c>
      <c r="H359" s="2" t="s">
        <v>14</v>
      </c>
      <c r="I359" s="2" t="s">
        <v>15</v>
      </c>
      <c r="J359" s="2" t="s">
        <v>34</v>
      </c>
      <c r="K359" s="2" t="s">
        <v>64</v>
      </c>
      <c r="L359" s="2" t="s">
        <v>66</v>
      </c>
      <c r="M359" s="2" t="s">
        <v>25</v>
      </c>
      <c r="N359" s="2" t="s">
        <v>26</v>
      </c>
      <c r="O359" s="2" t="s">
        <v>12</v>
      </c>
      <c r="P359" s="2" t="s">
        <v>42</v>
      </c>
      <c r="Q359" s="2" t="s">
        <v>23</v>
      </c>
      <c r="R359" s="2" t="s">
        <v>18</v>
      </c>
      <c r="S359">
        <v>3</v>
      </c>
    </row>
    <row r="360" spans="1:19" x14ac:dyDescent="0.3">
      <c r="A360">
        <v>3239</v>
      </c>
      <c r="B360">
        <f>YEAR(Cleaned_HR_Data_Analysis__2[[#This Row],[Joining_Date]])</f>
        <v>2019</v>
      </c>
      <c r="C360" s="1">
        <v>43618</v>
      </c>
      <c r="D360" s="1" t="str" cm="1">
        <f t="array" ref="D360">_xlfn.IFS(E360&lt;28, "17-27",
AND(E360&gt;27, E360&lt;38), "28-37",
AND(E360&gt;37, E360 &lt;48), "38-47",
AND(E360&gt;47, E360 &lt;58), "48-57",
AND(E360&gt;57, E360&lt;68), "58-67",
AND(E360&gt;67, E360&lt;78), "68-77",
E360&gt;77,"Above than 77")</f>
        <v>17-27</v>
      </c>
      <c r="E360">
        <v>27</v>
      </c>
      <c r="F360" s="1">
        <v>33804</v>
      </c>
      <c r="G360" s="1" t="str">
        <f>VLOOKUP(H360,Table7[#All], 2, FALSE)</f>
        <v>Massachusetts</v>
      </c>
      <c r="H360" s="2" t="s">
        <v>14</v>
      </c>
      <c r="I360" s="2" t="s">
        <v>22</v>
      </c>
      <c r="J360" s="2" t="s">
        <v>31</v>
      </c>
      <c r="K360" s="2" t="s">
        <v>64</v>
      </c>
      <c r="L360" s="2" t="s">
        <v>9</v>
      </c>
      <c r="M360" s="2" t="s">
        <v>20</v>
      </c>
      <c r="N360" s="2" t="s">
        <v>11</v>
      </c>
      <c r="O360" s="2" t="s">
        <v>12</v>
      </c>
      <c r="P360" s="2" t="s">
        <v>35</v>
      </c>
      <c r="Q360" s="2" t="s">
        <v>37</v>
      </c>
      <c r="R360" s="2" t="s">
        <v>18</v>
      </c>
      <c r="S360">
        <v>2</v>
      </c>
    </row>
    <row r="361" spans="1:19" x14ac:dyDescent="0.3">
      <c r="A361">
        <v>3135</v>
      </c>
      <c r="B361">
        <f>YEAR(Cleaned_HR_Data_Analysis__2[[#This Row],[Joining_Date]])</f>
        <v>2020</v>
      </c>
      <c r="C361" s="1">
        <v>43902</v>
      </c>
      <c r="D361" s="1" t="str" cm="1">
        <f t="array" ref="D361">_xlfn.IFS(E361&lt;28, "17-27",
AND(E361&gt;27, E361&lt;38), "28-37",
AND(E361&gt;37, E361 &lt;48), "38-47",
AND(E361&gt;47, E361 &lt;58), "48-57",
AND(E361&gt;57, E361&lt;68), "58-67",
AND(E361&gt;67, E361&lt;78), "68-77",
E361&gt;77,"Above than 77")</f>
        <v>17-27</v>
      </c>
      <c r="E361">
        <v>27</v>
      </c>
      <c r="F361" s="1">
        <v>34084</v>
      </c>
      <c r="G361" s="1" t="str">
        <f>VLOOKUP(H361,Table7[#All], 2, FALSE)</f>
        <v>Massachusetts</v>
      </c>
      <c r="H361" s="2" t="s">
        <v>14</v>
      </c>
      <c r="I361" s="2" t="s">
        <v>15</v>
      </c>
      <c r="J361" s="2" t="s">
        <v>31</v>
      </c>
      <c r="K361" s="2" t="s">
        <v>64</v>
      </c>
      <c r="L361" s="2" t="s">
        <v>9</v>
      </c>
      <c r="M361" s="2" t="s">
        <v>20</v>
      </c>
      <c r="N361" s="2" t="s">
        <v>19</v>
      </c>
      <c r="O361" s="2" t="s">
        <v>12</v>
      </c>
      <c r="P361" s="2" t="s">
        <v>54</v>
      </c>
      <c r="Q361" s="2" t="s">
        <v>16</v>
      </c>
      <c r="R361" s="2" t="s">
        <v>18</v>
      </c>
      <c r="S361">
        <v>2</v>
      </c>
    </row>
    <row r="362" spans="1:19" x14ac:dyDescent="0.3">
      <c r="A362">
        <v>2864</v>
      </c>
      <c r="B362">
        <f>YEAR(Cleaned_HR_Data_Analysis__2[[#This Row],[Joining_Date]])</f>
        <v>2022</v>
      </c>
      <c r="C362" s="1">
        <v>44697</v>
      </c>
      <c r="D362" s="1" t="str" cm="1">
        <f t="array" ref="D362">_xlfn.IFS(E362&lt;28, "17-27",
AND(E362&gt;27, E362&lt;38), "28-37",
AND(E362&gt;37, E362 &lt;48), "38-47",
AND(E362&gt;47, E362 &lt;58), "48-57",
AND(E362&gt;57, E362&lt;68), "58-67",
AND(E362&gt;67, E362&lt;78), "68-77",
E362&gt;77,"Above than 77")</f>
        <v>17-27</v>
      </c>
      <c r="E362">
        <v>27</v>
      </c>
      <c r="F362" s="1">
        <v>35059</v>
      </c>
      <c r="G362" s="1" t="str">
        <f>VLOOKUP(H362,Table7[#All], 2, FALSE)</f>
        <v>Massachusetts</v>
      </c>
      <c r="H362" s="2" t="s">
        <v>14</v>
      </c>
      <c r="I362" s="2" t="s">
        <v>22</v>
      </c>
      <c r="J362" s="2" t="s">
        <v>31</v>
      </c>
      <c r="K362" s="2" t="s">
        <v>64</v>
      </c>
      <c r="L362" s="2" t="s">
        <v>9</v>
      </c>
      <c r="M362" s="2" t="s">
        <v>20</v>
      </c>
      <c r="N362" s="2" t="s">
        <v>26</v>
      </c>
      <c r="O362" s="2" t="s">
        <v>12</v>
      </c>
      <c r="P362" s="2" t="s">
        <v>35</v>
      </c>
      <c r="Q362" s="2" t="s">
        <v>46</v>
      </c>
      <c r="R362" s="2" t="s">
        <v>18</v>
      </c>
      <c r="S362">
        <v>3</v>
      </c>
    </row>
    <row r="363" spans="1:19" x14ac:dyDescent="0.3">
      <c r="A363">
        <v>2117</v>
      </c>
      <c r="B363">
        <f>YEAR(Cleaned_HR_Data_Analysis__2[[#This Row],[Joining_Date]])</f>
        <v>2020</v>
      </c>
      <c r="C363" s="1">
        <v>44004</v>
      </c>
      <c r="D363" s="1" t="str" cm="1">
        <f t="array" ref="D363">_xlfn.IFS(E363&lt;28, "17-27",
AND(E363&gt;27, E363&lt;38), "28-37",
AND(E363&gt;37, E363 &lt;48), "38-47",
AND(E363&gt;47, E363 &lt;58), "48-57",
AND(E363&gt;57, E363&lt;68), "58-67",
AND(E363&gt;67, E363&lt;78), "68-77",
E363&gt;77,"Above than 77")</f>
        <v>17-27</v>
      </c>
      <c r="E363">
        <v>27</v>
      </c>
      <c r="F363" s="1">
        <v>34106</v>
      </c>
      <c r="G363" s="1" t="str">
        <f>VLOOKUP(H363,Table7[#All], 2, FALSE)</f>
        <v>Massachusetts</v>
      </c>
      <c r="H363" s="2" t="s">
        <v>14</v>
      </c>
      <c r="I363" s="2" t="s">
        <v>15</v>
      </c>
      <c r="J363" s="2" t="s">
        <v>40</v>
      </c>
      <c r="K363" s="2" t="s">
        <v>64</v>
      </c>
      <c r="L363" s="2" t="s">
        <v>9</v>
      </c>
      <c r="M363" s="2" t="s">
        <v>25</v>
      </c>
      <c r="N363" s="2" t="s">
        <v>26</v>
      </c>
      <c r="O363" s="2" t="s">
        <v>12</v>
      </c>
      <c r="P363" s="2" t="s">
        <v>35</v>
      </c>
      <c r="Q363" s="2" t="s">
        <v>23</v>
      </c>
      <c r="R363" s="2" t="s">
        <v>41</v>
      </c>
      <c r="S363">
        <v>3</v>
      </c>
    </row>
    <row r="364" spans="1:19" x14ac:dyDescent="0.3">
      <c r="A364">
        <v>2114</v>
      </c>
      <c r="B364">
        <f>YEAR(Cleaned_HR_Data_Analysis__2[[#This Row],[Joining_Date]])</f>
        <v>2019</v>
      </c>
      <c r="C364" s="1">
        <v>43701</v>
      </c>
      <c r="D364" s="1" t="str" cm="1">
        <f t="array" ref="D364">_xlfn.IFS(E364&lt;28, "17-27",
AND(E364&gt;27, E364&lt;38), "28-37",
AND(E364&gt;37, E364 &lt;48), "38-47",
AND(E364&gt;47, E364 &lt;58), "48-57",
AND(E364&gt;57, E364&lt;68), "58-67",
AND(E364&gt;67, E364&lt;78), "68-77",
E364&gt;77,"Above than 77")</f>
        <v>17-27</v>
      </c>
      <c r="E364">
        <v>27</v>
      </c>
      <c r="F364" s="1">
        <v>33718</v>
      </c>
      <c r="G364" s="1" t="str">
        <f>VLOOKUP(H364,Table7[#All], 2, FALSE)</f>
        <v>Massachusetts</v>
      </c>
      <c r="H364" s="2" t="s">
        <v>14</v>
      </c>
      <c r="I364" s="2" t="s">
        <v>15</v>
      </c>
      <c r="J364" s="2" t="s">
        <v>31</v>
      </c>
      <c r="K364" s="2" t="s">
        <v>64</v>
      </c>
      <c r="L364" s="2" t="s">
        <v>9</v>
      </c>
      <c r="M364" s="2" t="s">
        <v>10</v>
      </c>
      <c r="N364" s="2" t="s">
        <v>11</v>
      </c>
      <c r="O364" s="2" t="s">
        <v>12</v>
      </c>
      <c r="P364" s="2" t="s">
        <v>42</v>
      </c>
      <c r="Q364" s="2" t="s">
        <v>16</v>
      </c>
      <c r="R364" s="2" t="s">
        <v>41</v>
      </c>
      <c r="S364">
        <v>4</v>
      </c>
    </row>
    <row r="365" spans="1:19" x14ac:dyDescent="0.3">
      <c r="A365">
        <v>2048</v>
      </c>
      <c r="B365">
        <f>YEAR(Cleaned_HR_Data_Analysis__2[[#This Row],[Joining_Date]])</f>
        <v>2022</v>
      </c>
      <c r="C365" s="1">
        <v>44599</v>
      </c>
      <c r="D365" s="1" t="str" cm="1">
        <f t="array" ref="D365">_xlfn.IFS(E365&lt;28, "17-27",
AND(E365&gt;27, E365&lt;38), "28-37",
AND(E365&gt;37, E365 &lt;48), "38-47",
AND(E365&gt;47, E365 &lt;58), "48-57",
AND(E365&gt;57, E365&lt;68), "58-67",
AND(E365&gt;67, E365&lt;78), "68-77",
E365&gt;77,"Above than 77")</f>
        <v>17-27</v>
      </c>
      <c r="E365">
        <v>27</v>
      </c>
      <c r="F365" s="1">
        <v>34795</v>
      </c>
      <c r="G365" s="1" t="str">
        <f>VLOOKUP(H365,Table7[#All], 2, FALSE)</f>
        <v>Massachusetts</v>
      </c>
      <c r="H365" s="2" t="s">
        <v>14</v>
      </c>
      <c r="I365" s="2" t="s">
        <v>15</v>
      </c>
      <c r="J365" s="2" t="s">
        <v>34</v>
      </c>
      <c r="K365" s="2" t="s">
        <v>64</v>
      </c>
      <c r="L365" s="2" t="s">
        <v>9</v>
      </c>
      <c r="M365" s="2" t="s">
        <v>10</v>
      </c>
      <c r="N365" s="2" t="s">
        <v>26</v>
      </c>
      <c r="O365" s="2" t="s">
        <v>12</v>
      </c>
      <c r="P365" s="2" t="s">
        <v>21</v>
      </c>
      <c r="Q365" s="2" t="s">
        <v>46</v>
      </c>
      <c r="R365" s="2" t="s">
        <v>18</v>
      </c>
      <c r="S365">
        <v>5</v>
      </c>
    </row>
    <row r="366" spans="1:19" x14ac:dyDescent="0.3">
      <c r="A366">
        <v>2042</v>
      </c>
      <c r="B366">
        <f>YEAR(Cleaned_HR_Data_Analysis__2[[#This Row],[Joining_Date]])</f>
        <v>2019</v>
      </c>
      <c r="C366" s="1">
        <v>43793</v>
      </c>
      <c r="D366" s="1" t="str" cm="1">
        <f t="array" ref="D366">_xlfn.IFS(E366&lt;28, "17-27",
AND(E366&gt;27, E366&lt;38), "28-37",
AND(E366&gt;37, E366 &lt;48), "38-47",
AND(E366&gt;47, E366 &lt;58), "48-57",
AND(E366&gt;57, E366&lt;68), "58-67",
AND(E366&gt;67, E366&lt;78), "68-77",
E366&gt;77,"Above than 77")</f>
        <v>17-27</v>
      </c>
      <c r="E366">
        <v>27</v>
      </c>
      <c r="F366" s="1">
        <v>33663</v>
      </c>
      <c r="G366" s="1" t="str">
        <f>VLOOKUP(H366,Table7[#All], 2, FALSE)</f>
        <v>Massachusetts</v>
      </c>
      <c r="H366" s="2" t="s">
        <v>14</v>
      </c>
      <c r="I366" s="2" t="s">
        <v>15</v>
      </c>
      <c r="J366" s="2" t="s">
        <v>34</v>
      </c>
      <c r="K366" s="2" t="s">
        <v>64</v>
      </c>
      <c r="L366" s="2" t="s">
        <v>9</v>
      </c>
      <c r="M366" s="2" t="s">
        <v>20</v>
      </c>
      <c r="N366" s="2" t="s">
        <v>11</v>
      </c>
      <c r="O366" s="2" t="s">
        <v>12</v>
      </c>
      <c r="P366" s="2" t="s">
        <v>32</v>
      </c>
      <c r="Q366" s="2" t="s">
        <v>16</v>
      </c>
      <c r="R366" s="2" t="s">
        <v>18</v>
      </c>
      <c r="S366">
        <v>2</v>
      </c>
    </row>
    <row r="367" spans="1:19" x14ac:dyDescent="0.3">
      <c r="A367">
        <v>1579</v>
      </c>
      <c r="B367">
        <f>YEAR(Cleaned_HR_Data_Analysis__2[[#This Row],[Joining_Date]])</f>
        <v>2021</v>
      </c>
      <c r="C367" s="1">
        <v>44385</v>
      </c>
      <c r="D367" s="1" t="str" cm="1">
        <f t="array" ref="D367">_xlfn.IFS(E367&lt;28, "17-27",
AND(E367&gt;27, E367&lt;38), "28-37",
AND(E367&gt;37, E367 &lt;48), "38-47",
AND(E367&gt;47, E367 &lt;58), "48-57",
AND(E367&gt;57, E367&lt;68), "58-67",
AND(E367&gt;67, E367&lt;78), "68-77",
E367&gt;77,"Above than 77")</f>
        <v>17-27</v>
      </c>
      <c r="E367">
        <v>27</v>
      </c>
      <c r="F367" s="1">
        <v>34607</v>
      </c>
      <c r="G367" s="1" t="str">
        <f>VLOOKUP(H367,Table7[#All], 2, FALSE)</f>
        <v>Massachusetts</v>
      </c>
      <c r="H367" s="2" t="s">
        <v>14</v>
      </c>
      <c r="I367" s="2" t="s">
        <v>22</v>
      </c>
      <c r="J367" s="2" t="s">
        <v>40</v>
      </c>
      <c r="K367" s="2" t="s">
        <v>64</v>
      </c>
      <c r="L367" s="2" t="s">
        <v>9</v>
      </c>
      <c r="M367" s="2" t="s">
        <v>20</v>
      </c>
      <c r="N367" s="2" t="s">
        <v>19</v>
      </c>
      <c r="O367" s="2" t="s">
        <v>12</v>
      </c>
      <c r="P367" s="2" t="s">
        <v>32</v>
      </c>
      <c r="Q367" s="2" t="s">
        <v>16</v>
      </c>
      <c r="R367" s="2" t="s">
        <v>18</v>
      </c>
      <c r="S367">
        <v>3</v>
      </c>
    </row>
    <row r="368" spans="1:19" x14ac:dyDescent="0.3">
      <c r="A368">
        <v>1557</v>
      </c>
      <c r="B368">
        <f>YEAR(Cleaned_HR_Data_Analysis__2[[#This Row],[Joining_Date]])</f>
        <v>2018</v>
      </c>
      <c r="C368" s="1">
        <v>43446</v>
      </c>
      <c r="D368" s="1" t="str" cm="1">
        <f t="array" ref="D368">_xlfn.IFS(E368&lt;28, "17-27",
AND(E368&gt;27, E368&lt;38), "28-37",
AND(E368&gt;37, E368 &lt;48), "38-47",
AND(E368&gt;47, E368 &lt;58), "48-57",
AND(E368&gt;57, E368&lt;68), "58-67",
AND(E368&gt;67, E368&lt;78), "68-77",
E368&gt;77,"Above than 77")</f>
        <v>17-27</v>
      </c>
      <c r="E368">
        <v>27</v>
      </c>
      <c r="F368" s="1">
        <v>33405</v>
      </c>
      <c r="G368" s="1" t="str">
        <f>VLOOKUP(H368,Table7[#All], 2, FALSE)</f>
        <v>Massachusetts</v>
      </c>
      <c r="H368" s="2" t="s">
        <v>14</v>
      </c>
      <c r="I368" s="2" t="s">
        <v>22</v>
      </c>
      <c r="J368" s="2" t="s">
        <v>40</v>
      </c>
      <c r="K368" s="2" t="s">
        <v>64</v>
      </c>
      <c r="L368" s="2" t="s">
        <v>66</v>
      </c>
      <c r="M368" s="2" t="s">
        <v>20</v>
      </c>
      <c r="N368" s="2" t="s">
        <v>26</v>
      </c>
      <c r="O368" s="2" t="s">
        <v>12</v>
      </c>
      <c r="P368" s="2" t="s">
        <v>54</v>
      </c>
      <c r="Q368" s="2" t="s">
        <v>23</v>
      </c>
      <c r="R368" s="2" t="s">
        <v>18</v>
      </c>
      <c r="S368">
        <v>1</v>
      </c>
    </row>
    <row r="369" spans="1:19" x14ac:dyDescent="0.3">
      <c r="A369">
        <v>1279</v>
      </c>
      <c r="B369">
        <f>YEAR(Cleaned_HR_Data_Analysis__2[[#This Row],[Joining_Date]])</f>
        <v>2021</v>
      </c>
      <c r="C369" s="1">
        <v>44386</v>
      </c>
      <c r="D369" s="1" t="str" cm="1">
        <f t="array" ref="D369">_xlfn.IFS(E369&lt;28, "17-27",
AND(E369&gt;27, E369&lt;38), "28-37",
AND(E369&gt;37, E369 &lt;48), "38-47",
AND(E369&gt;47, E369 &lt;58), "48-57",
AND(E369&gt;57, E369&lt;68), "58-67",
AND(E369&gt;67, E369&lt;78), "68-77",
E369&gt;77,"Above than 77")</f>
        <v>17-27</v>
      </c>
      <c r="E369">
        <v>27</v>
      </c>
      <c r="F369" s="1">
        <v>34531</v>
      </c>
      <c r="G369" s="1" t="str">
        <f>VLOOKUP(H369,Table7[#All], 2, FALSE)</f>
        <v>Massachusetts</v>
      </c>
      <c r="H369" s="2" t="s">
        <v>14</v>
      </c>
      <c r="I369" s="2" t="s">
        <v>15</v>
      </c>
      <c r="J369" s="2" t="s">
        <v>34</v>
      </c>
      <c r="K369" s="2" t="s">
        <v>64</v>
      </c>
      <c r="L369" s="2" t="s">
        <v>66</v>
      </c>
      <c r="M369" s="2" t="s">
        <v>20</v>
      </c>
      <c r="N369" s="2" t="s">
        <v>26</v>
      </c>
      <c r="O369" s="2" t="s">
        <v>12</v>
      </c>
      <c r="P369" s="2" t="s">
        <v>35</v>
      </c>
      <c r="Q369" s="2" t="s">
        <v>16</v>
      </c>
      <c r="R369" s="2" t="s">
        <v>18</v>
      </c>
      <c r="S369">
        <v>3</v>
      </c>
    </row>
    <row r="370" spans="1:19" x14ac:dyDescent="0.3">
      <c r="A370">
        <v>3770</v>
      </c>
      <c r="B370">
        <f>YEAR(Cleaned_HR_Data_Analysis__2[[#This Row],[Joining_Date]])</f>
        <v>2022</v>
      </c>
      <c r="C370" s="1">
        <v>44574</v>
      </c>
      <c r="D370" s="1" t="str" cm="1">
        <f t="array" ref="D370">_xlfn.IFS(E370&lt;28, "17-27",
AND(E370&gt;27, E370&lt;38), "28-37",
AND(E370&gt;37, E370 &lt;48), "38-47",
AND(E370&gt;47, E370 &lt;58), "48-57",
AND(E370&gt;57, E370&lt;68), "58-67",
AND(E370&gt;67, E370&lt;78), "68-77",
E370&gt;77,"Above than 77")</f>
        <v>17-27</v>
      </c>
      <c r="E370">
        <v>27</v>
      </c>
      <c r="F370" s="1">
        <v>34725</v>
      </c>
      <c r="G370" s="1" t="str">
        <f>VLOOKUP(H370,Table7[#All], 2, FALSE)</f>
        <v>Massachusetts</v>
      </c>
      <c r="H370" s="2" t="s">
        <v>14</v>
      </c>
      <c r="I370" s="2" t="s">
        <v>22</v>
      </c>
      <c r="J370" s="2" t="s">
        <v>34</v>
      </c>
      <c r="K370" s="2" t="s">
        <v>8</v>
      </c>
      <c r="L370" s="2" t="s">
        <v>66</v>
      </c>
      <c r="M370" s="2" t="s">
        <v>10</v>
      </c>
      <c r="N370" s="2" t="s">
        <v>26</v>
      </c>
      <c r="O370" s="2" t="s">
        <v>12</v>
      </c>
      <c r="P370" s="2" t="s">
        <v>21</v>
      </c>
      <c r="Q370" s="2" t="s">
        <v>46</v>
      </c>
      <c r="R370" s="2" t="s">
        <v>18</v>
      </c>
      <c r="S370">
        <v>3</v>
      </c>
    </row>
    <row r="371" spans="1:19" x14ac:dyDescent="0.3">
      <c r="A371">
        <v>3707</v>
      </c>
      <c r="B371">
        <f>YEAR(Cleaned_HR_Data_Analysis__2[[#This Row],[Joining_Date]])</f>
        <v>2022</v>
      </c>
      <c r="C371" s="1">
        <v>44906</v>
      </c>
      <c r="D371" s="1" t="str" cm="1">
        <f t="array" ref="D371">_xlfn.IFS(E371&lt;28, "17-27",
AND(E371&gt;27, E371&lt;38), "28-37",
AND(E371&gt;37, E371 &lt;48), "38-47",
AND(E371&gt;47, E371 &lt;58), "48-57",
AND(E371&gt;57, E371&lt;68), "58-67",
AND(E371&gt;67, E371&lt;78), "68-77",
E371&gt;77,"Above than 77")</f>
        <v>17-27</v>
      </c>
      <c r="E371">
        <v>27</v>
      </c>
      <c r="F371" s="1">
        <v>35034</v>
      </c>
      <c r="G371" s="1" t="str">
        <f>VLOOKUP(H371,Table7[#All], 2, FALSE)</f>
        <v>Massachusetts</v>
      </c>
      <c r="H371" s="2" t="s">
        <v>14</v>
      </c>
      <c r="I371" s="2" t="s">
        <v>22</v>
      </c>
      <c r="J371" s="2" t="s">
        <v>40</v>
      </c>
      <c r="K371" s="2" t="s">
        <v>8</v>
      </c>
      <c r="L371" s="2" t="s">
        <v>9</v>
      </c>
      <c r="M371" s="2" t="s">
        <v>10</v>
      </c>
      <c r="N371" s="2" t="s">
        <v>26</v>
      </c>
      <c r="O371" s="2" t="s">
        <v>12</v>
      </c>
      <c r="P371" s="2" t="s">
        <v>42</v>
      </c>
      <c r="Q371" s="2" t="s">
        <v>46</v>
      </c>
      <c r="R371" s="2" t="s">
        <v>41</v>
      </c>
      <c r="S371">
        <v>2</v>
      </c>
    </row>
    <row r="372" spans="1:19" x14ac:dyDescent="0.3">
      <c r="A372">
        <v>3691</v>
      </c>
      <c r="B372">
        <f>YEAR(Cleaned_HR_Data_Analysis__2[[#This Row],[Joining_Date]])</f>
        <v>2020</v>
      </c>
      <c r="C372" s="1">
        <v>44158</v>
      </c>
      <c r="D372" s="1" t="str" cm="1">
        <f t="array" ref="D372">_xlfn.IFS(E372&lt;28, "17-27",
AND(E372&gt;27, E372&lt;38), "28-37",
AND(E372&gt;37, E372 &lt;48), "38-47",
AND(E372&gt;47, E372 &lt;58), "48-57",
AND(E372&gt;57, E372&lt;68), "58-67",
AND(E372&gt;67, E372&lt;78), "68-77",
E372&gt;77,"Above than 77")</f>
        <v>17-27</v>
      </c>
      <c r="E372">
        <v>27</v>
      </c>
      <c r="F372" s="1">
        <v>33972</v>
      </c>
      <c r="G372" s="1" t="str">
        <f>VLOOKUP(H372,Table7[#All], 2, FALSE)</f>
        <v>Massachusetts</v>
      </c>
      <c r="H372" s="2" t="s">
        <v>14</v>
      </c>
      <c r="I372" s="2" t="s">
        <v>22</v>
      </c>
      <c r="J372" s="2" t="s">
        <v>31</v>
      </c>
      <c r="K372" s="2" t="s">
        <v>8</v>
      </c>
      <c r="L372" s="2" t="s">
        <v>9</v>
      </c>
      <c r="M372" s="2" t="s">
        <v>20</v>
      </c>
      <c r="N372" s="2" t="s">
        <v>11</v>
      </c>
      <c r="O372" s="2" t="s">
        <v>12</v>
      </c>
      <c r="P372" s="2" t="s">
        <v>13</v>
      </c>
      <c r="Q372" s="2" t="s">
        <v>46</v>
      </c>
      <c r="R372" s="2" t="s">
        <v>56</v>
      </c>
      <c r="S372">
        <v>1</v>
      </c>
    </row>
    <row r="373" spans="1:19" x14ac:dyDescent="0.3">
      <c r="A373">
        <v>3668</v>
      </c>
      <c r="B373">
        <f>YEAR(Cleaned_HR_Data_Analysis__2[[#This Row],[Joining_Date]])</f>
        <v>2023</v>
      </c>
      <c r="C373" s="1">
        <v>45144</v>
      </c>
      <c r="D373" s="1" t="str" cm="1">
        <f t="array" ref="D373">_xlfn.IFS(E373&lt;28, "17-27",
AND(E373&gt;27, E373&lt;38), "28-37",
AND(E373&gt;37, E373 &lt;48), "38-47",
AND(E373&gt;47, E373 &lt;58), "48-57",
AND(E373&gt;57, E373&lt;68), "58-67",
AND(E373&gt;67, E373&lt;78), "68-77",
E373&gt;77,"Above than 77")</f>
        <v>17-27</v>
      </c>
      <c r="E373">
        <v>27</v>
      </c>
      <c r="F373" s="1">
        <v>35209</v>
      </c>
      <c r="G373" s="1" t="str">
        <f>VLOOKUP(H373,Table7[#All], 2, FALSE)</f>
        <v>Massachusetts</v>
      </c>
      <c r="H373" s="2" t="s">
        <v>14</v>
      </c>
      <c r="I373" s="2" t="s">
        <v>22</v>
      </c>
      <c r="J373" s="2" t="s">
        <v>17</v>
      </c>
      <c r="K373" s="2" t="s">
        <v>8</v>
      </c>
      <c r="L373" s="2" t="s">
        <v>9</v>
      </c>
      <c r="M373" s="2" t="s">
        <v>25</v>
      </c>
      <c r="N373" s="2" t="s">
        <v>11</v>
      </c>
      <c r="O373" s="2" t="s">
        <v>12</v>
      </c>
      <c r="P373" s="2" t="s">
        <v>69</v>
      </c>
      <c r="Q373" s="2" t="s">
        <v>46</v>
      </c>
      <c r="R373" s="2" t="s">
        <v>56</v>
      </c>
      <c r="S373">
        <v>5</v>
      </c>
    </row>
    <row r="374" spans="1:19" x14ac:dyDescent="0.3">
      <c r="A374">
        <v>3654</v>
      </c>
      <c r="B374">
        <f>YEAR(Cleaned_HR_Data_Analysis__2[[#This Row],[Joining_Date]])</f>
        <v>2022</v>
      </c>
      <c r="C374" s="1">
        <v>44888</v>
      </c>
      <c r="D374" s="1" t="str" cm="1">
        <f t="array" ref="D374">_xlfn.IFS(E374&lt;28, "17-27",
AND(E374&gt;27, E374&lt;38), "28-37",
AND(E374&gt;37, E374 &lt;48), "38-47",
AND(E374&gt;47, E374 &lt;58), "48-57",
AND(E374&gt;57, E374&lt;68), "58-67",
AND(E374&gt;67, E374&lt;78), "68-77",
E374&gt;77,"Above than 77")</f>
        <v>17-27</v>
      </c>
      <c r="E374">
        <v>27</v>
      </c>
      <c r="F374" s="1">
        <v>34788</v>
      </c>
      <c r="G374" s="1" t="str">
        <f>VLOOKUP(H374,Table7[#All], 2, FALSE)</f>
        <v>Massachusetts</v>
      </c>
      <c r="H374" s="2" t="s">
        <v>14</v>
      </c>
      <c r="I374" s="2" t="s">
        <v>22</v>
      </c>
      <c r="J374" s="2" t="s">
        <v>40</v>
      </c>
      <c r="K374" s="2" t="s">
        <v>8</v>
      </c>
      <c r="L374" s="2" t="s">
        <v>9</v>
      </c>
      <c r="M374" s="2" t="s">
        <v>20</v>
      </c>
      <c r="N374" s="2" t="s">
        <v>19</v>
      </c>
      <c r="O374" s="2" t="s">
        <v>12</v>
      </c>
      <c r="P374" s="2" t="s">
        <v>21</v>
      </c>
      <c r="Q374" s="2" t="s">
        <v>46</v>
      </c>
      <c r="R374" s="2" t="s">
        <v>41</v>
      </c>
      <c r="S374">
        <v>4</v>
      </c>
    </row>
    <row r="375" spans="1:19" x14ac:dyDescent="0.3">
      <c r="A375">
        <v>3637</v>
      </c>
      <c r="B375">
        <f>YEAR(Cleaned_HR_Data_Analysis__2[[#This Row],[Joining_Date]])</f>
        <v>2022</v>
      </c>
      <c r="C375" s="1">
        <v>44674</v>
      </c>
      <c r="D375" s="1" t="str" cm="1">
        <f t="array" ref="D375">_xlfn.IFS(E375&lt;28, "17-27",
AND(E375&gt;27, E375&lt;38), "28-37",
AND(E375&gt;37, E375 &lt;48), "38-47",
AND(E375&gt;47, E375 &lt;58), "48-57",
AND(E375&gt;57, E375&lt;68), "58-67",
AND(E375&gt;67, E375&lt;78), "68-77",
E375&gt;77,"Above than 77")</f>
        <v>17-27</v>
      </c>
      <c r="E375">
        <v>27</v>
      </c>
      <c r="F375" s="1">
        <v>34806</v>
      </c>
      <c r="G375" s="1" t="str">
        <f>VLOOKUP(H375,Table7[#All], 2, FALSE)</f>
        <v>Massachusetts</v>
      </c>
      <c r="H375" s="2" t="s">
        <v>14</v>
      </c>
      <c r="I375" s="2" t="s">
        <v>22</v>
      </c>
      <c r="J375" s="2" t="s">
        <v>40</v>
      </c>
      <c r="K375" s="2" t="s">
        <v>8</v>
      </c>
      <c r="L375" s="2" t="s">
        <v>9</v>
      </c>
      <c r="M375" s="2" t="s">
        <v>25</v>
      </c>
      <c r="N375" s="2" t="s">
        <v>11</v>
      </c>
      <c r="O375" s="2" t="s">
        <v>12</v>
      </c>
      <c r="P375" s="2" t="s">
        <v>21</v>
      </c>
      <c r="Q375" s="2" t="s">
        <v>46</v>
      </c>
      <c r="R375" s="2" t="s">
        <v>18</v>
      </c>
      <c r="S375">
        <v>1</v>
      </c>
    </row>
    <row r="376" spans="1:19" x14ac:dyDescent="0.3">
      <c r="A376">
        <v>3356</v>
      </c>
      <c r="B376">
        <f>YEAR(Cleaned_HR_Data_Analysis__2[[#This Row],[Joining_Date]])</f>
        <v>2018</v>
      </c>
      <c r="C376" s="1">
        <v>43414</v>
      </c>
      <c r="D376" s="1" t="str" cm="1">
        <f t="array" ref="D376">_xlfn.IFS(E376&lt;28, "17-27",
AND(E376&gt;27, E376&lt;38), "28-37",
AND(E376&gt;37, E376 &lt;48), "38-47",
AND(E376&gt;47, E376 &lt;58), "48-57",
AND(E376&gt;57, E376&lt;68), "58-67",
AND(E376&gt;67, E376&lt;78), "68-77",
E376&gt;77,"Above than 77")</f>
        <v>17-27</v>
      </c>
      <c r="E376">
        <v>27</v>
      </c>
      <c r="F376" s="1">
        <v>33464</v>
      </c>
      <c r="G376" s="1" t="str">
        <f>VLOOKUP(H376,Table7[#All], 2, FALSE)</f>
        <v>Massachusetts</v>
      </c>
      <c r="H376" s="2" t="s">
        <v>14</v>
      </c>
      <c r="I376" s="2" t="s">
        <v>15</v>
      </c>
      <c r="J376" s="2" t="s">
        <v>34</v>
      </c>
      <c r="K376" s="2" t="s">
        <v>8</v>
      </c>
      <c r="L376" s="2" t="s">
        <v>9</v>
      </c>
      <c r="M376" s="2" t="s">
        <v>25</v>
      </c>
      <c r="N376" s="2" t="s">
        <v>11</v>
      </c>
      <c r="O376" s="2" t="s">
        <v>12</v>
      </c>
      <c r="P376" s="2" t="s">
        <v>38</v>
      </c>
      <c r="Q376" s="2" t="s">
        <v>46</v>
      </c>
      <c r="R376" s="2" t="s">
        <v>56</v>
      </c>
      <c r="S376">
        <v>5</v>
      </c>
    </row>
    <row r="377" spans="1:19" x14ac:dyDescent="0.3">
      <c r="A377">
        <v>3335</v>
      </c>
      <c r="B377">
        <f>YEAR(Cleaned_HR_Data_Analysis__2[[#This Row],[Joining_Date]])</f>
        <v>2019</v>
      </c>
      <c r="C377" s="1">
        <v>43644</v>
      </c>
      <c r="D377" s="1" t="str" cm="1">
        <f t="array" ref="D377">_xlfn.IFS(E377&lt;28, "17-27",
AND(E377&gt;27, E377&lt;38), "28-37",
AND(E377&gt;37, E377 &lt;48), "38-47",
AND(E377&gt;47, E377 &lt;58), "48-57",
AND(E377&gt;57, E377&lt;68), "58-67",
AND(E377&gt;67, E377&lt;78), "68-77",
E377&gt;77,"Above than 77")</f>
        <v>17-27</v>
      </c>
      <c r="E377">
        <v>27</v>
      </c>
      <c r="F377" s="1">
        <v>33701</v>
      </c>
      <c r="G377" s="1" t="str">
        <f>VLOOKUP(H377,Table7[#All], 2, FALSE)</f>
        <v>Massachusetts</v>
      </c>
      <c r="H377" s="2" t="s">
        <v>14</v>
      </c>
      <c r="I377" s="2" t="s">
        <v>22</v>
      </c>
      <c r="J377" s="2" t="s">
        <v>40</v>
      </c>
      <c r="K377" s="2" t="s">
        <v>8</v>
      </c>
      <c r="L377" s="2" t="s">
        <v>66</v>
      </c>
      <c r="M377" s="2" t="s">
        <v>20</v>
      </c>
      <c r="N377" s="2" t="s">
        <v>26</v>
      </c>
      <c r="O377" s="2" t="s">
        <v>12</v>
      </c>
      <c r="P377" s="2" t="s">
        <v>35</v>
      </c>
      <c r="Q377" s="2" t="s">
        <v>30</v>
      </c>
      <c r="R377" s="2" t="s">
        <v>18</v>
      </c>
      <c r="S377">
        <v>1</v>
      </c>
    </row>
    <row r="378" spans="1:19" x14ac:dyDescent="0.3">
      <c r="A378">
        <v>3210</v>
      </c>
      <c r="B378">
        <f>YEAR(Cleaned_HR_Data_Analysis__2[[#This Row],[Joining_Date]])</f>
        <v>2020</v>
      </c>
      <c r="C378" s="1">
        <v>43963</v>
      </c>
      <c r="D378" s="1" t="str" cm="1">
        <f t="array" ref="D378">_xlfn.IFS(E378&lt;28, "17-27",
AND(E378&gt;27, E378&lt;38), "28-37",
AND(E378&gt;37, E378 &lt;48), "38-47",
AND(E378&gt;47, E378 &lt;58), "48-57",
AND(E378&gt;57, E378&lt;68), "58-67",
AND(E378&gt;67, E378&lt;78), "68-77",
E378&gt;77,"Above than 77")</f>
        <v>17-27</v>
      </c>
      <c r="E378">
        <v>27</v>
      </c>
      <c r="F378" s="1">
        <v>34133</v>
      </c>
      <c r="G378" s="1" t="str">
        <f>VLOOKUP(H378,Table7[#All], 2, FALSE)</f>
        <v>Massachusetts</v>
      </c>
      <c r="H378" s="2" t="s">
        <v>14</v>
      </c>
      <c r="I378" s="2" t="s">
        <v>15</v>
      </c>
      <c r="J378" s="2" t="s">
        <v>40</v>
      </c>
      <c r="K378" s="2" t="s">
        <v>8</v>
      </c>
      <c r="L378" s="2" t="s">
        <v>9</v>
      </c>
      <c r="M378" s="2" t="s">
        <v>25</v>
      </c>
      <c r="N378" s="2" t="s">
        <v>19</v>
      </c>
      <c r="O378" s="2" t="s">
        <v>12</v>
      </c>
      <c r="P378" s="2" t="s">
        <v>21</v>
      </c>
      <c r="Q378" s="2" t="s">
        <v>23</v>
      </c>
      <c r="R378" s="2" t="s">
        <v>18</v>
      </c>
      <c r="S378">
        <v>5</v>
      </c>
    </row>
    <row r="379" spans="1:19" x14ac:dyDescent="0.3">
      <c r="A379">
        <v>2901</v>
      </c>
      <c r="B379">
        <f>YEAR(Cleaned_HR_Data_Analysis__2[[#This Row],[Joining_Date]])</f>
        <v>2018</v>
      </c>
      <c r="C379" s="1">
        <v>43394</v>
      </c>
      <c r="D379" s="1" t="str" cm="1">
        <f t="array" ref="D379">_xlfn.IFS(E379&lt;28, "17-27",
AND(E379&gt;27, E379&lt;38), "28-37",
AND(E379&gt;37, E379 &lt;48), "38-47",
AND(E379&gt;47, E379 &lt;58), "48-57",
AND(E379&gt;57, E379&lt;68), "58-67",
AND(E379&gt;67, E379&lt;78), "68-77",
E379&gt;77,"Above than 77")</f>
        <v>17-27</v>
      </c>
      <c r="E379">
        <v>27</v>
      </c>
      <c r="F379" s="1">
        <v>33593</v>
      </c>
      <c r="G379" s="1" t="str">
        <f>VLOOKUP(H379,Table7[#All], 2, FALSE)</f>
        <v>Massachusetts</v>
      </c>
      <c r="H379" s="2" t="s">
        <v>14</v>
      </c>
      <c r="I379" s="2" t="s">
        <v>15</v>
      </c>
      <c r="J379" s="2" t="s">
        <v>31</v>
      </c>
      <c r="K379" s="2" t="s">
        <v>8</v>
      </c>
      <c r="L379" s="2" t="s">
        <v>9</v>
      </c>
      <c r="M379" s="2" t="s">
        <v>20</v>
      </c>
      <c r="N379" s="2" t="s">
        <v>19</v>
      </c>
      <c r="O379" s="2" t="s">
        <v>12</v>
      </c>
      <c r="P379" s="2" t="s">
        <v>59</v>
      </c>
      <c r="Q379" s="2" t="s">
        <v>16</v>
      </c>
      <c r="R379" s="2" t="s">
        <v>18</v>
      </c>
      <c r="S379">
        <v>4</v>
      </c>
    </row>
    <row r="380" spans="1:19" x14ac:dyDescent="0.3">
      <c r="A380">
        <v>2801</v>
      </c>
      <c r="B380">
        <f>YEAR(Cleaned_HR_Data_Analysis__2[[#This Row],[Joining_Date]])</f>
        <v>2022</v>
      </c>
      <c r="C380" s="1">
        <v>44572</v>
      </c>
      <c r="D380" s="1" t="str" cm="1">
        <f t="array" ref="D380">_xlfn.IFS(E380&lt;28, "17-27",
AND(E380&gt;27, E380&lt;38), "28-37",
AND(E380&gt;37, E380 &lt;48), "38-47",
AND(E380&gt;47, E380 &lt;58), "48-57",
AND(E380&gt;57, E380&lt;68), "58-67",
AND(E380&gt;67, E380&lt;78), "68-77",
E380&gt;77,"Above than 77")</f>
        <v>17-27</v>
      </c>
      <c r="E380">
        <v>27</v>
      </c>
      <c r="F380" s="1">
        <v>34970</v>
      </c>
      <c r="G380" s="1" t="str">
        <f>VLOOKUP(H380,Table7[#All], 2, FALSE)</f>
        <v>Massachusetts</v>
      </c>
      <c r="H380" s="2" t="s">
        <v>14</v>
      </c>
      <c r="I380" s="2" t="s">
        <v>22</v>
      </c>
      <c r="J380" s="2" t="s">
        <v>40</v>
      </c>
      <c r="K380" s="2" t="s">
        <v>8</v>
      </c>
      <c r="L380" s="2" t="s">
        <v>9</v>
      </c>
      <c r="M380" s="2" t="s">
        <v>25</v>
      </c>
      <c r="N380" s="2" t="s">
        <v>11</v>
      </c>
      <c r="O380" s="2" t="s">
        <v>12</v>
      </c>
      <c r="P380" s="2" t="s">
        <v>35</v>
      </c>
      <c r="Q380" s="2" t="s">
        <v>16</v>
      </c>
      <c r="R380" s="2" t="s">
        <v>18</v>
      </c>
      <c r="S380">
        <v>3</v>
      </c>
    </row>
    <row r="381" spans="1:19" x14ac:dyDescent="0.3">
      <c r="A381">
        <v>2774</v>
      </c>
      <c r="B381">
        <f>YEAR(Cleaned_HR_Data_Analysis__2[[#This Row],[Joining_Date]])</f>
        <v>2020</v>
      </c>
      <c r="C381" s="1">
        <v>43907</v>
      </c>
      <c r="D381" s="1" t="str" cm="1">
        <f t="array" ref="D381">_xlfn.IFS(E381&lt;28, "17-27",
AND(E381&gt;27, E381&lt;38), "28-37",
AND(E381&gt;37, E381 &lt;48), "38-47",
AND(E381&gt;47, E381 &lt;58), "48-57",
AND(E381&gt;57, E381&lt;68), "58-67",
AND(E381&gt;67, E381&lt;78), "68-77",
E381&gt;77,"Above than 77")</f>
        <v>17-27</v>
      </c>
      <c r="E381">
        <v>27</v>
      </c>
      <c r="F381" s="1">
        <v>34125</v>
      </c>
      <c r="G381" s="1" t="str">
        <f>VLOOKUP(H381,Table7[#All], 2, FALSE)</f>
        <v>Massachusetts</v>
      </c>
      <c r="H381" s="2" t="s">
        <v>14</v>
      </c>
      <c r="I381" s="2" t="s">
        <v>22</v>
      </c>
      <c r="J381" s="2" t="s">
        <v>40</v>
      </c>
      <c r="K381" s="2" t="s">
        <v>8</v>
      </c>
      <c r="L381" s="2" t="s">
        <v>9</v>
      </c>
      <c r="M381" s="2" t="s">
        <v>25</v>
      </c>
      <c r="N381" s="2" t="s">
        <v>26</v>
      </c>
      <c r="O381" s="2" t="s">
        <v>12</v>
      </c>
      <c r="P381" s="2" t="s">
        <v>35</v>
      </c>
      <c r="Q381" s="2" t="s">
        <v>30</v>
      </c>
      <c r="R381" s="2" t="s">
        <v>18</v>
      </c>
      <c r="S381">
        <v>5</v>
      </c>
    </row>
    <row r="382" spans="1:19" x14ac:dyDescent="0.3">
      <c r="A382">
        <v>2194</v>
      </c>
      <c r="B382">
        <f>YEAR(Cleaned_HR_Data_Analysis__2[[#This Row],[Joining_Date]])</f>
        <v>2019</v>
      </c>
      <c r="C382" s="1">
        <v>43673</v>
      </c>
      <c r="D382" s="1" t="str" cm="1">
        <f t="array" ref="D382">_xlfn.IFS(E382&lt;28, "17-27",
AND(E382&gt;27, E382&lt;38), "28-37",
AND(E382&gt;37, E382 &lt;48), "38-47",
AND(E382&gt;47, E382 &lt;58), "48-57",
AND(E382&gt;57, E382&lt;68), "58-67",
AND(E382&gt;67, E382&lt;78), "68-77",
E382&gt;77,"Above than 77")</f>
        <v>17-27</v>
      </c>
      <c r="E382">
        <v>27</v>
      </c>
      <c r="F382" s="1">
        <v>33652</v>
      </c>
      <c r="G382" s="1" t="str">
        <f>VLOOKUP(H382,Table7[#All], 2, FALSE)</f>
        <v>Massachusetts</v>
      </c>
      <c r="H382" s="2" t="s">
        <v>14</v>
      </c>
      <c r="I382" s="2" t="s">
        <v>15</v>
      </c>
      <c r="J382" s="2" t="s">
        <v>17</v>
      </c>
      <c r="K382" s="2" t="s">
        <v>8</v>
      </c>
      <c r="L382" s="2" t="s">
        <v>9</v>
      </c>
      <c r="M382" s="2" t="s">
        <v>25</v>
      </c>
      <c r="N382" s="2" t="s">
        <v>26</v>
      </c>
      <c r="O382" s="2" t="s">
        <v>12</v>
      </c>
      <c r="P382" s="2" t="s">
        <v>35</v>
      </c>
      <c r="Q382" s="2" t="s">
        <v>30</v>
      </c>
      <c r="R382" s="2" t="s">
        <v>56</v>
      </c>
      <c r="S382">
        <v>4</v>
      </c>
    </row>
    <row r="383" spans="1:19" x14ac:dyDescent="0.3">
      <c r="A383">
        <v>2172</v>
      </c>
      <c r="B383">
        <f>YEAR(Cleaned_HR_Data_Analysis__2[[#This Row],[Joining_Date]])</f>
        <v>2021</v>
      </c>
      <c r="C383" s="1">
        <v>44332</v>
      </c>
      <c r="D383" s="1" t="str" cm="1">
        <f t="array" ref="D383">_xlfn.IFS(E383&lt;28, "17-27",
AND(E383&gt;27, E383&lt;38), "28-37",
AND(E383&gt;37, E383 &lt;48), "38-47",
AND(E383&gt;47, E383 &lt;58), "48-57",
AND(E383&gt;57, E383&lt;68), "58-67",
AND(E383&gt;67, E383&lt;78), "68-77",
E383&gt;77,"Above than 77")</f>
        <v>17-27</v>
      </c>
      <c r="E383">
        <v>27</v>
      </c>
      <c r="F383" s="1">
        <v>34486</v>
      </c>
      <c r="G383" s="1" t="str">
        <f>VLOOKUP(H383,Table7[#All], 2, FALSE)</f>
        <v>Massachusetts</v>
      </c>
      <c r="H383" s="2" t="s">
        <v>14</v>
      </c>
      <c r="I383" s="2" t="s">
        <v>15</v>
      </c>
      <c r="J383" s="2" t="s">
        <v>31</v>
      </c>
      <c r="K383" s="2" t="s">
        <v>8</v>
      </c>
      <c r="L383" s="2" t="s">
        <v>66</v>
      </c>
      <c r="M383" s="2" t="s">
        <v>20</v>
      </c>
      <c r="N383" s="2" t="s">
        <v>11</v>
      </c>
      <c r="O383" s="2" t="s">
        <v>12</v>
      </c>
      <c r="P383" s="2" t="s">
        <v>35</v>
      </c>
      <c r="Q383" s="2" t="s">
        <v>30</v>
      </c>
      <c r="R383" s="2" t="s">
        <v>41</v>
      </c>
      <c r="S383">
        <v>4</v>
      </c>
    </row>
    <row r="384" spans="1:19" x14ac:dyDescent="0.3">
      <c r="A384">
        <v>2136</v>
      </c>
      <c r="B384">
        <f>YEAR(Cleaned_HR_Data_Analysis__2[[#This Row],[Joining_Date]])</f>
        <v>2018</v>
      </c>
      <c r="C384" s="1">
        <v>43355</v>
      </c>
      <c r="D384" s="1" t="str" cm="1">
        <f t="array" ref="D384">_xlfn.IFS(E384&lt;28, "17-27",
AND(E384&gt;27, E384&lt;38), "28-37",
AND(E384&gt;37, E384 &lt;48), "38-47",
AND(E384&gt;47, E384 &lt;58), "48-57",
AND(E384&gt;57, E384&lt;68), "58-67",
AND(E384&gt;67, E384&lt;78), "68-77",
E384&gt;77,"Above than 77")</f>
        <v>17-27</v>
      </c>
      <c r="E384">
        <v>27</v>
      </c>
      <c r="F384" s="1">
        <v>33519</v>
      </c>
      <c r="G384" s="1" t="str">
        <f>VLOOKUP(H384,Table7[#All], 2, FALSE)</f>
        <v>Massachusetts</v>
      </c>
      <c r="H384" s="2" t="s">
        <v>14</v>
      </c>
      <c r="I384" s="2" t="s">
        <v>15</v>
      </c>
      <c r="J384" s="2" t="s">
        <v>40</v>
      </c>
      <c r="K384" s="2" t="s">
        <v>8</v>
      </c>
      <c r="L384" s="2" t="s">
        <v>9</v>
      </c>
      <c r="M384" s="2" t="s">
        <v>20</v>
      </c>
      <c r="N384" s="2" t="s">
        <v>19</v>
      </c>
      <c r="O384" s="2" t="s">
        <v>12</v>
      </c>
      <c r="P384" s="2" t="s">
        <v>69</v>
      </c>
      <c r="Q384" s="2" t="s">
        <v>30</v>
      </c>
      <c r="R384" s="2" t="s">
        <v>41</v>
      </c>
      <c r="S384">
        <v>2</v>
      </c>
    </row>
    <row r="385" spans="1:19" x14ac:dyDescent="0.3">
      <c r="A385">
        <v>1921</v>
      </c>
      <c r="B385">
        <f>YEAR(Cleaned_HR_Data_Analysis__2[[#This Row],[Joining_Date]])</f>
        <v>2021</v>
      </c>
      <c r="C385" s="1">
        <v>44445</v>
      </c>
      <c r="D385" s="1" t="str" cm="1">
        <f t="array" ref="D385">_xlfn.IFS(E385&lt;28, "17-27",
AND(E385&gt;27, E385&lt;38), "28-37",
AND(E385&gt;37, E385 &lt;48), "38-47",
AND(E385&gt;47, E385 &lt;58), "48-57",
AND(E385&gt;57, E385&lt;68), "58-67",
AND(E385&gt;67, E385&lt;78), "68-77",
E385&gt;77,"Above than 77")</f>
        <v>17-27</v>
      </c>
      <c r="E385">
        <v>27</v>
      </c>
      <c r="F385" s="1">
        <v>34542</v>
      </c>
      <c r="G385" s="1" t="str">
        <f>VLOOKUP(H385,Table7[#All], 2, FALSE)</f>
        <v>Massachusetts</v>
      </c>
      <c r="H385" s="2" t="s">
        <v>14</v>
      </c>
      <c r="I385" s="2" t="s">
        <v>22</v>
      </c>
      <c r="J385" s="2" t="s">
        <v>34</v>
      </c>
      <c r="K385" s="2" t="s">
        <v>8</v>
      </c>
      <c r="L385" s="2" t="s">
        <v>9</v>
      </c>
      <c r="M385" s="2" t="s">
        <v>10</v>
      </c>
      <c r="N385" s="2" t="s">
        <v>11</v>
      </c>
      <c r="O385" s="2" t="s">
        <v>12</v>
      </c>
      <c r="P385" s="2" t="s">
        <v>42</v>
      </c>
      <c r="Q385" s="2" t="s">
        <v>30</v>
      </c>
      <c r="R385" s="2" t="s">
        <v>18</v>
      </c>
      <c r="S385">
        <v>2</v>
      </c>
    </row>
    <row r="386" spans="1:19" x14ac:dyDescent="0.3">
      <c r="A386">
        <v>1810</v>
      </c>
      <c r="B386">
        <f>YEAR(Cleaned_HR_Data_Analysis__2[[#This Row],[Joining_Date]])</f>
        <v>2021</v>
      </c>
      <c r="C386" s="1">
        <v>44425</v>
      </c>
      <c r="D386" s="1" t="str" cm="1">
        <f t="array" ref="D386">_xlfn.IFS(E386&lt;28, "17-27",
AND(E386&gt;27, E386&lt;38), "28-37",
AND(E386&gt;37, E386 &lt;48), "38-47",
AND(E386&gt;47, E386 &lt;58), "48-57",
AND(E386&gt;57, E386&lt;68), "58-67",
AND(E386&gt;67, E386&lt;78), "68-77",
E386&gt;77,"Above than 77")</f>
        <v>17-27</v>
      </c>
      <c r="E386">
        <v>27</v>
      </c>
      <c r="F386" s="1">
        <v>34668</v>
      </c>
      <c r="G386" s="1" t="str">
        <f>VLOOKUP(H386,Table7[#All], 2, FALSE)</f>
        <v>Massachusetts</v>
      </c>
      <c r="H386" s="2" t="s">
        <v>14</v>
      </c>
      <c r="I386" s="2" t="s">
        <v>22</v>
      </c>
      <c r="J386" s="2" t="s">
        <v>40</v>
      </c>
      <c r="K386" s="2" t="s">
        <v>8</v>
      </c>
      <c r="L386" s="2" t="s">
        <v>9</v>
      </c>
      <c r="M386" s="2" t="s">
        <v>25</v>
      </c>
      <c r="N386" s="2" t="s">
        <v>19</v>
      </c>
      <c r="O386" s="2" t="s">
        <v>12</v>
      </c>
      <c r="P386" s="2" t="s">
        <v>32</v>
      </c>
      <c r="Q386" s="2" t="s">
        <v>37</v>
      </c>
      <c r="R386" s="2" t="s">
        <v>18</v>
      </c>
      <c r="S386">
        <v>1</v>
      </c>
    </row>
    <row r="387" spans="1:19" x14ac:dyDescent="0.3">
      <c r="A387">
        <v>1760</v>
      </c>
      <c r="B387">
        <f>YEAR(Cleaned_HR_Data_Analysis__2[[#This Row],[Joining_Date]])</f>
        <v>2020</v>
      </c>
      <c r="C387" s="1">
        <v>43869</v>
      </c>
      <c r="D387" s="1" t="str" cm="1">
        <f t="array" ref="D387">_xlfn.IFS(E387&lt;28, "17-27",
AND(E387&gt;27, E387&lt;38), "28-37",
AND(E387&gt;37, E387 &lt;48), "38-47",
AND(E387&gt;47, E387 &lt;58), "48-57",
AND(E387&gt;57, E387&lt;68), "58-67",
AND(E387&gt;67, E387&lt;78), "68-77",
E387&gt;77,"Above than 77")</f>
        <v>17-27</v>
      </c>
      <c r="E387">
        <v>27</v>
      </c>
      <c r="F387" s="1">
        <v>34201</v>
      </c>
      <c r="G387" s="1" t="str">
        <f>VLOOKUP(H387,Table7[#All], 2, FALSE)</f>
        <v>Massachusetts</v>
      </c>
      <c r="H387" s="2" t="s">
        <v>14</v>
      </c>
      <c r="I387" s="2" t="s">
        <v>22</v>
      </c>
      <c r="J387" s="2" t="s">
        <v>31</v>
      </c>
      <c r="K387" s="2" t="s">
        <v>8</v>
      </c>
      <c r="L387" s="2" t="s">
        <v>9</v>
      </c>
      <c r="M387" s="2" t="s">
        <v>20</v>
      </c>
      <c r="N387" s="2" t="s">
        <v>11</v>
      </c>
      <c r="O387" s="2" t="s">
        <v>12</v>
      </c>
      <c r="P387" s="2" t="s">
        <v>32</v>
      </c>
      <c r="Q387" s="2" t="s">
        <v>23</v>
      </c>
      <c r="R387" s="2" t="s">
        <v>18</v>
      </c>
      <c r="S387">
        <v>3</v>
      </c>
    </row>
    <row r="388" spans="1:19" x14ac:dyDescent="0.3">
      <c r="A388">
        <v>1616</v>
      </c>
      <c r="B388">
        <f>YEAR(Cleaned_HR_Data_Analysis__2[[#This Row],[Joining_Date]])</f>
        <v>2018</v>
      </c>
      <c r="C388" s="1">
        <v>43374</v>
      </c>
      <c r="D388" s="1" t="str" cm="1">
        <f t="array" ref="D388">_xlfn.IFS(E388&lt;28, "17-27",
AND(E388&gt;27, E388&lt;38), "28-37",
AND(E388&gt;37, E388 &lt;48), "38-47",
AND(E388&gt;47, E388 &lt;58), "48-57",
AND(E388&gt;57, E388&lt;68), "58-67",
AND(E388&gt;67, E388&lt;78), "68-77",
E388&gt;77,"Above than 77")</f>
        <v>17-27</v>
      </c>
      <c r="E388">
        <v>27</v>
      </c>
      <c r="F388" s="1">
        <v>33392</v>
      </c>
      <c r="G388" s="1" t="str">
        <f>VLOOKUP(H388,Table7[#All], 2, FALSE)</f>
        <v>Massachusetts</v>
      </c>
      <c r="H388" s="2" t="s">
        <v>14</v>
      </c>
      <c r="I388" s="2" t="s">
        <v>15</v>
      </c>
      <c r="J388" s="2" t="s">
        <v>40</v>
      </c>
      <c r="K388" s="2" t="s">
        <v>8</v>
      </c>
      <c r="L388" s="2" t="s">
        <v>9</v>
      </c>
      <c r="M388" s="2" t="s">
        <v>25</v>
      </c>
      <c r="N388" s="2" t="s">
        <v>19</v>
      </c>
      <c r="O388" s="2" t="s">
        <v>12</v>
      </c>
      <c r="P388" s="2" t="s">
        <v>35</v>
      </c>
      <c r="Q388" s="2" t="s">
        <v>37</v>
      </c>
      <c r="R388" s="2" t="s">
        <v>56</v>
      </c>
      <c r="S388">
        <v>4</v>
      </c>
    </row>
    <row r="389" spans="1:19" x14ac:dyDescent="0.3">
      <c r="A389">
        <v>1458</v>
      </c>
      <c r="B389">
        <f>YEAR(Cleaned_HR_Data_Analysis__2[[#This Row],[Joining_Date]])</f>
        <v>2021</v>
      </c>
      <c r="C389" s="1">
        <v>44213</v>
      </c>
      <c r="D389" s="1" t="str" cm="1">
        <f t="array" ref="D389">_xlfn.IFS(E389&lt;28, "17-27",
AND(E389&gt;27, E389&lt;38), "28-37",
AND(E389&gt;37, E389 &lt;48), "38-47",
AND(E389&gt;47, E389 &lt;58), "48-57",
AND(E389&gt;57, E389&lt;68), "58-67",
AND(E389&gt;67, E389&lt;78), "68-77",
E389&gt;77,"Above than 77")</f>
        <v>17-27</v>
      </c>
      <c r="E389">
        <v>27</v>
      </c>
      <c r="F389" s="1">
        <v>34412</v>
      </c>
      <c r="G389" s="1" t="str">
        <f>VLOOKUP(H389,Table7[#All], 2, FALSE)</f>
        <v>Massachusetts</v>
      </c>
      <c r="H389" s="2" t="s">
        <v>14</v>
      </c>
      <c r="I389" s="2" t="s">
        <v>15</v>
      </c>
      <c r="J389" s="2" t="s">
        <v>31</v>
      </c>
      <c r="K389" s="2" t="s">
        <v>8</v>
      </c>
      <c r="L389" s="2" t="s">
        <v>9</v>
      </c>
      <c r="M389" s="2" t="s">
        <v>25</v>
      </c>
      <c r="N389" s="2" t="s">
        <v>19</v>
      </c>
      <c r="O389" s="2" t="s">
        <v>12</v>
      </c>
      <c r="P389" s="2" t="s">
        <v>59</v>
      </c>
      <c r="Q389" s="2" t="s">
        <v>23</v>
      </c>
      <c r="R389" s="2" t="s">
        <v>41</v>
      </c>
      <c r="S389">
        <v>2</v>
      </c>
    </row>
    <row r="390" spans="1:19" x14ac:dyDescent="0.3">
      <c r="A390">
        <v>1304</v>
      </c>
      <c r="B390">
        <f>YEAR(Cleaned_HR_Data_Analysis__2[[#This Row],[Joining_Date]])</f>
        <v>2023</v>
      </c>
      <c r="C390" s="1">
        <v>44950</v>
      </c>
      <c r="D390" s="1" t="str" cm="1">
        <f t="array" ref="D390">_xlfn.IFS(E390&lt;28, "17-27",
AND(E390&gt;27, E390&lt;38), "28-37",
AND(E390&gt;37, E390 &lt;48), "38-47",
AND(E390&gt;47, E390 &lt;58), "48-57",
AND(E390&gt;57, E390&lt;68), "58-67",
AND(E390&gt;67, E390&lt;78), "68-77",
E390&gt;77,"Above than 77")</f>
        <v>17-27</v>
      </c>
      <c r="E390">
        <v>27</v>
      </c>
      <c r="F390" s="1">
        <v>35108</v>
      </c>
      <c r="G390" s="1" t="str">
        <f>VLOOKUP(H390,Table7[#All], 2, FALSE)</f>
        <v>Massachusetts</v>
      </c>
      <c r="H390" s="2" t="s">
        <v>14</v>
      </c>
      <c r="I390" s="2" t="s">
        <v>15</v>
      </c>
      <c r="J390" s="2" t="s">
        <v>17</v>
      </c>
      <c r="K390" s="2" t="s">
        <v>8</v>
      </c>
      <c r="L390" s="2" t="s">
        <v>9</v>
      </c>
      <c r="M390" s="2" t="s">
        <v>25</v>
      </c>
      <c r="N390" s="2" t="s">
        <v>26</v>
      </c>
      <c r="O390" s="2" t="s">
        <v>12</v>
      </c>
      <c r="P390" s="2" t="s">
        <v>93</v>
      </c>
      <c r="Q390" s="2" t="s">
        <v>46</v>
      </c>
      <c r="R390" s="2" t="s">
        <v>18</v>
      </c>
      <c r="S390">
        <v>5</v>
      </c>
    </row>
    <row r="391" spans="1:19" x14ac:dyDescent="0.3">
      <c r="A391">
        <v>1285</v>
      </c>
      <c r="B391">
        <f>YEAR(Cleaned_HR_Data_Analysis__2[[#This Row],[Joining_Date]])</f>
        <v>2021</v>
      </c>
      <c r="C391" s="1">
        <v>44465</v>
      </c>
      <c r="D391" s="1" t="str" cm="1">
        <f t="array" ref="D391">_xlfn.IFS(E391&lt;28, "17-27",
AND(E391&gt;27, E391&lt;38), "28-37",
AND(E391&gt;37, E391 &lt;48), "38-47",
AND(E391&gt;47, E391 &lt;58), "48-57",
AND(E391&gt;57, E391&lt;68), "58-67",
AND(E391&gt;67, E391&lt;78), "68-77",
E391&gt;77,"Above than 77")</f>
        <v>17-27</v>
      </c>
      <c r="E391">
        <v>27</v>
      </c>
      <c r="F391" s="1">
        <v>34536</v>
      </c>
      <c r="G391" s="1" t="str">
        <f>VLOOKUP(H391,Table7[#All], 2, FALSE)</f>
        <v>Massachusetts</v>
      </c>
      <c r="H391" s="2" t="s">
        <v>14</v>
      </c>
      <c r="I391" s="2" t="s">
        <v>22</v>
      </c>
      <c r="J391" s="2" t="s">
        <v>17</v>
      </c>
      <c r="K391" s="2" t="s">
        <v>8</v>
      </c>
      <c r="L391" s="2" t="s">
        <v>9</v>
      </c>
      <c r="M391" s="2" t="s">
        <v>20</v>
      </c>
      <c r="N391" s="2" t="s">
        <v>11</v>
      </c>
      <c r="O391" s="2" t="s">
        <v>12</v>
      </c>
      <c r="P391" s="2" t="s">
        <v>38</v>
      </c>
      <c r="Q391" s="2" t="s">
        <v>23</v>
      </c>
      <c r="R391" s="2" t="s">
        <v>18</v>
      </c>
      <c r="S391">
        <v>2</v>
      </c>
    </row>
    <row r="392" spans="1:19" x14ac:dyDescent="0.3">
      <c r="A392">
        <v>1241</v>
      </c>
      <c r="B392">
        <f>YEAR(Cleaned_HR_Data_Analysis__2[[#This Row],[Joining_Date]])</f>
        <v>2019</v>
      </c>
      <c r="C392" s="1">
        <v>43776</v>
      </c>
      <c r="D392" s="1" t="str" cm="1">
        <f t="array" ref="D392">_xlfn.IFS(E392&lt;28, "17-27",
AND(E392&gt;27, E392&lt;38), "28-37",
AND(E392&gt;37, E392 &lt;48), "38-47",
AND(E392&gt;47, E392 &lt;58), "48-57",
AND(E392&gt;57, E392&lt;68), "58-67",
AND(E392&gt;67, E392&lt;78), "68-77",
E392&gt;77,"Above than 77")</f>
        <v>17-27</v>
      </c>
      <c r="E392">
        <v>27</v>
      </c>
      <c r="F392" s="1">
        <v>33676</v>
      </c>
      <c r="G392" s="1" t="str">
        <f>VLOOKUP(H392,Table7[#All], 2, FALSE)</f>
        <v>Massachusetts</v>
      </c>
      <c r="H392" s="2" t="s">
        <v>14</v>
      </c>
      <c r="I392" s="2" t="s">
        <v>15</v>
      </c>
      <c r="J392" s="2" t="s">
        <v>34</v>
      </c>
      <c r="K392" s="2" t="s">
        <v>8</v>
      </c>
      <c r="L392" s="2" t="s">
        <v>66</v>
      </c>
      <c r="M392" s="2" t="s">
        <v>10</v>
      </c>
      <c r="N392" s="2" t="s">
        <v>26</v>
      </c>
      <c r="O392" s="2" t="s">
        <v>12</v>
      </c>
      <c r="P392" s="2" t="s">
        <v>35</v>
      </c>
      <c r="Q392" s="2" t="s">
        <v>37</v>
      </c>
      <c r="R392" s="2" t="s">
        <v>18</v>
      </c>
      <c r="S392">
        <v>4</v>
      </c>
    </row>
    <row r="393" spans="1:19" x14ac:dyDescent="0.3">
      <c r="A393">
        <v>1228</v>
      </c>
      <c r="B393">
        <f>YEAR(Cleaned_HR_Data_Analysis__2[[#This Row],[Joining_Date]])</f>
        <v>2021</v>
      </c>
      <c r="C393" s="1">
        <v>44438</v>
      </c>
      <c r="D393" s="1" t="str" cm="1">
        <f t="array" ref="D393">_xlfn.IFS(E393&lt;28, "17-27",
AND(E393&gt;27, E393&lt;38), "28-37",
AND(E393&gt;37, E393 &lt;48), "38-47",
AND(E393&gt;47, E393 &lt;58), "48-57",
AND(E393&gt;57, E393&lt;68), "58-67",
AND(E393&gt;67, E393&lt;78), "68-77",
E393&gt;77,"Above than 77")</f>
        <v>17-27</v>
      </c>
      <c r="E393">
        <v>27</v>
      </c>
      <c r="F393" s="1">
        <v>34670</v>
      </c>
      <c r="G393" s="1" t="str">
        <f>VLOOKUP(H393,Table7[#All], 2, FALSE)</f>
        <v>Massachusetts</v>
      </c>
      <c r="H393" s="2" t="s">
        <v>14</v>
      </c>
      <c r="I393" s="2" t="s">
        <v>15</v>
      </c>
      <c r="J393" s="2" t="s">
        <v>17</v>
      </c>
      <c r="K393" s="2" t="s">
        <v>8</v>
      </c>
      <c r="L393" s="2" t="s">
        <v>9</v>
      </c>
      <c r="M393" s="2" t="s">
        <v>10</v>
      </c>
      <c r="N393" s="2" t="s">
        <v>26</v>
      </c>
      <c r="O393" s="2" t="s">
        <v>12</v>
      </c>
      <c r="P393" s="2" t="s">
        <v>55</v>
      </c>
      <c r="Q393" s="2" t="s">
        <v>30</v>
      </c>
      <c r="R393" s="2" t="s">
        <v>18</v>
      </c>
      <c r="S393">
        <v>5</v>
      </c>
    </row>
    <row r="394" spans="1:19" x14ac:dyDescent="0.3">
      <c r="A394">
        <v>2358</v>
      </c>
      <c r="B394">
        <f>YEAR(Cleaned_HR_Data_Analysis__2[[#This Row],[Joining_Date]])</f>
        <v>2020</v>
      </c>
      <c r="C394" s="1">
        <v>43965</v>
      </c>
      <c r="D394" s="1" t="str" cm="1">
        <f t="array" ref="D394">_xlfn.IFS(E394&lt;28, "17-27",
AND(E394&gt;27, E394&lt;38), "28-37",
AND(E394&gt;37, E394 &lt;48), "38-47",
AND(E394&gt;47, E394 &lt;58), "48-57",
AND(E394&gt;57, E394&lt;68), "58-67",
AND(E394&gt;67, E394&lt;78), "68-77",
E394&gt;77,"Above than 77")</f>
        <v>17-27</v>
      </c>
      <c r="E394">
        <v>27</v>
      </c>
      <c r="F394" s="1">
        <v>34048</v>
      </c>
      <c r="G394" s="1" t="str">
        <f>VLOOKUP(H394,Table7[#All], 2, FALSE)</f>
        <v>Massachusetts</v>
      </c>
      <c r="H394" s="2" t="s">
        <v>14</v>
      </c>
      <c r="I394" s="2" t="s">
        <v>22</v>
      </c>
      <c r="J394" s="2" t="s">
        <v>34</v>
      </c>
      <c r="K394" s="2" t="s">
        <v>91</v>
      </c>
      <c r="L394" s="2" t="s">
        <v>9</v>
      </c>
      <c r="M394" s="2" t="s">
        <v>20</v>
      </c>
      <c r="N394" s="2" t="s">
        <v>26</v>
      </c>
      <c r="O394" s="2" t="s">
        <v>12</v>
      </c>
      <c r="P394" s="2" t="s">
        <v>44</v>
      </c>
      <c r="Q394" s="2" t="s">
        <v>37</v>
      </c>
      <c r="R394" s="2" t="s">
        <v>18</v>
      </c>
      <c r="S394">
        <v>3</v>
      </c>
    </row>
    <row r="395" spans="1:19" x14ac:dyDescent="0.3">
      <c r="A395">
        <v>3935</v>
      </c>
      <c r="B395">
        <f>YEAR(Cleaned_HR_Data_Analysis__2[[#This Row],[Joining_Date]])</f>
        <v>2020</v>
      </c>
      <c r="C395" s="1">
        <v>44190</v>
      </c>
      <c r="D395" s="1" t="str" cm="1">
        <f t="array" ref="D395">_xlfn.IFS(E395&lt;28, "17-27",
AND(E395&gt;27, E395&lt;38), "28-37",
AND(E395&gt;37, E395 &lt;48), "38-47",
AND(E395&gt;47, E395 &lt;58), "48-57",
AND(E395&gt;57, E395&lt;68), "58-67",
AND(E395&gt;67, E395&lt;78), "68-77",
E395&gt;77,"Above than 77")</f>
        <v>17-27</v>
      </c>
      <c r="E395">
        <v>27</v>
      </c>
      <c r="F395" s="1">
        <v>34289</v>
      </c>
      <c r="G395" s="1" t="str">
        <f>VLOOKUP(H395,Table7[#All], 2, FALSE)</f>
        <v>Massachusetts</v>
      </c>
      <c r="H395" s="2" t="s">
        <v>14</v>
      </c>
      <c r="I395" s="2" t="s">
        <v>22</v>
      </c>
      <c r="J395" s="2" t="s">
        <v>17</v>
      </c>
      <c r="K395" s="2" t="s">
        <v>70</v>
      </c>
      <c r="L395" s="2" t="s">
        <v>9</v>
      </c>
      <c r="M395" s="2" t="s">
        <v>25</v>
      </c>
      <c r="N395" s="2" t="s">
        <v>11</v>
      </c>
      <c r="O395" s="2" t="s">
        <v>53</v>
      </c>
      <c r="P395" s="2" t="s">
        <v>21</v>
      </c>
      <c r="Q395" s="2" t="s">
        <v>16</v>
      </c>
      <c r="R395" s="2" t="s">
        <v>18</v>
      </c>
      <c r="S395">
        <v>1</v>
      </c>
    </row>
    <row r="396" spans="1:19" x14ac:dyDescent="0.3">
      <c r="A396">
        <v>3881</v>
      </c>
      <c r="B396">
        <f>YEAR(Cleaned_HR_Data_Analysis__2[[#This Row],[Joining_Date]])</f>
        <v>2019</v>
      </c>
      <c r="C396" s="1">
        <v>43635</v>
      </c>
      <c r="D396" s="1" t="str" cm="1">
        <f t="array" ref="D396">_xlfn.IFS(E396&lt;28, "17-27",
AND(E396&gt;27, E396&lt;38), "28-37",
AND(E396&gt;37, E396 &lt;48), "38-47",
AND(E396&gt;47, E396 &lt;58), "48-57",
AND(E396&gt;57, E396&lt;68), "58-67",
AND(E396&gt;67, E396&lt;78), "68-77",
E396&gt;77,"Above than 77")</f>
        <v>17-27</v>
      </c>
      <c r="E396">
        <v>27</v>
      </c>
      <c r="F396" s="1">
        <v>33920</v>
      </c>
      <c r="G396" s="1" t="str">
        <f>VLOOKUP(H396,Table7[#All], 2, FALSE)</f>
        <v>Massachusetts</v>
      </c>
      <c r="H396" s="2" t="s">
        <v>14</v>
      </c>
      <c r="I396" s="2" t="s">
        <v>22</v>
      </c>
      <c r="J396" s="2" t="s">
        <v>40</v>
      </c>
      <c r="K396" s="2" t="s">
        <v>70</v>
      </c>
      <c r="L396" s="2" t="s">
        <v>9</v>
      </c>
      <c r="M396" s="2" t="s">
        <v>20</v>
      </c>
      <c r="N396" s="2" t="s">
        <v>26</v>
      </c>
      <c r="O396" s="2" t="s">
        <v>53</v>
      </c>
      <c r="P396" s="2" t="s">
        <v>35</v>
      </c>
      <c r="Q396" s="2" t="s">
        <v>30</v>
      </c>
      <c r="R396" s="2" t="s">
        <v>18</v>
      </c>
      <c r="S396">
        <v>3</v>
      </c>
    </row>
    <row r="397" spans="1:19" x14ac:dyDescent="0.3">
      <c r="A397">
        <v>3859</v>
      </c>
      <c r="B397">
        <f>YEAR(Cleaned_HR_Data_Analysis__2[[#This Row],[Joining_Date]])</f>
        <v>2019</v>
      </c>
      <c r="C397" s="1">
        <v>43798</v>
      </c>
      <c r="D397" s="1" t="str" cm="1">
        <f t="array" ref="D397">_xlfn.IFS(E397&lt;28, "17-27",
AND(E397&gt;27, E397&lt;38), "28-37",
AND(E397&gt;37, E397 &lt;48), "38-47",
AND(E397&gt;47, E397 &lt;58), "48-57",
AND(E397&gt;57, E397&lt;68), "58-67",
AND(E397&gt;67, E397&lt;78), "68-77",
E397&gt;77,"Above than 77")</f>
        <v>17-27</v>
      </c>
      <c r="E397">
        <v>27</v>
      </c>
      <c r="F397" s="1">
        <v>33714</v>
      </c>
      <c r="G397" s="1" t="str">
        <f>VLOOKUP(H397,Table7[#All], 2, FALSE)</f>
        <v>Massachusetts</v>
      </c>
      <c r="H397" s="2" t="s">
        <v>14</v>
      </c>
      <c r="I397" s="2" t="s">
        <v>15</v>
      </c>
      <c r="J397" s="2" t="s">
        <v>34</v>
      </c>
      <c r="K397" s="2" t="s">
        <v>70</v>
      </c>
      <c r="L397" s="2" t="s">
        <v>9</v>
      </c>
      <c r="M397" s="2" t="s">
        <v>25</v>
      </c>
      <c r="N397" s="2" t="s">
        <v>26</v>
      </c>
      <c r="O397" s="2" t="s">
        <v>53</v>
      </c>
      <c r="P397" s="2" t="s">
        <v>55</v>
      </c>
      <c r="Q397" s="2" t="s">
        <v>23</v>
      </c>
      <c r="R397" s="2" t="s">
        <v>65</v>
      </c>
      <c r="S397">
        <v>2</v>
      </c>
    </row>
    <row r="398" spans="1:19" x14ac:dyDescent="0.3">
      <c r="A398">
        <v>3827</v>
      </c>
      <c r="B398">
        <f>YEAR(Cleaned_HR_Data_Analysis__2[[#This Row],[Joining_Date]])</f>
        <v>2019</v>
      </c>
      <c r="C398" s="1">
        <v>43614</v>
      </c>
      <c r="D398" s="1" t="str" cm="1">
        <f t="array" ref="D398">_xlfn.IFS(E398&lt;28, "17-27",
AND(E398&gt;27, E398&lt;38), "28-37",
AND(E398&gt;37, E398 &lt;48), "38-47",
AND(E398&gt;47, E398 &lt;58), "48-57",
AND(E398&gt;57, E398&lt;68), "58-67",
AND(E398&gt;67, E398&lt;78), "68-77",
E398&gt;77,"Above than 77")</f>
        <v>17-27</v>
      </c>
      <c r="E398">
        <v>27</v>
      </c>
      <c r="F398" s="1">
        <v>33871</v>
      </c>
      <c r="G398" s="1" t="str">
        <f>VLOOKUP(H398,Table7[#All], 2, FALSE)</f>
        <v>Massachusetts</v>
      </c>
      <c r="H398" s="2" t="s">
        <v>14</v>
      </c>
      <c r="I398" s="2" t="s">
        <v>22</v>
      </c>
      <c r="J398" s="2" t="s">
        <v>17</v>
      </c>
      <c r="K398" s="2" t="s">
        <v>70</v>
      </c>
      <c r="L398" s="2" t="s">
        <v>9</v>
      </c>
      <c r="M398" s="2" t="s">
        <v>20</v>
      </c>
      <c r="N398" s="2" t="s">
        <v>26</v>
      </c>
      <c r="O398" s="2" t="s">
        <v>53</v>
      </c>
      <c r="P398" s="2" t="s">
        <v>38</v>
      </c>
      <c r="Q398" s="2" t="s">
        <v>46</v>
      </c>
      <c r="R398" s="2" t="s">
        <v>18</v>
      </c>
      <c r="S398">
        <v>3</v>
      </c>
    </row>
    <row r="399" spans="1:19" x14ac:dyDescent="0.3">
      <c r="A399">
        <v>3939</v>
      </c>
      <c r="B399">
        <f>YEAR(Cleaned_HR_Data_Analysis__2[[#This Row],[Joining_Date]])</f>
        <v>2019</v>
      </c>
      <c r="C399" s="1">
        <v>43713</v>
      </c>
      <c r="D399" s="1" t="str" cm="1">
        <f t="array" ref="D399">_xlfn.IFS(E399&lt;28, "17-27",
AND(E399&gt;27, E399&lt;38), "28-37",
AND(E399&gt;37, E399 &lt;48), "38-47",
AND(E399&gt;47, E399 &lt;58), "48-57",
AND(E399&gt;57, E399&lt;68), "58-67",
AND(E399&gt;67, E399&lt;78), "68-77",
E399&gt;77,"Above than 77")</f>
        <v>17-27</v>
      </c>
      <c r="E399">
        <v>27</v>
      </c>
      <c r="F399" s="1">
        <v>33851</v>
      </c>
      <c r="G399" s="1" t="str">
        <f>VLOOKUP(H399,Table7[#All], 2, FALSE)</f>
        <v>Texas</v>
      </c>
      <c r="H399" s="2" t="s">
        <v>45</v>
      </c>
      <c r="I399" s="2" t="s">
        <v>22</v>
      </c>
      <c r="J399" s="2" t="s">
        <v>34</v>
      </c>
      <c r="K399" s="2" t="s">
        <v>78</v>
      </c>
      <c r="L399" s="2" t="s">
        <v>9</v>
      </c>
      <c r="M399" s="2" t="s">
        <v>20</v>
      </c>
      <c r="N399" s="2" t="s">
        <v>19</v>
      </c>
      <c r="O399" s="2" t="s">
        <v>53</v>
      </c>
      <c r="P399" s="2" t="s">
        <v>32</v>
      </c>
      <c r="Q399" s="2" t="s">
        <v>37</v>
      </c>
      <c r="R399" s="2" t="s">
        <v>18</v>
      </c>
      <c r="S399">
        <v>2</v>
      </c>
    </row>
    <row r="400" spans="1:19" x14ac:dyDescent="0.3">
      <c r="A400">
        <v>2372</v>
      </c>
      <c r="B400">
        <f>YEAR(Cleaned_HR_Data_Analysis__2[[#This Row],[Joining_Date]])</f>
        <v>2019</v>
      </c>
      <c r="C400" s="1">
        <v>43682</v>
      </c>
      <c r="D400" s="1" t="str" cm="1">
        <f t="array" ref="D400">_xlfn.IFS(E400&lt;28, "17-27",
AND(E400&gt;27, E400&lt;38), "28-37",
AND(E400&gt;37, E400 &lt;48), "38-47",
AND(E400&gt;47, E400 &lt;58), "48-57",
AND(E400&gt;57, E400&lt;68), "58-67",
AND(E400&gt;67, E400&lt;78), "68-77",
E400&gt;77,"Above than 77")</f>
        <v>17-27</v>
      </c>
      <c r="E400">
        <v>27</v>
      </c>
      <c r="F400" s="1">
        <v>33673</v>
      </c>
      <c r="G400" s="1" t="str">
        <f>VLOOKUP(H400,Table7[#All], 2, FALSE)</f>
        <v>Massachusetts</v>
      </c>
      <c r="H400" s="2" t="s">
        <v>14</v>
      </c>
      <c r="I400" s="2" t="s">
        <v>15</v>
      </c>
      <c r="J400" s="2" t="s">
        <v>31</v>
      </c>
      <c r="K400" s="2" t="s">
        <v>78</v>
      </c>
      <c r="L400" s="2" t="s">
        <v>9</v>
      </c>
      <c r="M400" s="2" t="s">
        <v>25</v>
      </c>
      <c r="N400" s="2" t="s">
        <v>19</v>
      </c>
      <c r="O400" s="2" t="s">
        <v>12</v>
      </c>
      <c r="P400" s="2" t="s">
        <v>35</v>
      </c>
      <c r="Q400" s="2" t="s">
        <v>23</v>
      </c>
      <c r="R400" s="2" t="s">
        <v>18</v>
      </c>
      <c r="S400">
        <v>4</v>
      </c>
    </row>
    <row r="401" spans="1:19" x14ac:dyDescent="0.3">
      <c r="A401">
        <v>2352</v>
      </c>
      <c r="B401">
        <f>YEAR(Cleaned_HR_Data_Analysis__2[[#This Row],[Joining_Date]])</f>
        <v>2020</v>
      </c>
      <c r="C401" s="1">
        <v>44120</v>
      </c>
      <c r="D401" s="1" t="str" cm="1">
        <f t="array" ref="D401">_xlfn.IFS(E401&lt;28, "17-27",
AND(E401&gt;27, E401&lt;38), "28-37",
AND(E401&gt;37, E401 &lt;48), "38-47",
AND(E401&gt;47, E401 &lt;58), "48-57",
AND(E401&gt;57, E401&lt;68), "58-67",
AND(E401&gt;67, E401&lt;78), "68-77",
E401&gt;77,"Above than 77")</f>
        <v>17-27</v>
      </c>
      <c r="E401">
        <v>27</v>
      </c>
      <c r="F401" s="1">
        <v>34334</v>
      </c>
      <c r="G401" s="1" t="str">
        <f>VLOOKUP(H401,Table7[#All], 2, FALSE)</f>
        <v>Massachusetts</v>
      </c>
      <c r="H401" s="2" t="s">
        <v>14</v>
      </c>
      <c r="I401" s="2" t="s">
        <v>22</v>
      </c>
      <c r="J401" s="2" t="s">
        <v>17</v>
      </c>
      <c r="K401" s="2" t="s">
        <v>78</v>
      </c>
      <c r="L401" s="2" t="s">
        <v>9</v>
      </c>
      <c r="M401" s="2" t="s">
        <v>25</v>
      </c>
      <c r="N401" s="2" t="s">
        <v>26</v>
      </c>
      <c r="O401" s="2" t="s">
        <v>12</v>
      </c>
      <c r="P401" s="2" t="s">
        <v>32</v>
      </c>
      <c r="Q401" s="2" t="s">
        <v>16</v>
      </c>
      <c r="R401" s="2" t="s">
        <v>18</v>
      </c>
      <c r="S401">
        <v>3</v>
      </c>
    </row>
    <row r="402" spans="1:19" x14ac:dyDescent="0.3">
      <c r="A402">
        <v>1707</v>
      </c>
      <c r="B402">
        <f>YEAR(Cleaned_HR_Data_Analysis__2[[#This Row],[Joining_Date]])</f>
        <v>2021</v>
      </c>
      <c r="C402" s="1">
        <v>44463</v>
      </c>
      <c r="D402" s="1" t="str" cm="1">
        <f t="array" ref="D402">_xlfn.IFS(E402&lt;28, "17-27",
AND(E402&gt;27, E402&lt;38), "28-37",
AND(E402&gt;37, E402 &lt;48), "38-47",
AND(E402&gt;47, E402 &lt;58), "48-57",
AND(E402&gt;57, E402&lt;68), "58-67",
AND(E402&gt;67, E402&lt;78), "68-77",
E402&gt;77,"Above than 77")</f>
        <v>17-27</v>
      </c>
      <c r="E402">
        <v>27</v>
      </c>
      <c r="F402" s="1">
        <v>34413</v>
      </c>
      <c r="G402" s="1" t="str">
        <f>VLOOKUP(H402,Table7[#All], 2, FALSE)</f>
        <v>Massachusetts</v>
      </c>
      <c r="H402" s="2" t="s">
        <v>14</v>
      </c>
      <c r="I402" s="2" t="s">
        <v>22</v>
      </c>
      <c r="J402" s="2" t="s">
        <v>34</v>
      </c>
      <c r="K402" s="2" t="s">
        <v>97</v>
      </c>
      <c r="L402" s="2" t="s">
        <v>9</v>
      </c>
      <c r="M402" s="2" t="s">
        <v>20</v>
      </c>
      <c r="N402" s="2" t="s">
        <v>11</v>
      </c>
      <c r="O402" s="2" t="s">
        <v>53</v>
      </c>
      <c r="P402" s="2" t="s">
        <v>59</v>
      </c>
      <c r="Q402" s="2" t="s">
        <v>46</v>
      </c>
      <c r="R402" s="2" t="s">
        <v>18</v>
      </c>
      <c r="S402">
        <v>4</v>
      </c>
    </row>
    <row r="403" spans="1:19" x14ac:dyDescent="0.3">
      <c r="A403">
        <v>2578</v>
      </c>
      <c r="B403">
        <f>YEAR(Cleaned_HR_Data_Analysis__2[[#This Row],[Joining_Date]])</f>
        <v>2023</v>
      </c>
      <c r="C403" s="1">
        <v>45076</v>
      </c>
      <c r="D403" s="1" t="str" cm="1">
        <f t="array" ref="D403">_xlfn.IFS(E403&lt;28, "17-27",
AND(E403&gt;27, E403&lt;38), "28-37",
AND(E403&gt;37, E403 &lt;48), "38-47",
AND(E403&gt;47, E403 &lt;58), "48-57",
AND(E403&gt;57, E403&lt;68), "58-67",
AND(E403&gt;67, E403&lt;78), "68-77",
E403&gt;77,"Above than 77")</f>
        <v>17-27</v>
      </c>
      <c r="E403">
        <v>27</v>
      </c>
      <c r="F403" s="1">
        <v>35092</v>
      </c>
      <c r="G403" s="1" t="str">
        <f>VLOOKUP(H403,Table7[#All], 2, FALSE)</f>
        <v>Vermont</v>
      </c>
      <c r="H403" s="2" t="s">
        <v>99</v>
      </c>
      <c r="I403" s="2" t="s">
        <v>15</v>
      </c>
      <c r="J403" s="2" t="s">
        <v>31</v>
      </c>
      <c r="K403" s="2" t="s">
        <v>24</v>
      </c>
      <c r="L403" s="2" t="s">
        <v>9</v>
      </c>
      <c r="M403" s="2" t="s">
        <v>20</v>
      </c>
      <c r="N403" s="2" t="s">
        <v>19</v>
      </c>
      <c r="O403" s="2" t="s">
        <v>27</v>
      </c>
      <c r="P403" s="2" t="s">
        <v>58</v>
      </c>
      <c r="Q403" s="2" t="s">
        <v>37</v>
      </c>
      <c r="R403" s="2" t="s">
        <v>18</v>
      </c>
      <c r="S403">
        <v>5</v>
      </c>
    </row>
    <row r="404" spans="1:19" x14ac:dyDescent="0.3">
      <c r="A404">
        <v>3429</v>
      </c>
      <c r="B404">
        <f>YEAR(Cleaned_HR_Data_Analysis__2[[#This Row],[Joining_Date]])</f>
        <v>2018</v>
      </c>
      <c r="C404" s="1">
        <v>43444</v>
      </c>
      <c r="D404" s="1" t="str" cm="1">
        <f t="array" ref="D404">_xlfn.IFS(E404&lt;28, "17-27",
AND(E404&gt;27, E404&lt;38), "28-37",
AND(E404&gt;37, E404 &lt;48), "38-47",
AND(E404&gt;47, E404 &lt;58), "48-57",
AND(E404&gt;57, E404&lt;68), "58-67",
AND(E404&gt;67, E404&lt;78), "68-77",
E404&gt;77,"Above than 77")</f>
        <v>17-27</v>
      </c>
      <c r="E404">
        <v>27</v>
      </c>
      <c r="F404" s="1">
        <v>33517</v>
      </c>
      <c r="G404" s="1" t="str">
        <f>VLOOKUP(H404,Table7[#All], 2, FALSE)</f>
        <v>Massachusetts</v>
      </c>
      <c r="H404" s="2" t="s">
        <v>14</v>
      </c>
      <c r="I404" s="2" t="s">
        <v>22</v>
      </c>
      <c r="J404" s="2" t="s">
        <v>17</v>
      </c>
      <c r="K404" s="2" t="s">
        <v>24</v>
      </c>
      <c r="L404" s="2" t="s">
        <v>9</v>
      </c>
      <c r="M404" s="2" t="s">
        <v>25</v>
      </c>
      <c r="N404" s="2" t="s">
        <v>26</v>
      </c>
      <c r="O404" s="2" t="s">
        <v>27</v>
      </c>
      <c r="P404" s="2" t="s">
        <v>28</v>
      </c>
      <c r="Q404" s="2" t="s">
        <v>23</v>
      </c>
      <c r="R404" s="2" t="s">
        <v>18</v>
      </c>
      <c r="S404">
        <v>2</v>
      </c>
    </row>
    <row r="405" spans="1:19" x14ac:dyDescent="0.3">
      <c r="A405">
        <v>2670</v>
      </c>
      <c r="B405">
        <f>YEAR(Cleaned_HR_Data_Analysis__2[[#This Row],[Joining_Date]])</f>
        <v>2021</v>
      </c>
      <c r="C405" s="1">
        <v>44282</v>
      </c>
      <c r="D405" s="1" t="str" cm="1">
        <f t="array" ref="D405">_xlfn.IFS(E405&lt;28, "17-27",
AND(E405&gt;27, E405&lt;38), "28-37",
AND(E405&gt;37, E405 &lt;48), "38-47",
AND(E405&gt;47, E405 &lt;58), "48-57",
AND(E405&gt;57, E405&lt;68), "58-67",
AND(E405&gt;67, E405&lt;78), "68-77",
E405&gt;77,"Above than 77")</f>
        <v>17-27</v>
      </c>
      <c r="E405">
        <v>27</v>
      </c>
      <c r="F405" s="1">
        <v>34399</v>
      </c>
      <c r="G405" s="1" t="str">
        <f>VLOOKUP(H405,Table7[#All], 2, FALSE)</f>
        <v>Massachusetts</v>
      </c>
      <c r="H405" s="2" t="s">
        <v>14</v>
      </c>
      <c r="I405" s="2" t="s">
        <v>22</v>
      </c>
      <c r="J405" s="2" t="s">
        <v>17</v>
      </c>
      <c r="K405" s="2" t="s">
        <v>24</v>
      </c>
      <c r="L405" s="2" t="s">
        <v>9</v>
      </c>
      <c r="M405" s="2" t="s">
        <v>20</v>
      </c>
      <c r="N405" s="2" t="s">
        <v>19</v>
      </c>
      <c r="O405" s="2" t="s">
        <v>27</v>
      </c>
      <c r="P405" s="2" t="s">
        <v>42</v>
      </c>
      <c r="Q405" s="2" t="s">
        <v>30</v>
      </c>
      <c r="R405" s="2" t="s">
        <v>18</v>
      </c>
      <c r="S405">
        <v>2</v>
      </c>
    </row>
    <row r="406" spans="1:19" x14ac:dyDescent="0.3">
      <c r="A406">
        <v>1698</v>
      </c>
      <c r="B406">
        <f>YEAR(Cleaned_HR_Data_Analysis__2[[#This Row],[Joining_Date]])</f>
        <v>2021</v>
      </c>
      <c r="C406" s="1">
        <v>44242</v>
      </c>
      <c r="D406" s="1" t="str" cm="1">
        <f t="array" ref="D406">_xlfn.IFS(E406&lt;28, "17-27",
AND(E406&gt;27, E406&lt;38), "28-37",
AND(E406&gt;37, E406 &lt;48), "38-47",
AND(E406&gt;47, E406 &lt;58), "48-57",
AND(E406&gt;57, E406&lt;68), "58-67",
AND(E406&gt;67, E406&lt;78), "68-77",
E406&gt;77,"Above than 77")</f>
        <v>17-27</v>
      </c>
      <c r="E406">
        <v>27</v>
      </c>
      <c r="F406" s="1">
        <v>34652</v>
      </c>
      <c r="G406" s="1" t="str">
        <f>VLOOKUP(H406,Table7[#All], 2, FALSE)</f>
        <v>Massachusetts</v>
      </c>
      <c r="H406" s="2" t="s">
        <v>14</v>
      </c>
      <c r="I406" s="2" t="s">
        <v>22</v>
      </c>
      <c r="J406" s="2" t="s">
        <v>34</v>
      </c>
      <c r="K406" s="2" t="s">
        <v>24</v>
      </c>
      <c r="L406" s="2" t="s">
        <v>9</v>
      </c>
      <c r="M406" s="2" t="s">
        <v>25</v>
      </c>
      <c r="N406" s="2" t="s">
        <v>19</v>
      </c>
      <c r="O406" s="2" t="s">
        <v>53</v>
      </c>
      <c r="P406" s="2" t="s">
        <v>67</v>
      </c>
      <c r="Q406" s="2" t="s">
        <v>16</v>
      </c>
      <c r="R406" s="2" t="s">
        <v>18</v>
      </c>
      <c r="S406">
        <v>5</v>
      </c>
    </row>
    <row r="407" spans="1:19" x14ac:dyDescent="0.3">
      <c r="A407">
        <v>3443</v>
      </c>
      <c r="B407">
        <f>YEAR(Cleaned_HR_Data_Analysis__2[[#This Row],[Joining_Date]])</f>
        <v>2021</v>
      </c>
      <c r="C407" s="1">
        <v>44291</v>
      </c>
      <c r="D407" s="1" t="str" cm="1">
        <f t="array" ref="D407">_xlfn.IFS(E407&lt;28, "17-27",
AND(E407&gt;27, E407&lt;38), "28-37",
AND(E407&gt;37, E407 &lt;48), "38-47",
AND(E407&gt;47, E407 &lt;58), "48-57",
AND(E407&gt;57, E407&lt;68), "58-67",
AND(E407&gt;67, E407&lt;78), "68-77",
E407&gt;77,"Above than 77")</f>
        <v>17-27</v>
      </c>
      <c r="E407">
        <v>27</v>
      </c>
      <c r="F407" s="1">
        <v>34432</v>
      </c>
      <c r="G407" s="1" t="str">
        <f>VLOOKUP(H407,Table7[#All], 2, FALSE)</f>
        <v>Kentucky</v>
      </c>
      <c r="H407" s="2" t="s">
        <v>51</v>
      </c>
      <c r="I407" s="2" t="s">
        <v>22</v>
      </c>
      <c r="J407" s="2" t="s">
        <v>17</v>
      </c>
      <c r="K407" s="2" t="s">
        <v>24</v>
      </c>
      <c r="L407" s="2" t="s">
        <v>9</v>
      </c>
      <c r="M407" s="2" t="s">
        <v>25</v>
      </c>
      <c r="N407" s="2" t="s">
        <v>11</v>
      </c>
      <c r="O407" s="2" t="s">
        <v>53</v>
      </c>
      <c r="P407" s="2" t="s">
        <v>54</v>
      </c>
      <c r="Q407" s="2" t="s">
        <v>46</v>
      </c>
      <c r="R407" s="2" t="s">
        <v>18</v>
      </c>
      <c r="S407">
        <v>2</v>
      </c>
    </row>
    <row r="408" spans="1:19" x14ac:dyDescent="0.3">
      <c r="A408">
        <v>3485</v>
      </c>
      <c r="B408">
        <f>YEAR(Cleaned_HR_Data_Analysis__2[[#This Row],[Joining_Date]])</f>
        <v>2021</v>
      </c>
      <c r="C408" s="1">
        <v>44495</v>
      </c>
      <c r="D408" s="1" t="str" cm="1">
        <f t="array" ref="D408">_xlfn.IFS(E408&lt;28, "17-27",
AND(E408&gt;27, E408&lt;38), "28-37",
AND(E408&gt;37, E408 &lt;48), "38-47",
AND(E408&gt;47, E408 &lt;58), "48-57",
AND(E408&gt;57, E408&lt;68), "58-67",
AND(E408&gt;67, E408&lt;78), "68-77",
E408&gt;77,"Above than 77")</f>
        <v>17-27</v>
      </c>
      <c r="E408">
        <v>27</v>
      </c>
      <c r="F408" s="1">
        <v>34568</v>
      </c>
      <c r="G408" s="1" t="str">
        <f>VLOOKUP(H408,Table7[#All], 2, FALSE)</f>
        <v>Colorado</v>
      </c>
      <c r="H408" s="2" t="s">
        <v>50</v>
      </c>
      <c r="I408" s="2" t="s">
        <v>22</v>
      </c>
      <c r="J408" s="2" t="s">
        <v>17</v>
      </c>
      <c r="K408" s="2" t="s">
        <v>24</v>
      </c>
      <c r="L408" s="2" t="s">
        <v>9</v>
      </c>
      <c r="M408" s="2" t="s">
        <v>10</v>
      </c>
      <c r="N408" s="2" t="s">
        <v>11</v>
      </c>
      <c r="O408" s="2" t="s">
        <v>27</v>
      </c>
      <c r="P408" s="2" t="s">
        <v>35</v>
      </c>
      <c r="Q408" s="2" t="s">
        <v>16</v>
      </c>
      <c r="R408" s="2" t="s">
        <v>18</v>
      </c>
      <c r="S408">
        <v>1</v>
      </c>
    </row>
    <row r="409" spans="1:19" x14ac:dyDescent="0.3">
      <c r="A409">
        <v>3924</v>
      </c>
      <c r="B409">
        <f>YEAR(Cleaned_HR_Data_Analysis__2[[#This Row],[Joining_Date]])</f>
        <v>2021</v>
      </c>
      <c r="C409" s="1">
        <v>44338</v>
      </c>
      <c r="D409" s="1" t="str" cm="1">
        <f t="array" ref="D409">_xlfn.IFS(E409&lt;28, "17-27",
AND(E409&gt;27, E409&lt;38), "28-37",
AND(E409&gt;37, E409 &lt;48), "38-47",
AND(E409&gt;47, E409 &lt;58), "48-57",
AND(E409&gt;57, E409&lt;68), "58-67",
AND(E409&gt;67, E409&lt;78), "68-77",
E409&gt;77,"Above than 77")</f>
        <v>28-37</v>
      </c>
      <c r="E409">
        <v>28</v>
      </c>
      <c r="F409" s="1">
        <v>34086</v>
      </c>
      <c r="G409" s="1" t="str">
        <f>VLOOKUP(H409,Table7[#All], 2, FALSE)</f>
        <v>Connecticut</v>
      </c>
      <c r="H409" s="2" t="s">
        <v>36</v>
      </c>
      <c r="I409" s="2" t="s">
        <v>22</v>
      </c>
      <c r="J409" s="2" t="s">
        <v>17</v>
      </c>
      <c r="K409" s="2" t="s">
        <v>72</v>
      </c>
      <c r="L409" s="2" t="s">
        <v>9</v>
      </c>
      <c r="M409" s="2" t="s">
        <v>25</v>
      </c>
      <c r="N409" s="2" t="s">
        <v>26</v>
      </c>
      <c r="O409" s="2" t="s">
        <v>53</v>
      </c>
      <c r="P409" s="2" t="s">
        <v>32</v>
      </c>
      <c r="Q409" s="2" t="s">
        <v>30</v>
      </c>
      <c r="R409" s="2" t="s">
        <v>18</v>
      </c>
      <c r="S409">
        <v>4</v>
      </c>
    </row>
    <row r="410" spans="1:19" x14ac:dyDescent="0.3">
      <c r="A410">
        <v>1383</v>
      </c>
      <c r="B410">
        <f>YEAR(Cleaned_HR_Data_Analysis__2[[#This Row],[Joining_Date]])</f>
        <v>2022</v>
      </c>
      <c r="C410" s="1">
        <v>44589</v>
      </c>
      <c r="D410" s="1" t="str" cm="1">
        <f t="array" ref="D410">_xlfn.IFS(E410&lt;28, "17-27",
AND(E410&gt;27, E410&lt;38), "28-37",
AND(E410&gt;37, E410 &lt;48), "38-47",
AND(E410&gt;47, E410 &lt;58), "48-57",
AND(E410&gt;57, E410&lt;68), "58-67",
AND(E410&gt;67, E410&lt;78), "68-77",
E410&gt;77,"Above than 77")</f>
        <v>28-37</v>
      </c>
      <c r="E410">
        <v>28</v>
      </c>
      <c r="F410" s="1">
        <v>34617</v>
      </c>
      <c r="G410" s="1" t="str">
        <f>VLOOKUP(H410,Table7[#All], 2, FALSE)</f>
        <v>Massachusetts</v>
      </c>
      <c r="H410" s="2" t="s">
        <v>14</v>
      </c>
      <c r="I410" s="2" t="s">
        <v>15</v>
      </c>
      <c r="J410" s="2" t="s">
        <v>40</v>
      </c>
      <c r="K410" s="2" t="s">
        <v>84</v>
      </c>
      <c r="L410" s="2" t="s">
        <v>9</v>
      </c>
      <c r="M410" s="2" t="s">
        <v>10</v>
      </c>
      <c r="N410" s="2" t="s">
        <v>11</v>
      </c>
      <c r="O410" s="2" t="s">
        <v>90</v>
      </c>
      <c r="P410" s="2" t="s">
        <v>32</v>
      </c>
      <c r="Q410" s="2" t="s">
        <v>23</v>
      </c>
      <c r="R410" s="2" t="s">
        <v>41</v>
      </c>
      <c r="S410">
        <v>1</v>
      </c>
    </row>
    <row r="411" spans="1:19" x14ac:dyDescent="0.3">
      <c r="A411">
        <v>2540</v>
      </c>
      <c r="B411">
        <f>YEAR(Cleaned_HR_Data_Analysis__2[[#This Row],[Joining_Date]])</f>
        <v>2022</v>
      </c>
      <c r="C411" s="1">
        <v>44852</v>
      </c>
      <c r="D411" s="1" t="str" cm="1">
        <f t="array" ref="D411">_xlfn.IFS(E411&lt;28, "17-27",
AND(E411&gt;27, E411&lt;38), "28-37",
AND(E411&gt;37, E411 &lt;48), "38-47",
AND(E411&gt;47, E411 &lt;58), "48-57",
AND(E411&gt;57, E411&lt;68), "58-67",
AND(E411&gt;67, E411&lt;78), "68-77",
E411&gt;77,"Above than 77")</f>
        <v>28-37</v>
      </c>
      <c r="E411">
        <v>28</v>
      </c>
      <c r="F411" s="1">
        <v>34572</v>
      </c>
      <c r="G411" s="1" t="str">
        <f>VLOOKUP(H411,Table7[#All], 2, FALSE)</f>
        <v>Massachusetts</v>
      </c>
      <c r="H411" s="2" t="s">
        <v>14</v>
      </c>
      <c r="I411" s="2" t="s">
        <v>15</v>
      </c>
      <c r="J411" s="2" t="s">
        <v>40</v>
      </c>
      <c r="K411" s="2" t="s">
        <v>85</v>
      </c>
      <c r="L411" s="2" t="s">
        <v>9</v>
      </c>
      <c r="M411" s="2" t="s">
        <v>10</v>
      </c>
      <c r="N411" s="2" t="s">
        <v>26</v>
      </c>
      <c r="O411" s="2" t="s">
        <v>87</v>
      </c>
      <c r="P411" s="2" t="s">
        <v>13</v>
      </c>
      <c r="Q411" s="2" t="s">
        <v>37</v>
      </c>
      <c r="R411" s="2" t="s">
        <v>18</v>
      </c>
      <c r="S411">
        <v>4</v>
      </c>
    </row>
    <row r="412" spans="1:19" x14ac:dyDescent="0.3">
      <c r="A412">
        <v>2543</v>
      </c>
      <c r="B412">
        <f>YEAR(Cleaned_HR_Data_Analysis__2[[#This Row],[Joining_Date]])</f>
        <v>2019</v>
      </c>
      <c r="C412" s="1">
        <v>43495</v>
      </c>
      <c r="D412" s="1" t="str" cm="1">
        <f t="array" ref="D412">_xlfn.IFS(E412&lt;28, "17-27",
AND(E412&gt;27, E412&lt;38), "28-37",
AND(E412&gt;37, E412 &lt;48), "38-47",
AND(E412&gt;47, E412 &lt;58), "48-57",
AND(E412&gt;57, E412&lt;68), "58-67",
AND(E412&gt;67, E412&lt;78), "68-77",
E412&gt;77,"Above than 77")</f>
        <v>28-37</v>
      </c>
      <c r="E412">
        <v>28</v>
      </c>
      <c r="F412" s="1">
        <v>33597</v>
      </c>
      <c r="G412" s="1" t="str">
        <f>VLOOKUP(H412,Table7[#All], 2, FALSE)</f>
        <v>Massachusetts</v>
      </c>
      <c r="H412" s="2" t="s">
        <v>14</v>
      </c>
      <c r="I412" s="2" t="s">
        <v>22</v>
      </c>
      <c r="J412" s="2" t="s">
        <v>40</v>
      </c>
      <c r="K412" s="2" t="s">
        <v>86</v>
      </c>
      <c r="L412" s="2" t="s">
        <v>66</v>
      </c>
      <c r="M412" s="2" t="s">
        <v>25</v>
      </c>
      <c r="N412" s="2" t="s">
        <v>19</v>
      </c>
      <c r="O412" s="2" t="s">
        <v>87</v>
      </c>
      <c r="P412" s="2" t="s">
        <v>32</v>
      </c>
      <c r="Q412" s="2" t="s">
        <v>16</v>
      </c>
      <c r="R412" s="2" t="s">
        <v>18</v>
      </c>
      <c r="S412">
        <v>4</v>
      </c>
    </row>
    <row r="413" spans="1:19" x14ac:dyDescent="0.3">
      <c r="A413">
        <v>1699</v>
      </c>
      <c r="B413">
        <f>YEAR(Cleaned_HR_Data_Analysis__2[[#This Row],[Joining_Date]])</f>
        <v>2021</v>
      </c>
      <c r="C413" s="1">
        <v>44503</v>
      </c>
      <c r="D413" s="1" t="str" cm="1">
        <f t="array" ref="D413">_xlfn.IFS(E413&lt;28, "17-27",
AND(E413&gt;27, E413&lt;38), "28-37",
AND(E413&gt;37, E413 &lt;48), "38-47",
AND(E413&gt;47, E413 &lt;58), "48-57",
AND(E413&gt;57, E413&lt;68), "58-67",
AND(E413&gt;67, E413&lt;78), "68-77",
E413&gt;77,"Above than 77")</f>
        <v>28-37</v>
      </c>
      <c r="E413">
        <v>28</v>
      </c>
      <c r="F413" s="1">
        <v>34137</v>
      </c>
      <c r="G413" s="1" t="str">
        <f>VLOOKUP(H413,Table7[#All], 2, FALSE)</f>
        <v>Massachusetts</v>
      </c>
      <c r="H413" s="2" t="s">
        <v>14</v>
      </c>
      <c r="I413" s="2" t="s">
        <v>22</v>
      </c>
      <c r="J413" s="2" t="s">
        <v>34</v>
      </c>
      <c r="K413" s="2" t="s">
        <v>89</v>
      </c>
      <c r="L413" s="2" t="s">
        <v>9</v>
      </c>
      <c r="M413" s="2" t="s">
        <v>10</v>
      </c>
      <c r="N413" s="2" t="s">
        <v>11</v>
      </c>
      <c r="O413" s="2" t="s">
        <v>90</v>
      </c>
      <c r="P413" s="2" t="s">
        <v>44</v>
      </c>
      <c r="Q413" s="2" t="s">
        <v>23</v>
      </c>
      <c r="R413" s="2" t="s">
        <v>18</v>
      </c>
      <c r="S413">
        <v>4</v>
      </c>
    </row>
    <row r="414" spans="1:19" x14ac:dyDescent="0.3">
      <c r="A414">
        <v>1036</v>
      </c>
      <c r="B414">
        <f>YEAR(Cleaned_HR_Data_Analysis__2[[#This Row],[Joining_Date]])</f>
        <v>2021</v>
      </c>
      <c r="C414" s="1">
        <v>44383</v>
      </c>
      <c r="D414" s="1" t="str" cm="1">
        <f t="array" ref="D414">_xlfn.IFS(E414&lt;28, "17-27",
AND(E414&gt;27, E414&lt;38), "28-37",
AND(E414&gt;37, E414 &lt;48), "38-47",
AND(E414&gt;47, E414 &lt;58), "48-57",
AND(E414&gt;57, E414&lt;68), "58-67",
AND(E414&gt;67, E414&lt;78), "68-77",
E414&gt;77,"Above than 77")</f>
        <v>28-37</v>
      </c>
      <c r="E414">
        <v>28</v>
      </c>
      <c r="F414" s="1">
        <v>34189</v>
      </c>
      <c r="G414" s="1" t="str">
        <f>VLOOKUP(H414,Table7[#All], 2, FALSE)</f>
        <v>Massachusetts</v>
      </c>
      <c r="H414" s="2" t="s">
        <v>14</v>
      </c>
      <c r="I414" s="2" t="s">
        <v>22</v>
      </c>
      <c r="J414" s="2" t="s">
        <v>31</v>
      </c>
      <c r="K414" s="2" t="s">
        <v>89</v>
      </c>
      <c r="L414" s="2" t="s">
        <v>9</v>
      </c>
      <c r="M414" s="2" t="s">
        <v>20</v>
      </c>
      <c r="N414" s="2" t="s">
        <v>19</v>
      </c>
      <c r="O414" s="2" t="s">
        <v>90</v>
      </c>
      <c r="P414" s="2" t="s">
        <v>35</v>
      </c>
      <c r="Q414" s="2" t="s">
        <v>46</v>
      </c>
      <c r="R414" s="2" t="s">
        <v>18</v>
      </c>
      <c r="S414">
        <v>2</v>
      </c>
    </row>
    <row r="415" spans="1:19" x14ac:dyDescent="0.3">
      <c r="A415">
        <v>1934</v>
      </c>
      <c r="B415">
        <f>YEAR(Cleaned_HR_Data_Analysis__2[[#This Row],[Joining_Date]])</f>
        <v>2019</v>
      </c>
      <c r="C415" s="1">
        <v>43641</v>
      </c>
      <c r="D415" s="1" t="str" cm="1">
        <f t="array" ref="D415">_xlfn.IFS(E415&lt;28, "17-27",
AND(E415&gt;27, E415&lt;38), "28-37",
AND(E415&gt;37, E415 &lt;48), "38-47",
AND(E415&gt;47, E415 &lt;58), "48-57",
AND(E415&gt;57, E415&lt;68), "58-67",
AND(E415&gt;67, E415&lt;78), "68-77",
E415&gt;77,"Above than 77")</f>
        <v>28-37</v>
      </c>
      <c r="E415">
        <v>28</v>
      </c>
      <c r="F415" s="1">
        <v>33510</v>
      </c>
      <c r="G415" s="1" t="str">
        <f>VLOOKUP(H415,Table7[#All], 2, FALSE)</f>
        <v>Pennsylvania</v>
      </c>
      <c r="H415" s="2" t="s">
        <v>100</v>
      </c>
      <c r="I415" s="2" t="s">
        <v>15</v>
      </c>
      <c r="J415" s="2" t="s">
        <v>17</v>
      </c>
      <c r="K415" s="2" t="s">
        <v>98</v>
      </c>
      <c r="L415" s="2" t="s">
        <v>66</v>
      </c>
      <c r="M415" s="2" t="s">
        <v>10</v>
      </c>
      <c r="N415" s="2" t="s">
        <v>26</v>
      </c>
      <c r="O415" s="2" t="s">
        <v>27</v>
      </c>
      <c r="P415" s="2" t="s">
        <v>38</v>
      </c>
      <c r="Q415" s="2" t="s">
        <v>30</v>
      </c>
      <c r="R415" s="2" t="s">
        <v>18</v>
      </c>
      <c r="S415">
        <v>5</v>
      </c>
    </row>
    <row r="416" spans="1:19" x14ac:dyDescent="0.3">
      <c r="A416">
        <v>3697</v>
      </c>
      <c r="B416">
        <f>YEAR(Cleaned_HR_Data_Analysis__2[[#This Row],[Joining_Date]])</f>
        <v>2020</v>
      </c>
      <c r="C416" s="1">
        <v>44010</v>
      </c>
      <c r="D416" s="1" t="str" cm="1">
        <f t="array" ref="D416">_xlfn.IFS(E416&lt;28, "17-27",
AND(E416&gt;27, E416&lt;38), "28-37",
AND(E416&gt;37, E416 &lt;48), "38-47",
AND(E416&gt;47, E416 &lt;58), "48-57",
AND(E416&gt;57, E416&lt;68), "58-67",
AND(E416&gt;67, E416&lt;78), "68-77",
E416&gt;77,"Above than 77")</f>
        <v>28-37</v>
      </c>
      <c r="E416">
        <v>28</v>
      </c>
      <c r="F416" s="1">
        <v>33964</v>
      </c>
      <c r="G416" s="1" t="str">
        <f>VLOOKUP(H416,Table7[#All], 2, FALSE)</f>
        <v>Massachusetts</v>
      </c>
      <c r="H416" s="2" t="s">
        <v>14</v>
      </c>
      <c r="I416" s="2" t="s">
        <v>15</v>
      </c>
      <c r="J416" s="2" t="s">
        <v>31</v>
      </c>
      <c r="K416" s="2" t="s">
        <v>64</v>
      </c>
      <c r="L416" s="2" t="s">
        <v>9</v>
      </c>
      <c r="M416" s="2" t="s">
        <v>25</v>
      </c>
      <c r="N416" s="2" t="s">
        <v>19</v>
      </c>
      <c r="O416" s="2" t="s">
        <v>12</v>
      </c>
      <c r="P416" s="2" t="s">
        <v>35</v>
      </c>
      <c r="Q416" s="2" t="s">
        <v>30</v>
      </c>
      <c r="R416" s="2" t="s">
        <v>65</v>
      </c>
      <c r="S416">
        <v>4</v>
      </c>
    </row>
    <row r="417" spans="1:19" x14ac:dyDescent="0.3">
      <c r="A417">
        <v>3672</v>
      </c>
      <c r="B417">
        <f>YEAR(Cleaned_HR_Data_Analysis__2[[#This Row],[Joining_Date]])</f>
        <v>2019</v>
      </c>
      <c r="C417" s="1">
        <v>43479</v>
      </c>
      <c r="D417" s="1" t="str" cm="1">
        <f t="array" ref="D417">_xlfn.IFS(E417&lt;28, "17-27",
AND(E417&gt;27, E417&lt;38), "28-37",
AND(E417&gt;37, E417 &lt;48), "38-47",
AND(E417&gt;47, E417 &lt;58), "48-57",
AND(E417&gt;57, E417&lt;68), "58-67",
AND(E417&gt;67, E417&lt;78), "68-77",
E417&gt;77,"Above than 77")</f>
        <v>28-37</v>
      </c>
      <c r="E417">
        <v>28</v>
      </c>
      <c r="F417" s="1">
        <v>33293</v>
      </c>
      <c r="G417" s="1" t="str">
        <f>VLOOKUP(H417,Table7[#All], 2, FALSE)</f>
        <v>Massachusetts</v>
      </c>
      <c r="H417" s="2" t="s">
        <v>14</v>
      </c>
      <c r="I417" s="2" t="s">
        <v>15</v>
      </c>
      <c r="J417" s="2" t="s">
        <v>40</v>
      </c>
      <c r="K417" s="2" t="s">
        <v>64</v>
      </c>
      <c r="L417" s="2" t="s">
        <v>9</v>
      </c>
      <c r="M417" s="2" t="s">
        <v>20</v>
      </c>
      <c r="N417" s="2" t="s">
        <v>19</v>
      </c>
      <c r="O417" s="2" t="s">
        <v>12</v>
      </c>
      <c r="P417" s="2" t="s">
        <v>32</v>
      </c>
      <c r="Q417" s="2" t="s">
        <v>46</v>
      </c>
      <c r="R417" s="2" t="s">
        <v>18</v>
      </c>
      <c r="S417">
        <v>2</v>
      </c>
    </row>
    <row r="418" spans="1:19" x14ac:dyDescent="0.3">
      <c r="A418">
        <v>3651</v>
      </c>
      <c r="B418">
        <f>YEAR(Cleaned_HR_Data_Analysis__2[[#This Row],[Joining_Date]])</f>
        <v>2019</v>
      </c>
      <c r="C418" s="1">
        <v>43752</v>
      </c>
      <c r="D418" s="1" t="str" cm="1">
        <f t="array" ref="D418">_xlfn.IFS(E418&lt;28, "17-27",
AND(E418&gt;27, E418&lt;38), "28-37",
AND(E418&gt;37, E418 &lt;48), "38-47",
AND(E418&gt;47, E418 &lt;58), "48-57",
AND(E418&gt;57, E418&lt;68), "58-67",
AND(E418&gt;67, E418&lt;78), "68-77",
E418&gt;77,"Above than 77")</f>
        <v>28-37</v>
      </c>
      <c r="E418">
        <v>28</v>
      </c>
      <c r="F418" s="1">
        <v>33257</v>
      </c>
      <c r="G418" s="1" t="str">
        <f>VLOOKUP(H418,Table7[#All], 2, FALSE)</f>
        <v>Massachusetts</v>
      </c>
      <c r="H418" s="2" t="s">
        <v>14</v>
      </c>
      <c r="I418" s="2" t="s">
        <v>15</v>
      </c>
      <c r="J418" s="2" t="s">
        <v>31</v>
      </c>
      <c r="K418" s="2" t="s">
        <v>64</v>
      </c>
      <c r="L418" s="2" t="s">
        <v>9</v>
      </c>
      <c r="M418" s="2" t="s">
        <v>25</v>
      </c>
      <c r="N418" s="2" t="s">
        <v>11</v>
      </c>
      <c r="O418" s="2" t="s">
        <v>12</v>
      </c>
      <c r="P418" s="2" t="s">
        <v>32</v>
      </c>
      <c r="Q418" s="2" t="s">
        <v>16</v>
      </c>
      <c r="R418" s="2" t="s">
        <v>18</v>
      </c>
      <c r="S418">
        <v>4</v>
      </c>
    </row>
    <row r="419" spans="1:19" x14ac:dyDescent="0.3">
      <c r="A419">
        <v>3650</v>
      </c>
      <c r="B419">
        <f>YEAR(Cleaned_HR_Data_Analysis__2[[#This Row],[Joining_Date]])</f>
        <v>2019</v>
      </c>
      <c r="C419" s="1">
        <v>43741</v>
      </c>
      <c r="D419" s="1" t="str" cm="1">
        <f t="array" ref="D419">_xlfn.IFS(E419&lt;28, "17-27",
AND(E419&gt;27, E419&lt;38), "28-37",
AND(E419&gt;37, E419 &lt;48), "38-47",
AND(E419&gt;47, E419 &lt;58), "48-57",
AND(E419&gt;57, E419&lt;68), "58-67",
AND(E419&gt;67, E419&lt;78), "68-77",
E419&gt;77,"Above than 77")</f>
        <v>28-37</v>
      </c>
      <c r="E419">
        <v>28</v>
      </c>
      <c r="F419" s="1">
        <v>33597</v>
      </c>
      <c r="G419" s="1" t="str">
        <f>VLOOKUP(H419,Table7[#All], 2, FALSE)</f>
        <v>Massachusetts</v>
      </c>
      <c r="H419" s="2" t="s">
        <v>14</v>
      </c>
      <c r="I419" s="2" t="s">
        <v>15</v>
      </c>
      <c r="J419" s="2" t="s">
        <v>40</v>
      </c>
      <c r="K419" s="2" t="s">
        <v>64</v>
      </c>
      <c r="L419" s="2" t="s">
        <v>66</v>
      </c>
      <c r="M419" s="2" t="s">
        <v>25</v>
      </c>
      <c r="N419" s="2" t="s">
        <v>26</v>
      </c>
      <c r="O419" s="2" t="s">
        <v>12</v>
      </c>
      <c r="P419" s="2" t="s">
        <v>35</v>
      </c>
      <c r="Q419" s="2" t="s">
        <v>16</v>
      </c>
      <c r="R419" s="2" t="s">
        <v>18</v>
      </c>
      <c r="S419">
        <v>2</v>
      </c>
    </row>
    <row r="420" spans="1:19" x14ac:dyDescent="0.3">
      <c r="A420">
        <v>3626</v>
      </c>
      <c r="B420">
        <f>YEAR(Cleaned_HR_Data_Analysis__2[[#This Row],[Joining_Date]])</f>
        <v>2021</v>
      </c>
      <c r="C420" s="1">
        <v>44331</v>
      </c>
      <c r="D420" s="1" t="str" cm="1">
        <f t="array" ref="D420">_xlfn.IFS(E420&lt;28, "17-27",
AND(E420&gt;27, E420&lt;38), "28-37",
AND(E420&gt;37, E420 &lt;48), "38-47",
AND(E420&gt;47, E420 &lt;58), "48-57",
AND(E420&gt;57, E420&lt;68), "58-67",
AND(E420&gt;67, E420&lt;78), "68-77",
E420&gt;77,"Above than 77")</f>
        <v>28-37</v>
      </c>
      <c r="E420">
        <v>28</v>
      </c>
      <c r="F420" s="1">
        <v>34270</v>
      </c>
      <c r="G420" s="1" t="str">
        <f>VLOOKUP(H420,Table7[#All], 2, FALSE)</f>
        <v>Massachusetts</v>
      </c>
      <c r="H420" s="2" t="s">
        <v>14</v>
      </c>
      <c r="I420" s="2" t="s">
        <v>15</v>
      </c>
      <c r="J420" s="2" t="s">
        <v>31</v>
      </c>
      <c r="K420" s="2" t="s">
        <v>64</v>
      </c>
      <c r="L420" s="2" t="s">
        <v>9</v>
      </c>
      <c r="M420" s="2" t="s">
        <v>25</v>
      </c>
      <c r="N420" s="2" t="s">
        <v>26</v>
      </c>
      <c r="O420" s="2" t="s">
        <v>12</v>
      </c>
      <c r="P420" s="2" t="s">
        <v>35</v>
      </c>
      <c r="Q420" s="2" t="s">
        <v>46</v>
      </c>
      <c r="R420" s="2" t="s">
        <v>18</v>
      </c>
      <c r="S420">
        <v>5</v>
      </c>
    </row>
    <row r="421" spans="1:19" x14ac:dyDescent="0.3">
      <c r="A421">
        <v>3412</v>
      </c>
      <c r="B421">
        <f>YEAR(Cleaned_HR_Data_Analysis__2[[#This Row],[Joining_Date]])</f>
        <v>2019</v>
      </c>
      <c r="C421" s="1">
        <v>43827</v>
      </c>
      <c r="D421" s="1" t="str" cm="1">
        <f t="array" ref="D421">_xlfn.IFS(E421&lt;28, "17-27",
AND(E421&gt;27, E421&lt;38), "28-37",
AND(E421&gt;37, E421 &lt;48), "38-47",
AND(E421&gt;47, E421 &lt;58), "48-57",
AND(E421&gt;57, E421&lt;68), "58-67",
AND(E421&gt;67, E421&lt;78), "68-77",
E421&gt;77,"Above than 77")</f>
        <v>28-37</v>
      </c>
      <c r="E421">
        <v>28</v>
      </c>
      <c r="F421" s="1">
        <v>33317</v>
      </c>
      <c r="G421" s="1" t="str">
        <f>VLOOKUP(H421,Table7[#All], 2, FALSE)</f>
        <v>Massachusetts</v>
      </c>
      <c r="H421" s="2" t="s">
        <v>14</v>
      </c>
      <c r="I421" s="2" t="s">
        <v>15</v>
      </c>
      <c r="J421" s="2" t="s">
        <v>40</v>
      </c>
      <c r="K421" s="2" t="s">
        <v>64</v>
      </c>
      <c r="L421" s="2" t="s">
        <v>9</v>
      </c>
      <c r="M421" s="2" t="s">
        <v>20</v>
      </c>
      <c r="N421" s="2" t="s">
        <v>19</v>
      </c>
      <c r="O421" s="2" t="s">
        <v>12</v>
      </c>
      <c r="P421" s="2" t="s">
        <v>58</v>
      </c>
      <c r="Q421" s="2" t="s">
        <v>16</v>
      </c>
      <c r="R421" s="2" t="s">
        <v>41</v>
      </c>
      <c r="S421">
        <v>4</v>
      </c>
    </row>
    <row r="422" spans="1:19" x14ac:dyDescent="0.3">
      <c r="A422">
        <v>3325</v>
      </c>
      <c r="B422">
        <f>YEAR(Cleaned_HR_Data_Analysis__2[[#This Row],[Joining_Date]])</f>
        <v>2021</v>
      </c>
      <c r="C422" s="1">
        <v>44390</v>
      </c>
      <c r="D422" s="1" t="str" cm="1">
        <f t="array" ref="D422">_xlfn.IFS(E422&lt;28, "17-27",
AND(E422&gt;27, E422&lt;38), "28-37",
AND(E422&gt;37, E422 &lt;48), "38-47",
AND(E422&gt;47, E422 &lt;58), "48-57",
AND(E422&gt;57, E422&lt;68), "58-67",
AND(E422&gt;67, E422&lt;78), "68-77",
E422&gt;77,"Above than 77")</f>
        <v>28-37</v>
      </c>
      <c r="E422">
        <v>28</v>
      </c>
      <c r="F422" s="1">
        <v>34256</v>
      </c>
      <c r="G422" s="1" t="str">
        <f>VLOOKUP(H422,Table7[#All], 2, FALSE)</f>
        <v>Massachusetts</v>
      </c>
      <c r="H422" s="2" t="s">
        <v>14</v>
      </c>
      <c r="I422" s="2" t="s">
        <v>15</v>
      </c>
      <c r="J422" s="2" t="s">
        <v>31</v>
      </c>
      <c r="K422" s="2" t="s">
        <v>64</v>
      </c>
      <c r="L422" s="2" t="s">
        <v>66</v>
      </c>
      <c r="M422" s="2" t="s">
        <v>10</v>
      </c>
      <c r="N422" s="2" t="s">
        <v>19</v>
      </c>
      <c r="O422" s="2" t="s">
        <v>12</v>
      </c>
      <c r="P422" s="2" t="s">
        <v>35</v>
      </c>
      <c r="Q422" s="2" t="s">
        <v>16</v>
      </c>
      <c r="R422" s="2" t="s">
        <v>18</v>
      </c>
      <c r="S422">
        <v>5</v>
      </c>
    </row>
    <row r="423" spans="1:19" x14ac:dyDescent="0.3">
      <c r="A423">
        <v>1973</v>
      </c>
      <c r="B423">
        <f>YEAR(Cleaned_HR_Data_Analysis__2[[#This Row],[Joining_Date]])</f>
        <v>2019</v>
      </c>
      <c r="C423" s="1">
        <v>43783</v>
      </c>
      <c r="D423" s="1" t="str" cm="1">
        <f t="array" ref="D423">_xlfn.IFS(E423&lt;28, "17-27",
AND(E423&gt;27, E423&lt;38), "28-37",
AND(E423&gt;37, E423 &lt;48), "38-47",
AND(E423&gt;47, E423 &lt;58), "48-57",
AND(E423&gt;57, E423&lt;68), "58-67",
AND(E423&gt;67, E423&lt;78), "68-77",
E423&gt;77,"Above than 77")</f>
        <v>28-37</v>
      </c>
      <c r="E423">
        <v>28</v>
      </c>
      <c r="F423" s="1">
        <v>33521</v>
      </c>
      <c r="G423" s="1" t="str">
        <f>VLOOKUP(H423,Table7[#All], 2, FALSE)</f>
        <v>Massachusetts</v>
      </c>
      <c r="H423" s="2" t="s">
        <v>14</v>
      </c>
      <c r="I423" s="2" t="s">
        <v>15</v>
      </c>
      <c r="J423" s="2" t="s">
        <v>34</v>
      </c>
      <c r="K423" s="2" t="s">
        <v>64</v>
      </c>
      <c r="L423" s="2" t="s">
        <v>9</v>
      </c>
      <c r="M423" s="2" t="s">
        <v>25</v>
      </c>
      <c r="N423" s="2" t="s">
        <v>26</v>
      </c>
      <c r="O423" s="2" t="s">
        <v>12</v>
      </c>
      <c r="P423" s="2" t="s">
        <v>32</v>
      </c>
      <c r="Q423" s="2" t="s">
        <v>37</v>
      </c>
      <c r="R423" s="2" t="s">
        <v>18</v>
      </c>
      <c r="S423">
        <v>2</v>
      </c>
    </row>
    <row r="424" spans="1:19" x14ac:dyDescent="0.3">
      <c r="A424">
        <v>1765</v>
      </c>
      <c r="B424">
        <f>YEAR(Cleaned_HR_Data_Analysis__2[[#This Row],[Joining_Date]])</f>
        <v>2019</v>
      </c>
      <c r="C424" s="1">
        <v>43755</v>
      </c>
      <c r="D424" s="1" t="str" cm="1">
        <f t="array" ref="D424">_xlfn.IFS(E424&lt;28, "17-27",
AND(E424&gt;27, E424&lt;38), "28-37",
AND(E424&gt;37, E424 &lt;48), "38-47",
AND(E424&gt;47, E424 &lt;58), "48-57",
AND(E424&gt;57, E424&lt;68), "58-67",
AND(E424&gt;67, E424&lt;78), "68-77",
E424&gt;77,"Above than 77")</f>
        <v>28-37</v>
      </c>
      <c r="E424">
        <v>28</v>
      </c>
      <c r="F424" s="1">
        <v>33488</v>
      </c>
      <c r="G424" s="1" t="str">
        <f>VLOOKUP(H424,Table7[#All], 2, FALSE)</f>
        <v>Massachusetts</v>
      </c>
      <c r="H424" s="2" t="s">
        <v>14</v>
      </c>
      <c r="I424" s="2" t="s">
        <v>15</v>
      </c>
      <c r="J424" s="2" t="s">
        <v>40</v>
      </c>
      <c r="K424" s="2" t="s">
        <v>64</v>
      </c>
      <c r="L424" s="2" t="s">
        <v>9</v>
      </c>
      <c r="M424" s="2" t="s">
        <v>10</v>
      </c>
      <c r="N424" s="2" t="s">
        <v>11</v>
      </c>
      <c r="O424" s="2" t="s">
        <v>12</v>
      </c>
      <c r="P424" s="2" t="s">
        <v>54</v>
      </c>
      <c r="Q424" s="2" t="s">
        <v>46</v>
      </c>
      <c r="R424" s="2" t="s">
        <v>18</v>
      </c>
      <c r="S424">
        <v>5</v>
      </c>
    </row>
    <row r="425" spans="1:19" x14ac:dyDescent="0.3">
      <c r="A425">
        <v>1432</v>
      </c>
      <c r="B425">
        <f>YEAR(Cleaned_HR_Data_Analysis__2[[#This Row],[Joining_Date]])</f>
        <v>2019</v>
      </c>
      <c r="C425" s="1">
        <v>43664</v>
      </c>
      <c r="D425" s="1" t="str" cm="1">
        <f t="array" ref="D425">_xlfn.IFS(E425&lt;28, "17-27",
AND(E425&gt;27, E425&lt;38), "28-37",
AND(E425&gt;37, E425 &lt;48), "38-47",
AND(E425&gt;47, E425 &lt;58), "48-57",
AND(E425&gt;57, E425&lt;68), "58-67",
AND(E425&gt;67, E425&lt;78), "68-77",
E425&gt;77,"Above than 77")</f>
        <v>28-37</v>
      </c>
      <c r="E425">
        <v>28</v>
      </c>
      <c r="F425" s="1">
        <v>33448</v>
      </c>
      <c r="G425" s="1" t="str">
        <f>VLOOKUP(H425,Table7[#All], 2, FALSE)</f>
        <v>Massachusetts</v>
      </c>
      <c r="H425" s="2" t="s">
        <v>14</v>
      </c>
      <c r="I425" s="2" t="s">
        <v>22</v>
      </c>
      <c r="J425" s="2" t="s">
        <v>34</v>
      </c>
      <c r="K425" s="2" t="s">
        <v>64</v>
      </c>
      <c r="L425" s="2" t="s">
        <v>9</v>
      </c>
      <c r="M425" s="2" t="s">
        <v>10</v>
      </c>
      <c r="N425" s="2" t="s">
        <v>19</v>
      </c>
      <c r="O425" s="2" t="s">
        <v>12</v>
      </c>
      <c r="P425" s="2" t="s">
        <v>54</v>
      </c>
      <c r="Q425" s="2" t="s">
        <v>16</v>
      </c>
      <c r="R425" s="2" t="s">
        <v>41</v>
      </c>
      <c r="S425">
        <v>3</v>
      </c>
    </row>
    <row r="426" spans="1:19" x14ac:dyDescent="0.3">
      <c r="A426">
        <v>1107</v>
      </c>
      <c r="B426">
        <f>YEAR(Cleaned_HR_Data_Analysis__2[[#This Row],[Joining_Date]])</f>
        <v>2020</v>
      </c>
      <c r="C426" s="1">
        <v>43906</v>
      </c>
      <c r="D426" s="1" t="str" cm="1">
        <f t="array" ref="D426">_xlfn.IFS(E426&lt;28, "17-27",
AND(E426&gt;27, E426&lt;38), "28-37",
AND(E426&gt;37, E426 &lt;48), "38-47",
AND(E426&gt;47, E426 &lt;58), "48-57",
AND(E426&gt;57, E426&lt;68), "58-67",
AND(E426&gt;67, E426&lt;78), "68-77",
E426&gt;77,"Above than 77")</f>
        <v>28-37</v>
      </c>
      <c r="E426">
        <v>28</v>
      </c>
      <c r="F426" s="1">
        <v>33643</v>
      </c>
      <c r="G426" s="1" t="str">
        <f>VLOOKUP(H426,Table7[#All], 2, FALSE)</f>
        <v>Massachusetts</v>
      </c>
      <c r="H426" s="2" t="s">
        <v>14</v>
      </c>
      <c r="I426" s="2" t="s">
        <v>15</v>
      </c>
      <c r="J426" s="2" t="s">
        <v>31</v>
      </c>
      <c r="K426" s="2" t="s">
        <v>64</v>
      </c>
      <c r="L426" s="2" t="s">
        <v>9</v>
      </c>
      <c r="M426" s="2" t="s">
        <v>10</v>
      </c>
      <c r="N426" s="2" t="s">
        <v>19</v>
      </c>
      <c r="O426" s="2" t="s">
        <v>12</v>
      </c>
      <c r="P426" s="2" t="s">
        <v>59</v>
      </c>
      <c r="Q426" s="2" t="s">
        <v>30</v>
      </c>
      <c r="R426" s="2" t="s">
        <v>18</v>
      </c>
      <c r="S426">
        <v>5</v>
      </c>
    </row>
    <row r="427" spans="1:19" x14ac:dyDescent="0.3">
      <c r="A427">
        <v>3767</v>
      </c>
      <c r="B427">
        <f>YEAR(Cleaned_HR_Data_Analysis__2[[#This Row],[Joining_Date]])</f>
        <v>2021</v>
      </c>
      <c r="C427" s="1">
        <v>44434</v>
      </c>
      <c r="D427" s="1" t="str" cm="1">
        <f t="array" ref="D427">_xlfn.IFS(E427&lt;28, "17-27",
AND(E427&gt;27, E427&lt;38), "28-37",
AND(E427&gt;37, E427 &lt;48), "38-47",
AND(E427&gt;47, E427 &lt;58), "48-57",
AND(E427&gt;57, E427&lt;68), "58-67",
AND(E427&gt;67, E427&lt;78), "68-77",
E427&gt;77,"Above than 77")</f>
        <v>28-37</v>
      </c>
      <c r="E427">
        <v>28</v>
      </c>
      <c r="F427" s="1">
        <v>34035</v>
      </c>
      <c r="G427" s="1" t="str">
        <f>VLOOKUP(H427,Table7[#All], 2, FALSE)</f>
        <v>Massachusetts</v>
      </c>
      <c r="H427" s="2" t="s">
        <v>14</v>
      </c>
      <c r="I427" s="2" t="s">
        <v>15</v>
      </c>
      <c r="J427" s="2" t="s">
        <v>40</v>
      </c>
      <c r="K427" s="2" t="s">
        <v>8</v>
      </c>
      <c r="L427" s="2" t="s">
        <v>66</v>
      </c>
      <c r="M427" s="2" t="s">
        <v>25</v>
      </c>
      <c r="N427" s="2" t="s">
        <v>26</v>
      </c>
      <c r="O427" s="2" t="s">
        <v>12</v>
      </c>
      <c r="P427" s="2" t="s">
        <v>32</v>
      </c>
      <c r="Q427" s="2" t="s">
        <v>37</v>
      </c>
      <c r="R427" s="2" t="s">
        <v>18</v>
      </c>
      <c r="S427">
        <v>5</v>
      </c>
    </row>
    <row r="428" spans="1:19" x14ac:dyDescent="0.3">
      <c r="A428">
        <v>3609</v>
      </c>
      <c r="B428">
        <f>YEAR(Cleaned_HR_Data_Analysis__2[[#This Row],[Joining_Date]])</f>
        <v>2021</v>
      </c>
      <c r="C428" s="1">
        <v>44349</v>
      </c>
      <c r="D428" s="1" t="str" cm="1">
        <f t="array" ref="D428">_xlfn.IFS(E428&lt;28, "17-27",
AND(E428&gt;27, E428&lt;38), "28-37",
AND(E428&gt;37, E428 &lt;48), "38-47",
AND(E428&gt;47, E428 &lt;58), "48-57",
AND(E428&gt;57, E428&lt;68), "58-67",
AND(E428&gt;67, E428&lt;78), "68-77",
E428&gt;77,"Above than 77")</f>
        <v>28-37</v>
      </c>
      <c r="E428">
        <v>28</v>
      </c>
      <c r="F428" s="1">
        <v>34129</v>
      </c>
      <c r="G428" s="1" t="str">
        <f>VLOOKUP(H428,Table7[#All], 2, FALSE)</f>
        <v>Massachusetts</v>
      </c>
      <c r="H428" s="2" t="s">
        <v>14</v>
      </c>
      <c r="I428" s="2" t="s">
        <v>15</v>
      </c>
      <c r="J428" s="2" t="s">
        <v>17</v>
      </c>
      <c r="K428" s="2" t="s">
        <v>8</v>
      </c>
      <c r="L428" s="2" t="s">
        <v>9</v>
      </c>
      <c r="M428" s="2" t="s">
        <v>10</v>
      </c>
      <c r="N428" s="2" t="s">
        <v>26</v>
      </c>
      <c r="O428" s="2" t="s">
        <v>12</v>
      </c>
      <c r="P428" s="2" t="s">
        <v>58</v>
      </c>
      <c r="Q428" s="2" t="s">
        <v>30</v>
      </c>
      <c r="R428" s="2" t="s">
        <v>18</v>
      </c>
      <c r="S428">
        <v>2</v>
      </c>
    </row>
    <row r="429" spans="1:19" x14ac:dyDescent="0.3">
      <c r="A429">
        <v>3559</v>
      </c>
      <c r="B429">
        <f>YEAR(Cleaned_HR_Data_Analysis__2[[#This Row],[Joining_Date]])</f>
        <v>2019</v>
      </c>
      <c r="C429" s="1">
        <v>43775</v>
      </c>
      <c r="D429" s="1" t="str" cm="1">
        <f t="array" ref="D429">_xlfn.IFS(E429&lt;28, "17-27",
AND(E429&gt;27, E429&lt;38), "28-37",
AND(E429&gt;37, E429 &lt;48), "38-47",
AND(E429&gt;47, E429 &lt;58), "48-57",
AND(E429&gt;57, E429&lt;68), "58-67",
AND(E429&gt;67, E429&lt;78), "68-77",
E429&gt;77,"Above than 77")</f>
        <v>28-37</v>
      </c>
      <c r="E429">
        <v>28</v>
      </c>
      <c r="F429" s="1">
        <v>33560</v>
      </c>
      <c r="G429" s="1" t="str">
        <f>VLOOKUP(H429,Table7[#All], 2, FALSE)</f>
        <v>Massachusetts</v>
      </c>
      <c r="H429" s="2" t="s">
        <v>14</v>
      </c>
      <c r="I429" s="2" t="s">
        <v>22</v>
      </c>
      <c r="J429" s="2" t="s">
        <v>31</v>
      </c>
      <c r="K429" s="2" t="s">
        <v>8</v>
      </c>
      <c r="L429" s="2" t="s">
        <v>9</v>
      </c>
      <c r="M429" s="2" t="s">
        <v>20</v>
      </c>
      <c r="N429" s="2" t="s">
        <v>11</v>
      </c>
      <c r="O429" s="2" t="s">
        <v>12</v>
      </c>
      <c r="P429" s="2" t="s">
        <v>35</v>
      </c>
      <c r="Q429" s="2" t="s">
        <v>16</v>
      </c>
      <c r="R429" s="2" t="s">
        <v>18</v>
      </c>
      <c r="S429">
        <v>2</v>
      </c>
    </row>
    <row r="430" spans="1:19" x14ac:dyDescent="0.3">
      <c r="A430">
        <v>3416</v>
      </c>
      <c r="B430">
        <f>YEAR(Cleaned_HR_Data_Analysis__2[[#This Row],[Joining_Date]])</f>
        <v>2020</v>
      </c>
      <c r="C430" s="1">
        <v>44106</v>
      </c>
      <c r="D430" s="1" t="str" cm="1">
        <f t="array" ref="D430">_xlfn.IFS(E430&lt;28, "17-27",
AND(E430&gt;27, E430&lt;38), "28-37",
AND(E430&gt;37, E430 &lt;48), "38-47",
AND(E430&gt;47, E430 &lt;58), "48-57",
AND(E430&gt;57, E430&lt;68), "58-67",
AND(E430&gt;67, E430&lt;78), "68-77",
E430&gt;77,"Above than 77")</f>
        <v>28-37</v>
      </c>
      <c r="E430">
        <v>28</v>
      </c>
      <c r="F430" s="1">
        <v>33956</v>
      </c>
      <c r="G430" s="1" t="str">
        <f>VLOOKUP(H430,Table7[#All], 2, FALSE)</f>
        <v>Massachusetts</v>
      </c>
      <c r="H430" s="2" t="s">
        <v>14</v>
      </c>
      <c r="I430" s="2" t="s">
        <v>22</v>
      </c>
      <c r="J430" s="2" t="s">
        <v>34</v>
      </c>
      <c r="K430" s="2" t="s">
        <v>8</v>
      </c>
      <c r="L430" s="2" t="s">
        <v>9</v>
      </c>
      <c r="M430" s="2" t="s">
        <v>25</v>
      </c>
      <c r="N430" s="2" t="s">
        <v>26</v>
      </c>
      <c r="O430" s="2" t="s">
        <v>12</v>
      </c>
      <c r="P430" s="2" t="s">
        <v>13</v>
      </c>
      <c r="Q430" s="2" t="s">
        <v>46</v>
      </c>
      <c r="R430" s="2" t="s">
        <v>18</v>
      </c>
      <c r="S430">
        <v>2</v>
      </c>
    </row>
    <row r="431" spans="1:19" x14ac:dyDescent="0.3">
      <c r="A431">
        <v>3384</v>
      </c>
      <c r="B431">
        <f>YEAR(Cleaned_HR_Data_Analysis__2[[#This Row],[Joining_Date]])</f>
        <v>2019</v>
      </c>
      <c r="C431" s="1">
        <v>43531</v>
      </c>
      <c r="D431" s="1" t="str" cm="1">
        <f t="array" ref="D431">_xlfn.IFS(E431&lt;28, "17-27",
AND(E431&gt;27, E431&lt;38), "28-37",
AND(E431&gt;37, E431 &lt;48), "38-47",
AND(E431&gt;47, E431 &lt;58), "48-57",
AND(E431&gt;57, E431&lt;68), "58-67",
AND(E431&gt;67, E431&lt;78), "68-77",
E431&gt;77,"Above than 77")</f>
        <v>28-37</v>
      </c>
      <c r="E431">
        <v>28</v>
      </c>
      <c r="F431" s="1">
        <v>33437</v>
      </c>
      <c r="G431" s="1" t="str">
        <f>VLOOKUP(H431,Table7[#All], 2, FALSE)</f>
        <v>Massachusetts</v>
      </c>
      <c r="H431" s="2" t="s">
        <v>14</v>
      </c>
      <c r="I431" s="2" t="s">
        <v>15</v>
      </c>
      <c r="J431" s="2" t="s">
        <v>34</v>
      </c>
      <c r="K431" s="2" t="s">
        <v>8</v>
      </c>
      <c r="L431" s="2" t="s">
        <v>9</v>
      </c>
      <c r="M431" s="2" t="s">
        <v>25</v>
      </c>
      <c r="N431" s="2" t="s">
        <v>11</v>
      </c>
      <c r="O431" s="2" t="s">
        <v>12</v>
      </c>
      <c r="P431" s="2" t="s">
        <v>35</v>
      </c>
      <c r="Q431" s="2" t="s">
        <v>23</v>
      </c>
      <c r="R431" s="2" t="s">
        <v>18</v>
      </c>
      <c r="S431">
        <v>1</v>
      </c>
    </row>
    <row r="432" spans="1:19" x14ac:dyDescent="0.3">
      <c r="A432">
        <v>3378</v>
      </c>
      <c r="B432">
        <f>YEAR(Cleaned_HR_Data_Analysis__2[[#This Row],[Joining_Date]])</f>
        <v>2021</v>
      </c>
      <c r="C432" s="1">
        <v>44342</v>
      </c>
      <c r="D432" s="1" t="str" cm="1">
        <f t="array" ref="D432">_xlfn.IFS(E432&lt;28, "17-27",
AND(E432&gt;27, E432&lt;38), "28-37",
AND(E432&gt;37, E432 &lt;48), "38-47",
AND(E432&gt;47, E432 &lt;58), "48-57",
AND(E432&gt;57, E432&lt;68), "58-67",
AND(E432&gt;67, E432&lt;78), "68-77",
E432&gt;77,"Above than 77")</f>
        <v>28-37</v>
      </c>
      <c r="E432">
        <v>28</v>
      </c>
      <c r="F432" s="1">
        <v>34216</v>
      </c>
      <c r="G432" s="1" t="str">
        <f>VLOOKUP(H432,Table7[#All], 2, FALSE)</f>
        <v>Massachusetts</v>
      </c>
      <c r="H432" s="2" t="s">
        <v>14</v>
      </c>
      <c r="I432" s="2" t="s">
        <v>15</v>
      </c>
      <c r="J432" s="2" t="s">
        <v>31</v>
      </c>
      <c r="K432" s="2" t="s">
        <v>8</v>
      </c>
      <c r="L432" s="2" t="s">
        <v>9</v>
      </c>
      <c r="M432" s="2" t="s">
        <v>10</v>
      </c>
      <c r="N432" s="2" t="s">
        <v>26</v>
      </c>
      <c r="O432" s="2" t="s">
        <v>12</v>
      </c>
      <c r="P432" s="2" t="s">
        <v>32</v>
      </c>
      <c r="Q432" s="2" t="s">
        <v>16</v>
      </c>
      <c r="R432" s="2" t="s">
        <v>41</v>
      </c>
      <c r="S432">
        <v>1</v>
      </c>
    </row>
    <row r="433" spans="1:19" x14ac:dyDescent="0.3">
      <c r="A433">
        <v>3305</v>
      </c>
      <c r="B433">
        <f>YEAR(Cleaned_HR_Data_Analysis__2[[#This Row],[Joining_Date]])</f>
        <v>2020</v>
      </c>
      <c r="C433" s="1">
        <v>44165</v>
      </c>
      <c r="D433" s="1" t="str" cm="1">
        <f t="array" ref="D433">_xlfn.IFS(E433&lt;28, "17-27",
AND(E433&gt;27, E433&lt;38), "28-37",
AND(E433&gt;37, E433 &lt;48), "38-47",
AND(E433&gt;47, E433 &lt;58), "48-57",
AND(E433&gt;57, E433&lt;68), "58-67",
AND(E433&gt;67, E433&lt;78), "68-77",
E433&gt;77,"Above than 77")</f>
        <v>28-37</v>
      </c>
      <c r="E433">
        <v>28</v>
      </c>
      <c r="F433" s="1">
        <v>33794</v>
      </c>
      <c r="G433" s="1" t="str">
        <f>VLOOKUP(H433,Table7[#All], 2, FALSE)</f>
        <v>Massachusetts</v>
      </c>
      <c r="H433" s="2" t="s">
        <v>14</v>
      </c>
      <c r="I433" s="2" t="s">
        <v>15</v>
      </c>
      <c r="J433" s="2" t="s">
        <v>17</v>
      </c>
      <c r="K433" s="2" t="s">
        <v>8</v>
      </c>
      <c r="L433" s="2" t="s">
        <v>66</v>
      </c>
      <c r="M433" s="2" t="s">
        <v>10</v>
      </c>
      <c r="N433" s="2" t="s">
        <v>11</v>
      </c>
      <c r="O433" s="2" t="s">
        <v>12</v>
      </c>
      <c r="P433" s="2" t="s">
        <v>54</v>
      </c>
      <c r="Q433" s="2" t="s">
        <v>30</v>
      </c>
      <c r="R433" s="2" t="s">
        <v>18</v>
      </c>
      <c r="S433">
        <v>4</v>
      </c>
    </row>
    <row r="434" spans="1:19" x14ac:dyDescent="0.3">
      <c r="A434">
        <v>3119</v>
      </c>
      <c r="B434">
        <f>YEAR(Cleaned_HR_Data_Analysis__2[[#This Row],[Joining_Date]])</f>
        <v>2021</v>
      </c>
      <c r="C434" s="1">
        <v>44206</v>
      </c>
      <c r="D434" s="1" t="str" cm="1">
        <f t="array" ref="D434">_xlfn.IFS(E434&lt;28, "17-27",
AND(E434&gt;27, E434&lt;38), "28-37",
AND(E434&gt;37, E434 &lt;48), "38-47",
AND(E434&gt;47, E434 &lt;58), "48-57",
AND(E434&gt;57, E434&lt;68), "58-67",
AND(E434&gt;67, E434&lt;78), "68-77",
E434&gt;77,"Above than 77")</f>
        <v>28-37</v>
      </c>
      <c r="E434">
        <v>28</v>
      </c>
      <c r="F434" s="1">
        <v>34125</v>
      </c>
      <c r="G434" s="1" t="str">
        <f>VLOOKUP(H434,Table7[#All], 2, FALSE)</f>
        <v>Massachusetts</v>
      </c>
      <c r="H434" s="2" t="s">
        <v>14</v>
      </c>
      <c r="I434" s="2" t="s">
        <v>22</v>
      </c>
      <c r="J434" s="2" t="s">
        <v>31</v>
      </c>
      <c r="K434" s="2" t="s">
        <v>8</v>
      </c>
      <c r="L434" s="2" t="s">
        <v>9</v>
      </c>
      <c r="M434" s="2" t="s">
        <v>20</v>
      </c>
      <c r="N434" s="2" t="s">
        <v>11</v>
      </c>
      <c r="O434" s="2" t="s">
        <v>12</v>
      </c>
      <c r="P434" s="2" t="s">
        <v>32</v>
      </c>
      <c r="Q434" s="2" t="s">
        <v>30</v>
      </c>
      <c r="R434" s="2" t="s">
        <v>18</v>
      </c>
      <c r="S434">
        <v>5</v>
      </c>
    </row>
    <row r="435" spans="1:19" x14ac:dyDescent="0.3">
      <c r="A435">
        <v>2941</v>
      </c>
      <c r="B435">
        <f>YEAR(Cleaned_HR_Data_Analysis__2[[#This Row],[Joining_Date]])</f>
        <v>2022</v>
      </c>
      <c r="C435" s="1">
        <v>44870</v>
      </c>
      <c r="D435" s="1" t="str" cm="1">
        <f t="array" ref="D435">_xlfn.IFS(E435&lt;28, "17-27",
AND(E435&gt;27, E435&lt;38), "28-37",
AND(E435&gt;37, E435 &lt;48), "38-47",
AND(E435&gt;47, E435 &lt;58), "48-57",
AND(E435&gt;57, E435&lt;68), "58-67",
AND(E435&gt;67, E435&lt;78), "68-77",
E435&gt;77,"Above than 77")</f>
        <v>28-37</v>
      </c>
      <c r="E435">
        <v>28</v>
      </c>
      <c r="F435" s="1">
        <v>34450</v>
      </c>
      <c r="G435" s="1" t="str">
        <f>VLOOKUP(H435,Table7[#All], 2, FALSE)</f>
        <v>Massachusetts</v>
      </c>
      <c r="H435" s="2" t="s">
        <v>14</v>
      </c>
      <c r="I435" s="2" t="s">
        <v>22</v>
      </c>
      <c r="J435" s="2" t="s">
        <v>40</v>
      </c>
      <c r="K435" s="2" t="s">
        <v>8</v>
      </c>
      <c r="L435" s="2" t="s">
        <v>9</v>
      </c>
      <c r="M435" s="2" t="s">
        <v>20</v>
      </c>
      <c r="N435" s="2" t="s">
        <v>26</v>
      </c>
      <c r="O435" s="2" t="s">
        <v>12</v>
      </c>
      <c r="P435" s="2" t="s">
        <v>42</v>
      </c>
      <c r="Q435" s="2" t="s">
        <v>23</v>
      </c>
      <c r="R435" s="2" t="s">
        <v>56</v>
      </c>
      <c r="S435">
        <v>2</v>
      </c>
    </row>
    <row r="436" spans="1:19" x14ac:dyDescent="0.3">
      <c r="A436">
        <v>2899</v>
      </c>
      <c r="B436">
        <f>YEAR(Cleaned_HR_Data_Analysis__2[[#This Row],[Joining_Date]])</f>
        <v>2020</v>
      </c>
      <c r="C436" s="1">
        <v>44085</v>
      </c>
      <c r="D436" s="1" t="str" cm="1">
        <f t="array" ref="D436">_xlfn.IFS(E436&lt;28, "17-27",
AND(E436&gt;27, E436&lt;38), "28-37",
AND(E436&gt;37, E436 &lt;48), "38-47",
AND(E436&gt;47, E436 &lt;58), "48-57",
AND(E436&gt;57, E436&lt;68), "58-67",
AND(E436&gt;67, E436&lt;78), "68-77",
E436&gt;77,"Above than 77")</f>
        <v>28-37</v>
      </c>
      <c r="E436">
        <v>28</v>
      </c>
      <c r="F436" s="1">
        <v>33723</v>
      </c>
      <c r="G436" s="1" t="str">
        <f>VLOOKUP(H436,Table7[#All], 2, FALSE)</f>
        <v>Massachusetts</v>
      </c>
      <c r="H436" s="2" t="s">
        <v>14</v>
      </c>
      <c r="I436" s="2" t="s">
        <v>22</v>
      </c>
      <c r="J436" s="2" t="s">
        <v>31</v>
      </c>
      <c r="K436" s="2" t="s">
        <v>8</v>
      </c>
      <c r="L436" s="2" t="s">
        <v>9</v>
      </c>
      <c r="M436" s="2" t="s">
        <v>20</v>
      </c>
      <c r="N436" s="2" t="s">
        <v>26</v>
      </c>
      <c r="O436" s="2" t="s">
        <v>12</v>
      </c>
      <c r="P436" s="2" t="s">
        <v>54</v>
      </c>
      <c r="Q436" s="2" t="s">
        <v>30</v>
      </c>
      <c r="R436" s="2" t="s">
        <v>18</v>
      </c>
      <c r="S436">
        <v>5</v>
      </c>
    </row>
    <row r="437" spans="1:19" x14ac:dyDescent="0.3">
      <c r="A437">
        <v>2853</v>
      </c>
      <c r="B437">
        <f>YEAR(Cleaned_HR_Data_Analysis__2[[#This Row],[Joining_Date]])</f>
        <v>2022</v>
      </c>
      <c r="C437" s="1">
        <v>44881</v>
      </c>
      <c r="D437" s="1" t="str" cm="1">
        <f t="array" ref="D437">_xlfn.IFS(E437&lt;28, "17-27",
AND(E437&gt;27, E437&lt;38), "28-37",
AND(E437&gt;37, E437 &lt;48), "38-47",
AND(E437&gt;47, E437 &lt;58), "48-57",
AND(E437&gt;57, E437&lt;68), "58-67",
AND(E437&gt;67, E437&lt;78), "68-77",
E437&gt;77,"Above than 77")</f>
        <v>28-37</v>
      </c>
      <c r="E437">
        <v>28</v>
      </c>
      <c r="F437" s="1">
        <v>34430</v>
      </c>
      <c r="G437" s="1" t="str">
        <f>VLOOKUP(H437,Table7[#All], 2, FALSE)</f>
        <v>Massachusetts</v>
      </c>
      <c r="H437" s="2" t="s">
        <v>14</v>
      </c>
      <c r="I437" s="2" t="s">
        <v>22</v>
      </c>
      <c r="J437" s="2" t="s">
        <v>17</v>
      </c>
      <c r="K437" s="2" t="s">
        <v>8</v>
      </c>
      <c r="L437" s="2" t="s">
        <v>66</v>
      </c>
      <c r="M437" s="2" t="s">
        <v>10</v>
      </c>
      <c r="N437" s="2" t="s">
        <v>26</v>
      </c>
      <c r="O437" s="2" t="s">
        <v>12</v>
      </c>
      <c r="P437" s="2" t="s">
        <v>32</v>
      </c>
      <c r="Q437" s="2" t="s">
        <v>30</v>
      </c>
      <c r="R437" s="2" t="s">
        <v>56</v>
      </c>
      <c r="S437">
        <v>1</v>
      </c>
    </row>
    <row r="438" spans="1:19" x14ac:dyDescent="0.3">
      <c r="A438">
        <v>2830</v>
      </c>
      <c r="B438">
        <f>YEAR(Cleaned_HR_Data_Analysis__2[[#This Row],[Joining_Date]])</f>
        <v>2022</v>
      </c>
      <c r="C438" s="1">
        <v>44742</v>
      </c>
      <c r="D438" s="1" t="str" cm="1">
        <f t="array" ref="D438">_xlfn.IFS(E438&lt;28, "17-27",
AND(E438&gt;27, E438&lt;38), "28-37",
AND(E438&gt;37, E438 &lt;48), "38-47",
AND(E438&gt;47, E438 &lt;58), "48-57",
AND(E438&gt;57, E438&lt;68), "58-67",
AND(E438&gt;67, E438&lt;78), "68-77",
E438&gt;77,"Above than 77")</f>
        <v>28-37</v>
      </c>
      <c r="E438">
        <v>28</v>
      </c>
      <c r="F438" s="1">
        <v>34480</v>
      </c>
      <c r="G438" s="1" t="str">
        <f>VLOOKUP(H438,Table7[#All], 2, FALSE)</f>
        <v>Massachusetts</v>
      </c>
      <c r="H438" s="2" t="s">
        <v>14</v>
      </c>
      <c r="I438" s="2" t="s">
        <v>22</v>
      </c>
      <c r="J438" s="2" t="s">
        <v>34</v>
      </c>
      <c r="K438" s="2" t="s">
        <v>8</v>
      </c>
      <c r="L438" s="2" t="s">
        <v>9</v>
      </c>
      <c r="M438" s="2" t="s">
        <v>25</v>
      </c>
      <c r="N438" s="2" t="s">
        <v>26</v>
      </c>
      <c r="O438" s="2" t="s">
        <v>12</v>
      </c>
      <c r="P438" s="2" t="s">
        <v>38</v>
      </c>
      <c r="Q438" s="2" t="s">
        <v>16</v>
      </c>
      <c r="R438" s="2" t="s">
        <v>18</v>
      </c>
      <c r="S438">
        <v>2</v>
      </c>
    </row>
    <row r="439" spans="1:19" x14ac:dyDescent="0.3">
      <c r="A439">
        <v>2763</v>
      </c>
      <c r="B439">
        <f>YEAR(Cleaned_HR_Data_Analysis__2[[#This Row],[Joining_Date]])</f>
        <v>2019</v>
      </c>
      <c r="C439" s="1">
        <v>43757</v>
      </c>
      <c r="D439" s="1" t="str" cm="1">
        <f t="array" ref="D439">_xlfn.IFS(E439&lt;28, "17-27",
AND(E439&gt;27, E439&lt;38), "28-37",
AND(E439&gt;37, E439 &lt;48), "38-47",
AND(E439&gt;47, E439 &lt;58), "48-57",
AND(E439&gt;57, E439&lt;68), "58-67",
AND(E439&gt;67, E439&lt;78), "68-77",
E439&gt;77,"Above than 77")</f>
        <v>28-37</v>
      </c>
      <c r="E439">
        <v>28</v>
      </c>
      <c r="F439" s="1">
        <v>33376</v>
      </c>
      <c r="G439" s="1" t="str">
        <f>VLOOKUP(H439,Table7[#All], 2, FALSE)</f>
        <v>Massachusetts</v>
      </c>
      <c r="H439" s="2" t="s">
        <v>14</v>
      </c>
      <c r="I439" s="2" t="s">
        <v>15</v>
      </c>
      <c r="J439" s="2" t="s">
        <v>31</v>
      </c>
      <c r="K439" s="2" t="s">
        <v>8</v>
      </c>
      <c r="L439" s="2" t="s">
        <v>9</v>
      </c>
      <c r="M439" s="2" t="s">
        <v>20</v>
      </c>
      <c r="N439" s="2" t="s">
        <v>11</v>
      </c>
      <c r="O439" s="2" t="s">
        <v>12</v>
      </c>
      <c r="P439" s="2" t="s">
        <v>35</v>
      </c>
      <c r="Q439" s="2" t="s">
        <v>23</v>
      </c>
      <c r="R439" s="2" t="s">
        <v>18</v>
      </c>
      <c r="S439">
        <v>2</v>
      </c>
    </row>
    <row r="440" spans="1:19" x14ac:dyDescent="0.3">
      <c r="A440">
        <v>2181</v>
      </c>
      <c r="B440">
        <f>YEAR(Cleaned_HR_Data_Analysis__2[[#This Row],[Joining_Date]])</f>
        <v>2019</v>
      </c>
      <c r="C440" s="1">
        <v>43529</v>
      </c>
      <c r="D440" s="1" t="str" cm="1">
        <f t="array" ref="D440">_xlfn.IFS(E440&lt;28, "17-27",
AND(E440&gt;27, E440&lt;38), "28-37",
AND(E440&gt;37, E440 &lt;48), "38-47",
AND(E440&gt;47, E440 &lt;58), "48-57",
AND(E440&gt;57, E440&lt;68), "58-67",
AND(E440&gt;67, E440&lt;78), "68-77",
E440&gt;77,"Above than 77")</f>
        <v>28-37</v>
      </c>
      <c r="E440">
        <v>28</v>
      </c>
      <c r="F440" s="1">
        <v>33463</v>
      </c>
      <c r="G440" s="1" t="str">
        <f>VLOOKUP(H440,Table7[#All], 2, FALSE)</f>
        <v>Massachusetts</v>
      </c>
      <c r="H440" s="2" t="s">
        <v>14</v>
      </c>
      <c r="I440" s="2" t="s">
        <v>15</v>
      </c>
      <c r="J440" s="2" t="s">
        <v>31</v>
      </c>
      <c r="K440" s="2" t="s">
        <v>8</v>
      </c>
      <c r="L440" s="2" t="s">
        <v>9</v>
      </c>
      <c r="M440" s="2" t="s">
        <v>10</v>
      </c>
      <c r="N440" s="2" t="s">
        <v>19</v>
      </c>
      <c r="O440" s="2" t="s">
        <v>12</v>
      </c>
      <c r="P440" s="2" t="s">
        <v>35</v>
      </c>
      <c r="Q440" s="2" t="s">
        <v>37</v>
      </c>
      <c r="R440" s="2" t="s">
        <v>65</v>
      </c>
      <c r="S440">
        <v>1</v>
      </c>
    </row>
    <row r="441" spans="1:19" x14ac:dyDescent="0.3">
      <c r="A441">
        <v>2011</v>
      </c>
      <c r="B441">
        <f>YEAR(Cleaned_HR_Data_Analysis__2[[#This Row],[Joining_Date]])</f>
        <v>2022</v>
      </c>
      <c r="C441" s="1">
        <v>44745</v>
      </c>
      <c r="D441" s="1" t="str" cm="1">
        <f t="array" ref="D441">_xlfn.IFS(E441&lt;28, "17-27",
AND(E441&gt;27, E441&lt;38), "28-37",
AND(E441&gt;37, E441 &lt;48), "38-47",
AND(E441&gt;47, E441 &lt;58), "48-57",
AND(E441&gt;57, E441&lt;68), "58-67",
AND(E441&gt;67, E441&lt;78), "68-77",
E441&gt;77,"Above than 77")</f>
        <v>28-37</v>
      </c>
      <c r="E441">
        <v>28</v>
      </c>
      <c r="F441" s="1">
        <v>34552</v>
      </c>
      <c r="G441" s="1" t="str">
        <f>VLOOKUP(H441,Table7[#All], 2, FALSE)</f>
        <v>Massachusetts</v>
      </c>
      <c r="H441" s="2" t="s">
        <v>14</v>
      </c>
      <c r="I441" s="2" t="s">
        <v>15</v>
      </c>
      <c r="J441" s="2" t="s">
        <v>34</v>
      </c>
      <c r="K441" s="2" t="s">
        <v>8</v>
      </c>
      <c r="L441" s="2" t="s">
        <v>9</v>
      </c>
      <c r="M441" s="2" t="s">
        <v>10</v>
      </c>
      <c r="N441" s="2" t="s">
        <v>26</v>
      </c>
      <c r="O441" s="2" t="s">
        <v>12</v>
      </c>
      <c r="P441" s="2" t="s">
        <v>13</v>
      </c>
      <c r="Q441" s="2" t="s">
        <v>46</v>
      </c>
      <c r="R441" s="2" t="s">
        <v>18</v>
      </c>
      <c r="S441">
        <v>2</v>
      </c>
    </row>
    <row r="442" spans="1:19" x14ac:dyDescent="0.3">
      <c r="A442">
        <v>2002</v>
      </c>
      <c r="B442">
        <f>YEAR(Cleaned_HR_Data_Analysis__2[[#This Row],[Joining_Date]])</f>
        <v>2018</v>
      </c>
      <c r="C442" s="1">
        <v>43385</v>
      </c>
      <c r="D442" s="1" t="str" cm="1">
        <f t="array" ref="D442">_xlfn.IFS(E442&lt;28, "17-27",
AND(E442&gt;27, E442&lt;38), "28-37",
AND(E442&gt;37, E442 &lt;48), "38-47",
AND(E442&gt;47, E442 &lt;58), "48-57",
AND(E442&gt;57, E442&lt;68), "58-67",
AND(E442&gt;67, E442&lt;78), "68-77",
E442&gt;77,"Above than 77")</f>
        <v>28-37</v>
      </c>
      <c r="E442">
        <v>28</v>
      </c>
      <c r="F442" s="1">
        <v>33018</v>
      </c>
      <c r="G442" s="1" t="str">
        <f>VLOOKUP(H442,Table7[#All], 2, FALSE)</f>
        <v>Massachusetts</v>
      </c>
      <c r="H442" s="2" t="s">
        <v>14</v>
      </c>
      <c r="I442" s="2" t="s">
        <v>15</v>
      </c>
      <c r="J442" s="2" t="s">
        <v>34</v>
      </c>
      <c r="K442" s="2" t="s">
        <v>8</v>
      </c>
      <c r="L442" s="2" t="s">
        <v>66</v>
      </c>
      <c r="M442" s="2" t="s">
        <v>10</v>
      </c>
      <c r="N442" s="2" t="s">
        <v>26</v>
      </c>
      <c r="O442" s="2" t="s">
        <v>12</v>
      </c>
      <c r="P442" s="2" t="s">
        <v>32</v>
      </c>
      <c r="Q442" s="2" t="s">
        <v>16</v>
      </c>
      <c r="R442" s="2" t="s">
        <v>18</v>
      </c>
      <c r="S442">
        <v>4</v>
      </c>
    </row>
    <row r="443" spans="1:19" x14ac:dyDescent="0.3">
      <c r="A443">
        <v>1981</v>
      </c>
      <c r="B443">
        <f>YEAR(Cleaned_HR_Data_Analysis__2[[#This Row],[Joining_Date]])</f>
        <v>2021</v>
      </c>
      <c r="C443" s="1">
        <v>44294</v>
      </c>
      <c r="D443" s="1" t="str" cm="1">
        <f t="array" ref="D443">_xlfn.IFS(E443&lt;28, "17-27",
AND(E443&gt;27, E443&lt;38), "28-37",
AND(E443&gt;37, E443 &lt;48), "38-47",
AND(E443&gt;47, E443 &lt;58), "48-57",
AND(E443&gt;57, E443&lt;68), "58-67",
AND(E443&gt;67, E443&lt;78), "68-77",
E443&gt;77,"Above than 77")</f>
        <v>28-37</v>
      </c>
      <c r="E443">
        <v>28</v>
      </c>
      <c r="F443" s="1">
        <v>34287</v>
      </c>
      <c r="G443" s="1" t="str">
        <f>VLOOKUP(H443,Table7[#All], 2, FALSE)</f>
        <v>Massachusetts</v>
      </c>
      <c r="H443" s="2" t="s">
        <v>14</v>
      </c>
      <c r="I443" s="2" t="s">
        <v>22</v>
      </c>
      <c r="J443" s="2" t="s">
        <v>40</v>
      </c>
      <c r="K443" s="2" t="s">
        <v>8</v>
      </c>
      <c r="L443" s="2" t="s">
        <v>9</v>
      </c>
      <c r="M443" s="2" t="s">
        <v>10</v>
      </c>
      <c r="N443" s="2" t="s">
        <v>19</v>
      </c>
      <c r="O443" s="2" t="s">
        <v>12</v>
      </c>
      <c r="P443" s="2" t="s">
        <v>32</v>
      </c>
      <c r="Q443" s="2" t="s">
        <v>37</v>
      </c>
      <c r="R443" s="2" t="s">
        <v>18</v>
      </c>
      <c r="S443">
        <v>4</v>
      </c>
    </row>
    <row r="444" spans="1:19" x14ac:dyDescent="0.3">
      <c r="A444">
        <v>1767</v>
      </c>
      <c r="B444">
        <f>YEAR(Cleaned_HR_Data_Analysis__2[[#This Row],[Joining_Date]])</f>
        <v>2023</v>
      </c>
      <c r="C444" s="1">
        <v>44967</v>
      </c>
      <c r="D444" s="1" t="str" cm="1">
        <f t="array" ref="D444">_xlfn.IFS(E444&lt;28, "17-27",
AND(E444&gt;27, E444&lt;38), "28-37",
AND(E444&gt;37, E444 &lt;48), "38-47",
AND(E444&gt;47, E444 &lt;58), "48-57",
AND(E444&gt;57, E444&lt;68), "58-67",
AND(E444&gt;67, E444&lt;78), "68-77",
E444&gt;77,"Above than 77")</f>
        <v>28-37</v>
      </c>
      <c r="E444">
        <v>28</v>
      </c>
      <c r="F444" s="1">
        <v>35064</v>
      </c>
      <c r="G444" s="1" t="str">
        <f>VLOOKUP(H444,Table7[#All], 2, FALSE)</f>
        <v>Massachusetts</v>
      </c>
      <c r="H444" s="2" t="s">
        <v>14</v>
      </c>
      <c r="I444" s="2" t="s">
        <v>15</v>
      </c>
      <c r="J444" s="2" t="s">
        <v>40</v>
      </c>
      <c r="K444" s="2" t="s">
        <v>8</v>
      </c>
      <c r="L444" s="2" t="s">
        <v>9</v>
      </c>
      <c r="M444" s="2" t="s">
        <v>10</v>
      </c>
      <c r="N444" s="2" t="s">
        <v>19</v>
      </c>
      <c r="O444" s="2" t="s">
        <v>12</v>
      </c>
      <c r="P444" s="2" t="s">
        <v>32</v>
      </c>
      <c r="Q444" s="2" t="s">
        <v>16</v>
      </c>
      <c r="R444" s="2" t="s">
        <v>18</v>
      </c>
      <c r="S444">
        <v>1</v>
      </c>
    </row>
    <row r="445" spans="1:19" x14ac:dyDescent="0.3">
      <c r="A445">
        <v>1568</v>
      </c>
      <c r="B445">
        <f>YEAR(Cleaned_HR_Data_Analysis__2[[#This Row],[Joining_Date]])</f>
        <v>2023</v>
      </c>
      <c r="C445" s="1">
        <v>44958</v>
      </c>
      <c r="D445" s="1" t="str" cm="1">
        <f t="array" ref="D445">_xlfn.IFS(E445&lt;28, "17-27",
AND(E445&gt;27, E445&lt;38), "28-37",
AND(E445&gt;37, E445 &lt;48), "38-47",
AND(E445&gt;47, E445 &lt;58), "48-57",
AND(E445&gt;57, E445&lt;68), "58-67",
AND(E445&gt;67, E445&lt;78), "68-77",
E445&gt;77,"Above than 77")</f>
        <v>28-37</v>
      </c>
      <c r="E445">
        <v>28</v>
      </c>
      <c r="F445" s="1">
        <v>34773</v>
      </c>
      <c r="G445" s="1" t="str">
        <f>VLOOKUP(H445,Table7[#All], 2, FALSE)</f>
        <v>Massachusetts</v>
      </c>
      <c r="H445" s="2" t="s">
        <v>14</v>
      </c>
      <c r="I445" s="2" t="s">
        <v>15</v>
      </c>
      <c r="J445" s="2" t="s">
        <v>40</v>
      </c>
      <c r="K445" s="2" t="s">
        <v>8</v>
      </c>
      <c r="L445" s="2" t="s">
        <v>9</v>
      </c>
      <c r="M445" s="2" t="s">
        <v>20</v>
      </c>
      <c r="N445" s="2" t="s">
        <v>26</v>
      </c>
      <c r="O445" s="2" t="s">
        <v>12</v>
      </c>
      <c r="P445" s="2" t="s">
        <v>63</v>
      </c>
      <c r="Q445" s="2" t="s">
        <v>46</v>
      </c>
      <c r="R445" s="2" t="s">
        <v>18</v>
      </c>
      <c r="S445">
        <v>2</v>
      </c>
    </row>
    <row r="446" spans="1:19" x14ac:dyDescent="0.3">
      <c r="A446">
        <v>1470</v>
      </c>
      <c r="B446">
        <f>YEAR(Cleaned_HR_Data_Analysis__2[[#This Row],[Joining_Date]])</f>
        <v>2023</v>
      </c>
      <c r="C446" s="1">
        <v>44965</v>
      </c>
      <c r="D446" s="1" t="str" cm="1">
        <f t="array" ref="D446">_xlfn.IFS(E446&lt;28, "17-27",
AND(E446&gt;27, E446&lt;38), "28-37",
AND(E446&gt;37, E446 &lt;48), "38-47",
AND(E446&gt;47, E446 &lt;58), "48-57",
AND(E446&gt;57, E446&lt;68), "58-67",
AND(E446&gt;67, E446&lt;78), "68-77",
E446&gt;77,"Above than 77")</f>
        <v>28-37</v>
      </c>
      <c r="E446">
        <v>28</v>
      </c>
      <c r="F446" s="1">
        <v>34962</v>
      </c>
      <c r="G446" s="1" t="str">
        <f>VLOOKUP(H446,Table7[#All], 2, FALSE)</f>
        <v>Massachusetts</v>
      </c>
      <c r="H446" s="2" t="s">
        <v>14</v>
      </c>
      <c r="I446" s="2" t="s">
        <v>15</v>
      </c>
      <c r="J446" s="2" t="s">
        <v>34</v>
      </c>
      <c r="K446" s="2" t="s">
        <v>8</v>
      </c>
      <c r="L446" s="2" t="s">
        <v>9</v>
      </c>
      <c r="M446" s="2" t="s">
        <v>20</v>
      </c>
      <c r="N446" s="2" t="s">
        <v>26</v>
      </c>
      <c r="O446" s="2" t="s">
        <v>12</v>
      </c>
      <c r="P446" s="2" t="s">
        <v>28</v>
      </c>
      <c r="Q446" s="2" t="s">
        <v>46</v>
      </c>
      <c r="R446" s="2" t="s">
        <v>41</v>
      </c>
      <c r="S446">
        <v>4</v>
      </c>
    </row>
    <row r="447" spans="1:19" x14ac:dyDescent="0.3">
      <c r="A447">
        <v>1293</v>
      </c>
      <c r="B447">
        <f>YEAR(Cleaned_HR_Data_Analysis__2[[#This Row],[Joining_Date]])</f>
        <v>2021</v>
      </c>
      <c r="C447" s="1">
        <v>44348</v>
      </c>
      <c r="D447" s="1" t="str" cm="1">
        <f t="array" ref="D447">_xlfn.IFS(E447&lt;28, "17-27",
AND(E447&gt;27, E447&lt;38), "28-37",
AND(E447&gt;37, E447 &lt;48), "38-47",
AND(E447&gt;47, E447 &lt;58), "48-57",
AND(E447&gt;57, E447&lt;68), "58-67",
AND(E447&gt;67, E447&lt;78), "68-77",
E447&gt;77,"Above than 77")</f>
        <v>28-37</v>
      </c>
      <c r="E447">
        <v>28</v>
      </c>
      <c r="F447" s="1">
        <v>34263</v>
      </c>
      <c r="G447" s="1" t="str">
        <f>VLOOKUP(H447,Table7[#All], 2, FALSE)</f>
        <v>Massachusetts</v>
      </c>
      <c r="H447" s="2" t="s">
        <v>14</v>
      </c>
      <c r="I447" s="2" t="s">
        <v>15</v>
      </c>
      <c r="J447" s="2" t="s">
        <v>31</v>
      </c>
      <c r="K447" s="2" t="s">
        <v>8</v>
      </c>
      <c r="L447" s="2" t="s">
        <v>9</v>
      </c>
      <c r="M447" s="2" t="s">
        <v>10</v>
      </c>
      <c r="N447" s="2" t="s">
        <v>26</v>
      </c>
      <c r="O447" s="2" t="s">
        <v>12</v>
      </c>
      <c r="P447" s="2" t="s">
        <v>59</v>
      </c>
      <c r="Q447" s="2" t="s">
        <v>46</v>
      </c>
      <c r="R447" s="2" t="s">
        <v>18</v>
      </c>
      <c r="S447">
        <v>3</v>
      </c>
    </row>
    <row r="448" spans="1:19" x14ac:dyDescent="0.3">
      <c r="A448">
        <v>1250</v>
      </c>
      <c r="B448">
        <f>YEAR(Cleaned_HR_Data_Analysis__2[[#This Row],[Joining_Date]])</f>
        <v>2018</v>
      </c>
      <c r="C448" s="1">
        <v>43349</v>
      </c>
      <c r="D448" s="1" t="str" cm="1">
        <f t="array" ref="D448">_xlfn.IFS(E448&lt;28, "17-27",
AND(E448&gt;27, E448&lt;38), "28-37",
AND(E448&gt;37, E448 &lt;48), "38-47",
AND(E448&gt;47, E448 &lt;58), "48-57",
AND(E448&gt;57, E448&lt;68), "58-67",
AND(E448&gt;67, E448&lt;78), "68-77",
E448&gt;77,"Above than 77")</f>
        <v>28-37</v>
      </c>
      <c r="E448">
        <v>28</v>
      </c>
      <c r="F448" s="1">
        <v>33215</v>
      </c>
      <c r="G448" s="1" t="str">
        <f>VLOOKUP(H448,Table7[#All], 2, FALSE)</f>
        <v>Massachusetts</v>
      </c>
      <c r="H448" s="2" t="s">
        <v>14</v>
      </c>
      <c r="I448" s="2" t="s">
        <v>15</v>
      </c>
      <c r="J448" s="2" t="s">
        <v>17</v>
      </c>
      <c r="K448" s="2" t="s">
        <v>8</v>
      </c>
      <c r="L448" s="2" t="s">
        <v>9</v>
      </c>
      <c r="M448" s="2" t="s">
        <v>10</v>
      </c>
      <c r="N448" s="2" t="s">
        <v>26</v>
      </c>
      <c r="O448" s="2" t="s">
        <v>12</v>
      </c>
      <c r="P448" s="2" t="s">
        <v>28</v>
      </c>
      <c r="Q448" s="2" t="s">
        <v>37</v>
      </c>
      <c r="R448" s="2" t="s">
        <v>18</v>
      </c>
      <c r="S448">
        <v>5</v>
      </c>
    </row>
    <row r="449" spans="1:19" x14ac:dyDescent="0.3">
      <c r="A449">
        <v>1181</v>
      </c>
      <c r="B449">
        <f>YEAR(Cleaned_HR_Data_Analysis__2[[#This Row],[Joining_Date]])</f>
        <v>2021</v>
      </c>
      <c r="C449" s="1">
        <v>44360</v>
      </c>
      <c r="D449" s="1" t="str" cm="1">
        <f t="array" ref="D449">_xlfn.IFS(E449&lt;28, "17-27",
AND(E449&gt;27, E449&lt;38), "28-37",
AND(E449&gt;37, E449 &lt;48), "38-47",
AND(E449&gt;47, E449 &lt;58), "48-57",
AND(E449&gt;57, E449&lt;68), "58-67",
AND(E449&gt;67, E449&lt;78), "68-77",
E449&gt;77,"Above than 77")</f>
        <v>28-37</v>
      </c>
      <c r="E449">
        <v>28</v>
      </c>
      <c r="F449" s="1">
        <v>34136</v>
      </c>
      <c r="G449" s="1" t="str">
        <f>VLOOKUP(H449,Table7[#All], 2, FALSE)</f>
        <v>Massachusetts</v>
      </c>
      <c r="H449" s="2" t="s">
        <v>14</v>
      </c>
      <c r="I449" s="2" t="s">
        <v>22</v>
      </c>
      <c r="J449" s="2" t="s">
        <v>34</v>
      </c>
      <c r="K449" s="2" t="s">
        <v>8</v>
      </c>
      <c r="L449" s="2" t="s">
        <v>9</v>
      </c>
      <c r="M449" s="2" t="s">
        <v>25</v>
      </c>
      <c r="N449" s="2" t="s">
        <v>11</v>
      </c>
      <c r="O449" s="2" t="s">
        <v>12</v>
      </c>
      <c r="P449" s="2" t="s">
        <v>59</v>
      </c>
      <c r="Q449" s="2" t="s">
        <v>30</v>
      </c>
      <c r="R449" s="2" t="s">
        <v>18</v>
      </c>
      <c r="S449">
        <v>5</v>
      </c>
    </row>
    <row r="450" spans="1:19" x14ac:dyDescent="0.3">
      <c r="A450">
        <v>2447</v>
      </c>
      <c r="B450">
        <f>YEAR(Cleaned_HR_Data_Analysis__2[[#This Row],[Joining_Date]])</f>
        <v>2020</v>
      </c>
      <c r="C450" s="1">
        <v>43863</v>
      </c>
      <c r="D450" s="1" t="str" cm="1">
        <f t="array" ref="D450">_xlfn.IFS(E450&lt;28, "17-27",
AND(E450&gt;27, E450&lt;38), "28-37",
AND(E450&gt;37, E450 &lt;48), "38-47",
AND(E450&gt;47, E450 &lt;58), "48-57",
AND(E450&gt;57, E450&lt;68), "58-67",
AND(E450&gt;67, E450&lt;78), "68-77",
E450&gt;77,"Above than 77")</f>
        <v>28-37</v>
      </c>
      <c r="E450">
        <v>28</v>
      </c>
      <c r="F450" s="1">
        <v>33707</v>
      </c>
      <c r="G450" s="1" t="str">
        <f>VLOOKUP(H450,Table7[#All], 2, FALSE)</f>
        <v>Massachusetts</v>
      </c>
      <c r="H450" s="2" t="s">
        <v>14</v>
      </c>
      <c r="I450" s="2" t="s">
        <v>15</v>
      </c>
      <c r="J450" s="2" t="s">
        <v>17</v>
      </c>
      <c r="K450" s="2" t="s">
        <v>91</v>
      </c>
      <c r="L450" s="2" t="s">
        <v>9</v>
      </c>
      <c r="M450" s="2" t="s">
        <v>25</v>
      </c>
      <c r="N450" s="2" t="s">
        <v>19</v>
      </c>
      <c r="O450" s="2" t="s">
        <v>12</v>
      </c>
      <c r="P450" s="2" t="s">
        <v>42</v>
      </c>
      <c r="Q450" s="2" t="s">
        <v>16</v>
      </c>
      <c r="R450" s="2" t="s">
        <v>18</v>
      </c>
      <c r="S450">
        <v>3</v>
      </c>
    </row>
    <row r="451" spans="1:19" x14ac:dyDescent="0.3">
      <c r="A451">
        <v>2416</v>
      </c>
      <c r="B451">
        <f>YEAR(Cleaned_HR_Data_Analysis__2[[#This Row],[Joining_Date]])</f>
        <v>2022</v>
      </c>
      <c r="C451" s="1">
        <v>44718</v>
      </c>
      <c r="D451" s="1" t="str" cm="1">
        <f t="array" ref="D451">_xlfn.IFS(E451&lt;28, "17-27",
AND(E451&gt;27, E451&lt;38), "28-37",
AND(E451&gt;37, E451 &lt;48), "38-47",
AND(E451&gt;47, E451 &lt;58), "48-57",
AND(E451&gt;57, E451&lt;68), "58-67",
AND(E451&gt;67, E451&lt;78), "68-77",
E451&gt;77,"Above than 77")</f>
        <v>28-37</v>
      </c>
      <c r="E451">
        <v>28</v>
      </c>
      <c r="F451" s="1">
        <v>34493</v>
      </c>
      <c r="G451" s="1" t="str">
        <f>VLOOKUP(H451,Table7[#All], 2, FALSE)</f>
        <v>Massachusetts</v>
      </c>
      <c r="H451" s="2" t="s">
        <v>14</v>
      </c>
      <c r="I451" s="2" t="s">
        <v>22</v>
      </c>
      <c r="J451" s="2" t="s">
        <v>31</v>
      </c>
      <c r="K451" s="2" t="s">
        <v>91</v>
      </c>
      <c r="L451" s="2" t="s">
        <v>9</v>
      </c>
      <c r="M451" s="2" t="s">
        <v>10</v>
      </c>
      <c r="N451" s="2" t="s">
        <v>11</v>
      </c>
      <c r="O451" s="2" t="s">
        <v>12</v>
      </c>
      <c r="P451" s="2" t="s">
        <v>32</v>
      </c>
      <c r="Q451" s="2" t="s">
        <v>46</v>
      </c>
      <c r="R451" s="2" t="s">
        <v>18</v>
      </c>
      <c r="S451">
        <v>5</v>
      </c>
    </row>
    <row r="452" spans="1:19" x14ac:dyDescent="0.3">
      <c r="A452">
        <v>2412</v>
      </c>
      <c r="B452">
        <f>YEAR(Cleaned_HR_Data_Analysis__2[[#This Row],[Joining_Date]])</f>
        <v>2022</v>
      </c>
      <c r="C452" s="1">
        <v>44591</v>
      </c>
      <c r="D452" s="1" t="str" cm="1">
        <f t="array" ref="D452">_xlfn.IFS(E452&lt;28, "17-27",
AND(E452&gt;27, E452&lt;38), "28-37",
AND(E452&gt;37, E452 &lt;48), "38-47",
AND(E452&gt;47, E452 &lt;58), "48-57",
AND(E452&gt;57, E452&lt;68), "58-67",
AND(E452&gt;67, E452&lt;78), "68-77",
E452&gt;77,"Above than 77")</f>
        <v>28-37</v>
      </c>
      <c r="E452">
        <v>28</v>
      </c>
      <c r="F452" s="1">
        <v>34620</v>
      </c>
      <c r="G452" s="1" t="str">
        <f>VLOOKUP(H452,Table7[#All], 2, FALSE)</f>
        <v>Massachusetts</v>
      </c>
      <c r="H452" s="2" t="s">
        <v>14</v>
      </c>
      <c r="I452" s="2" t="s">
        <v>22</v>
      </c>
      <c r="J452" s="2" t="s">
        <v>17</v>
      </c>
      <c r="K452" s="2" t="s">
        <v>91</v>
      </c>
      <c r="L452" s="2" t="s">
        <v>9</v>
      </c>
      <c r="M452" s="2" t="s">
        <v>25</v>
      </c>
      <c r="N452" s="2" t="s">
        <v>26</v>
      </c>
      <c r="O452" s="2" t="s">
        <v>12</v>
      </c>
      <c r="P452" s="2" t="s">
        <v>42</v>
      </c>
      <c r="Q452" s="2" t="s">
        <v>16</v>
      </c>
      <c r="R452" s="2" t="s">
        <v>18</v>
      </c>
      <c r="S452">
        <v>4</v>
      </c>
    </row>
    <row r="453" spans="1:19" x14ac:dyDescent="0.3">
      <c r="A453">
        <v>2411</v>
      </c>
      <c r="B453">
        <f>YEAR(Cleaned_HR_Data_Analysis__2[[#This Row],[Joining_Date]])</f>
        <v>2022</v>
      </c>
      <c r="C453" s="1">
        <v>44845</v>
      </c>
      <c r="D453" s="1" t="str" cm="1">
        <f t="array" ref="D453">_xlfn.IFS(E453&lt;28, "17-27",
AND(E453&gt;27, E453&lt;38), "28-37",
AND(E453&gt;37, E453 &lt;48), "38-47",
AND(E453&gt;47, E453 &lt;58), "48-57",
AND(E453&gt;57, E453&lt;68), "58-67",
AND(E453&gt;67, E453&lt;78), "68-77",
E453&gt;77,"Above than 77")</f>
        <v>28-37</v>
      </c>
      <c r="E453">
        <v>28</v>
      </c>
      <c r="F453" s="1">
        <v>34531</v>
      </c>
      <c r="G453" s="1" t="str">
        <f>VLOOKUP(H453,Table7[#All], 2, FALSE)</f>
        <v>Massachusetts</v>
      </c>
      <c r="H453" s="2" t="s">
        <v>14</v>
      </c>
      <c r="I453" s="2" t="s">
        <v>15</v>
      </c>
      <c r="J453" s="2" t="s">
        <v>17</v>
      </c>
      <c r="K453" s="2" t="s">
        <v>91</v>
      </c>
      <c r="L453" s="2" t="s">
        <v>9</v>
      </c>
      <c r="M453" s="2" t="s">
        <v>20</v>
      </c>
      <c r="N453" s="2" t="s">
        <v>26</v>
      </c>
      <c r="O453" s="2" t="s">
        <v>12</v>
      </c>
      <c r="P453" s="2" t="s">
        <v>32</v>
      </c>
      <c r="Q453" s="2" t="s">
        <v>37</v>
      </c>
      <c r="R453" s="2" t="s">
        <v>18</v>
      </c>
      <c r="S453">
        <v>3</v>
      </c>
    </row>
    <row r="454" spans="1:19" x14ac:dyDescent="0.3">
      <c r="A454">
        <v>2397</v>
      </c>
      <c r="B454">
        <f>YEAR(Cleaned_HR_Data_Analysis__2[[#This Row],[Joining_Date]])</f>
        <v>2018</v>
      </c>
      <c r="C454" s="1">
        <v>43362</v>
      </c>
      <c r="D454" s="1" t="str" cm="1">
        <f t="array" ref="D454">_xlfn.IFS(E454&lt;28, "17-27",
AND(E454&gt;27, E454&lt;38), "28-37",
AND(E454&gt;37, E454 &lt;48), "38-47",
AND(E454&gt;47, E454 &lt;58), "48-57",
AND(E454&gt;57, E454&lt;68), "58-67",
AND(E454&gt;67, E454&lt;78), "68-77",
E454&gt;77,"Above than 77")</f>
        <v>28-37</v>
      </c>
      <c r="E454">
        <v>28</v>
      </c>
      <c r="F454" s="1">
        <v>33107</v>
      </c>
      <c r="G454" s="1" t="str">
        <f>VLOOKUP(H454,Table7[#All], 2, FALSE)</f>
        <v>Massachusetts</v>
      </c>
      <c r="H454" s="2" t="s">
        <v>14</v>
      </c>
      <c r="I454" s="2" t="s">
        <v>15</v>
      </c>
      <c r="J454" s="2" t="s">
        <v>17</v>
      </c>
      <c r="K454" s="2" t="s">
        <v>91</v>
      </c>
      <c r="L454" s="2" t="s">
        <v>9</v>
      </c>
      <c r="M454" s="2" t="s">
        <v>20</v>
      </c>
      <c r="N454" s="2" t="s">
        <v>26</v>
      </c>
      <c r="O454" s="2" t="s">
        <v>12</v>
      </c>
      <c r="P454" s="2" t="s">
        <v>35</v>
      </c>
      <c r="Q454" s="2" t="s">
        <v>30</v>
      </c>
      <c r="R454" s="2" t="s">
        <v>18</v>
      </c>
      <c r="S454">
        <v>5</v>
      </c>
    </row>
    <row r="455" spans="1:19" x14ac:dyDescent="0.3">
      <c r="A455">
        <v>2379</v>
      </c>
      <c r="B455">
        <f>YEAR(Cleaned_HR_Data_Analysis__2[[#This Row],[Joining_Date]])</f>
        <v>2019</v>
      </c>
      <c r="C455" s="1">
        <v>43757</v>
      </c>
      <c r="D455" s="1" t="str" cm="1">
        <f t="array" ref="D455">_xlfn.IFS(E455&lt;28, "17-27",
AND(E455&gt;27, E455&lt;38), "28-37",
AND(E455&gt;37, E455 &lt;48), "38-47",
AND(E455&gt;47, E455 &lt;58), "48-57",
AND(E455&gt;57, E455&lt;68), "58-67",
AND(E455&gt;67, E455&lt;78), "68-77",
E455&gt;77,"Above than 77")</f>
        <v>28-37</v>
      </c>
      <c r="E455">
        <v>28</v>
      </c>
      <c r="F455" s="1">
        <v>33594</v>
      </c>
      <c r="G455" s="1" t="str">
        <f>VLOOKUP(H455,Table7[#All], 2, FALSE)</f>
        <v>Massachusetts</v>
      </c>
      <c r="H455" s="2" t="s">
        <v>14</v>
      </c>
      <c r="I455" s="2" t="s">
        <v>15</v>
      </c>
      <c r="J455" s="2" t="s">
        <v>40</v>
      </c>
      <c r="K455" s="2" t="s">
        <v>91</v>
      </c>
      <c r="L455" s="2" t="s">
        <v>66</v>
      </c>
      <c r="M455" s="2" t="s">
        <v>25</v>
      </c>
      <c r="N455" s="2" t="s">
        <v>11</v>
      </c>
      <c r="O455" s="2" t="s">
        <v>12</v>
      </c>
      <c r="P455" s="2" t="s">
        <v>55</v>
      </c>
      <c r="Q455" s="2" t="s">
        <v>46</v>
      </c>
      <c r="R455" s="2" t="s">
        <v>18</v>
      </c>
      <c r="S455">
        <v>5</v>
      </c>
    </row>
    <row r="456" spans="1:19" x14ac:dyDescent="0.3">
      <c r="A456">
        <v>2344</v>
      </c>
      <c r="B456">
        <f>YEAR(Cleaned_HR_Data_Analysis__2[[#This Row],[Joining_Date]])</f>
        <v>2019</v>
      </c>
      <c r="C456" s="1">
        <v>43764</v>
      </c>
      <c r="D456" s="1" t="str" cm="1">
        <f t="array" ref="D456">_xlfn.IFS(E456&lt;28, "17-27",
AND(E456&gt;27, E456&lt;38), "28-37",
AND(E456&gt;37, E456 &lt;48), "38-47",
AND(E456&gt;47, E456 &lt;58), "48-57",
AND(E456&gt;57, E456&lt;68), "58-67",
AND(E456&gt;67, E456&lt;78), "68-77",
E456&gt;77,"Above than 77")</f>
        <v>28-37</v>
      </c>
      <c r="E456">
        <v>28</v>
      </c>
      <c r="F456" s="1">
        <v>33473</v>
      </c>
      <c r="G456" s="1" t="str">
        <f>VLOOKUP(H456,Table7[#All], 2, FALSE)</f>
        <v>Massachusetts</v>
      </c>
      <c r="H456" s="2" t="s">
        <v>14</v>
      </c>
      <c r="I456" s="2" t="s">
        <v>15</v>
      </c>
      <c r="J456" s="2" t="s">
        <v>40</v>
      </c>
      <c r="K456" s="2" t="s">
        <v>91</v>
      </c>
      <c r="L456" s="2" t="s">
        <v>9</v>
      </c>
      <c r="M456" s="2" t="s">
        <v>10</v>
      </c>
      <c r="N456" s="2" t="s">
        <v>11</v>
      </c>
      <c r="O456" s="2" t="s">
        <v>12</v>
      </c>
      <c r="P456" s="2" t="s">
        <v>63</v>
      </c>
      <c r="Q456" s="2" t="s">
        <v>30</v>
      </c>
      <c r="R456" s="2" t="s">
        <v>18</v>
      </c>
      <c r="S456">
        <v>5</v>
      </c>
    </row>
    <row r="457" spans="1:19" x14ac:dyDescent="0.3">
      <c r="A457">
        <v>3900</v>
      </c>
      <c r="B457">
        <f>YEAR(Cleaned_HR_Data_Analysis__2[[#This Row],[Joining_Date]])</f>
        <v>2023</v>
      </c>
      <c r="C457" s="1">
        <v>45093</v>
      </c>
      <c r="D457" s="1" t="str" cm="1">
        <f t="array" ref="D457">_xlfn.IFS(E457&lt;28, "17-27",
AND(E457&gt;27, E457&lt;38), "28-37",
AND(E457&gt;37, E457 &lt;48), "38-47",
AND(E457&gt;47, E457 &lt;58), "48-57",
AND(E457&gt;57, E457&lt;68), "58-67",
AND(E457&gt;67, E457&lt;78), "68-77",
E457&gt;77,"Above than 77")</f>
        <v>28-37</v>
      </c>
      <c r="E457">
        <v>28</v>
      </c>
      <c r="F457" s="1">
        <v>34968</v>
      </c>
      <c r="G457" s="1" t="str">
        <f>VLOOKUP(H457,Table7[#All], 2, FALSE)</f>
        <v>Massachusetts</v>
      </c>
      <c r="H457" s="2" t="s">
        <v>14</v>
      </c>
      <c r="I457" s="2" t="s">
        <v>15</v>
      </c>
      <c r="J457" s="2" t="s">
        <v>31</v>
      </c>
      <c r="K457" s="2" t="s">
        <v>74</v>
      </c>
      <c r="L457" s="2" t="s">
        <v>9</v>
      </c>
      <c r="M457" s="2" t="s">
        <v>10</v>
      </c>
      <c r="N457" s="2" t="s">
        <v>11</v>
      </c>
      <c r="O457" s="2" t="s">
        <v>53</v>
      </c>
      <c r="P457" s="2" t="s">
        <v>35</v>
      </c>
      <c r="Q457" s="2" t="s">
        <v>46</v>
      </c>
      <c r="R457" s="2" t="s">
        <v>18</v>
      </c>
      <c r="S457">
        <v>2</v>
      </c>
    </row>
    <row r="458" spans="1:19" x14ac:dyDescent="0.3">
      <c r="A458">
        <v>2387</v>
      </c>
      <c r="B458">
        <f>YEAR(Cleaned_HR_Data_Analysis__2[[#This Row],[Joining_Date]])</f>
        <v>2022</v>
      </c>
      <c r="C458" s="1">
        <v>44739</v>
      </c>
      <c r="D458" s="1" t="str" cm="1">
        <f t="array" ref="D458">_xlfn.IFS(E458&lt;28, "17-27",
AND(E458&gt;27, E458&lt;38), "28-37",
AND(E458&gt;37, E458 &lt;48), "38-47",
AND(E458&gt;47, E458 &lt;58), "48-57",
AND(E458&gt;57, E458&lt;68), "58-67",
AND(E458&gt;67, E458&lt;78), "68-77",
E458&gt;77,"Above than 77")</f>
        <v>28-37</v>
      </c>
      <c r="E458">
        <v>28</v>
      </c>
      <c r="F458" s="1">
        <v>34482</v>
      </c>
      <c r="G458" s="1" t="str">
        <f>VLOOKUP(H458,Table7[#All], 2, FALSE)</f>
        <v>Massachusetts</v>
      </c>
      <c r="H458" s="2" t="s">
        <v>14</v>
      </c>
      <c r="I458" s="2" t="s">
        <v>22</v>
      </c>
      <c r="J458" s="2" t="s">
        <v>17</v>
      </c>
      <c r="K458" s="2" t="s">
        <v>94</v>
      </c>
      <c r="L458" s="2" t="s">
        <v>9</v>
      </c>
      <c r="M458" s="2" t="s">
        <v>10</v>
      </c>
      <c r="N458" s="2" t="s">
        <v>11</v>
      </c>
      <c r="O458" s="2" t="s">
        <v>12</v>
      </c>
      <c r="P458" s="2" t="s">
        <v>93</v>
      </c>
      <c r="Q458" s="2" t="s">
        <v>23</v>
      </c>
      <c r="R458" s="2" t="s">
        <v>18</v>
      </c>
      <c r="S458">
        <v>2</v>
      </c>
    </row>
    <row r="459" spans="1:19" x14ac:dyDescent="0.3">
      <c r="A459">
        <v>2260</v>
      </c>
      <c r="B459">
        <f>YEAR(Cleaned_HR_Data_Analysis__2[[#This Row],[Joining_Date]])</f>
        <v>2020</v>
      </c>
      <c r="C459" s="1">
        <v>43847</v>
      </c>
      <c r="D459" s="1" t="str" cm="1">
        <f t="array" ref="D459">_xlfn.IFS(E459&lt;28, "17-27",
AND(E459&gt;27, E459&lt;38), "28-37",
AND(E459&gt;37, E459 &lt;48), "38-47",
AND(E459&gt;47, E459 &lt;58), "48-57",
AND(E459&gt;57, E459&lt;68), "58-67",
AND(E459&gt;67, E459&lt;78), "68-77",
E459&gt;77,"Above than 77")</f>
        <v>28-37</v>
      </c>
      <c r="E459">
        <v>28</v>
      </c>
      <c r="F459" s="1">
        <v>33898</v>
      </c>
      <c r="G459" s="1" t="str">
        <f>VLOOKUP(H459,Table7[#All], 2, FALSE)</f>
        <v>Massachusetts</v>
      </c>
      <c r="H459" s="2" t="s">
        <v>14</v>
      </c>
      <c r="I459" s="2" t="s">
        <v>15</v>
      </c>
      <c r="J459" s="2" t="s">
        <v>17</v>
      </c>
      <c r="K459" s="2" t="s">
        <v>70</v>
      </c>
      <c r="L459" s="2" t="s">
        <v>9</v>
      </c>
      <c r="M459" s="2" t="s">
        <v>20</v>
      </c>
      <c r="N459" s="2" t="s">
        <v>26</v>
      </c>
      <c r="O459" s="2" t="s">
        <v>53</v>
      </c>
      <c r="P459" s="2" t="s">
        <v>42</v>
      </c>
      <c r="Q459" s="2" t="s">
        <v>23</v>
      </c>
      <c r="R459" s="2" t="s">
        <v>18</v>
      </c>
      <c r="S459">
        <v>1</v>
      </c>
    </row>
    <row r="460" spans="1:19" x14ac:dyDescent="0.3">
      <c r="A460">
        <v>2242</v>
      </c>
      <c r="B460">
        <f>YEAR(Cleaned_HR_Data_Analysis__2[[#This Row],[Joining_Date]])</f>
        <v>2022</v>
      </c>
      <c r="C460" s="1">
        <v>44691</v>
      </c>
      <c r="D460" s="1" t="str" cm="1">
        <f t="array" ref="D460">_xlfn.IFS(E460&lt;28, "17-27",
AND(E460&gt;27, E460&lt;38), "28-37",
AND(E460&gt;37, E460 &lt;48), "38-47",
AND(E460&gt;47, E460 &lt;58), "48-57",
AND(E460&gt;57, E460&lt;68), "58-67",
AND(E460&gt;67, E460&lt;78), "68-77",
E460&gt;77,"Above than 77")</f>
        <v>28-37</v>
      </c>
      <c r="E460">
        <v>28</v>
      </c>
      <c r="F460" s="1">
        <v>34422</v>
      </c>
      <c r="G460" s="1" t="str">
        <f>VLOOKUP(H460,Table7[#All], 2, FALSE)</f>
        <v>Massachusetts</v>
      </c>
      <c r="H460" s="2" t="s">
        <v>14</v>
      </c>
      <c r="I460" s="2" t="s">
        <v>15</v>
      </c>
      <c r="J460" s="2" t="s">
        <v>34</v>
      </c>
      <c r="K460" s="2" t="s">
        <v>70</v>
      </c>
      <c r="L460" s="2" t="s">
        <v>9</v>
      </c>
      <c r="M460" s="2" t="s">
        <v>25</v>
      </c>
      <c r="N460" s="2" t="s">
        <v>11</v>
      </c>
      <c r="O460" s="2" t="s">
        <v>53</v>
      </c>
      <c r="P460" s="2" t="s">
        <v>35</v>
      </c>
      <c r="Q460" s="2" t="s">
        <v>23</v>
      </c>
      <c r="R460" s="2" t="s">
        <v>18</v>
      </c>
      <c r="S460">
        <v>2</v>
      </c>
    </row>
    <row r="461" spans="1:19" x14ac:dyDescent="0.3">
      <c r="A461">
        <v>2570</v>
      </c>
      <c r="B461">
        <f>YEAR(Cleaned_HR_Data_Analysis__2[[#This Row],[Joining_Date]])</f>
        <v>2019</v>
      </c>
      <c r="C461" s="1">
        <v>43632</v>
      </c>
      <c r="D461" s="1" t="str" cm="1">
        <f t="array" ref="D461">_xlfn.IFS(E461&lt;28, "17-27",
AND(E461&gt;27, E461&lt;38), "28-37",
AND(E461&gt;37, E461 &lt;48), "38-47",
AND(E461&gt;47, E461 &lt;58), "48-57",
AND(E461&gt;57, E461&lt;68), "58-67",
AND(E461&gt;67, E461&lt;78), "68-77",
E461&gt;77,"Above than 77")</f>
        <v>28-37</v>
      </c>
      <c r="E461">
        <v>28</v>
      </c>
      <c r="F461" s="1">
        <v>33560</v>
      </c>
      <c r="G461" s="1" t="str">
        <f>VLOOKUP(H461,Table7[#All], 2, FALSE)</f>
        <v>Massachusetts</v>
      </c>
      <c r="H461" s="2" t="s">
        <v>14</v>
      </c>
      <c r="I461" s="2" t="s">
        <v>22</v>
      </c>
      <c r="J461" s="2" t="s">
        <v>31</v>
      </c>
      <c r="K461" s="2" t="s">
        <v>108</v>
      </c>
      <c r="L461" s="2" t="s">
        <v>9</v>
      </c>
      <c r="M461" s="2" t="s">
        <v>10</v>
      </c>
      <c r="N461" s="2" t="s">
        <v>19</v>
      </c>
      <c r="O461" s="2" t="s">
        <v>53</v>
      </c>
      <c r="P461" s="2" t="s">
        <v>35</v>
      </c>
      <c r="Q461" s="2" t="s">
        <v>37</v>
      </c>
      <c r="R461" s="2" t="s">
        <v>18</v>
      </c>
      <c r="S461">
        <v>3</v>
      </c>
    </row>
    <row r="462" spans="1:19" x14ac:dyDescent="0.3">
      <c r="A462">
        <v>2309</v>
      </c>
      <c r="B462">
        <f>YEAR(Cleaned_HR_Data_Analysis__2[[#This Row],[Joining_Date]])</f>
        <v>2019</v>
      </c>
      <c r="C462" s="1">
        <v>43621</v>
      </c>
      <c r="D462" s="1" t="str" cm="1">
        <f t="array" ref="D462">_xlfn.IFS(E462&lt;28, "17-27",
AND(E462&gt;27, E462&lt;38), "28-37",
AND(E462&gt;37, E462 &lt;48), "38-47",
AND(E462&gt;47, E462 &lt;58), "48-57",
AND(E462&gt;57, E462&lt;68), "58-67",
AND(E462&gt;67, E462&lt;78), "68-77",
E462&gt;77,"Above than 77")</f>
        <v>28-37</v>
      </c>
      <c r="E462">
        <v>28</v>
      </c>
      <c r="F462" s="1">
        <v>33335</v>
      </c>
      <c r="G462" s="1" t="str">
        <f>VLOOKUP(H462,Table7[#All], 2, FALSE)</f>
        <v>Massachusetts</v>
      </c>
      <c r="H462" s="2" t="s">
        <v>14</v>
      </c>
      <c r="I462" s="2" t="s">
        <v>22</v>
      </c>
      <c r="J462" s="2" t="s">
        <v>17</v>
      </c>
      <c r="K462" s="2" t="s">
        <v>78</v>
      </c>
      <c r="L462" s="2" t="s">
        <v>9</v>
      </c>
      <c r="M462" s="2" t="s">
        <v>20</v>
      </c>
      <c r="N462" s="2" t="s">
        <v>19</v>
      </c>
      <c r="O462" s="2" t="s">
        <v>12</v>
      </c>
      <c r="P462" s="2" t="s">
        <v>32</v>
      </c>
      <c r="Q462" s="2" t="s">
        <v>23</v>
      </c>
      <c r="R462" s="2" t="s">
        <v>18</v>
      </c>
      <c r="S462">
        <v>5</v>
      </c>
    </row>
    <row r="463" spans="1:19" x14ac:dyDescent="0.3">
      <c r="A463">
        <v>2572</v>
      </c>
      <c r="B463">
        <f>YEAR(Cleaned_HR_Data_Analysis__2[[#This Row],[Joining_Date]])</f>
        <v>2022</v>
      </c>
      <c r="C463" s="1">
        <v>44780</v>
      </c>
      <c r="D463" s="1" t="str" cm="1">
        <f t="array" ref="D463">_xlfn.IFS(E463&lt;28, "17-27",
AND(E463&gt;27, E463&lt;38), "28-37",
AND(E463&gt;37, E463 &lt;48), "38-47",
AND(E463&gt;47, E463 &lt;58), "48-57",
AND(E463&gt;57, E463&lt;68), "58-67",
AND(E463&gt;67, E463&lt;78), "68-77",
E463&gt;77,"Above than 77")</f>
        <v>28-37</v>
      </c>
      <c r="E463">
        <v>28</v>
      </c>
      <c r="F463" s="1">
        <v>34474</v>
      </c>
      <c r="G463" s="1" t="str">
        <f>VLOOKUP(H463,Table7[#All], 2, FALSE)</f>
        <v>Massachusetts</v>
      </c>
      <c r="H463" s="2" t="s">
        <v>14</v>
      </c>
      <c r="I463" s="2" t="s">
        <v>22</v>
      </c>
      <c r="J463" s="2" t="s">
        <v>17</v>
      </c>
      <c r="K463" s="2" t="s">
        <v>97</v>
      </c>
      <c r="L463" s="2" t="s">
        <v>9</v>
      </c>
      <c r="M463" s="2" t="s">
        <v>10</v>
      </c>
      <c r="N463" s="2" t="s">
        <v>19</v>
      </c>
      <c r="O463" s="2" t="s">
        <v>53</v>
      </c>
      <c r="P463" s="2" t="s">
        <v>42</v>
      </c>
      <c r="Q463" s="2" t="s">
        <v>46</v>
      </c>
      <c r="R463" s="2" t="s">
        <v>18</v>
      </c>
      <c r="S463">
        <v>1</v>
      </c>
    </row>
    <row r="464" spans="1:19" x14ac:dyDescent="0.3">
      <c r="A464">
        <v>2527</v>
      </c>
      <c r="B464">
        <f>YEAR(Cleaned_HR_Data_Analysis__2[[#This Row],[Joining_Date]])</f>
        <v>2019</v>
      </c>
      <c r="C464" s="1">
        <v>43668</v>
      </c>
      <c r="D464" s="1" t="str" cm="1">
        <f t="array" ref="D464">_xlfn.IFS(E464&lt;28, "17-27",
AND(E464&gt;27, E464&lt;38), "28-37",
AND(E464&gt;37, E464 &lt;48), "38-47",
AND(E464&gt;47, E464 &lt;58), "48-57",
AND(E464&gt;57, E464&lt;68), "58-67",
AND(E464&gt;67, E464&lt;78), "68-77",
E464&gt;77,"Above than 77")</f>
        <v>28-37</v>
      </c>
      <c r="E464">
        <v>28</v>
      </c>
      <c r="F464" s="1">
        <v>33403</v>
      </c>
      <c r="G464" s="1" t="str">
        <f>VLOOKUP(H464,Table7[#All], 2, FALSE)</f>
        <v>Massachusetts</v>
      </c>
      <c r="H464" s="2" t="s">
        <v>14</v>
      </c>
      <c r="I464" s="2" t="s">
        <v>22</v>
      </c>
      <c r="J464" s="2" t="s">
        <v>34</v>
      </c>
      <c r="K464" s="2" t="s">
        <v>97</v>
      </c>
      <c r="L464" s="2" t="s">
        <v>9</v>
      </c>
      <c r="M464" s="2" t="s">
        <v>25</v>
      </c>
      <c r="N464" s="2" t="s">
        <v>19</v>
      </c>
      <c r="O464" s="2" t="s">
        <v>53</v>
      </c>
      <c r="P464" s="2" t="s">
        <v>42</v>
      </c>
      <c r="Q464" s="2" t="s">
        <v>46</v>
      </c>
      <c r="R464" s="2" t="s">
        <v>18</v>
      </c>
      <c r="S464">
        <v>4</v>
      </c>
    </row>
    <row r="465" spans="1:19" x14ac:dyDescent="0.3">
      <c r="A465">
        <v>1719</v>
      </c>
      <c r="B465">
        <f>YEAR(Cleaned_HR_Data_Analysis__2[[#This Row],[Joining_Date]])</f>
        <v>2021</v>
      </c>
      <c r="C465" s="1">
        <v>44392</v>
      </c>
      <c r="D465" s="1" t="str" cm="1">
        <f t="array" ref="D465">_xlfn.IFS(E465&lt;28, "17-27",
AND(E465&gt;27, E465&lt;38), "28-37",
AND(E465&gt;37, E465 &lt;48), "38-47",
AND(E465&gt;47, E465 &lt;58), "48-57",
AND(E465&gt;57, E465&lt;68), "58-67",
AND(E465&gt;67, E465&lt;78), "68-77",
E465&gt;77,"Above than 77")</f>
        <v>28-37</v>
      </c>
      <c r="E465">
        <v>28</v>
      </c>
      <c r="F465" s="1">
        <v>34099</v>
      </c>
      <c r="G465" s="1" t="str">
        <f>VLOOKUP(H465,Table7[#All], 2, FALSE)</f>
        <v>Massachusetts</v>
      </c>
      <c r="H465" s="2" t="s">
        <v>14</v>
      </c>
      <c r="I465" s="2" t="s">
        <v>22</v>
      </c>
      <c r="J465" s="2" t="s">
        <v>17</v>
      </c>
      <c r="K465" s="2" t="s">
        <v>97</v>
      </c>
      <c r="L465" s="2" t="s">
        <v>9</v>
      </c>
      <c r="M465" s="2" t="s">
        <v>10</v>
      </c>
      <c r="N465" s="2" t="s">
        <v>26</v>
      </c>
      <c r="O465" s="2" t="s">
        <v>53</v>
      </c>
      <c r="P465" s="2" t="s">
        <v>35</v>
      </c>
      <c r="Q465" s="2" t="s">
        <v>23</v>
      </c>
      <c r="R465" s="2" t="s">
        <v>18</v>
      </c>
      <c r="S465">
        <v>3</v>
      </c>
    </row>
    <row r="466" spans="1:19" x14ac:dyDescent="0.3">
      <c r="A466">
        <v>2715</v>
      </c>
      <c r="B466">
        <f>YEAR(Cleaned_HR_Data_Analysis__2[[#This Row],[Joining_Date]])</f>
        <v>2023</v>
      </c>
      <c r="C466" s="1">
        <v>44958</v>
      </c>
      <c r="D466" s="1" t="str" cm="1">
        <f t="array" ref="D466">_xlfn.IFS(E466&lt;28, "17-27",
AND(E466&gt;27, E466&lt;38), "28-37",
AND(E466&gt;37, E466 &lt;48), "38-47",
AND(E466&gt;47, E466 &lt;58), "48-57",
AND(E466&gt;57, E466&lt;68), "58-67",
AND(E466&gt;67, E466&lt;78), "68-77",
E466&gt;77,"Above than 77")</f>
        <v>28-37</v>
      </c>
      <c r="E466">
        <v>28</v>
      </c>
      <c r="F466" s="1">
        <v>34929</v>
      </c>
      <c r="G466" s="1" t="str">
        <f>VLOOKUP(H466,Table7[#All], 2, FALSE)</f>
        <v>Washington</v>
      </c>
      <c r="H466" s="2" t="s">
        <v>113</v>
      </c>
      <c r="I466" s="2" t="s">
        <v>15</v>
      </c>
      <c r="J466" s="2" t="s">
        <v>40</v>
      </c>
      <c r="K466" s="2" t="s">
        <v>24</v>
      </c>
      <c r="L466" s="2" t="s">
        <v>9</v>
      </c>
      <c r="M466" s="2" t="s">
        <v>25</v>
      </c>
      <c r="N466" s="2" t="s">
        <v>26</v>
      </c>
      <c r="O466" s="2" t="s">
        <v>27</v>
      </c>
      <c r="P466" s="2" t="s">
        <v>35</v>
      </c>
      <c r="Q466" s="2" t="s">
        <v>46</v>
      </c>
      <c r="R466" s="2" t="s">
        <v>18</v>
      </c>
      <c r="S466">
        <v>5</v>
      </c>
    </row>
    <row r="467" spans="1:19" x14ac:dyDescent="0.3">
      <c r="A467">
        <v>3490</v>
      </c>
      <c r="B467">
        <f>YEAR(Cleaned_HR_Data_Analysis__2[[#This Row],[Joining_Date]])</f>
        <v>2019</v>
      </c>
      <c r="C467" s="1">
        <v>43507</v>
      </c>
      <c r="D467" s="1" t="str" cm="1">
        <f t="array" ref="D467">_xlfn.IFS(E467&lt;28, "17-27",
AND(E467&gt;27, E467&lt;38), "28-37",
AND(E467&gt;37, E467 &lt;48), "38-47",
AND(E467&gt;47, E467 &lt;58), "48-57",
AND(E467&gt;57, E467&lt;68), "58-67",
AND(E467&gt;67, E467&lt;78), "68-77",
E467&gt;77,"Above than 77")</f>
        <v>28-37</v>
      </c>
      <c r="E467">
        <v>28</v>
      </c>
      <c r="F467" s="1">
        <v>33429</v>
      </c>
      <c r="G467" s="1" t="str">
        <f>VLOOKUP(H467,Table7[#All], 2, FALSE)</f>
        <v>Texas</v>
      </c>
      <c r="H467" s="2" t="s">
        <v>45</v>
      </c>
      <c r="I467" s="2" t="s">
        <v>15</v>
      </c>
      <c r="J467" s="2" t="s">
        <v>40</v>
      </c>
      <c r="K467" s="2" t="s">
        <v>24</v>
      </c>
      <c r="L467" s="2" t="s">
        <v>9</v>
      </c>
      <c r="M467" s="2" t="s">
        <v>20</v>
      </c>
      <c r="N467" s="2" t="s">
        <v>19</v>
      </c>
      <c r="O467" s="2" t="s">
        <v>27</v>
      </c>
      <c r="P467" s="2" t="s">
        <v>28</v>
      </c>
      <c r="Q467" s="2" t="s">
        <v>23</v>
      </c>
      <c r="R467" s="2" t="s">
        <v>18</v>
      </c>
      <c r="S467">
        <v>3</v>
      </c>
    </row>
    <row r="468" spans="1:19" x14ac:dyDescent="0.3">
      <c r="A468">
        <v>2582</v>
      </c>
      <c r="B468">
        <f>YEAR(Cleaned_HR_Data_Analysis__2[[#This Row],[Joining_Date]])</f>
        <v>2020</v>
      </c>
      <c r="C468" s="1">
        <v>44040</v>
      </c>
      <c r="D468" s="1" t="str" cm="1">
        <f t="array" ref="D468">_xlfn.IFS(E468&lt;28, "17-27",
AND(E468&gt;27, E468&lt;38), "28-37",
AND(E468&gt;37, E468 &lt;48), "38-47",
AND(E468&gt;47, E468 &lt;58), "48-57",
AND(E468&gt;57, E468&lt;68), "58-67",
AND(E468&gt;67, E468&lt;78), "68-77",
E468&gt;77,"Above than 77")</f>
        <v>28-37</v>
      </c>
      <c r="E468">
        <v>28</v>
      </c>
      <c r="F468" s="1">
        <v>33847</v>
      </c>
      <c r="G468" s="1" t="str">
        <f>VLOOKUP(H468,Table7[#All], 2, FALSE)</f>
        <v>Ohio</v>
      </c>
      <c r="H468" s="2" t="s">
        <v>117</v>
      </c>
      <c r="I468" s="2" t="s">
        <v>15</v>
      </c>
      <c r="J468" s="2" t="s">
        <v>31</v>
      </c>
      <c r="K468" s="2" t="s">
        <v>24</v>
      </c>
      <c r="L468" s="2" t="s">
        <v>9</v>
      </c>
      <c r="M468" s="2" t="s">
        <v>20</v>
      </c>
      <c r="N468" s="2" t="s">
        <v>11</v>
      </c>
      <c r="O468" s="2" t="s">
        <v>27</v>
      </c>
      <c r="P468" s="2" t="s">
        <v>59</v>
      </c>
      <c r="Q468" s="2" t="s">
        <v>23</v>
      </c>
      <c r="R468" s="2" t="s">
        <v>18</v>
      </c>
      <c r="S468">
        <v>2</v>
      </c>
    </row>
    <row r="469" spans="1:19" x14ac:dyDescent="0.3">
      <c r="A469">
        <v>2720</v>
      </c>
      <c r="B469">
        <f>YEAR(Cleaned_HR_Data_Analysis__2[[#This Row],[Joining_Date]])</f>
        <v>2022</v>
      </c>
      <c r="C469" s="1">
        <v>44569</v>
      </c>
      <c r="D469" s="1" t="str" cm="1">
        <f t="array" ref="D469">_xlfn.IFS(E469&lt;28, "17-27",
AND(E469&gt;27, E469&lt;38), "28-37",
AND(E469&gt;37, E469 &lt;48), "38-47",
AND(E469&gt;47, E469 &lt;58), "48-57",
AND(E469&gt;57, E469&lt;68), "58-67",
AND(E469&gt;67, E469&lt;78), "68-77",
E469&gt;77,"Above than 77")</f>
        <v>28-37</v>
      </c>
      <c r="E469">
        <v>28</v>
      </c>
      <c r="F469" s="1">
        <v>34559</v>
      </c>
      <c r="G469" s="1" t="str">
        <f>VLOOKUP(H469,Table7[#All], 2, FALSE)</f>
        <v>North Carolina</v>
      </c>
      <c r="H469" s="2" t="s">
        <v>121</v>
      </c>
      <c r="I469" s="2" t="s">
        <v>15</v>
      </c>
      <c r="J469" s="2" t="s">
        <v>17</v>
      </c>
      <c r="K469" s="2" t="s">
        <v>24</v>
      </c>
      <c r="L469" s="2" t="s">
        <v>9</v>
      </c>
      <c r="M469" s="2" t="s">
        <v>10</v>
      </c>
      <c r="N469" s="2" t="s">
        <v>19</v>
      </c>
      <c r="O469" s="2" t="s">
        <v>27</v>
      </c>
      <c r="P469" s="2" t="s">
        <v>35</v>
      </c>
      <c r="Q469" s="2" t="s">
        <v>46</v>
      </c>
      <c r="R469" s="2" t="s">
        <v>18</v>
      </c>
      <c r="S469">
        <v>3</v>
      </c>
    </row>
    <row r="470" spans="1:19" x14ac:dyDescent="0.3">
      <c r="A470">
        <v>2710</v>
      </c>
      <c r="B470">
        <f>YEAR(Cleaned_HR_Data_Analysis__2[[#This Row],[Joining_Date]])</f>
        <v>2022</v>
      </c>
      <c r="C470" s="1">
        <v>44620</v>
      </c>
      <c r="D470" s="1" t="str" cm="1">
        <f t="array" ref="D470">_xlfn.IFS(E470&lt;28, "17-27",
AND(E470&gt;27, E470&lt;38), "28-37",
AND(E470&gt;37, E470 &lt;48), "38-47",
AND(E470&gt;47, E470 &lt;58), "48-57",
AND(E470&gt;57, E470&lt;68), "58-67",
AND(E470&gt;67, E470&lt;78), "68-77",
E470&gt;77,"Above than 77")</f>
        <v>28-37</v>
      </c>
      <c r="E470">
        <v>28</v>
      </c>
      <c r="F470" s="1">
        <v>34438</v>
      </c>
      <c r="G470" s="1" t="str">
        <f>VLOOKUP(H470,Table7[#All], 2, FALSE)</f>
        <v>Idaho</v>
      </c>
      <c r="H470" s="2" t="s">
        <v>111</v>
      </c>
      <c r="I470" s="2" t="s">
        <v>22</v>
      </c>
      <c r="J470" s="2" t="s">
        <v>31</v>
      </c>
      <c r="K470" s="2" t="s">
        <v>24</v>
      </c>
      <c r="L470" s="2" t="s">
        <v>9</v>
      </c>
      <c r="M470" s="2" t="s">
        <v>20</v>
      </c>
      <c r="N470" s="2" t="s">
        <v>11</v>
      </c>
      <c r="O470" s="2" t="s">
        <v>27</v>
      </c>
      <c r="P470" s="2" t="s">
        <v>35</v>
      </c>
      <c r="Q470" s="2" t="s">
        <v>37</v>
      </c>
      <c r="R470" s="2" t="s">
        <v>18</v>
      </c>
      <c r="S470">
        <v>2</v>
      </c>
    </row>
    <row r="471" spans="1:19" x14ac:dyDescent="0.3">
      <c r="A471">
        <v>2648</v>
      </c>
      <c r="B471">
        <f>YEAR(Cleaned_HR_Data_Analysis__2[[#This Row],[Joining_Date]])</f>
        <v>2022</v>
      </c>
      <c r="C471" s="1">
        <v>44835</v>
      </c>
      <c r="D471" s="1" t="str" cm="1">
        <f t="array" ref="D471">_xlfn.IFS(E471&lt;28, "17-27",
AND(E471&gt;27, E471&lt;38), "28-37",
AND(E471&gt;37, E471 &lt;48), "38-47",
AND(E471&gt;47, E471 &lt;58), "48-57",
AND(E471&gt;57, E471&lt;68), "58-67",
AND(E471&gt;67, E471&lt;78), "68-77",
E471&gt;77,"Above than 77")</f>
        <v>28-37</v>
      </c>
      <c r="E471">
        <v>28</v>
      </c>
      <c r="F471" s="1">
        <v>34520</v>
      </c>
      <c r="G471" s="1" t="str">
        <f>VLOOKUP(H471,Table7[#All], 2, FALSE)</f>
        <v>Idaho</v>
      </c>
      <c r="H471" s="2" t="s">
        <v>111</v>
      </c>
      <c r="I471" s="2" t="s">
        <v>22</v>
      </c>
      <c r="J471" s="2" t="s">
        <v>34</v>
      </c>
      <c r="K471" s="2" t="s">
        <v>24</v>
      </c>
      <c r="L471" s="2" t="s">
        <v>9</v>
      </c>
      <c r="M471" s="2" t="s">
        <v>20</v>
      </c>
      <c r="N471" s="2" t="s">
        <v>19</v>
      </c>
      <c r="O471" s="2" t="s">
        <v>27</v>
      </c>
      <c r="P471" s="2" t="s">
        <v>55</v>
      </c>
      <c r="Q471" s="2" t="s">
        <v>30</v>
      </c>
      <c r="R471" s="2" t="s">
        <v>18</v>
      </c>
      <c r="S471">
        <v>2</v>
      </c>
    </row>
    <row r="472" spans="1:19" x14ac:dyDescent="0.3">
      <c r="A472">
        <v>2630</v>
      </c>
      <c r="B472">
        <f>YEAR(Cleaned_HR_Data_Analysis__2[[#This Row],[Joining_Date]])</f>
        <v>2022</v>
      </c>
      <c r="C472" s="1">
        <v>44722</v>
      </c>
      <c r="D472" s="1" t="str" cm="1">
        <f t="array" ref="D472">_xlfn.IFS(E472&lt;28, "17-27",
AND(E472&gt;27, E472&lt;38), "28-37",
AND(E472&gt;37, E472 &lt;48), "38-47",
AND(E472&gt;47, E472 &lt;58), "48-57",
AND(E472&gt;57, E472&lt;68), "58-67",
AND(E472&gt;67, E472&lt;78), "68-77",
E472&gt;77,"Above than 77")</f>
        <v>28-37</v>
      </c>
      <c r="E472">
        <v>28</v>
      </c>
      <c r="F472" s="1">
        <v>34642</v>
      </c>
      <c r="G472" s="1" t="str">
        <f>VLOOKUP(H472,Table7[#All], 2, FALSE)</f>
        <v>Idaho</v>
      </c>
      <c r="H472" s="2" t="s">
        <v>111</v>
      </c>
      <c r="I472" s="2" t="s">
        <v>22</v>
      </c>
      <c r="J472" s="2" t="s">
        <v>17</v>
      </c>
      <c r="K472" s="2" t="s">
        <v>24</v>
      </c>
      <c r="L472" s="2" t="s">
        <v>9</v>
      </c>
      <c r="M472" s="2" t="s">
        <v>20</v>
      </c>
      <c r="N472" s="2" t="s">
        <v>26</v>
      </c>
      <c r="O472" s="2" t="s">
        <v>27</v>
      </c>
      <c r="P472" s="2" t="s">
        <v>35</v>
      </c>
      <c r="Q472" s="2" t="s">
        <v>46</v>
      </c>
      <c r="R472" s="2" t="s">
        <v>18</v>
      </c>
      <c r="S472">
        <v>5</v>
      </c>
    </row>
    <row r="473" spans="1:19" x14ac:dyDescent="0.3">
      <c r="A473">
        <v>2651</v>
      </c>
      <c r="B473">
        <f>YEAR(Cleaned_HR_Data_Analysis__2[[#This Row],[Joining_Date]])</f>
        <v>2020</v>
      </c>
      <c r="C473" s="1">
        <v>44159</v>
      </c>
      <c r="D473" s="1" t="str" cm="1">
        <f t="array" ref="D473">_xlfn.IFS(E473&lt;28, "17-27",
AND(E473&gt;27, E473&lt;38), "28-37",
AND(E473&gt;37, E473 &lt;48), "38-47",
AND(E473&gt;47, E473 &lt;58), "48-57",
AND(E473&gt;57, E473&lt;68), "58-67",
AND(E473&gt;67, E473&lt;78), "68-77",
E473&gt;77,"Above than 77")</f>
        <v>28-37</v>
      </c>
      <c r="E473">
        <v>28</v>
      </c>
      <c r="F473" s="1">
        <v>33665</v>
      </c>
      <c r="G473" s="1" t="str">
        <f>VLOOKUP(H473,Table7[#All], 2, FALSE)</f>
        <v>Washington</v>
      </c>
      <c r="H473" s="2" t="s">
        <v>113</v>
      </c>
      <c r="I473" s="2" t="s">
        <v>15</v>
      </c>
      <c r="J473" s="2" t="s">
        <v>40</v>
      </c>
      <c r="K473" s="2" t="s">
        <v>95</v>
      </c>
      <c r="L473" s="2" t="s">
        <v>9</v>
      </c>
      <c r="M473" s="2" t="s">
        <v>10</v>
      </c>
      <c r="N473" s="2" t="s">
        <v>11</v>
      </c>
      <c r="O473" s="2" t="s">
        <v>27</v>
      </c>
      <c r="P473" s="2" t="s">
        <v>54</v>
      </c>
      <c r="Q473" s="2" t="s">
        <v>23</v>
      </c>
      <c r="R473" s="2" t="s">
        <v>18</v>
      </c>
      <c r="S473">
        <v>3</v>
      </c>
    </row>
    <row r="474" spans="1:19" x14ac:dyDescent="0.3">
      <c r="A474">
        <v>3828</v>
      </c>
      <c r="B474">
        <f>YEAR(Cleaned_HR_Data_Analysis__2[[#This Row],[Joining_Date]])</f>
        <v>2019</v>
      </c>
      <c r="C474" s="1">
        <v>43720</v>
      </c>
      <c r="D474" s="1" t="str" cm="1">
        <f t="array" ref="D474">_xlfn.IFS(E474&lt;28, "17-27",
AND(E474&gt;27, E474&lt;38), "28-37",
AND(E474&gt;37, E474 &lt;48), "38-47",
AND(E474&gt;47, E474 &lt;58), "48-57",
AND(E474&gt;57, E474&lt;68), "58-67",
AND(E474&gt;67, E474&lt;78), "68-77",
E474&gt;77,"Above than 77")</f>
        <v>28-37</v>
      </c>
      <c r="E474">
        <v>29</v>
      </c>
      <c r="F474" s="1">
        <v>33174</v>
      </c>
      <c r="G474" s="1" t="str">
        <f>VLOOKUP(H474,Table7[#All], 2, FALSE)</f>
        <v>Massachusetts</v>
      </c>
      <c r="H474" s="2" t="s">
        <v>14</v>
      </c>
      <c r="I474" s="2" t="s">
        <v>22</v>
      </c>
      <c r="J474" s="2" t="s">
        <v>40</v>
      </c>
      <c r="K474" s="2" t="s">
        <v>72</v>
      </c>
      <c r="L474" s="2" t="s">
        <v>9</v>
      </c>
      <c r="M474" s="2" t="s">
        <v>20</v>
      </c>
      <c r="N474" s="2" t="s">
        <v>19</v>
      </c>
      <c r="O474" s="2" t="s">
        <v>53</v>
      </c>
      <c r="P474" s="2" t="s">
        <v>21</v>
      </c>
      <c r="Q474" s="2" t="s">
        <v>37</v>
      </c>
      <c r="R474" s="2" t="s">
        <v>18</v>
      </c>
      <c r="S474">
        <v>5</v>
      </c>
    </row>
    <row r="475" spans="1:19" x14ac:dyDescent="0.3">
      <c r="A475">
        <v>1088</v>
      </c>
      <c r="B475">
        <f>YEAR(Cleaned_HR_Data_Analysis__2[[#This Row],[Joining_Date]])</f>
        <v>2020</v>
      </c>
      <c r="C475" s="1">
        <v>44058</v>
      </c>
      <c r="D475" s="1" t="str" cm="1">
        <f t="array" ref="D475">_xlfn.IFS(E475&lt;28, "17-27",
AND(E475&gt;27, E475&lt;38), "28-37",
AND(E475&gt;37, E475 &lt;48), "38-47",
AND(E475&gt;47, E475 &lt;58), "48-57",
AND(E475&gt;57, E475&lt;68), "58-67",
AND(E475&gt;67, E475&lt;78), "68-77",
E475&gt;77,"Above than 77")</f>
        <v>28-37</v>
      </c>
      <c r="E475">
        <v>29</v>
      </c>
      <c r="F475" s="1">
        <v>33336</v>
      </c>
      <c r="G475" s="1" t="str">
        <f>VLOOKUP(H475,Table7[#All], 2, FALSE)</f>
        <v>Massachusetts</v>
      </c>
      <c r="H475" s="2" t="s">
        <v>14</v>
      </c>
      <c r="I475" s="2" t="s">
        <v>15</v>
      </c>
      <c r="J475" s="2" t="s">
        <v>17</v>
      </c>
      <c r="K475" s="2" t="s">
        <v>86</v>
      </c>
      <c r="L475" s="2" t="s">
        <v>9</v>
      </c>
      <c r="M475" s="2" t="s">
        <v>10</v>
      </c>
      <c r="N475" s="2" t="s">
        <v>26</v>
      </c>
      <c r="O475" s="2" t="s">
        <v>87</v>
      </c>
      <c r="P475" s="2" t="s">
        <v>32</v>
      </c>
      <c r="Q475" s="2" t="s">
        <v>16</v>
      </c>
      <c r="R475" s="2" t="s">
        <v>18</v>
      </c>
      <c r="S475">
        <v>3</v>
      </c>
    </row>
    <row r="476" spans="1:19" x14ac:dyDescent="0.3">
      <c r="A476">
        <v>1010</v>
      </c>
      <c r="B476">
        <f>YEAR(Cleaned_HR_Data_Analysis__2[[#This Row],[Joining_Date]])</f>
        <v>2021</v>
      </c>
      <c r="C476" s="1">
        <v>44208</v>
      </c>
      <c r="D476" s="1" t="str" cm="1">
        <f t="array" ref="D476">_xlfn.IFS(E476&lt;28, "17-27",
AND(E476&gt;27, E476&lt;38), "28-37",
AND(E476&gt;37, E476 &lt;48), "38-47",
AND(E476&gt;47, E476 &lt;58), "48-57",
AND(E476&gt;57, E476&lt;68), "58-67",
AND(E476&gt;67, E476&lt;78), "68-77",
E476&gt;77,"Above than 77")</f>
        <v>28-37</v>
      </c>
      <c r="E476">
        <v>29</v>
      </c>
      <c r="F476" s="1">
        <v>33898</v>
      </c>
      <c r="G476" s="1" t="str">
        <f>VLOOKUP(H476,Table7[#All], 2, FALSE)</f>
        <v>Massachusetts</v>
      </c>
      <c r="H476" s="2" t="s">
        <v>14</v>
      </c>
      <c r="I476" s="2" t="s">
        <v>22</v>
      </c>
      <c r="J476" s="2" t="s">
        <v>40</v>
      </c>
      <c r="K476" s="2" t="s">
        <v>86</v>
      </c>
      <c r="L476" s="2" t="s">
        <v>66</v>
      </c>
      <c r="M476" s="2" t="s">
        <v>20</v>
      </c>
      <c r="N476" s="2" t="s">
        <v>11</v>
      </c>
      <c r="O476" s="2" t="s">
        <v>87</v>
      </c>
      <c r="P476" s="2" t="s">
        <v>35</v>
      </c>
      <c r="Q476" s="2" t="s">
        <v>23</v>
      </c>
      <c r="R476" s="2" t="s">
        <v>18</v>
      </c>
      <c r="S476">
        <v>4</v>
      </c>
    </row>
    <row r="477" spans="1:19" x14ac:dyDescent="0.3">
      <c r="A477">
        <v>1061</v>
      </c>
      <c r="B477">
        <f>YEAR(Cleaned_HR_Data_Analysis__2[[#This Row],[Joining_Date]])</f>
        <v>2022</v>
      </c>
      <c r="C477" s="1">
        <v>44885</v>
      </c>
      <c r="D477" s="1" t="str" cm="1">
        <f t="array" ref="D477">_xlfn.IFS(E477&lt;28, "17-27",
AND(E477&gt;27, E477&lt;38), "28-37",
AND(E477&gt;37, E477 &lt;48), "38-47",
AND(E477&gt;47, E477 &lt;58), "48-57",
AND(E477&gt;57, E477&lt;68), "58-67",
AND(E477&gt;67, E477&lt;78), "68-77",
E477&gt;77,"Above than 77")</f>
        <v>28-37</v>
      </c>
      <c r="E477">
        <v>29</v>
      </c>
      <c r="F477" s="1">
        <v>34110</v>
      </c>
      <c r="G477" s="1" t="str">
        <f>VLOOKUP(H477,Table7[#All], 2, FALSE)</f>
        <v>Massachusetts</v>
      </c>
      <c r="H477" s="2" t="s">
        <v>14</v>
      </c>
      <c r="I477" s="2" t="s">
        <v>15</v>
      </c>
      <c r="J477" s="2" t="s">
        <v>31</v>
      </c>
      <c r="K477" s="2" t="s">
        <v>88</v>
      </c>
      <c r="L477" s="2" t="s">
        <v>9</v>
      </c>
      <c r="M477" s="2" t="s">
        <v>20</v>
      </c>
      <c r="N477" s="2" t="s">
        <v>11</v>
      </c>
      <c r="O477" s="2" t="s">
        <v>87</v>
      </c>
      <c r="P477" s="2" t="s">
        <v>28</v>
      </c>
      <c r="Q477" s="2" t="s">
        <v>30</v>
      </c>
      <c r="R477" s="2" t="s">
        <v>18</v>
      </c>
      <c r="S477">
        <v>3</v>
      </c>
    </row>
    <row r="478" spans="1:19" x14ac:dyDescent="0.3">
      <c r="A478">
        <v>3716</v>
      </c>
      <c r="B478">
        <f>YEAR(Cleaned_HR_Data_Analysis__2[[#This Row],[Joining_Date]])</f>
        <v>2022</v>
      </c>
      <c r="C478" s="1">
        <v>44773</v>
      </c>
      <c r="D478" s="1" t="str" cm="1">
        <f t="array" ref="D478">_xlfn.IFS(E478&lt;28, "17-27",
AND(E478&gt;27, E478&lt;38), "28-37",
AND(E478&gt;37, E478 &lt;48), "38-47",
AND(E478&gt;47, E478 &lt;58), "48-57",
AND(E478&gt;57, E478&lt;68), "58-67",
AND(E478&gt;67, E478&lt;78), "68-77",
E478&gt;77,"Above than 77")</f>
        <v>28-37</v>
      </c>
      <c r="E478">
        <v>29</v>
      </c>
      <c r="F478" s="1">
        <v>34147</v>
      </c>
      <c r="G478" s="1" t="str">
        <f>VLOOKUP(H478,Table7[#All], 2, FALSE)</f>
        <v>Massachusetts</v>
      </c>
      <c r="H478" s="2" t="s">
        <v>14</v>
      </c>
      <c r="I478" s="2" t="s">
        <v>15</v>
      </c>
      <c r="J478" s="2" t="s">
        <v>34</v>
      </c>
      <c r="K478" s="2" t="s">
        <v>64</v>
      </c>
      <c r="L478" s="2" t="s">
        <v>66</v>
      </c>
      <c r="M478" s="2" t="s">
        <v>25</v>
      </c>
      <c r="N478" s="2" t="s">
        <v>19</v>
      </c>
      <c r="O478" s="2" t="s">
        <v>12</v>
      </c>
      <c r="P478" s="2" t="s">
        <v>32</v>
      </c>
      <c r="Q478" s="2" t="s">
        <v>37</v>
      </c>
      <c r="R478" s="2" t="s">
        <v>18</v>
      </c>
      <c r="S478">
        <v>3</v>
      </c>
    </row>
    <row r="479" spans="1:19" x14ac:dyDescent="0.3">
      <c r="A479">
        <v>3695</v>
      </c>
      <c r="B479">
        <f>YEAR(Cleaned_HR_Data_Analysis__2[[#This Row],[Joining_Date]])</f>
        <v>2018</v>
      </c>
      <c r="C479" s="1">
        <v>43363</v>
      </c>
      <c r="D479" s="1" t="str" cm="1">
        <f t="array" ref="D479">_xlfn.IFS(E479&lt;28, "17-27",
AND(E479&gt;27, E479&lt;38), "28-37",
AND(E479&gt;37, E479 &lt;48), "38-47",
AND(E479&gt;47, E479 &lt;58), "48-57",
AND(E479&gt;57, E479&lt;68), "58-67",
AND(E479&gt;67, E479&lt;78), "68-77",
E479&gt;77,"Above than 77")</f>
        <v>28-37</v>
      </c>
      <c r="E479">
        <v>29</v>
      </c>
      <c r="F479" s="1">
        <v>32840</v>
      </c>
      <c r="G479" s="1" t="str">
        <f>VLOOKUP(H479,Table7[#All], 2, FALSE)</f>
        <v>Massachusetts</v>
      </c>
      <c r="H479" s="2" t="s">
        <v>14</v>
      </c>
      <c r="I479" s="2" t="s">
        <v>15</v>
      </c>
      <c r="J479" s="2" t="s">
        <v>40</v>
      </c>
      <c r="K479" s="2" t="s">
        <v>64</v>
      </c>
      <c r="L479" s="2" t="s">
        <v>66</v>
      </c>
      <c r="M479" s="2" t="s">
        <v>10</v>
      </c>
      <c r="N479" s="2" t="s">
        <v>11</v>
      </c>
      <c r="O479" s="2" t="s">
        <v>12</v>
      </c>
      <c r="P479" s="2" t="s">
        <v>60</v>
      </c>
      <c r="Q479" s="2" t="s">
        <v>23</v>
      </c>
      <c r="R479" s="2" t="s">
        <v>65</v>
      </c>
      <c r="S479">
        <v>1</v>
      </c>
    </row>
    <row r="480" spans="1:19" x14ac:dyDescent="0.3">
      <c r="A480">
        <v>3576</v>
      </c>
      <c r="B480">
        <f>YEAR(Cleaned_HR_Data_Analysis__2[[#This Row],[Joining_Date]])</f>
        <v>2021</v>
      </c>
      <c r="C480" s="1">
        <v>44398</v>
      </c>
      <c r="D480" s="1" t="str" cm="1">
        <f t="array" ref="D480">_xlfn.IFS(E480&lt;28, "17-27",
AND(E480&gt;27, E480&lt;38), "28-37",
AND(E480&gt;37, E480 &lt;48), "38-47",
AND(E480&gt;47, E480 &lt;58), "48-57",
AND(E480&gt;57, E480&lt;68), "58-67",
AND(E480&gt;67, E480&lt;78), "68-77",
E480&gt;77,"Above than 77")</f>
        <v>28-37</v>
      </c>
      <c r="E480">
        <v>29</v>
      </c>
      <c r="F480" s="1">
        <v>33720</v>
      </c>
      <c r="G480" s="1" t="str">
        <f>VLOOKUP(H480,Table7[#All], 2, FALSE)</f>
        <v>Massachusetts</v>
      </c>
      <c r="H480" s="2" t="s">
        <v>14</v>
      </c>
      <c r="I480" s="2" t="s">
        <v>15</v>
      </c>
      <c r="J480" s="2" t="s">
        <v>31</v>
      </c>
      <c r="K480" s="2" t="s">
        <v>64</v>
      </c>
      <c r="L480" s="2" t="s">
        <v>9</v>
      </c>
      <c r="M480" s="2" t="s">
        <v>25</v>
      </c>
      <c r="N480" s="2" t="s">
        <v>26</v>
      </c>
      <c r="O480" s="2" t="s">
        <v>12</v>
      </c>
      <c r="P480" s="2" t="s">
        <v>42</v>
      </c>
      <c r="Q480" s="2" t="s">
        <v>46</v>
      </c>
      <c r="R480" s="2" t="s">
        <v>41</v>
      </c>
      <c r="S480">
        <v>3</v>
      </c>
    </row>
    <row r="481" spans="1:19" x14ac:dyDescent="0.3">
      <c r="A481">
        <v>3391</v>
      </c>
      <c r="B481">
        <f>YEAR(Cleaned_HR_Data_Analysis__2[[#This Row],[Joining_Date]])</f>
        <v>2020</v>
      </c>
      <c r="C481" s="1">
        <v>43843</v>
      </c>
      <c r="D481" s="1" t="str" cm="1">
        <f t="array" ref="D481">_xlfn.IFS(E481&lt;28, "17-27",
AND(E481&gt;27, E481&lt;38), "28-37",
AND(E481&gt;37, E481 &lt;48), "38-47",
AND(E481&gt;47, E481 &lt;58), "48-57",
AND(E481&gt;57, E481&lt;68), "58-67",
AND(E481&gt;67, E481&lt;78), "68-77",
E481&gt;77,"Above than 77")</f>
        <v>28-37</v>
      </c>
      <c r="E481">
        <v>29</v>
      </c>
      <c r="F481" s="1">
        <v>33546</v>
      </c>
      <c r="G481" s="1" t="str">
        <f>VLOOKUP(H481,Table7[#All], 2, FALSE)</f>
        <v>Massachusetts</v>
      </c>
      <c r="H481" s="2" t="s">
        <v>14</v>
      </c>
      <c r="I481" s="2" t="s">
        <v>15</v>
      </c>
      <c r="J481" s="2" t="s">
        <v>40</v>
      </c>
      <c r="K481" s="2" t="s">
        <v>64</v>
      </c>
      <c r="L481" s="2" t="s">
        <v>9</v>
      </c>
      <c r="M481" s="2" t="s">
        <v>20</v>
      </c>
      <c r="N481" s="2" t="s">
        <v>11</v>
      </c>
      <c r="O481" s="2" t="s">
        <v>12</v>
      </c>
      <c r="P481" s="2" t="s">
        <v>28</v>
      </c>
      <c r="Q481" s="2" t="s">
        <v>37</v>
      </c>
      <c r="R481" s="2" t="s">
        <v>18</v>
      </c>
      <c r="S481">
        <v>3</v>
      </c>
    </row>
    <row r="482" spans="1:19" x14ac:dyDescent="0.3">
      <c r="A482">
        <v>3388</v>
      </c>
      <c r="B482">
        <f>YEAR(Cleaned_HR_Data_Analysis__2[[#This Row],[Joining_Date]])</f>
        <v>2019</v>
      </c>
      <c r="C482" s="1">
        <v>43574</v>
      </c>
      <c r="D482" s="1" t="str" cm="1">
        <f t="array" ref="D482">_xlfn.IFS(E482&lt;28, "17-27",
AND(E482&gt;27, E482&lt;38), "28-37",
AND(E482&gt;37, E482 &lt;48), "38-47",
AND(E482&gt;47, E482 &lt;58), "48-57",
AND(E482&gt;57, E482&lt;68), "58-67",
AND(E482&gt;67, E482&lt;78), "68-77",
E482&gt;77,"Above than 77")</f>
        <v>28-37</v>
      </c>
      <c r="E482">
        <v>29</v>
      </c>
      <c r="F482" s="1">
        <v>33133</v>
      </c>
      <c r="G482" s="1" t="str">
        <f>VLOOKUP(H482,Table7[#All], 2, FALSE)</f>
        <v>Massachusetts</v>
      </c>
      <c r="H482" s="2" t="s">
        <v>14</v>
      </c>
      <c r="I482" s="2" t="s">
        <v>22</v>
      </c>
      <c r="J482" s="2" t="s">
        <v>40</v>
      </c>
      <c r="K482" s="2" t="s">
        <v>64</v>
      </c>
      <c r="L482" s="2" t="s">
        <v>9</v>
      </c>
      <c r="M482" s="2" t="s">
        <v>20</v>
      </c>
      <c r="N482" s="2" t="s">
        <v>19</v>
      </c>
      <c r="O482" s="2" t="s">
        <v>12</v>
      </c>
      <c r="P482" s="2" t="s">
        <v>55</v>
      </c>
      <c r="Q482" s="2" t="s">
        <v>37</v>
      </c>
      <c r="R482" s="2" t="s">
        <v>18</v>
      </c>
      <c r="S482">
        <v>1</v>
      </c>
    </row>
    <row r="483" spans="1:19" x14ac:dyDescent="0.3">
      <c r="A483">
        <v>3260</v>
      </c>
      <c r="B483">
        <f>YEAR(Cleaned_HR_Data_Analysis__2[[#This Row],[Joining_Date]])</f>
        <v>2021</v>
      </c>
      <c r="C483" s="1">
        <v>44475</v>
      </c>
      <c r="D483" s="1" t="str" cm="1">
        <f t="array" ref="D483">_xlfn.IFS(E483&lt;28, "17-27",
AND(E483&gt;27, E483&lt;38), "28-37",
AND(E483&gt;37, E483 &lt;48), "38-47",
AND(E483&gt;47, E483 &lt;58), "48-57",
AND(E483&gt;57, E483&lt;68), "58-67",
AND(E483&gt;67, E483&lt;78), "68-77",
E483&gt;77,"Above than 77")</f>
        <v>28-37</v>
      </c>
      <c r="E483">
        <v>29</v>
      </c>
      <c r="F483" s="1">
        <v>33772</v>
      </c>
      <c r="G483" s="1" t="str">
        <f>VLOOKUP(H483,Table7[#All], 2, FALSE)</f>
        <v>Massachusetts</v>
      </c>
      <c r="H483" s="2" t="s">
        <v>14</v>
      </c>
      <c r="I483" s="2" t="s">
        <v>22</v>
      </c>
      <c r="J483" s="2" t="s">
        <v>31</v>
      </c>
      <c r="K483" s="2" t="s">
        <v>64</v>
      </c>
      <c r="L483" s="2" t="s">
        <v>9</v>
      </c>
      <c r="M483" s="2" t="s">
        <v>10</v>
      </c>
      <c r="N483" s="2" t="s">
        <v>26</v>
      </c>
      <c r="O483" s="2" t="s">
        <v>12</v>
      </c>
      <c r="P483" s="2" t="s">
        <v>32</v>
      </c>
      <c r="Q483" s="2" t="s">
        <v>23</v>
      </c>
      <c r="R483" s="2" t="s">
        <v>18</v>
      </c>
      <c r="S483">
        <v>2</v>
      </c>
    </row>
    <row r="484" spans="1:19" x14ac:dyDescent="0.3">
      <c r="A484">
        <v>3002</v>
      </c>
      <c r="B484">
        <f>YEAR(Cleaned_HR_Data_Analysis__2[[#This Row],[Joining_Date]])</f>
        <v>2020</v>
      </c>
      <c r="C484" s="1">
        <v>44131</v>
      </c>
      <c r="D484" s="1" t="str" cm="1">
        <f t="array" ref="D484">_xlfn.IFS(E484&lt;28, "17-27",
AND(E484&gt;27, E484&lt;38), "28-37",
AND(E484&gt;37, E484 &lt;48), "38-47",
AND(E484&gt;47, E484 &lt;58), "48-57",
AND(E484&gt;57, E484&lt;68), "58-67",
AND(E484&gt;67, E484&lt;78), "68-77",
E484&gt;77,"Above than 77")</f>
        <v>28-37</v>
      </c>
      <c r="E484">
        <v>29</v>
      </c>
      <c r="F484" s="1">
        <v>33374</v>
      </c>
      <c r="G484" s="1" t="str">
        <f>VLOOKUP(H484,Table7[#All], 2, FALSE)</f>
        <v>Massachusetts</v>
      </c>
      <c r="H484" s="2" t="s">
        <v>14</v>
      </c>
      <c r="I484" s="2" t="s">
        <v>15</v>
      </c>
      <c r="J484" s="2" t="s">
        <v>17</v>
      </c>
      <c r="K484" s="2" t="s">
        <v>64</v>
      </c>
      <c r="L484" s="2" t="s">
        <v>9</v>
      </c>
      <c r="M484" s="2" t="s">
        <v>25</v>
      </c>
      <c r="N484" s="2" t="s">
        <v>19</v>
      </c>
      <c r="O484" s="2" t="s">
        <v>12</v>
      </c>
      <c r="P484" s="2" t="s">
        <v>32</v>
      </c>
      <c r="Q484" s="2" t="s">
        <v>16</v>
      </c>
      <c r="R484" s="2" t="s">
        <v>18</v>
      </c>
      <c r="S484">
        <v>3</v>
      </c>
    </row>
    <row r="485" spans="1:19" x14ac:dyDescent="0.3">
      <c r="A485">
        <v>1997</v>
      </c>
      <c r="B485">
        <f>YEAR(Cleaned_HR_Data_Analysis__2[[#This Row],[Joining_Date]])</f>
        <v>2019</v>
      </c>
      <c r="C485" s="1">
        <v>43524</v>
      </c>
      <c r="D485" s="1" t="str" cm="1">
        <f t="array" ref="D485">_xlfn.IFS(E485&lt;28, "17-27",
AND(E485&gt;27, E485&lt;38), "28-37",
AND(E485&gt;37, E485 &lt;48), "38-47",
AND(E485&gt;47, E485 &lt;58), "48-57",
AND(E485&gt;57, E485&lt;68), "58-67",
AND(E485&gt;67, E485&lt;78), "68-77",
E485&gt;77,"Above than 77")</f>
        <v>28-37</v>
      </c>
      <c r="E485">
        <v>29</v>
      </c>
      <c r="F485" s="1">
        <v>33033</v>
      </c>
      <c r="G485" s="1" t="str">
        <f>VLOOKUP(H485,Table7[#All], 2, FALSE)</f>
        <v>Massachusetts</v>
      </c>
      <c r="H485" s="2" t="s">
        <v>14</v>
      </c>
      <c r="I485" s="2" t="s">
        <v>15</v>
      </c>
      <c r="J485" s="2" t="s">
        <v>40</v>
      </c>
      <c r="K485" s="2" t="s">
        <v>64</v>
      </c>
      <c r="L485" s="2" t="s">
        <v>9</v>
      </c>
      <c r="M485" s="2" t="s">
        <v>20</v>
      </c>
      <c r="N485" s="2" t="s">
        <v>26</v>
      </c>
      <c r="O485" s="2" t="s">
        <v>12</v>
      </c>
      <c r="P485" s="2" t="s">
        <v>59</v>
      </c>
      <c r="Q485" s="2" t="s">
        <v>46</v>
      </c>
      <c r="R485" s="2" t="s">
        <v>18</v>
      </c>
      <c r="S485">
        <v>3</v>
      </c>
    </row>
    <row r="486" spans="1:19" x14ac:dyDescent="0.3">
      <c r="A486">
        <v>1996</v>
      </c>
      <c r="B486">
        <f>YEAR(Cleaned_HR_Data_Analysis__2[[#This Row],[Joining_Date]])</f>
        <v>2021</v>
      </c>
      <c r="C486" s="1">
        <v>44493</v>
      </c>
      <c r="D486" s="1" t="str" cm="1">
        <f t="array" ref="D486">_xlfn.IFS(E486&lt;28, "17-27",
AND(E486&gt;27, E486&lt;38), "28-37",
AND(E486&gt;37, E486 &lt;48), "38-47",
AND(E486&gt;47, E486 &lt;58), "48-57",
AND(E486&gt;57, E486&lt;68), "58-67",
AND(E486&gt;67, E486&lt;78), "68-77",
E486&gt;77,"Above than 77")</f>
        <v>28-37</v>
      </c>
      <c r="E486">
        <v>29</v>
      </c>
      <c r="F486" s="1">
        <v>33795</v>
      </c>
      <c r="G486" s="1" t="str">
        <f>VLOOKUP(H486,Table7[#All], 2, FALSE)</f>
        <v>Massachusetts</v>
      </c>
      <c r="H486" s="2" t="s">
        <v>14</v>
      </c>
      <c r="I486" s="2" t="s">
        <v>15</v>
      </c>
      <c r="J486" s="2" t="s">
        <v>31</v>
      </c>
      <c r="K486" s="2" t="s">
        <v>64</v>
      </c>
      <c r="L486" s="2" t="s">
        <v>9</v>
      </c>
      <c r="M486" s="2" t="s">
        <v>20</v>
      </c>
      <c r="N486" s="2" t="s">
        <v>19</v>
      </c>
      <c r="O486" s="2" t="s">
        <v>12</v>
      </c>
      <c r="P486" s="2" t="s">
        <v>21</v>
      </c>
      <c r="Q486" s="2" t="s">
        <v>16</v>
      </c>
      <c r="R486" s="2" t="s">
        <v>18</v>
      </c>
      <c r="S486">
        <v>5</v>
      </c>
    </row>
    <row r="487" spans="1:19" x14ac:dyDescent="0.3">
      <c r="A487">
        <v>1256</v>
      </c>
      <c r="B487">
        <f>YEAR(Cleaned_HR_Data_Analysis__2[[#This Row],[Joining_Date]])</f>
        <v>2020</v>
      </c>
      <c r="C487" s="1">
        <v>43838</v>
      </c>
      <c r="D487" s="1" t="str" cm="1">
        <f t="array" ref="D487">_xlfn.IFS(E487&lt;28, "17-27",
AND(E487&gt;27, E487&lt;38), "28-37",
AND(E487&gt;37, E487 &lt;48), "38-47",
AND(E487&gt;47, E487 &lt;58), "48-57",
AND(E487&gt;57, E487&lt;68), "58-67",
AND(E487&gt;67, E487&lt;78), "68-77",
E487&gt;77,"Above than 77")</f>
        <v>28-37</v>
      </c>
      <c r="E487">
        <v>29</v>
      </c>
      <c r="F487" s="1">
        <v>33464</v>
      </c>
      <c r="G487" s="1" t="str">
        <f>VLOOKUP(H487,Table7[#All], 2, FALSE)</f>
        <v>Massachusetts</v>
      </c>
      <c r="H487" s="2" t="s">
        <v>14</v>
      </c>
      <c r="I487" s="2" t="s">
        <v>15</v>
      </c>
      <c r="J487" s="2" t="s">
        <v>17</v>
      </c>
      <c r="K487" s="2" t="s">
        <v>64</v>
      </c>
      <c r="L487" s="2" t="s">
        <v>9</v>
      </c>
      <c r="M487" s="2" t="s">
        <v>10</v>
      </c>
      <c r="N487" s="2" t="s">
        <v>19</v>
      </c>
      <c r="O487" s="2" t="s">
        <v>12</v>
      </c>
      <c r="P487" s="2" t="s">
        <v>59</v>
      </c>
      <c r="Q487" s="2" t="s">
        <v>16</v>
      </c>
      <c r="R487" s="2" t="s">
        <v>18</v>
      </c>
      <c r="S487">
        <v>4</v>
      </c>
    </row>
    <row r="488" spans="1:19" x14ac:dyDescent="0.3">
      <c r="A488">
        <v>1094</v>
      </c>
      <c r="B488">
        <f>YEAR(Cleaned_HR_Data_Analysis__2[[#This Row],[Joining_Date]])</f>
        <v>2023</v>
      </c>
      <c r="C488" s="1">
        <v>45054</v>
      </c>
      <c r="D488" s="1" t="str" cm="1">
        <f t="array" ref="D488">_xlfn.IFS(E488&lt;28, "17-27",
AND(E488&gt;27, E488&lt;38), "28-37",
AND(E488&gt;37, E488 &lt;48), "38-47",
AND(E488&gt;47, E488 &lt;58), "48-57",
AND(E488&gt;57, E488&lt;68), "58-67",
AND(E488&gt;67, E488&lt;78), "68-77",
E488&gt;77,"Above than 77")</f>
        <v>28-37</v>
      </c>
      <c r="E488">
        <v>29</v>
      </c>
      <c r="F488" s="1">
        <v>34411</v>
      </c>
      <c r="G488" s="1" t="str">
        <f>VLOOKUP(H488,Table7[#All], 2, FALSE)</f>
        <v>Massachusetts</v>
      </c>
      <c r="H488" s="2" t="s">
        <v>14</v>
      </c>
      <c r="I488" s="2" t="s">
        <v>15</v>
      </c>
      <c r="J488" s="2" t="s">
        <v>31</v>
      </c>
      <c r="K488" s="2" t="s">
        <v>64</v>
      </c>
      <c r="L488" s="2" t="s">
        <v>9</v>
      </c>
      <c r="M488" s="2" t="s">
        <v>20</v>
      </c>
      <c r="N488" s="2" t="s">
        <v>19</v>
      </c>
      <c r="O488" s="2" t="s">
        <v>12</v>
      </c>
      <c r="P488" s="2" t="s">
        <v>35</v>
      </c>
      <c r="Q488" s="2" t="s">
        <v>30</v>
      </c>
      <c r="R488" s="2" t="s">
        <v>18</v>
      </c>
      <c r="S488">
        <v>4</v>
      </c>
    </row>
    <row r="489" spans="1:19" x14ac:dyDescent="0.3">
      <c r="A489">
        <v>3768</v>
      </c>
      <c r="B489">
        <f>YEAR(Cleaned_HR_Data_Analysis__2[[#This Row],[Joining_Date]])</f>
        <v>2020</v>
      </c>
      <c r="C489" s="1">
        <v>44196</v>
      </c>
      <c r="D489" s="1" t="str" cm="1">
        <f t="array" ref="D489">_xlfn.IFS(E489&lt;28, "17-27",
AND(E489&gt;27, E489&lt;38), "28-37",
AND(E489&gt;37, E489 &lt;48), "38-47",
AND(E489&gt;47, E489 &lt;58), "48-57",
AND(E489&gt;57, E489&lt;68), "58-67",
AND(E489&gt;67, E489&lt;78), "68-77",
E489&gt;77,"Above than 77")</f>
        <v>28-37</v>
      </c>
      <c r="E489">
        <v>29</v>
      </c>
      <c r="F489" s="1">
        <v>33388</v>
      </c>
      <c r="G489" s="1" t="str">
        <f>VLOOKUP(H489,Table7[#All], 2, FALSE)</f>
        <v>Massachusetts</v>
      </c>
      <c r="H489" s="2" t="s">
        <v>14</v>
      </c>
      <c r="I489" s="2" t="s">
        <v>15</v>
      </c>
      <c r="J489" s="2" t="s">
        <v>40</v>
      </c>
      <c r="K489" s="2" t="s">
        <v>8</v>
      </c>
      <c r="L489" s="2" t="s">
        <v>9</v>
      </c>
      <c r="M489" s="2" t="s">
        <v>10</v>
      </c>
      <c r="N489" s="2" t="s">
        <v>26</v>
      </c>
      <c r="O489" s="2" t="s">
        <v>12</v>
      </c>
      <c r="P489" s="2" t="s">
        <v>60</v>
      </c>
      <c r="Q489" s="2" t="s">
        <v>37</v>
      </c>
      <c r="R489" s="2" t="s">
        <v>18</v>
      </c>
      <c r="S489">
        <v>4</v>
      </c>
    </row>
    <row r="490" spans="1:19" x14ac:dyDescent="0.3">
      <c r="A490">
        <v>3657</v>
      </c>
      <c r="B490">
        <f>YEAR(Cleaned_HR_Data_Analysis__2[[#This Row],[Joining_Date]])</f>
        <v>2021</v>
      </c>
      <c r="C490" s="1">
        <v>44437</v>
      </c>
      <c r="D490" s="1" t="str" cm="1">
        <f t="array" ref="D490">_xlfn.IFS(E490&lt;28, "17-27",
AND(E490&gt;27, E490&lt;38), "28-37",
AND(E490&gt;37, E490 &lt;48), "38-47",
AND(E490&gt;47, E490 &lt;58), "48-57",
AND(E490&gt;57, E490&lt;68), "58-67",
AND(E490&gt;67, E490&lt;78), "68-77",
E490&gt;77,"Above than 77")</f>
        <v>28-37</v>
      </c>
      <c r="E490">
        <v>29</v>
      </c>
      <c r="F490" s="1">
        <v>33667</v>
      </c>
      <c r="G490" s="1" t="str">
        <f>VLOOKUP(H490,Table7[#All], 2, FALSE)</f>
        <v>Massachusetts</v>
      </c>
      <c r="H490" s="2" t="s">
        <v>14</v>
      </c>
      <c r="I490" s="2" t="s">
        <v>15</v>
      </c>
      <c r="J490" s="2" t="s">
        <v>31</v>
      </c>
      <c r="K490" s="2" t="s">
        <v>8</v>
      </c>
      <c r="L490" s="2" t="s">
        <v>9</v>
      </c>
      <c r="M490" s="2" t="s">
        <v>20</v>
      </c>
      <c r="N490" s="2" t="s">
        <v>11</v>
      </c>
      <c r="O490" s="2" t="s">
        <v>12</v>
      </c>
      <c r="P490" s="2" t="s">
        <v>32</v>
      </c>
      <c r="Q490" s="2" t="s">
        <v>37</v>
      </c>
      <c r="R490" s="2" t="s">
        <v>18</v>
      </c>
      <c r="S490">
        <v>2</v>
      </c>
    </row>
    <row r="491" spans="1:19" x14ac:dyDescent="0.3">
      <c r="A491">
        <v>3620</v>
      </c>
      <c r="B491">
        <f>YEAR(Cleaned_HR_Data_Analysis__2[[#This Row],[Joining_Date]])</f>
        <v>2023</v>
      </c>
      <c r="C491" s="1">
        <v>45007</v>
      </c>
      <c r="D491" s="1" t="str" cm="1">
        <f t="array" ref="D491">_xlfn.IFS(E491&lt;28, "17-27",
AND(E491&gt;27, E491&lt;38), "28-37",
AND(E491&gt;37, E491 &lt;48), "38-47",
AND(E491&gt;47, E491 &lt;58), "48-57",
AND(E491&gt;57, E491&lt;68), "58-67",
AND(E491&gt;67, E491&lt;78), "68-77",
E491&gt;77,"Above than 77")</f>
        <v>28-37</v>
      </c>
      <c r="E491">
        <v>29</v>
      </c>
      <c r="F491" s="1">
        <v>34619</v>
      </c>
      <c r="G491" s="1" t="str">
        <f>VLOOKUP(H491,Table7[#All], 2, FALSE)</f>
        <v>Massachusetts</v>
      </c>
      <c r="H491" s="2" t="s">
        <v>14</v>
      </c>
      <c r="I491" s="2" t="s">
        <v>22</v>
      </c>
      <c r="J491" s="2" t="s">
        <v>34</v>
      </c>
      <c r="K491" s="2" t="s">
        <v>8</v>
      </c>
      <c r="L491" s="2" t="s">
        <v>9</v>
      </c>
      <c r="M491" s="2" t="s">
        <v>20</v>
      </c>
      <c r="N491" s="2" t="s">
        <v>19</v>
      </c>
      <c r="O491" s="2" t="s">
        <v>12</v>
      </c>
      <c r="P491" s="2" t="s">
        <v>38</v>
      </c>
      <c r="Q491" s="2" t="s">
        <v>23</v>
      </c>
      <c r="R491" s="2" t="s">
        <v>18</v>
      </c>
      <c r="S491">
        <v>2</v>
      </c>
    </row>
    <row r="492" spans="1:19" x14ac:dyDescent="0.3">
      <c r="A492">
        <v>3585</v>
      </c>
      <c r="B492">
        <f>YEAR(Cleaned_HR_Data_Analysis__2[[#This Row],[Joining_Date]])</f>
        <v>2021</v>
      </c>
      <c r="C492" s="1">
        <v>44552</v>
      </c>
      <c r="D492" s="1" t="str" cm="1">
        <f t="array" ref="D492">_xlfn.IFS(E492&lt;28, "17-27",
AND(E492&gt;27, E492&lt;38), "28-37",
AND(E492&gt;37, E492 &lt;48), "38-47",
AND(E492&gt;47, E492 &lt;58), "48-57",
AND(E492&gt;57, E492&lt;68), "58-67",
AND(E492&gt;67, E492&lt;78), "68-77",
E492&gt;77,"Above than 77")</f>
        <v>28-37</v>
      </c>
      <c r="E492">
        <v>29</v>
      </c>
      <c r="F492" s="1">
        <v>33801</v>
      </c>
      <c r="G492" s="1" t="str">
        <f>VLOOKUP(H492,Table7[#All], 2, FALSE)</f>
        <v>Massachusetts</v>
      </c>
      <c r="H492" s="2" t="s">
        <v>14</v>
      </c>
      <c r="I492" s="2" t="s">
        <v>15</v>
      </c>
      <c r="J492" s="2" t="s">
        <v>40</v>
      </c>
      <c r="K492" s="2" t="s">
        <v>8</v>
      </c>
      <c r="L492" s="2" t="s">
        <v>9</v>
      </c>
      <c r="M492" s="2" t="s">
        <v>25</v>
      </c>
      <c r="N492" s="2" t="s">
        <v>19</v>
      </c>
      <c r="O492" s="2" t="s">
        <v>12</v>
      </c>
      <c r="P492" s="2" t="s">
        <v>63</v>
      </c>
      <c r="Q492" s="2" t="s">
        <v>37</v>
      </c>
      <c r="R492" s="2" t="s">
        <v>18</v>
      </c>
      <c r="S492">
        <v>2</v>
      </c>
    </row>
    <row r="493" spans="1:19" x14ac:dyDescent="0.3">
      <c r="A493">
        <v>3373</v>
      </c>
      <c r="B493">
        <f>YEAR(Cleaned_HR_Data_Analysis__2[[#This Row],[Joining_Date]])</f>
        <v>2018</v>
      </c>
      <c r="C493" s="1">
        <v>43365</v>
      </c>
      <c r="D493" s="1" t="str" cm="1">
        <f t="array" ref="D493">_xlfn.IFS(E493&lt;28, "17-27",
AND(E493&gt;27, E493&lt;38), "28-37",
AND(E493&gt;37, E493 &lt;48), "38-47",
AND(E493&gt;47, E493 &lt;58), "48-57",
AND(E493&gt;57, E493&lt;68), "58-67",
AND(E493&gt;67, E493&lt;78), "68-77",
E493&gt;77,"Above than 77")</f>
        <v>28-37</v>
      </c>
      <c r="E493">
        <v>29</v>
      </c>
      <c r="F493" s="1">
        <v>32545</v>
      </c>
      <c r="G493" s="1" t="str">
        <f>VLOOKUP(H493,Table7[#All], 2, FALSE)</f>
        <v>Massachusetts</v>
      </c>
      <c r="H493" s="2" t="s">
        <v>14</v>
      </c>
      <c r="I493" s="2" t="s">
        <v>22</v>
      </c>
      <c r="J493" s="2" t="s">
        <v>34</v>
      </c>
      <c r="K493" s="2" t="s">
        <v>8</v>
      </c>
      <c r="L493" s="2" t="s">
        <v>9</v>
      </c>
      <c r="M493" s="2" t="s">
        <v>10</v>
      </c>
      <c r="N493" s="2" t="s">
        <v>19</v>
      </c>
      <c r="O493" s="2" t="s">
        <v>12</v>
      </c>
      <c r="P493" s="2" t="s">
        <v>21</v>
      </c>
      <c r="Q493" s="2" t="s">
        <v>30</v>
      </c>
      <c r="R493" s="2" t="s">
        <v>41</v>
      </c>
      <c r="S493">
        <v>4</v>
      </c>
    </row>
    <row r="494" spans="1:19" x14ac:dyDescent="0.3">
      <c r="A494">
        <v>3017</v>
      </c>
      <c r="B494">
        <f>YEAR(Cleaned_HR_Data_Analysis__2[[#This Row],[Joining_Date]])</f>
        <v>2023</v>
      </c>
      <c r="C494" s="1">
        <v>45032</v>
      </c>
      <c r="D494" s="1" t="str" cm="1">
        <f t="array" ref="D494">_xlfn.IFS(E494&lt;28, "17-27",
AND(E494&gt;27, E494&lt;38), "28-37",
AND(E494&gt;37, E494 &lt;48), "38-47",
AND(E494&gt;47, E494 &lt;58), "48-57",
AND(E494&gt;57, E494&lt;68), "58-67",
AND(E494&gt;67, E494&lt;78), "68-77",
E494&gt;77,"Above than 77")</f>
        <v>28-37</v>
      </c>
      <c r="E494">
        <v>29</v>
      </c>
      <c r="F494" s="1">
        <v>34680</v>
      </c>
      <c r="G494" s="1" t="str">
        <f>VLOOKUP(H494,Table7[#All], 2, FALSE)</f>
        <v>Massachusetts</v>
      </c>
      <c r="H494" s="2" t="s">
        <v>14</v>
      </c>
      <c r="I494" s="2" t="s">
        <v>15</v>
      </c>
      <c r="J494" s="2" t="s">
        <v>40</v>
      </c>
      <c r="K494" s="2" t="s">
        <v>8</v>
      </c>
      <c r="L494" s="2" t="s">
        <v>9</v>
      </c>
      <c r="M494" s="2" t="s">
        <v>25</v>
      </c>
      <c r="N494" s="2" t="s">
        <v>26</v>
      </c>
      <c r="O494" s="2" t="s">
        <v>12</v>
      </c>
      <c r="P494" s="2" t="s">
        <v>35</v>
      </c>
      <c r="Q494" s="2" t="s">
        <v>30</v>
      </c>
      <c r="R494" s="2" t="s">
        <v>65</v>
      </c>
      <c r="S494">
        <v>5</v>
      </c>
    </row>
    <row r="495" spans="1:19" x14ac:dyDescent="0.3">
      <c r="A495">
        <v>2922</v>
      </c>
      <c r="B495">
        <f>YEAR(Cleaned_HR_Data_Analysis__2[[#This Row],[Joining_Date]])</f>
        <v>2022</v>
      </c>
      <c r="C495" s="1">
        <v>44848</v>
      </c>
      <c r="D495" s="1" t="str" cm="1">
        <f t="array" ref="D495">_xlfn.IFS(E495&lt;28, "17-27",
AND(E495&gt;27, E495&lt;38), "28-37",
AND(E495&gt;37, E495 &lt;48), "38-47",
AND(E495&gt;47, E495 &lt;58), "48-57",
AND(E495&gt;57, E495&lt;68), "58-67",
AND(E495&gt;67, E495&lt;78), "68-77",
E495&gt;77,"Above than 77")</f>
        <v>28-37</v>
      </c>
      <c r="E495">
        <v>29</v>
      </c>
      <c r="F495" s="1">
        <v>34084</v>
      </c>
      <c r="G495" s="1" t="str">
        <f>VLOOKUP(H495,Table7[#All], 2, FALSE)</f>
        <v>Massachusetts</v>
      </c>
      <c r="H495" s="2" t="s">
        <v>14</v>
      </c>
      <c r="I495" s="2" t="s">
        <v>15</v>
      </c>
      <c r="J495" s="2" t="s">
        <v>34</v>
      </c>
      <c r="K495" s="2" t="s">
        <v>8</v>
      </c>
      <c r="L495" s="2" t="s">
        <v>9</v>
      </c>
      <c r="M495" s="2" t="s">
        <v>20</v>
      </c>
      <c r="N495" s="2" t="s">
        <v>26</v>
      </c>
      <c r="O495" s="2" t="s">
        <v>12</v>
      </c>
      <c r="P495" s="2" t="s">
        <v>32</v>
      </c>
      <c r="Q495" s="2" t="s">
        <v>30</v>
      </c>
      <c r="R495" s="2" t="s">
        <v>41</v>
      </c>
      <c r="S495">
        <v>2</v>
      </c>
    </row>
    <row r="496" spans="1:19" x14ac:dyDescent="0.3">
      <c r="A496">
        <v>2917</v>
      </c>
      <c r="B496">
        <f>YEAR(Cleaned_HR_Data_Analysis__2[[#This Row],[Joining_Date]])</f>
        <v>2020</v>
      </c>
      <c r="C496" s="1">
        <v>43866</v>
      </c>
      <c r="D496" s="1" t="str" cm="1">
        <f t="array" ref="D496">_xlfn.IFS(E496&lt;28, "17-27",
AND(E496&gt;27, E496&lt;38), "28-37",
AND(E496&gt;37, E496 &lt;48), "38-47",
AND(E496&gt;47, E496 &lt;58), "48-57",
AND(E496&gt;57, E496&lt;68), "58-67",
AND(E496&gt;67, E496&lt;78), "68-77",
E496&gt;77,"Above than 77")</f>
        <v>28-37</v>
      </c>
      <c r="E496">
        <v>29</v>
      </c>
      <c r="F496" s="1">
        <v>33597</v>
      </c>
      <c r="G496" s="1" t="str">
        <f>VLOOKUP(H496,Table7[#All], 2, FALSE)</f>
        <v>Massachusetts</v>
      </c>
      <c r="H496" s="2" t="s">
        <v>14</v>
      </c>
      <c r="I496" s="2" t="s">
        <v>22</v>
      </c>
      <c r="J496" s="2" t="s">
        <v>17</v>
      </c>
      <c r="K496" s="2" t="s">
        <v>8</v>
      </c>
      <c r="L496" s="2" t="s">
        <v>9</v>
      </c>
      <c r="M496" s="2" t="s">
        <v>10</v>
      </c>
      <c r="N496" s="2" t="s">
        <v>19</v>
      </c>
      <c r="O496" s="2" t="s">
        <v>12</v>
      </c>
      <c r="P496" s="2" t="s">
        <v>35</v>
      </c>
      <c r="Q496" s="2" t="s">
        <v>30</v>
      </c>
      <c r="R496" s="2" t="s">
        <v>41</v>
      </c>
      <c r="S496">
        <v>4</v>
      </c>
    </row>
    <row r="497" spans="1:19" x14ac:dyDescent="0.3">
      <c r="A497">
        <v>2764</v>
      </c>
      <c r="B497">
        <f>YEAR(Cleaned_HR_Data_Analysis__2[[#This Row],[Joining_Date]])</f>
        <v>2022</v>
      </c>
      <c r="C497" s="1">
        <v>44891</v>
      </c>
      <c r="D497" s="1" t="str" cm="1">
        <f t="array" ref="D497">_xlfn.IFS(E497&lt;28, "17-27",
AND(E497&gt;27, E497&lt;38), "28-37",
AND(E497&gt;37, E497 &lt;48), "38-47",
AND(E497&gt;47, E497 &lt;58), "48-57",
AND(E497&gt;57, E497&lt;68), "58-67",
AND(E497&gt;67, E497&lt;78), "68-77",
E497&gt;77,"Above than 77")</f>
        <v>28-37</v>
      </c>
      <c r="E497">
        <v>29</v>
      </c>
      <c r="F497" s="1">
        <v>34052</v>
      </c>
      <c r="G497" s="1" t="str">
        <f>VLOOKUP(H497,Table7[#All], 2, FALSE)</f>
        <v>Massachusetts</v>
      </c>
      <c r="H497" s="2" t="s">
        <v>14</v>
      </c>
      <c r="I497" s="2" t="s">
        <v>22</v>
      </c>
      <c r="J497" s="2" t="s">
        <v>31</v>
      </c>
      <c r="K497" s="2" t="s">
        <v>8</v>
      </c>
      <c r="L497" s="2" t="s">
        <v>9</v>
      </c>
      <c r="M497" s="2" t="s">
        <v>20</v>
      </c>
      <c r="N497" s="2" t="s">
        <v>11</v>
      </c>
      <c r="O497" s="2" t="s">
        <v>12</v>
      </c>
      <c r="P497" s="2" t="s">
        <v>42</v>
      </c>
      <c r="Q497" s="2" t="s">
        <v>37</v>
      </c>
      <c r="R497" s="2" t="s">
        <v>18</v>
      </c>
      <c r="S497">
        <v>4</v>
      </c>
    </row>
    <row r="498" spans="1:19" x14ac:dyDescent="0.3">
      <c r="A498">
        <v>2759</v>
      </c>
      <c r="B498">
        <f>YEAR(Cleaned_HR_Data_Analysis__2[[#This Row],[Joining_Date]])</f>
        <v>2018</v>
      </c>
      <c r="C498" s="1">
        <v>43338</v>
      </c>
      <c r="D498" s="1" t="str" cm="1">
        <f t="array" ref="D498">_xlfn.IFS(E498&lt;28, "17-27",
AND(E498&gt;27, E498&lt;38), "28-37",
AND(E498&gt;37, E498 &lt;48), "38-47",
AND(E498&gt;47, E498 &lt;58), "48-57",
AND(E498&gt;57, E498&lt;68), "58-67",
AND(E498&gt;67, E498&lt;78), "68-77",
E498&gt;77,"Above than 77")</f>
        <v>28-37</v>
      </c>
      <c r="E498">
        <v>29</v>
      </c>
      <c r="F498" s="1">
        <v>32632</v>
      </c>
      <c r="G498" s="1" t="str">
        <f>VLOOKUP(H498,Table7[#All], 2, FALSE)</f>
        <v>Massachusetts</v>
      </c>
      <c r="H498" s="2" t="s">
        <v>14</v>
      </c>
      <c r="I498" s="2" t="s">
        <v>22</v>
      </c>
      <c r="J498" s="2" t="s">
        <v>40</v>
      </c>
      <c r="K498" s="2" t="s">
        <v>8</v>
      </c>
      <c r="L498" s="2" t="s">
        <v>9</v>
      </c>
      <c r="M498" s="2" t="s">
        <v>25</v>
      </c>
      <c r="N498" s="2" t="s">
        <v>26</v>
      </c>
      <c r="O498" s="2" t="s">
        <v>12</v>
      </c>
      <c r="P498" s="2" t="s">
        <v>21</v>
      </c>
      <c r="Q498" s="2" t="s">
        <v>16</v>
      </c>
      <c r="R498" s="2" t="s">
        <v>18</v>
      </c>
      <c r="S498">
        <v>1</v>
      </c>
    </row>
    <row r="499" spans="1:19" x14ac:dyDescent="0.3">
      <c r="A499">
        <v>2182</v>
      </c>
      <c r="B499">
        <f>YEAR(Cleaned_HR_Data_Analysis__2[[#This Row],[Joining_Date]])</f>
        <v>2021</v>
      </c>
      <c r="C499" s="1">
        <v>44269</v>
      </c>
      <c r="D499" s="1" t="str" cm="1">
        <f t="array" ref="D499">_xlfn.IFS(E499&lt;28, "17-27",
AND(E499&gt;27, E499&lt;38), "28-37",
AND(E499&gt;37, E499 &lt;48), "38-47",
AND(E499&gt;47, E499 &lt;58), "48-57",
AND(E499&gt;57, E499&lt;68), "58-67",
AND(E499&gt;67, E499&lt;78), "68-77",
E499&gt;77,"Above than 77")</f>
        <v>28-37</v>
      </c>
      <c r="E499">
        <v>29</v>
      </c>
      <c r="F499" s="1">
        <v>33623</v>
      </c>
      <c r="G499" s="1" t="str">
        <f>VLOOKUP(H499,Table7[#All], 2, FALSE)</f>
        <v>Massachusetts</v>
      </c>
      <c r="H499" s="2" t="s">
        <v>14</v>
      </c>
      <c r="I499" s="2" t="s">
        <v>15</v>
      </c>
      <c r="J499" s="2" t="s">
        <v>17</v>
      </c>
      <c r="K499" s="2" t="s">
        <v>8</v>
      </c>
      <c r="L499" s="2" t="s">
        <v>9</v>
      </c>
      <c r="M499" s="2" t="s">
        <v>25</v>
      </c>
      <c r="N499" s="2" t="s">
        <v>19</v>
      </c>
      <c r="O499" s="2" t="s">
        <v>12</v>
      </c>
      <c r="P499" s="2" t="s">
        <v>38</v>
      </c>
      <c r="Q499" s="2" t="s">
        <v>37</v>
      </c>
      <c r="R499" s="2" t="s">
        <v>41</v>
      </c>
      <c r="S499">
        <v>1</v>
      </c>
    </row>
    <row r="500" spans="1:19" x14ac:dyDescent="0.3">
      <c r="A500">
        <v>2171</v>
      </c>
      <c r="B500">
        <f>YEAR(Cleaned_HR_Data_Analysis__2[[#This Row],[Joining_Date]])</f>
        <v>2021</v>
      </c>
      <c r="C500" s="1">
        <v>44417</v>
      </c>
      <c r="D500" s="1" t="str" cm="1">
        <f t="array" ref="D500">_xlfn.IFS(E500&lt;28, "17-27",
AND(E500&gt;27, E500&lt;38), "28-37",
AND(E500&gt;37, E500 &lt;48), "38-47",
AND(E500&gt;47, E500 &lt;58), "48-57",
AND(E500&gt;57, E500&lt;68), "58-67",
AND(E500&gt;67, E500&lt;78), "68-77",
E500&gt;77,"Above than 77")</f>
        <v>28-37</v>
      </c>
      <c r="E500">
        <v>29</v>
      </c>
      <c r="F500" s="1">
        <v>33645</v>
      </c>
      <c r="G500" s="1" t="str">
        <f>VLOOKUP(H500,Table7[#All], 2, FALSE)</f>
        <v>Massachusetts</v>
      </c>
      <c r="H500" s="2" t="s">
        <v>14</v>
      </c>
      <c r="I500" s="2" t="s">
        <v>15</v>
      </c>
      <c r="J500" s="2" t="s">
        <v>34</v>
      </c>
      <c r="K500" s="2" t="s">
        <v>8</v>
      </c>
      <c r="L500" s="2" t="s">
        <v>9</v>
      </c>
      <c r="M500" s="2" t="s">
        <v>25</v>
      </c>
      <c r="N500" s="2" t="s">
        <v>19</v>
      </c>
      <c r="O500" s="2" t="s">
        <v>12</v>
      </c>
      <c r="P500" s="2" t="s">
        <v>44</v>
      </c>
      <c r="Q500" s="2" t="s">
        <v>23</v>
      </c>
      <c r="R500" s="2" t="s">
        <v>41</v>
      </c>
      <c r="S500">
        <v>3</v>
      </c>
    </row>
    <row r="501" spans="1:19" x14ac:dyDescent="0.3">
      <c r="A501">
        <v>2156</v>
      </c>
      <c r="B501">
        <f>YEAR(Cleaned_HR_Data_Analysis__2[[#This Row],[Joining_Date]])</f>
        <v>2018</v>
      </c>
      <c r="C501" s="1">
        <v>43354</v>
      </c>
      <c r="D501" s="1" t="str" cm="1">
        <f t="array" ref="D501">_xlfn.IFS(E501&lt;28, "17-27",
AND(E501&gt;27, E501&lt;38), "28-37",
AND(E501&gt;37, E501 &lt;48), "38-47",
AND(E501&gt;47, E501 &lt;58), "48-57",
AND(E501&gt;57, E501&lt;68), "58-67",
AND(E501&gt;67, E501&lt;78), "68-77",
E501&gt;77,"Above than 77")</f>
        <v>28-37</v>
      </c>
      <c r="E501">
        <v>29</v>
      </c>
      <c r="F501" s="1">
        <v>32537</v>
      </c>
      <c r="G501" s="1" t="str">
        <f>VLOOKUP(H501,Table7[#All], 2, FALSE)</f>
        <v>Massachusetts</v>
      </c>
      <c r="H501" s="2" t="s">
        <v>14</v>
      </c>
      <c r="I501" s="2" t="s">
        <v>15</v>
      </c>
      <c r="J501" s="2" t="s">
        <v>17</v>
      </c>
      <c r="K501" s="2" t="s">
        <v>8</v>
      </c>
      <c r="L501" s="2" t="s">
        <v>9</v>
      </c>
      <c r="M501" s="2" t="s">
        <v>20</v>
      </c>
      <c r="N501" s="2" t="s">
        <v>26</v>
      </c>
      <c r="O501" s="2" t="s">
        <v>12</v>
      </c>
      <c r="P501" s="2" t="s">
        <v>44</v>
      </c>
      <c r="Q501" s="2" t="s">
        <v>37</v>
      </c>
      <c r="R501" s="2" t="s">
        <v>41</v>
      </c>
      <c r="S501">
        <v>1</v>
      </c>
    </row>
    <row r="502" spans="1:19" x14ac:dyDescent="0.3">
      <c r="A502">
        <v>1988</v>
      </c>
      <c r="B502">
        <f>YEAR(Cleaned_HR_Data_Analysis__2[[#This Row],[Joining_Date]])</f>
        <v>2018</v>
      </c>
      <c r="C502" s="1">
        <v>43427</v>
      </c>
      <c r="D502" s="1" t="str" cm="1">
        <f t="array" ref="D502">_xlfn.IFS(E502&lt;28, "17-27",
AND(E502&gt;27, E502&lt;38), "28-37",
AND(E502&gt;37, E502 &lt;48), "38-47",
AND(E502&gt;47, E502 &lt;58), "48-57",
AND(E502&gt;57, E502&lt;68), "58-67",
AND(E502&gt;67, E502&lt;78), "68-77",
E502&gt;77,"Above than 77")</f>
        <v>28-37</v>
      </c>
      <c r="E502">
        <v>29</v>
      </c>
      <c r="F502" s="1">
        <v>32807</v>
      </c>
      <c r="G502" s="1" t="str">
        <f>VLOOKUP(H502,Table7[#All], 2, FALSE)</f>
        <v>Massachusetts</v>
      </c>
      <c r="H502" s="2" t="s">
        <v>14</v>
      </c>
      <c r="I502" s="2" t="s">
        <v>15</v>
      </c>
      <c r="J502" s="2" t="s">
        <v>31</v>
      </c>
      <c r="K502" s="2" t="s">
        <v>8</v>
      </c>
      <c r="L502" s="2" t="s">
        <v>9</v>
      </c>
      <c r="M502" s="2" t="s">
        <v>10</v>
      </c>
      <c r="N502" s="2" t="s">
        <v>19</v>
      </c>
      <c r="O502" s="2" t="s">
        <v>12</v>
      </c>
      <c r="P502" s="2" t="s">
        <v>35</v>
      </c>
      <c r="Q502" s="2" t="s">
        <v>37</v>
      </c>
      <c r="R502" s="2" t="s">
        <v>18</v>
      </c>
      <c r="S502">
        <v>3</v>
      </c>
    </row>
    <row r="503" spans="1:19" x14ac:dyDescent="0.3">
      <c r="A503">
        <v>1958</v>
      </c>
      <c r="B503">
        <f>YEAR(Cleaned_HR_Data_Analysis__2[[#This Row],[Joining_Date]])</f>
        <v>2019</v>
      </c>
      <c r="C503" s="1">
        <v>43650</v>
      </c>
      <c r="D503" s="1" t="str" cm="1">
        <f t="array" ref="D503">_xlfn.IFS(E503&lt;28, "17-27",
AND(E503&gt;27, E503&lt;38), "28-37",
AND(E503&gt;37, E503 &lt;48), "38-47",
AND(E503&gt;47, E503 &lt;58), "48-57",
AND(E503&gt;57, E503&lt;68), "58-67",
AND(E503&gt;67, E503&lt;78), "68-77",
E503&gt;77,"Above than 77")</f>
        <v>28-37</v>
      </c>
      <c r="E503">
        <v>29</v>
      </c>
      <c r="F503" s="1">
        <v>33164</v>
      </c>
      <c r="G503" s="1" t="str">
        <f>VLOOKUP(H503,Table7[#All], 2, FALSE)</f>
        <v>Massachusetts</v>
      </c>
      <c r="H503" s="2" t="s">
        <v>14</v>
      </c>
      <c r="I503" s="2" t="s">
        <v>15</v>
      </c>
      <c r="J503" s="2" t="s">
        <v>34</v>
      </c>
      <c r="K503" s="2" t="s">
        <v>8</v>
      </c>
      <c r="L503" s="2" t="s">
        <v>9</v>
      </c>
      <c r="M503" s="2" t="s">
        <v>10</v>
      </c>
      <c r="N503" s="2" t="s">
        <v>26</v>
      </c>
      <c r="O503" s="2" t="s">
        <v>12</v>
      </c>
      <c r="P503" s="2" t="s">
        <v>76</v>
      </c>
      <c r="Q503" s="2" t="s">
        <v>30</v>
      </c>
      <c r="R503" s="2" t="s">
        <v>18</v>
      </c>
      <c r="S503">
        <v>2</v>
      </c>
    </row>
    <row r="504" spans="1:19" x14ac:dyDescent="0.3">
      <c r="A504">
        <v>1924</v>
      </c>
      <c r="B504">
        <f>YEAR(Cleaned_HR_Data_Analysis__2[[#This Row],[Joining_Date]])</f>
        <v>2023</v>
      </c>
      <c r="C504" s="1">
        <v>45062</v>
      </c>
      <c r="D504" s="1" t="str" cm="1">
        <f t="array" ref="D504">_xlfn.IFS(E504&lt;28, "17-27",
AND(E504&gt;27, E504&lt;38), "28-37",
AND(E504&gt;37, E504 &lt;48), "38-47",
AND(E504&gt;47, E504 &lt;58), "48-57",
AND(E504&gt;57, E504&lt;68), "58-67",
AND(E504&gt;67, E504&lt;78), "68-77",
E504&gt;77,"Above than 77")</f>
        <v>28-37</v>
      </c>
      <c r="E504">
        <v>29</v>
      </c>
      <c r="F504" s="1">
        <v>34667</v>
      </c>
      <c r="G504" s="1" t="str">
        <f>VLOOKUP(H504,Table7[#All], 2, FALSE)</f>
        <v>Massachusetts</v>
      </c>
      <c r="H504" s="2" t="s">
        <v>14</v>
      </c>
      <c r="I504" s="2" t="s">
        <v>15</v>
      </c>
      <c r="J504" s="2" t="s">
        <v>34</v>
      </c>
      <c r="K504" s="2" t="s">
        <v>8</v>
      </c>
      <c r="L504" s="2" t="s">
        <v>9</v>
      </c>
      <c r="M504" s="2" t="s">
        <v>20</v>
      </c>
      <c r="N504" s="2" t="s">
        <v>26</v>
      </c>
      <c r="O504" s="2" t="s">
        <v>12</v>
      </c>
      <c r="P504" s="2" t="s">
        <v>35</v>
      </c>
      <c r="Q504" s="2" t="s">
        <v>23</v>
      </c>
      <c r="R504" s="2" t="s">
        <v>18</v>
      </c>
      <c r="S504">
        <v>5</v>
      </c>
    </row>
    <row r="505" spans="1:19" x14ac:dyDescent="0.3">
      <c r="A505">
        <v>1780</v>
      </c>
      <c r="B505">
        <f>YEAR(Cleaned_HR_Data_Analysis__2[[#This Row],[Joining_Date]])</f>
        <v>2022</v>
      </c>
      <c r="C505" s="1">
        <v>44905</v>
      </c>
      <c r="D505" s="1" t="str" cm="1">
        <f t="array" ref="D505">_xlfn.IFS(E505&lt;28, "17-27",
AND(E505&gt;27, E505&lt;38), "28-37",
AND(E505&gt;37, E505 &lt;48), "38-47",
AND(E505&gt;47, E505 &lt;58), "48-57",
AND(E505&gt;57, E505&lt;68), "58-67",
AND(E505&gt;67, E505&lt;78), "68-77",
E505&gt;77,"Above than 77")</f>
        <v>28-37</v>
      </c>
      <c r="E505">
        <v>29</v>
      </c>
      <c r="F505" s="1">
        <v>34161</v>
      </c>
      <c r="G505" s="1" t="str">
        <f>VLOOKUP(H505,Table7[#All], 2, FALSE)</f>
        <v>Massachusetts</v>
      </c>
      <c r="H505" s="2" t="s">
        <v>14</v>
      </c>
      <c r="I505" s="2" t="s">
        <v>15</v>
      </c>
      <c r="J505" s="2" t="s">
        <v>17</v>
      </c>
      <c r="K505" s="2" t="s">
        <v>8</v>
      </c>
      <c r="L505" s="2" t="s">
        <v>9</v>
      </c>
      <c r="M505" s="2" t="s">
        <v>10</v>
      </c>
      <c r="N505" s="2" t="s">
        <v>11</v>
      </c>
      <c r="O505" s="2" t="s">
        <v>12</v>
      </c>
      <c r="P505" s="2" t="s">
        <v>35</v>
      </c>
      <c r="Q505" s="2" t="s">
        <v>23</v>
      </c>
      <c r="R505" s="2" t="s">
        <v>18</v>
      </c>
      <c r="S505">
        <v>3</v>
      </c>
    </row>
    <row r="506" spans="1:19" x14ac:dyDescent="0.3">
      <c r="A506">
        <v>1612</v>
      </c>
      <c r="B506">
        <f>YEAR(Cleaned_HR_Data_Analysis__2[[#This Row],[Joining_Date]])</f>
        <v>2022</v>
      </c>
      <c r="C506" s="1">
        <v>44745</v>
      </c>
      <c r="D506" s="1" t="str" cm="1">
        <f t="array" ref="D506">_xlfn.IFS(E506&lt;28, "17-27",
AND(E506&gt;27, E506&lt;38), "28-37",
AND(E506&gt;37, E506 &lt;48), "38-47",
AND(E506&gt;47, E506 &lt;58), "48-57",
AND(E506&gt;57, E506&lt;68), "58-67",
AND(E506&gt;67, E506&lt;78), "68-77",
E506&gt;77,"Above than 77")</f>
        <v>28-37</v>
      </c>
      <c r="E506">
        <v>29</v>
      </c>
      <c r="F506" s="1">
        <v>34117</v>
      </c>
      <c r="G506" s="1" t="str">
        <f>VLOOKUP(H506,Table7[#All], 2, FALSE)</f>
        <v>Massachusetts</v>
      </c>
      <c r="H506" s="2" t="s">
        <v>14</v>
      </c>
      <c r="I506" s="2" t="s">
        <v>22</v>
      </c>
      <c r="J506" s="2" t="s">
        <v>31</v>
      </c>
      <c r="K506" s="2" t="s">
        <v>8</v>
      </c>
      <c r="L506" s="2" t="s">
        <v>9</v>
      </c>
      <c r="M506" s="2" t="s">
        <v>20</v>
      </c>
      <c r="N506" s="2" t="s">
        <v>26</v>
      </c>
      <c r="O506" s="2" t="s">
        <v>12</v>
      </c>
      <c r="P506" s="2" t="s">
        <v>28</v>
      </c>
      <c r="Q506" s="2" t="s">
        <v>16</v>
      </c>
      <c r="R506" s="2" t="s">
        <v>56</v>
      </c>
      <c r="S506">
        <v>5</v>
      </c>
    </row>
    <row r="507" spans="1:19" x14ac:dyDescent="0.3">
      <c r="A507">
        <v>1549</v>
      </c>
      <c r="B507">
        <f>YEAR(Cleaned_HR_Data_Analysis__2[[#This Row],[Joining_Date]])</f>
        <v>2022</v>
      </c>
      <c r="C507" s="1">
        <v>44686</v>
      </c>
      <c r="D507" s="1" t="str" cm="1">
        <f t="array" ref="D507">_xlfn.IFS(E507&lt;28, "17-27",
AND(E507&gt;27, E507&lt;38), "28-37",
AND(E507&gt;37, E507 &lt;48), "38-47",
AND(E507&gt;47, E507 &lt;58), "48-57",
AND(E507&gt;57, E507&lt;68), "58-67",
AND(E507&gt;67, E507&lt;78), "68-77",
E507&gt;77,"Above than 77")</f>
        <v>28-37</v>
      </c>
      <c r="E507">
        <v>29</v>
      </c>
      <c r="F507" s="1">
        <v>33985</v>
      </c>
      <c r="G507" s="1" t="str">
        <f>VLOOKUP(H507,Table7[#All], 2, FALSE)</f>
        <v>Massachusetts</v>
      </c>
      <c r="H507" s="2" t="s">
        <v>14</v>
      </c>
      <c r="I507" s="2" t="s">
        <v>15</v>
      </c>
      <c r="J507" s="2" t="s">
        <v>34</v>
      </c>
      <c r="K507" s="2" t="s">
        <v>8</v>
      </c>
      <c r="L507" s="2" t="s">
        <v>9</v>
      </c>
      <c r="M507" s="2" t="s">
        <v>20</v>
      </c>
      <c r="N507" s="2" t="s">
        <v>11</v>
      </c>
      <c r="O507" s="2" t="s">
        <v>12</v>
      </c>
      <c r="P507" s="2" t="s">
        <v>44</v>
      </c>
      <c r="Q507" s="2" t="s">
        <v>30</v>
      </c>
      <c r="R507" s="2" t="s">
        <v>18</v>
      </c>
      <c r="S507">
        <v>3</v>
      </c>
    </row>
    <row r="508" spans="1:19" x14ac:dyDescent="0.3">
      <c r="A508">
        <v>1547</v>
      </c>
      <c r="B508">
        <f>YEAR(Cleaned_HR_Data_Analysis__2[[#This Row],[Joining_Date]])</f>
        <v>2022</v>
      </c>
      <c r="C508" s="1">
        <v>44609</v>
      </c>
      <c r="D508" s="1" t="str" cm="1">
        <f t="array" ref="D508">_xlfn.IFS(E508&lt;28, "17-27",
AND(E508&gt;27, E508&lt;38), "28-37",
AND(E508&gt;37, E508 &lt;48), "38-47",
AND(E508&gt;47, E508 &lt;58), "48-57",
AND(E508&gt;57, E508&lt;68), "58-67",
AND(E508&gt;67, E508&lt;78), "68-77",
E508&gt;77,"Above than 77")</f>
        <v>28-37</v>
      </c>
      <c r="E508">
        <v>29</v>
      </c>
      <c r="F508" s="1">
        <v>34328</v>
      </c>
      <c r="G508" s="1" t="str">
        <f>VLOOKUP(H508,Table7[#All], 2, FALSE)</f>
        <v>Massachusetts</v>
      </c>
      <c r="H508" s="2" t="s">
        <v>14</v>
      </c>
      <c r="I508" s="2" t="s">
        <v>15</v>
      </c>
      <c r="J508" s="2" t="s">
        <v>17</v>
      </c>
      <c r="K508" s="2" t="s">
        <v>8</v>
      </c>
      <c r="L508" s="2" t="s">
        <v>9</v>
      </c>
      <c r="M508" s="2" t="s">
        <v>10</v>
      </c>
      <c r="N508" s="2" t="s">
        <v>26</v>
      </c>
      <c r="O508" s="2" t="s">
        <v>12</v>
      </c>
      <c r="P508" s="2" t="s">
        <v>68</v>
      </c>
      <c r="Q508" s="2" t="s">
        <v>23</v>
      </c>
      <c r="R508" s="2" t="s">
        <v>18</v>
      </c>
      <c r="S508">
        <v>4</v>
      </c>
    </row>
    <row r="509" spans="1:19" x14ac:dyDescent="0.3">
      <c r="A509">
        <v>1484</v>
      </c>
      <c r="B509">
        <f>YEAR(Cleaned_HR_Data_Analysis__2[[#This Row],[Joining_Date]])</f>
        <v>2020</v>
      </c>
      <c r="C509" s="1">
        <v>43956</v>
      </c>
      <c r="D509" s="1" t="str" cm="1">
        <f t="array" ref="D509">_xlfn.IFS(E509&lt;28, "17-27",
AND(E509&gt;27, E509&lt;38), "28-37",
AND(E509&gt;37, E509 &lt;48), "38-47",
AND(E509&gt;47, E509 &lt;58), "48-57",
AND(E509&gt;57, E509&lt;68), "58-67",
AND(E509&gt;67, E509&lt;78), "68-77",
E509&gt;77,"Above than 77")</f>
        <v>28-37</v>
      </c>
      <c r="E509">
        <v>29</v>
      </c>
      <c r="F509" s="1">
        <v>33421</v>
      </c>
      <c r="G509" s="1" t="str">
        <f>VLOOKUP(H509,Table7[#All], 2, FALSE)</f>
        <v>Massachusetts</v>
      </c>
      <c r="H509" s="2" t="s">
        <v>14</v>
      </c>
      <c r="I509" s="2" t="s">
        <v>15</v>
      </c>
      <c r="J509" s="2" t="s">
        <v>34</v>
      </c>
      <c r="K509" s="2" t="s">
        <v>8</v>
      </c>
      <c r="L509" s="2" t="s">
        <v>9</v>
      </c>
      <c r="M509" s="2" t="s">
        <v>25</v>
      </c>
      <c r="N509" s="2" t="s">
        <v>26</v>
      </c>
      <c r="O509" s="2" t="s">
        <v>12</v>
      </c>
      <c r="P509" s="2" t="s">
        <v>32</v>
      </c>
      <c r="Q509" s="2" t="s">
        <v>23</v>
      </c>
      <c r="R509" s="2" t="s">
        <v>41</v>
      </c>
      <c r="S509">
        <v>2</v>
      </c>
    </row>
    <row r="510" spans="1:19" x14ac:dyDescent="0.3">
      <c r="A510">
        <v>2455</v>
      </c>
      <c r="B510">
        <f>YEAR(Cleaned_HR_Data_Analysis__2[[#This Row],[Joining_Date]])</f>
        <v>2020</v>
      </c>
      <c r="C510" s="1">
        <v>43893</v>
      </c>
      <c r="D510" s="1" t="str" cm="1">
        <f t="array" ref="D510">_xlfn.IFS(E510&lt;28, "17-27",
AND(E510&gt;27, E510&lt;38), "28-37",
AND(E510&gt;37, E510 &lt;48), "38-47",
AND(E510&gt;47, E510 &lt;58), "48-57",
AND(E510&gt;57, E510&lt;68), "58-67",
AND(E510&gt;67, E510&lt;78), "68-77",
E510&gt;77,"Above than 77")</f>
        <v>28-37</v>
      </c>
      <c r="E510">
        <v>29</v>
      </c>
      <c r="F510" s="1">
        <v>33578</v>
      </c>
      <c r="G510" s="1" t="str">
        <f>VLOOKUP(H510,Table7[#All], 2, FALSE)</f>
        <v>Massachusetts</v>
      </c>
      <c r="H510" s="2" t="s">
        <v>14</v>
      </c>
      <c r="I510" s="2" t="s">
        <v>15</v>
      </c>
      <c r="J510" s="2" t="s">
        <v>31</v>
      </c>
      <c r="K510" s="2" t="s">
        <v>91</v>
      </c>
      <c r="L510" s="2" t="s">
        <v>9</v>
      </c>
      <c r="M510" s="2" t="s">
        <v>25</v>
      </c>
      <c r="N510" s="2" t="s">
        <v>26</v>
      </c>
      <c r="O510" s="2" t="s">
        <v>12</v>
      </c>
      <c r="P510" s="2" t="s">
        <v>32</v>
      </c>
      <c r="Q510" s="2" t="s">
        <v>23</v>
      </c>
      <c r="R510" s="2" t="s">
        <v>18</v>
      </c>
      <c r="S510">
        <v>3</v>
      </c>
    </row>
    <row r="511" spans="1:19" x14ac:dyDescent="0.3">
      <c r="A511">
        <v>3856</v>
      </c>
      <c r="B511">
        <f>YEAR(Cleaned_HR_Data_Analysis__2[[#This Row],[Joining_Date]])</f>
        <v>2023</v>
      </c>
      <c r="C511" s="1">
        <v>45002</v>
      </c>
      <c r="D511" s="1" t="str" cm="1">
        <f t="array" ref="D511">_xlfn.IFS(E511&lt;28, "17-27",
AND(E511&gt;27, E511&lt;38), "28-37",
AND(E511&gt;37, E511 &lt;48), "38-47",
AND(E511&gt;47, E511 &lt;58), "48-57",
AND(E511&gt;57, E511&lt;68), "58-67",
AND(E511&gt;67, E511&lt;78), "68-77",
E511&gt;77,"Above than 77")</f>
        <v>28-37</v>
      </c>
      <c r="E511">
        <v>29</v>
      </c>
      <c r="F511" s="1">
        <v>34471</v>
      </c>
      <c r="G511" s="1" t="str">
        <f>VLOOKUP(H511,Table7[#All], 2, FALSE)</f>
        <v>Massachusetts</v>
      </c>
      <c r="H511" s="2" t="s">
        <v>14</v>
      </c>
      <c r="I511" s="2" t="s">
        <v>22</v>
      </c>
      <c r="J511" s="2" t="s">
        <v>40</v>
      </c>
      <c r="K511" s="2" t="s">
        <v>71</v>
      </c>
      <c r="L511" s="2" t="s">
        <v>9</v>
      </c>
      <c r="M511" s="2" t="s">
        <v>20</v>
      </c>
      <c r="N511" s="2" t="s">
        <v>11</v>
      </c>
      <c r="O511" s="2" t="s">
        <v>73</v>
      </c>
      <c r="P511" s="2" t="s">
        <v>59</v>
      </c>
      <c r="Q511" s="2" t="s">
        <v>30</v>
      </c>
      <c r="R511" s="2" t="s">
        <v>65</v>
      </c>
      <c r="S511">
        <v>1</v>
      </c>
    </row>
    <row r="512" spans="1:19" x14ac:dyDescent="0.3">
      <c r="A512">
        <v>2568</v>
      </c>
      <c r="B512">
        <f>YEAR(Cleaned_HR_Data_Analysis__2[[#This Row],[Joining_Date]])</f>
        <v>2019</v>
      </c>
      <c r="C512" s="1">
        <v>43536</v>
      </c>
      <c r="D512" s="1" t="str" cm="1">
        <f t="array" ref="D512">_xlfn.IFS(E512&lt;28, "17-27",
AND(E512&gt;27, E512&lt;38), "28-37",
AND(E512&gt;37, E512 &lt;48), "38-47",
AND(E512&gt;47, E512 &lt;58), "48-57",
AND(E512&gt;57, E512&lt;68), "58-67",
AND(E512&gt;67, E512&lt;78), "68-77",
E512&gt;77,"Above than 77")</f>
        <v>28-37</v>
      </c>
      <c r="E512">
        <v>29</v>
      </c>
      <c r="F512" s="1">
        <v>32990</v>
      </c>
      <c r="G512" s="1" t="str">
        <f>VLOOKUP(H512,Table7[#All], 2, FALSE)</f>
        <v>Massachusetts</v>
      </c>
      <c r="H512" s="2" t="s">
        <v>14</v>
      </c>
      <c r="I512" s="2" t="s">
        <v>22</v>
      </c>
      <c r="J512" s="2" t="s">
        <v>17</v>
      </c>
      <c r="K512" s="2" t="s">
        <v>103</v>
      </c>
      <c r="L512" s="2" t="s">
        <v>9</v>
      </c>
      <c r="M512" s="2" t="s">
        <v>25</v>
      </c>
      <c r="N512" s="2" t="s">
        <v>11</v>
      </c>
      <c r="O512" s="2" t="s">
        <v>53</v>
      </c>
      <c r="P512" s="2" t="s">
        <v>21</v>
      </c>
      <c r="Q512" s="2" t="s">
        <v>46</v>
      </c>
      <c r="R512" s="2" t="s">
        <v>18</v>
      </c>
      <c r="S512">
        <v>5</v>
      </c>
    </row>
    <row r="513" spans="1:19" x14ac:dyDescent="0.3">
      <c r="A513">
        <v>2677</v>
      </c>
      <c r="B513">
        <f>YEAR(Cleaned_HR_Data_Analysis__2[[#This Row],[Joining_Date]])</f>
        <v>2019</v>
      </c>
      <c r="C513" s="1">
        <v>43540</v>
      </c>
      <c r="D513" s="1" t="str" cm="1">
        <f t="array" ref="D513">_xlfn.IFS(E513&lt;28, "17-27",
AND(E513&gt;27, E513&lt;38), "28-37",
AND(E513&gt;37, E513 &lt;48), "38-47",
AND(E513&gt;47, E513 &lt;58), "48-57",
AND(E513&gt;57, E513&lt;68), "58-67",
AND(E513&gt;67, E513&lt;78), "68-77",
E513&gt;77,"Above than 77")</f>
        <v>28-37</v>
      </c>
      <c r="E513">
        <v>29</v>
      </c>
      <c r="F513" s="1">
        <v>33159</v>
      </c>
      <c r="G513" s="1" t="str">
        <f>VLOOKUP(H513,Table7[#All], 2, FALSE)</f>
        <v>Tennessee</v>
      </c>
      <c r="H513" s="2" t="s">
        <v>120</v>
      </c>
      <c r="I513" s="2" t="s">
        <v>22</v>
      </c>
      <c r="J513" s="2" t="s">
        <v>40</v>
      </c>
      <c r="K513" s="2" t="s">
        <v>24</v>
      </c>
      <c r="L513" s="2" t="s">
        <v>9</v>
      </c>
      <c r="M513" s="2" t="s">
        <v>10</v>
      </c>
      <c r="N513" s="2" t="s">
        <v>26</v>
      </c>
      <c r="O513" s="2" t="s">
        <v>27</v>
      </c>
      <c r="P513" s="2" t="s">
        <v>49</v>
      </c>
      <c r="Q513" s="2" t="s">
        <v>23</v>
      </c>
      <c r="R513" s="2" t="s">
        <v>18</v>
      </c>
      <c r="S513">
        <v>1</v>
      </c>
    </row>
    <row r="514" spans="1:19" x14ac:dyDescent="0.3">
      <c r="A514">
        <v>2665</v>
      </c>
      <c r="B514">
        <f>YEAR(Cleaned_HR_Data_Analysis__2[[#This Row],[Joining_Date]])</f>
        <v>2020</v>
      </c>
      <c r="C514" s="1">
        <v>43905</v>
      </c>
      <c r="D514" s="1" t="str" cm="1">
        <f t="array" ref="D514">_xlfn.IFS(E514&lt;28, "17-27",
AND(E514&gt;27, E514&lt;38), "28-37",
AND(E514&gt;37, E514 &lt;48), "38-47",
AND(E514&gt;47, E514 &lt;58), "48-57",
AND(E514&gt;57, E514&lt;68), "58-67",
AND(E514&gt;67, E514&lt;78), "68-77",
E514&gt;77,"Above than 77")</f>
        <v>28-37</v>
      </c>
      <c r="E514">
        <v>29</v>
      </c>
      <c r="F514" s="1">
        <v>33433</v>
      </c>
      <c r="G514" s="1" t="str">
        <f>VLOOKUP(H514,Table7[#All], 2, FALSE)</f>
        <v>New York</v>
      </c>
      <c r="H514" s="2" t="s">
        <v>118</v>
      </c>
      <c r="I514" s="2" t="s">
        <v>22</v>
      </c>
      <c r="J514" s="2" t="s">
        <v>34</v>
      </c>
      <c r="K514" s="2" t="s">
        <v>24</v>
      </c>
      <c r="L514" s="2" t="s">
        <v>9</v>
      </c>
      <c r="M514" s="2" t="s">
        <v>10</v>
      </c>
      <c r="N514" s="2" t="s">
        <v>19</v>
      </c>
      <c r="O514" s="2" t="s">
        <v>27</v>
      </c>
      <c r="P514" s="2" t="s">
        <v>49</v>
      </c>
      <c r="Q514" s="2" t="s">
        <v>23</v>
      </c>
      <c r="R514" s="2" t="s">
        <v>18</v>
      </c>
      <c r="S514">
        <v>5</v>
      </c>
    </row>
    <row r="515" spans="1:19" x14ac:dyDescent="0.3">
      <c r="A515">
        <v>3487</v>
      </c>
      <c r="B515">
        <f>YEAR(Cleaned_HR_Data_Analysis__2[[#This Row],[Joining_Date]])</f>
        <v>2023</v>
      </c>
      <c r="C515" s="1">
        <v>45000</v>
      </c>
      <c r="D515" s="1" t="str" cm="1">
        <f t="array" ref="D515">_xlfn.IFS(E515&lt;28, "17-27",
AND(E515&gt;27, E515&lt;38), "28-37",
AND(E515&gt;37, E515 &lt;48), "38-47",
AND(E515&gt;47, E515 &lt;58), "48-57",
AND(E515&gt;57, E515&lt;68), "58-67",
AND(E515&gt;67, E515&lt;78), "68-77",
E515&gt;77,"Above than 77")</f>
        <v>28-37</v>
      </c>
      <c r="E515">
        <v>29</v>
      </c>
      <c r="F515" s="1">
        <v>34366</v>
      </c>
      <c r="G515" s="1" t="str">
        <f>VLOOKUP(H515,Table7[#All], 2, FALSE)</f>
        <v>Kentucky</v>
      </c>
      <c r="H515" s="2" t="s">
        <v>51</v>
      </c>
      <c r="I515" s="2" t="s">
        <v>15</v>
      </c>
      <c r="J515" s="2" t="s">
        <v>40</v>
      </c>
      <c r="K515" s="2" t="s">
        <v>24</v>
      </c>
      <c r="L515" s="2" t="s">
        <v>9</v>
      </c>
      <c r="M515" s="2" t="s">
        <v>10</v>
      </c>
      <c r="N515" s="2" t="s">
        <v>26</v>
      </c>
      <c r="O515" s="2" t="s">
        <v>27</v>
      </c>
      <c r="P515" s="2" t="s">
        <v>28</v>
      </c>
      <c r="Q515" s="2" t="s">
        <v>30</v>
      </c>
      <c r="R515" s="2" t="s">
        <v>18</v>
      </c>
      <c r="S515">
        <v>4</v>
      </c>
    </row>
    <row r="516" spans="1:19" x14ac:dyDescent="0.3">
      <c r="A516">
        <v>3541</v>
      </c>
      <c r="B516">
        <f>YEAR(Cleaned_HR_Data_Analysis__2[[#This Row],[Joining_Date]])</f>
        <v>2020</v>
      </c>
      <c r="C516" s="1">
        <v>43927</v>
      </c>
      <c r="D516" s="1" t="str" cm="1">
        <f t="array" ref="D516">_xlfn.IFS(E516&lt;28, "17-27",
AND(E516&gt;27, E516&lt;38), "28-37",
AND(E516&gt;37, E516 &lt;48), "38-47",
AND(E516&gt;47, E516 &lt;58), "48-57",
AND(E516&gt;57, E516&lt;68), "58-67",
AND(E516&gt;67, E516&lt;78), "68-77",
E516&gt;77,"Above than 77")</f>
        <v>28-37</v>
      </c>
      <c r="E516">
        <v>29</v>
      </c>
      <c r="F516" s="1">
        <v>33538</v>
      </c>
      <c r="G516" s="1" t="str">
        <f>VLOOKUP(H516,Table7[#All], 2, FALSE)</f>
        <v>Indiana</v>
      </c>
      <c r="H516" s="2" t="s">
        <v>47</v>
      </c>
      <c r="I516" s="2" t="s">
        <v>22</v>
      </c>
      <c r="J516" s="2" t="s">
        <v>34</v>
      </c>
      <c r="K516" s="2" t="s">
        <v>24</v>
      </c>
      <c r="L516" s="2" t="s">
        <v>9</v>
      </c>
      <c r="M516" s="2" t="s">
        <v>25</v>
      </c>
      <c r="N516" s="2" t="s">
        <v>26</v>
      </c>
      <c r="O516" s="2" t="s">
        <v>27</v>
      </c>
      <c r="P516" s="2" t="s">
        <v>35</v>
      </c>
      <c r="Q516" s="2" t="s">
        <v>37</v>
      </c>
      <c r="R516" s="2" t="s">
        <v>41</v>
      </c>
      <c r="S516">
        <v>3</v>
      </c>
    </row>
    <row r="517" spans="1:19" x14ac:dyDescent="0.3">
      <c r="A517">
        <v>2622</v>
      </c>
      <c r="B517">
        <f>YEAR(Cleaned_HR_Data_Analysis__2[[#This Row],[Joining_Date]])</f>
        <v>2020</v>
      </c>
      <c r="C517" s="1">
        <v>44032</v>
      </c>
      <c r="D517" s="1" t="str" cm="1">
        <f t="array" ref="D517">_xlfn.IFS(E517&lt;28, "17-27",
AND(E517&gt;27, E517&lt;38), "28-37",
AND(E517&gt;37, E517 &lt;48), "38-47",
AND(E517&gt;47, E517 &lt;58), "48-57",
AND(E517&gt;57, E517&lt;68), "58-67",
AND(E517&gt;67, E517&lt;78), "68-77",
E517&gt;77,"Above than 77")</f>
        <v>28-37</v>
      </c>
      <c r="E517">
        <v>29</v>
      </c>
      <c r="F517" s="1">
        <v>33511</v>
      </c>
      <c r="G517" s="1" t="str">
        <f>VLOOKUP(H517,Table7[#All], 2, FALSE)</f>
        <v>Arizona</v>
      </c>
      <c r="H517" s="2" t="s">
        <v>114</v>
      </c>
      <c r="I517" s="2" t="s">
        <v>22</v>
      </c>
      <c r="J517" s="2" t="s">
        <v>17</v>
      </c>
      <c r="K517" s="2" t="s">
        <v>24</v>
      </c>
      <c r="L517" s="2" t="s">
        <v>9</v>
      </c>
      <c r="M517" s="2" t="s">
        <v>10</v>
      </c>
      <c r="N517" s="2" t="s">
        <v>26</v>
      </c>
      <c r="O517" s="2" t="s">
        <v>27</v>
      </c>
      <c r="P517" s="2" t="s">
        <v>44</v>
      </c>
      <c r="Q517" s="2" t="s">
        <v>46</v>
      </c>
      <c r="R517" s="2" t="s">
        <v>18</v>
      </c>
      <c r="S517">
        <v>5</v>
      </c>
    </row>
    <row r="518" spans="1:19" x14ac:dyDescent="0.3">
      <c r="A518">
        <v>1367</v>
      </c>
      <c r="B518">
        <f>YEAR(Cleaned_HR_Data_Analysis__2[[#This Row],[Joining_Date]])</f>
        <v>2020</v>
      </c>
      <c r="C518" s="1">
        <v>44110</v>
      </c>
      <c r="D518" s="1" t="str" cm="1">
        <f t="array" ref="D518">_xlfn.IFS(E518&lt;28, "17-27",
AND(E518&gt;27, E518&lt;38), "28-37",
AND(E518&gt;37, E518 &lt;48), "38-47",
AND(E518&gt;47, E518 &lt;58), "48-57",
AND(E518&gt;57, E518&lt;68), "58-67",
AND(E518&gt;67, E518&lt;78), "68-77",
E518&gt;77,"Above than 77")</f>
        <v>28-37</v>
      </c>
      <c r="E518">
        <v>30</v>
      </c>
      <c r="F518" s="1">
        <v>33097</v>
      </c>
      <c r="G518" s="1" t="str">
        <f>VLOOKUP(H518,Table7[#All], 2, FALSE)</f>
        <v>Massachusetts</v>
      </c>
      <c r="H518" s="2" t="s">
        <v>14</v>
      </c>
      <c r="I518" s="2" t="s">
        <v>15</v>
      </c>
      <c r="J518" s="2" t="s">
        <v>40</v>
      </c>
      <c r="K518" s="2" t="s">
        <v>72</v>
      </c>
      <c r="L518" s="2" t="s">
        <v>9</v>
      </c>
      <c r="M518" s="2" t="s">
        <v>20</v>
      </c>
      <c r="N518" s="2" t="s">
        <v>26</v>
      </c>
      <c r="O518" s="2" t="s">
        <v>53</v>
      </c>
      <c r="P518" s="2" t="s">
        <v>44</v>
      </c>
      <c r="Q518" s="2" t="s">
        <v>16</v>
      </c>
      <c r="R518" s="2" t="s">
        <v>41</v>
      </c>
      <c r="S518">
        <v>4</v>
      </c>
    </row>
    <row r="519" spans="1:19" x14ac:dyDescent="0.3">
      <c r="A519">
        <v>3976</v>
      </c>
      <c r="B519">
        <f>YEAR(Cleaned_HR_Data_Analysis__2[[#This Row],[Joining_Date]])</f>
        <v>2021</v>
      </c>
      <c r="C519" s="1">
        <v>44491</v>
      </c>
      <c r="D519" s="1" t="str" cm="1">
        <f t="array" ref="D519">_xlfn.IFS(E519&lt;28, "17-27",
AND(E519&gt;27, E519&lt;38), "28-37",
AND(E519&gt;37, E519 &lt;48), "38-47",
AND(E519&gt;47, E519 &lt;58), "48-57",
AND(E519&gt;57, E519&lt;68), "58-67",
AND(E519&gt;67, E519&lt;78), "68-77",
E519&gt;77,"Above than 77")</f>
        <v>28-37</v>
      </c>
      <c r="E519">
        <v>30</v>
      </c>
      <c r="F519" s="1">
        <v>33559</v>
      </c>
      <c r="G519" s="1" t="str">
        <f>VLOOKUP(H519,Table7[#All], 2, FALSE)</f>
        <v>Massachusetts</v>
      </c>
      <c r="H519" s="2" t="s">
        <v>14</v>
      </c>
      <c r="I519" s="2" t="s">
        <v>15</v>
      </c>
      <c r="J519" s="2" t="s">
        <v>40</v>
      </c>
      <c r="K519" s="2" t="s">
        <v>79</v>
      </c>
      <c r="L519" s="2" t="s">
        <v>9</v>
      </c>
      <c r="M519" s="2" t="s">
        <v>25</v>
      </c>
      <c r="N519" s="2" t="s">
        <v>11</v>
      </c>
      <c r="O519" s="2" t="s">
        <v>53</v>
      </c>
      <c r="P519" s="2" t="s">
        <v>35</v>
      </c>
      <c r="Q519" s="2" t="s">
        <v>16</v>
      </c>
      <c r="R519" s="2" t="s">
        <v>18</v>
      </c>
      <c r="S519">
        <v>5</v>
      </c>
    </row>
    <row r="520" spans="1:19" x14ac:dyDescent="0.3">
      <c r="A520">
        <v>1054</v>
      </c>
      <c r="B520">
        <f>YEAR(Cleaned_HR_Data_Analysis__2[[#This Row],[Joining_Date]])</f>
        <v>2023</v>
      </c>
      <c r="C520" s="1">
        <v>44969</v>
      </c>
      <c r="D520" s="1" t="str" cm="1">
        <f t="array" ref="D520">_xlfn.IFS(E520&lt;28, "17-27",
AND(E520&gt;27, E520&lt;38), "28-37",
AND(E520&gt;37, E520 &lt;48), "38-47",
AND(E520&gt;47, E520 &lt;58), "48-57",
AND(E520&gt;57, E520&lt;68), "58-67",
AND(E520&gt;67, E520&lt;78), "68-77",
E520&gt;77,"Above than 77")</f>
        <v>28-37</v>
      </c>
      <c r="E520">
        <v>30</v>
      </c>
      <c r="F520" s="1">
        <v>34099</v>
      </c>
      <c r="G520" s="1" t="str">
        <f>VLOOKUP(H520,Table7[#All], 2, FALSE)</f>
        <v>Massachusetts</v>
      </c>
      <c r="H520" s="2" t="s">
        <v>14</v>
      </c>
      <c r="I520" s="2" t="s">
        <v>22</v>
      </c>
      <c r="J520" s="2" t="s">
        <v>31</v>
      </c>
      <c r="K520" s="2" t="s">
        <v>86</v>
      </c>
      <c r="L520" s="2" t="s">
        <v>9</v>
      </c>
      <c r="M520" s="2" t="s">
        <v>20</v>
      </c>
      <c r="N520" s="2" t="s">
        <v>19</v>
      </c>
      <c r="O520" s="2" t="s">
        <v>87</v>
      </c>
      <c r="P520" s="2" t="s">
        <v>42</v>
      </c>
      <c r="Q520" s="2" t="s">
        <v>16</v>
      </c>
      <c r="R520" s="2" t="s">
        <v>18</v>
      </c>
      <c r="S520">
        <v>5</v>
      </c>
    </row>
    <row r="521" spans="1:19" x14ac:dyDescent="0.3">
      <c r="A521">
        <v>1933</v>
      </c>
      <c r="B521">
        <f>YEAR(Cleaned_HR_Data_Analysis__2[[#This Row],[Joining_Date]])</f>
        <v>2019</v>
      </c>
      <c r="C521" s="1">
        <v>43532</v>
      </c>
      <c r="D521" s="1" t="str" cm="1">
        <f t="array" ref="D521">_xlfn.IFS(E521&lt;28, "17-27",
AND(E521&gt;27, E521&lt;38), "28-37",
AND(E521&gt;37, E521 &lt;48), "38-47",
AND(E521&gt;47, E521 &lt;58), "48-57",
AND(E521&gt;57, E521&lt;68), "58-67",
AND(E521&gt;67, E521&lt;78), "68-77",
E521&gt;77,"Above than 77")</f>
        <v>28-37</v>
      </c>
      <c r="E521">
        <v>30</v>
      </c>
      <c r="F521" s="1">
        <v>32813</v>
      </c>
      <c r="G521" s="1" t="str">
        <f>VLOOKUP(H521,Table7[#All], 2, FALSE)</f>
        <v>Vermont</v>
      </c>
      <c r="H521" s="2" t="s">
        <v>99</v>
      </c>
      <c r="I521" s="2" t="s">
        <v>15</v>
      </c>
      <c r="J521" s="2" t="s">
        <v>17</v>
      </c>
      <c r="K521" s="2" t="s">
        <v>98</v>
      </c>
      <c r="L521" s="2" t="s">
        <v>9</v>
      </c>
      <c r="M521" s="2" t="s">
        <v>10</v>
      </c>
      <c r="N521" s="2" t="s">
        <v>11</v>
      </c>
      <c r="O521" s="2" t="s">
        <v>27</v>
      </c>
      <c r="P521" s="2" t="s">
        <v>21</v>
      </c>
      <c r="Q521" s="2" t="s">
        <v>37</v>
      </c>
      <c r="R521" s="2" t="s">
        <v>18</v>
      </c>
      <c r="S521">
        <v>4</v>
      </c>
    </row>
    <row r="522" spans="1:19" x14ac:dyDescent="0.3">
      <c r="A522">
        <v>3178</v>
      </c>
      <c r="B522">
        <f>YEAR(Cleaned_HR_Data_Analysis__2[[#This Row],[Joining_Date]])</f>
        <v>2020</v>
      </c>
      <c r="C522" s="1">
        <v>43854</v>
      </c>
      <c r="D522" s="1" t="str" cm="1">
        <f t="array" ref="D522">_xlfn.IFS(E522&lt;28, "17-27",
AND(E522&gt;27, E522&lt;38), "28-37",
AND(E522&gt;37, E522 &lt;48), "38-47",
AND(E522&gt;47, E522 &lt;58), "48-57",
AND(E522&gt;57, E522&lt;68), "58-67",
AND(E522&gt;67, E522&lt;78), "68-77",
E522&gt;77,"Above than 77")</f>
        <v>28-37</v>
      </c>
      <c r="E522">
        <v>30</v>
      </c>
      <c r="F522" s="1">
        <v>32993</v>
      </c>
      <c r="G522" s="1" t="str">
        <f>VLOOKUP(H522,Table7[#All], 2, FALSE)</f>
        <v>Massachusetts</v>
      </c>
      <c r="H522" s="2" t="s">
        <v>14</v>
      </c>
      <c r="I522" s="2" t="s">
        <v>15</v>
      </c>
      <c r="J522" s="2" t="s">
        <v>34</v>
      </c>
      <c r="K522" s="2" t="s">
        <v>64</v>
      </c>
      <c r="L522" s="2" t="s">
        <v>66</v>
      </c>
      <c r="M522" s="2" t="s">
        <v>20</v>
      </c>
      <c r="N522" s="2" t="s">
        <v>11</v>
      </c>
      <c r="O522" s="2" t="s">
        <v>12</v>
      </c>
      <c r="P522" s="2" t="s">
        <v>35</v>
      </c>
      <c r="Q522" s="2" t="s">
        <v>16</v>
      </c>
      <c r="R522" s="2" t="s">
        <v>65</v>
      </c>
      <c r="S522">
        <v>2</v>
      </c>
    </row>
    <row r="523" spans="1:19" x14ac:dyDescent="0.3">
      <c r="A523">
        <v>2145</v>
      </c>
      <c r="B523">
        <f>YEAR(Cleaned_HR_Data_Analysis__2[[#This Row],[Joining_Date]])</f>
        <v>2019</v>
      </c>
      <c r="C523" s="1">
        <v>43523</v>
      </c>
      <c r="D523" s="1" t="str" cm="1">
        <f t="array" ref="D523">_xlfn.IFS(E523&lt;28, "17-27",
AND(E523&gt;27, E523&lt;38), "28-37",
AND(E523&gt;37, E523 &lt;48), "38-47",
AND(E523&gt;47, E523 &lt;58), "48-57",
AND(E523&gt;57, E523&lt;68), "58-67",
AND(E523&gt;67, E523&lt;78), "68-77",
E523&gt;77,"Above than 77")</f>
        <v>28-37</v>
      </c>
      <c r="E523">
        <v>30</v>
      </c>
      <c r="F523" s="1">
        <v>32785</v>
      </c>
      <c r="G523" s="1" t="str">
        <f>VLOOKUP(H523,Table7[#All], 2, FALSE)</f>
        <v>Massachusetts</v>
      </c>
      <c r="H523" s="2" t="s">
        <v>14</v>
      </c>
      <c r="I523" s="2" t="s">
        <v>15</v>
      </c>
      <c r="J523" s="2" t="s">
        <v>40</v>
      </c>
      <c r="K523" s="2" t="s">
        <v>64</v>
      </c>
      <c r="L523" s="2" t="s">
        <v>9</v>
      </c>
      <c r="M523" s="2" t="s">
        <v>25</v>
      </c>
      <c r="N523" s="2" t="s">
        <v>19</v>
      </c>
      <c r="O523" s="2" t="s">
        <v>12</v>
      </c>
      <c r="P523" s="2" t="s">
        <v>28</v>
      </c>
      <c r="Q523" s="2" t="s">
        <v>30</v>
      </c>
      <c r="R523" s="2" t="s">
        <v>41</v>
      </c>
      <c r="S523">
        <v>3</v>
      </c>
    </row>
    <row r="524" spans="1:19" x14ac:dyDescent="0.3">
      <c r="A524">
        <v>2044</v>
      </c>
      <c r="B524">
        <f>YEAR(Cleaned_HR_Data_Analysis__2[[#This Row],[Joining_Date]])</f>
        <v>2022</v>
      </c>
      <c r="C524" s="1">
        <v>44818</v>
      </c>
      <c r="D524" s="1" t="str" cm="1">
        <f t="array" ref="D524">_xlfn.IFS(E524&lt;28, "17-27",
AND(E524&gt;27, E524&lt;38), "28-37",
AND(E524&gt;37, E524 &lt;48), "38-47",
AND(E524&gt;47, E524 &lt;58), "48-57",
AND(E524&gt;57, E524&lt;68), "58-67",
AND(E524&gt;67, E524&lt;78), "68-77",
E524&gt;77,"Above than 77")</f>
        <v>28-37</v>
      </c>
      <c r="E524">
        <v>30</v>
      </c>
      <c r="F524" s="1">
        <v>33654</v>
      </c>
      <c r="G524" s="1" t="str">
        <f>VLOOKUP(H524,Table7[#All], 2, FALSE)</f>
        <v>Massachusetts</v>
      </c>
      <c r="H524" s="2" t="s">
        <v>14</v>
      </c>
      <c r="I524" s="2" t="s">
        <v>15</v>
      </c>
      <c r="J524" s="2" t="s">
        <v>34</v>
      </c>
      <c r="K524" s="2" t="s">
        <v>64</v>
      </c>
      <c r="L524" s="2" t="s">
        <v>9</v>
      </c>
      <c r="M524" s="2" t="s">
        <v>10</v>
      </c>
      <c r="N524" s="2" t="s">
        <v>11</v>
      </c>
      <c r="O524" s="2" t="s">
        <v>12</v>
      </c>
      <c r="P524" s="2" t="s">
        <v>59</v>
      </c>
      <c r="Q524" s="2" t="s">
        <v>37</v>
      </c>
      <c r="R524" s="2" t="s">
        <v>18</v>
      </c>
      <c r="S524">
        <v>1</v>
      </c>
    </row>
    <row r="525" spans="1:19" x14ac:dyDescent="0.3">
      <c r="A525">
        <v>2024</v>
      </c>
      <c r="B525">
        <f>YEAR(Cleaned_HR_Data_Analysis__2[[#This Row],[Joining_Date]])</f>
        <v>2021</v>
      </c>
      <c r="C525" s="1">
        <v>44383</v>
      </c>
      <c r="D525" s="1" t="str" cm="1">
        <f t="array" ref="D525">_xlfn.IFS(E525&lt;28, "17-27",
AND(E525&gt;27, E525&lt;38), "28-37",
AND(E525&gt;37, E525 &lt;48), "38-47",
AND(E525&gt;47, E525 &lt;58), "48-57",
AND(E525&gt;57, E525&lt;68), "58-67",
AND(E525&gt;67, E525&lt;78), "68-77",
E525&gt;77,"Above than 77")</f>
        <v>28-37</v>
      </c>
      <c r="E525">
        <v>30</v>
      </c>
      <c r="F525" s="1">
        <v>33322</v>
      </c>
      <c r="G525" s="1" t="str">
        <f>VLOOKUP(H525,Table7[#All], 2, FALSE)</f>
        <v>Massachusetts</v>
      </c>
      <c r="H525" s="2" t="s">
        <v>14</v>
      </c>
      <c r="I525" s="2" t="s">
        <v>15</v>
      </c>
      <c r="J525" s="2" t="s">
        <v>31</v>
      </c>
      <c r="K525" s="2" t="s">
        <v>64</v>
      </c>
      <c r="L525" s="2" t="s">
        <v>9</v>
      </c>
      <c r="M525" s="2" t="s">
        <v>25</v>
      </c>
      <c r="N525" s="2" t="s">
        <v>11</v>
      </c>
      <c r="O525" s="2" t="s">
        <v>12</v>
      </c>
      <c r="P525" s="2" t="s">
        <v>35</v>
      </c>
      <c r="Q525" s="2" t="s">
        <v>46</v>
      </c>
      <c r="R525" s="2" t="s">
        <v>18</v>
      </c>
      <c r="S525">
        <v>1</v>
      </c>
    </row>
    <row r="526" spans="1:19" x14ac:dyDescent="0.3">
      <c r="A526">
        <v>1556</v>
      </c>
      <c r="B526">
        <f>YEAR(Cleaned_HR_Data_Analysis__2[[#This Row],[Joining_Date]])</f>
        <v>2023</v>
      </c>
      <c r="C526" s="1">
        <v>45054</v>
      </c>
      <c r="D526" s="1" t="str" cm="1">
        <f t="array" ref="D526">_xlfn.IFS(E526&lt;28, "17-27",
AND(E526&gt;27, E526&lt;38), "28-37",
AND(E526&gt;37, E526 &lt;48), "38-47",
AND(E526&gt;47, E526 &lt;58), "48-57",
AND(E526&gt;57, E526&lt;68), "58-67",
AND(E526&gt;67, E526&lt;78), "68-77",
E526&gt;77,"Above than 77")</f>
        <v>28-37</v>
      </c>
      <c r="E526">
        <v>30</v>
      </c>
      <c r="F526" s="1">
        <v>34011</v>
      </c>
      <c r="G526" s="1" t="str">
        <f>VLOOKUP(H526,Table7[#All], 2, FALSE)</f>
        <v>Massachusetts</v>
      </c>
      <c r="H526" s="2" t="s">
        <v>14</v>
      </c>
      <c r="I526" s="2" t="s">
        <v>15</v>
      </c>
      <c r="J526" s="2" t="s">
        <v>17</v>
      </c>
      <c r="K526" s="2" t="s">
        <v>64</v>
      </c>
      <c r="L526" s="2" t="s">
        <v>9</v>
      </c>
      <c r="M526" s="2" t="s">
        <v>25</v>
      </c>
      <c r="N526" s="2" t="s">
        <v>26</v>
      </c>
      <c r="O526" s="2" t="s">
        <v>12</v>
      </c>
      <c r="P526" s="2" t="s">
        <v>54</v>
      </c>
      <c r="Q526" s="2" t="s">
        <v>46</v>
      </c>
      <c r="R526" s="2" t="s">
        <v>18</v>
      </c>
      <c r="S526">
        <v>5</v>
      </c>
    </row>
    <row r="527" spans="1:19" x14ac:dyDescent="0.3">
      <c r="A527">
        <v>1475</v>
      </c>
      <c r="B527">
        <f>YEAR(Cleaned_HR_Data_Analysis__2[[#This Row],[Joining_Date]])</f>
        <v>2023</v>
      </c>
      <c r="C527" s="1">
        <v>44943</v>
      </c>
      <c r="D527" s="1" t="str" cm="1">
        <f t="array" ref="D527">_xlfn.IFS(E527&lt;28, "17-27",
AND(E527&gt;27, E527&lt;38), "28-37",
AND(E527&gt;37, E527 &lt;48), "38-47",
AND(E527&gt;47, E527 &lt;58), "48-57",
AND(E527&gt;57, E527&lt;68), "58-67",
AND(E527&gt;67, E527&lt;78), "68-77",
E527&gt;77,"Above than 77")</f>
        <v>28-37</v>
      </c>
      <c r="E527">
        <v>30</v>
      </c>
      <c r="F527" s="1">
        <v>34200</v>
      </c>
      <c r="G527" s="1" t="str">
        <f>VLOOKUP(H527,Table7[#All], 2, FALSE)</f>
        <v>Massachusetts</v>
      </c>
      <c r="H527" s="2" t="s">
        <v>14</v>
      </c>
      <c r="I527" s="2" t="s">
        <v>22</v>
      </c>
      <c r="J527" s="2" t="s">
        <v>34</v>
      </c>
      <c r="K527" s="2" t="s">
        <v>64</v>
      </c>
      <c r="L527" s="2" t="s">
        <v>9</v>
      </c>
      <c r="M527" s="2" t="s">
        <v>25</v>
      </c>
      <c r="N527" s="2" t="s">
        <v>19</v>
      </c>
      <c r="O527" s="2" t="s">
        <v>12</v>
      </c>
      <c r="P527" s="2" t="s">
        <v>59</v>
      </c>
      <c r="Q527" s="2" t="s">
        <v>30</v>
      </c>
      <c r="R527" s="2" t="s">
        <v>41</v>
      </c>
      <c r="S527">
        <v>3</v>
      </c>
    </row>
    <row r="528" spans="1:19" x14ac:dyDescent="0.3">
      <c r="A528">
        <v>1233</v>
      </c>
      <c r="B528">
        <f>YEAR(Cleaned_HR_Data_Analysis__2[[#This Row],[Joining_Date]])</f>
        <v>2022</v>
      </c>
      <c r="C528" s="1">
        <v>44765</v>
      </c>
      <c r="D528" s="1" t="str" cm="1">
        <f t="array" ref="D528">_xlfn.IFS(E528&lt;28, "17-27",
AND(E528&gt;27, E528&lt;38), "28-37",
AND(E528&gt;37, E528 &lt;48), "38-47",
AND(E528&gt;47, E528 &lt;58), "48-57",
AND(E528&gt;57, E528&lt;68), "58-67",
AND(E528&gt;67, E528&lt;78), "68-77",
E528&gt;77,"Above than 77")</f>
        <v>28-37</v>
      </c>
      <c r="E528">
        <v>30</v>
      </c>
      <c r="F528" s="1">
        <v>33731</v>
      </c>
      <c r="G528" s="1" t="str">
        <f>VLOOKUP(H528,Table7[#All], 2, FALSE)</f>
        <v>Massachusetts</v>
      </c>
      <c r="H528" s="2" t="s">
        <v>14</v>
      </c>
      <c r="I528" s="2" t="s">
        <v>22</v>
      </c>
      <c r="J528" s="2" t="s">
        <v>40</v>
      </c>
      <c r="K528" s="2" t="s">
        <v>64</v>
      </c>
      <c r="L528" s="2" t="s">
        <v>9</v>
      </c>
      <c r="M528" s="2" t="s">
        <v>25</v>
      </c>
      <c r="N528" s="2" t="s">
        <v>19</v>
      </c>
      <c r="O528" s="2" t="s">
        <v>12</v>
      </c>
      <c r="P528" s="2" t="s">
        <v>59</v>
      </c>
      <c r="Q528" s="2" t="s">
        <v>30</v>
      </c>
      <c r="R528" s="2" t="s">
        <v>18</v>
      </c>
      <c r="S528">
        <v>5</v>
      </c>
    </row>
    <row r="529" spans="1:19" x14ac:dyDescent="0.3">
      <c r="A529">
        <v>1125</v>
      </c>
      <c r="B529">
        <f>YEAR(Cleaned_HR_Data_Analysis__2[[#This Row],[Joining_Date]])</f>
        <v>2021</v>
      </c>
      <c r="C529" s="1">
        <v>44490</v>
      </c>
      <c r="D529" s="1" t="str" cm="1">
        <f t="array" ref="D529">_xlfn.IFS(E529&lt;28, "17-27",
AND(E529&gt;27, E529&lt;38), "28-37",
AND(E529&gt;37, E529 &lt;48), "38-47",
AND(E529&gt;47, E529 &lt;58), "48-57",
AND(E529&gt;57, E529&lt;68), "58-67",
AND(E529&gt;67, E529&lt;78), "68-77",
E529&gt;77,"Above than 77")</f>
        <v>28-37</v>
      </c>
      <c r="E529">
        <v>30</v>
      </c>
      <c r="F529" s="1">
        <v>33363</v>
      </c>
      <c r="G529" s="1" t="str">
        <f>VLOOKUP(H529,Table7[#All], 2, FALSE)</f>
        <v>Massachusetts</v>
      </c>
      <c r="H529" s="2" t="s">
        <v>14</v>
      </c>
      <c r="I529" s="2" t="s">
        <v>22</v>
      </c>
      <c r="J529" s="2" t="s">
        <v>34</v>
      </c>
      <c r="K529" s="2" t="s">
        <v>64</v>
      </c>
      <c r="L529" s="2" t="s">
        <v>9</v>
      </c>
      <c r="M529" s="2" t="s">
        <v>10</v>
      </c>
      <c r="N529" s="2" t="s">
        <v>26</v>
      </c>
      <c r="O529" s="2" t="s">
        <v>12</v>
      </c>
      <c r="P529" s="2" t="s">
        <v>21</v>
      </c>
      <c r="Q529" s="2" t="s">
        <v>23</v>
      </c>
      <c r="R529" s="2" t="s">
        <v>18</v>
      </c>
      <c r="S529">
        <v>3</v>
      </c>
    </row>
    <row r="530" spans="1:19" x14ac:dyDescent="0.3">
      <c r="A530">
        <v>3679</v>
      </c>
      <c r="B530">
        <f>YEAR(Cleaned_HR_Data_Analysis__2[[#This Row],[Joining_Date]])</f>
        <v>2019</v>
      </c>
      <c r="C530" s="1">
        <v>43813</v>
      </c>
      <c r="D530" s="1" t="str" cm="1">
        <f t="array" ref="D530">_xlfn.IFS(E530&lt;28, "17-27",
AND(E530&gt;27, E530&lt;38), "28-37",
AND(E530&gt;37, E530 &lt;48), "38-47",
AND(E530&gt;47, E530 &lt;58), "48-57",
AND(E530&gt;57, E530&lt;68), "58-67",
AND(E530&gt;67, E530&lt;78), "68-77",
E530&gt;77,"Above than 77")</f>
        <v>28-37</v>
      </c>
      <c r="E530">
        <v>30</v>
      </c>
      <c r="F530" s="1">
        <v>32705</v>
      </c>
      <c r="G530" s="1" t="str">
        <f>VLOOKUP(H530,Table7[#All], 2, FALSE)</f>
        <v>Massachusetts</v>
      </c>
      <c r="H530" s="2" t="s">
        <v>14</v>
      </c>
      <c r="I530" s="2" t="s">
        <v>22</v>
      </c>
      <c r="J530" s="2" t="s">
        <v>40</v>
      </c>
      <c r="K530" s="2" t="s">
        <v>8</v>
      </c>
      <c r="L530" s="2" t="s">
        <v>9</v>
      </c>
      <c r="M530" s="2" t="s">
        <v>25</v>
      </c>
      <c r="N530" s="2" t="s">
        <v>19</v>
      </c>
      <c r="O530" s="2" t="s">
        <v>12</v>
      </c>
      <c r="P530" s="2" t="s">
        <v>42</v>
      </c>
      <c r="Q530" s="2" t="s">
        <v>46</v>
      </c>
      <c r="R530" s="2" t="s">
        <v>18</v>
      </c>
      <c r="S530">
        <v>2</v>
      </c>
    </row>
    <row r="531" spans="1:19" x14ac:dyDescent="0.3">
      <c r="A531">
        <v>3659</v>
      </c>
      <c r="B531">
        <f>YEAR(Cleaned_HR_Data_Analysis__2[[#This Row],[Joining_Date]])</f>
        <v>2019</v>
      </c>
      <c r="C531" s="1">
        <v>43740</v>
      </c>
      <c r="D531" s="1" t="str" cm="1">
        <f t="array" ref="D531">_xlfn.IFS(E531&lt;28, "17-27",
AND(E531&gt;27, E531&lt;38), "28-37",
AND(E531&gt;37, E531 &lt;48), "38-47",
AND(E531&gt;47, E531 &lt;58), "48-57",
AND(E531&gt;57, E531&lt;68), "58-67",
AND(E531&gt;67, E531&lt;78), "68-77",
E531&gt;77,"Above than 77")</f>
        <v>28-37</v>
      </c>
      <c r="E531">
        <v>30</v>
      </c>
      <c r="F531" s="1">
        <v>32811</v>
      </c>
      <c r="G531" s="1" t="str">
        <f>VLOOKUP(H531,Table7[#All], 2, FALSE)</f>
        <v>Massachusetts</v>
      </c>
      <c r="H531" s="2" t="s">
        <v>14</v>
      </c>
      <c r="I531" s="2" t="s">
        <v>22</v>
      </c>
      <c r="J531" s="2" t="s">
        <v>40</v>
      </c>
      <c r="K531" s="2" t="s">
        <v>8</v>
      </c>
      <c r="L531" s="2" t="s">
        <v>9</v>
      </c>
      <c r="M531" s="2" t="s">
        <v>25</v>
      </c>
      <c r="N531" s="2" t="s">
        <v>19</v>
      </c>
      <c r="O531" s="2" t="s">
        <v>12</v>
      </c>
      <c r="P531" s="2" t="s">
        <v>35</v>
      </c>
      <c r="Q531" s="2" t="s">
        <v>30</v>
      </c>
      <c r="R531" s="2" t="s">
        <v>41</v>
      </c>
      <c r="S531">
        <v>1</v>
      </c>
    </row>
    <row r="532" spans="1:19" x14ac:dyDescent="0.3">
      <c r="A532">
        <v>3306</v>
      </c>
      <c r="B532">
        <f>YEAR(Cleaned_HR_Data_Analysis__2[[#This Row],[Joining_Date]])</f>
        <v>2022</v>
      </c>
      <c r="C532" s="1">
        <v>44828</v>
      </c>
      <c r="D532" s="1" t="str" cm="1">
        <f t="array" ref="D532">_xlfn.IFS(E532&lt;28, "17-27",
AND(E532&gt;27, E532&lt;38), "28-37",
AND(E532&gt;37, E532 &lt;48), "38-47",
AND(E532&gt;47, E532 &lt;58), "48-57",
AND(E532&gt;57, E532&lt;68), "58-67",
AND(E532&gt;67, E532&lt;78), "68-77",
E532&gt;77,"Above than 77")</f>
        <v>28-37</v>
      </c>
      <c r="E532">
        <v>30</v>
      </c>
      <c r="F532" s="1">
        <v>33694</v>
      </c>
      <c r="G532" s="1" t="str">
        <f>VLOOKUP(H532,Table7[#All], 2, FALSE)</f>
        <v>Massachusetts</v>
      </c>
      <c r="H532" s="2" t="s">
        <v>14</v>
      </c>
      <c r="I532" s="2" t="s">
        <v>22</v>
      </c>
      <c r="J532" s="2" t="s">
        <v>34</v>
      </c>
      <c r="K532" s="2" t="s">
        <v>8</v>
      </c>
      <c r="L532" s="2" t="s">
        <v>66</v>
      </c>
      <c r="M532" s="2" t="s">
        <v>25</v>
      </c>
      <c r="N532" s="2" t="s">
        <v>19</v>
      </c>
      <c r="O532" s="2" t="s">
        <v>12</v>
      </c>
      <c r="P532" s="2" t="s">
        <v>35</v>
      </c>
      <c r="Q532" s="2" t="s">
        <v>16</v>
      </c>
      <c r="R532" s="2" t="s">
        <v>65</v>
      </c>
      <c r="S532">
        <v>5</v>
      </c>
    </row>
    <row r="533" spans="1:19" x14ac:dyDescent="0.3">
      <c r="A533">
        <v>3252</v>
      </c>
      <c r="B533">
        <f>YEAR(Cleaned_HR_Data_Analysis__2[[#This Row],[Joining_Date]])</f>
        <v>2023</v>
      </c>
      <c r="C533" s="1">
        <v>44999</v>
      </c>
      <c r="D533" s="1" t="str" cm="1">
        <f t="array" ref="D533">_xlfn.IFS(E533&lt;28, "17-27",
AND(E533&gt;27, E533&lt;38), "28-37",
AND(E533&gt;37, E533 &lt;48), "38-47",
AND(E533&gt;47, E533 &lt;58), "48-57",
AND(E533&gt;57, E533&lt;68), "58-67",
AND(E533&gt;67, E533&lt;78), "68-77",
E533&gt;77,"Above than 77")</f>
        <v>28-37</v>
      </c>
      <c r="E533">
        <v>30</v>
      </c>
      <c r="F533" s="1">
        <v>34275</v>
      </c>
      <c r="G533" s="1" t="str">
        <f>VLOOKUP(H533,Table7[#All], 2, FALSE)</f>
        <v>Massachusetts</v>
      </c>
      <c r="H533" s="2" t="s">
        <v>14</v>
      </c>
      <c r="I533" s="2" t="s">
        <v>15</v>
      </c>
      <c r="J533" s="2" t="s">
        <v>40</v>
      </c>
      <c r="K533" s="2" t="s">
        <v>8</v>
      </c>
      <c r="L533" s="2" t="s">
        <v>9</v>
      </c>
      <c r="M533" s="2" t="s">
        <v>25</v>
      </c>
      <c r="N533" s="2" t="s">
        <v>19</v>
      </c>
      <c r="O533" s="2" t="s">
        <v>12</v>
      </c>
      <c r="P533" s="2" t="s">
        <v>58</v>
      </c>
      <c r="Q533" s="2" t="s">
        <v>37</v>
      </c>
      <c r="R533" s="2" t="s">
        <v>65</v>
      </c>
      <c r="S533">
        <v>3</v>
      </c>
    </row>
    <row r="534" spans="1:19" x14ac:dyDescent="0.3">
      <c r="A534">
        <v>3170</v>
      </c>
      <c r="B534">
        <f>YEAR(Cleaned_HR_Data_Analysis__2[[#This Row],[Joining_Date]])</f>
        <v>2022</v>
      </c>
      <c r="C534" s="1">
        <v>44589</v>
      </c>
      <c r="D534" s="1" t="str" cm="1">
        <f t="array" ref="D534">_xlfn.IFS(E534&lt;28, "17-27",
AND(E534&gt;27, E534&lt;38), "28-37",
AND(E534&gt;37, E534 &lt;48), "38-47",
AND(E534&gt;47, E534 &lt;58), "48-57",
AND(E534&gt;57, E534&lt;68), "58-67",
AND(E534&gt;67, E534&lt;78), "68-77",
E534&gt;77,"Above than 77")</f>
        <v>28-37</v>
      </c>
      <c r="E534">
        <v>30</v>
      </c>
      <c r="F534" s="1">
        <v>33626</v>
      </c>
      <c r="G534" s="1" t="str">
        <f>VLOOKUP(H534,Table7[#All], 2, FALSE)</f>
        <v>Massachusetts</v>
      </c>
      <c r="H534" s="2" t="s">
        <v>14</v>
      </c>
      <c r="I534" s="2" t="s">
        <v>22</v>
      </c>
      <c r="J534" s="2" t="s">
        <v>34</v>
      </c>
      <c r="K534" s="2" t="s">
        <v>8</v>
      </c>
      <c r="L534" s="2" t="s">
        <v>9</v>
      </c>
      <c r="M534" s="2" t="s">
        <v>25</v>
      </c>
      <c r="N534" s="2" t="s">
        <v>11</v>
      </c>
      <c r="O534" s="2" t="s">
        <v>12</v>
      </c>
      <c r="P534" s="2" t="s">
        <v>35</v>
      </c>
      <c r="Q534" s="2" t="s">
        <v>46</v>
      </c>
      <c r="R534" s="2" t="s">
        <v>18</v>
      </c>
      <c r="S534">
        <v>3</v>
      </c>
    </row>
    <row r="535" spans="1:19" x14ac:dyDescent="0.3">
      <c r="A535">
        <v>2915</v>
      </c>
      <c r="B535">
        <f>YEAR(Cleaned_HR_Data_Analysis__2[[#This Row],[Joining_Date]])</f>
        <v>2022</v>
      </c>
      <c r="C535" s="1">
        <v>44681</v>
      </c>
      <c r="D535" s="1" t="str" cm="1">
        <f t="array" ref="D535">_xlfn.IFS(E535&lt;28, "17-27",
AND(E535&gt;27, E535&lt;38), "28-37",
AND(E535&gt;37, E535 &lt;48), "38-47",
AND(E535&gt;47, E535 &lt;58), "48-57",
AND(E535&gt;57, E535&lt;68), "58-67",
AND(E535&gt;67, E535&lt;78), "68-77",
E535&gt;77,"Above than 77")</f>
        <v>28-37</v>
      </c>
      <c r="E535">
        <v>30</v>
      </c>
      <c r="F535" s="1">
        <v>33850</v>
      </c>
      <c r="G535" s="1" t="str">
        <f>VLOOKUP(H535,Table7[#All], 2, FALSE)</f>
        <v>Massachusetts</v>
      </c>
      <c r="H535" s="2" t="s">
        <v>14</v>
      </c>
      <c r="I535" s="2" t="s">
        <v>22</v>
      </c>
      <c r="J535" s="2" t="s">
        <v>17</v>
      </c>
      <c r="K535" s="2" t="s">
        <v>8</v>
      </c>
      <c r="L535" s="2" t="s">
        <v>66</v>
      </c>
      <c r="M535" s="2" t="s">
        <v>25</v>
      </c>
      <c r="N535" s="2" t="s">
        <v>26</v>
      </c>
      <c r="O535" s="2" t="s">
        <v>12</v>
      </c>
      <c r="P535" s="2" t="s">
        <v>35</v>
      </c>
      <c r="Q535" s="2" t="s">
        <v>46</v>
      </c>
      <c r="R535" s="2" t="s">
        <v>41</v>
      </c>
      <c r="S535">
        <v>4</v>
      </c>
    </row>
    <row r="536" spans="1:19" x14ac:dyDescent="0.3">
      <c r="A536">
        <v>2816</v>
      </c>
      <c r="B536">
        <f>YEAR(Cleaned_HR_Data_Analysis__2[[#This Row],[Joining_Date]])</f>
        <v>2022</v>
      </c>
      <c r="C536" s="1">
        <v>44767</v>
      </c>
      <c r="D536" s="1" t="str" cm="1">
        <f t="array" ref="D536">_xlfn.IFS(E536&lt;28, "17-27",
AND(E536&gt;27, E536&lt;38), "28-37",
AND(E536&gt;37, E536 &lt;48), "38-47",
AND(E536&gt;47, E536 &lt;58), "48-57",
AND(E536&gt;57, E536&lt;68), "58-67",
AND(E536&gt;67, E536&lt;78), "68-77",
E536&gt;77,"Above than 77")</f>
        <v>28-37</v>
      </c>
      <c r="E536">
        <v>30</v>
      </c>
      <c r="F536" s="1">
        <v>33942</v>
      </c>
      <c r="G536" s="1" t="str">
        <f>VLOOKUP(H536,Table7[#All], 2, FALSE)</f>
        <v>Massachusetts</v>
      </c>
      <c r="H536" s="2" t="s">
        <v>14</v>
      </c>
      <c r="I536" s="2" t="s">
        <v>15</v>
      </c>
      <c r="J536" s="2" t="s">
        <v>34</v>
      </c>
      <c r="K536" s="2" t="s">
        <v>8</v>
      </c>
      <c r="L536" s="2" t="s">
        <v>9</v>
      </c>
      <c r="M536" s="2" t="s">
        <v>25</v>
      </c>
      <c r="N536" s="2" t="s">
        <v>11</v>
      </c>
      <c r="O536" s="2" t="s">
        <v>12</v>
      </c>
      <c r="P536" s="2" t="s">
        <v>32</v>
      </c>
      <c r="Q536" s="2" t="s">
        <v>37</v>
      </c>
      <c r="R536" s="2" t="s">
        <v>18</v>
      </c>
      <c r="S536">
        <v>2</v>
      </c>
    </row>
    <row r="537" spans="1:19" x14ac:dyDescent="0.3">
      <c r="A537">
        <v>2201</v>
      </c>
      <c r="B537">
        <f>YEAR(Cleaned_HR_Data_Analysis__2[[#This Row],[Joining_Date]])</f>
        <v>2020</v>
      </c>
      <c r="C537" s="1">
        <v>44013</v>
      </c>
      <c r="D537" s="1" t="str" cm="1">
        <f t="array" ref="D537">_xlfn.IFS(E537&lt;28, "17-27",
AND(E537&gt;27, E537&lt;38), "28-37",
AND(E537&gt;37, E537 &lt;48), "38-47",
AND(E537&gt;47, E537 &lt;58), "48-57",
AND(E537&gt;57, E537&lt;68), "58-67",
AND(E537&gt;67, E537&lt;78), "68-77",
E537&gt;77,"Above than 77")</f>
        <v>28-37</v>
      </c>
      <c r="E537">
        <v>30</v>
      </c>
      <c r="F537" s="1">
        <v>33051</v>
      </c>
      <c r="G537" s="1" t="str">
        <f>VLOOKUP(H537,Table7[#All], 2, FALSE)</f>
        <v>Massachusetts</v>
      </c>
      <c r="H537" s="2" t="s">
        <v>14</v>
      </c>
      <c r="I537" s="2" t="s">
        <v>22</v>
      </c>
      <c r="J537" s="2" t="s">
        <v>34</v>
      </c>
      <c r="K537" s="2" t="s">
        <v>8</v>
      </c>
      <c r="L537" s="2" t="s">
        <v>9</v>
      </c>
      <c r="M537" s="2" t="s">
        <v>10</v>
      </c>
      <c r="N537" s="2" t="s">
        <v>11</v>
      </c>
      <c r="O537" s="2" t="s">
        <v>12</v>
      </c>
      <c r="P537" s="2" t="s">
        <v>54</v>
      </c>
      <c r="Q537" s="2" t="s">
        <v>30</v>
      </c>
      <c r="R537" s="2" t="s">
        <v>41</v>
      </c>
      <c r="S537">
        <v>1</v>
      </c>
    </row>
    <row r="538" spans="1:19" x14ac:dyDescent="0.3">
      <c r="A538">
        <v>1911</v>
      </c>
      <c r="B538">
        <f>YEAR(Cleaned_HR_Data_Analysis__2[[#This Row],[Joining_Date]])</f>
        <v>2021</v>
      </c>
      <c r="C538" s="1">
        <v>44220</v>
      </c>
      <c r="D538" s="1" t="str" cm="1">
        <f t="array" ref="D538">_xlfn.IFS(E538&lt;28, "17-27",
AND(E538&gt;27, E538&lt;38), "28-37",
AND(E538&gt;37, E538 &lt;48), "38-47",
AND(E538&gt;47, E538 &lt;58), "48-57",
AND(E538&gt;57, E538&lt;68), "58-67",
AND(E538&gt;67, E538&lt;78), "68-77",
E538&gt;77,"Above than 77")</f>
        <v>28-37</v>
      </c>
      <c r="E538">
        <v>30</v>
      </c>
      <c r="F538" s="1">
        <v>33401</v>
      </c>
      <c r="G538" s="1" t="str">
        <f>VLOOKUP(H538,Table7[#All], 2, FALSE)</f>
        <v>Massachusetts</v>
      </c>
      <c r="H538" s="2" t="s">
        <v>14</v>
      </c>
      <c r="I538" s="2" t="s">
        <v>15</v>
      </c>
      <c r="J538" s="2" t="s">
        <v>40</v>
      </c>
      <c r="K538" s="2" t="s">
        <v>8</v>
      </c>
      <c r="L538" s="2" t="s">
        <v>66</v>
      </c>
      <c r="M538" s="2" t="s">
        <v>20</v>
      </c>
      <c r="N538" s="2" t="s">
        <v>26</v>
      </c>
      <c r="O538" s="2" t="s">
        <v>12</v>
      </c>
      <c r="P538" s="2" t="s">
        <v>59</v>
      </c>
      <c r="Q538" s="2" t="s">
        <v>16</v>
      </c>
      <c r="R538" s="2" t="s">
        <v>18</v>
      </c>
      <c r="S538">
        <v>4</v>
      </c>
    </row>
    <row r="539" spans="1:19" x14ac:dyDescent="0.3">
      <c r="A539">
        <v>1870</v>
      </c>
      <c r="B539">
        <f>YEAR(Cleaned_HR_Data_Analysis__2[[#This Row],[Joining_Date]])</f>
        <v>2022</v>
      </c>
      <c r="C539" s="1">
        <v>44838</v>
      </c>
      <c r="D539" s="1" t="str" cm="1">
        <f t="array" ref="D539">_xlfn.IFS(E539&lt;28, "17-27",
AND(E539&gt;27, E539&lt;38), "28-37",
AND(E539&gt;37, E539 &lt;48), "38-47",
AND(E539&gt;47, E539 &lt;58), "48-57",
AND(E539&gt;57, E539&lt;68), "58-67",
AND(E539&gt;67, E539&lt;78), "68-77",
E539&gt;77,"Above than 77")</f>
        <v>28-37</v>
      </c>
      <c r="E539">
        <v>30</v>
      </c>
      <c r="F539" s="1">
        <v>33694</v>
      </c>
      <c r="G539" s="1" t="str">
        <f>VLOOKUP(H539,Table7[#All], 2, FALSE)</f>
        <v>Massachusetts</v>
      </c>
      <c r="H539" s="2" t="s">
        <v>14</v>
      </c>
      <c r="I539" s="2" t="s">
        <v>15</v>
      </c>
      <c r="J539" s="2" t="s">
        <v>34</v>
      </c>
      <c r="K539" s="2" t="s">
        <v>8</v>
      </c>
      <c r="L539" s="2" t="s">
        <v>9</v>
      </c>
      <c r="M539" s="2" t="s">
        <v>10</v>
      </c>
      <c r="N539" s="2" t="s">
        <v>26</v>
      </c>
      <c r="O539" s="2" t="s">
        <v>12</v>
      </c>
      <c r="P539" s="2" t="s">
        <v>42</v>
      </c>
      <c r="Q539" s="2" t="s">
        <v>23</v>
      </c>
      <c r="R539" s="2" t="s">
        <v>18</v>
      </c>
      <c r="S539">
        <v>5</v>
      </c>
    </row>
    <row r="540" spans="1:19" x14ac:dyDescent="0.3">
      <c r="A540">
        <v>1774</v>
      </c>
      <c r="B540">
        <f>YEAR(Cleaned_HR_Data_Analysis__2[[#This Row],[Joining_Date]])</f>
        <v>2019</v>
      </c>
      <c r="C540" s="1">
        <v>43722</v>
      </c>
      <c r="D540" s="1" t="str" cm="1">
        <f t="array" ref="D540">_xlfn.IFS(E540&lt;28, "17-27",
AND(E540&gt;27, E540&lt;38), "28-37",
AND(E540&gt;37, E540 &lt;48), "38-47",
AND(E540&gt;47, E540 &lt;58), "48-57",
AND(E540&gt;57, E540&lt;68), "58-67",
AND(E540&gt;67, E540&lt;78), "68-77",
E540&gt;77,"Above than 77")</f>
        <v>28-37</v>
      </c>
      <c r="E540">
        <v>30</v>
      </c>
      <c r="F540" s="1">
        <v>32775</v>
      </c>
      <c r="G540" s="1" t="str">
        <f>VLOOKUP(H540,Table7[#All], 2, FALSE)</f>
        <v>Massachusetts</v>
      </c>
      <c r="H540" s="2" t="s">
        <v>14</v>
      </c>
      <c r="I540" s="2" t="s">
        <v>15</v>
      </c>
      <c r="J540" s="2" t="s">
        <v>17</v>
      </c>
      <c r="K540" s="2" t="s">
        <v>8</v>
      </c>
      <c r="L540" s="2" t="s">
        <v>9</v>
      </c>
      <c r="M540" s="2" t="s">
        <v>25</v>
      </c>
      <c r="N540" s="2" t="s">
        <v>26</v>
      </c>
      <c r="O540" s="2" t="s">
        <v>12</v>
      </c>
      <c r="P540" s="2" t="s">
        <v>35</v>
      </c>
      <c r="Q540" s="2" t="s">
        <v>46</v>
      </c>
      <c r="R540" s="2" t="s">
        <v>18</v>
      </c>
      <c r="S540">
        <v>1</v>
      </c>
    </row>
    <row r="541" spans="1:19" x14ac:dyDescent="0.3">
      <c r="A541">
        <v>1570</v>
      </c>
      <c r="B541">
        <f>YEAR(Cleaned_HR_Data_Analysis__2[[#This Row],[Joining_Date]])</f>
        <v>2022</v>
      </c>
      <c r="C541" s="1">
        <v>44888</v>
      </c>
      <c r="D541" s="1" t="str" cm="1">
        <f t="array" ref="D541">_xlfn.IFS(E541&lt;28, "17-27",
AND(E541&gt;27, E541&lt;38), "28-37",
AND(E541&gt;37, E541 &lt;48), "38-47",
AND(E541&gt;47, E541 &lt;58), "48-57",
AND(E541&gt;57, E541&lt;68), "58-67",
AND(E541&gt;67, E541&lt;78), "68-77",
E541&gt;77,"Above than 77")</f>
        <v>28-37</v>
      </c>
      <c r="E541">
        <v>30</v>
      </c>
      <c r="F541" s="1">
        <v>33604</v>
      </c>
      <c r="G541" s="1" t="str">
        <f>VLOOKUP(H541,Table7[#All], 2, FALSE)</f>
        <v>Massachusetts</v>
      </c>
      <c r="H541" s="2" t="s">
        <v>14</v>
      </c>
      <c r="I541" s="2" t="s">
        <v>22</v>
      </c>
      <c r="J541" s="2" t="s">
        <v>31</v>
      </c>
      <c r="K541" s="2" t="s">
        <v>8</v>
      </c>
      <c r="L541" s="2" t="s">
        <v>9</v>
      </c>
      <c r="M541" s="2" t="s">
        <v>10</v>
      </c>
      <c r="N541" s="2" t="s">
        <v>11</v>
      </c>
      <c r="O541" s="2" t="s">
        <v>12</v>
      </c>
      <c r="P541" s="2" t="s">
        <v>32</v>
      </c>
      <c r="Q541" s="2" t="s">
        <v>46</v>
      </c>
      <c r="R541" s="2" t="s">
        <v>18</v>
      </c>
      <c r="S541">
        <v>4</v>
      </c>
    </row>
    <row r="542" spans="1:19" x14ac:dyDescent="0.3">
      <c r="A542">
        <v>1542</v>
      </c>
      <c r="B542">
        <f>YEAR(Cleaned_HR_Data_Analysis__2[[#This Row],[Joining_Date]])</f>
        <v>2022</v>
      </c>
      <c r="C542" s="1">
        <v>44658</v>
      </c>
      <c r="D542" s="1" t="str" cm="1">
        <f t="array" ref="D542">_xlfn.IFS(E542&lt;28, "17-27",
AND(E542&gt;27, E542&lt;38), "28-37",
AND(E542&gt;37, E542 &lt;48), "38-47",
AND(E542&gt;47, E542 &lt;58), "48-57",
AND(E542&gt;57, E542&lt;68), "58-67",
AND(E542&gt;67, E542&lt;78), "68-77",
E542&gt;77,"Above than 77")</f>
        <v>28-37</v>
      </c>
      <c r="E542">
        <v>30</v>
      </c>
      <c r="F542" s="1">
        <v>33949</v>
      </c>
      <c r="G542" s="1" t="str">
        <f>VLOOKUP(H542,Table7[#All], 2, FALSE)</f>
        <v>Massachusetts</v>
      </c>
      <c r="H542" s="2" t="s">
        <v>14</v>
      </c>
      <c r="I542" s="2" t="s">
        <v>22</v>
      </c>
      <c r="J542" s="2" t="s">
        <v>34</v>
      </c>
      <c r="K542" s="2" t="s">
        <v>8</v>
      </c>
      <c r="L542" s="2" t="s">
        <v>9</v>
      </c>
      <c r="M542" s="2" t="s">
        <v>25</v>
      </c>
      <c r="N542" s="2" t="s">
        <v>19</v>
      </c>
      <c r="O542" s="2" t="s">
        <v>12</v>
      </c>
      <c r="P542" s="2" t="s">
        <v>49</v>
      </c>
      <c r="Q542" s="2" t="s">
        <v>16</v>
      </c>
      <c r="R542" s="2" t="s">
        <v>18</v>
      </c>
      <c r="S542">
        <v>4</v>
      </c>
    </row>
    <row r="543" spans="1:19" x14ac:dyDescent="0.3">
      <c r="A543">
        <v>1521</v>
      </c>
      <c r="B543">
        <f>YEAR(Cleaned_HR_Data_Analysis__2[[#This Row],[Joining_Date]])</f>
        <v>2020</v>
      </c>
      <c r="C543" s="1">
        <v>44173</v>
      </c>
      <c r="D543" s="1" t="str" cm="1">
        <f t="array" ref="D543">_xlfn.IFS(E543&lt;28, "17-27",
AND(E543&gt;27, E543&lt;38), "28-37",
AND(E543&gt;37, E543 &lt;48), "38-47",
AND(E543&gt;47, E543 &lt;58), "48-57",
AND(E543&gt;57, E543&lt;68), "58-67",
AND(E543&gt;67, E543&lt;78), "68-77",
E543&gt;77,"Above than 77")</f>
        <v>28-37</v>
      </c>
      <c r="E543">
        <v>30</v>
      </c>
      <c r="F543" s="1">
        <v>32978</v>
      </c>
      <c r="G543" s="1" t="str">
        <f>VLOOKUP(H543,Table7[#All], 2, FALSE)</f>
        <v>Massachusetts</v>
      </c>
      <c r="H543" s="2" t="s">
        <v>14</v>
      </c>
      <c r="I543" s="2" t="s">
        <v>22</v>
      </c>
      <c r="J543" s="2" t="s">
        <v>31</v>
      </c>
      <c r="K543" s="2" t="s">
        <v>8</v>
      </c>
      <c r="L543" s="2" t="s">
        <v>9</v>
      </c>
      <c r="M543" s="2" t="s">
        <v>10</v>
      </c>
      <c r="N543" s="2" t="s">
        <v>26</v>
      </c>
      <c r="O543" s="2" t="s">
        <v>12</v>
      </c>
      <c r="P543" s="2" t="s">
        <v>59</v>
      </c>
      <c r="Q543" s="2" t="s">
        <v>37</v>
      </c>
      <c r="R543" s="2" t="s">
        <v>56</v>
      </c>
      <c r="S543">
        <v>1</v>
      </c>
    </row>
    <row r="544" spans="1:19" x14ac:dyDescent="0.3">
      <c r="A544">
        <v>1423</v>
      </c>
      <c r="B544">
        <f>YEAR(Cleaned_HR_Data_Analysis__2[[#This Row],[Joining_Date]])</f>
        <v>2022</v>
      </c>
      <c r="C544" s="1">
        <v>44737</v>
      </c>
      <c r="D544" s="1" t="str" cm="1">
        <f t="array" ref="D544">_xlfn.IFS(E544&lt;28, "17-27",
AND(E544&gt;27, E544&lt;38), "28-37",
AND(E544&gt;37, E544 &lt;48), "38-47",
AND(E544&gt;47, E544 &lt;58), "48-57",
AND(E544&gt;57, E544&lt;68), "58-67",
AND(E544&gt;67, E544&lt;78), "68-77",
E544&gt;77,"Above than 77")</f>
        <v>28-37</v>
      </c>
      <c r="E544">
        <v>30</v>
      </c>
      <c r="F544" s="1">
        <v>33675</v>
      </c>
      <c r="G544" s="1" t="str">
        <f>VLOOKUP(H544,Table7[#All], 2, FALSE)</f>
        <v>Massachusetts</v>
      </c>
      <c r="H544" s="2" t="s">
        <v>14</v>
      </c>
      <c r="I544" s="2" t="s">
        <v>15</v>
      </c>
      <c r="J544" s="2" t="s">
        <v>31</v>
      </c>
      <c r="K544" s="2" t="s">
        <v>8</v>
      </c>
      <c r="L544" s="2" t="s">
        <v>9</v>
      </c>
      <c r="M544" s="2" t="s">
        <v>25</v>
      </c>
      <c r="N544" s="2" t="s">
        <v>19</v>
      </c>
      <c r="O544" s="2" t="s">
        <v>12</v>
      </c>
      <c r="P544" s="2" t="s">
        <v>21</v>
      </c>
      <c r="Q544" s="2" t="s">
        <v>16</v>
      </c>
      <c r="R544" s="2" t="s">
        <v>56</v>
      </c>
      <c r="S544">
        <v>5</v>
      </c>
    </row>
    <row r="545" spans="1:19" x14ac:dyDescent="0.3">
      <c r="A545">
        <v>2255</v>
      </c>
      <c r="B545">
        <f>YEAR(Cleaned_HR_Data_Analysis__2[[#This Row],[Joining_Date]])</f>
        <v>2020</v>
      </c>
      <c r="C545" s="1">
        <v>44089</v>
      </c>
      <c r="D545" s="1" t="str" cm="1">
        <f t="array" ref="D545">_xlfn.IFS(E545&lt;28, "17-27",
AND(E545&gt;27, E545&lt;38), "28-37",
AND(E545&gt;37, E545 &lt;48), "38-47",
AND(E545&gt;47, E545 &lt;58), "48-57",
AND(E545&gt;57, E545&lt;68), "58-67",
AND(E545&gt;67, E545&lt;78), "68-77",
E545&gt;77,"Above than 77")</f>
        <v>28-37</v>
      </c>
      <c r="E545">
        <v>30</v>
      </c>
      <c r="F545" s="1">
        <v>33070</v>
      </c>
      <c r="G545" s="1" t="str">
        <f>VLOOKUP(H545,Table7[#All], 2, FALSE)</f>
        <v>Massachusetts</v>
      </c>
      <c r="H545" s="2" t="s">
        <v>14</v>
      </c>
      <c r="I545" s="2" t="s">
        <v>15</v>
      </c>
      <c r="J545" s="2" t="s">
        <v>31</v>
      </c>
      <c r="K545" s="2" t="s">
        <v>70</v>
      </c>
      <c r="L545" s="2" t="s">
        <v>9</v>
      </c>
      <c r="M545" s="2" t="s">
        <v>25</v>
      </c>
      <c r="N545" s="2" t="s">
        <v>11</v>
      </c>
      <c r="O545" s="2" t="s">
        <v>53</v>
      </c>
      <c r="P545" s="2" t="s">
        <v>59</v>
      </c>
      <c r="Q545" s="2" t="s">
        <v>23</v>
      </c>
      <c r="R545" s="2" t="s">
        <v>18</v>
      </c>
      <c r="S545">
        <v>4</v>
      </c>
    </row>
    <row r="546" spans="1:19" x14ac:dyDescent="0.3">
      <c r="A546">
        <v>2231</v>
      </c>
      <c r="B546">
        <f>YEAR(Cleaned_HR_Data_Analysis__2[[#This Row],[Joining_Date]])</f>
        <v>2020</v>
      </c>
      <c r="C546" s="1">
        <v>44191</v>
      </c>
      <c r="D546" s="1" t="str" cm="1">
        <f t="array" ref="D546">_xlfn.IFS(E546&lt;28, "17-27",
AND(E546&gt;27, E546&lt;38), "28-37",
AND(E546&gt;37, E546 &lt;48), "38-47",
AND(E546&gt;47, E546 &lt;58), "48-57",
AND(E546&gt;57, E546&lt;68), "58-67",
AND(E546&gt;67, E546&lt;78), "68-77",
E546&gt;77,"Above than 77")</f>
        <v>28-37</v>
      </c>
      <c r="E546">
        <v>30</v>
      </c>
      <c r="F546" s="1">
        <v>32987</v>
      </c>
      <c r="G546" s="1" t="str">
        <f>VLOOKUP(H546,Table7[#All], 2, FALSE)</f>
        <v>Connecticut</v>
      </c>
      <c r="H546" s="2" t="s">
        <v>36</v>
      </c>
      <c r="I546" s="2" t="s">
        <v>15</v>
      </c>
      <c r="J546" s="2" t="s">
        <v>31</v>
      </c>
      <c r="K546" s="2" t="s">
        <v>102</v>
      </c>
      <c r="L546" s="2" t="s">
        <v>9</v>
      </c>
      <c r="M546" s="2" t="s">
        <v>25</v>
      </c>
      <c r="N546" s="2" t="s">
        <v>19</v>
      </c>
      <c r="O546" s="2" t="s">
        <v>53</v>
      </c>
      <c r="P546" s="2" t="s">
        <v>32</v>
      </c>
      <c r="Q546" s="2" t="s">
        <v>30</v>
      </c>
      <c r="R546" s="2" t="s">
        <v>18</v>
      </c>
      <c r="S546">
        <v>2</v>
      </c>
    </row>
    <row r="547" spans="1:19" x14ac:dyDescent="0.3">
      <c r="A547">
        <v>1708</v>
      </c>
      <c r="B547">
        <f>YEAR(Cleaned_HR_Data_Analysis__2[[#This Row],[Joining_Date]])</f>
        <v>2020</v>
      </c>
      <c r="C547" s="1">
        <v>44084</v>
      </c>
      <c r="D547" s="1" t="str" cm="1">
        <f t="array" ref="D547">_xlfn.IFS(E547&lt;28, "17-27",
AND(E547&gt;27, E547&lt;38), "28-37",
AND(E547&gt;37, E547 &lt;48), "38-47",
AND(E547&gt;47, E547 &lt;58), "48-57",
AND(E547&gt;57, E547&lt;68), "58-67",
AND(E547&gt;67, E547&lt;78), "68-77",
E547&gt;77,"Above than 77")</f>
        <v>28-37</v>
      </c>
      <c r="E547">
        <v>30</v>
      </c>
      <c r="F547" s="1">
        <v>33005</v>
      </c>
      <c r="G547" s="1" t="str">
        <f>VLOOKUP(H547,Table7[#All], 2, FALSE)</f>
        <v>Massachusetts</v>
      </c>
      <c r="H547" s="2" t="s">
        <v>14</v>
      </c>
      <c r="I547" s="2" t="s">
        <v>22</v>
      </c>
      <c r="J547" s="2" t="s">
        <v>17</v>
      </c>
      <c r="K547" s="2" t="s">
        <v>97</v>
      </c>
      <c r="L547" s="2" t="s">
        <v>9</v>
      </c>
      <c r="M547" s="2" t="s">
        <v>25</v>
      </c>
      <c r="N547" s="2" t="s">
        <v>19</v>
      </c>
      <c r="O547" s="2" t="s">
        <v>53</v>
      </c>
      <c r="P547" s="2" t="s">
        <v>49</v>
      </c>
      <c r="Q547" s="2" t="s">
        <v>46</v>
      </c>
      <c r="R547" s="2" t="s">
        <v>18</v>
      </c>
      <c r="S547">
        <v>5</v>
      </c>
    </row>
    <row r="548" spans="1:19" x14ac:dyDescent="0.3">
      <c r="A548">
        <v>1706</v>
      </c>
      <c r="B548">
        <f>YEAR(Cleaned_HR_Data_Analysis__2[[#This Row],[Joining_Date]])</f>
        <v>2020</v>
      </c>
      <c r="C548" s="1">
        <v>44167</v>
      </c>
      <c r="D548" s="1" t="str" cm="1">
        <f t="array" ref="D548">_xlfn.IFS(E548&lt;28, "17-27",
AND(E548&gt;27, E548&lt;38), "28-37",
AND(E548&gt;37, E548 &lt;48), "38-47",
AND(E548&gt;47, E548 &lt;58), "48-57",
AND(E548&gt;57, E548&lt;68), "58-67",
AND(E548&gt;67, E548&lt;78), "68-77",
E548&gt;77,"Above than 77")</f>
        <v>28-37</v>
      </c>
      <c r="E548">
        <v>30</v>
      </c>
      <c r="F548" s="1">
        <v>32966</v>
      </c>
      <c r="G548" s="1" t="str">
        <f>VLOOKUP(H548,Table7[#All], 2, FALSE)</f>
        <v>Massachusetts</v>
      </c>
      <c r="H548" s="2" t="s">
        <v>14</v>
      </c>
      <c r="I548" s="2" t="s">
        <v>15</v>
      </c>
      <c r="J548" s="2" t="s">
        <v>34</v>
      </c>
      <c r="K548" s="2" t="s">
        <v>97</v>
      </c>
      <c r="L548" s="2" t="s">
        <v>9</v>
      </c>
      <c r="M548" s="2" t="s">
        <v>10</v>
      </c>
      <c r="N548" s="2" t="s">
        <v>19</v>
      </c>
      <c r="O548" s="2" t="s">
        <v>53</v>
      </c>
      <c r="P548" s="2" t="s">
        <v>21</v>
      </c>
      <c r="Q548" s="2" t="s">
        <v>23</v>
      </c>
      <c r="R548" s="2" t="s">
        <v>18</v>
      </c>
      <c r="S548">
        <v>2</v>
      </c>
    </row>
    <row r="549" spans="1:19" x14ac:dyDescent="0.3">
      <c r="A549">
        <v>2628</v>
      </c>
      <c r="B549">
        <f>YEAR(Cleaned_HR_Data_Analysis__2[[#This Row],[Joining_Date]])</f>
        <v>2021</v>
      </c>
      <c r="C549" s="1">
        <v>44537</v>
      </c>
      <c r="D549" s="1" t="str" cm="1">
        <f t="array" ref="D549">_xlfn.IFS(E549&lt;28, "17-27",
AND(E549&gt;27, E549&lt;38), "28-37",
AND(E549&gt;37, E549 &lt;48), "38-47",
AND(E549&gt;47, E549 &lt;58), "48-57",
AND(E549&gt;57, E549&lt;68), "58-67",
AND(E549&gt;67, E549&lt;78), "68-77",
E549&gt;77,"Above than 77")</f>
        <v>28-37</v>
      </c>
      <c r="E549">
        <v>30</v>
      </c>
      <c r="F549" s="1">
        <v>33561</v>
      </c>
      <c r="G549" s="1" t="str">
        <f>VLOOKUP(H549,Table7[#All], 2, FALSE)</f>
        <v>Tennessee</v>
      </c>
      <c r="H549" s="2" t="s">
        <v>120</v>
      </c>
      <c r="I549" s="2" t="s">
        <v>22</v>
      </c>
      <c r="J549" s="2" t="s">
        <v>40</v>
      </c>
      <c r="K549" s="2" t="s">
        <v>24</v>
      </c>
      <c r="L549" s="2" t="s">
        <v>9</v>
      </c>
      <c r="M549" s="2" t="s">
        <v>20</v>
      </c>
      <c r="N549" s="2" t="s">
        <v>19</v>
      </c>
      <c r="O549" s="2" t="s">
        <v>27</v>
      </c>
      <c r="P549" s="2" t="s">
        <v>76</v>
      </c>
      <c r="Q549" s="2" t="s">
        <v>23</v>
      </c>
      <c r="R549" s="2" t="s">
        <v>18</v>
      </c>
      <c r="S549">
        <v>4</v>
      </c>
    </row>
    <row r="550" spans="1:19" x14ac:dyDescent="0.3">
      <c r="A550">
        <v>3441</v>
      </c>
      <c r="B550">
        <f>YEAR(Cleaned_HR_Data_Analysis__2[[#This Row],[Joining_Date]])</f>
        <v>2019</v>
      </c>
      <c r="C550" s="1">
        <v>43583</v>
      </c>
      <c r="D550" s="1" t="str" cm="1">
        <f t="array" ref="D550">_xlfn.IFS(E550&lt;28, "17-27",
AND(E550&gt;27, E550&lt;38), "28-37",
AND(E550&gt;37, E550 &lt;48), "38-47",
AND(E550&gt;47, E550 &lt;58), "48-57",
AND(E550&gt;57, E550&lt;68), "58-67",
AND(E550&gt;67, E550&lt;78), "68-77",
E550&gt;77,"Above than 77")</f>
        <v>28-37</v>
      </c>
      <c r="E550">
        <v>30</v>
      </c>
      <c r="F550" s="1">
        <v>32833</v>
      </c>
      <c r="G550" s="1" t="str">
        <f>VLOOKUP(H550,Table7[#All], 2, FALSE)</f>
        <v>Nevada</v>
      </c>
      <c r="H550" s="2" t="s">
        <v>52</v>
      </c>
      <c r="I550" s="2" t="s">
        <v>22</v>
      </c>
      <c r="J550" s="2" t="s">
        <v>17</v>
      </c>
      <c r="K550" s="2" t="s">
        <v>24</v>
      </c>
      <c r="L550" s="2" t="s">
        <v>9</v>
      </c>
      <c r="M550" s="2" t="s">
        <v>20</v>
      </c>
      <c r="N550" s="2" t="s">
        <v>19</v>
      </c>
      <c r="O550" s="2" t="s">
        <v>27</v>
      </c>
      <c r="P550" s="2" t="s">
        <v>32</v>
      </c>
      <c r="Q550" s="2" t="s">
        <v>46</v>
      </c>
      <c r="R550" s="2" t="s">
        <v>41</v>
      </c>
      <c r="S550">
        <v>2</v>
      </c>
    </row>
    <row r="551" spans="1:19" x14ac:dyDescent="0.3">
      <c r="A551">
        <v>1664</v>
      </c>
      <c r="B551">
        <f>YEAR(Cleaned_HR_Data_Analysis__2[[#This Row],[Joining_Date]])</f>
        <v>2021</v>
      </c>
      <c r="C551" s="1">
        <v>44288</v>
      </c>
      <c r="D551" s="1" t="str" cm="1">
        <f t="array" ref="D551">_xlfn.IFS(E551&lt;28, "17-27",
AND(E551&gt;27, E551&lt;38), "28-37",
AND(E551&gt;37, E551 &lt;48), "38-47",
AND(E551&gt;47, E551 &lt;58), "48-57",
AND(E551&gt;57, E551&lt;68), "58-67",
AND(E551&gt;67, E551&lt;78), "68-77",
E551&gt;77,"Above than 77")</f>
        <v>28-37</v>
      </c>
      <c r="E551">
        <v>30</v>
      </c>
      <c r="F551" s="1">
        <v>33491</v>
      </c>
      <c r="G551" s="1" t="str">
        <f>VLOOKUP(H551,Table7[#All], 2, FALSE)</f>
        <v>Massachusetts</v>
      </c>
      <c r="H551" s="2" t="s">
        <v>14</v>
      </c>
      <c r="I551" s="2" t="s">
        <v>22</v>
      </c>
      <c r="J551" s="2" t="s">
        <v>31</v>
      </c>
      <c r="K551" s="2" t="s">
        <v>24</v>
      </c>
      <c r="L551" s="2" t="s">
        <v>9</v>
      </c>
      <c r="M551" s="2" t="s">
        <v>25</v>
      </c>
      <c r="N551" s="2" t="s">
        <v>11</v>
      </c>
      <c r="O551" s="2" t="s">
        <v>53</v>
      </c>
      <c r="P551" s="2" t="s">
        <v>49</v>
      </c>
      <c r="Q551" s="2" t="s">
        <v>16</v>
      </c>
      <c r="R551" s="2" t="s">
        <v>18</v>
      </c>
      <c r="S551">
        <v>1</v>
      </c>
    </row>
    <row r="552" spans="1:19" x14ac:dyDescent="0.3">
      <c r="A552">
        <v>3495</v>
      </c>
      <c r="B552">
        <f>YEAR(Cleaned_HR_Data_Analysis__2[[#This Row],[Joining_Date]])</f>
        <v>2023</v>
      </c>
      <c r="C552" s="1">
        <v>45099</v>
      </c>
      <c r="D552" s="1" t="str" cm="1">
        <f t="array" ref="D552">_xlfn.IFS(E552&lt;28, "17-27",
AND(E552&gt;27, E552&lt;38), "28-37",
AND(E552&gt;37, E552 &lt;48), "38-47",
AND(E552&gt;47, E552 &lt;58), "48-57",
AND(E552&gt;57, E552&lt;68), "58-67",
AND(E552&gt;67, E552&lt;78), "68-77",
E552&gt;77,"Above than 77")</f>
        <v>28-37</v>
      </c>
      <c r="E552">
        <v>30</v>
      </c>
      <c r="F552" s="1">
        <v>33996</v>
      </c>
      <c r="G552" s="1" t="str">
        <f>VLOOKUP(H552,Table7[#All], 2, FALSE)</f>
        <v>Indiana</v>
      </c>
      <c r="H552" s="2" t="s">
        <v>47</v>
      </c>
      <c r="I552" s="2" t="s">
        <v>22</v>
      </c>
      <c r="J552" s="2" t="s">
        <v>34</v>
      </c>
      <c r="K552" s="2" t="s">
        <v>24</v>
      </c>
      <c r="L552" s="2" t="s">
        <v>9</v>
      </c>
      <c r="M552" s="2" t="s">
        <v>20</v>
      </c>
      <c r="N552" s="2" t="s">
        <v>26</v>
      </c>
      <c r="O552" s="2" t="s">
        <v>27</v>
      </c>
      <c r="P552" s="2" t="s">
        <v>59</v>
      </c>
      <c r="Q552" s="2" t="s">
        <v>30</v>
      </c>
      <c r="R552" s="2" t="s">
        <v>18</v>
      </c>
      <c r="S552">
        <v>3</v>
      </c>
    </row>
    <row r="553" spans="1:19" x14ac:dyDescent="0.3">
      <c r="A553">
        <v>2707</v>
      </c>
      <c r="B553">
        <f>YEAR(Cleaned_HR_Data_Analysis__2[[#This Row],[Joining_Date]])</f>
        <v>2022</v>
      </c>
      <c r="C553" s="1">
        <v>44893</v>
      </c>
      <c r="D553" s="1" t="str" cm="1">
        <f t="array" ref="D553">_xlfn.IFS(E553&lt;28, "17-27",
AND(E553&gt;27, E553&lt;38), "28-37",
AND(E553&gt;37, E553 &lt;48), "38-47",
AND(E553&gt;47, E553 &lt;58), "48-57",
AND(E553&gt;57, E553&lt;68), "58-67",
AND(E553&gt;67, E553&lt;78), "68-77",
E553&gt;77,"Above than 77")</f>
        <v>28-37</v>
      </c>
      <c r="E553">
        <v>30</v>
      </c>
      <c r="F553" s="1">
        <v>33836</v>
      </c>
      <c r="G553" s="1" t="str">
        <f>VLOOKUP(H553,Table7[#All], 2, FALSE)</f>
        <v>Alabama</v>
      </c>
      <c r="H553" s="2" t="s">
        <v>116</v>
      </c>
      <c r="I553" s="2" t="s">
        <v>22</v>
      </c>
      <c r="J553" s="2" t="s">
        <v>34</v>
      </c>
      <c r="K553" s="2" t="s">
        <v>24</v>
      </c>
      <c r="L553" s="2" t="s">
        <v>9</v>
      </c>
      <c r="M553" s="2" t="s">
        <v>25</v>
      </c>
      <c r="N553" s="2" t="s">
        <v>26</v>
      </c>
      <c r="O553" s="2" t="s">
        <v>27</v>
      </c>
      <c r="P553" s="2" t="s">
        <v>32</v>
      </c>
      <c r="Q553" s="2" t="s">
        <v>16</v>
      </c>
      <c r="R553" s="2" t="s">
        <v>18</v>
      </c>
      <c r="S553">
        <v>2</v>
      </c>
    </row>
    <row r="554" spans="1:19" x14ac:dyDescent="0.3">
      <c r="A554">
        <v>1370</v>
      </c>
      <c r="B554">
        <f>YEAR(Cleaned_HR_Data_Analysis__2[[#This Row],[Joining_Date]])</f>
        <v>2022</v>
      </c>
      <c r="C554" s="1">
        <v>44700</v>
      </c>
      <c r="D554" s="1" t="str" cm="1">
        <f t="array" ref="D554">_xlfn.IFS(E554&lt;28, "17-27",
AND(E554&gt;27, E554&lt;38), "28-37",
AND(E554&gt;37, E554 &lt;48), "38-47",
AND(E554&gt;47, E554 &lt;58), "48-57",
AND(E554&gt;57, E554&lt;68), "58-67",
AND(E554&gt;67, E554&lt;78), "68-77",
E554&gt;77,"Above than 77")</f>
        <v>28-37</v>
      </c>
      <c r="E554">
        <v>30</v>
      </c>
      <c r="F554" s="1">
        <v>33951</v>
      </c>
      <c r="G554" s="1" t="str">
        <f>VLOOKUP(H554,Table7[#All], 2, FALSE)</f>
        <v>Massachusetts</v>
      </c>
      <c r="H554" s="2" t="s">
        <v>14</v>
      </c>
      <c r="I554" s="2" t="s">
        <v>15</v>
      </c>
      <c r="J554" s="2" t="s">
        <v>34</v>
      </c>
      <c r="K554" s="2" t="s">
        <v>95</v>
      </c>
      <c r="L554" s="2" t="s">
        <v>9</v>
      </c>
      <c r="M554" s="2" t="s">
        <v>20</v>
      </c>
      <c r="N554" s="2" t="s">
        <v>19</v>
      </c>
      <c r="O554" s="2" t="s">
        <v>90</v>
      </c>
      <c r="P554" s="2" t="s">
        <v>32</v>
      </c>
      <c r="Q554" s="2" t="s">
        <v>37</v>
      </c>
      <c r="R554" s="2" t="s">
        <v>41</v>
      </c>
      <c r="S554">
        <v>2</v>
      </c>
    </row>
    <row r="555" spans="1:19" x14ac:dyDescent="0.3">
      <c r="A555">
        <v>3962</v>
      </c>
      <c r="B555">
        <f>YEAR(Cleaned_HR_Data_Analysis__2[[#This Row],[Joining_Date]])</f>
        <v>2021</v>
      </c>
      <c r="C555" s="1">
        <v>44265</v>
      </c>
      <c r="D555" s="1" t="str" cm="1">
        <f t="array" ref="D555">_xlfn.IFS(E555&lt;28, "17-27",
AND(E555&gt;27, E555&lt;38), "28-37",
AND(E555&gt;37, E555 &lt;48), "38-47",
AND(E555&gt;47, E555 &lt;58), "48-57",
AND(E555&gt;57, E555&lt;68), "58-67",
AND(E555&gt;67, E555&lt;78), "68-77",
E555&gt;77,"Above than 77")</f>
        <v>28-37</v>
      </c>
      <c r="E555">
        <v>31</v>
      </c>
      <c r="F555" s="1">
        <v>33195</v>
      </c>
      <c r="G555" s="1" t="str">
        <f>VLOOKUP(H555,Table7[#All], 2, FALSE)</f>
        <v>Massachusetts</v>
      </c>
      <c r="H555" s="2" t="s">
        <v>14</v>
      </c>
      <c r="I555" s="2" t="s">
        <v>15</v>
      </c>
      <c r="J555" s="2" t="s">
        <v>40</v>
      </c>
      <c r="K555" s="2" t="s">
        <v>79</v>
      </c>
      <c r="L555" s="2" t="s">
        <v>9</v>
      </c>
      <c r="M555" s="2" t="s">
        <v>10</v>
      </c>
      <c r="N555" s="2" t="s">
        <v>26</v>
      </c>
      <c r="O555" s="2" t="s">
        <v>53</v>
      </c>
      <c r="P555" s="2" t="s">
        <v>21</v>
      </c>
      <c r="Q555" s="2" t="s">
        <v>23</v>
      </c>
      <c r="R555" s="2" t="s">
        <v>18</v>
      </c>
      <c r="S555">
        <v>3</v>
      </c>
    </row>
    <row r="556" spans="1:19" x14ac:dyDescent="0.3">
      <c r="A556">
        <v>2510</v>
      </c>
      <c r="B556">
        <f>YEAR(Cleaned_HR_Data_Analysis__2[[#This Row],[Joining_Date]])</f>
        <v>2019</v>
      </c>
      <c r="C556" s="1">
        <v>43794</v>
      </c>
      <c r="D556" s="1" t="str" cm="1">
        <f t="array" ref="D556">_xlfn.IFS(E556&lt;28, "17-27",
AND(E556&gt;27, E556&lt;38), "28-37",
AND(E556&gt;37, E556 &lt;48), "38-47",
AND(E556&gt;47, E556 &lt;58), "48-57",
AND(E556&gt;57, E556&lt;68), "58-67",
AND(E556&gt;67, E556&lt;78), "68-77",
E556&gt;77,"Above than 77")</f>
        <v>28-37</v>
      </c>
      <c r="E556">
        <v>31</v>
      </c>
      <c r="F556" s="1">
        <v>32226</v>
      </c>
      <c r="G556" s="1" t="str">
        <f>VLOOKUP(H556,Table7[#All], 2, FALSE)</f>
        <v>Massachusetts</v>
      </c>
      <c r="H556" s="2" t="s">
        <v>14</v>
      </c>
      <c r="I556" s="2" t="s">
        <v>22</v>
      </c>
      <c r="J556" s="2" t="s">
        <v>31</v>
      </c>
      <c r="K556" s="2" t="s">
        <v>86</v>
      </c>
      <c r="L556" s="2" t="s">
        <v>9</v>
      </c>
      <c r="M556" s="2" t="s">
        <v>10</v>
      </c>
      <c r="N556" s="2" t="s">
        <v>11</v>
      </c>
      <c r="O556" s="2" t="s">
        <v>87</v>
      </c>
      <c r="P556" s="2" t="s">
        <v>21</v>
      </c>
      <c r="Q556" s="2" t="s">
        <v>46</v>
      </c>
      <c r="R556" s="2" t="s">
        <v>18</v>
      </c>
      <c r="S556">
        <v>2</v>
      </c>
    </row>
    <row r="557" spans="1:19" x14ac:dyDescent="0.3">
      <c r="A557">
        <v>1021</v>
      </c>
      <c r="B557">
        <f>YEAR(Cleaned_HR_Data_Analysis__2[[#This Row],[Joining_Date]])</f>
        <v>2020</v>
      </c>
      <c r="C557" s="1">
        <v>44144</v>
      </c>
      <c r="D557" s="1" t="str" cm="1">
        <f t="array" ref="D557">_xlfn.IFS(E557&lt;28, "17-27",
AND(E557&gt;27, E557&lt;38), "28-37",
AND(E557&gt;37, E557 &lt;48), "38-47",
AND(E557&gt;47, E557 &lt;58), "48-57",
AND(E557&gt;57, E557&lt;68), "58-67",
AND(E557&gt;67, E557&lt;78), "68-77",
E557&gt;77,"Above than 77")</f>
        <v>28-37</v>
      </c>
      <c r="E557">
        <v>31</v>
      </c>
      <c r="F557" s="1">
        <v>32533</v>
      </c>
      <c r="G557" s="1" t="str">
        <f>VLOOKUP(H557,Table7[#All], 2, FALSE)</f>
        <v>Massachusetts</v>
      </c>
      <c r="H557" s="2" t="s">
        <v>14</v>
      </c>
      <c r="I557" s="2" t="s">
        <v>22</v>
      </c>
      <c r="J557" s="2" t="s">
        <v>31</v>
      </c>
      <c r="K557" s="2" t="s">
        <v>86</v>
      </c>
      <c r="L557" s="2" t="s">
        <v>66</v>
      </c>
      <c r="M557" s="2" t="s">
        <v>25</v>
      </c>
      <c r="N557" s="2" t="s">
        <v>11</v>
      </c>
      <c r="O557" s="2" t="s">
        <v>87</v>
      </c>
      <c r="P557" s="2" t="s">
        <v>38</v>
      </c>
      <c r="Q557" s="2" t="s">
        <v>23</v>
      </c>
      <c r="R557" s="2" t="s">
        <v>18</v>
      </c>
      <c r="S557">
        <v>1</v>
      </c>
    </row>
    <row r="558" spans="1:19" x14ac:dyDescent="0.3">
      <c r="A558">
        <v>1024</v>
      </c>
      <c r="B558">
        <f>YEAR(Cleaned_HR_Data_Analysis__2[[#This Row],[Joining_Date]])</f>
        <v>2018</v>
      </c>
      <c r="C558" s="1">
        <v>43464</v>
      </c>
      <c r="D558" s="1" t="str" cm="1">
        <f t="array" ref="D558">_xlfn.IFS(E558&lt;28, "17-27",
AND(E558&gt;27, E558&lt;38), "28-37",
AND(E558&gt;37, E558 &lt;48), "38-47",
AND(E558&gt;47, E558 &lt;58), "48-57",
AND(E558&gt;57, E558&lt;68), "58-67",
AND(E558&gt;67, E558&lt;78), "68-77",
E558&gt;77,"Above than 77")</f>
        <v>28-37</v>
      </c>
      <c r="E558">
        <v>31</v>
      </c>
      <c r="F558" s="1">
        <v>31866</v>
      </c>
      <c r="G558" s="1" t="str">
        <f>VLOOKUP(H558,Table7[#All], 2, FALSE)</f>
        <v>Massachusetts</v>
      </c>
      <c r="H558" s="2" t="s">
        <v>14</v>
      </c>
      <c r="I558" s="2" t="s">
        <v>15</v>
      </c>
      <c r="J558" s="2" t="s">
        <v>40</v>
      </c>
      <c r="K558" s="2" t="s">
        <v>88</v>
      </c>
      <c r="L558" s="2" t="s">
        <v>9</v>
      </c>
      <c r="M558" s="2" t="s">
        <v>10</v>
      </c>
      <c r="N558" s="2" t="s">
        <v>19</v>
      </c>
      <c r="O558" s="2" t="s">
        <v>87</v>
      </c>
      <c r="P558" s="2" t="s">
        <v>55</v>
      </c>
      <c r="Q558" s="2" t="s">
        <v>30</v>
      </c>
      <c r="R558" s="2" t="s">
        <v>18</v>
      </c>
      <c r="S558">
        <v>3</v>
      </c>
    </row>
    <row r="559" spans="1:19" x14ac:dyDescent="0.3">
      <c r="A559">
        <v>1952</v>
      </c>
      <c r="B559">
        <f>YEAR(Cleaned_HR_Data_Analysis__2[[#This Row],[Joining_Date]])</f>
        <v>2020</v>
      </c>
      <c r="C559" s="1">
        <v>43967</v>
      </c>
      <c r="D559" s="1" t="str" cm="1">
        <f t="array" ref="D559">_xlfn.IFS(E559&lt;28, "17-27",
AND(E559&gt;27, E559&lt;38), "28-37",
AND(E559&gt;37, E559 &lt;48), "38-47",
AND(E559&gt;47, E559 &lt;58), "48-57",
AND(E559&gt;57, E559&lt;68), "58-67",
AND(E559&gt;67, E559&lt;78), "68-77",
E559&gt;77,"Above than 77")</f>
        <v>28-37</v>
      </c>
      <c r="E559">
        <v>31</v>
      </c>
      <c r="F559" s="1">
        <v>32720</v>
      </c>
      <c r="G559" s="1" t="str">
        <f>VLOOKUP(H559,Table7[#All], 2, FALSE)</f>
        <v>Pennsylvania</v>
      </c>
      <c r="H559" s="2" t="s">
        <v>100</v>
      </c>
      <c r="I559" s="2" t="s">
        <v>15</v>
      </c>
      <c r="J559" s="2" t="s">
        <v>40</v>
      </c>
      <c r="K559" s="2" t="s">
        <v>98</v>
      </c>
      <c r="L559" s="2" t="s">
        <v>9</v>
      </c>
      <c r="M559" s="2" t="s">
        <v>25</v>
      </c>
      <c r="N559" s="2" t="s">
        <v>19</v>
      </c>
      <c r="O559" s="2" t="s">
        <v>27</v>
      </c>
      <c r="P559" s="2" t="s">
        <v>69</v>
      </c>
      <c r="Q559" s="2" t="s">
        <v>30</v>
      </c>
      <c r="R559" s="2" t="s">
        <v>18</v>
      </c>
      <c r="S559">
        <v>5</v>
      </c>
    </row>
    <row r="560" spans="1:19" x14ac:dyDescent="0.3">
      <c r="A560">
        <v>1713</v>
      </c>
      <c r="B560">
        <f>YEAR(Cleaned_HR_Data_Analysis__2[[#This Row],[Joining_Date]])</f>
        <v>2021</v>
      </c>
      <c r="C560" s="1">
        <v>44531</v>
      </c>
      <c r="D560" s="1" t="str" cm="1">
        <f t="array" ref="D560">_xlfn.IFS(E560&lt;28, "17-27",
AND(E560&gt;27, E560&lt;38), "28-37",
AND(E560&gt;37, E560 &lt;48), "38-47",
AND(E560&gt;47, E560 &lt;58), "48-57",
AND(E560&gt;57, E560&lt;68), "58-67",
AND(E560&gt;67, E560&lt;78), "68-77",
E560&gt;77,"Above than 77")</f>
        <v>28-37</v>
      </c>
      <c r="E560">
        <v>31</v>
      </c>
      <c r="F560" s="1">
        <v>33114</v>
      </c>
      <c r="G560" s="1" t="str">
        <f>VLOOKUP(H560,Table7[#All], 2, FALSE)</f>
        <v>Massachusetts</v>
      </c>
      <c r="H560" s="2" t="s">
        <v>14</v>
      </c>
      <c r="I560" s="2" t="s">
        <v>15</v>
      </c>
      <c r="J560" s="2" t="s">
        <v>34</v>
      </c>
      <c r="K560" s="2" t="s">
        <v>98</v>
      </c>
      <c r="L560" s="2" t="s">
        <v>9</v>
      </c>
      <c r="M560" s="2" t="s">
        <v>10</v>
      </c>
      <c r="N560" s="2" t="s">
        <v>26</v>
      </c>
      <c r="O560" s="2" t="s">
        <v>53</v>
      </c>
      <c r="P560" s="2" t="s">
        <v>32</v>
      </c>
      <c r="Q560" s="2" t="s">
        <v>46</v>
      </c>
      <c r="R560" s="2" t="s">
        <v>18</v>
      </c>
      <c r="S560">
        <v>4</v>
      </c>
    </row>
    <row r="561" spans="1:19" x14ac:dyDescent="0.3">
      <c r="A561">
        <v>3717</v>
      </c>
      <c r="B561">
        <f>YEAR(Cleaned_HR_Data_Analysis__2[[#This Row],[Joining_Date]])</f>
        <v>2023</v>
      </c>
      <c r="C561" s="1">
        <v>45064</v>
      </c>
      <c r="D561" s="1" t="str" cm="1">
        <f t="array" ref="D561">_xlfn.IFS(E561&lt;28, "17-27",
AND(E561&gt;27, E561&lt;38), "28-37",
AND(E561&gt;37, E561 &lt;48), "38-47",
AND(E561&gt;47, E561 &lt;58), "48-57",
AND(E561&gt;57, E561&lt;68), "58-67",
AND(E561&gt;67, E561&lt;78), "68-77",
E561&gt;77,"Above than 77")</f>
        <v>28-37</v>
      </c>
      <c r="E561">
        <v>31</v>
      </c>
      <c r="F561" s="1">
        <v>33915</v>
      </c>
      <c r="G561" s="1" t="str">
        <f>VLOOKUP(H561,Table7[#All], 2, FALSE)</f>
        <v>Massachusetts</v>
      </c>
      <c r="H561" s="2" t="s">
        <v>14</v>
      </c>
      <c r="I561" s="2" t="s">
        <v>15</v>
      </c>
      <c r="J561" s="2" t="s">
        <v>34</v>
      </c>
      <c r="K561" s="2" t="s">
        <v>64</v>
      </c>
      <c r="L561" s="2" t="s">
        <v>9</v>
      </c>
      <c r="M561" s="2" t="s">
        <v>10</v>
      </c>
      <c r="N561" s="2" t="s">
        <v>26</v>
      </c>
      <c r="O561" s="2" t="s">
        <v>12</v>
      </c>
      <c r="P561" s="2" t="s">
        <v>35</v>
      </c>
      <c r="Q561" s="2" t="s">
        <v>46</v>
      </c>
      <c r="R561" s="2" t="s">
        <v>18</v>
      </c>
      <c r="S561">
        <v>1</v>
      </c>
    </row>
    <row r="562" spans="1:19" x14ac:dyDescent="0.3">
      <c r="A562">
        <v>3696</v>
      </c>
      <c r="B562">
        <f>YEAR(Cleaned_HR_Data_Analysis__2[[#This Row],[Joining_Date]])</f>
        <v>2020</v>
      </c>
      <c r="C562" s="1">
        <v>44076</v>
      </c>
      <c r="D562" s="1" t="str" cm="1">
        <f t="array" ref="D562">_xlfn.IFS(E562&lt;28, "17-27",
AND(E562&gt;27, E562&lt;38), "28-37",
AND(E562&gt;37, E562 &lt;48), "38-47",
AND(E562&gt;47, E562 &lt;58), "48-57",
AND(E562&gt;57, E562&lt;68), "58-67",
AND(E562&gt;67, E562&lt;78), "68-77",
E562&gt;77,"Above than 77")</f>
        <v>28-37</v>
      </c>
      <c r="E562">
        <v>31</v>
      </c>
      <c r="F562" s="1">
        <v>32788</v>
      </c>
      <c r="G562" s="1" t="str">
        <f>VLOOKUP(H562,Table7[#All], 2, FALSE)</f>
        <v>Massachusetts</v>
      </c>
      <c r="H562" s="2" t="s">
        <v>14</v>
      </c>
      <c r="I562" s="2" t="s">
        <v>15</v>
      </c>
      <c r="J562" s="2" t="s">
        <v>17</v>
      </c>
      <c r="K562" s="2" t="s">
        <v>64</v>
      </c>
      <c r="L562" s="2" t="s">
        <v>66</v>
      </c>
      <c r="M562" s="2" t="s">
        <v>10</v>
      </c>
      <c r="N562" s="2" t="s">
        <v>26</v>
      </c>
      <c r="O562" s="2" t="s">
        <v>12</v>
      </c>
      <c r="P562" s="2" t="s">
        <v>61</v>
      </c>
      <c r="Q562" s="2" t="s">
        <v>23</v>
      </c>
      <c r="R562" s="2" t="s">
        <v>65</v>
      </c>
      <c r="S562">
        <v>1</v>
      </c>
    </row>
    <row r="563" spans="1:19" x14ac:dyDescent="0.3">
      <c r="A563">
        <v>3392</v>
      </c>
      <c r="B563">
        <f>YEAR(Cleaned_HR_Data_Analysis__2[[#This Row],[Joining_Date]])</f>
        <v>2019</v>
      </c>
      <c r="C563" s="1">
        <v>43787</v>
      </c>
      <c r="D563" s="1" t="str" cm="1">
        <f t="array" ref="D563">_xlfn.IFS(E563&lt;28, "17-27",
AND(E563&gt;27, E563&lt;38), "28-37",
AND(E563&gt;37, E563 &lt;48), "38-47",
AND(E563&gt;47, E563 &lt;58), "48-57",
AND(E563&gt;57, E563&lt;68), "58-67",
AND(E563&gt;67, E563&lt;78), "68-77",
E563&gt;77,"Above than 77")</f>
        <v>28-37</v>
      </c>
      <c r="E563">
        <v>31</v>
      </c>
      <c r="F563" s="1">
        <v>32202</v>
      </c>
      <c r="G563" s="1" t="str">
        <f>VLOOKUP(H563,Table7[#All], 2, FALSE)</f>
        <v>Massachusetts</v>
      </c>
      <c r="H563" s="2" t="s">
        <v>14</v>
      </c>
      <c r="I563" s="2" t="s">
        <v>15</v>
      </c>
      <c r="J563" s="2" t="s">
        <v>31</v>
      </c>
      <c r="K563" s="2" t="s">
        <v>64</v>
      </c>
      <c r="L563" s="2" t="s">
        <v>66</v>
      </c>
      <c r="M563" s="2" t="s">
        <v>25</v>
      </c>
      <c r="N563" s="2" t="s">
        <v>26</v>
      </c>
      <c r="O563" s="2" t="s">
        <v>12</v>
      </c>
      <c r="P563" s="2" t="s">
        <v>32</v>
      </c>
      <c r="Q563" s="2" t="s">
        <v>30</v>
      </c>
      <c r="R563" s="2" t="s">
        <v>18</v>
      </c>
      <c r="S563">
        <v>4</v>
      </c>
    </row>
    <row r="564" spans="1:19" x14ac:dyDescent="0.3">
      <c r="A564">
        <v>3003</v>
      </c>
      <c r="B564">
        <f>YEAR(Cleaned_HR_Data_Analysis__2[[#This Row],[Joining_Date]])</f>
        <v>2021</v>
      </c>
      <c r="C564" s="1">
        <v>44470</v>
      </c>
      <c r="D564" s="1" t="str" cm="1">
        <f t="array" ref="D564">_xlfn.IFS(E564&lt;28, "17-27",
AND(E564&gt;27, E564&lt;38), "28-37",
AND(E564&gt;37, E564 &lt;48), "38-47",
AND(E564&gt;47, E564 &lt;58), "48-57",
AND(E564&gt;57, E564&lt;68), "58-67",
AND(E564&gt;67, E564&lt;78), "68-77",
E564&gt;77,"Above than 77")</f>
        <v>28-37</v>
      </c>
      <c r="E564">
        <v>31</v>
      </c>
      <c r="F564" s="1">
        <v>33116</v>
      </c>
      <c r="G564" s="1" t="str">
        <f>VLOOKUP(H564,Table7[#All], 2, FALSE)</f>
        <v>Massachusetts</v>
      </c>
      <c r="H564" s="2" t="s">
        <v>14</v>
      </c>
      <c r="I564" s="2" t="s">
        <v>15</v>
      </c>
      <c r="J564" s="2" t="s">
        <v>31</v>
      </c>
      <c r="K564" s="2" t="s">
        <v>64</v>
      </c>
      <c r="L564" s="2" t="s">
        <v>9</v>
      </c>
      <c r="M564" s="2" t="s">
        <v>25</v>
      </c>
      <c r="N564" s="2" t="s">
        <v>19</v>
      </c>
      <c r="O564" s="2" t="s">
        <v>12</v>
      </c>
      <c r="P564" s="2" t="s">
        <v>35</v>
      </c>
      <c r="Q564" s="2" t="s">
        <v>30</v>
      </c>
      <c r="R564" s="2" t="s">
        <v>18</v>
      </c>
      <c r="S564">
        <v>3</v>
      </c>
    </row>
    <row r="565" spans="1:19" x14ac:dyDescent="0.3">
      <c r="A565">
        <v>2069</v>
      </c>
      <c r="B565">
        <f>YEAR(Cleaned_HR_Data_Analysis__2[[#This Row],[Joining_Date]])</f>
        <v>2022</v>
      </c>
      <c r="C565" s="1">
        <v>44741</v>
      </c>
      <c r="D565" s="1" t="str" cm="1">
        <f t="array" ref="D565">_xlfn.IFS(E565&lt;28, "17-27",
AND(E565&gt;27, E565&lt;38), "28-37",
AND(E565&gt;37, E565 &lt;48), "38-47",
AND(E565&gt;47, E565 &lt;58), "48-57",
AND(E565&gt;57, E565&lt;68), "58-67",
AND(E565&gt;67, E565&lt;78), "68-77",
E565&gt;77,"Above than 77")</f>
        <v>28-37</v>
      </c>
      <c r="E565">
        <v>31</v>
      </c>
      <c r="F565" s="1">
        <v>33597</v>
      </c>
      <c r="G565" s="1" t="str">
        <f>VLOOKUP(H565,Table7[#All], 2, FALSE)</f>
        <v>Massachusetts</v>
      </c>
      <c r="H565" s="2" t="s">
        <v>14</v>
      </c>
      <c r="I565" s="2" t="s">
        <v>15</v>
      </c>
      <c r="J565" s="2" t="s">
        <v>17</v>
      </c>
      <c r="K565" s="2" t="s">
        <v>64</v>
      </c>
      <c r="L565" s="2" t="s">
        <v>9</v>
      </c>
      <c r="M565" s="2" t="s">
        <v>25</v>
      </c>
      <c r="N565" s="2" t="s">
        <v>11</v>
      </c>
      <c r="O565" s="2" t="s">
        <v>12</v>
      </c>
      <c r="P565" s="2" t="s">
        <v>59</v>
      </c>
      <c r="Q565" s="2" t="s">
        <v>30</v>
      </c>
      <c r="R565" s="2" t="s">
        <v>18</v>
      </c>
      <c r="S565">
        <v>1</v>
      </c>
    </row>
    <row r="566" spans="1:19" x14ac:dyDescent="0.3">
      <c r="A566">
        <v>2015</v>
      </c>
      <c r="B566">
        <f>YEAR(Cleaned_HR_Data_Analysis__2[[#This Row],[Joining_Date]])</f>
        <v>2023</v>
      </c>
      <c r="C566" s="1">
        <v>45079</v>
      </c>
      <c r="D566" s="1" t="str" cm="1">
        <f t="array" ref="D566">_xlfn.IFS(E566&lt;28, "17-27",
AND(E566&gt;27, E566&lt;38), "28-37",
AND(E566&gt;37, E566 &lt;48), "38-47",
AND(E566&gt;47, E566 &lt;58), "48-57",
AND(E566&gt;57, E566&lt;68), "58-67",
AND(E566&gt;67, E566&lt;78), "68-77",
E566&gt;77,"Above than 77")</f>
        <v>28-37</v>
      </c>
      <c r="E566">
        <v>31</v>
      </c>
      <c r="F566" s="1">
        <v>33668</v>
      </c>
      <c r="G566" s="1" t="str">
        <f>VLOOKUP(H566,Table7[#All], 2, FALSE)</f>
        <v>Massachusetts</v>
      </c>
      <c r="H566" s="2" t="s">
        <v>14</v>
      </c>
      <c r="I566" s="2" t="s">
        <v>15</v>
      </c>
      <c r="J566" s="2" t="s">
        <v>17</v>
      </c>
      <c r="K566" s="2" t="s">
        <v>64</v>
      </c>
      <c r="L566" s="2" t="s">
        <v>9</v>
      </c>
      <c r="M566" s="2" t="s">
        <v>20</v>
      </c>
      <c r="N566" s="2" t="s">
        <v>26</v>
      </c>
      <c r="O566" s="2" t="s">
        <v>12</v>
      </c>
      <c r="P566" s="2" t="s">
        <v>42</v>
      </c>
      <c r="Q566" s="2" t="s">
        <v>16</v>
      </c>
      <c r="R566" s="2" t="s">
        <v>18</v>
      </c>
      <c r="S566">
        <v>3</v>
      </c>
    </row>
    <row r="567" spans="1:19" x14ac:dyDescent="0.3">
      <c r="A567">
        <v>3778</v>
      </c>
      <c r="B567">
        <f>YEAR(Cleaned_HR_Data_Analysis__2[[#This Row],[Joining_Date]])</f>
        <v>2023</v>
      </c>
      <c r="C567" s="1">
        <v>45018</v>
      </c>
      <c r="D567" s="1" t="str" cm="1">
        <f t="array" ref="D567">_xlfn.IFS(E567&lt;28, "17-27",
AND(E567&gt;27, E567&lt;38), "28-37",
AND(E567&gt;37, E567 &lt;48), "38-47",
AND(E567&gt;47, E567 &lt;58), "48-57",
AND(E567&gt;57, E567&lt;68), "58-67",
AND(E567&gt;67, E567&lt;78), "68-77",
E567&gt;77,"Above than 77")</f>
        <v>28-37</v>
      </c>
      <c r="E567">
        <v>31</v>
      </c>
      <c r="F567" s="1">
        <v>33643</v>
      </c>
      <c r="G567" s="1" t="str">
        <f>VLOOKUP(H567,Table7[#All], 2, FALSE)</f>
        <v>Massachusetts</v>
      </c>
      <c r="H567" s="2" t="s">
        <v>14</v>
      </c>
      <c r="I567" s="2" t="s">
        <v>22</v>
      </c>
      <c r="J567" s="2" t="s">
        <v>34</v>
      </c>
      <c r="K567" s="2" t="s">
        <v>8</v>
      </c>
      <c r="L567" s="2" t="s">
        <v>9</v>
      </c>
      <c r="M567" s="2" t="s">
        <v>25</v>
      </c>
      <c r="N567" s="2" t="s">
        <v>19</v>
      </c>
      <c r="O567" s="2" t="s">
        <v>12</v>
      </c>
      <c r="P567" s="2" t="s">
        <v>59</v>
      </c>
      <c r="Q567" s="2" t="s">
        <v>30</v>
      </c>
      <c r="R567" s="2" t="s">
        <v>18</v>
      </c>
      <c r="S567">
        <v>5</v>
      </c>
    </row>
    <row r="568" spans="1:19" x14ac:dyDescent="0.3">
      <c r="A568">
        <v>3700</v>
      </c>
      <c r="B568">
        <f>YEAR(Cleaned_HR_Data_Analysis__2[[#This Row],[Joining_Date]])</f>
        <v>2019</v>
      </c>
      <c r="C568" s="1">
        <v>43762</v>
      </c>
      <c r="D568" s="1" t="str" cm="1">
        <f t="array" ref="D568">_xlfn.IFS(E568&lt;28, "17-27",
AND(E568&gt;27, E568&lt;38), "28-37",
AND(E568&gt;37, E568 &lt;48), "38-47",
AND(E568&gt;47, E568 &lt;58), "48-57",
AND(E568&gt;57, E568&lt;68), "58-67",
AND(E568&gt;67, E568&lt;78), "68-77",
E568&gt;77,"Above than 77")</f>
        <v>28-37</v>
      </c>
      <c r="E568">
        <v>31</v>
      </c>
      <c r="F568" s="1">
        <v>32245</v>
      </c>
      <c r="G568" s="1" t="str">
        <f>VLOOKUP(H568,Table7[#All], 2, FALSE)</f>
        <v>Massachusetts</v>
      </c>
      <c r="H568" s="2" t="s">
        <v>14</v>
      </c>
      <c r="I568" s="2" t="s">
        <v>22</v>
      </c>
      <c r="J568" s="2" t="s">
        <v>40</v>
      </c>
      <c r="K568" s="2" t="s">
        <v>8</v>
      </c>
      <c r="L568" s="2" t="s">
        <v>9</v>
      </c>
      <c r="M568" s="2" t="s">
        <v>20</v>
      </c>
      <c r="N568" s="2" t="s">
        <v>19</v>
      </c>
      <c r="O568" s="2" t="s">
        <v>12</v>
      </c>
      <c r="P568" s="2" t="s">
        <v>59</v>
      </c>
      <c r="Q568" s="2" t="s">
        <v>23</v>
      </c>
      <c r="R568" s="2" t="s">
        <v>65</v>
      </c>
      <c r="S568">
        <v>1</v>
      </c>
    </row>
    <row r="569" spans="1:19" x14ac:dyDescent="0.3">
      <c r="A569">
        <v>3377</v>
      </c>
      <c r="B569">
        <f>YEAR(Cleaned_HR_Data_Analysis__2[[#This Row],[Joining_Date]])</f>
        <v>2020</v>
      </c>
      <c r="C569" s="1">
        <v>43885</v>
      </c>
      <c r="D569" s="1" t="str" cm="1">
        <f t="array" ref="D569">_xlfn.IFS(E569&lt;28, "17-27",
AND(E569&gt;27, E569&lt;38), "28-37",
AND(E569&gt;37, E569 &lt;48), "38-47",
AND(E569&gt;47, E569 &lt;58), "48-57",
AND(E569&gt;57, E569&lt;68), "58-67",
AND(E569&gt;67, E569&lt;78), "68-77",
E569&gt;77,"Above than 77")</f>
        <v>28-37</v>
      </c>
      <c r="E569">
        <v>31</v>
      </c>
      <c r="F569" s="1">
        <v>32757</v>
      </c>
      <c r="G569" s="1" t="str">
        <f>VLOOKUP(H569,Table7[#All], 2, FALSE)</f>
        <v>Massachusetts</v>
      </c>
      <c r="H569" s="2" t="s">
        <v>14</v>
      </c>
      <c r="I569" s="2" t="s">
        <v>15</v>
      </c>
      <c r="J569" s="2" t="s">
        <v>17</v>
      </c>
      <c r="K569" s="2" t="s">
        <v>8</v>
      </c>
      <c r="L569" s="2" t="s">
        <v>9</v>
      </c>
      <c r="M569" s="2" t="s">
        <v>20</v>
      </c>
      <c r="N569" s="2" t="s">
        <v>19</v>
      </c>
      <c r="O569" s="2" t="s">
        <v>12</v>
      </c>
      <c r="P569" s="2" t="s">
        <v>49</v>
      </c>
      <c r="Q569" s="2" t="s">
        <v>46</v>
      </c>
      <c r="R569" s="2" t="s">
        <v>41</v>
      </c>
      <c r="S569">
        <v>5</v>
      </c>
    </row>
    <row r="570" spans="1:19" x14ac:dyDescent="0.3">
      <c r="A570">
        <v>3372</v>
      </c>
      <c r="B570">
        <f>YEAR(Cleaned_HR_Data_Analysis__2[[#This Row],[Joining_Date]])</f>
        <v>2023</v>
      </c>
      <c r="C570" s="1">
        <v>44940</v>
      </c>
      <c r="D570" s="1" t="str" cm="1">
        <f t="array" ref="D570">_xlfn.IFS(E570&lt;28, "17-27",
AND(E570&gt;27, E570&lt;38), "28-37",
AND(E570&gt;37, E570 &lt;48), "38-47",
AND(E570&gt;47, E570 &lt;58), "48-57",
AND(E570&gt;57, E570&lt;68), "58-67",
AND(E570&gt;67, E570&lt;78), "68-77",
E570&gt;77,"Above than 77")</f>
        <v>28-37</v>
      </c>
      <c r="E570">
        <v>31</v>
      </c>
      <c r="F570" s="1">
        <v>33751</v>
      </c>
      <c r="G570" s="1" t="str">
        <f>VLOOKUP(H570,Table7[#All], 2, FALSE)</f>
        <v>Massachusetts</v>
      </c>
      <c r="H570" s="2" t="s">
        <v>14</v>
      </c>
      <c r="I570" s="2" t="s">
        <v>15</v>
      </c>
      <c r="J570" s="2" t="s">
        <v>40</v>
      </c>
      <c r="K570" s="2" t="s">
        <v>8</v>
      </c>
      <c r="L570" s="2" t="s">
        <v>66</v>
      </c>
      <c r="M570" s="2" t="s">
        <v>10</v>
      </c>
      <c r="N570" s="2" t="s">
        <v>11</v>
      </c>
      <c r="O570" s="2" t="s">
        <v>12</v>
      </c>
      <c r="P570" s="2" t="s">
        <v>54</v>
      </c>
      <c r="Q570" s="2" t="s">
        <v>46</v>
      </c>
      <c r="R570" s="2" t="s">
        <v>18</v>
      </c>
      <c r="S570">
        <v>3</v>
      </c>
    </row>
    <row r="571" spans="1:19" x14ac:dyDescent="0.3">
      <c r="A571">
        <v>3333</v>
      </c>
      <c r="B571">
        <f>YEAR(Cleaned_HR_Data_Analysis__2[[#This Row],[Joining_Date]])</f>
        <v>2023</v>
      </c>
      <c r="C571" s="1">
        <v>45062</v>
      </c>
      <c r="D571" s="1" t="str" cm="1">
        <f t="array" ref="D571">_xlfn.IFS(E571&lt;28, "17-27",
AND(E571&gt;27, E571&lt;38), "28-37",
AND(E571&gt;37, E571 &lt;48), "38-47",
AND(E571&gt;47, E571 &lt;58), "48-57",
AND(E571&gt;57, E571&lt;68), "58-67",
AND(E571&gt;67, E571&lt;78), "68-77",
E571&gt;77,"Above than 77")</f>
        <v>28-37</v>
      </c>
      <c r="E571">
        <v>31</v>
      </c>
      <c r="F571" s="1">
        <v>33906</v>
      </c>
      <c r="G571" s="1" t="str">
        <f>VLOOKUP(H571,Table7[#All], 2, FALSE)</f>
        <v>Massachusetts</v>
      </c>
      <c r="H571" s="2" t="s">
        <v>14</v>
      </c>
      <c r="I571" s="2" t="s">
        <v>22</v>
      </c>
      <c r="J571" s="2" t="s">
        <v>31</v>
      </c>
      <c r="K571" s="2" t="s">
        <v>8</v>
      </c>
      <c r="L571" s="2" t="s">
        <v>9</v>
      </c>
      <c r="M571" s="2" t="s">
        <v>10</v>
      </c>
      <c r="N571" s="2" t="s">
        <v>26</v>
      </c>
      <c r="O571" s="2" t="s">
        <v>12</v>
      </c>
      <c r="P571" s="2" t="s">
        <v>35</v>
      </c>
      <c r="Q571" s="2" t="s">
        <v>23</v>
      </c>
      <c r="R571" s="2" t="s">
        <v>18</v>
      </c>
      <c r="S571">
        <v>3</v>
      </c>
    </row>
    <row r="572" spans="1:19" x14ac:dyDescent="0.3">
      <c r="A572">
        <v>3275</v>
      </c>
      <c r="B572">
        <f>YEAR(Cleaned_HR_Data_Analysis__2[[#This Row],[Joining_Date]])</f>
        <v>2022</v>
      </c>
      <c r="C572" s="1">
        <v>44881</v>
      </c>
      <c r="D572" s="1" t="str" cm="1">
        <f t="array" ref="D572">_xlfn.IFS(E572&lt;28, "17-27",
AND(E572&gt;27, E572&lt;38), "28-37",
AND(E572&gt;37, E572 &lt;48), "38-47",
AND(E572&gt;47, E572 &lt;58), "48-57",
AND(E572&gt;57, E572&lt;68), "58-67",
AND(E572&gt;67, E572&lt;78), "68-77",
E572&gt;77,"Above than 77")</f>
        <v>28-37</v>
      </c>
      <c r="E572">
        <v>31</v>
      </c>
      <c r="F572" s="1">
        <v>33603</v>
      </c>
      <c r="G572" s="1" t="str">
        <f>VLOOKUP(H572,Table7[#All], 2, FALSE)</f>
        <v>Massachusetts</v>
      </c>
      <c r="H572" s="2" t="s">
        <v>14</v>
      </c>
      <c r="I572" s="2" t="s">
        <v>22</v>
      </c>
      <c r="J572" s="2" t="s">
        <v>40</v>
      </c>
      <c r="K572" s="2" t="s">
        <v>8</v>
      </c>
      <c r="L572" s="2" t="s">
        <v>9</v>
      </c>
      <c r="M572" s="2" t="s">
        <v>20</v>
      </c>
      <c r="N572" s="2" t="s">
        <v>26</v>
      </c>
      <c r="O572" s="2" t="s">
        <v>12</v>
      </c>
      <c r="P572" s="2" t="s">
        <v>32</v>
      </c>
      <c r="Q572" s="2" t="s">
        <v>30</v>
      </c>
      <c r="R572" s="2" t="s">
        <v>65</v>
      </c>
      <c r="S572">
        <v>2</v>
      </c>
    </row>
    <row r="573" spans="1:19" x14ac:dyDescent="0.3">
      <c r="A573">
        <v>3246</v>
      </c>
      <c r="B573">
        <f>YEAR(Cleaned_HR_Data_Analysis__2[[#This Row],[Joining_Date]])</f>
        <v>2019</v>
      </c>
      <c r="C573" s="1">
        <v>43628</v>
      </c>
      <c r="D573" s="1" t="str" cm="1">
        <f t="array" ref="D573">_xlfn.IFS(E573&lt;28, "17-27",
AND(E573&gt;27, E573&lt;38), "28-37",
AND(E573&gt;37, E573 &lt;48), "38-47",
AND(E573&gt;47, E573 &lt;58), "48-57",
AND(E573&gt;57, E573&lt;68), "58-67",
AND(E573&gt;67, E573&lt;78), "68-77",
E573&gt;77,"Above than 77")</f>
        <v>28-37</v>
      </c>
      <c r="E573">
        <v>31</v>
      </c>
      <c r="F573" s="1">
        <v>32248</v>
      </c>
      <c r="G573" s="1" t="str">
        <f>VLOOKUP(H573,Table7[#All], 2, FALSE)</f>
        <v>Massachusetts</v>
      </c>
      <c r="H573" s="2" t="s">
        <v>14</v>
      </c>
      <c r="I573" s="2" t="s">
        <v>15</v>
      </c>
      <c r="J573" s="2" t="s">
        <v>34</v>
      </c>
      <c r="K573" s="2" t="s">
        <v>8</v>
      </c>
      <c r="L573" s="2" t="s">
        <v>66</v>
      </c>
      <c r="M573" s="2" t="s">
        <v>20</v>
      </c>
      <c r="N573" s="2" t="s">
        <v>11</v>
      </c>
      <c r="O573" s="2" t="s">
        <v>12</v>
      </c>
      <c r="P573" s="2" t="s">
        <v>93</v>
      </c>
      <c r="Q573" s="2" t="s">
        <v>16</v>
      </c>
      <c r="R573" s="2" t="s">
        <v>18</v>
      </c>
      <c r="S573">
        <v>1</v>
      </c>
    </row>
    <row r="574" spans="1:19" x14ac:dyDescent="0.3">
      <c r="A574">
        <v>3226</v>
      </c>
      <c r="B574">
        <f>YEAR(Cleaned_HR_Data_Analysis__2[[#This Row],[Joining_Date]])</f>
        <v>2019</v>
      </c>
      <c r="C574" s="1">
        <v>43485</v>
      </c>
      <c r="D574" s="1" t="str" cm="1">
        <f t="array" ref="D574">_xlfn.IFS(E574&lt;28, "17-27",
AND(E574&gt;27, E574&lt;38), "28-37",
AND(E574&gt;37, E574 &lt;48), "38-47",
AND(E574&gt;47, E574 &lt;58), "48-57",
AND(E574&gt;57, E574&lt;68), "58-67",
AND(E574&gt;67, E574&lt;78), "68-77",
E574&gt;77,"Above than 77")</f>
        <v>28-37</v>
      </c>
      <c r="E574">
        <v>31</v>
      </c>
      <c r="F574" s="1">
        <v>32508</v>
      </c>
      <c r="G574" s="1" t="str">
        <f>VLOOKUP(H574,Table7[#All], 2, FALSE)</f>
        <v>Massachusetts</v>
      </c>
      <c r="H574" s="2" t="s">
        <v>14</v>
      </c>
      <c r="I574" s="2" t="s">
        <v>15</v>
      </c>
      <c r="J574" s="2" t="s">
        <v>34</v>
      </c>
      <c r="K574" s="2" t="s">
        <v>8</v>
      </c>
      <c r="L574" s="2" t="s">
        <v>9</v>
      </c>
      <c r="M574" s="2" t="s">
        <v>10</v>
      </c>
      <c r="N574" s="2" t="s">
        <v>26</v>
      </c>
      <c r="O574" s="2" t="s">
        <v>12</v>
      </c>
      <c r="P574" s="2" t="s">
        <v>38</v>
      </c>
      <c r="Q574" s="2" t="s">
        <v>37</v>
      </c>
      <c r="R574" s="2" t="s">
        <v>18</v>
      </c>
      <c r="S574">
        <v>2</v>
      </c>
    </row>
    <row r="575" spans="1:19" x14ac:dyDescent="0.3">
      <c r="A575">
        <v>3222</v>
      </c>
      <c r="B575">
        <f>YEAR(Cleaned_HR_Data_Analysis__2[[#This Row],[Joining_Date]])</f>
        <v>2021</v>
      </c>
      <c r="C575" s="1">
        <v>44207</v>
      </c>
      <c r="D575" s="1" t="str" cm="1">
        <f t="array" ref="D575">_xlfn.IFS(E575&lt;28, "17-27",
AND(E575&gt;27, E575&lt;38), "28-37",
AND(E575&gt;37, E575 &lt;48), "38-47",
AND(E575&gt;47, E575 &lt;58), "48-57",
AND(E575&gt;57, E575&lt;68), "58-67",
AND(E575&gt;67, E575&lt;78), "68-77",
E575&gt;77,"Above than 77")</f>
        <v>28-37</v>
      </c>
      <c r="E575">
        <v>31</v>
      </c>
      <c r="F575" s="1">
        <v>33099</v>
      </c>
      <c r="G575" s="1" t="str">
        <f>VLOOKUP(H575,Table7[#All], 2, FALSE)</f>
        <v>Massachusetts</v>
      </c>
      <c r="H575" s="2" t="s">
        <v>14</v>
      </c>
      <c r="I575" s="2" t="s">
        <v>15</v>
      </c>
      <c r="J575" s="2" t="s">
        <v>34</v>
      </c>
      <c r="K575" s="2" t="s">
        <v>8</v>
      </c>
      <c r="L575" s="2" t="s">
        <v>9</v>
      </c>
      <c r="M575" s="2" t="s">
        <v>10</v>
      </c>
      <c r="N575" s="2" t="s">
        <v>19</v>
      </c>
      <c r="O575" s="2" t="s">
        <v>12</v>
      </c>
      <c r="P575" s="2" t="s">
        <v>58</v>
      </c>
      <c r="Q575" s="2" t="s">
        <v>23</v>
      </c>
      <c r="R575" s="2" t="s">
        <v>18</v>
      </c>
      <c r="S575">
        <v>5</v>
      </c>
    </row>
    <row r="576" spans="1:19" x14ac:dyDescent="0.3">
      <c r="A576">
        <v>3127</v>
      </c>
      <c r="B576">
        <f>YEAR(Cleaned_HR_Data_Analysis__2[[#This Row],[Joining_Date]])</f>
        <v>2022</v>
      </c>
      <c r="C576" s="1">
        <v>44726</v>
      </c>
      <c r="D576" s="1" t="str" cm="1">
        <f t="array" ref="D576">_xlfn.IFS(E576&lt;28, "17-27",
AND(E576&gt;27, E576&lt;38), "28-37",
AND(E576&gt;37, E576 &lt;48), "38-47",
AND(E576&gt;47, E576 &lt;58), "48-57",
AND(E576&gt;57, E576&lt;68), "58-67",
AND(E576&gt;67, E576&lt;78), "68-77",
E576&gt;77,"Above than 77")</f>
        <v>28-37</v>
      </c>
      <c r="E576">
        <v>31</v>
      </c>
      <c r="F576" s="1">
        <v>33537</v>
      </c>
      <c r="G576" s="1" t="str">
        <f>VLOOKUP(H576,Table7[#All], 2, FALSE)</f>
        <v>Massachusetts</v>
      </c>
      <c r="H576" s="2" t="s">
        <v>14</v>
      </c>
      <c r="I576" s="2" t="s">
        <v>22</v>
      </c>
      <c r="J576" s="2" t="s">
        <v>34</v>
      </c>
      <c r="K576" s="2" t="s">
        <v>8</v>
      </c>
      <c r="L576" s="2" t="s">
        <v>9</v>
      </c>
      <c r="M576" s="2" t="s">
        <v>20</v>
      </c>
      <c r="N576" s="2" t="s">
        <v>19</v>
      </c>
      <c r="O576" s="2" t="s">
        <v>12</v>
      </c>
      <c r="P576" s="2" t="s">
        <v>54</v>
      </c>
      <c r="Q576" s="2" t="s">
        <v>16</v>
      </c>
      <c r="R576" s="2" t="s">
        <v>18</v>
      </c>
      <c r="S576">
        <v>5</v>
      </c>
    </row>
    <row r="577" spans="1:19" x14ac:dyDescent="0.3">
      <c r="A577">
        <v>3037</v>
      </c>
      <c r="B577">
        <f>YEAR(Cleaned_HR_Data_Analysis__2[[#This Row],[Joining_Date]])</f>
        <v>2020</v>
      </c>
      <c r="C577" s="1">
        <v>43892</v>
      </c>
      <c r="D577" s="1" t="str" cm="1">
        <f t="array" ref="D577">_xlfn.IFS(E577&lt;28, "17-27",
AND(E577&gt;27, E577&lt;38), "28-37",
AND(E577&gt;37, E577 &lt;48), "38-47",
AND(E577&gt;47, E577 &lt;58), "48-57",
AND(E577&gt;57, E577&lt;68), "58-67",
AND(E577&gt;67, E577&lt;78), "68-77",
E577&gt;77,"Above than 77")</f>
        <v>28-37</v>
      </c>
      <c r="E577">
        <v>31</v>
      </c>
      <c r="F577" s="1">
        <v>32787</v>
      </c>
      <c r="G577" s="1" t="str">
        <f>VLOOKUP(H577,Table7[#All], 2, FALSE)</f>
        <v>Massachusetts</v>
      </c>
      <c r="H577" s="2" t="s">
        <v>14</v>
      </c>
      <c r="I577" s="2" t="s">
        <v>22</v>
      </c>
      <c r="J577" s="2" t="s">
        <v>34</v>
      </c>
      <c r="K577" s="2" t="s">
        <v>8</v>
      </c>
      <c r="L577" s="2" t="s">
        <v>9</v>
      </c>
      <c r="M577" s="2" t="s">
        <v>25</v>
      </c>
      <c r="N577" s="2" t="s">
        <v>11</v>
      </c>
      <c r="O577" s="2" t="s">
        <v>12</v>
      </c>
      <c r="P577" s="2" t="s">
        <v>35</v>
      </c>
      <c r="Q577" s="2" t="s">
        <v>46</v>
      </c>
      <c r="R577" s="2" t="s">
        <v>18</v>
      </c>
      <c r="S577">
        <v>4</v>
      </c>
    </row>
    <row r="578" spans="1:19" x14ac:dyDescent="0.3">
      <c r="A578">
        <v>2919</v>
      </c>
      <c r="B578">
        <f>YEAR(Cleaned_HR_Data_Analysis__2[[#This Row],[Joining_Date]])</f>
        <v>2019</v>
      </c>
      <c r="C578" s="1">
        <v>43576</v>
      </c>
      <c r="D578" s="1" t="str" cm="1">
        <f t="array" ref="D578">_xlfn.IFS(E578&lt;28, "17-27",
AND(E578&gt;27, E578&lt;38), "28-37",
AND(E578&gt;37, E578 &lt;48), "38-47",
AND(E578&gt;47, E578 &lt;58), "48-57",
AND(E578&gt;57, E578&lt;68), "58-67",
AND(E578&gt;67, E578&lt;78), "68-77",
E578&gt;77,"Above than 77")</f>
        <v>28-37</v>
      </c>
      <c r="E578">
        <v>31</v>
      </c>
      <c r="F578" s="1">
        <v>32454</v>
      </c>
      <c r="G578" s="1" t="str">
        <f>VLOOKUP(H578,Table7[#All], 2, FALSE)</f>
        <v>Massachusetts</v>
      </c>
      <c r="H578" s="2" t="s">
        <v>14</v>
      </c>
      <c r="I578" s="2" t="s">
        <v>15</v>
      </c>
      <c r="J578" s="2" t="s">
        <v>31</v>
      </c>
      <c r="K578" s="2" t="s">
        <v>8</v>
      </c>
      <c r="L578" s="2" t="s">
        <v>9</v>
      </c>
      <c r="M578" s="2" t="s">
        <v>25</v>
      </c>
      <c r="N578" s="2" t="s">
        <v>19</v>
      </c>
      <c r="O578" s="2" t="s">
        <v>12</v>
      </c>
      <c r="P578" s="2" t="s">
        <v>35</v>
      </c>
      <c r="Q578" s="2" t="s">
        <v>16</v>
      </c>
      <c r="R578" s="2" t="s">
        <v>56</v>
      </c>
      <c r="S578">
        <v>1</v>
      </c>
    </row>
    <row r="579" spans="1:19" x14ac:dyDescent="0.3">
      <c r="A579">
        <v>2833</v>
      </c>
      <c r="B579">
        <f>YEAR(Cleaned_HR_Data_Analysis__2[[#This Row],[Joining_Date]])</f>
        <v>2020</v>
      </c>
      <c r="C579" s="1">
        <v>44116</v>
      </c>
      <c r="D579" s="1" t="str" cm="1">
        <f t="array" ref="D579">_xlfn.IFS(E579&lt;28, "17-27",
AND(E579&gt;27, E579&lt;38), "28-37",
AND(E579&gt;37, E579 &lt;48), "38-47",
AND(E579&gt;47, E579 &lt;58), "48-57",
AND(E579&gt;57, E579&lt;68), "58-67",
AND(E579&gt;67, E579&lt;78), "68-77",
E579&gt;77,"Above than 77")</f>
        <v>28-37</v>
      </c>
      <c r="E579">
        <v>31</v>
      </c>
      <c r="F579" s="1">
        <v>32592</v>
      </c>
      <c r="G579" s="1" t="str">
        <f>VLOOKUP(H579,Table7[#All], 2, FALSE)</f>
        <v>Massachusetts</v>
      </c>
      <c r="H579" s="2" t="s">
        <v>14</v>
      </c>
      <c r="I579" s="2" t="s">
        <v>22</v>
      </c>
      <c r="J579" s="2" t="s">
        <v>34</v>
      </c>
      <c r="K579" s="2" t="s">
        <v>8</v>
      </c>
      <c r="L579" s="2" t="s">
        <v>9</v>
      </c>
      <c r="M579" s="2" t="s">
        <v>10</v>
      </c>
      <c r="N579" s="2" t="s">
        <v>19</v>
      </c>
      <c r="O579" s="2" t="s">
        <v>12</v>
      </c>
      <c r="P579" s="2" t="s">
        <v>32</v>
      </c>
      <c r="Q579" s="2" t="s">
        <v>46</v>
      </c>
      <c r="R579" s="2" t="s">
        <v>18</v>
      </c>
      <c r="S579">
        <v>5</v>
      </c>
    </row>
    <row r="580" spans="1:19" x14ac:dyDescent="0.3">
      <c r="A580">
        <v>2796</v>
      </c>
      <c r="B580">
        <f>YEAR(Cleaned_HR_Data_Analysis__2[[#This Row],[Joining_Date]])</f>
        <v>2022</v>
      </c>
      <c r="C580" s="1">
        <v>44823</v>
      </c>
      <c r="D580" s="1" t="str" cm="1">
        <f t="array" ref="D580">_xlfn.IFS(E580&lt;28, "17-27",
AND(E580&gt;27, E580&lt;38), "28-37",
AND(E580&gt;37, E580 &lt;48), "38-47",
AND(E580&gt;47, E580 &lt;58), "48-57",
AND(E580&gt;57, E580&lt;68), "58-67",
AND(E580&gt;67, E580&lt;78), "68-77",
E580&gt;77,"Above than 77")</f>
        <v>28-37</v>
      </c>
      <c r="E580">
        <v>31</v>
      </c>
      <c r="F580" s="1">
        <v>33482</v>
      </c>
      <c r="G580" s="1" t="str">
        <f>VLOOKUP(H580,Table7[#All], 2, FALSE)</f>
        <v>Massachusetts</v>
      </c>
      <c r="H580" s="2" t="s">
        <v>14</v>
      </c>
      <c r="I580" s="2" t="s">
        <v>15</v>
      </c>
      <c r="J580" s="2" t="s">
        <v>34</v>
      </c>
      <c r="K580" s="2" t="s">
        <v>8</v>
      </c>
      <c r="L580" s="2" t="s">
        <v>9</v>
      </c>
      <c r="M580" s="2" t="s">
        <v>10</v>
      </c>
      <c r="N580" s="2" t="s">
        <v>19</v>
      </c>
      <c r="O580" s="2" t="s">
        <v>12</v>
      </c>
      <c r="P580" s="2" t="s">
        <v>42</v>
      </c>
      <c r="Q580" s="2" t="s">
        <v>46</v>
      </c>
      <c r="R580" s="2" t="s">
        <v>18</v>
      </c>
      <c r="S580">
        <v>4</v>
      </c>
    </row>
    <row r="581" spans="1:19" x14ac:dyDescent="0.3">
      <c r="A581">
        <v>2129</v>
      </c>
      <c r="B581">
        <f>YEAR(Cleaned_HR_Data_Analysis__2[[#This Row],[Joining_Date]])</f>
        <v>2019</v>
      </c>
      <c r="C581" s="1">
        <v>43745</v>
      </c>
      <c r="D581" s="1" t="str" cm="1">
        <f t="array" ref="D581">_xlfn.IFS(E581&lt;28, "17-27",
AND(E581&gt;27, E581&lt;38), "28-37",
AND(E581&gt;37, E581 &lt;48), "38-47",
AND(E581&gt;47, E581 &lt;58), "48-57",
AND(E581&gt;57, E581&lt;68), "58-67",
AND(E581&gt;67, E581&lt;78), "68-77",
E581&gt;77,"Above than 77")</f>
        <v>28-37</v>
      </c>
      <c r="E581">
        <v>31</v>
      </c>
      <c r="F581" s="1">
        <v>32175</v>
      </c>
      <c r="G581" s="1" t="str">
        <f>VLOOKUP(H581,Table7[#All], 2, FALSE)</f>
        <v>Massachusetts</v>
      </c>
      <c r="H581" s="2" t="s">
        <v>14</v>
      </c>
      <c r="I581" s="2" t="s">
        <v>22</v>
      </c>
      <c r="J581" s="2" t="s">
        <v>40</v>
      </c>
      <c r="K581" s="2" t="s">
        <v>8</v>
      </c>
      <c r="L581" s="2" t="s">
        <v>9</v>
      </c>
      <c r="M581" s="2" t="s">
        <v>20</v>
      </c>
      <c r="N581" s="2" t="s">
        <v>26</v>
      </c>
      <c r="O581" s="2" t="s">
        <v>12</v>
      </c>
      <c r="P581" s="2" t="s">
        <v>35</v>
      </c>
      <c r="Q581" s="2" t="s">
        <v>30</v>
      </c>
      <c r="R581" s="2" t="s">
        <v>56</v>
      </c>
      <c r="S581">
        <v>5</v>
      </c>
    </row>
    <row r="582" spans="1:19" x14ac:dyDescent="0.3">
      <c r="A582">
        <v>2055</v>
      </c>
      <c r="B582">
        <f>YEAR(Cleaned_HR_Data_Analysis__2[[#This Row],[Joining_Date]])</f>
        <v>2020</v>
      </c>
      <c r="C582" s="1">
        <v>44160</v>
      </c>
      <c r="D582" s="1" t="str" cm="1">
        <f t="array" ref="D582">_xlfn.IFS(E582&lt;28, "17-27",
AND(E582&gt;27, E582&lt;38), "28-37",
AND(E582&gt;37, E582 &lt;48), "38-47",
AND(E582&gt;47, E582 &lt;58), "48-57",
AND(E582&gt;57, E582&lt;68), "58-67",
AND(E582&gt;67, E582&lt;78), "68-77",
E582&gt;77,"Above than 77")</f>
        <v>28-37</v>
      </c>
      <c r="E582">
        <v>31</v>
      </c>
      <c r="F582" s="1">
        <v>32708</v>
      </c>
      <c r="G582" s="1" t="str">
        <f>VLOOKUP(H582,Table7[#All], 2, FALSE)</f>
        <v>Massachusetts</v>
      </c>
      <c r="H582" s="2" t="s">
        <v>14</v>
      </c>
      <c r="I582" s="2" t="s">
        <v>15</v>
      </c>
      <c r="J582" s="2" t="s">
        <v>40</v>
      </c>
      <c r="K582" s="2" t="s">
        <v>8</v>
      </c>
      <c r="L582" s="2" t="s">
        <v>9</v>
      </c>
      <c r="M582" s="2" t="s">
        <v>10</v>
      </c>
      <c r="N582" s="2" t="s">
        <v>19</v>
      </c>
      <c r="O582" s="2" t="s">
        <v>12</v>
      </c>
      <c r="P582" s="2" t="s">
        <v>42</v>
      </c>
      <c r="Q582" s="2" t="s">
        <v>16</v>
      </c>
      <c r="R582" s="2" t="s">
        <v>18</v>
      </c>
      <c r="S582">
        <v>4</v>
      </c>
    </row>
    <row r="583" spans="1:19" x14ac:dyDescent="0.3">
      <c r="A583">
        <v>2033</v>
      </c>
      <c r="B583">
        <f>YEAR(Cleaned_HR_Data_Analysis__2[[#This Row],[Joining_Date]])</f>
        <v>2022</v>
      </c>
      <c r="C583" s="1">
        <v>44693</v>
      </c>
      <c r="D583" s="1" t="str" cm="1">
        <f t="array" ref="D583">_xlfn.IFS(E583&lt;28, "17-27",
AND(E583&gt;27, E583&lt;38), "28-37",
AND(E583&gt;37, E583 &lt;48), "38-47",
AND(E583&gt;47, E583 &lt;58), "48-57",
AND(E583&gt;57, E583&lt;68), "58-67",
AND(E583&gt;67, E583&lt;78), "68-77",
E583&gt;77,"Above than 77")</f>
        <v>28-37</v>
      </c>
      <c r="E583">
        <v>31</v>
      </c>
      <c r="F583" s="1">
        <v>33266</v>
      </c>
      <c r="G583" s="1" t="str">
        <f>VLOOKUP(H583,Table7[#All], 2, FALSE)</f>
        <v>Massachusetts</v>
      </c>
      <c r="H583" s="2" t="s">
        <v>14</v>
      </c>
      <c r="I583" s="2" t="s">
        <v>15</v>
      </c>
      <c r="J583" s="2" t="s">
        <v>40</v>
      </c>
      <c r="K583" s="2" t="s">
        <v>8</v>
      </c>
      <c r="L583" s="2" t="s">
        <v>9</v>
      </c>
      <c r="M583" s="2" t="s">
        <v>25</v>
      </c>
      <c r="N583" s="2" t="s">
        <v>19</v>
      </c>
      <c r="O583" s="2" t="s">
        <v>12</v>
      </c>
      <c r="P583" s="2" t="s">
        <v>32</v>
      </c>
      <c r="Q583" s="2" t="s">
        <v>16</v>
      </c>
      <c r="R583" s="2" t="s">
        <v>18</v>
      </c>
      <c r="S583">
        <v>1</v>
      </c>
    </row>
    <row r="584" spans="1:19" x14ac:dyDescent="0.3">
      <c r="A584">
        <v>1980</v>
      </c>
      <c r="B584">
        <f>YEAR(Cleaned_HR_Data_Analysis__2[[#This Row],[Joining_Date]])</f>
        <v>2021</v>
      </c>
      <c r="C584" s="1">
        <v>44510</v>
      </c>
      <c r="D584" s="1" t="str" cm="1">
        <f t="array" ref="D584">_xlfn.IFS(E584&lt;28, "17-27",
AND(E584&gt;27, E584&lt;38), "28-37",
AND(E584&gt;37, E584 &lt;48), "38-47",
AND(E584&gt;47, E584 &lt;58), "48-57",
AND(E584&gt;57, E584&lt;68), "58-67",
AND(E584&gt;67, E584&lt;78), "68-77",
E584&gt;77,"Above than 77")</f>
        <v>28-37</v>
      </c>
      <c r="E584">
        <v>31</v>
      </c>
      <c r="F584" s="1">
        <v>33040</v>
      </c>
      <c r="G584" s="1" t="str">
        <f>VLOOKUP(H584,Table7[#All], 2, FALSE)</f>
        <v>Massachusetts</v>
      </c>
      <c r="H584" s="2" t="s">
        <v>14</v>
      </c>
      <c r="I584" s="2" t="s">
        <v>15</v>
      </c>
      <c r="J584" s="2" t="s">
        <v>34</v>
      </c>
      <c r="K584" s="2" t="s">
        <v>8</v>
      </c>
      <c r="L584" s="2" t="s">
        <v>9</v>
      </c>
      <c r="M584" s="2" t="s">
        <v>20</v>
      </c>
      <c r="N584" s="2" t="s">
        <v>11</v>
      </c>
      <c r="O584" s="2" t="s">
        <v>12</v>
      </c>
      <c r="P584" s="2" t="s">
        <v>32</v>
      </c>
      <c r="Q584" s="2" t="s">
        <v>23</v>
      </c>
      <c r="R584" s="2" t="s">
        <v>18</v>
      </c>
      <c r="S584">
        <v>4</v>
      </c>
    </row>
    <row r="585" spans="1:19" x14ac:dyDescent="0.3">
      <c r="A585">
        <v>1858</v>
      </c>
      <c r="B585">
        <f>YEAR(Cleaned_HR_Data_Analysis__2[[#This Row],[Joining_Date]])</f>
        <v>2019</v>
      </c>
      <c r="C585" s="1">
        <v>43592</v>
      </c>
      <c r="D585" s="1" t="str" cm="1">
        <f t="array" ref="D585">_xlfn.IFS(E585&lt;28, "17-27",
AND(E585&gt;27, E585&lt;38), "28-37",
AND(E585&gt;37, E585 &lt;48), "38-47",
AND(E585&gt;47, E585 &lt;58), "48-57",
AND(E585&gt;57, E585&lt;68), "58-67",
AND(E585&gt;67, E585&lt;78), "68-77",
E585&gt;77,"Above than 77")</f>
        <v>28-37</v>
      </c>
      <c r="E585">
        <v>31</v>
      </c>
      <c r="F585" s="1">
        <v>32193</v>
      </c>
      <c r="G585" s="1" t="str">
        <f>VLOOKUP(H585,Table7[#All], 2, FALSE)</f>
        <v>Massachusetts</v>
      </c>
      <c r="H585" s="2" t="s">
        <v>14</v>
      </c>
      <c r="I585" s="2" t="s">
        <v>15</v>
      </c>
      <c r="J585" s="2" t="s">
        <v>17</v>
      </c>
      <c r="K585" s="2" t="s">
        <v>8</v>
      </c>
      <c r="L585" s="2" t="s">
        <v>9</v>
      </c>
      <c r="M585" s="2" t="s">
        <v>10</v>
      </c>
      <c r="N585" s="2" t="s">
        <v>19</v>
      </c>
      <c r="O585" s="2" t="s">
        <v>12</v>
      </c>
      <c r="P585" s="2" t="s">
        <v>59</v>
      </c>
      <c r="Q585" s="2" t="s">
        <v>46</v>
      </c>
      <c r="R585" s="2" t="s">
        <v>41</v>
      </c>
      <c r="S585">
        <v>4</v>
      </c>
    </row>
    <row r="586" spans="1:19" x14ac:dyDescent="0.3">
      <c r="A586">
        <v>1754</v>
      </c>
      <c r="B586">
        <f>YEAR(Cleaned_HR_Data_Analysis__2[[#This Row],[Joining_Date]])</f>
        <v>2022</v>
      </c>
      <c r="C586" s="1">
        <v>44817</v>
      </c>
      <c r="D586" s="1" t="str" cm="1">
        <f t="array" ref="D586">_xlfn.IFS(E586&lt;28, "17-27",
AND(E586&gt;27, E586&lt;38), "28-37",
AND(E586&gt;37, E586 &lt;48), "38-47",
AND(E586&gt;47, E586 &lt;58), "48-57",
AND(E586&gt;57, E586&lt;68), "58-67",
AND(E586&gt;67, E586&lt;78), "68-77",
E586&gt;77,"Above than 77")</f>
        <v>28-37</v>
      </c>
      <c r="E586">
        <v>31</v>
      </c>
      <c r="F586" s="1">
        <v>33560</v>
      </c>
      <c r="G586" s="1" t="str">
        <f>VLOOKUP(H586,Table7[#All], 2, FALSE)</f>
        <v>Massachusetts</v>
      </c>
      <c r="H586" s="2" t="s">
        <v>14</v>
      </c>
      <c r="I586" s="2" t="s">
        <v>22</v>
      </c>
      <c r="J586" s="2" t="s">
        <v>31</v>
      </c>
      <c r="K586" s="2" t="s">
        <v>8</v>
      </c>
      <c r="L586" s="2" t="s">
        <v>9</v>
      </c>
      <c r="M586" s="2" t="s">
        <v>20</v>
      </c>
      <c r="N586" s="2" t="s">
        <v>11</v>
      </c>
      <c r="O586" s="2" t="s">
        <v>12</v>
      </c>
      <c r="P586" s="2" t="s">
        <v>54</v>
      </c>
      <c r="Q586" s="2" t="s">
        <v>46</v>
      </c>
      <c r="R586" s="2" t="s">
        <v>18</v>
      </c>
      <c r="S586">
        <v>5</v>
      </c>
    </row>
    <row r="587" spans="1:19" x14ac:dyDescent="0.3">
      <c r="A587">
        <v>1617</v>
      </c>
      <c r="B587">
        <f>YEAR(Cleaned_HR_Data_Analysis__2[[#This Row],[Joining_Date]])</f>
        <v>2022</v>
      </c>
      <c r="C587" s="1">
        <v>44610</v>
      </c>
      <c r="D587" s="1" t="str" cm="1">
        <f t="array" ref="D587">_xlfn.IFS(E587&lt;28, "17-27",
AND(E587&gt;27, E587&lt;38), "28-37",
AND(E587&gt;37, E587 &lt;48), "38-47",
AND(E587&gt;47, E587 &lt;58), "48-57",
AND(E587&gt;57, E587&lt;68), "58-67",
AND(E587&gt;67, E587&lt;78), "68-77",
E587&gt;77,"Above than 77")</f>
        <v>28-37</v>
      </c>
      <c r="E587">
        <v>31</v>
      </c>
      <c r="F587" s="1">
        <v>33599</v>
      </c>
      <c r="G587" s="1" t="str">
        <f>VLOOKUP(H587,Table7[#All], 2, FALSE)</f>
        <v>Massachusetts</v>
      </c>
      <c r="H587" s="2" t="s">
        <v>14</v>
      </c>
      <c r="I587" s="2" t="s">
        <v>15</v>
      </c>
      <c r="J587" s="2" t="s">
        <v>40</v>
      </c>
      <c r="K587" s="2" t="s">
        <v>8</v>
      </c>
      <c r="L587" s="2" t="s">
        <v>9</v>
      </c>
      <c r="M587" s="2" t="s">
        <v>25</v>
      </c>
      <c r="N587" s="2" t="s">
        <v>26</v>
      </c>
      <c r="O587" s="2" t="s">
        <v>12</v>
      </c>
      <c r="P587" s="2" t="s">
        <v>21</v>
      </c>
      <c r="Q587" s="2" t="s">
        <v>37</v>
      </c>
      <c r="R587" s="2" t="s">
        <v>56</v>
      </c>
      <c r="S587">
        <v>1</v>
      </c>
    </row>
    <row r="588" spans="1:19" x14ac:dyDescent="0.3">
      <c r="A588">
        <v>1203</v>
      </c>
      <c r="B588">
        <f>YEAR(Cleaned_HR_Data_Analysis__2[[#This Row],[Joining_Date]])</f>
        <v>2018</v>
      </c>
      <c r="C588" s="1">
        <v>43351</v>
      </c>
      <c r="D588" s="1" t="str" cm="1">
        <f t="array" ref="D588">_xlfn.IFS(E588&lt;28, "17-27",
AND(E588&gt;27, E588&lt;38), "28-37",
AND(E588&gt;37, E588 &lt;48), "38-47",
AND(E588&gt;47, E588 &lt;58), "48-57",
AND(E588&gt;57, E588&lt;68), "58-67",
AND(E588&gt;67, E588&lt;78), "68-77",
E588&gt;77,"Above than 77")</f>
        <v>28-37</v>
      </c>
      <c r="E588">
        <v>31</v>
      </c>
      <c r="F588" s="1">
        <v>31793</v>
      </c>
      <c r="G588" s="1" t="str">
        <f>VLOOKUP(H588,Table7[#All], 2, FALSE)</f>
        <v>Massachusetts</v>
      </c>
      <c r="H588" s="2" t="s">
        <v>14</v>
      </c>
      <c r="I588" s="2" t="s">
        <v>22</v>
      </c>
      <c r="J588" s="2" t="s">
        <v>40</v>
      </c>
      <c r="K588" s="2" t="s">
        <v>8</v>
      </c>
      <c r="L588" s="2" t="s">
        <v>9</v>
      </c>
      <c r="M588" s="2" t="s">
        <v>10</v>
      </c>
      <c r="N588" s="2" t="s">
        <v>19</v>
      </c>
      <c r="O588" s="2" t="s">
        <v>12</v>
      </c>
      <c r="P588" s="2" t="s">
        <v>42</v>
      </c>
      <c r="Q588" s="2" t="s">
        <v>16</v>
      </c>
      <c r="R588" s="2" t="s">
        <v>18</v>
      </c>
      <c r="S588">
        <v>5</v>
      </c>
    </row>
    <row r="589" spans="1:19" x14ac:dyDescent="0.3">
      <c r="A589">
        <v>2448</v>
      </c>
      <c r="B589">
        <f>YEAR(Cleaned_HR_Data_Analysis__2[[#This Row],[Joining_Date]])</f>
        <v>2020</v>
      </c>
      <c r="C589" s="1">
        <v>44127</v>
      </c>
      <c r="D589" s="1" t="str" cm="1">
        <f t="array" ref="D589">_xlfn.IFS(E589&lt;28, "17-27",
AND(E589&gt;27, E589&lt;38), "28-37",
AND(E589&gt;37, E589 &lt;48), "38-47",
AND(E589&gt;47, E589 &lt;58), "48-57",
AND(E589&gt;57, E589&lt;68), "58-67",
AND(E589&gt;67, E589&lt;78), "68-77",
E589&gt;77,"Above than 77")</f>
        <v>28-37</v>
      </c>
      <c r="E589">
        <v>31</v>
      </c>
      <c r="F589" s="1">
        <v>32525</v>
      </c>
      <c r="G589" s="1" t="str">
        <f>VLOOKUP(H589,Table7[#All], 2, FALSE)</f>
        <v>Massachusetts</v>
      </c>
      <c r="H589" s="2" t="s">
        <v>14</v>
      </c>
      <c r="I589" s="2" t="s">
        <v>15</v>
      </c>
      <c r="J589" s="2" t="s">
        <v>31</v>
      </c>
      <c r="K589" s="2" t="s">
        <v>91</v>
      </c>
      <c r="L589" s="2" t="s">
        <v>66</v>
      </c>
      <c r="M589" s="2" t="s">
        <v>25</v>
      </c>
      <c r="N589" s="2" t="s">
        <v>11</v>
      </c>
      <c r="O589" s="2" t="s">
        <v>12</v>
      </c>
      <c r="P589" s="2" t="s">
        <v>38</v>
      </c>
      <c r="Q589" s="2" t="s">
        <v>46</v>
      </c>
      <c r="R589" s="2" t="s">
        <v>18</v>
      </c>
      <c r="S589">
        <v>2</v>
      </c>
    </row>
    <row r="590" spans="1:19" x14ac:dyDescent="0.3">
      <c r="A590">
        <v>2381</v>
      </c>
      <c r="B590">
        <f>YEAR(Cleaned_HR_Data_Analysis__2[[#This Row],[Joining_Date]])</f>
        <v>2019</v>
      </c>
      <c r="C590" s="1">
        <v>43706</v>
      </c>
      <c r="D590" s="1" t="str" cm="1">
        <f t="array" ref="D590">_xlfn.IFS(E590&lt;28, "17-27",
AND(E590&gt;27, E590&lt;38), "28-37",
AND(E590&gt;37, E590 &lt;48), "38-47",
AND(E590&gt;47, E590 &lt;58), "48-57",
AND(E590&gt;57, E590&lt;68), "58-67",
AND(E590&gt;67, E590&lt;78), "68-77",
E590&gt;77,"Above than 77")</f>
        <v>28-37</v>
      </c>
      <c r="E590">
        <v>31</v>
      </c>
      <c r="F590" s="1">
        <v>32241</v>
      </c>
      <c r="G590" s="1" t="str">
        <f>VLOOKUP(H590,Table7[#All], 2, FALSE)</f>
        <v>Massachusetts</v>
      </c>
      <c r="H590" s="2" t="s">
        <v>14</v>
      </c>
      <c r="I590" s="2" t="s">
        <v>15</v>
      </c>
      <c r="J590" s="2" t="s">
        <v>40</v>
      </c>
      <c r="K590" s="2" t="s">
        <v>91</v>
      </c>
      <c r="L590" s="2" t="s">
        <v>9</v>
      </c>
      <c r="M590" s="2" t="s">
        <v>20</v>
      </c>
      <c r="N590" s="2" t="s">
        <v>26</v>
      </c>
      <c r="O590" s="2" t="s">
        <v>12</v>
      </c>
      <c r="P590" s="2" t="s">
        <v>60</v>
      </c>
      <c r="Q590" s="2" t="s">
        <v>30</v>
      </c>
      <c r="R590" s="2" t="s">
        <v>18</v>
      </c>
      <c r="S590">
        <v>3</v>
      </c>
    </row>
    <row r="591" spans="1:19" x14ac:dyDescent="0.3">
      <c r="A591">
        <v>2360</v>
      </c>
      <c r="B591">
        <f>YEAR(Cleaned_HR_Data_Analysis__2[[#This Row],[Joining_Date]])</f>
        <v>2021</v>
      </c>
      <c r="C591" s="1">
        <v>44516</v>
      </c>
      <c r="D591" s="1" t="str" cm="1">
        <f t="array" ref="D591">_xlfn.IFS(E591&lt;28, "17-27",
AND(E591&gt;27, E591&lt;38), "28-37",
AND(E591&gt;37, E591 &lt;48), "38-47",
AND(E591&gt;47, E591 &lt;58), "48-57",
AND(E591&gt;57, E591&lt;68), "58-67",
AND(E591&gt;67, E591&lt;78), "68-77",
E591&gt;77,"Above than 77")</f>
        <v>28-37</v>
      </c>
      <c r="E591">
        <v>31</v>
      </c>
      <c r="F591" s="1">
        <v>33152</v>
      </c>
      <c r="G591" s="1" t="str">
        <f>VLOOKUP(H591,Table7[#All], 2, FALSE)</f>
        <v>Massachusetts</v>
      </c>
      <c r="H591" s="2" t="s">
        <v>14</v>
      </c>
      <c r="I591" s="2" t="s">
        <v>15</v>
      </c>
      <c r="J591" s="2" t="s">
        <v>17</v>
      </c>
      <c r="K591" s="2" t="s">
        <v>91</v>
      </c>
      <c r="L591" s="2" t="s">
        <v>66</v>
      </c>
      <c r="M591" s="2" t="s">
        <v>20</v>
      </c>
      <c r="N591" s="2" t="s">
        <v>26</v>
      </c>
      <c r="O591" s="2" t="s">
        <v>12</v>
      </c>
      <c r="P591" s="2" t="s">
        <v>55</v>
      </c>
      <c r="Q591" s="2" t="s">
        <v>46</v>
      </c>
      <c r="R591" s="2" t="s">
        <v>18</v>
      </c>
      <c r="S591">
        <v>4</v>
      </c>
    </row>
    <row r="592" spans="1:19" x14ac:dyDescent="0.3">
      <c r="A592">
        <v>2302</v>
      </c>
      <c r="B592">
        <f>YEAR(Cleaned_HR_Data_Analysis__2[[#This Row],[Joining_Date]])</f>
        <v>2019</v>
      </c>
      <c r="C592" s="1">
        <v>43467</v>
      </c>
      <c r="D592" s="1" t="str" cm="1">
        <f t="array" ref="D592">_xlfn.IFS(E592&lt;28, "17-27",
AND(E592&gt;27, E592&lt;38), "28-37",
AND(E592&gt;37, E592 &lt;48), "38-47",
AND(E592&gt;47, E592 &lt;58), "48-57",
AND(E592&gt;57, E592&lt;68), "58-67",
AND(E592&gt;67, E592&lt;78), "68-77",
E592&gt;77,"Above than 77")</f>
        <v>28-37</v>
      </c>
      <c r="E592">
        <v>31</v>
      </c>
      <c r="F592" s="1">
        <v>32475</v>
      </c>
      <c r="G592" s="1" t="str">
        <f>VLOOKUP(H592,Table7[#All], 2, FALSE)</f>
        <v>Massachusetts</v>
      </c>
      <c r="H592" s="2" t="s">
        <v>14</v>
      </c>
      <c r="I592" s="2" t="s">
        <v>15</v>
      </c>
      <c r="J592" s="2" t="s">
        <v>34</v>
      </c>
      <c r="K592" s="2" t="s">
        <v>91</v>
      </c>
      <c r="L592" s="2" t="s">
        <v>66</v>
      </c>
      <c r="M592" s="2" t="s">
        <v>10</v>
      </c>
      <c r="N592" s="2" t="s">
        <v>11</v>
      </c>
      <c r="O592" s="2" t="s">
        <v>12</v>
      </c>
      <c r="P592" s="2" t="s">
        <v>59</v>
      </c>
      <c r="Q592" s="2" t="s">
        <v>23</v>
      </c>
      <c r="R592" s="2" t="s">
        <v>18</v>
      </c>
      <c r="S592">
        <v>5</v>
      </c>
    </row>
    <row r="593" spans="1:19" x14ac:dyDescent="0.3">
      <c r="A593">
        <v>1142</v>
      </c>
      <c r="B593">
        <f>YEAR(Cleaned_HR_Data_Analysis__2[[#This Row],[Joining_Date]])</f>
        <v>2023</v>
      </c>
      <c r="C593" s="1">
        <v>45140</v>
      </c>
      <c r="D593" s="1" t="str" cm="1">
        <f t="array" ref="D593">_xlfn.IFS(E593&lt;28, "17-27",
AND(E593&gt;27, E593&lt;38), "28-37",
AND(E593&gt;37, E593 &lt;48), "38-47",
AND(E593&gt;47, E593 &lt;58), "48-57",
AND(E593&gt;57, E593&lt;68), "58-67",
AND(E593&gt;67, E593&lt;78), "68-77",
E593&gt;77,"Above than 77")</f>
        <v>28-37</v>
      </c>
      <c r="E593">
        <v>31</v>
      </c>
      <c r="F593" s="1">
        <v>33918</v>
      </c>
      <c r="G593" s="1" t="str">
        <f>VLOOKUP(H593,Table7[#All], 2, FALSE)</f>
        <v>Massachusetts</v>
      </c>
      <c r="H593" s="2" t="s">
        <v>14</v>
      </c>
      <c r="I593" s="2" t="s">
        <v>15</v>
      </c>
      <c r="J593" s="2" t="s">
        <v>34</v>
      </c>
      <c r="K593" s="2" t="s">
        <v>91</v>
      </c>
      <c r="L593" s="2" t="s">
        <v>9</v>
      </c>
      <c r="M593" s="2" t="s">
        <v>25</v>
      </c>
      <c r="N593" s="2" t="s">
        <v>26</v>
      </c>
      <c r="O593" s="2" t="s">
        <v>12</v>
      </c>
      <c r="P593" s="2" t="s">
        <v>54</v>
      </c>
      <c r="Q593" s="2" t="s">
        <v>46</v>
      </c>
      <c r="R593" s="2" t="s">
        <v>18</v>
      </c>
      <c r="S593">
        <v>4</v>
      </c>
    </row>
    <row r="594" spans="1:19" x14ac:dyDescent="0.3">
      <c r="A594">
        <v>3915</v>
      </c>
      <c r="B594">
        <f>YEAR(Cleaned_HR_Data_Analysis__2[[#This Row],[Joining_Date]])</f>
        <v>2022</v>
      </c>
      <c r="C594" s="1">
        <v>44801</v>
      </c>
      <c r="D594" s="1" t="str" cm="1">
        <f t="array" ref="D594">_xlfn.IFS(E594&lt;28, "17-27",
AND(E594&gt;27, E594&lt;38), "28-37",
AND(E594&gt;37, E594 &lt;48), "38-47",
AND(E594&gt;47, E594 &lt;58), "48-57",
AND(E594&gt;57, E594&lt;68), "58-67",
AND(E594&gt;67, E594&lt;78), "68-77",
E594&gt;77,"Above than 77")</f>
        <v>28-37</v>
      </c>
      <c r="E594">
        <v>31</v>
      </c>
      <c r="F594" s="1">
        <v>33361</v>
      </c>
      <c r="G594" s="1" t="str">
        <f>VLOOKUP(H594,Table7[#All], 2, FALSE)</f>
        <v>Massachusetts</v>
      </c>
      <c r="H594" s="2" t="s">
        <v>14</v>
      </c>
      <c r="I594" s="2" t="s">
        <v>22</v>
      </c>
      <c r="J594" s="2" t="s">
        <v>17</v>
      </c>
      <c r="K594" s="2" t="s">
        <v>71</v>
      </c>
      <c r="L594" s="2" t="s">
        <v>9</v>
      </c>
      <c r="M594" s="2" t="s">
        <v>10</v>
      </c>
      <c r="N594" s="2" t="s">
        <v>26</v>
      </c>
      <c r="O594" s="2" t="s">
        <v>53</v>
      </c>
      <c r="P594" s="2" t="s">
        <v>35</v>
      </c>
      <c r="Q594" s="2" t="s">
        <v>30</v>
      </c>
      <c r="R594" s="2" t="s">
        <v>18</v>
      </c>
      <c r="S594">
        <v>3</v>
      </c>
    </row>
    <row r="595" spans="1:19" x14ac:dyDescent="0.3">
      <c r="A595">
        <v>3883</v>
      </c>
      <c r="B595">
        <f>YEAR(Cleaned_HR_Data_Analysis__2[[#This Row],[Joining_Date]])</f>
        <v>2022</v>
      </c>
      <c r="C595" s="1">
        <v>44687</v>
      </c>
      <c r="D595" s="1" t="str" cm="1">
        <f t="array" ref="D595">_xlfn.IFS(E595&lt;28, "17-27",
AND(E595&gt;27, E595&lt;38), "28-37",
AND(E595&gt;37, E595 &lt;48), "38-47",
AND(E595&gt;47, E595 &lt;58), "48-57",
AND(E595&gt;57, E595&lt;68), "58-67",
AND(E595&gt;67, E595&lt;78), "68-77",
E595&gt;77,"Above than 77")</f>
        <v>28-37</v>
      </c>
      <c r="E595">
        <v>31</v>
      </c>
      <c r="F595" s="1">
        <v>33405</v>
      </c>
      <c r="G595" s="1" t="str">
        <f>VLOOKUP(H595,Table7[#All], 2, FALSE)</f>
        <v>Massachusetts</v>
      </c>
      <c r="H595" s="2" t="s">
        <v>14</v>
      </c>
      <c r="I595" s="2" t="s">
        <v>15</v>
      </c>
      <c r="J595" s="2" t="s">
        <v>17</v>
      </c>
      <c r="K595" s="2" t="s">
        <v>70</v>
      </c>
      <c r="L595" s="2" t="s">
        <v>9</v>
      </c>
      <c r="M595" s="2" t="s">
        <v>10</v>
      </c>
      <c r="N595" s="2" t="s">
        <v>26</v>
      </c>
      <c r="O595" s="2" t="s">
        <v>53</v>
      </c>
      <c r="P595" s="2" t="s">
        <v>35</v>
      </c>
      <c r="Q595" s="2" t="s">
        <v>16</v>
      </c>
      <c r="R595" s="2" t="s">
        <v>18</v>
      </c>
      <c r="S595">
        <v>2</v>
      </c>
    </row>
    <row r="596" spans="1:19" x14ac:dyDescent="0.3">
      <c r="A596">
        <v>2212</v>
      </c>
      <c r="B596">
        <f>YEAR(Cleaned_HR_Data_Analysis__2[[#This Row],[Joining_Date]])</f>
        <v>2022</v>
      </c>
      <c r="C596" s="1">
        <v>44745</v>
      </c>
      <c r="D596" s="1" t="str" cm="1">
        <f t="array" ref="D596">_xlfn.IFS(E596&lt;28, "17-27",
AND(E596&gt;27, E596&lt;38), "28-37",
AND(E596&gt;37, E596 &lt;48), "38-47",
AND(E596&gt;47, E596 &lt;58), "48-57",
AND(E596&gt;57, E596&lt;68), "58-67",
AND(E596&gt;67, E596&lt;78), "68-77",
E596&gt;77,"Above than 77")</f>
        <v>28-37</v>
      </c>
      <c r="E596">
        <v>31</v>
      </c>
      <c r="F596" s="1">
        <v>33369</v>
      </c>
      <c r="G596" s="1" t="str">
        <f>VLOOKUP(H596,Table7[#All], 2, FALSE)</f>
        <v>Massachusetts</v>
      </c>
      <c r="H596" s="2" t="s">
        <v>14</v>
      </c>
      <c r="I596" s="2" t="s">
        <v>15</v>
      </c>
      <c r="J596" s="2" t="s">
        <v>17</v>
      </c>
      <c r="K596" s="2" t="s">
        <v>70</v>
      </c>
      <c r="L596" s="2" t="s">
        <v>9</v>
      </c>
      <c r="M596" s="2" t="s">
        <v>25</v>
      </c>
      <c r="N596" s="2" t="s">
        <v>11</v>
      </c>
      <c r="O596" s="2" t="s">
        <v>53</v>
      </c>
      <c r="P596" s="2" t="s">
        <v>35</v>
      </c>
      <c r="Q596" s="2" t="s">
        <v>16</v>
      </c>
      <c r="R596" s="2" t="s">
        <v>41</v>
      </c>
      <c r="S596">
        <v>1</v>
      </c>
    </row>
    <row r="597" spans="1:19" x14ac:dyDescent="0.3">
      <c r="A597">
        <v>2554</v>
      </c>
      <c r="B597">
        <f>YEAR(Cleaned_HR_Data_Analysis__2[[#This Row],[Joining_Date]])</f>
        <v>2022</v>
      </c>
      <c r="C597" s="1">
        <v>44760</v>
      </c>
      <c r="D597" s="1" t="str" cm="1">
        <f t="array" ref="D597">_xlfn.IFS(E597&lt;28, "17-27",
AND(E597&gt;27, E597&lt;38), "28-37",
AND(E597&gt;37, E597 &lt;48), "38-47",
AND(E597&gt;47, E597 &lt;58), "48-57",
AND(E597&gt;57, E597&lt;68), "58-67",
AND(E597&gt;67, E597&lt;78), "68-77",
E597&gt;77,"Above than 77")</f>
        <v>28-37</v>
      </c>
      <c r="E597">
        <v>31</v>
      </c>
      <c r="F597" s="1">
        <v>33514</v>
      </c>
      <c r="G597" s="1" t="str">
        <f>VLOOKUP(H597,Table7[#All], 2, FALSE)</f>
        <v>Massachusetts</v>
      </c>
      <c r="H597" s="2" t="s">
        <v>14</v>
      </c>
      <c r="I597" s="2" t="s">
        <v>22</v>
      </c>
      <c r="J597" s="2" t="s">
        <v>17</v>
      </c>
      <c r="K597" s="2" t="s">
        <v>103</v>
      </c>
      <c r="L597" s="2" t="s">
        <v>9</v>
      </c>
      <c r="M597" s="2" t="s">
        <v>20</v>
      </c>
      <c r="N597" s="2" t="s">
        <v>19</v>
      </c>
      <c r="O597" s="2" t="s">
        <v>53</v>
      </c>
      <c r="P597" s="2" t="s">
        <v>38</v>
      </c>
      <c r="Q597" s="2" t="s">
        <v>23</v>
      </c>
      <c r="R597" s="2" t="s">
        <v>18</v>
      </c>
      <c r="S597">
        <v>1</v>
      </c>
    </row>
    <row r="598" spans="1:19" x14ac:dyDescent="0.3">
      <c r="A598">
        <v>2505</v>
      </c>
      <c r="B598">
        <f>YEAR(Cleaned_HR_Data_Analysis__2[[#This Row],[Joining_Date]])</f>
        <v>2019</v>
      </c>
      <c r="C598" s="1">
        <v>43648</v>
      </c>
      <c r="D598" s="1" t="str" cm="1">
        <f t="array" ref="D598">_xlfn.IFS(E598&lt;28, "17-27",
AND(E598&gt;27, E598&lt;38), "28-37",
AND(E598&gt;37, E598 &lt;48), "38-47",
AND(E598&gt;47, E598 &lt;58), "48-57",
AND(E598&gt;57, E598&lt;68), "58-67",
AND(E598&gt;67, E598&lt;78), "68-77",
E598&gt;77,"Above than 77")</f>
        <v>28-37</v>
      </c>
      <c r="E598">
        <v>31</v>
      </c>
      <c r="F598" s="1">
        <v>32264</v>
      </c>
      <c r="G598" s="1" t="str">
        <f>VLOOKUP(H598,Table7[#All], 2, FALSE)</f>
        <v>Massachusetts</v>
      </c>
      <c r="H598" s="2" t="s">
        <v>14</v>
      </c>
      <c r="I598" s="2" t="s">
        <v>22</v>
      </c>
      <c r="J598" s="2" t="s">
        <v>31</v>
      </c>
      <c r="K598" s="2" t="s">
        <v>104</v>
      </c>
      <c r="L598" s="2" t="s">
        <v>9</v>
      </c>
      <c r="M598" s="2" t="s">
        <v>10</v>
      </c>
      <c r="N598" s="2" t="s">
        <v>26</v>
      </c>
      <c r="O598" s="2" t="s">
        <v>53</v>
      </c>
      <c r="P598" s="2" t="s">
        <v>49</v>
      </c>
      <c r="Q598" s="2" t="s">
        <v>46</v>
      </c>
      <c r="R598" s="2" t="s">
        <v>18</v>
      </c>
      <c r="S598">
        <v>2</v>
      </c>
    </row>
    <row r="599" spans="1:19" x14ac:dyDescent="0.3">
      <c r="A599">
        <v>3985</v>
      </c>
      <c r="B599">
        <f>YEAR(Cleaned_HR_Data_Analysis__2[[#This Row],[Joining_Date]])</f>
        <v>2023</v>
      </c>
      <c r="C599" s="1">
        <v>44939</v>
      </c>
      <c r="D599" s="1" t="str" cm="1">
        <f t="array" ref="D599">_xlfn.IFS(E599&lt;28, "17-27",
AND(E599&gt;27, E599&lt;38), "28-37",
AND(E599&gt;37, E599 &lt;48), "38-47",
AND(E599&gt;47, E599 &lt;58), "48-57",
AND(E599&gt;57, E599&lt;68), "58-67",
AND(E599&gt;67, E599&lt;78), "68-77",
E599&gt;77,"Above than 77")</f>
        <v>28-37</v>
      </c>
      <c r="E599">
        <v>31</v>
      </c>
      <c r="F599" s="1">
        <v>33621</v>
      </c>
      <c r="G599" s="1" t="str">
        <f>VLOOKUP(H599,Table7[#All], 2, FALSE)</f>
        <v>Texas</v>
      </c>
      <c r="H599" s="2" t="s">
        <v>45</v>
      </c>
      <c r="I599" s="2" t="s">
        <v>22</v>
      </c>
      <c r="J599" s="2" t="s">
        <v>17</v>
      </c>
      <c r="K599" s="2" t="s">
        <v>77</v>
      </c>
      <c r="L599" s="2" t="s">
        <v>66</v>
      </c>
      <c r="M599" s="2" t="s">
        <v>20</v>
      </c>
      <c r="N599" s="2" t="s">
        <v>19</v>
      </c>
      <c r="O599" s="2" t="s">
        <v>53</v>
      </c>
      <c r="P599" s="2" t="s">
        <v>62</v>
      </c>
      <c r="Q599" s="2" t="s">
        <v>16</v>
      </c>
      <c r="R599" s="2" t="s">
        <v>18</v>
      </c>
      <c r="S599">
        <v>4</v>
      </c>
    </row>
    <row r="600" spans="1:19" x14ac:dyDescent="0.3">
      <c r="A600">
        <v>3957</v>
      </c>
      <c r="B600">
        <f>YEAR(Cleaned_HR_Data_Analysis__2[[#This Row],[Joining_Date]])</f>
        <v>2022</v>
      </c>
      <c r="C600" s="1">
        <v>44564</v>
      </c>
      <c r="D600" s="1" t="str" cm="1">
        <f t="array" ref="D600">_xlfn.IFS(E600&lt;28, "17-27",
AND(E600&gt;27, E600&lt;38), "28-37",
AND(E600&gt;37, E600 &lt;48), "38-47",
AND(E600&gt;47, E600 &lt;58), "48-57",
AND(E600&gt;57, E600&lt;68), "58-67",
AND(E600&gt;67, E600&lt;78), "68-77",
E600&gt;77,"Above than 77")</f>
        <v>28-37</v>
      </c>
      <c r="E600">
        <v>31</v>
      </c>
      <c r="F600" s="1">
        <v>33240</v>
      </c>
      <c r="G600" s="1" t="str">
        <f>VLOOKUP(H600,Table7[#All], 2, FALSE)</f>
        <v>Texas</v>
      </c>
      <c r="H600" s="2" t="s">
        <v>45</v>
      </c>
      <c r="I600" s="2" t="s">
        <v>15</v>
      </c>
      <c r="J600" s="2" t="s">
        <v>40</v>
      </c>
      <c r="K600" s="2" t="s">
        <v>77</v>
      </c>
      <c r="L600" s="2" t="s">
        <v>9</v>
      </c>
      <c r="M600" s="2" t="s">
        <v>10</v>
      </c>
      <c r="N600" s="2" t="s">
        <v>11</v>
      </c>
      <c r="O600" s="2" t="s">
        <v>53</v>
      </c>
      <c r="P600" s="2" t="s">
        <v>35</v>
      </c>
      <c r="Q600" s="2" t="s">
        <v>30</v>
      </c>
      <c r="R600" s="2" t="s">
        <v>18</v>
      </c>
      <c r="S600">
        <v>2</v>
      </c>
    </row>
    <row r="601" spans="1:19" x14ac:dyDescent="0.3">
      <c r="A601">
        <v>2742</v>
      </c>
      <c r="B601">
        <f>YEAR(Cleaned_HR_Data_Analysis__2[[#This Row],[Joining_Date]])</f>
        <v>2022</v>
      </c>
      <c r="C601" s="1">
        <v>44674</v>
      </c>
      <c r="D601" s="1" t="str" cm="1">
        <f t="array" ref="D601">_xlfn.IFS(E601&lt;28, "17-27",
AND(E601&gt;27, E601&lt;38), "28-37",
AND(E601&gt;37, E601 &lt;48), "38-47",
AND(E601&gt;47, E601 &lt;58), "48-57",
AND(E601&gt;57, E601&lt;68), "58-67",
AND(E601&gt;67, E601&lt;78), "68-77",
E601&gt;77,"Above than 77")</f>
        <v>28-37</v>
      </c>
      <c r="E601">
        <v>31</v>
      </c>
      <c r="F601" s="1">
        <v>33520</v>
      </c>
      <c r="G601" s="1" t="str">
        <f>VLOOKUP(H601,Table7[#All], 2, FALSE)</f>
        <v>New Hampshire</v>
      </c>
      <c r="H601" s="2" t="s">
        <v>115</v>
      </c>
      <c r="I601" s="2" t="s">
        <v>22</v>
      </c>
      <c r="J601" s="2" t="s">
        <v>34</v>
      </c>
      <c r="K601" s="2" t="s">
        <v>24</v>
      </c>
      <c r="L601" s="2" t="s">
        <v>9</v>
      </c>
      <c r="M601" s="2" t="s">
        <v>25</v>
      </c>
      <c r="N601" s="2" t="s">
        <v>26</v>
      </c>
      <c r="O601" s="2" t="s">
        <v>27</v>
      </c>
      <c r="P601" s="2" t="s">
        <v>35</v>
      </c>
      <c r="Q601" s="2" t="s">
        <v>46</v>
      </c>
      <c r="R601" s="2" t="s">
        <v>18</v>
      </c>
      <c r="S601">
        <v>3</v>
      </c>
    </row>
    <row r="602" spans="1:19" x14ac:dyDescent="0.3">
      <c r="A602">
        <v>2604</v>
      </c>
      <c r="B602">
        <f>YEAR(Cleaned_HR_Data_Analysis__2[[#This Row],[Joining_Date]])</f>
        <v>2018</v>
      </c>
      <c r="C602" s="1">
        <v>43454</v>
      </c>
      <c r="D602" s="1" t="str" cm="1">
        <f t="array" ref="D602">_xlfn.IFS(E602&lt;28, "17-27",
AND(E602&gt;27, E602&lt;38), "28-37",
AND(E602&gt;37, E602 &lt;48), "38-47",
AND(E602&gt;47, E602 &lt;58), "48-57",
AND(E602&gt;57, E602&lt;68), "58-67",
AND(E602&gt;67, E602&lt;78), "68-77",
E602&gt;77,"Above than 77")</f>
        <v>28-37</v>
      </c>
      <c r="E602">
        <v>31</v>
      </c>
      <c r="F602" s="1">
        <v>31846</v>
      </c>
      <c r="G602" s="1" t="str">
        <f>VLOOKUP(H602,Table7[#All], 2, FALSE)</f>
        <v>Massachusetts</v>
      </c>
      <c r="H602" s="2" t="s">
        <v>14</v>
      </c>
      <c r="I602" s="2" t="s">
        <v>22</v>
      </c>
      <c r="J602" s="2" t="s">
        <v>40</v>
      </c>
      <c r="K602" s="2" t="s">
        <v>24</v>
      </c>
      <c r="L602" s="2" t="s">
        <v>9</v>
      </c>
      <c r="M602" s="2" t="s">
        <v>10</v>
      </c>
      <c r="N602" s="2" t="s">
        <v>11</v>
      </c>
      <c r="O602" s="2" t="s">
        <v>27</v>
      </c>
      <c r="P602" s="2" t="s">
        <v>21</v>
      </c>
      <c r="Q602" s="2" t="s">
        <v>30</v>
      </c>
      <c r="R602" s="2" t="s">
        <v>18</v>
      </c>
      <c r="S602">
        <v>1</v>
      </c>
    </row>
    <row r="603" spans="1:19" x14ac:dyDescent="0.3">
      <c r="A603">
        <v>3506</v>
      </c>
      <c r="B603">
        <f>YEAR(Cleaned_HR_Data_Analysis__2[[#This Row],[Joining_Date]])</f>
        <v>2019</v>
      </c>
      <c r="C603" s="1">
        <v>43704</v>
      </c>
      <c r="D603" s="1" t="str" cm="1">
        <f t="array" ref="D603">_xlfn.IFS(E603&lt;28, "17-27",
AND(E603&gt;27, E603&lt;38), "28-37",
AND(E603&gt;37, E603 &lt;48), "38-47",
AND(E603&gt;47, E603 &lt;58), "48-57",
AND(E603&gt;57, E603&lt;68), "58-67",
AND(E603&gt;67, E603&lt;78), "68-77",
E603&gt;77,"Above than 77")</f>
        <v>28-37</v>
      </c>
      <c r="E603">
        <v>31</v>
      </c>
      <c r="F603" s="1">
        <v>32330</v>
      </c>
      <c r="G603" s="1" t="str">
        <f>VLOOKUP(H603,Table7[#All], 2, FALSE)</f>
        <v>Indiana</v>
      </c>
      <c r="H603" s="2" t="s">
        <v>47</v>
      </c>
      <c r="I603" s="2" t="s">
        <v>22</v>
      </c>
      <c r="J603" s="2" t="s">
        <v>34</v>
      </c>
      <c r="K603" s="2" t="s">
        <v>24</v>
      </c>
      <c r="L603" s="2" t="s">
        <v>9</v>
      </c>
      <c r="M603" s="2" t="s">
        <v>25</v>
      </c>
      <c r="N603" s="2" t="s">
        <v>26</v>
      </c>
      <c r="O603" s="2" t="s">
        <v>27</v>
      </c>
      <c r="P603" s="2" t="s">
        <v>35</v>
      </c>
      <c r="Q603" s="2" t="s">
        <v>30</v>
      </c>
      <c r="R603" s="2" t="s">
        <v>18</v>
      </c>
      <c r="S603">
        <v>2</v>
      </c>
    </row>
    <row r="604" spans="1:19" x14ac:dyDescent="0.3">
      <c r="A604">
        <v>3528</v>
      </c>
      <c r="B604">
        <f>YEAR(Cleaned_HR_Data_Analysis__2[[#This Row],[Joining_Date]])</f>
        <v>2022</v>
      </c>
      <c r="C604" s="1">
        <v>44847</v>
      </c>
      <c r="D604" s="1" t="str" cm="1">
        <f t="array" ref="D604">_xlfn.IFS(E604&lt;28, "17-27",
AND(E604&gt;27, E604&lt;38), "28-37",
AND(E604&gt;37, E604 &lt;48), "38-47",
AND(E604&gt;47, E604 &lt;58), "48-57",
AND(E604&gt;57, E604&lt;68), "58-67",
AND(E604&gt;67, E604&lt;78), "68-77",
E604&gt;77,"Above than 77")</f>
        <v>28-37</v>
      </c>
      <c r="E604">
        <v>31</v>
      </c>
      <c r="F604" s="1">
        <v>33585</v>
      </c>
      <c r="G604" s="1" t="str">
        <f>VLOOKUP(H604,Table7[#All], 2, FALSE)</f>
        <v>Colorado</v>
      </c>
      <c r="H604" s="2" t="s">
        <v>50</v>
      </c>
      <c r="I604" s="2" t="s">
        <v>22</v>
      </c>
      <c r="J604" s="2" t="s">
        <v>17</v>
      </c>
      <c r="K604" s="2" t="s">
        <v>24</v>
      </c>
      <c r="L604" s="2" t="s">
        <v>9</v>
      </c>
      <c r="M604" s="2" t="s">
        <v>25</v>
      </c>
      <c r="N604" s="2" t="s">
        <v>11</v>
      </c>
      <c r="O604" s="2" t="s">
        <v>27</v>
      </c>
      <c r="P604" s="2" t="s">
        <v>13</v>
      </c>
      <c r="Q604" s="2" t="s">
        <v>23</v>
      </c>
      <c r="R604" s="2" t="s">
        <v>18</v>
      </c>
      <c r="S604">
        <v>2</v>
      </c>
    </row>
    <row r="605" spans="1:19" x14ac:dyDescent="0.3">
      <c r="A605">
        <v>2700</v>
      </c>
      <c r="B605">
        <f>YEAR(Cleaned_HR_Data_Analysis__2[[#This Row],[Joining_Date]])</f>
        <v>2023</v>
      </c>
      <c r="C605" s="1">
        <v>44936</v>
      </c>
      <c r="D605" s="1" t="str" cm="1">
        <f t="array" ref="D605">_xlfn.IFS(E605&lt;28, "17-27",
AND(E605&gt;27, E605&lt;38), "28-37",
AND(E605&gt;37, E605 &lt;48), "38-47",
AND(E605&gt;47, E605 &lt;58), "48-57",
AND(E605&gt;57, E605&lt;68), "58-67",
AND(E605&gt;67, E605&lt;78), "68-77",
E605&gt;77,"Above than 77")</f>
        <v>28-37</v>
      </c>
      <c r="E605">
        <v>31</v>
      </c>
      <c r="F605" s="1">
        <v>33848</v>
      </c>
      <c r="G605" s="1" t="str">
        <f>VLOOKUP(H605,Table7[#All], 2, FALSE)</f>
        <v>Massachusetts</v>
      </c>
      <c r="H605" s="2" t="s">
        <v>14</v>
      </c>
      <c r="I605" s="2" t="s">
        <v>15</v>
      </c>
      <c r="J605" s="2" t="s">
        <v>31</v>
      </c>
      <c r="K605" s="2" t="s">
        <v>95</v>
      </c>
      <c r="L605" s="2" t="s">
        <v>9</v>
      </c>
      <c r="M605" s="2" t="s">
        <v>25</v>
      </c>
      <c r="N605" s="2" t="s">
        <v>26</v>
      </c>
      <c r="O605" s="2" t="s">
        <v>27</v>
      </c>
      <c r="P605" s="2" t="s">
        <v>54</v>
      </c>
      <c r="Q605" s="2" t="s">
        <v>30</v>
      </c>
      <c r="R605" s="2" t="s">
        <v>18</v>
      </c>
      <c r="S605">
        <v>5</v>
      </c>
    </row>
    <row r="606" spans="1:19" x14ac:dyDescent="0.3">
      <c r="A606">
        <v>1372</v>
      </c>
      <c r="B606">
        <f>YEAR(Cleaned_HR_Data_Analysis__2[[#This Row],[Joining_Date]])</f>
        <v>2022</v>
      </c>
      <c r="C606" s="1">
        <v>44889</v>
      </c>
      <c r="D606" s="1" t="str" cm="1">
        <f t="array" ref="D606">_xlfn.IFS(E606&lt;28, "17-27",
AND(E606&gt;27, E606&lt;38), "28-37",
AND(E606&gt;37, E606 &lt;48), "38-47",
AND(E606&gt;47, E606 &lt;58), "48-57",
AND(E606&gt;57, E606&lt;68), "58-67",
AND(E606&gt;67, E606&lt;78), "68-77",
E606&gt;77,"Above than 77")</f>
        <v>28-37</v>
      </c>
      <c r="E606">
        <v>31</v>
      </c>
      <c r="F606" s="1">
        <v>33469</v>
      </c>
      <c r="G606" s="1" t="str">
        <f>VLOOKUP(H606,Table7[#All], 2, FALSE)</f>
        <v>Massachusetts</v>
      </c>
      <c r="H606" s="2" t="s">
        <v>14</v>
      </c>
      <c r="I606" s="2" t="s">
        <v>22</v>
      </c>
      <c r="J606" s="2" t="s">
        <v>31</v>
      </c>
      <c r="K606" s="2" t="s">
        <v>96</v>
      </c>
      <c r="L606" s="2" t="s">
        <v>9</v>
      </c>
      <c r="M606" s="2" t="s">
        <v>10</v>
      </c>
      <c r="N606" s="2" t="s">
        <v>19</v>
      </c>
      <c r="O606" s="2" t="s">
        <v>90</v>
      </c>
      <c r="P606" s="2" t="s">
        <v>21</v>
      </c>
      <c r="Q606" s="2" t="s">
        <v>16</v>
      </c>
      <c r="R606" s="2" t="s">
        <v>41</v>
      </c>
      <c r="S606">
        <v>1</v>
      </c>
    </row>
    <row r="607" spans="1:19" x14ac:dyDescent="0.3">
      <c r="A607">
        <v>1338</v>
      </c>
      <c r="B607">
        <f>YEAR(Cleaned_HR_Data_Analysis__2[[#This Row],[Joining_Date]])</f>
        <v>2020</v>
      </c>
      <c r="C607" s="1">
        <v>44104</v>
      </c>
      <c r="D607" s="1" t="str" cm="1">
        <f t="array" ref="D607">_xlfn.IFS(E607&lt;28, "17-27",
AND(E607&gt;27, E607&lt;38), "28-37",
AND(E607&gt;37, E607 &lt;48), "38-47",
AND(E607&gt;47, E607 &lt;58), "48-57",
AND(E607&gt;57, E607&lt;68), "58-67",
AND(E607&gt;67, E607&lt;78), "68-77",
E607&gt;77,"Above than 77")</f>
        <v>28-37</v>
      </c>
      <c r="E607">
        <v>32</v>
      </c>
      <c r="F607" s="1">
        <v>32216</v>
      </c>
      <c r="G607" s="1" t="str">
        <f>VLOOKUP(H607,Table7[#All], 2, FALSE)</f>
        <v>Massachusetts</v>
      </c>
      <c r="H607" s="2" t="s">
        <v>14</v>
      </c>
      <c r="I607" s="2" t="s">
        <v>22</v>
      </c>
      <c r="J607" s="2" t="s">
        <v>17</v>
      </c>
      <c r="K607" s="2" t="s">
        <v>72</v>
      </c>
      <c r="L607" s="2" t="s">
        <v>9</v>
      </c>
      <c r="M607" s="2" t="s">
        <v>10</v>
      </c>
      <c r="N607" s="2" t="s">
        <v>11</v>
      </c>
      <c r="O607" s="2" t="s">
        <v>90</v>
      </c>
      <c r="P607" s="2" t="s">
        <v>58</v>
      </c>
      <c r="Q607" s="2" t="s">
        <v>30</v>
      </c>
      <c r="R607" s="2" t="s">
        <v>18</v>
      </c>
      <c r="S607">
        <v>1</v>
      </c>
    </row>
    <row r="608" spans="1:19" x14ac:dyDescent="0.3">
      <c r="A608">
        <v>1009</v>
      </c>
      <c r="B608">
        <f>YEAR(Cleaned_HR_Data_Analysis__2[[#This Row],[Joining_Date]])</f>
        <v>2019</v>
      </c>
      <c r="C608" s="1">
        <v>43629</v>
      </c>
      <c r="D608" s="1" t="str" cm="1">
        <f t="array" ref="D608">_xlfn.IFS(E608&lt;28, "17-27",
AND(E608&gt;27, E608&lt;38), "28-37",
AND(E608&gt;37, E608 &lt;48), "38-47",
AND(E608&gt;47, E608 &lt;58), "48-57",
AND(E608&gt;57, E608&lt;68), "58-67",
AND(E608&gt;67, E608&lt;78), "68-77",
E608&gt;77,"Above than 77")</f>
        <v>28-37</v>
      </c>
      <c r="E608">
        <v>32</v>
      </c>
      <c r="F608" s="1">
        <v>31837</v>
      </c>
      <c r="G608" s="1" t="str">
        <f>VLOOKUP(H608,Table7[#All], 2, FALSE)</f>
        <v>Massachusetts</v>
      </c>
      <c r="H608" s="2" t="s">
        <v>14</v>
      </c>
      <c r="I608" s="2" t="s">
        <v>15</v>
      </c>
      <c r="J608" s="2" t="s">
        <v>31</v>
      </c>
      <c r="K608" s="2" t="s">
        <v>86</v>
      </c>
      <c r="L608" s="2" t="s">
        <v>9</v>
      </c>
      <c r="M608" s="2" t="s">
        <v>20</v>
      </c>
      <c r="N608" s="2" t="s">
        <v>11</v>
      </c>
      <c r="O608" s="2" t="s">
        <v>87</v>
      </c>
      <c r="P608" s="2" t="s">
        <v>32</v>
      </c>
      <c r="Q608" s="2" t="s">
        <v>30</v>
      </c>
      <c r="R608" s="2" t="s">
        <v>18</v>
      </c>
      <c r="S608">
        <v>5</v>
      </c>
    </row>
    <row r="609" spans="1:19" x14ac:dyDescent="0.3">
      <c r="A609">
        <v>1080</v>
      </c>
      <c r="B609">
        <f>YEAR(Cleaned_HR_Data_Analysis__2[[#This Row],[Joining_Date]])</f>
        <v>2020</v>
      </c>
      <c r="C609" s="1">
        <v>44149</v>
      </c>
      <c r="D609" s="1" t="str" cm="1">
        <f t="array" ref="D609">_xlfn.IFS(E609&lt;28, "17-27",
AND(E609&gt;27, E609&lt;38), "28-37",
AND(E609&gt;37, E609 &lt;48), "38-47",
AND(E609&gt;47, E609 &lt;58), "48-57",
AND(E609&gt;57, E609&lt;68), "58-67",
AND(E609&gt;67, E609&lt;78), "68-77",
E609&gt;77,"Above than 77")</f>
        <v>28-37</v>
      </c>
      <c r="E609">
        <v>32</v>
      </c>
      <c r="F609" s="1">
        <v>32359</v>
      </c>
      <c r="G609" s="1" t="str">
        <f>VLOOKUP(H609,Table7[#All], 2, FALSE)</f>
        <v>Massachusetts</v>
      </c>
      <c r="H609" s="2" t="s">
        <v>14</v>
      </c>
      <c r="I609" s="2" t="s">
        <v>22</v>
      </c>
      <c r="J609" s="2" t="s">
        <v>17</v>
      </c>
      <c r="K609" s="2" t="s">
        <v>88</v>
      </c>
      <c r="L609" s="2" t="s">
        <v>9</v>
      </c>
      <c r="M609" s="2" t="s">
        <v>20</v>
      </c>
      <c r="N609" s="2" t="s">
        <v>11</v>
      </c>
      <c r="O609" s="2" t="s">
        <v>87</v>
      </c>
      <c r="P609" s="2" t="s">
        <v>55</v>
      </c>
      <c r="Q609" s="2" t="s">
        <v>37</v>
      </c>
      <c r="R609" s="2" t="s">
        <v>18</v>
      </c>
      <c r="S609">
        <v>1</v>
      </c>
    </row>
    <row r="610" spans="1:19" x14ac:dyDescent="0.3">
      <c r="A610">
        <v>1646</v>
      </c>
      <c r="B610">
        <f>YEAR(Cleaned_HR_Data_Analysis__2[[#This Row],[Joining_Date]])</f>
        <v>2019</v>
      </c>
      <c r="C610" s="1">
        <v>43560</v>
      </c>
      <c r="D610" s="1" t="str" cm="1">
        <f t="array" ref="D610">_xlfn.IFS(E610&lt;28, "17-27",
AND(E610&gt;27, E610&lt;38), "28-37",
AND(E610&gt;37, E610 &lt;48), "38-47",
AND(E610&gt;47, E610 &lt;58), "48-57",
AND(E610&gt;57, E610&lt;68), "58-67",
AND(E610&gt;67, E610&lt;78), "68-77",
E610&gt;77,"Above than 77")</f>
        <v>28-37</v>
      </c>
      <c r="E610">
        <v>32</v>
      </c>
      <c r="F610" s="1">
        <v>31945</v>
      </c>
      <c r="G610" s="1" t="str">
        <f>VLOOKUP(H610,Table7[#All], 2, FALSE)</f>
        <v>Massachusetts</v>
      </c>
      <c r="H610" s="2" t="s">
        <v>14</v>
      </c>
      <c r="I610" s="2" t="s">
        <v>22</v>
      </c>
      <c r="J610" s="2" t="s">
        <v>40</v>
      </c>
      <c r="K610" s="2" t="s">
        <v>98</v>
      </c>
      <c r="L610" s="2" t="s">
        <v>9</v>
      </c>
      <c r="M610" s="2" t="s">
        <v>10</v>
      </c>
      <c r="N610" s="2" t="s">
        <v>11</v>
      </c>
      <c r="O610" s="2" t="s">
        <v>90</v>
      </c>
      <c r="P610" s="2" t="s">
        <v>28</v>
      </c>
      <c r="Q610" s="2" t="s">
        <v>37</v>
      </c>
      <c r="R610" s="2" t="s">
        <v>18</v>
      </c>
      <c r="S610">
        <v>2</v>
      </c>
    </row>
    <row r="611" spans="1:19" x14ac:dyDescent="0.3">
      <c r="A611">
        <v>1936</v>
      </c>
      <c r="B611">
        <f>YEAR(Cleaned_HR_Data_Analysis__2[[#This Row],[Joining_Date]])</f>
        <v>2023</v>
      </c>
      <c r="C611" s="1">
        <v>44959</v>
      </c>
      <c r="D611" s="1" t="str" cm="1">
        <f t="array" ref="D611">_xlfn.IFS(E611&lt;28, "17-27",
AND(E611&gt;27, E611&lt;38), "28-37",
AND(E611&gt;37, E611 &lt;48), "38-47",
AND(E611&gt;47, E611 &lt;58), "48-57",
AND(E611&gt;57, E611&lt;68), "58-67",
AND(E611&gt;67, E611&lt;78), "68-77",
E611&gt;77,"Above than 77")</f>
        <v>28-37</v>
      </c>
      <c r="E611">
        <v>32</v>
      </c>
      <c r="F611" s="1">
        <v>33384</v>
      </c>
      <c r="G611" s="1" t="str">
        <f>VLOOKUP(H611,Table7[#All], 2, FALSE)</f>
        <v>Pennsylvania</v>
      </c>
      <c r="H611" s="2" t="s">
        <v>100</v>
      </c>
      <c r="I611" s="2" t="s">
        <v>15</v>
      </c>
      <c r="J611" s="2" t="s">
        <v>17</v>
      </c>
      <c r="K611" s="2" t="s">
        <v>64</v>
      </c>
      <c r="L611" s="2" t="s">
        <v>9</v>
      </c>
      <c r="M611" s="2" t="s">
        <v>25</v>
      </c>
      <c r="N611" s="2" t="s">
        <v>26</v>
      </c>
      <c r="O611" s="2" t="s">
        <v>27</v>
      </c>
      <c r="P611" s="2" t="s">
        <v>35</v>
      </c>
      <c r="Q611" s="2" t="s">
        <v>23</v>
      </c>
      <c r="R611" s="2" t="s">
        <v>18</v>
      </c>
      <c r="S611">
        <v>3</v>
      </c>
    </row>
    <row r="612" spans="1:19" x14ac:dyDescent="0.3">
      <c r="A612">
        <v>3348</v>
      </c>
      <c r="B612">
        <f>YEAR(Cleaned_HR_Data_Analysis__2[[#This Row],[Joining_Date]])</f>
        <v>2019</v>
      </c>
      <c r="C612" s="1">
        <v>43769</v>
      </c>
      <c r="D612" s="1" t="str" cm="1">
        <f t="array" ref="D612">_xlfn.IFS(E612&lt;28, "17-27",
AND(E612&gt;27, E612&lt;38), "28-37",
AND(E612&gt;37, E612 &lt;48), "38-47",
AND(E612&gt;47, E612 &lt;58), "48-57",
AND(E612&gt;57, E612&lt;68), "58-67",
AND(E612&gt;67, E612&lt;78), "68-77",
E612&gt;77,"Above than 77")</f>
        <v>28-37</v>
      </c>
      <c r="E612">
        <v>32</v>
      </c>
      <c r="F612" s="1">
        <v>32112</v>
      </c>
      <c r="G612" s="1" t="str">
        <f>VLOOKUP(H612,Table7[#All], 2, FALSE)</f>
        <v>Massachusetts</v>
      </c>
      <c r="H612" s="2" t="s">
        <v>14</v>
      </c>
      <c r="I612" s="2" t="s">
        <v>15</v>
      </c>
      <c r="J612" s="2" t="s">
        <v>17</v>
      </c>
      <c r="K612" s="2" t="s">
        <v>64</v>
      </c>
      <c r="L612" s="2" t="s">
        <v>9</v>
      </c>
      <c r="M612" s="2" t="s">
        <v>20</v>
      </c>
      <c r="N612" s="2" t="s">
        <v>19</v>
      </c>
      <c r="O612" s="2" t="s">
        <v>12</v>
      </c>
      <c r="P612" s="2" t="s">
        <v>32</v>
      </c>
      <c r="Q612" s="2" t="s">
        <v>46</v>
      </c>
      <c r="R612" s="2" t="s">
        <v>18</v>
      </c>
      <c r="S612">
        <v>2</v>
      </c>
    </row>
    <row r="613" spans="1:19" x14ac:dyDescent="0.3">
      <c r="A613">
        <v>3283</v>
      </c>
      <c r="B613">
        <f>YEAR(Cleaned_HR_Data_Analysis__2[[#This Row],[Joining_Date]])</f>
        <v>2020</v>
      </c>
      <c r="C613" s="1">
        <v>44033</v>
      </c>
      <c r="D613" s="1" t="str" cm="1">
        <f t="array" ref="D613">_xlfn.IFS(E613&lt;28, "17-27",
AND(E613&gt;27, E613&lt;38), "28-37",
AND(E613&gt;37, E613 &lt;48), "38-47",
AND(E613&gt;47, E613 &lt;58), "48-57",
AND(E613&gt;57, E613&lt;68), "58-67",
AND(E613&gt;67, E613&lt;78), "68-77",
E613&gt;77,"Above than 77")</f>
        <v>28-37</v>
      </c>
      <c r="E613">
        <v>32</v>
      </c>
      <c r="F613" s="1">
        <v>32368</v>
      </c>
      <c r="G613" s="1" t="str">
        <f>VLOOKUP(H613,Table7[#All], 2, FALSE)</f>
        <v>Massachusetts</v>
      </c>
      <c r="H613" s="2" t="s">
        <v>14</v>
      </c>
      <c r="I613" s="2" t="s">
        <v>15</v>
      </c>
      <c r="J613" s="2" t="s">
        <v>34</v>
      </c>
      <c r="K613" s="2" t="s">
        <v>64</v>
      </c>
      <c r="L613" s="2" t="s">
        <v>9</v>
      </c>
      <c r="M613" s="2" t="s">
        <v>10</v>
      </c>
      <c r="N613" s="2" t="s">
        <v>26</v>
      </c>
      <c r="O613" s="2" t="s">
        <v>12</v>
      </c>
      <c r="P613" s="2" t="s">
        <v>59</v>
      </c>
      <c r="Q613" s="2" t="s">
        <v>23</v>
      </c>
      <c r="R613" s="2" t="s">
        <v>18</v>
      </c>
      <c r="S613">
        <v>3</v>
      </c>
    </row>
    <row r="614" spans="1:19" x14ac:dyDescent="0.3">
      <c r="A614">
        <v>2092</v>
      </c>
      <c r="B614">
        <f>YEAR(Cleaned_HR_Data_Analysis__2[[#This Row],[Joining_Date]])</f>
        <v>2019</v>
      </c>
      <c r="C614" s="1">
        <v>43782</v>
      </c>
      <c r="D614" s="1" t="str" cm="1">
        <f t="array" ref="D614">_xlfn.IFS(E614&lt;28, "17-27",
AND(E614&gt;27, E614&lt;38), "28-37",
AND(E614&gt;37, E614 &lt;48), "38-47",
AND(E614&gt;47, E614 &lt;58), "48-57",
AND(E614&gt;57, E614&lt;68), "58-67",
AND(E614&gt;67, E614&lt;78), "68-77",
E614&gt;77,"Above than 77")</f>
        <v>28-37</v>
      </c>
      <c r="E614">
        <v>32</v>
      </c>
      <c r="F614" s="1">
        <v>32029</v>
      </c>
      <c r="G614" s="1" t="str">
        <f>VLOOKUP(H614,Table7[#All], 2, FALSE)</f>
        <v>Massachusetts</v>
      </c>
      <c r="H614" s="2" t="s">
        <v>14</v>
      </c>
      <c r="I614" s="2" t="s">
        <v>15</v>
      </c>
      <c r="J614" s="2" t="s">
        <v>17</v>
      </c>
      <c r="K614" s="2" t="s">
        <v>64</v>
      </c>
      <c r="L614" s="2" t="s">
        <v>9</v>
      </c>
      <c r="M614" s="2" t="s">
        <v>20</v>
      </c>
      <c r="N614" s="2" t="s">
        <v>11</v>
      </c>
      <c r="O614" s="2" t="s">
        <v>12</v>
      </c>
      <c r="P614" s="2" t="s">
        <v>35</v>
      </c>
      <c r="Q614" s="2" t="s">
        <v>46</v>
      </c>
      <c r="R614" s="2" t="s">
        <v>18</v>
      </c>
      <c r="S614">
        <v>2</v>
      </c>
    </row>
    <row r="615" spans="1:19" x14ac:dyDescent="0.3">
      <c r="A615">
        <v>1892</v>
      </c>
      <c r="B615">
        <f>YEAR(Cleaned_HR_Data_Analysis__2[[#This Row],[Joining_Date]])</f>
        <v>2018</v>
      </c>
      <c r="C615" s="1">
        <v>43319</v>
      </c>
      <c r="D615" s="1" t="str" cm="1">
        <f t="array" ref="D615">_xlfn.IFS(E615&lt;28, "17-27",
AND(E615&gt;27, E615&lt;38), "28-37",
AND(E615&gt;37, E615 &lt;48), "38-47",
AND(E615&gt;47, E615 &lt;58), "48-57",
AND(E615&gt;57, E615&lt;68), "58-67",
AND(E615&gt;67, E615&lt;78), "68-77",
E615&gt;77,"Above than 77")</f>
        <v>28-37</v>
      </c>
      <c r="E615">
        <v>32</v>
      </c>
      <c r="F615" s="1">
        <v>31562</v>
      </c>
      <c r="G615" s="1" t="str">
        <f>VLOOKUP(H615,Table7[#All], 2, FALSE)</f>
        <v>Massachusetts</v>
      </c>
      <c r="H615" s="2" t="s">
        <v>14</v>
      </c>
      <c r="I615" s="2" t="s">
        <v>15</v>
      </c>
      <c r="J615" s="2" t="s">
        <v>31</v>
      </c>
      <c r="K615" s="2" t="s">
        <v>64</v>
      </c>
      <c r="L615" s="2" t="s">
        <v>9</v>
      </c>
      <c r="M615" s="2" t="s">
        <v>10</v>
      </c>
      <c r="N615" s="2" t="s">
        <v>19</v>
      </c>
      <c r="O615" s="2" t="s">
        <v>12</v>
      </c>
      <c r="P615" s="2" t="s">
        <v>21</v>
      </c>
      <c r="Q615" s="2" t="s">
        <v>46</v>
      </c>
      <c r="R615" s="2" t="s">
        <v>18</v>
      </c>
      <c r="S615">
        <v>3</v>
      </c>
    </row>
    <row r="616" spans="1:19" x14ac:dyDescent="0.3">
      <c r="A616">
        <v>1817</v>
      </c>
      <c r="B616">
        <f>YEAR(Cleaned_HR_Data_Analysis__2[[#This Row],[Joining_Date]])</f>
        <v>2019</v>
      </c>
      <c r="C616" s="1">
        <v>43591</v>
      </c>
      <c r="D616" s="1" t="str" cm="1">
        <f t="array" ref="D616">_xlfn.IFS(E616&lt;28, "17-27",
AND(E616&gt;27, E616&lt;38), "28-37",
AND(E616&gt;37, E616 &lt;48), "38-47",
AND(E616&gt;47, E616 &lt;58), "48-57",
AND(E616&gt;57, E616&lt;68), "58-67",
AND(E616&gt;67, E616&lt;78), "68-77",
E616&gt;77,"Above than 77")</f>
        <v>28-37</v>
      </c>
      <c r="E616">
        <v>32</v>
      </c>
      <c r="F616" s="1">
        <v>31784</v>
      </c>
      <c r="G616" s="1" t="str">
        <f>VLOOKUP(H616,Table7[#All], 2, FALSE)</f>
        <v>Massachusetts</v>
      </c>
      <c r="H616" s="2" t="s">
        <v>14</v>
      </c>
      <c r="I616" s="2" t="s">
        <v>15</v>
      </c>
      <c r="J616" s="2" t="s">
        <v>40</v>
      </c>
      <c r="K616" s="2" t="s">
        <v>64</v>
      </c>
      <c r="L616" s="2" t="s">
        <v>9</v>
      </c>
      <c r="M616" s="2" t="s">
        <v>10</v>
      </c>
      <c r="N616" s="2" t="s">
        <v>19</v>
      </c>
      <c r="O616" s="2" t="s">
        <v>12</v>
      </c>
      <c r="P616" s="2" t="s">
        <v>21</v>
      </c>
      <c r="Q616" s="2" t="s">
        <v>30</v>
      </c>
      <c r="R616" s="2" t="s">
        <v>18</v>
      </c>
      <c r="S616">
        <v>1</v>
      </c>
    </row>
    <row r="617" spans="1:19" x14ac:dyDescent="0.3">
      <c r="A617">
        <v>1601</v>
      </c>
      <c r="B617">
        <f>YEAR(Cleaned_HR_Data_Analysis__2[[#This Row],[Joining_Date]])</f>
        <v>2022</v>
      </c>
      <c r="C617" s="1">
        <v>44649</v>
      </c>
      <c r="D617" s="1" t="str" cm="1">
        <f t="array" ref="D617">_xlfn.IFS(E617&lt;28, "17-27",
AND(E617&gt;27, E617&lt;38), "28-37",
AND(E617&gt;37, E617 &lt;48), "38-47",
AND(E617&gt;47, E617 &lt;58), "48-57",
AND(E617&gt;57, E617&lt;68), "58-67",
AND(E617&gt;67, E617&lt;78), "68-77",
E617&gt;77,"Above than 77")</f>
        <v>28-37</v>
      </c>
      <c r="E617">
        <v>32</v>
      </c>
      <c r="F617" s="1">
        <v>33154</v>
      </c>
      <c r="G617" s="1" t="str">
        <f>VLOOKUP(H617,Table7[#All], 2, FALSE)</f>
        <v>Massachusetts</v>
      </c>
      <c r="H617" s="2" t="s">
        <v>14</v>
      </c>
      <c r="I617" s="2" t="s">
        <v>22</v>
      </c>
      <c r="J617" s="2" t="s">
        <v>31</v>
      </c>
      <c r="K617" s="2" t="s">
        <v>64</v>
      </c>
      <c r="L617" s="2" t="s">
        <v>9</v>
      </c>
      <c r="M617" s="2" t="s">
        <v>20</v>
      </c>
      <c r="N617" s="2" t="s">
        <v>11</v>
      </c>
      <c r="O617" s="2" t="s">
        <v>12</v>
      </c>
      <c r="P617" s="2" t="s">
        <v>42</v>
      </c>
      <c r="Q617" s="2" t="s">
        <v>46</v>
      </c>
      <c r="R617" s="2" t="s">
        <v>41</v>
      </c>
      <c r="S617">
        <v>2</v>
      </c>
    </row>
    <row r="618" spans="1:19" x14ac:dyDescent="0.3">
      <c r="A618">
        <v>1189</v>
      </c>
      <c r="B618">
        <f>YEAR(Cleaned_HR_Data_Analysis__2[[#This Row],[Joining_Date]])</f>
        <v>2020</v>
      </c>
      <c r="C618" s="1">
        <v>44010</v>
      </c>
      <c r="D618" s="1" t="str" cm="1">
        <f t="array" ref="D618">_xlfn.IFS(E618&lt;28, "17-27",
AND(E618&gt;27, E618&lt;38), "28-37",
AND(E618&gt;37, E618 &lt;48), "38-47",
AND(E618&gt;47, E618 &lt;58), "48-57",
AND(E618&gt;57, E618&lt;68), "58-67",
AND(E618&gt;67, E618&lt;78), "68-77",
E618&gt;77,"Above than 77")</f>
        <v>28-37</v>
      </c>
      <c r="E618">
        <v>32</v>
      </c>
      <c r="F618" s="1">
        <v>32209</v>
      </c>
      <c r="G618" s="1" t="str">
        <f>VLOOKUP(H618,Table7[#All], 2, FALSE)</f>
        <v>Massachusetts</v>
      </c>
      <c r="H618" s="2" t="s">
        <v>14</v>
      </c>
      <c r="I618" s="2" t="s">
        <v>15</v>
      </c>
      <c r="J618" s="2" t="s">
        <v>34</v>
      </c>
      <c r="K618" s="2" t="s">
        <v>64</v>
      </c>
      <c r="L618" s="2" t="s">
        <v>66</v>
      </c>
      <c r="M618" s="2" t="s">
        <v>10</v>
      </c>
      <c r="N618" s="2" t="s">
        <v>11</v>
      </c>
      <c r="O618" s="2" t="s">
        <v>12</v>
      </c>
      <c r="P618" s="2" t="s">
        <v>38</v>
      </c>
      <c r="Q618" s="2" t="s">
        <v>30</v>
      </c>
      <c r="R618" s="2" t="s">
        <v>18</v>
      </c>
      <c r="S618">
        <v>5</v>
      </c>
    </row>
    <row r="619" spans="1:19" x14ac:dyDescent="0.3">
      <c r="A619">
        <v>3426</v>
      </c>
      <c r="B619">
        <f>YEAR(Cleaned_HR_Data_Analysis__2[[#This Row],[Joining_Date]])</f>
        <v>2022</v>
      </c>
      <c r="C619" s="1">
        <v>44678</v>
      </c>
      <c r="D619" s="1" t="str" cm="1">
        <f t="array" ref="D619">_xlfn.IFS(E619&lt;28, "17-27",
AND(E619&gt;27, E619&lt;38), "28-37",
AND(E619&gt;37, E619 &lt;48), "38-47",
AND(E619&gt;47, E619 &lt;58), "48-57",
AND(E619&gt;57, E619&lt;68), "58-67",
AND(E619&gt;67, E619&lt;78), "68-77",
E619&gt;77,"Above than 77")</f>
        <v>28-37</v>
      </c>
      <c r="E619">
        <v>32</v>
      </c>
      <c r="F619" s="1">
        <v>33127</v>
      </c>
      <c r="G619" s="1" t="str">
        <f>VLOOKUP(H619,Table7[#All], 2, FALSE)</f>
        <v>Massachusetts</v>
      </c>
      <c r="H619" s="2" t="s">
        <v>14</v>
      </c>
      <c r="I619" s="2" t="s">
        <v>15</v>
      </c>
      <c r="J619" s="2" t="s">
        <v>34</v>
      </c>
      <c r="K619" s="2" t="s">
        <v>8</v>
      </c>
      <c r="L619" s="2" t="s">
        <v>9</v>
      </c>
      <c r="M619" s="2" t="s">
        <v>25</v>
      </c>
      <c r="N619" s="2" t="s">
        <v>26</v>
      </c>
      <c r="O619" s="2" t="s">
        <v>12</v>
      </c>
      <c r="P619" s="2" t="s">
        <v>35</v>
      </c>
      <c r="Q619" s="2" t="s">
        <v>16</v>
      </c>
      <c r="R619" s="2" t="s">
        <v>18</v>
      </c>
      <c r="S619">
        <v>3</v>
      </c>
    </row>
    <row r="620" spans="1:19" x14ac:dyDescent="0.3">
      <c r="A620">
        <v>3355</v>
      </c>
      <c r="B620">
        <f>YEAR(Cleaned_HR_Data_Analysis__2[[#This Row],[Joining_Date]])</f>
        <v>2023</v>
      </c>
      <c r="C620" s="1">
        <v>44928</v>
      </c>
      <c r="D620" s="1" t="str" cm="1">
        <f t="array" ref="D620">_xlfn.IFS(E620&lt;28, "17-27",
AND(E620&gt;27, E620&lt;38), "28-37",
AND(E620&gt;37, E620 &lt;48), "38-47",
AND(E620&gt;47, E620 &lt;58), "48-57",
AND(E620&gt;57, E620&lt;68), "58-67",
AND(E620&gt;67, E620&lt;78), "68-77",
E620&gt;77,"Above than 77")</f>
        <v>28-37</v>
      </c>
      <c r="E620">
        <v>32</v>
      </c>
      <c r="F620" s="1">
        <v>33292</v>
      </c>
      <c r="G620" s="1" t="str">
        <f>VLOOKUP(H620,Table7[#All], 2, FALSE)</f>
        <v>Massachusetts</v>
      </c>
      <c r="H620" s="2" t="s">
        <v>14</v>
      </c>
      <c r="I620" s="2" t="s">
        <v>15</v>
      </c>
      <c r="J620" s="2" t="s">
        <v>40</v>
      </c>
      <c r="K620" s="2" t="s">
        <v>8</v>
      </c>
      <c r="L620" s="2" t="s">
        <v>9</v>
      </c>
      <c r="M620" s="2" t="s">
        <v>10</v>
      </c>
      <c r="N620" s="2" t="s">
        <v>26</v>
      </c>
      <c r="O620" s="2" t="s">
        <v>12</v>
      </c>
      <c r="P620" s="2" t="s">
        <v>21</v>
      </c>
      <c r="Q620" s="2" t="s">
        <v>16</v>
      </c>
      <c r="R620" s="2" t="s">
        <v>18</v>
      </c>
      <c r="S620">
        <v>3</v>
      </c>
    </row>
    <row r="621" spans="1:19" x14ac:dyDescent="0.3">
      <c r="A621">
        <v>3263</v>
      </c>
      <c r="B621">
        <f>YEAR(Cleaned_HR_Data_Analysis__2[[#This Row],[Joining_Date]])</f>
        <v>2022</v>
      </c>
      <c r="C621" s="1">
        <v>44671</v>
      </c>
      <c r="D621" s="1" t="str" cm="1">
        <f t="array" ref="D621">_xlfn.IFS(E621&lt;28, "17-27",
AND(E621&gt;27, E621&lt;38), "28-37",
AND(E621&gt;37, E621 &lt;48), "38-47",
AND(E621&gt;47, E621 &lt;58), "48-57",
AND(E621&gt;57, E621&lt;68), "58-67",
AND(E621&gt;67, E621&lt;78), "68-77",
E621&gt;77,"Above than 77")</f>
        <v>28-37</v>
      </c>
      <c r="E621">
        <v>32</v>
      </c>
      <c r="F621" s="1">
        <v>32977</v>
      </c>
      <c r="G621" s="1" t="str">
        <f>VLOOKUP(H621,Table7[#All], 2, FALSE)</f>
        <v>Massachusetts</v>
      </c>
      <c r="H621" s="2" t="s">
        <v>14</v>
      </c>
      <c r="I621" s="2" t="s">
        <v>22</v>
      </c>
      <c r="J621" s="2" t="s">
        <v>31</v>
      </c>
      <c r="K621" s="2" t="s">
        <v>8</v>
      </c>
      <c r="L621" s="2" t="s">
        <v>66</v>
      </c>
      <c r="M621" s="2" t="s">
        <v>25</v>
      </c>
      <c r="N621" s="2" t="s">
        <v>19</v>
      </c>
      <c r="O621" s="2" t="s">
        <v>12</v>
      </c>
      <c r="P621" s="2" t="s">
        <v>42</v>
      </c>
      <c r="Q621" s="2" t="s">
        <v>46</v>
      </c>
      <c r="R621" s="2" t="s">
        <v>65</v>
      </c>
      <c r="S621">
        <v>3</v>
      </c>
    </row>
    <row r="622" spans="1:19" x14ac:dyDescent="0.3">
      <c r="A622">
        <v>3140</v>
      </c>
      <c r="B622">
        <f>YEAR(Cleaned_HR_Data_Analysis__2[[#This Row],[Joining_Date]])</f>
        <v>2022</v>
      </c>
      <c r="C622" s="1">
        <v>44621</v>
      </c>
      <c r="D622" s="1" t="str" cm="1">
        <f t="array" ref="D622">_xlfn.IFS(E622&lt;28, "17-27",
AND(E622&gt;27, E622&lt;38), "28-37",
AND(E622&gt;37, E622 &lt;48), "38-47",
AND(E622&gt;47, E622 &lt;58), "48-57",
AND(E622&gt;57, E622&lt;68), "58-67",
AND(E622&gt;67, E622&lt;78), "68-77",
E622&gt;77,"Above than 77")</f>
        <v>28-37</v>
      </c>
      <c r="E622">
        <v>32</v>
      </c>
      <c r="F622" s="1">
        <v>32965</v>
      </c>
      <c r="G622" s="1" t="str">
        <f>VLOOKUP(H622,Table7[#All], 2, FALSE)</f>
        <v>Massachusetts</v>
      </c>
      <c r="H622" s="2" t="s">
        <v>14</v>
      </c>
      <c r="I622" s="2" t="s">
        <v>22</v>
      </c>
      <c r="J622" s="2" t="s">
        <v>17</v>
      </c>
      <c r="K622" s="2" t="s">
        <v>8</v>
      </c>
      <c r="L622" s="2" t="s">
        <v>9</v>
      </c>
      <c r="M622" s="2" t="s">
        <v>10</v>
      </c>
      <c r="N622" s="2" t="s">
        <v>11</v>
      </c>
      <c r="O622" s="2" t="s">
        <v>12</v>
      </c>
      <c r="P622" s="2" t="s">
        <v>60</v>
      </c>
      <c r="Q622" s="2" t="s">
        <v>23</v>
      </c>
      <c r="R622" s="2" t="s">
        <v>18</v>
      </c>
      <c r="S622">
        <v>1</v>
      </c>
    </row>
    <row r="623" spans="1:19" x14ac:dyDescent="0.3">
      <c r="A623">
        <v>3086</v>
      </c>
      <c r="B623">
        <f>YEAR(Cleaned_HR_Data_Analysis__2[[#This Row],[Joining_Date]])</f>
        <v>2019</v>
      </c>
      <c r="C623" s="1">
        <v>43822</v>
      </c>
      <c r="D623" s="1" t="str" cm="1">
        <f t="array" ref="D623">_xlfn.IFS(E623&lt;28, "17-27",
AND(E623&gt;27, E623&lt;38), "28-37",
AND(E623&gt;37, E623 &lt;48), "38-47",
AND(E623&gt;47, E623 &lt;58), "48-57",
AND(E623&gt;57, E623&lt;68), "58-67",
AND(E623&gt;67, E623&lt;78), "68-77",
E623&gt;77,"Above than 77")</f>
        <v>28-37</v>
      </c>
      <c r="E623">
        <v>32</v>
      </c>
      <c r="F623" s="1">
        <v>31865</v>
      </c>
      <c r="G623" s="1" t="str">
        <f>VLOOKUP(H623,Table7[#All], 2, FALSE)</f>
        <v>Massachusetts</v>
      </c>
      <c r="H623" s="2" t="s">
        <v>14</v>
      </c>
      <c r="I623" s="2" t="s">
        <v>15</v>
      </c>
      <c r="J623" s="2" t="s">
        <v>40</v>
      </c>
      <c r="K623" s="2" t="s">
        <v>8</v>
      </c>
      <c r="L623" s="2" t="s">
        <v>9</v>
      </c>
      <c r="M623" s="2" t="s">
        <v>20</v>
      </c>
      <c r="N623" s="2" t="s">
        <v>26</v>
      </c>
      <c r="O623" s="2" t="s">
        <v>12</v>
      </c>
      <c r="P623" s="2" t="s">
        <v>21</v>
      </c>
      <c r="Q623" s="2" t="s">
        <v>46</v>
      </c>
      <c r="R623" s="2" t="s">
        <v>18</v>
      </c>
      <c r="S623">
        <v>2</v>
      </c>
    </row>
    <row r="624" spans="1:19" x14ac:dyDescent="0.3">
      <c r="A624">
        <v>2898</v>
      </c>
      <c r="B624">
        <f>YEAR(Cleaned_HR_Data_Analysis__2[[#This Row],[Joining_Date]])</f>
        <v>2019</v>
      </c>
      <c r="C624" s="1">
        <v>43819</v>
      </c>
      <c r="D624" s="1" t="str" cm="1">
        <f t="array" ref="D624">_xlfn.IFS(E624&lt;28, "17-27",
AND(E624&gt;27, E624&lt;38), "28-37",
AND(E624&gt;37, E624 &lt;48), "38-47",
AND(E624&gt;47, E624 &lt;58), "48-57",
AND(E624&gt;57, E624&lt;68), "58-67",
AND(E624&gt;67, E624&lt;78), "68-77",
E624&gt;77,"Above than 77")</f>
        <v>28-37</v>
      </c>
      <c r="E624">
        <v>32</v>
      </c>
      <c r="F624" s="1">
        <v>31786</v>
      </c>
      <c r="G624" s="1" t="str">
        <f>VLOOKUP(H624,Table7[#All], 2, FALSE)</f>
        <v>Massachusetts</v>
      </c>
      <c r="H624" s="2" t="s">
        <v>14</v>
      </c>
      <c r="I624" s="2" t="s">
        <v>15</v>
      </c>
      <c r="J624" s="2" t="s">
        <v>31</v>
      </c>
      <c r="K624" s="2" t="s">
        <v>8</v>
      </c>
      <c r="L624" s="2" t="s">
        <v>9</v>
      </c>
      <c r="M624" s="2" t="s">
        <v>10</v>
      </c>
      <c r="N624" s="2" t="s">
        <v>19</v>
      </c>
      <c r="O624" s="2" t="s">
        <v>12</v>
      </c>
      <c r="P624" s="2" t="s">
        <v>35</v>
      </c>
      <c r="Q624" s="2" t="s">
        <v>30</v>
      </c>
      <c r="R624" s="2" t="s">
        <v>18</v>
      </c>
      <c r="S624">
        <v>4</v>
      </c>
    </row>
    <row r="625" spans="1:19" x14ac:dyDescent="0.3">
      <c r="A625">
        <v>2861</v>
      </c>
      <c r="B625">
        <f>YEAR(Cleaned_HR_Data_Analysis__2[[#This Row],[Joining_Date]])</f>
        <v>2018</v>
      </c>
      <c r="C625" s="1">
        <v>43379</v>
      </c>
      <c r="D625" s="1" t="str" cm="1">
        <f t="array" ref="D625">_xlfn.IFS(E625&lt;28, "17-27",
AND(E625&gt;27, E625&lt;38), "28-37",
AND(E625&gt;37, E625 &lt;48), "38-47",
AND(E625&gt;47, E625 &lt;58), "48-57",
AND(E625&gt;57, E625&lt;68), "58-67",
AND(E625&gt;67, E625&lt;78), "68-77",
E625&gt;77,"Above than 77")</f>
        <v>28-37</v>
      </c>
      <c r="E625">
        <v>32</v>
      </c>
      <c r="F625" s="1">
        <v>31606</v>
      </c>
      <c r="G625" s="1" t="str">
        <f>VLOOKUP(H625,Table7[#All], 2, FALSE)</f>
        <v>Massachusetts</v>
      </c>
      <c r="H625" s="2" t="s">
        <v>14</v>
      </c>
      <c r="I625" s="2" t="s">
        <v>22</v>
      </c>
      <c r="J625" s="2" t="s">
        <v>17</v>
      </c>
      <c r="K625" s="2" t="s">
        <v>8</v>
      </c>
      <c r="L625" s="2" t="s">
        <v>9</v>
      </c>
      <c r="M625" s="2" t="s">
        <v>25</v>
      </c>
      <c r="N625" s="2" t="s">
        <v>11</v>
      </c>
      <c r="O625" s="2" t="s">
        <v>12</v>
      </c>
      <c r="P625" s="2" t="s">
        <v>32</v>
      </c>
      <c r="Q625" s="2" t="s">
        <v>16</v>
      </c>
      <c r="R625" s="2" t="s">
        <v>18</v>
      </c>
      <c r="S625">
        <v>4</v>
      </c>
    </row>
    <row r="626" spans="1:19" x14ac:dyDescent="0.3">
      <c r="A626">
        <v>2782</v>
      </c>
      <c r="B626">
        <f>YEAR(Cleaned_HR_Data_Analysis__2[[#This Row],[Joining_Date]])</f>
        <v>2019</v>
      </c>
      <c r="C626" s="1">
        <v>43555</v>
      </c>
      <c r="D626" s="1" t="str" cm="1">
        <f t="array" ref="D626">_xlfn.IFS(E626&lt;28, "17-27",
AND(E626&gt;27, E626&lt;38), "28-37",
AND(E626&gt;37, E626 &lt;48), "38-47",
AND(E626&gt;47, E626 &lt;58), "48-57",
AND(E626&gt;57, E626&lt;68), "58-67",
AND(E626&gt;67, E626&lt;78), "68-77",
E626&gt;77,"Above than 77")</f>
        <v>28-37</v>
      </c>
      <c r="E626">
        <v>32</v>
      </c>
      <c r="F626" s="1">
        <v>31946</v>
      </c>
      <c r="G626" s="1" t="str">
        <f>VLOOKUP(H626,Table7[#All], 2, FALSE)</f>
        <v>Massachusetts</v>
      </c>
      <c r="H626" s="2" t="s">
        <v>14</v>
      </c>
      <c r="I626" s="2" t="s">
        <v>15</v>
      </c>
      <c r="J626" s="2" t="s">
        <v>31</v>
      </c>
      <c r="K626" s="2" t="s">
        <v>8</v>
      </c>
      <c r="L626" s="2" t="s">
        <v>9</v>
      </c>
      <c r="M626" s="2" t="s">
        <v>25</v>
      </c>
      <c r="N626" s="2" t="s">
        <v>11</v>
      </c>
      <c r="O626" s="2" t="s">
        <v>12</v>
      </c>
      <c r="P626" s="2" t="s">
        <v>32</v>
      </c>
      <c r="Q626" s="2" t="s">
        <v>37</v>
      </c>
      <c r="R626" s="2" t="s">
        <v>18</v>
      </c>
      <c r="S626">
        <v>5</v>
      </c>
    </row>
    <row r="627" spans="1:19" x14ac:dyDescent="0.3">
      <c r="A627">
        <v>2178</v>
      </c>
      <c r="B627">
        <f>YEAR(Cleaned_HR_Data_Analysis__2[[#This Row],[Joining_Date]])</f>
        <v>2022</v>
      </c>
      <c r="C627" s="1">
        <v>44866</v>
      </c>
      <c r="D627" s="1" t="str" cm="1">
        <f t="array" ref="D627">_xlfn.IFS(E627&lt;28, "17-27",
AND(E627&gt;27, E627&lt;38), "28-37",
AND(E627&gt;37, E627 &lt;48), "38-47",
AND(E627&gt;47, E627 &lt;58), "48-57",
AND(E627&gt;57, E627&lt;68), "58-67",
AND(E627&gt;67, E627&lt;78), "68-77",
E627&gt;77,"Above than 77")</f>
        <v>28-37</v>
      </c>
      <c r="E627">
        <v>32</v>
      </c>
      <c r="F627" s="1">
        <v>33115</v>
      </c>
      <c r="G627" s="1" t="str">
        <f>VLOOKUP(H627,Table7[#All], 2, FALSE)</f>
        <v>Massachusetts</v>
      </c>
      <c r="H627" s="2" t="s">
        <v>14</v>
      </c>
      <c r="I627" s="2" t="s">
        <v>15</v>
      </c>
      <c r="J627" s="2" t="s">
        <v>34</v>
      </c>
      <c r="K627" s="2" t="s">
        <v>8</v>
      </c>
      <c r="L627" s="2" t="s">
        <v>9</v>
      </c>
      <c r="M627" s="2" t="s">
        <v>10</v>
      </c>
      <c r="N627" s="2" t="s">
        <v>26</v>
      </c>
      <c r="O627" s="2" t="s">
        <v>12</v>
      </c>
      <c r="P627" s="2" t="s">
        <v>55</v>
      </c>
      <c r="Q627" s="2" t="s">
        <v>23</v>
      </c>
      <c r="R627" s="2" t="s">
        <v>65</v>
      </c>
      <c r="S627">
        <v>1</v>
      </c>
    </row>
    <row r="628" spans="1:19" x14ac:dyDescent="0.3">
      <c r="A628">
        <v>2175</v>
      </c>
      <c r="B628">
        <f>YEAR(Cleaned_HR_Data_Analysis__2[[#This Row],[Joining_Date]])</f>
        <v>2019</v>
      </c>
      <c r="C628" s="1">
        <v>43815</v>
      </c>
      <c r="D628" s="1" t="str" cm="1">
        <f t="array" ref="D628">_xlfn.IFS(E628&lt;28, "17-27",
AND(E628&gt;27, E628&lt;38), "28-37",
AND(E628&gt;37, E628 &lt;48), "38-47",
AND(E628&gt;47, E628 &lt;58), "48-57",
AND(E628&gt;57, E628&lt;68), "58-67",
AND(E628&gt;67, E628&lt;78), "68-77",
E628&gt;77,"Above than 77")</f>
        <v>28-37</v>
      </c>
      <c r="E628">
        <v>32</v>
      </c>
      <c r="F628" s="1">
        <v>32052</v>
      </c>
      <c r="G628" s="1" t="str">
        <f>VLOOKUP(H628,Table7[#All], 2, FALSE)</f>
        <v>Massachusetts</v>
      </c>
      <c r="H628" s="2" t="s">
        <v>14</v>
      </c>
      <c r="I628" s="2" t="s">
        <v>15</v>
      </c>
      <c r="J628" s="2" t="s">
        <v>17</v>
      </c>
      <c r="K628" s="2" t="s">
        <v>8</v>
      </c>
      <c r="L628" s="2" t="s">
        <v>9</v>
      </c>
      <c r="M628" s="2" t="s">
        <v>10</v>
      </c>
      <c r="N628" s="2" t="s">
        <v>11</v>
      </c>
      <c r="O628" s="2" t="s">
        <v>12</v>
      </c>
      <c r="P628" s="2" t="s">
        <v>35</v>
      </c>
      <c r="Q628" s="2" t="s">
        <v>23</v>
      </c>
      <c r="R628" s="2" t="s">
        <v>41</v>
      </c>
      <c r="S628">
        <v>3</v>
      </c>
    </row>
    <row r="629" spans="1:19" x14ac:dyDescent="0.3">
      <c r="A629">
        <v>2081</v>
      </c>
      <c r="B629">
        <f>YEAR(Cleaned_HR_Data_Analysis__2[[#This Row],[Joining_Date]])</f>
        <v>2020</v>
      </c>
      <c r="C629" s="1">
        <v>43960</v>
      </c>
      <c r="D629" s="1" t="str" cm="1">
        <f t="array" ref="D629">_xlfn.IFS(E629&lt;28, "17-27",
AND(E629&gt;27, E629&lt;38), "28-37",
AND(E629&gt;37, E629 &lt;48), "38-47",
AND(E629&gt;47, E629 &lt;58), "48-57",
AND(E629&gt;57, E629&lt;68), "58-67",
AND(E629&gt;67, E629&lt;78), "68-77",
E629&gt;77,"Above than 77")</f>
        <v>28-37</v>
      </c>
      <c r="E629">
        <v>32</v>
      </c>
      <c r="F629" s="1">
        <v>32302</v>
      </c>
      <c r="G629" s="1" t="str">
        <f>VLOOKUP(H629,Table7[#All], 2, FALSE)</f>
        <v>Massachusetts</v>
      </c>
      <c r="H629" s="2" t="s">
        <v>14</v>
      </c>
      <c r="I629" s="2" t="s">
        <v>15</v>
      </c>
      <c r="J629" s="2" t="s">
        <v>34</v>
      </c>
      <c r="K629" s="2" t="s">
        <v>8</v>
      </c>
      <c r="L629" s="2" t="s">
        <v>9</v>
      </c>
      <c r="M629" s="2" t="s">
        <v>20</v>
      </c>
      <c r="N629" s="2" t="s">
        <v>19</v>
      </c>
      <c r="O629" s="2" t="s">
        <v>12</v>
      </c>
      <c r="P629" s="2" t="s">
        <v>42</v>
      </c>
      <c r="Q629" s="2" t="s">
        <v>46</v>
      </c>
      <c r="R629" s="2" t="s">
        <v>18</v>
      </c>
      <c r="S629">
        <v>1</v>
      </c>
    </row>
    <row r="630" spans="1:19" x14ac:dyDescent="0.3">
      <c r="A630">
        <v>2078</v>
      </c>
      <c r="B630">
        <f>YEAR(Cleaned_HR_Data_Analysis__2[[#This Row],[Joining_Date]])</f>
        <v>2018</v>
      </c>
      <c r="C630" s="1">
        <v>43369</v>
      </c>
      <c r="D630" s="1" t="str" cm="1">
        <f t="array" ref="D630">_xlfn.IFS(E630&lt;28, "17-27",
AND(E630&gt;27, E630&lt;38), "28-37",
AND(E630&gt;37, E630 &lt;48), "38-47",
AND(E630&gt;47, E630 &lt;58), "48-57",
AND(E630&gt;57, E630&lt;68), "58-67",
AND(E630&gt;67, E630&lt;78), "68-77",
E630&gt;77,"Above than 77")</f>
        <v>28-37</v>
      </c>
      <c r="E630">
        <v>32</v>
      </c>
      <c r="F630" s="1">
        <v>31711</v>
      </c>
      <c r="G630" s="1" t="str">
        <f>VLOOKUP(H630,Table7[#All], 2, FALSE)</f>
        <v>Massachusetts</v>
      </c>
      <c r="H630" s="2" t="s">
        <v>14</v>
      </c>
      <c r="I630" s="2" t="s">
        <v>15</v>
      </c>
      <c r="J630" s="2" t="s">
        <v>31</v>
      </c>
      <c r="K630" s="2" t="s">
        <v>8</v>
      </c>
      <c r="L630" s="2" t="s">
        <v>66</v>
      </c>
      <c r="M630" s="2" t="s">
        <v>25</v>
      </c>
      <c r="N630" s="2" t="s">
        <v>26</v>
      </c>
      <c r="O630" s="2" t="s">
        <v>12</v>
      </c>
      <c r="P630" s="2" t="s">
        <v>35</v>
      </c>
      <c r="Q630" s="2" t="s">
        <v>16</v>
      </c>
      <c r="R630" s="2" t="s">
        <v>18</v>
      </c>
      <c r="S630">
        <v>5</v>
      </c>
    </row>
    <row r="631" spans="1:19" x14ac:dyDescent="0.3">
      <c r="A631">
        <v>2053</v>
      </c>
      <c r="B631">
        <f>YEAR(Cleaned_HR_Data_Analysis__2[[#This Row],[Joining_Date]])</f>
        <v>2021</v>
      </c>
      <c r="C631" s="1">
        <v>44466</v>
      </c>
      <c r="D631" s="1" t="str" cm="1">
        <f t="array" ref="D631">_xlfn.IFS(E631&lt;28, "17-27",
AND(E631&gt;27, E631&lt;38), "28-37",
AND(E631&gt;37, E631 &lt;48), "38-47",
AND(E631&gt;47, E631 &lt;58), "48-57",
AND(E631&gt;57, E631&lt;68), "58-67",
AND(E631&gt;67, E631&lt;78), "68-77",
E631&gt;77,"Above than 77")</f>
        <v>28-37</v>
      </c>
      <c r="E631">
        <v>32</v>
      </c>
      <c r="F631" s="1">
        <v>32548</v>
      </c>
      <c r="G631" s="1" t="str">
        <f>VLOOKUP(H631,Table7[#All], 2, FALSE)</f>
        <v>Massachusetts</v>
      </c>
      <c r="H631" s="2" t="s">
        <v>14</v>
      </c>
      <c r="I631" s="2" t="s">
        <v>15</v>
      </c>
      <c r="J631" s="2" t="s">
        <v>40</v>
      </c>
      <c r="K631" s="2" t="s">
        <v>8</v>
      </c>
      <c r="L631" s="2" t="s">
        <v>9</v>
      </c>
      <c r="M631" s="2" t="s">
        <v>20</v>
      </c>
      <c r="N631" s="2" t="s">
        <v>26</v>
      </c>
      <c r="O631" s="2" t="s">
        <v>12</v>
      </c>
      <c r="P631" s="2" t="s">
        <v>42</v>
      </c>
      <c r="Q631" s="2" t="s">
        <v>16</v>
      </c>
      <c r="R631" s="2" t="s">
        <v>18</v>
      </c>
      <c r="S631">
        <v>3</v>
      </c>
    </row>
    <row r="632" spans="1:19" x14ac:dyDescent="0.3">
      <c r="A632">
        <v>1919</v>
      </c>
      <c r="B632">
        <f>YEAR(Cleaned_HR_Data_Analysis__2[[#This Row],[Joining_Date]])</f>
        <v>2022</v>
      </c>
      <c r="C632" s="1">
        <v>44682</v>
      </c>
      <c r="D632" s="1" t="str" cm="1">
        <f t="array" ref="D632">_xlfn.IFS(E632&lt;28, "17-27",
AND(E632&gt;27, E632&lt;38), "28-37",
AND(E632&gt;37, E632 &lt;48), "38-47",
AND(E632&gt;47, E632 &lt;58), "48-57",
AND(E632&gt;57, E632&lt;68), "58-67",
AND(E632&gt;67, E632&lt;78), "68-77",
E632&gt;77,"Above than 77")</f>
        <v>28-37</v>
      </c>
      <c r="E632">
        <v>32</v>
      </c>
      <c r="F632" s="1">
        <v>33100</v>
      </c>
      <c r="G632" s="1" t="str">
        <f>VLOOKUP(H632,Table7[#All], 2, FALSE)</f>
        <v>Massachusetts</v>
      </c>
      <c r="H632" s="2" t="s">
        <v>14</v>
      </c>
      <c r="I632" s="2" t="s">
        <v>15</v>
      </c>
      <c r="J632" s="2" t="s">
        <v>17</v>
      </c>
      <c r="K632" s="2" t="s">
        <v>8</v>
      </c>
      <c r="L632" s="2" t="s">
        <v>66</v>
      </c>
      <c r="M632" s="2" t="s">
        <v>10</v>
      </c>
      <c r="N632" s="2" t="s">
        <v>19</v>
      </c>
      <c r="O632" s="2" t="s">
        <v>12</v>
      </c>
      <c r="P632" s="2" t="s">
        <v>58</v>
      </c>
      <c r="Q632" s="2" t="s">
        <v>30</v>
      </c>
      <c r="R632" s="2" t="s">
        <v>18</v>
      </c>
      <c r="S632">
        <v>3</v>
      </c>
    </row>
    <row r="633" spans="1:19" x14ac:dyDescent="0.3">
      <c r="A633">
        <v>1863</v>
      </c>
      <c r="B633">
        <f>YEAR(Cleaned_HR_Data_Analysis__2[[#This Row],[Joining_Date]])</f>
        <v>2019</v>
      </c>
      <c r="C633" s="1">
        <v>43773</v>
      </c>
      <c r="D633" s="1" t="str" cm="1">
        <f t="array" ref="D633">_xlfn.IFS(E633&lt;28, "17-27",
AND(E633&gt;27, E633&lt;38), "28-37",
AND(E633&gt;37, E633 &lt;48), "38-47",
AND(E633&gt;47, E633 &lt;58), "48-57",
AND(E633&gt;57, E633&lt;68), "58-67",
AND(E633&gt;67, E633&lt;78), "68-77",
E633&gt;77,"Above than 77")</f>
        <v>28-37</v>
      </c>
      <c r="E633">
        <v>32</v>
      </c>
      <c r="F633" s="1">
        <v>32038</v>
      </c>
      <c r="G633" s="1" t="str">
        <f>VLOOKUP(H633,Table7[#All], 2, FALSE)</f>
        <v>Massachusetts</v>
      </c>
      <c r="H633" s="2" t="s">
        <v>14</v>
      </c>
      <c r="I633" s="2" t="s">
        <v>15</v>
      </c>
      <c r="J633" s="2" t="s">
        <v>31</v>
      </c>
      <c r="K633" s="2" t="s">
        <v>8</v>
      </c>
      <c r="L633" s="2" t="s">
        <v>9</v>
      </c>
      <c r="M633" s="2" t="s">
        <v>20</v>
      </c>
      <c r="N633" s="2" t="s">
        <v>11</v>
      </c>
      <c r="O633" s="2" t="s">
        <v>12</v>
      </c>
      <c r="P633" s="2" t="s">
        <v>42</v>
      </c>
      <c r="Q633" s="2" t="s">
        <v>30</v>
      </c>
      <c r="R633" s="2" t="s">
        <v>41</v>
      </c>
      <c r="S633">
        <v>2</v>
      </c>
    </row>
    <row r="634" spans="1:19" x14ac:dyDescent="0.3">
      <c r="A634">
        <v>1801</v>
      </c>
      <c r="B634">
        <f>YEAR(Cleaned_HR_Data_Analysis__2[[#This Row],[Joining_Date]])</f>
        <v>2021</v>
      </c>
      <c r="C634" s="1">
        <v>44402</v>
      </c>
      <c r="D634" s="1" t="str" cm="1">
        <f t="array" ref="D634">_xlfn.IFS(E634&lt;28, "17-27",
AND(E634&gt;27, E634&lt;38), "28-37",
AND(E634&gt;37, E634 &lt;48), "38-47",
AND(E634&gt;47, E634 &lt;58), "48-57",
AND(E634&gt;57, E634&lt;68), "58-67",
AND(E634&gt;67, E634&lt;78), "68-77",
E634&gt;77,"Above than 77")</f>
        <v>28-37</v>
      </c>
      <c r="E634">
        <v>32</v>
      </c>
      <c r="F634" s="1">
        <v>32726</v>
      </c>
      <c r="G634" s="1" t="str">
        <f>VLOOKUP(H634,Table7[#All], 2, FALSE)</f>
        <v>Massachusetts</v>
      </c>
      <c r="H634" s="2" t="s">
        <v>14</v>
      </c>
      <c r="I634" s="2" t="s">
        <v>15</v>
      </c>
      <c r="J634" s="2" t="s">
        <v>34</v>
      </c>
      <c r="K634" s="2" t="s">
        <v>8</v>
      </c>
      <c r="L634" s="2" t="s">
        <v>9</v>
      </c>
      <c r="M634" s="2" t="s">
        <v>25</v>
      </c>
      <c r="N634" s="2" t="s">
        <v>11</v>
      </c>
      <c r="O634" s="2" t="s">
        <v>12</v>
      </c>
      <c r="P634" s="2" t="s">
        <v>32</v>
      </c>
      <c r="Q634" s="2" t="s">
        <v>23</v>
      </c>
      <c r="R634" s="2" t="s">
        <v>18</v>
      </c>
      <c r="S634">
        <v>4</v>
      </c>
    </row>
    <row r="635" spans="1:19" x14ac:dyDescent="0.3">
      <c r="A635">
        <v>1564</v>
      </c>
      <c r="B635">
        <f>YEAR(Cleaned_HR_Data_Analysis__2[[#This Row],[Joining_Date]])</f>
        <v>2023</v>
      </c>
      <c r="C635" s="1">
        <v>44996</v>
      </c>
      <c r="D635" s="1" t="str" cm="1">
        <f t="array" ref="D635">_xlfn.IFS(E635&lt;28, "17-27",
AND(E635&gt;27, E635&lt;38), "28-37",
AND(E635&gt;37, E635 &lt;48), "38-47",
AND(E635&gt;47, E635 &lt;58), "48-57",
AND(E635&gt;57, E635&lt;68), "58-67",
AND(E635&gt;67, E635&lt;78), "68-77",
E635&gt;77,"Above than 77")</f>
        <v>28-37</v>
      </c>
      <c r="E635">
        <v>32</v>
      </c>
      <c r="F635" s="1">
        <v>33301</v>
      </c>
      <c r="G635" s="1" t="str">
        <f>VLOOKUP(H635,Table7[#All], 2, FALSE)</f>
        <v>Massachusetts</v>
      </c>
      <c r="H635" s="2" t="s">
        <v>14</v>
      </c>
      <c r="I635" s="2" t="s">
        <v>22</v>
      </c>
      <c r="J635" s="2" t="s">
        <v>17</v>
      </c>
      <c r="K635" s="2" t="s">
        <v>8</v>
      </c>
      <c r="L635" s="2" t="s">
        <v>9</v>
      </c>
      <c r="M635" s="2" t="s">
        <v>10</v>
      </c>
      <c r="N635" s="2" t="s">
        <v>19</v>
      </c>
      <c r="O635" s="2" t="s">
        <v>12</v>
      </c>
      <c r="P635" s="2" t="s">
        <v>32</v>
      </c>
      <c r="Q635" s="2" t="s">
        <v>30</v>
      </c>
      <c r="R635" s="2" t="s">
        <v>41</v>
      </c>
      <c r="S635">
        <v>1</v>
      </c>
    </row>
    <row r="636" spans="1:19" x14ac:dyDescent="0.3">
      <c r="A636">
        <v>1466</v>
      </c>
      <c r="B636">
        <f>YEAR(Cleaned_HR_Data_Analysis__2[[#This Row],[Joining_Date]])</f>
        <v>2021</v>
      </c>
      <c r="C636" s="1">
        <v>44259</v>
      </c>
      <c r="D636" s="1" t="str" cm="1">
        <f t="array" ref="D636">_xlfn.IFS(E636&lt;28, "17-27",
AND(E636&gt;27, E636&lt;38), "28-37",
AND(E636&gt;37, E636 &lt;48), "38-47",
AND(E636&gt;47, E636 &lt;58), "48-57",
AND(E636&gt;57, E636&lt;68), "58-67",
AND(E636&gt;67, E636&lt;78), "68-77",
E636&gt;77,"Above than 77")</f>
        <v>28-37</v>
      </c>
      <c r="E636">
        <v>32</v>
      </c>
      <c r="F636" s="1">
        <v>32575</v>
      </c>
      <c r="G636" s="1" t="str">
        <f>VLOOKUP(H636,Table7[#All], 2, FALSE)</f>
        <v>Massachusetts</v>
      </c>
      <c r="H636" s="2" t="s">
        <v>14</v>
      </c>
      <c r="I636" s="2" t="s">
        <v>15</v>
      </c>
      <c r="J636" s="2" t="s">
        <v>17</v>
      </c>
      <c r="K636" s="2" t="s">
        <v>8</v>
      </c>
      <c r="L636" s="2" t="s">
        <v>9</v>
      </c>
      <c r="M636" s="2" t="s">
        <v>25</v>
      </c>
      <c r="N636" s="2" t="s">
        <v>19</v>
      </c>
      <c r="O636" s="2" t="s">
        <v>12</v>
      </c>
      <c r="P636" s="2" t="s">
        <v>67</v>
      </c>
      <c r="Q636" s="2" t="s">
        <v>16</v>
      </c>
      <c r="R636" s="2" t="s">
        <v>41</v>
      </c>
      <c r="S636">
        <v>4</v>
      </c>
    </row>
    <row r="637" spans="1:19" x14ac:dyDescent="0.3">
      <c r="A637">
        <v>1434</v>
      </c>
      <c r="B637">
        <f>YEAR(Cleaned_HR_Data_Analysis__2[[#This Row],[Joining_Date]])</f>
        <v>2018</v>
      </c>
      <c r="C637" s="1">
        <v>43464</v>
      </c>
      <c r="D637" s="1" t="str" cm="1">
        <f t="array" ref="D637">_xlfn.IFS(E637&lt;28, "17-27",
AND(E637&gt;27, E637&lt;38), "28-37",
AND(E637&gt;37, E637 &lt;48), "38-47",
AND(E637&gt;47, E637 &lt;58), "48-57",
AND(E637&gt;57, E637&lt;68), "58-67",
AND(E637&gt;67, E637&lt;78), "68-77",
E637&gt;77,"Above than 77")</f>
        <v>28-37</v>
      </c>
      <c r="E637">
        <v>32</v>
      </c>
      <c r="F637" s="1">
        <v>31774</v>
      </c>
      <c r="G637" s="1" t="str">
        <f>VLOOKUP(H637,Table7[#All], 2, FALSE)</f>
        <v>Massachusetts</v>
      </c>
      <c r="H637" s="2" t="s">
        <v>14</v>
      </c>
      <c r="I637" s="2" t="s">
        <v>15</v>
      </c>
      <c r="J637" s="2" t="s">
        <v>40</v>
      </c>
      <c r="K637" s="2" t="s">
        <v>8</v>
      </c>
      <c r="L637" s="2" t="s">
        <v>9</v>
      </c>
      <c r="M637" s="2" t="s">
        <v>20</v>
      </c>
      <c r="N637" s="2" t="s">
        <v>11</v>
      </c>
      <c r="O637" s="2" t="s">
        <v>12</v>
      </c>
      <c r="P637" s="2" t="s">
        <v>49</v>
      </c>
      <c r="Q637" s="2" t="s">
        <v>16</v>
      </c>
      <c r="R637" s="2" t="s">
        <v>41</v>
      </c>
      <c r="S637">
        <v>2</v>
      </c>
    </row>
    <row r="638" spans="1:19" x14ac:dyDescent="0.3">
      <c r="A638">
        <v>1227</v>
      </c>
      <c r="B638">
        <f>YEAR(Cleaned_HR_Data_Analysis__2[[#This Row],[Joining_Date]])</f>
        <v>2019</v>
      </c>
      <c r="C638" s="1">
        <v>43699</v>
      </c>
      <c r="D638" s="1" t="str" cm="1">
        <f t="array" ref="D638">_xlfn.IFS(E638&lt;28, "17-27",
AND(E638&gt;27, E638&lt;38), "28-37",
AND(E638&gt;37, E638 &lt;48), "38-47",
AND(E638&gt;47, E638 &lt;58), "48-57",
AND(E638&gt;57, E638&lt;68), "58-67",
AND(E638&gt;67, E638&lt;78), "68-77",
E638&gt;77,"Above than 77")</f>
        <v>28-37</v>
      </c>
      <c r="E638">
        <v>32</v>
      </c>
      <c r="F638" s="1">
        <v>31857</v>
      </c>
      <c r="G638" s="1" t="str">
        <f>VLOOKUP(H638,Table7[#All], 2, FALSE)</f>
        <v>Massachusetts</v>
      </c>
      <c r="H638" s="2" t="s">
        <v>14</v>
      </c>
      <c r="I638" s="2" t="s">
        <v>15</v>
      </c>
      <c r="J638" s="2" t="s">
        <v>40</v>
      </c>
      <c r="K638" s="2" t="s">
        <v>8</v>
      </c>
      <c r="L638" s="2" t="s">
        <v>9</v>
      </c>
      <c r="M638" s="2" t="s">
        <v>20</v>
      </c>
      <c r="N638" s="2" t="s">
        <v>11</v>
      </c>
      <c r="O638" s="2" t="s">
        <v>12</v>
      </c>
      <c r="P638" s="2" t="s">
        <v>67</v>
      </c>
      <c r="Q638" s="2" t="s">
        <v>30</v>
      </c>
      <c r="R638" s="2" t="s">
        <v>18</v>
      </c>
      <c r="S638">
        <v>2</v>
      </c>
    </row>
    <row r="639" spans="1:19" x14ac:dyDescent="0.3">
      <c r="A639">
        <v>1179</v>
      </c>
      <c r="B639">
        <f>YEAR(Cleaned_HR_Data_Analysis__2[[#This Row],[Joining_Date]])</f>
        <v>2022</v>
      </c>
      <c r="C639" s="1">
        <v>44758</v>
      </c>
      <c r="D639" s="1" t="str" cm="1">
        <f t="array" ref="D639">_xlfn.IFS(E639&lt;28, "17-27",
AND(E639&gt;27, E639&lt;38), "28-37",
AND(E639&gt;37, E639 &lt;48), "38-47",
AND(E639&gt;47, E639 &lt;58), "48-57",
AND(E639&gt;57, E639&lt;68), "58-67",
AND(E639&gt;67, E639&lt;78), "68-77",
E639&gt;77,"Above than 77")</f>
        <v>28-37</v>
      </c>
      <c r="E639">
        <v>32</v>
      </c>
      <c r="F639" s="1">
        <v>33124</v>
      </c>
      <c r="G639" s="1" t="str">
        <f>VLOOKUP(H639,Table7[#All], 2, FALSE)</f>
        <v>Massachusetts</v>
      </c>
      <c r="H639" s="2" t="s">
        <v>14</v>
      </c>
      <c r="I639" s="2" t="s">
        <v>22</v>
      </c>
      <c r="J639" s="2" t="s">
        <v>40</v>
      </c>
      <c r="K639" s="2" t="s">
        <v>8</v>
      </c>
      <c r="L639" s="2" t="s">
        <v>9</v>
      </c>
      <c r="M639" s="2" t="s">
        <v>20</v>
      </c>
      <c r="N639" s="2" t="s">
        <v>19</v>
      </c>
      <c r="O639" s="2" t="s">
        <v>12</v>
      </c>
      <c r="P639" s="2" t="s">
        <v>21</v>
      </c>
      <c r="Q639" s="2" t="s">
        <v>37</v>
      </c>
      <c r="R639" s="2" t="s">
        <v>18</v>
      </c>
      <c r="S639">
        <v>5</v>
      </c>
    </row>
    <row r="640" spans="1:19" x14ac:dyDescent="0.3">
      <c r="A640">
        <v>1091</v>
      </c>
      <c r="B640">
        <f>YEAR(Cleaned_HR_Data_Analysis__2[[#This Row],[Joining_Date]])</f>
        <v>2018</v>
      </c>
      <c r="C640" s="1">
        <v>43420</v>
      </c>
      <c r="D640" s="1" t="str" cm="1">
        <f t="array" ref="D640">_xlfn.IFS(E640&lt;28, "17-27",
AND(E640&gt;27, E640&lt;38), "28-37",
AND(E640&gt;37, E640 &lt;48), "38-47",
AND(E640&gt;47, E640 &lt;58), "48-57",
AND(E640&gt;57, E640&lt;68), "58-67",
AND(E640&gt;67, E640&lt;78), "68-77",
E640&gt;77,"Above than 77")</f>
        <v>28-37</v>
      </c>
      <c r="E640">
        <v>32</v>
      </c>
      <c r="F640" s="1">
        <v>31650</v>
      </c>
      <c r="G640" s="1" t="str">
        <f>VLOOKUP(H640,Table7[#All], 2, FALSE)</f>
        <v>Massachusetts</v>
      </c>
      <c r="H640" s="2" t="s">
        <v>14</v>
      </c>
      <c r="I640" s="2" t="s">
        <v>22</v>
      </c>
      <c r="J640" s="2" t="s">
        <v>31</v>
      </c>
      <c r="K640" s="2" t="s">
        <v>8</v>
      </c>
      <c r="L640" s="2" t="s">
        <v>9</v>
      </c>
      <c r="M640" s="2" t="s">
        <v>10</v>
      </c>
      <c r="N640" s="2" t="s">
        <v>26</v>
      </c>
      <c r="O640" s="2" t="s">
        <v>12</v>
      </c>
      <c r="P640" s="2" t="s">
        <v>28</v>
      </c>
      <c r="Q640" s="2" t="s">
        <v>46</v>
      </c>
      <c r="R640" s="2" t="s">
        <v>18</v>
      </c>
      <c r="S640">
        <v>4</v>
      </c>
    </row>
    <row r="641" spans="1:19" x14ac:dyDescent="0.3">
      <c r="A641">
        <v>2463</v>
      </c>
      <c r="B641">
        <f>YEAR(Cleaned_HR_Data_Analysis__2[[#This Row],[Joining_Date]])</f>
        <v>2018</v>
      </c>
      <c r="C641" s="1">
        <v>43440</v>
      </c>
      <c r="D641" s="1" t="str" cm="1">
        <f t="array" ref="D641">_xlfn.IFS(E641&lt;28, "17-27",
AND(E641&gt;27, E641&lt;38), "28-37",
AND(E641&gt;37, E641 &lt;48), "38-47",
AND(E641&gt;47, E641 &lt;58), "48-57",
AND(E641&gt;57, E641&lt;68), "58-67",
AND(E641&gt;67, E641&lt;78), "68-77",
E641&gt;77,"Above than 77")</f>
        <v>28-37</v>
      </c>
      <c r="E641">
        <v>32</v>
      </c>
      <c r="F641" s="1">
        <v>31505</v>
      </c>
      <c r="G641" s="1" t="str">
        <f>VLOOKUP(H641,Table7[#All], 2, FALSE)</f>
        <v>Massachusetts</v>
      </c>
      <c r="H641" s="2" t="s">
        <v>14</v>
      </c>
      <c r="I641" s="2" t="s">
        <v>15</v>
      </c>
      <c r="J641" s="2" t="s">
        <v>17</v>
      </c>
      <c r="K641" s="2" t="s">
        <v>91</v>
      </c>
      <c r="L641" s="2" t="s">
        <v>9</v>
      </c>
      <c r="M641" s="2" t="s">
        <v>20</v>
      </c>
      <c r="N641" s="2" t="s">
        <v>19</v>
      </c>
      <c r="O641" s="2" t="s">
        <v>12</v>
      </c>
      <c r="P641" s="2" t="s">
        <v>55</v>
      </c>
      <c r="Q641" s="2" t="s">
        <v>23</v>
      </c>
      <c r="R641" s="2" t="s">
        <v>18</v>
      </c>
      <c r="S641">
        <v>5</v>
      </c>
    </row>
    <row r="642" spans="1:19" x14ac:dyDescent="0.3">
      <c r="A642">
        <v>2454</v>
      </c>
      <c r="B642">
        <f>YEAR(Cleaned_HR_Data_Analysis__2[[#This Row],[Joining_Date]])</f>
        <v>2021</v>
      </c>
      <c r="C642" s="1">
        <v>44255</v>
      </c>
      <c r="D642" s="1" t="str" cm="1">
        <f t="array" ref="D642">_xlfn.IFS(E642&lt;28, "17-27",
AND(E642&gt;27, E642&lt;38), "28-37",
AND(E642&gt;37, E642 &lt;48), "38-47",
AND(E642&gt;47, E642 &lt;58), "48-57",
AND(E642&gt;57, E642&lt;68), "58-67",
AND(E642&gt;67, E642&lt;78), "68-77",
E642&gt;77,"Above than 77")</f>
        <v>28-37</v>
      </c>
      <c r="E642">
        <v>32</v>
      </c>
      <c r="F642" s="1">
        <v>32579</v>
      </c>
      <c r="G642" s="1" t="str">
        <f>VLOOKUP(H642,Table7[#All], 2, FALSE)</f>
        <v>Massachusetts</v>
      </c>
      <c r="H642" s="2" t="s">
        <v>14</v>
      </c>
      <c r="I642" s="2" t="s">
        <v>15</v>
      </c>
      <c r="J642" s="2" t="s">
        <v>34</v>
      </c>
      <c r="K642" s="2" t="s">
        <v>91</v>
      </c>
      <c r="L642" s="2" t="s">
        <v>9</v>
      </c>
      <c r="M642" s="2" t="s">
        <v>25</v>
      </c>
      <c r="N642" s="2" t="s">
        <v>19</v>
      </c>
      <c r="O642" s="2" t="s">
        <v>12</v>
      </c>
      <c r="P642" s="2" t="s">
        <v>55</v>
      </c>
      <c r="Q642" s="2" t="s">
        <v>46</v>
      </c>
      <c r="R642" s="2" t="s">
        <v>18</v>
      </c>
      <c r="S642">
        <v>4</v>
      </c>
    </row>
    <row r="643" spans="1:19" x14ac:dyDescent="0.3">
      <c r="A643">
        <v>2434</v>
      </c>
      <c r="B643">
        <f>YEAR(Cleaned_HR_Data_Analysis__2[[#This Row],[Joining_Date]])</f>
        <v>2023</v>
      </c>
      <c r="C643" s="1">
        <v>44940</v>
      </c>
      <c r="D643" s="1" t="str" cm="1">
        <f t="array" ref="D643">_xlfn.IFS(E643&lt;28, "17-27",
AND(E643&gt;27, E643&lt;38), "28-37",
AND(E643&gt;37, E643 &lt;48), "38-47",
AND(E643&gt;47, E643 &lt;58), "48-57",
AND(E643&gt;57, E643&lt;68), "58-67",
AND(E643&gt;67, E643&lt;78), "68-77",
E643&gt;77,"Above than 77")</f>
        <v>28-37</v>
      </c>
      <c r="E643">
        <v>32</v>
      </c>
      <c r="F643" s="1">
        <v>33503</v>
      </c>
      <c r="G643" s="1" t="str">
        <f>VLOOKUP(H643,Table7[#All], 2, FALSE)</f>
        <v>Massachusetts</v>
      </c>
      <c r="H643" s="2" t="s">
        <v>14</v>
      </c>
      <c r="I643" s="2" t="s">
        <v>22</v>
      </c>
      <c r="J643" s="2" t="s">
        <v>31</v>
      </c>
      <c r="K643" s="2" t="s">
        <v>91</v>
      </c>
      <c r="L643" s="2" t="s">
        <v>9</v>
      </c>
      <c r="M643" s="2" t="s">
        <v>20</v>
      </c>
      <c r="N643" s="2" t="s">
        <v>19</v>
      </c>
      <c r="O643" s="2" t="s">
        <v>12</v>
      </c>
      <c r="P643" s="2" t="s">
        <v>32</v>
      </c>
      <c r="Q643" s="2" t="s">
        <v>46</v>
      </c>
      <c r="R643" s="2" t="s">
        <v>18</v>
      </c>
      <c r="S643">
        <v>2</v>
      </c>
    </row>
    <row r="644" spans="1:19" x14ac:dyDescent="0.3">
      <c r="A644">
        <v>2337</v>
      </c>
      <c r="B644">
        <f>YEAR(Cleaned_HR_Data_Analysis__2[[#This Row],[Joining_Date]])</f>
        <v>2021</v>
      </c>
      <c r="C644" s="1">
        <v>44302</v>
      </c>
      <c r="D644" s="1" t="str" cm="1">
        <f t="array" ref="D644">_xlfn.IFS(E644&lt;28, "17-27",
AND(E644&gt;27, E644&lt;38), "28-37",
AND(E644&gt;37, E644 &lt;48), "38-47",
AND(E644&gt;47, E644 &lt;58), "48-57",
AND(E644&gt;57, E644&lt;68), "58-67",
AND(E644&gt;67, E644&lt;78), "68-77",
E644&gt;77,"Above than 77")</f>
        <v>28-37</v>
      </c>
      <c r="E644">
        <v>32</v>
      </c>
      <c r="F644" s="1">
        <v>32533</v>
      </c>
      <c r="G644" s="1" t="str">
        <f>VLOOKUP(H644,Table7[#All], 2, FALSE)</f>
        <v>Massachusetts</v>
      </c>
      <c r="H644" s="2" t="s">
        <v>14</v>
      </c>
      <c r="I644" s="2" t="s">
        <v>22</v>
      </c>
      <c r="J644" s="2" t="s">
        <v>31</v>
      </c>
      <c r="K644" s="2" t="s">
        <v>91</v>
      </c>
      <c r="L644" s="2" t="s">
        <v>9</v>
      </c>
      <c r="M644" s="2" t="s">
        <v>25</v>
      </c>
      <c r="N644" s="2" t="s">
        <v>11</v>
      </c>
      <c r="O644" s="2" t="s">
        <v>12</v>
      </c>
      <c r="P644" s="2" t="s">
        <v>42</v>
      </c>
      <c r="Q644" s="2" t="s">
        <v>30</v>
      </c>
      <c r="R644" s="2" t="s">
        <v>18</v>
      </c>
      <c r="S644">
        <v>4</v>
      </c>
    </row>
    <row r="645" spans="1:19" x14ac:dyDescent="0.3">
      <c r="A645">
        <v>3867</v>
      </c>
      <c r="B645">
        <f>YEAR(Cleaned_HR_Data_Analysis__2[[#This Row],[Joining_Date]])</f>
        <v>2018</v>
      </c>
      <c r="C645" s="1">
        <v>43338</v>
      </c>
      <c r="D645" s="1" t="str" cm="1">
        <f t="array" ref="D645">_xlfn.IFS(E645&lt;28, "17-27",
AND(E645&gt;27, E645&lt;38), "28-37",
AND(E645&gt;37, E645 &lt;48), "38-47",
AND(E645&gt;47, E645 &lt;58), "48-57",
AND(E645&gt;57, E645&lt;68), "58-67",
AND(E645&gt;67, E645&lt;78), "68-77",
E645&gt;77,"Above than 77")</f>
        <v>28-37</v>
      </c>
      <c r="E645">
        <v>32</v>
      </c>
      <c r="F645" s="1">
        <v>31706</v>
      </c>
      <c r="G645" s="1" t="str">
        <f>VLOOKUP(H645,Table7[#All], 2, FALSE)</f>
        <v>Massachusetts</v>
      </c>
      <c r="H645" s="2" t="s">
        <v>14</v>
      </c>
      <c r="I645" s="2" t="s">
        <v>22</v>
      </c>
      <c r="J645" s="2" t="s">
        <v>17</v>
      </c>
      <c r="K645" s="2" t="s">
        <v>71</v>
      </c>
      <c r="L645" s="2" t="s">
        <v>9</v>
      </c>
      <c r="M645" s="2" t="s">
        <v>20</v>
      </c>
      <c r="N645" s="2" t="s">
        <v>26</v>
      </c>
      <c r="O645" s="2" t="s">
        <v>73</v>
      </c>
      <c r="P645" s="2" t="s">
        <v>60</v>
      </c>
      <c r="Q645" s="2" t="s">
        <v>30</v>
      </c>
      <c r="R645" s="2" t="s">
        <v>18</v>
      </c>
      <c r="S645">
        <v>3</v>
      </c>
    </row>
    <row r="646" spans="1:19" x14ac:dyDescent="0.3">
      <c r="A646">
        <v>2307</v>
      </c>
      <c r="B646">
        <f>YEAR(Cleaned_HR_Data_Analysis__2[[#This Row],[Joining_Date]])</f>
        <v>2020</v>
      </c>
      <c r="C646" s="1">
        <v>43959</v>
      </c>
      <c r="D646" s="1" t="str" cm="1">
        <f t="array" ref="D646">_xlfn.IFS(E646&lt;28, "17-27",
AND(E646&gt;27, E646&lt;38), "28-37",
AND(E646&gt;37, E646 &lt;48), "38-47",
AND(E646&gt;47, E646 &lt;58), "48-57",
AND(E646&gt;57, E646&lt;68), "58-67",
AND(E646&gt;67, E646&lt;78), "68-77",
E646&gt;77,"Above than 77")</f>
        <v>28-37</v>
      </c>
      <c r="E646">
        <v>32</v>
      </c>
      <c r="F646" s="1">
        <v>32268</v>
      </c>
      <c r="G646" s="1" t="str">
        <f>VLOOKUP(H646,Table7[#All], 2, FALSE)</f>
        <v>Massachusetts</v>
      </c>
      <c r="H646" s="2" t="s">
        <v>14</v>
      </c>
      <c r="I646" s="2" t="s">
        <v>22</v>
      </c>
      <c r="J646" s="2" t="s">
        <v>31</v>
      </c>
      <c r="K646" s="2" t="s">
        <v>71</v>
      </c>
      <c r="L646" s="2" t="s">
        <v>9</v>
      </c>
      <c r="M646" s="2" t="s">
        <v>20</v>
      </c>
      <c r="N646" s="2" t="s">
        <v>11</v>
      </c>
      <c r="O646" s="2" t="s">
        <v>73</v>
      </c>
      <c r="P646" s="2" t="s">
        <v>54</v>
      </c>
      <c r="Q646" s="2" t="s">
        <v>46</v>
      </c>
      <c r="R646" s="2" t="s">
        <v>18</v>
      </c>
      <c r="S646">
        <v>2</v>
      </c>
    </row>
    <row r="647" spans="1:19" x14ac:dyDescent="0.3">
      <c r="A647">
        <v>3884</v>
      </c>
      <c r="B647">
        <f>YEAR(Cleaned_HR_Data_Analysis__2[[#This Row],[Joining_Date]])</f>
        <v>2019</v>
      </c>
      <c r="C647" s="1">
        <v>43498</v>
      </c>
      <c r="D647" s="1" t="str" cm="1">
        <f t="array" ref="D647">_xlfn.IFS(E647&lt;28, "17-27",
AND(E647&gt;27, E647&lt;38), "28-37",
AND(E647&gt;37, E647 &lt;48), "38-47",
AND(E647&gt;47, E647 &lt;58), "48-57",
AND(E647&gt;57, E647&lt;68), "58-67",
AND(E647&gt;67, E647&lt;78), "68-77",
E647&gt;77,"Above than 77")</f>
        <v>28-37</v>
      </c>
      <c r="E647">
        <v>32</v>
      </c>
      <c r="F647" s="1">
        <v>31894</v>
      </c>
      <c r="G647" s="1" t="str">
        <f>VLOOKUP(H647,Table7[#All], 2, FALSE)</f>
        <v>Massachusetts</v>
      </c>
      <c r="H647" s="2" t="s">
        <v>14</v>
      </c>
      <c r="I647" s="2" t="s">
        <v>15</v>
      </c>
      <c r="J647" s="2" t="s">
        <v>17</v>
      </c>
      <c r="K647" s="2" t="s">
        <v>70</v>
      </c>
      <c r="L647" s="2" t="s">
        <v>9</v>
      </c>
      <c r="M647" s="2" t="s">
        <v>25</v>
      </c>
      <c r="N647" s="2" t="s">
        <v>26</v>
      </c>
      <c r="O647" s="2" t="s">
        <v>53</v>
      </c>
      <c r="P647" s="2" t="s">
        <v>42</v>
      </c>
      <c r="Q647" s="2" t="s">
        <v>37</v>
      </c>
      <c r="R647" s="2" t="s">
        <v>18</v>
      </c>
      <c r="S647">
        <v>2</v>
      </c>
    </row>
    <row r="648" spans="1:19" x14ac:dyDescent="0.3">
      <c r="A648">
        <v>2546</v>
      </c>
      <c r="B648">
        <f>YEAR(Cleaned_HR_Data_Analysis__2[[#This Row],[Joining_Date]])</f>
        <v>2022</v>
      </c>
      <c r="C648" s="1">
        <v>44873</v>
      </c>
      <c r="D648" s="1" t="str" cm="1">
        <f t="array" ref="D648">_xlfn.IFS(E648&lt;28, "17-27",
AND(E648&gt;27, E648&lt;38), "28-37",
AND(E648&gt;37, E648 &lt;48), "38-47",
AND(E648&gt;47, E648 &lt;58), "48-57",
AND(E648&gt;57, E648&lt;68), "58-67",
AND(E648&gt;67, E648&lt;78), "68-77",
E648&gt;77,"Above than 77")</f>
        <v>28-37</v>
      </c>
      <c r="E648">
        <v>32</v>
      </c>
      <c r="F648" s="1">
        <v>32918</v>
      </c>
      <c r="G648" s="1" t="str">
        <f>VLOOKUP(H648,Table7[#All], 2, FALSE)</f>
        <v>Massachusetts</v>
      </c>
      <c r="H648" s="2" t="s">
        <v>14</v>
      </c>
      <c r="I648" s="2" t="s">
        <v>22</v>
      </c>
      <c r="J648" s="2" t="s">
        <v>34</v>
      </c>
      <c r="K648" s="2" t="s">
        <v>108</v>
      </c>
      <c r="L648" s="2" t="s">
        <v>9</v>
      </c>
      <c r="M648" s="2" t="s">
        <v>20</v>
      </c>
      <c r="N648" s="2" t="s">
        <v>19</v>
      </c>
      <c r="O648" s="2" t="s">
        <v>53</v>
      </c>
      <c r="P648" s="2" t="s">
        <v>13</v>
      </c>
      <c r="Q648" s="2" t="s">
        <v>30</v>
      </c>
      <c r="R648" s="2" t="s">
        <v>18</v>
      </c>
      <c r="S648">
        <v>4</v>
      </c>
    </row>
    <row r="649" spans="1:19" x14ac:dyDescent="0.3">
      <c r="A649">
        <v>3974</v>
      </c>
      <c r="B649">
        <f>YEAR(Cleaned_HR_Data_Analysis__2[[#This Row],[Joining_Date]])</f>
        <v>2018</v>
      </c>
      <c r="C649" s="1">
        <v>43459</v>
      </c>
      <c r="D649" s="1" t="str" cm="1">
        <f t="array" ref="D649">_xlfn.IFS(E649&lt;28, "17-27",
AND(E649&gt;27, E649&lt;38), "28-37",
AND(E649&gt;37, E649 &lt;48), "38-47",
AND(E649&gt;47, E649 &lt;58), "48-57",
AND(E649&gt;57, E649&lt;68), "58-67",
AND(E649&gt;67, E649&lt;78), "68-77",
E649&gt;77,"Above than 77")</f>
        <v>28-37</v>
      </c>
      <c r="E649">
        <v>32</v>
      </c>
      <c r="F649" s="1">
        <v>31419</v>
      </c>
      <c r="G649" s="1" t="str">
        <f>VLOOKUP(H649,Table7[#All], 2, FALSE)</f>
        <v>Texas</v>
      </c>
      <c r="H649" s="2" t="s">
        <v>45</v>
      </c>
      <c r="I649" s="2" t="s">
        <v>22</v>
      </c>
      <c r="J649" s="2" t="s">
        <v>34</v>
      </c>
      <c r="K649" s="2" t="s">
        <v>81</v>
      </c>
      <c r="L649" s="2" t="s">
        <v>66</v>
      </c>
      <c r="M649" s="2" t="s">
        <v>20</v>
      </c>
      <c r="N649" s="2" t="s">
        <v>11</v>
      </c>
      <c r="O649" s="2" t="s">
        <v>53</v>
      </c>
      <c r="P649" s="2" t="s">
        <v>38</v>
      </c>
      <c r="Q649" s="2" t="s">
        <v>30</v>
      </c>
      <c r="R649" s="2" t="s">
        <v>41</v>
      </c>
      <c r="S649">
        <v>5</v>
      </c>
    </row>
    <row r="650" spans="1:19" x14ac:dyDescent="0.3">
      <c r="A650">
        <v>2571</v>
      </c>
      <c r="B650">
        <f>YEAR(Cleaned_HR_Data_Analysis__2[[#This Row],[Joining_Date]])</f>
        <v>2021</v>
      </c>
      <c r="C650" s="1">
        <v>44272</v>
      </c>
      <c r="D650" s="1" t="str" cm="1">
        <f t="array" ref="D650">_xlfn.IFS(E650&lt;28, "17-27",
AND(E650&gt;27, E650&lt;38), "28-37",
AND(E650&gt;37, E650 &lt;48), "38-47",
AND(E650&gt;47, E650 &lt;58), "48-57",
AND(E650&gt;57, E650&lt;68), "58-67",
AND(E650&gt;67, E650&lt;78), "68-77",
E650&gt;77,"Above than 77")</f>
        <v>28-37</v>
      </c>
      <c r="E650">
        <v>32</v>
      </c>
      <c r="F650" s="1">
        <v>32550</v>
      </c>
      <c r="G650" s="1" t="str">
        <f>VLOOKUP(H650,Table7[#All], 2, FALSE)</f>
        <v>Massachusetts</v>
      </c>
      <c r="H650" s="2" t="s">
        <v>14</v>
      </c>
      <c r="I650" s="2" t="s">
        <v>15</v>
      </c>
      <c r="J650" s="2" t="s">
        <v>40</v>
      </c>
      <c r="K650" s="2" t="s">
        <v>83</v>
      </c>
      <c r="L650" s="2" t="s">
        <v>9</v>
      </c>
      <c r="M650" s="2" t="s">
        <v>20</v>
      </c>
      <c r="N650" s="2" t="s">
        <v>19</v>
      </c>
      <c r="O650" s="2" t="s">
        <v>53</v>
      </c>
      <c r="P650" s="2" t="s">
        <v>35</v>
      </c>
      <c r="Q650" s="2" t="s">
        <v>46</v>
      </c>
      <c r="R650" s="2" t="s">
        <v>18</v>
      </c>
      <c r="S650">
        <v>3</v>
      </c>
    </row>
    <row r="651" spans="1:19" x14ac:dyDescent="0.3">
      <c r="A651">
        <v>2588</v>
      </c>
      <c r="B651">
        <f>YEAR(Cleaned_HR_Data_Analysis__2[[#This Row],[Joining_Date]])</f>
        <v>2020</v>
      </c>
      <c r="C651" s="1">
        <v>44061</v>
      </c>
      <c r="D651" s="1" t="str" cm="1">
        <f t="array" ref="D651">_xlfn.IFS(E651&lt;28, "17-27",
AND(E651&gt;27, E651&lt;38), "28-37",
AND(E651&gt;37, E651 &lt;48), "38-47",
AND(E651&gt;47, E651 &lt;58), "48-57",
AND(E651&gt;57, E651&lt;68), "58-67",
AND(E651&gt;67, E651&lt;78), "68-77",
E651&gt;77,"Above than 77")</f>
        <v>28-37</v>
      </c>
      <c r="E651">
        <v>32</v>
      </c>
      <c r="F651" s="1">
        <v>32348</v>
      </c>
      <c r="G651" s="1" t="str">
        <f>VLOOKUP(H651,Table7[#All], 2, FALSE)</f>
        <v>Massachusetts</v>
      </c>
      <c r="H651" s="2" t="s">
        <v>14</v>
      </c>
      <c r="I651" s="2" t="s">
        <v>22</v>
      </c>
      <c r="J651" s="2" t="s">
        <v>31</v>
      </c>
      <c r="K651" s="2" t="s">
        <v>24</v>
      </c>
      <c r="L651" s="2" t="s">
        <v>9</v>
      </c>
      <c r="M651" s="2" t="s">
        <v>25</v>
      </c>
      <c r="N651" s="2" t="s">
        <v>11</v>
      </c>
      <c r="O651" s="2" t="s">
        <v>27</v>
      </c>
      <c r="P651" s="2" t="s">
        <v>35</v>
      </c>
      <c r="Q651" s="2" t="s">
        <v>30</v>
      </c>
      <c r="R651" s="2" t="s">
        <v>18</v>
      </c>
      <c r="S651">
        <v>1</v>
      </c>
    </row>
    <row r="652" spans="1:19" x14ac:dyDescent="0.3">
      <c r="A652">
        <v>3486</v>
      </c>
      <c r="B652">
        <f>YEAR(Cleaned_HR_Data_Analysis__2[[#This Row],[Joining_Date]])</f>
        <v>2022</v>
      </c>
      <c r="C652" s="1">
        <v>44865</v>
      </c>
      <c r="D652" s="1" t="str" cm="1">
        <f t="array" ref="D652">_xlfn.IFS(E652&lt;28, "17-27",
AND(E652&gt;27, E652&lt;38), "28-37",
AND(E652&gt;37, E652 &lt;48), "38-47",
AND(E652&gt;47, E652 &lt;58), "48-57",
AND(E652&gt;57, E652&lt;68), "58-67",
AND(E652&gt;67, E652&lt;78), "68-77",
E652&gt;77,"Above than 77")</f>
        <v>28-37</v>
      </c>
      <c r="E652">
        <v>32</v>
      </c>
      <c r="F652" s="1">
        <v>33191</v>
      </c>
      <c r="G652" s="1" t="str">
        <f>VLOOKUP(H652,Table7[#All], 2, FALSE)</f>
        <v>Indiana</v>
      </c>
      <c r="H652" s="2" t="s">
        <v>47</v>
      </c>
      <c r="I652" s="2" t="s">
        <v>22</v>
      </c>
      <c r="J652" s="2" t="s">
        <v>17</v>
      </c>
      <c r="K652" s="2" t="s">
        <v>24</v>
      </c>
      <c r="L652" s="2" t="s">
        <v>9</v>
      </c>
      <c r="M652" s="2" t="s">
        <v>20</v>
      </c>
      <c r="N652" s="2" t="s">
        <v>11</v>
      </c>
      <c r="O652" s="2" t="s">
        <v>27</v>
      </c>
      <c r="P652" s="2" t="s">
        <v>55</v>
      </c>
      <c r="Q652" s="2" t="s">
        <v>30</v>
      </c>
      <c r="R652" s="2" t="s">
        <v>18</v>
      </c>
      <c r="S652">
        <v>1</v>
      </c>
    </row>
    <row r="653" spans="1:19" x14ac:dyDescent="0.3">
      <c r="A653">
        <v>2703</v>
      </c>
      <c r="B653">
        <f>YEAR(Cleaned_HR_Data_Analysis__2[[#This Row],[Joining_Date]])</f>
        <v>2018</v>
      </c>
      <c r="C653" s="1">
        <v>43418</v>
      </c>
      <c r="D653" s="1" t="str" cm="1">
        <f t="array" ref="D653">_xlfn.IFS(E653&lt;28, "17-27",
AND(E653&gt;27, E653&lt;38), "28-37",
AND(E653&gt;37, E653 &lt;48), "38-47",
AND(E653&gt;47, E653 &lt;58), "48-57",
AND(E653&gt;57, E653&lt;68), "58-67",
AND(E653&gt;67, E653&lt;78), "68-77",
E653&gt;77,"Above than 77")</f>
        <v>28-37</v>
      </c>
      <c r="E653">
        <v>32</v>
      </c>
      <c r="F653" s="1">
        <v>31509</v>
      </c>
      <c r="G653" s="1" t="str">
        <f>VLOOKUP(H653,Table7[#All], 2, FALSE)</f>
        <v>Arizona</v>
      </c>
      <c r="H653" s="2" t="s">
        <v>114</v>
      </c>
      <c r="I653" s="2" t="s">
        <v>22</v>
      </c>
      <c r="J653" s="2" t="s">
        <v>31</v>
      </c>
      <c r="K653" s="2" t="s">
        <v>24</v>
      </c>
      <c r="L653" s="2" t="s">
        <v>9</v>
      </c>
      <c r="M653" s="2" t="s">
        <v>25</v>
      </c>
      <c r="N653" s="2" t="s">
        <v>19</v>
      </c>
      <c r="O653" s="2" t="s">
        <v>27</v>
      </c>
      <c r="P653" s="2" t="s">
        <v>32</v>
      </c>
      <c r="Q653" s="2" t="s">
        <v>30</v>
      </c>
      <c r="R653" s="2" t="s">
        <v>18</v>
      </c>
      <c r="S653">
        <v>5</v>
      </c>
    </row>
    <row r="654" spans="1:19" x14ac:dyDescent="0.3">
      <c r="A654">
        <v>2659</v>
      </c>
      <c r="B654">
        <f>YEAR(Cleaned_HR_Data_Analysis__2[[#This Row],[Joining_Date]])</f>
        <v>2022</v>
      </c>
      <c r="C654" s="1">
        <v>44760</v>
      </c>
      <c r="D654" s="1" t="str" cm="1">
        <f t="array" ref="D654">_xlfn.IFS(E654&lt;28, "17-27",
AND(E654&gt;27, E654&lt;38), "28-37",
AND(E654&gt;37, E654 &lt;48), "38-47",
AND(E654&gt;47, E654 &lt;58), "48-57",
AND(E654&gt;57, E654&lt;68), "58-67",
AND(E654&gt;67, E654&lt;78), "68-77",
E654&gt;77,"Above than 77")</f>
        <v>28-37</v>
      </c>
      <c r="E654">
        <v>32</v>
      </c>
      <c r="F654" s="1">
        <v>33067</v>
      </c>
      <c r="G654" s="1" t="str">
        <f>VLOOKUP(H654,Table7[#All], 2, FALSE)</f>
        <v>Alabama</v>
      </c>
      <c r="H654" s="2" t="s">
        <v>116</v>
      </c>
      <c r="I654" s="2" t="s">
        <v>22</v>
      </c>
      <c r="J654" s="2" t="s">
        <v>31</v>
      </c>
      <c r="K654" s="2" t="s">
        <v>24</v>
      </c>
      <c r="L654" s="2" t="s">
        <v>9</v>
      </c>
      <c r="M654" s="2" t="s">
        <v>20</v>
      </c>
      <c r="N654" s="2" t="s">
        <v>26</v>
      </c>
      <c r="O654" s="2" t="s">
        <v>27</v>
      </c>
      <c r="P654" s="2" t="s">
        <v>32</v>
      </c>
      <c r="Q654" s="2" t="s">
        <v>37</v>
      </c>
      <c r="R654" s="2" t="s">
        <v>18</v>
      </c>
      <c r="S654">
        <v>3</v>
      </c>
    </row>
    <row r="655" spans="1:19" x14ac:dyDescent="0.3">
      <c r="A655">
        <v>1330</v>
      </c>
      <c r="B655">
        <f>YEAR(Cleaned_HR_Data_Analysis__2[[#This Row],[Joining_Date]])</f>
        <v>2022</v>
      </c>
      <c r="C655" s="1">
        <v>44819</v>
      </c>
      <c r="D655" s="1" t="str" cm="1">
        <f t="array" ref="D655">_xlfn.IFS(E655&lt;28, "17-27",
AND(E655&gt;27, E655&lt;38), "28-37",
AND(E655&gt;37, E655 &lt;48), "38-47",
AND(E655&gt;47, E655 &lt;58), "48-57",
AND(E655&gt;57, E655&lt;68), "58-67",
AND(E655&gt;67, E655&lt;78), "68-77",
E655&gt;77,"Above than 77")</f>
        <v>28-37</v>
      </c>
      <c r="E655">
        <v>32</v>
      </c>
      <c r="F655" s="1">
        <v>32933</v>
      </c>
      <c r="G655" s="1" t="str">
        <f>VLOOKUP(H655,Table7[#All], 2, FALSE)</f>
        <v>Massachusetts</v>
      </c>
      <c r="H655" s="2" t="s">
        <v>14</v>
      </c>
      <c r="I655" s="2" t="s">
        <v>15</v>
      </c>
      <c r="J655" s="2" t="s">
        <v>40</v>
      </c>
      <c r="K655" s="2" t="s">
        <v>96</v>
      </c>
      <c r="L655" s="2" t="s">
        <v>9</v>
      </c>
      <c r="M655" s="2" t="s">
        <v>25</v>
      </c>
      <c r="N655" s="2" t="s">
        <v>19</v>
      </c>
      <c r="O655" s="2" t="s">
        <v>90</v>
      </c>
      <c r="P655" s="2" t="s">
        <v>32</v>
      </c>
      <c r="Q655" s="2" t="s">
        <v>16</v>
      </c>
      <c r="R655" s="2" t="s">
        <v>18</v>
      </c>
      <c r="S655">
        <v>5</v>
      </c>
    </row>
    <row r="656" spans="1:19" x14ac:dyDescent="0.3">
      <c r="A656">
        <v>1020</v>
      </c>
      <c r="B656">
        <f>YEAR(Cleaned_HR_Data_Analysis__2[[#This Row],[Joining_Date]])</f>
        <v>2023</v>
      </c>
      <c r="C656" s="1">
        <v>45097</v>
      </c>
      <c r="D656" s="1" t="str" cm="1">
        <f t="array" ref="D656">_xlfn.IFS(E656&lt;28, "17-27",
AND(E656&gt;27, E656&lt;38), "28-37",
AND(E656&gt;37, E656 &lt;48), "38-47",
AND(E656&gt;47, E656 &lt;58), "48-57",
AND(E656&gt;57, E656&lt;68), "58-67",
AND(E656&gt;67, E656&lt;78), "68-77",
E656&gt;77,"Above than 77")</f>
        <v>28-37</v>
      </c>
      <c r="E656">
        <v>33</v>
      </c>
      <c r="F656" s="1">
        <v>33227</v>
      </c>
      <c r="G656" s="1" t="str">
        <f>VLOOKUP(H656,Table7[#All], 2, FALSE)</f>
        <v>Massachusetts</v>
      </c>
      <c r="H656" s="2" t="s">
        <v>14</v>
      </c>
      <c r="I656" s="2" t="s">
        <v>15</v>
      </c>
      <c r="J656" s="2" t="s">
        <v>17</v>
      </c>
      <c r="K656" s="2" t="s">
        <v>86</v>
      </c>
      <c r="L656" s="2" t="s">
        <v>66</v>
      </c>
      <c r="M656" s="2" t="s">
        <v>10</v>
      </c>
      <c r="N656" s="2" t="s">
        <v>11</v>
      </c>
      <c r="O656" s="2" t="s">
        <v>87</v>
      </c>
      <c r="P656" s="2" t="s">
        <v>35</v>
      </c>
      <c r="Q656" s="2" t="s">
        <v>37</v>
      </c>
      <c r="R656" s="2" t="s">
        <v>18</v>
      </c>
      <c r="S656">
        <v>1</v>
      </c>
    </row>
    <row r="657" spans="1:19" x14ac:dyDescent="0.3">
      <c r="A657">
        <v>1711</v>
      </c>
      <c r="B657">
        <f>YEAR(Cleaned_HR_Data_Analysis__2[[#This Row],[Joining_Date]])</f>
        <v>2018</v>
      </c>
      <c r="C657" s="1">
        <v>43371</v>
      </c>
      <c r="D657" s="1" t="str" cm="1">
        <f t="array" ref="D657">_xlfn.IFS(E657&lt;28, "17-27",
AND(E657&gt;27, E657&lt;38), "28-37",
AND(E657&gt;37, E657 &lt;48), "38-47",
AND(E657&gt;47, E657 &lt;58), "48-57",
AND(E657&gt;57, E657&lt;68), "58-67",
AND(E657&gt;67, E657&lt;78), "68-77",
E657&gt;77,"Above than 77")</f>
        <v>28-37</v>
      </c>
      <c r="E657">
        <v>33</v>
      </c>
      <c r="F657" s="1">
        <v>31158</v>
      </c>
      <c r="G657" s="1" t="str">
        <f>VLOOKUP(H657,Table7[#All], 2, FALSE)</f>
        <v>Massachusetts</v>
      </c>
      <c r="H657" s="2" t="s">
        <v>14</v>
      </c>
      <c r="I657" s="2" t="s">
        <v>22</v>
      </c>
      <c r="J657" s="2" t="s">
        <v>17</v>
      </c>
      <c r="K657" s="2" t="s">
        <v>89</v>
      </c>
      <c r="L657" s="2" t="s">
        <v>9</v>
      </c>
      <c r="M657" s="2" t="s">
        <v>25</v>
      </c>
      <c r="N657" s="2" t="s">
        <v>19</v>
      </c>
      <c r="O657" s="2" t="s">
        <v>53</v>
      </c>
      <c r="P657" s="2" t="s">
        <v>32</v>
      </c>
      <c r="Q657" s="2" t="s">
        <v>30</v>
      </c>
      <c r="R657" s="2" t="s">
        <v>18</v>
      </c>
      <c r="S657">
        <v>1</v>
      </c>
    </row>
    <row r="658" spans="1:19" x14ac:dyDescent="0.3">
      <c r="A658">
        <v>1702</v>
      </c>
      <c r="B658">
        <f>YEAR(Cleaned_HR_Data_Analysis__2[[#This Row],[Joining_Date]])</f>
        <v>2022</v>
      </c>
      <c r="C658" s="1">
        <v>44693</v>
      </c>
      <c r="D658" s="1" t="str" cm="1">
        <f t="array" ref="D658">_xlfn.IFS(E658&lt;28, "17-27",
AND(E658&gt;27, E658&lt;38), "28-37",
AND(E658&gt;37, E658 &lt;48), "38-47",
AND(E658&gt;47, E658 &lt;58), "48-57",
AND(E658&gt;57, E658&lt;68), "58-67",
AND(E658&gt;67, E658&lt;78), "68-77",
E658&gt;77,"Above than 77")</f>
        <v>28-37</v>
      </c>
      <c r="E658">
        <v>33</v>
      </c>
      <c r="F658" s="1">
        <v>32759</v>
      </c>
      <c r="G658" s="1" t="str">
        <f>VLOOKUP(H658,Table7[#All], 2, FALSE)</f>
        <v>Massachusetts</v>
      </c>
      <c r="H658" s="2" t="s">
        <v>14</v>
      </c>
      <c r="I658" s="2" t="s">
        <v>15</v>
      </c>
      <c r="J658" s="2" t="s">
        <v>31</v>
      </c>
      <c r="K658" s="2" t="s">
        <v>98</v>
      </c>
      <c r="L658" s="2" t="s">
        <v>9</v>
      </c>
      <c r="M658" s="2" t="s">
        <v>10</v>
      </c>
      <c r="N658" s="2" t="s">
        <v>19</v>
      </c>
      <c r="O658" s="2" t="s">
        <v>53</v>
      </c>
      <c r="P658" s="2" t="s">
        <v>54</v>
      </c>
      <c r="Q658" s="2" t="s">
        <v>30</v>
      </c>
      <c r="R658" s="2" t="s">
        <v>18</v>
      </c>
      <c r="S658">
        <v>1</v>
      </c>
    </row>
    <row r="659" spans="1:19" x14ac:dyDescent="0.3">
      <c r="A659">
        <v>1647</v>
      </c>
      <c r="B659">
        <f>YEAR(Cleaned_HR_Data_Analysis__2[[#This Row],[Joining_Date]])</f>
        <v>2019</v>
      </c>
      <c r="C659" s="1">
        <v>43761</v>
      </c>
      <c r="D659" s="1" t="str" cm="1">
        <f t="array" ref="D659">_xlfn.IFS(E659&lt;28, "17-27",
AND(E659&gt;27, E659&lt;38), "28-37",
AND(E659&gt;37, E659 &lt;48), "38-47",
AND(E659&gt;47, E659 &lt;58), "48-57",
AND(E659&gt;57, E659&lt;68), "58-67",
AND(E659&gt;67, E659&lt;78), "68-77",
E659&gt;77,"Above than 77")</f>
        <v>28-37</v>
      </c>
      <c r="E659">
        <v>33</v>
      </c>
      <c r="F659" s="1">
        <v>31446</v>
      </c>
      <c r="G659" s="1" t="str">
        <f>VLOOKUP(H659,Table7[#All], 2, FALSE)</f>
        <v>Massachusetts</v>
      </c>
      <c r="H659" s="2" t="s">
        <v>14</v>
      </c>
      <c r="I659" s="2" t="s">
        <v>22</v>
      </c>
      <c r="J659" s="2" t="s">
        <v>17</v>
      </c>
      <c r="K659" s="2" t="s">
        <v>98</v>
      </c>
      <c r="L659" s="2" t="s">
        <v>9</v>
      </c>
      <c r="M659" s="2" t="s">
        <v>10</v>
      </c>
      <c r="N659" s="2" t="s">
        <v>26</v>
      </c>
      <c r="O659" s="2" t="s">
        <v>53</v>
      </c>
      <c r="P659" s="2" t="s">
        <v>60</v>
      </c>
      <c r="Q659" s="2" t="s">
        <v>37</v>
      </c>
      <c r="R659" s="2" t="s">
        <v>18</v>
      </c>
      <c r="S659">
        <v>2</v>
      </c>
    </row>
    <row r="660" spans="1:19" x14ac:dyDescent="0.3">
      <c r="A660">
        <v>3321</v>
      </c>
      <c r="B660">
        <f>YEAR(Cleaned_HR_Data_Analysis__2[[#This Row],[Joining_Date]])</f>
        <v>2019</v>
      </c>
      <c r="C660" s="1">
        <v>43513</v>
      </c>
      <c r="D660" s="1" t="str" cm="1">
        <f t="array" ref="D660">_xlfn.IFS(E660&lt;28, "17-27",
AND(E660&gt;27, E660&lt;38), "28-37",
AND(E660&gt;37, E660 &lt;48), "38-47",
AND(E660&gt;47, E660 &lt;58), "48-57",
AND(E660&gt;57, E660&lt;68), "58-67",
AND(E660&gt;67, E660&lt;78), "68-77",
E660&gt;77,"Above than 77")</f>
        <v>28-37</v>
      </c>
      <c r="E660">
        <v>33</v>
      </c>
      <c r="F660" s="1">
        <v>31423</v>
      </c>
      <c r="G660" s="1" t="str">
        <f>VLOOKUP(H660,Table7[#All], 2, FALSE)</f>
        <v>Massachusetts</v>
      </c>
      <c r="H660" s="2" t="s">
        <v>14</v>
      </c>
      <c r="I660" s="2" t="s">
        <v>22</v>
      </c>
      <c r="J660" s="2" t="s">
        <v>31</v>
      </c>
      <c r="K660" s="2" t="s">
        <v>64</v>
      </c>
      <c r="L660" s="2" t="s">
        <v>9</v>
      </c>
      <c r="M660" s="2" t="s">
        <v>10</v>
      </c>
      <c r="N660" s="2" t="s">
        <v>26</v>
      </c>
      <c r="O660" s="2" t="s">
        <v>12</v>
      </c>
      <c r="P660" s="2" t="s">
        <v>42</v>
      </c>
      <c r="Q660" s="2" t="s">
        <v>16</v>
      </c>
      <c r="R660" s="2" t="s">
        <v>18</v>
      </c>
      <c r="S660">
        <v>1</v>
      </c>
    </row>
    <row r="661" spans="1:19" x14ac:dyDescent="0.3">
      <c r="A661">
        <v>2977</v>
      </c>
      <c r="B661">
        <f>YEAR(Cleaned_HR_Data_Analysis__2[[#This Row],[Joining_Date]])</f>
        <v>2020</v>
      </c>
      <c r="C661" s="1">
        <v>44071</v>
      </c>
      <c r="D661" s="1" t="str" cm="1">
        <f t="array" ref="D661">_xlfn.IFS(E661&lt;28, "17-27",
AND(E661&gt;27, E661&lt;38), "28-37",
AND(E661&gt;37, E661 &lt;48), "38-47",
AND(E661&gt;47, E661 &lt;58), "48-57",
AND(E661&gt;57, E661&lt;68), "58-67",
AND(E661&gt;67, E661&lt;78), "68-77",
E661&gt;77,"Above than 77")</f>
        <v>28-37</v>
      </c>
      <c r="E661">
        <v>33</v>
      </c>
      <c r="F661" s="1">
        <v>32121</v>
      </c>
      <c r="G661" s="1" t="str">
        <f>VLOOKUP(H661,Table7[#All], 2, FALSE)</f>
        <v>Massachusetts</v>
      </c>
      <c r="H661" s="2" t="s">
        <v>14</v>
      </c>
      <c r="I661" s="2" t="s">
        <v>22</v>
      </c>
      <c r="J661" s="2" t="s">
        <v>40</v>
      </c>
      <c r="K661" s="2" t="s">
        <v>64</v>
      </c>
      <c r="L661" s="2" t="s">
        <v>9</v>
      </c>
      <c r="M661" s="2" t="s">
        <v>20</v>
      </c>
      <c r="N661" s="2" t="s">
        <v>19</v>
      </c>
      <c r="O661" s="2" t="s">
        <v>12</v>
      </c>
      <c r="P661" s="2" t="s">
        <v>63</v>
      </c>
      <c r="Q661" s="2" t="s">
        <v>37</v>
      </c>
      <c r="R661" s="2" t="s">
        <v>18</v>
      </c>
      <c r="S661">
        <v>4</v>
      </c>
    </row>
    <row r="662" spans="1:19" x14ac:dyDescent="0.3">
      <c r="A662">
        <v>2969</v>
      </c>
      <c r="B662">
        <f>YEAR(Cleaned_HR_Data_Analysis__2[[#This Row],[Joining_Date]])</f>
        <v>2020</v>
      </c>
      <c r="C662" s="1">
        <v>44102</v>
      </c>
      <c r="D662" s="1" t="str" cm="1">
        <f t="array" ref="D662">_xlfn.IFS(E662&lt;28, "17-27",
AND(E662&gt;27, E662&lt;38), "28-37",
AND(E662&gt;37, E662 &lt;48), "38-47",
AND(E662&gt;47, E662 &lt;58), "48-57",
AND(E662&gt;57, E662&lt;68), "58-67",
AND(E662&gt;67, E662&lt;78), "68-77",
E662&gt;77,"Above than 77")</f>
        <v>28-37</v>
      </c>
      <c r="E662">
        <v>33</v>
      </c>
      <c r="F662" s="1">
        <v>32139</v>
      </c>
      <c r="G662" s="1" t="str">
        <f>VLOOKUP(H662,Table7[#All], 2, FALSE)</f>
        <v>Massachusetts</v>
      </c>
      <c r="H662" s="2" t="s">
        <v>14</v>
      </c>
      <c r="I662" s="2" t="s">
        <v>15</v>
      </c>
      <c r="J662" s="2" t="s">
        <v>34</v>
      </c>
      <c r="K662" s="2" t="s">
        <v>64</v>
      </c>
      <c r="L662" s="2" t="s">
        <v>66</v>
      </c>
      <c r="M662" s="2" t="s">
        <v>10</v>
      </c>
      <c r="N662" s="2" t="s">
        <v>19</v>
      </c>
      <c r="O662" s="2" t="s">
        <v>12</v>
      </c>
      <c r="P662" s="2" t="s">
        <v>32</v>
      </c>
      <c r="Q662" s="2" t="s">
        <v>23</v>
      </c>
      <c r="R662" s="2" t="s">
        <v>18</v>
      </c>
      <c r="S662">
        <v>5</v>
      </c>
    </row>
    <row r="663" spans="1:19" x14ac:dyDescent="0.3">
      <c r="A663">
        <v>2887</v>
      </c>
      <c r="B663">
        <f>YEAR(Cleaned_HR_Data_Analysis__2[[#This Row],[Joining_Date]])</f>
        <v>2020</v>
      </c>
      <c r="C663" s="1">
        <v>43858</v>
      </c>
      <c r="D663" s="1" t="str" cm="1">
        <f t="array" ref="D663">_xlfn.IFS(E663&lt;28, "17-27",
AND(E663&gt;27, E663&lt;38), "28-37",
AND(E663&gt;37, E663 &lt;48), "38-47",
AND(E663&gt;47, E663 &lt;58), "48-57",
AND(E663&gt;57, E663&lt;68), "58-67",
AND(E663&gt;67, E663&lt;78), "68-77",
E663&gt;77,"Above than 77")</f>
        <v>28-37</v>
      </c>
      <c r="E663">
        <v>33</v>
      </c>
      <c r="F663" s="1">
        <v>31894</v>
      </c>
      <c r="G663" s="1" t="str">
        <f>VLOOKUP(H663,Table7[#All], 2, FALSE)</f>
        <v>Massachusetts</v>
      </c>
      <c r="H663" s="2" t="s">
        <v>14</v>
      </c>
      <c r="I663" s="2" t="s">
        <v>15</v>
      </c>
      <c r="J663" s="2" t="s">
        <v>34</v>
      </c>
      <c r="K663" s="2" t="s">
        <v>64</v>
      </c>
      <c r="L663" s="2" t="s">
        <v>66</v>
      </c>
      <c r="M663" s="2" t="s">
        <v>25</v>
      </c>
      <c r="N663" s="2" t="s">
        <v>19</v>
      </c>
      <c r="O663" s="2" t="s">
        <v>12</v>
      </c>
      <c r="P663" s="2" t="s">
        <v>58</v>
      </c>
      <c r="Q663" s="2" t="s">
        <v>37</v>
      </c>
      <c r="R663" s="2" t="s">
        <v>18</v>
      </c>
      <c r="S663">
        <v>1</v>
      </c>
    </row>
    <row r="664" spans="1:19" x14ac:dyDescent="0.3">
      <c r="A664">
        <v>1912</v>
      </c>
      <c r="B664">
        <f>YEAR(Cleaned_HR_Data_Analysis__2[[#This Row],[Joining_Date]])</f>
        <v>2020</v>
      </c>
      <c r="C664" s="1">
        <v>43896</v>
      </c>
      <c r="D664" s="1" t="str" cm="1">
        <f t="array" ref="D664">_xlfn.IFS(E664&lt;28, "17-27",
AND(E664&gt;27, E664&lt;38), "28-37",
AND(E664&gt;37, E664 &lt;48), "38-47",
AND(E664&gt;47, E664 &lt;58), "48-57",
AND(E664&gt;57, E664&lt;68), "58-67",
AND(E664&gt;67, E664&lt;78), "68-77",
E664&gt;77,"Above than 77")</f>
        <v>28-37</v>
      </c>
      <c r="E664">
        <v>33</v>
      </c>
      <c r="F664" s="1">
        <v>32066</v>
      </c>
      <c r="G664" s="1" t="str">
        <f>VLOOKUP(H664,Table7[#All], 2, FALSE)</f>
        <v>Massachusetts</v>
      </c>
      <c r="H664" s="2" t="s">
        <v>14</v>
      </c>
      <c r="I664" s="2" t="s">
        <v>15</v>
      </c>
      <c r="J664" s="2" t="s">
        <v>34</v>
      </c>
      <c r="K664" s="2" t="s">
        <v>64</v>
      </c>
      <c r="L664" s="2" t="s">
        <v>9</v>
      </c>
      <c r="M664" s="2" t="s">
        <v>20</v>
      </c>
      <c r="N664" s="2" t="s">
        <v>26</v>
      </c>
      <c r="O664" s="2" t="s">
        <v>12</v>
      </c>
      <c r="P664" s="2" t="s">
        <v>42</v>
      </c>
      <c r="Q664" s="2" t="s">
        <v>46</v>
      </c>
      <c r="R664" s="2" t="s">
        <v>18</v>
      </c>
      <c r="S664">
        <v>5</v>
      </c>
    </row>
    <row r="665" spans="1:19" x14ac:dyDescent="0.3">
      <c r="A665">
        <v>1895</v>
      </c>
      <c r="B665">
        <f>YEAR(Cleaned_HR_Data_Analysis__2[[#This Row],[Joining_Date]])</f>
        <v>2022</v>
      </c>
      <c r="C665" s="1">
        <v>44902</v>
      </c>
      <c r="D665" s="1" t="str" cm="1">
        <f t="array" ref="D665">_xlfn.IFS(E665&lt;28, "17-27",
AND(E665&gt;27, E665&lt;38), "28-37",
AND(E665&gt;37, E665 &lt;48), "38-47",
AND(E665&gt;47, E665 &lt;58), "48-57",
AND(E665&gt;57, E665&lt;68), "58-67",
AND(E665&gt;67, E665&lt;78), "68-77",
E665&gt;77,"Above than 77")</f>
        <v>28-37</v>
      </c>
      <c r="E665">
        <v>33</v>
      </c>
      <c r="F665" s="1">
        <v>32533</v>
      </c>
      <c r="G665" s="1" t="str">
        <f>VLOOKUP(H665,Table7[#All], 2, FALSE)</f>
        <v>Massachusetts</v>
      </c>
      <c r="H665" s="2" t="s">
        <v>14</v>
      </c>
      <c r="I665" s="2" t="s">
        <v>15</v>
      </c>
      <c r="J665" s="2" t="s">
        <v>34</v>
      </c>
      <c r="K665" s="2" t="s">
        <v>64</v>
      </c>
      <c r="L665" s="2" t="s">
        <v>9</v>
      </c>
      <c r="M665" s="2" t="s">
        <v>20</v>
      </c>
      <c r="N665" s="2" t="s">
        <v>19</v>
      </c>
      <c r="O665" s="2" t="s">
        <v>12</v>
      </c>
      <c r="P665" s="2" t="s">
        <v>59</v>
      </c>
      <c r="Q665" s="2" t="s">
        <v>16</v>
      </c>
      <c r="R665" s="2" t="s">
        <v>18</v>
      </c>
      <c r="S665">
        <v>5</v>
      </c>
    </row>
    <row r="666" spans="1:19" x14ac:dyDescent="0.3">
      <c r="A666">
        <v>1799</v>
      </c>
      <c r="B666">
        <f>YEAR(Cleaned_HR_Data_Analysis__2[[#This Row],[Joining_Date]])</f>
        <v>2022</v>
      </c>
      <c r="C666" s="1">
        <v>44808</v>
      </c>
      <c r="D666" s="1" t="str" cm="1">
        <f t="array" ref="D666">_xlfn.IFS(E666&lt;28, "17-27",
AND(E666&gt;27, E666&lt;38), "28-37",
AND(E666&gt;37, E666 &lt;48), "38-47",
AND(E666&gt;47, E666 &lt;58), "48-57",
AND(E666&gt;57, E666&lt;68), "58-67",
AND(E666&gt;67, E666&lt;78), "68-77",
E666&gt;77,"Above than 77")</f>
        <v>28-37</v>
      </c>
      <c r="E666">
        <v>33</v>
      </c>
      <c r="F666" s="1">
        <v>32558</v>
      </c>
      <c r="G666" s="1" t="str">
        <f>VLOOKUP(H666,Table7[#All], 2, FALSE)</f>
        <v>Massachusetts</v>
      </c>
      <c r="H666" s="2" t="s">
        <v>14</v>
      </c>
      <c r="I666" s="2" t="s">
        <v>22</v>
      </c>
      <c r="J666" s="2" t="s">
        <v>34</v>
      </c>
      <c r="K666" s="2" t="s">
        <v>64</v>
      </c>
      <c r="L666" s="2" t="s">
        <v>66</v>
      </c>
      <c r="M666" s="2" t="s">
        <v>20</v>
      </c>
      <c r="N666" s="2" t="s">
        <v>11</v>
      </c>
      <c r="O666" s="2" t="s">
        <v>12</v>
      </c>
      <c r="P666" s="2" t="s">
        <v>35</v>
      </c>
      <c r="Q666" s="2" t="s">
        <v>37</v>
      </c>
      <c r="R666" s="2" t="s">
        <v>18</v>
      </c>
      <c r="S666">
        <v>5</v>
      </c>
    </row>
    <row r="667" spans="1:19" x14ac:dyDescent="0.3">
      <c r="A667">
        <v>1745</v>
      </c>
      <c r="B667">
        <f>YEAR(Cleaned_HR_Data_Analysis__2[[#This Row],[Joining_Date]])</f>
        <v>2022</v>
      </c>
      <c r="C667" s="1">
        <v>44597</v>
      </c>
      <c r="D667" s="1" t="str" cm="1">
        <f t="array" ref="D667">_xlfn.IFS(E667&lt;28, "17-27",
AND(E667&gt;27, E667&lt;38), "28-37",
AND(E667&gt;37, E667 &lt;48), "38-47",
AND(E667&gt;47, E667 &lt;58), "48-57",
AND(E667&gt;57, E667&lt;68), "58-67",
AND(E667&gt;67, E667&lt;78), "68-77",
E667&gt;77,"Above than 77")</f>
        <v>28-37</v>
      </c>
      <c r="E667">
        <v>33</v>
      </c>
      <c r="F667" s="1">
        <v>32777</v>
      </c>
      <c r="G667" s="1" t="str">
        <f>VLOOKUP(H667,Table7[#All], 2, FALSE)</f>
        <v>Massachusetts</v>
      </c>
      <c r="H667" s="2" t="s">
        <v>14</v>
      </c>
      <c r="I667" s="2" t="s">
        <v>15</v>
      </c>
      <c r="J667" s="2" t="s">
        <v>17</v>
      </c>
      <c r="K667" s="2" t="s">
        <v>64</v>
      </c>
      <c r="L667" s="2" t="s">
        <v>9</v>
      </c>
      <c r="M667" s="2" t="s">
        <v>10</v>
      </c>
      <c r="N667" s="2" t="s">
        <v>11</v>
      </c>
      <c r="O667" s="2" t="s">
        <v>12</v>
      </c>
      <c r="P667" s="2" t="s">
        <v>21</v>
      </c>
      <c r="Q667" s="2" t="s">
        <v>30</v>
      </c>
      <c r="R667" s="2" t="s">
        <v>18</v>
      </c>
      <c r="S667">
        <v>4</v>
      </c>
    </row>
    <row r="668" spans="1:19" x14ac:dyDescent="0.3">
      <c r="A668">
        <v>1453</v>
      </c>
      <c r="B668">
        <f>YEAR(Cleaned_HR_Data_Analysis__2[[#This Row],[Joining_Date]])</f>
        <v>2023</v>
      </c>
      <c r="C668" s="1">
        <v>45007</v>
      </c>
      <c r="D668" s="1" t="str" cm="1">
        <f t="array" ref="D668">_xlfn.IFS(E668&lt;28, "17-27",
AND(E668&gt;27, E668&lt;38), "28-37",
AND(E668&gt;37, E668 &lt;48), "38-47",
AND(E668&gt;47, E668 &lt;58), "48-57",
AND(E668&gt;57, E668&lt;68), "58-67",
AND(E668&gt;67, E668&lt;78), "68-77",
E668&gt;77,"Above than 77")</f>
        <v>28-37</v>
      </c>
      <c r="E668">
        <v>33</v>
      </c>
      <c r="F668" s="1">
        <v>33105</v>
      </c>
      <c r="G668" s="1" t="str">
        <f>VLOOKUP(H668,Table7[#All], 2, FALSE)</f>
        <v>Massachusetts</v>
      </c>
      <c r="H668" s="2" t="s">
        <v>14</v>
      </c>
      <c r="I668" s="2" t="s">
        <v>22</v>
      </c>
      <c r="J668" s="2" t="s">
        <v>31</v>
      </c>
      <c r="K668" s="2" t="s">
        <v>64</v>
      </c>
      <c r="L668" s="2" t="s">
        <v>9</v>
      </c>
      <c r="M668" s="2" t="s">
        <v>25</v>
      </c>
      <c r="N668" s="2" t="s">
        <v>11</v>
      </c>
      <c r="O668" s="2" t="s">
        <v>12</v>
      </c>
      <c r="P668" s="2" t="s">
        <v>42</v>
      </c>
      <c r="Q668" s="2" t="s">
        <v>37</v>
      </c>
      <c r="R668" s="2" t="s">
        <v>56</v>
      </c>
      <c r="S668">
        <v>5</v>
      </c>
    </row>
    <row r="669" spans="1:19" x14ac:dyDescent="0.3">
      <c r="A669">
        <v>1213</v>
      </c>
      <c r="B669">
        <f>YEAR(Cleaned_HR_Data_Analysis__2[[#This Row],[Joining_Date]])</f>
        <v>2020</v>
      </c>
      <c r="C669" s="1">
        <v>43884</v>
      </c>
      <c r="D669" s="1" t="str" cm="1">
        <f t="array" ref="D669">_xlfn.IFS(E669&lt;28, "17-27",
AND(E669&gt;27, E669&lt;38), "28-37",
AND(E669&gt;37, E669 &lt;48), "38-47",
AND(E669&gt;47, E669 &lt;58), "48-57",
AND(E669&gt;57, E669&lt;68), "58-67",
AND(E669&gt;67, E669&lt;78), "68-77",
E669&gt;77,"Above than 77")</f>
        <v>28-37</v>
      </c>
      <c r="E669">
        <v>33</v>
      </c>
      <c r="F669" s="1">
        <v>31858</v>
      </c>
      <c r="G669" s="1" t="str">
        <f>VLOOKUP(H669,Table7[#All], 2, FALSE)</f>
        <v>Massachusetts</v>
      </c>
      <c r="H669" s="2" t="s">
        <v>14</v>
      </c>
      <c r="I669" s="2" t="s">
        <v>15</v>
      </c>
      <c r="J669" s="2" t="s">
        <v>34</v>
      </c>
      <c r="K669" s="2" t="s">
        <v>64</v>
      </c>
      <c r="L669" s="2" t="s">
        <v>9</v>
      </c>
      <c r="M669" s="2" t="s">
        <v>20</v>
      </c>
      <c r="N669" s="2" t="s">
        <v>19</v>
      </c>
      <c r="O669" s="2" t="s">
        <v>12</v>
      </c>
      <c r="P669" s="2" t="s">
        <v>54</v>
      </c>
      <c r="Q669" s="2" t="s">
        <v>16</v>
      </c>
      <c r="R669" s="2" t="s">
        <v>18</v>
      </c>
      <c r="S669">
        <v>2</v>
      </c>
    </row>
    <row r="670" spans="1:19" x14ac:dyDescent="0.3">
      <c r="A670">
        <v>3795</v>
      </c>
      <c r="B670">
        <f>YEAR(Cleaned_HR_Data_Analysis__2[[#This Row],[Joining_Date]])</f>
        <v>2022</v>
      </c>
      <c r="C670" s="1">
        <v>44756</v>
      </c>
      <c r="D670" s="1" t="str" cm="1">
        <f t="array" ref="D670">_xlfn.IFS(E670&lt;28, "17-27",
AND(E670&gt;27, E670&lt;38), "28-37",
AND(E670&gt;37, E670 &lt;48), "38-47",
AND(E670&gt;47, E670 &lt;58), "48-57",
AND(E670&gt;57, E670&lt;68), "58-67",
AND(E670&gt;67, E670&lt;78), "68-77",
E670&gt;77,"Above than 77")</f>
        <v>28-37</v>
      </c>
      <c r="E670">
        <v>33</v>
      </c>
      <c r="F670" s="1">
        <v>32721</v>
      </c>
      <c r="G670" s="1" t="str">
        <f>VLOOKUP(H670,Table7[#All], 2, FALSE)</f>
        <v>Massachusetts</v>
      </c>
      <c r="H670" s="2" t="s">
        <v>14</v>
      </c>
      <c r="I670" s="2" t="s">
        <v>22</v>
      </c>
      <c r="J670" s="2" t="s">
        <v>40</v>
      </c>
      <c r="K670" s="2" t="s">
        <v>8</v>
      </c>
      <c r="L670" s="2" t="s">
        <v>9</v>
      </c>
      <c r="M670" s="2" t="s">
        <v>20</v>
      </c>
      <c r="N670" s="2" t="s">
        <v>19</v>
      </c>
      <c r="O670" s="2" t="s">
        <v>12</v>
      </c>
      <c r="P670" s="2" t="s">
        <v>28</v>
      </c>
      <c r="Q670" s="2" t="s">
        <v>16</v>
      </c>
      <c r="R670" s="2" t="s">
        <v>41</v>
      </c>
      <c r="S670">
        <v>3</v>
      </c>
    </row>
    <row r="671" spans="1:19" x14ac:dyDescent="0.3">
      <c r="A671">
        <v>3584</v>
      </c>
      <c r="B671">
        <f>YEAR(Cleaned_HR_Data_Analysis__2[[#This Row],[Joining_Date]])</f>
        <v>2020</v>
      </c>
      <c r="C671" s="1">
        <v>44057</v>
      </c>
      <c r="D671" s="1" t="str" cm="1">
        <f t="array" ref="D671">_xlfn.IFS(E671&lt;28, "17-27",
AND(E671&gt;27, E671&lt;38), "28-37",
AND(E671&gt;37, E671 &lt;48), "38-47",
AND(E671&gt;47, E671 &lt;58), "48-57",
AND(E671&gt;57, E671&lt;68), "58-67",
AND(E671&gt;67, E671&lt;78), "68-77",
E671&gt;77,"Above than 77")</f>
        <v>28-37</v>
      </c>
      <c r="E671">
        <v>33</v>
      </c>
      <c r="F671" s="1">
        <v>32088</v>
      </c>
      <c r="G671" s="1" t="str">
        <f>VLOOKUP(H671,Table7[#All], 2, FALSE)</f>
        <v>Massachusetts</v>
      </c>
      <c r="H671" s="2" t="s">
        <v>14</v>
      </c>
      <c r="I671" s="2" t="s">
        <v>15</v>
      </c>
      <c r="J671" s="2" t="s">
        <v>34</v>
      </c>
      <c r="K671" s="2" t="s">
        <v>8</v>
      </c>
      <c r="L671" s="2" t="s">
        <v>9</v>
      </c>
      <c r="M671" s="2" t="s">
        <v>10</v>
      </c>
      <c r="N671" s="2" t="s">
        <v>11</v>
      </c>
      <c r="O671" s="2" t="s">
        <v>12</v>
      </c>
      <c r="P671" s="2" t="s">
        <v>35</v>
      </c>
      <c r="Q671" s="2" t="s">
        <v>30</v>
      </c>
      <c r="R671" s="2" t="s">
        <v>18</v>
      </c>
      <c r="S671">
        <v>2</v>
      </c>
    </row>
    <row r="672" spans="1:19" x14ac:dyDescent="0.3">
      <c r="A672">
        <v>3021</v>
      </c>
      <c r="B672">
        <f>YEAR(Cleaned_HR_Data_Analysis__2[[#This Row],[Joining_Date]])</f>
        <v>2020</v>
      </c>
      <c r="C672" s="1">
        <v>44074</v>
      </c>
      <c r="D672" s="1" t="str" cm="1">
        <f t="array" ref="D672">_xlfn.IFS(E672&lt;28, "17-27",
AND(E672&gt;27, E672&lt;38), "28-37",
AND(E672&gt;37, E672 &lt;48), "38-47",
AND(E672&gt;47, E672 &lt;58), "48-57",
AND(E672&gt;57, E672&lt;68), "58-67",
AND(E672&gt;67, E672&lt;78), "68-77",
E672&gt;77,"Above than 77")</f>
        <v>28-37</v>
      </c>
      <c r="E672">
        <v>33</v>
      </c>
      <c r="F672" s="1">
        <v>31911</v>
      </c>
      <c r="G672" s="1" t="str">
        <f>VLOOKUP(H672,Table7[#All], 2, FALSE)</f>
        <v>Massachusetts</v>
      </c>
      <c r="H672" s="2" t="s">
        <v>14</v>
      </c>
      <c r="I672" s="2" t="s">
        <v>22</v>
      </c>
      <c r="J672" s="2" t="s">
        <v>31</v>
      </c>
      <c r="K672" s="2" t="s">
        <v>8</v>
      </c>
      <c r="L672" s="2" t="s">
        <v>9</v>
      </c>
      <c r="M672" s="2" t="s">
        <v>10</v>
      </c>
      <c r="N672" s="2" t="s">
        <v>19</v>
      </c>
      <c r="O672" s="2" t="s">
        <v>12</v>
      </c>
      <c r="P672" s="2" t="s">
        <v>59</v>
      </c>
      <c r="Q672" s="2" t="s">
        <v>30</v>
      </c>
      <c r="R672" s="2" t="s">
        <v>65</v>
      </c>
      <c r="S672">
        <v>3</v>
      </c>
    </row>
    <row r="673" spans="1:19" x14ac:dyDescent="0.3">
      <c r="A673">
        <v>2996</v>
      </c>
      <c r="B673">
        <f>YEAR(Cleaned_HR_Data_Analysis__2[[#This Row],[Joining_Date]])</f>
        <v>2022</v>
      </c>
      <c r="C673" s="1">
        <v>44727</v>
      </c>
      <c r="D673" s="1" t="str" cm="1">
        <f t="array" ref="D673">_xlfn.IFS(E673&lt;28, "17-27",
AND(E673&gt;27, E673&lt;38), "28-37",
AND(E673&gt;37, E673 &lt;48), "38-47",
AND(E673&gt;47, E673 &lt;58), "48-57",
AND(E673&gt;57, E673&lt;68), "58-67",
AND(E673&gt;67, E673&lt;78), "68-77",
E673&gt;77,"Above than 77")</f>
        <v>28-37</v>
      </c>
      <c r="E673">
        <v>33</v>
      </c>
      <c r="F673" s="1">
        <v>32781</v>
      </c>
      <c r="G673" s="1" t="str">
        <f>VLOOKUP(H673,Table7[#All], 2, FALSE)</f>
        <v>Massachusetts</v>
      </c>
      <c r="H673" s="2" t="s">
        <v>14</v>
      </c>
      <c r="I673" s="2" t="s">
        <v>15</v>
      </c>
      <c r="J673" s="2" t="s">
        <v>17</v>
      </c>
      <c r="K673" s="2" t="s">
        <v>8</v>
      </c>
      <c r="L673" s="2" t="s">
        <v>9</v>
      </c>
      <c r="M673" s="2" t="s">
        <v>10</v>
      </c>
      <c r="N673" s="2" t="s">
        <v>26</v>
      </c>
      <c r="O673" s="2" t="s">
        <v>12</v>
      </c>
      <c r="P673" s="2" t="s">
        <v>32</v>
      </c>
      <c r="Q673" s="2" t="s">
        <v>30</v>
      </c>
      <c r="R673" s="2" t="s">
        <v>18</v>
      </c>
      <c r="S673">
        <v>2</v>
      </c>
    </row>
    <row r="674" spans="1:19" x14ac:dyDescent="0.3">
      <c r="A674">
        <v>2799</v>
      </c>
      <c r="B674">
        <f>YEAR(Cleaned_HR_Data_Analysis__2[[#This Row],[Joining_Date]])</f>
        <v>2021</v>
      </c>
      <c r="C674" s="1">
        <v>44306</v>
      </c>
      <c r="D674" s="1" t="str" cm="1">
        <f t="array" ref="D674">_xlfn.IFS(E674&lt;28, "17-27",
AND(E674&gt;27, E674&lt;38), "28-37",
AND(E674&gt;37, E674 &lt;48), "38-47",
AND(E674&gt;47, E674 &lt;58), "48-57",
AND(E674&gt;57, E674&lt;68), "58-67",
AND(E674&gt;67, E674&lt;78), "68-77",
E674&gt;77,"Above than 77")</f>
        <v>28-37</v>
      </c>
      <c r="E674">
        <v>33</v>
      </c>
      <c r="F674" s="1">
        <v>32194</v>
      </c>
      <c r="G674" s="1" t="str">
        <f>VLOOKUP(H674,Table7[#All], 2, FALSE)</f>
        <v>Massachusetts</v>
      </c>
      <c r="H674" s="2" t="s">
        <v>14</v>
      </c>
      <c r="I674" s="2" t="s">
        <v>22</v>
      </c>
      <c r="J674" s="2" t="s">
        <v>40</v>
      </c>
      <c r="K674" s="2" t="s">
        <v>8</v>
      </c>
      <c r="L674" s="2" t="s">
        <v>9</v>
      </c>
      <c r="M674" s="2" t="s">
        <v>20</v>
      </c>
      <c r="N674" s="2" t="s">
        <v>19</v>
      </c>
      <c r="O674" s="2" t="s">
        <v>12</v>
      </c>
      <c r="P674" s="2" t="s">
        <v>42</v>
      </c>
      <c r="Q674" s="2" t="s">
        <v>16</v>
      </c>
      <c r="R674" s="2" t="s">
        <v>18</v>
      </c>
      <c r="S674">
        <v>1</v>
      </c>
    </row>
    <row r="675" spans="1:19" x14ac:dyDescent="0.3">
      <c r="A675">
        <v>2176</v>
      </c>
      <c r="B675">
        <f>YEAR(Cleaned_HR_Data_Analysis__2[[#This Row],[Joining_Date]])</f>
        <v>2021</v>
      </c>
      <c r="C675" s="1">
        <v>44476</v>
      </c>
      <c r="D675" s="1" t="str" cm="1">
        <f t="array" ref="D675">_xlfn.IFS(E675&lt;28, "17-27",
AND(E675&gt;27, E675&lt;38), "28-37",
AND(E675&gt;37, E675 &lt;48), "38-47",
AND(E675&gt;47, E675 &lt;58), "48-57",
AND(E675&gt;57, E675&lt;68), "58-67",
AND(E675&gt;67, E675&lt;78), "68-77",
E675&gt;77,"Above than 77")</f>
        <v>28-37</v>
      </c>
      <c r="E675">
        <v>33</v>
      </c>
      <c r="F675" s="1">
        <v>32499</v>
      </c>
      <c r="G675" s="1" t="str">
        <f>VLOOKUP(H675,Table7[#All], 2, FALSE)</f>
        <v>Massachusetts</v>
      </c>
      <c r="H675" s="2" t="s">
        <v>14</v>
      </c>
      <c r="I675" s="2" t="s">
        <v>15</v>
      </c>
      <c r="J675" s="2" t="s">
        <v>34</v>
      </c>
      <c r="K675" s="2" t="s">
        <v>8</v>
      </c>
      <c r="L675" s="2" t="s">
        <v>9</v>
      </c>
      <c r="M675" s="2" t="s">
        <v>25</v>
      </c>
      <c r="N675" s="2" t="s">
        <v>26</v>
      </c>
      <c r="O675" s="2" t="s">
        <v>12</v>
      </c>
      <c r="P675" s="2" t="s">
        <v>35</v>
      </c>
      <c r="Q675" s="2" t="s">
        <v>46</v>
      </c>
      <c r="R675" s="2" t="s">
        <v>41</v>
      </c>
      <c r="S675">
        <v>1</v>
      </c>
    </row>
    <row r="676" spans="1:19" x14ac:dyDescent="0.3">
      <c r="A676">
        <v>2109</v>
      </c>
      <c r="B676">
        <f>YEAR(Cleaned_HR_Data_Analysis__2[[#This Row],[Joining_Date]])</f>
        <v>2021</v>
      </c>
      <c r="C676" s="1">
        <v>44250</v>
      </c>
      <c r="D676" s="1" t="str" cm="1">
        <f t="array" ref="D676">_xlfn.IFS(E676&lt;28, "17-27",
AND(E676&gt;27, E676&lt;38), "28-37",
AND(E676&gt;37, E676 &lt;48), "38-47",
AND(E676&gt;47, E676 &lt;58), "48-57",
AND(E676&gt;57, E676&lt;68), "58-67",
AND(E676&gt;67, E676&lt;78), "68-77",
E676&gt;77,"Above than 77")</f>
        <v>28-37</v>
      </c>
      <c r="E676">
        <v>33</v>
      </c>
      <c r="F676" s="1">
        <v>32469</v>
      </c>
      <c r="G676" s="1" t="str">
        <f>VLOOKUP(H676,Table7[#All], 2, FALSE)</f>
        <v>Massachusetts</v>
      </c>
      <c r="H676" s="2" t="s">
        <v>14</v>
      </c>
      <c r="I676" s="2" t="s">
        <v>15</v>
      </c>
      <c r="J676" s="2" t="s">
        <v>40</v>
      </c>
      <c r="K676" s="2" t="s">
        <v>8</v>
      </c>
      <c r="L676" s="2" t="s">
        <v>9</v>
      </c>
      <c r="M676" s="2" t="s">
        <v>20</v>
      </c>
      <c r="N676" s="2" t="s">
        <v>11</v>
      </c>
      <c r="O676" s="2" t="s">
        <v>12</v>
      </c>
      <c r="P676" s="2" t="s">
        <v>35</v>
      </c>
      <c r="Q676" s="2" t="s">
        <v>30</v>
      </c>
      <c r="R676" s="2" t="s">
        <v>41</v>
      </c>
      <c r="S676">
        <v>3</v>
      </c>
    </row>
    <row r="677" spans="1:19" x14ac:dyDescent="0.3">
      <c r="A677">
        <v>1959</v>
      </c>
      <c r="B677">
        <f>YEAR(Cleaned_HR_Data_Analysis__2[[#This Row],[Joining_Date]])</f>
        <v>2022</v>
      </c>
      <c r="C677" s="1">
        <v>44652</v>
      </c>
      <c r="D677" s="1" t="str" cm="1">
        <f t="array" ref="D677">_xlfn.IFS(E677&lt;28, "17-27",
AND(E677&gt;27, E677&lt;38), "28-37",
AND(E677&gt;37, E677 &lt;48), "38-47",
AND(E677&gt;47, E677 &lt;58), "48-57",
AND(E677&gt;57, E677&lt;68), "58-67",
AND(E677&gt;67, E677&lt;78), "68-77",
E677&gt;77,"Above than 77")</f>
        <v>28-37</v>
      </c>
      <c r="E677">
        <v>33</v>
      </c>
      <c r="F677" s="1">
        <v>32722</v>
      </c>
      <c r="G677" s="1" t="str">
        <f>VLOOKUP(H677,Table7[#All], 2, FALSE)</f>
        <v>Massachusetts</v>
      </c>
      <c r="H677" s="2" t="s">
        <v>14</v>
      </c>
      <c r="I677" s="2" t="s">
        <v>15</v>
      </c>
      <c r="J677" s="2" t="s">
        <v>34</v>
      </c>
      <c r="K677" s="2" t="s">
        <v>8</v>
      </c>
      <c r="L677" s="2" t="s">
        <v>9</v>
      </c>
      <c r="M677" s="2" t="s">
        <v>20</v>
      </c>
      <c r="N677" s="2" t="s">
        <v>26</v>
      </c>
      <c r="O677" s="2" t="s">
        <v>12</v>
      </c>
      <c r="P677" s="2" t="s">
        <v>54</v>
      </c>
      <c r="Q677" s="2" t="s">
        <v>46</v>
      </c>
      <c r="R677" s="2" t="s">
        <v>18</v>
      </c>
      <c r="S677">
        <v>3</v>
      </c>
    </row>
    <row r="678" spans="1:19" x14ac:dyDescent="0.3">
      <c r="A678">
        <v>1918</v>
      </c>
      <c r="B678">
        <f>YEAR(Cleaned_HR_Data_Analysis__2[[#This Row],[Joining_Date]])</f>
        <v>2023</v>
      </c>
      <c r="C678" s="1">
        <v>44935</v>
      </c>
      <c r="D678" s="1" t="str" cm="1">
        <f t="array" ref="D678">_xlfn.IFS(E678&lt;28, "17-27",
AND(E678&gt;27, E678&lt;38), "28-37",
AND(E678&gt;37, E678 &lt;48), "38-47",
AND(E678&gt;47, E678 &lt;58), "48-57",
AND(E678&gt;57, E678&lt;68), "58-67",
AND(E678&gt;67, E678&lt;78), "68-77",
E678&gt;77,"Above than 77")</f>
        <v>28-37</v>
      </c>
      <c r="E678">
        <v>33</v>
      </c>
      <c r="F678" s="1">
        <v>33128</v>
      </c>
      <c r="G678" s="1" t="str">
        <f>VLOOKUP(H678,Table7[#All], 2, FALSE)</f>
        <v>Massachusetts</v>
      </c>
      <c r="H678" s="2" t="s">
        <v>14</v>
      </c>
      <c r="I678" s="2" t="s">
        <v>15</v>
      </c>
      <c r="J678" s="2" t="s">
        <v>31</v>
      </c>
      <c r="K678" s="2" t="s">
        <v>8</v>
      </c>
      <c r="L678" s="2" t="s">
        <v>9</v>
      </c>
      <c r="M678" s="2" t="s">
        <v>10</v>
      </c>
      <c r="N678" s="2" t="s">
        <v>26</v>
      </c>
      <c r="O678" s="2" t="s">
        <v>12</v>
      </c>
      <c r="P678" s="2" t="s">
        <v>35</v>
      </c>
      <c r="Q678" s="2" t="s">
        <v>37</v>
      </c>
      <c r="R678" s="2" t="s">
        <v>18</v>
      </c>
      <c r="S678">
        <v>5</v>
      </c>
    </row>
    <row r="679" spans="1:19" x14ac:dyDescent="0.3">
      <c r="A679">
        <v>1829</v>
      </c>
      <c r="B679">
        <f>YEAR(Cleaned_HR_Data_Analysis__2[[#This Row],[Joining_Date]])</f>
        <v>2020</v>
      </c>
      <c r="C679" s="1">
        <v>43890</v>
      </c>
      <c r="D679" s="1" t="str" cm="1">
        <f t="array" ref="D679">_xlfn.IFS(E679&lt;28, "17-27",
AND(E679&gt;27, E679&lt;38), "28-37",
AND(E679&gt;37, E679 &lt;48), "38-47",
AND(E679&gt;47, E679 &lt;58), "48-57",
AND(E679&gt;57, E679&lt;68), "58-67",
AND(E679&gt;67, E679&lt;78), "68-77",
E679&gt;77,"Above than 77")</f>
        <v>28-37</v>
      </c>
      <c r="E679">
        <v>33</v>
      </c>
      <c r="F679" s="1">
        <v>32002</v>
      </c>
      <c r="G679" s="1" t="str">
        <f>VLOOKUP(H679,Table7[#All], 2, FALSE)</f>
        <v>Massachusetts</v>
      </c>
      <c r="H679" s="2" t="s">
        <v>14</v>
      </c>
      <c r="I679" s="2" t="s">
        <v>22</v>
      </c>
      <c r="J679" s="2" t="s">
        <v>34</v>
      </c>
      <c r="K679" s="2" t="s">
        <v>8</v>
      </c>
      <c r="L679" s="2" t="s">
        <v>9</v>
      </c>
      <c r="M679" s="2" t="s">
        <v>20</v>
      </c>
      <c r="N679" s="2" t="s">
        <v>26</v>
      </c>
      <c r="O679" s="2" t="s">
        <v>12</v>
      </c>
      <c r="P679" s="2" t="s">
        <v>42</v>
      </c>
      <c r="Q679" s="2" t="s">
        <v>16</v>
      </c>
      <c r="R679" s="2" t="s">
        <v>41</v>
      </c>
      <c r="S679">
        <v>1</v>
      </c>
    </row>
    <row r="680" spans="1:19" x14ac:dyDescent="0.3">
      <c r="A680">
        <v>1797</v>
      </c>
      <c r="B680">
        <f>YEAR(Cleaned_HR_Data_Analysis__2[[#This Row],[Joining_Date]])</f>
        <v>2020</v>
      </c>
      <c r="C680" s="1">
        <v>44117</v>
      </c>
      <c r="D680" s="1" t="str" cm="1">
        <f t="array" ref="D680">_xlfn.IFS(E680&lt;28, "17-27",
AND(E680&gt;27, E680&lt;38), "28-37",
AND(E680&gt;37, E680 &lt;48), "38-47",
AND(E680&gt;47, E680 &lt;58), "48-57",
AND(E680&gt;57, E680&lt;68), "58-67",
AND(E680&gt;67, E680&lt;78), "68-77",
E680&gt;77,"Above than 77")</f>
        <v>28-37</v>
      </c>
      <c r="E680">
        <v>33</v>
      </c>
      <c r="F680" s="1">
        <v>32038</v>
      </c>
      <c r="G680" s="1" t="str">
        <f>VLOOKUP(H680,Table7[#All], 2, FALSE)</f>
        <v>Massachusetts</v>
      </c>
      <c r="H680" s="2" t="s">
        <v>14</v>
      </c>
      <c r="I680" s="2" t="s">
        <v>15</v>
      </c>
      <c r="J680" s="2" t="s">
        <v>17</v>
      </c>
      <c r="K680" s="2" t="s">
        <v>8</v>
      </c>
      <c r="L680" s="2" t="s">
        <v>9</v>
      </c>
      <c r="M680" s="2" t="s">
        <v>25</v>
      </c>
      <c r="N680" s="2" t="s">
        <v>19</v>
      </c>
      <c r="O680" s="2" t="s">
        <v>12</v>
      </c>
      <c r="P680" s="2" t="s">
        <v>32</v>
      </c>
      <c r="Q680" s="2" t="s">
        <v>23</v>
      </c>
      <c r="R680" s="2" t="s">
        <v>18</v>
      </c>
      <c r="S680">
        <v>3</v>
      </c>
    </row>
    <row r="681" spans="1:19" x14ac:dyDescent="0.3">
      <c r="A681">
        <v>1610</v>
      </c>
      <c r="B681">
        <f>YEAR(Cleaned_HR_Data_Analysis__2[[#This Row],[Joining_Date]])</f>
        <v>2019</v>
      </c>
      <c r="C681" s="1">
        <v>43778</v>
      </c>
      <c r="D681" s="1" t="str" cm="1">
        <f t="array" ref="D681">_xlfn.IFS(E681&lt;28, "17-27",
AND(E681&gt;27, E681&lt;38), "28-37",
AND(E681&gt;37, E681 &lt;48), "38-47",
AND(E681&gt;47, E681 &lt;58), "48-57",
AND(E681&gt;57, E681&lt;68), "58-67",
AND(E681&gt;67, E681&lt;78), "68-77",
E681&gt;77,"Above than 77")</f>
        <v>28-37</v>
      </c>
      <c r="E681">
        <v>33</v>
      </c>
      <c r="F681" s="1">
        <v>31440</v>
      </c>
      <c r="G681" s="1" t="str">
        <f>VLOOKUP(H681,Table7[#All], 2, FALSE)</f>
        <v>Massachusetts</v>
      </c>
      <c r="H681" s="2" t="s">
        <v>14</v>
      </c>
      <c r="I681" s="2" t="s">
        <v>15</v>
      </c>
      <c r="J681" s="2" t="s">
        <v>31</v>
      </c>
      <c r="K681" s="2" t="s">
        <v>8</v>
      </c>
      <c r="L681" s="2" t="s">
        <v>9</v>
      </c>
      <c r="M681" s="2" t="s">
        <v>20</v>
      </c>
      <c r="N681" s="2" t="s">
        <v>26</v>
      </c>
      <c r="O681" s="2" t="s">
        <v>12</v>
      </c>
      <c r="P681" s="2" t="s">
        <v>32</v>
      </c>
      <c r="Q681" s="2" t="s">
        <v>16</v>
      </c>
      <c r="R681" s="2" t="s">
        <v>56</v>
      </c>
      <c r="S681">
        <v>5</v>
      </c>
    </row>
    <row r="682" spans="1:19" x14ac:dyDescent="0.3">
      <c r="A682">
        <v>1436</v>
      </c>
      <c r="B682">
        <f>YEAR(Cleaned_HR_Data_Analysis__2[[#This Row],[Joining_Date]])</f>
        <v>2022</v>
      </c>
      <c r="C682" s="1">
        <v>44862</v>
      </c>
      <c r="D682" s="1" t="str" cm="1">
        <f t="array" ref="D682">_xlfn.IFS(E682&lt;28, "17-27",
AND(E682&gt;27, E682&lt;38), "28-37",
AND(E682&gt;37, E682 &lt;48), "38-47",
AND(E682&gt;47, E682 &lt;58), "48-57",
AND(E682&gt;57, E682&lt;68), "58-67",
AND(E682&gt;67, E682&lt;78), "68-77",
E682&gt;77,"Above than 77")</f>
        <v>28-37</v>
      </c>
      <c r="E682">
        <v>33</v>
      </c>
      <c r="F682" s="1">
        <v>32655</v>
      </c>
      <c r="G682" s="1" t="str">
        <f>VLOOKUP(H682,Table7[#All], 2, FALSE)</f>
        <v>Massachusetts</v>
      </c>
      <c r="H682" s="2" t="s">
        <v>14</v>
      </c>
      <c r="I682" s="2" t="s">
        <v>22</v>
      </c>
      <c r="J682" s="2" t="s">
        <v>34</v>
      </c>
      <c r="K682" s="2" t="s">
        <v>8</v>
      </c>
      <c r="L682" s="2" t="s">
        <v>9</v>
      </c>
      <c r="M682" s="2" t="s">
        <v>25</v>
      </c>
      <c r="N682" s="2" t="s">
        <v>11</v>
      </c>
      <c r="O682" s="2" t="s">
        <v>12</v>
      </c>
      <c r="P682" s="2" t="s">
        <v>35</v>
      </c>
      <c r="Q682" s="2" t="s">
        <v>23</v>
      </c>
      <c r="R682" s="2" t="s">
        <v>56</v>
      </c>
      <c r="S682">
        <v>2</v>
      </c>
    </row>
    <row r="683" spans="1:19" x14ac:dyDescent="0.3">
      <c r="A683">
        <v>1402</v>
      </c>
      <c r="B683">
        <f>YEAR(Cleaned_HR_Data_Analysis__2[[#This Row],[Joining_Date]])</f>
        <v>2021</v>
      </c>
      <c r="C683" s="1">
        <v>44449</v>
      </c>
      <c r="D683" s="1" t="str" cm="1">
        <f t="array" ref="D683">_xlfn.IFS(E683&lt;28, "17-27",
AND(E683&gt;27, E683&lt;38), "28-37",
AND(E683&gt;37, E683 &lt;48), "38-47",
AND(E683&gt;47, E683 &lt;58), "48-57",
AND(E683&gt;57, E683&lt;68), "58-67",
AND(E683&gt;67, E683&lt;78), "68-77",
E683&gt;77,"Above than 77")</f>
        <v>28-37</v>
      </c>
      <c r="E683">
        <v>33</v>
      </c>
      <c r="F683" s="1">
        <v>32428</v>
      </c>
      <c r="G683" s="1" t="str">
        <f>VLOOKUP(H683,Table7[#All], 2, FALSE)</f>
        <v>Massachusetts</v>
      </c>
      <c r="H683" s="2" t="s">
        <v>14</v>
      </c>
      <c r="I683" s="2" t="s">
        <v>15</v>
      </c>
      <c r="J683" s="2" t="s">
        <v>40</v>
      </c>
      <c r="K683" s="2" t="s">
        <v>8</v>
      </c>
      <c r="L683" s="2" t="s">
        <v>9</v>
      </c>
      <c r="M683" s="2" t="s">
        <v>25</v>
      </c>
      <c r="N683" s="2" t="s">
        <v>26</v>
      </c>
      <c r="O683" s="2" t="s">
        <v>12</v>
      </c>
      <c r="P683" s="2" t="s">
        <v>28</v>
      </c>
      <c r="Q683" s="2" t="s">
        <v>16</v>
      </c>
      <c r="R683" s="2" t="s">
        <v>41</v>
      </c>
      <c r="S683">
        <v>4</v>
      </c>
    </row>
    <row r="684" spans="1:19" x14ac:dyDescent="0.3">
      <c r="A684">
        <v>1248</v>
      </c>
      <c r="B684">
        <f>YEAR(Cleaned_HR_Data_Analysis__2[[#This Row],[Joining_Date]])</f>
        <v>2021</v>
      </c>
      <c r="C684" s="1">
        <v>44284</v>
      </c>
      <c r="D684" s="1" t="str" cm="1">
        <f t="array" ref="D684">_xlfn.IFS(E684&lt;28, "17-27",
AND(E684&gt;27, E684&lt;38), "28-37",
AND(E684&gt;37, E684 &lt;48), "38-47",
AND(E684&gt;47, E684 &lt;58), "48-57",
AND(E684&gt;57, E684&lt;68), "58-67",
AND(E684&gt;67, E684&lt;78), "68-77",
E684&gt;77,"Above than 77")</f>
        <v>28-37</v>
      </c>
      <c r="E684">
        <v>33</v>
      </c>
      <c r="F684" s="1">
        <v>32395</v>
      </c>
      <c r="G684" s="1" t="str">
        <f>VLOOKUP(H684,Table7[#All], 2, FALSE)</f>
        <v>Massachusetts</v>
      </c>
      <c r="H684" s="2" t="s">
        <v>14</v>
      </c>
      <c r="I684" s="2" t="s">
        <v>15</v>
      </c>
      <c r="J684" s="2" t="s">
        <v>40</v>
      </c>
      <c r="K684" s="2" t="s">
        <v>8</v>
      </c>
      <c r="L684" s="2" t="s">
        <v>9</v>
      </c>
      <c r="M684" s="2" t="s">
        <v>20</v>
      </c>
      <c r="N684" s="2" t="s">
        <v>26</v>
      </c>
      <c r="O684" s="2" t="s">
        <v>12</v>
      </c>
      <c r="P684" s="2" t="s">
        <v>69</v>
      </c>
      <c r="Q684" s="2" t="s">
        <v>16</v>
      </c>
      <c r="R684" s="2" t="s">
        <v>18</v>
      </c>
      <c r="S684">
        <v>3</v>
      </c>
    </row>
    <row r="685" spans="1:19" x14ac:dyDescent="0.3">
      <c r="A685">
        <v>1140</v>
      </c>
      <c r="B685">
        <f>YEAR(Cleaned_HR_Data_Analysis__2[[#This Row],[Joining_Date]])</f>
        <v>2021</v>
      </c>
      <c r="C685" s="1">
        <v>44468</v>
      </c>
      <c r="D685" s="1" t="str" cm="1">
        <f t="array" ref="D685">_xlfn.IFS(E685&lt;28, "17-27",
AND(E685&gt;27, E685&lt;38), "28-37",
AND(E685&gt;37, E685 &lt;48), "38-47",
AND(E685&gt;47, E685 &lt;58), "48-57",
AND(E685&gt;57, E685&lt;68), "58-67",
AND(E685&gt;67, E685&lt;78), "68-77",
E685&gt;77,"Above than 77")</f>
        <v>28-37</v>
      </c>
      <c r="E685">
        <v>33</v>
      </c>
      <c r="F685" s="1">
        <v>32366</v>
      </c>
      <c r="G685" s="1" t="str">
        <f>VLOOKUP(H685,Table7[#All], 2, FALSE)</f>
        <v>Massachusetts</v>
      </c>
      <c r="H685" s="2" t="s">
        <v>14</v>
      </c>
      <c r="I685" s="2" t="s">
        <v>15</v>
      </c>
      <c r="J685" s="2" t="s">
        <v>31</v>
      </c>
      <c r="K685" s="2" t="s">
        <v>8</v>
      </c>
      <c r="L685" s="2" t="s">
        <v>9</v>
      </c>
      <c r="M685" s="2" t="s">
        <v>20</v>
      </c>
      <c r="N685" s="2" t="s">
        <v>11</v>
      </c>
      <c r="O685" s="2" t="s">
        <v>12</v>
      </c>
      <c r="P685" s="2" t="s">
        <v>42</v>
      </c>
      <c r="Q685" s="2" t="s">
        <v>37</v>
      </c>
      <c r="R685" s="2" t="s">
        <v>18</v>
      </c>
      <c r="S685">
        <v>3</v>
      </c>
    </row>
    <row r="686" spans="1:19" x14ac:dyDescent="0.3">
      <c r="A686">
        <v>2470</v>
      </c>
      <c r="B686">
        <f>YEAR(Cleaned_HR_Data_Analysis__2[[#This Row],[Joining_Date]])</f>
        <v>2021</v>
      </c>
      <c r="C686" s="1">
        <v>44236</v>
      </c>
      <c r="D686" s="1" t="str" cm="1">
        <f t="array" ref="D686">_xlfn.IFS(E686&lt;28, "17-27",
AND(E686&gt;27, E686&lt;38), "28-37",
AND(E686&gt;37, E686 &lt;48), "38-47",
AND(E686&gt;47, E686 &lt;58), "48-57",
AND(E686&gt;57, E686&lt;68), "58-67",
AND(E686&gt;67, E686&lt;78), "68-77",
E686&gt;77,"Above than 77")</f>
        <v>28-37</v>
      </c>
      <c r="E686">
        <v>33</v>
      </c>
      <c r="F686" s="1">
        <v>32440</v>
      </c>
      <c r="G686" s="1" t="str">
        <f>VLOOKUP(H686,Table7[#All], 2, FALSE)</f>
        <v>Massachusetts</v>
      </c>
      <c r="H686" s="2" t="s">
        <v>14</v>
      </c>
      <c r="I686" s="2" t="s">
        <v>22</v>
      </c>
      <c r="J686" s="2" t="s">
        <v>31</v>
      </c>
      <c r="K686" s="2" t="s">
        <v>91</v>
      </c>
      <c r="L686" s="2" t="s">
        <v>9</v>
      </c>
      <c r="M686" s="2" t="s">
        <v>25</v>
      </c>
      <c r="N686" s="2" t="s">
        <v>11</v>
      </c>
      <c r="O686" s="2" t="s">
        <v>12</v>
      </c>
      <c r="P686" s="2" t="s">
        <v>32</v>
      </c>
      <c r="Q686" s="2" t="s">
        <v>46</v>
      </c>
      <c r="R686" s="2" t="s">
        <v>18</v>
      </c>
      <c r="S686">
        <v>5</v>
      </c>
    </row>
    <row r="687" spans="1:19" x14ac:dyDescent="0.3">
      <c r="A687">
        <v>2280</v>
      </c>
      <c r="B687">
        <f>YEAR(Cleaned_HR_Data_Analysis__2[[#This Row],[Joining_Date]])</f>
        <v>2018</v>
      </c>
      <c r="C687" s="1">
        <v>43438</v>
      </c>
      <c r="D687" s="1" t="str" cm="1">
        <f t="array" ref="D687">_xlfn.IFS(E687&lt;28, "17-27",
AND(E687&gt;27, E687&lt;38), "28-37",
AND(E687&gt;37, E687 &lt;48), "38-47",
AND(E687&gt;47, E687 &lt;58), "48-57",
AND(E687&gt;57, E687&lt;68), "58-67",
AND(E687&gt;67, E687&lt;78), "68-77",
E687&gt;77,"Above than 77")</f>
        <v>28-37</v>
      </c>
      <c r="E687">
        <v>33</v>
      </c>
      <c r="F687" s="1">
        <v>31112</v>
      </c>
      <c r="G687" s="1" t="str">
        <f>VLOOKUP(H687,Table7[#All], 2, FALSE)</f>
        <v>Massachusetts</v>
      </c>
      <c r="H687" s="2" t="s">
        <v>14</v>
      </c>
      <c r="I687" s="2" t="s">
        <v>15</v>
      </c>
      <c r="J687" s="2" t="s">
        <v>34</v>
      </c>
      <c r="K687" s="2" t="s">
        <v>91</v>
      </c>
      <c r="L687" s="2" t="s">
        <v>66</v>
      </c>
      <c r="M687" s="2" t="s">
        <v>10</v>
      </c>
      <c r="N687" s="2" t="s">
        <v>19</v>
      </c>
      <c r="O687" s="2" t="s">
        <v>12</v>
      </c>
      <c r="P687" s="2" t="s">
        <v>60</v>
      </c>
      <c r="Q687" s="2" t="s">
        <v>16</v>
      </c>
      <c r="R687" s="2" t="s">
        <v>18</v>
      </c>
      <c r="S687">
        <v>2</v>
      </c>
    </row>
    <row r="688" spans="1:19" x14ac:dyDescent="0.3">
      <c r="A688">
        <v>1124</v>
      </c>
      <c r="B688">
        <f>YEAR(Cleaned_HR_Data_Analysis__2[[#This Row],[Joining_Date]])</f>
        <v>2019</v>
      </c>
      <c r="C688" s="1">
        <v>43823</v>
      </c>
      <c r="D688" s="1" t="str" cm="1">
        <f t="array" ref="D688">_xlfn.IFS(E688&lt;28, "17-27",
AND(E688&gt;27, E688&lt;38), "28-37",
AND(E688&gt;37, E688 &lt;48), "38-47",
AND(E688&gt;47, E688 &lt;58), "48-57",
AND(E688&gt;57, E688&lt;68), "58-67",
AND(E688&gt;67, E688&lt;78), "68-77",
E688&gt;77,"Above than 77")</f>
        <v>28-37</v>
      </c>
      <c r="E688">
        <v>33</v>
      </c>
      <c r="F688" s="1">
        <v>31580</v>
      </c>
      <c r="G688" s="1" t="str">
        <f>VLOOKUP(H688,Table7[#All], 2, FALSE)</f>
        <v>Massachusetts</v>
      </c>
      <c r="H688" s="2" t="s">
        <v>14</v>
      </c>
      <c r="I688" s="2" t="s">
        <v>15</v>
      </c>
      <c r="J688" s="2" t="s">
        <v>34</v>
      </c>
      <c r="K688" s="2" t="s">
        <v>91</v>
      </c>
      <c r="L688" s="2" t="s">
        <v>9</v>
      </c>
      <c r="M688" s="2" t="s">
        <v>25</v>
      </c>
      <c r="N688" s="2" t="s">
        <v>19</v>
      </c>
      <c r="O688" s="2" t="s">
        <v>12</v>
      </c>
      <c r="P688" s="2" t="s">
        <v>42</v>
      </c>
      <c r="Q688" s="2" t="s">
        <v>30</v>
      </c>
      <c r="R688" s="2" t="s">
        <v>18</v>
      </c>
      <c r="S688">
        <v>2</v>
      </c>
    </row>
    <row r="689" spans="1:19" x14ac:dyDescent="0.3">
      <c r="A689">
        <v>3901</v>
      </c>
      <c r="B689">
        <f>YEAR(Cleaned_HR_Data_Analysis__2[[#This Row],[Joining_Date]])</f>
        <v>2021</v>
      </c>
      <c r="C689" s="1">
        <v>44365</v>
      </c>
      <c r="D689" s="1" t="str" cm="1">
        <f t="array" ref="D689">_xlfn.IFS(E689&lt;28, "17-27",
AND(E689&gt;27, E689&lt;38), "28-37",
AND(E689&gt;37, E689 &lt;48), "38-47",
AND(E689&gt;47, E689 &lt;58), "48-57",
AND(E689&gt;57, E689&lt;68), "58-67",
AND(E689&gt;67, E689&lt;78), "68-77",
E689&gt;77,"Above than 77")</f>
        <v>28-37</v>
      </c>
      <c r="E689">
        <v>33</v>
      </c>
      <c r="F689" s="1">
        <v>32178</v>
      </c>
      <c r="G689" s="1" t="str">
        <f>VLOOKUP(H689,Table7[#All], 2, FALSE)</f>
        <v>Massachusetts</v>
      </c>
      <c r="H689" s="2" t="s">
        <v>14</v>
      </c>
      <c r="I689" s="2" t="s">
        <v>22</v>
      </c>
      <c r="J689" s="2" t="s">
        <v>31</v>
      </c>
      <c r="K689" s="2" t="s">
        <v>71</v>
      </c>
      <c r="L689" s="2" t="s">
        <v>9</v>
      </c>
      <c r="M689" s="2" t="s">
        <v>20</v>
      </c>
      <c r="N689" s="2" t="s">
        <v>19</v>
      </c>
      <c r="O689" s="2" t="s">
        <v>73</v>
      </c>
      <c r="P689" s="2" t="s">
        <v>57</v>
      </c>
      <c r="Q689" s="2" t="s">
        <v>23</v>
      </c>
      <c r="R689" s="2" t="s">
        <v>18</v>
      </c>
      <c r="S689">
        <v>2</v>
      </c>
    </row>
    <row r="690" spans="1:19" x14ac:dyDescent="0.3">
      <c r="A690">
        <v>3908</v>
      </c>
      <c r="B690">
        <f>YEAR(Cleaned_HR_Data_Analysis__2[[#This Row],[Joining_Date]])</f>
        <v>2019</v>
      </c>
      <c r="C690" s="1">
        <v>43683</v>
      </c>
      <c r="D690" s="1" t="str" cm="1">
        <f t="array" ref="D690">_xlfn.IFS(E690&lt;28, "17-27",
AND(E690&gt;27, E690&lt;38), "28-37",
AND(E690&gt;37, E690 &lt;48), "38-47",
AND(E690&gt;47, E690 &lt;58), "48-57",
AND(E690&gt;57, E690&lt;68), "58-67",
AND(E690&gt;67, E690&lt;78), "68-77",
E690&gt;77,"Above than 77")</f>
        <v>28-37</v>
      </c>
      <c r="E690">
        <v>33</v>
      </c>
      <c r="F690" s="1">
        <v>31604</v>
      </c>
      <c r="G690" s="1" t="str">
        <f>VLOOKUP(H690,Table7[#All], 2, FALSE)</f>
        <v>Massachusetts</v>
      </c>
      <c r="H690" s="2" t="s">
        <v>14</v>
      </c>
      <c r="I690" s="2" t="s">
        <v>15</v>
      </c>
      <c r="J690" s="2" t="s">
        <v>34</v>
      </c>
      <c r="K690" s="2" t="s">
        <v>70</v>
      </c>
      <c r="L690" s="2" t="s">
        <v>9</v>
      </c>
      <c r="M690" s="2" t="s">
        <v>20</v>
      </c>
      <c r="N690" s="2" t="s">
        <v>11</v>
      </c>
      <c r="O690" s="2" t="s">
        <v>53</v>
      </c>
      <c r="P690" s="2" t="s">
        <v>49</v>
      </c>
      <c r="Q690" s="2" t="s">
        <v>37</v>
      </c>
      <c r="R690" s="2" t="s">
        <v>56</v>
      </c>
      <c r="S690">
        <v>5</v>
      </c>
    </row>
    <row r="691" spans="1:19" x14ac:dyDescent="0.3">
      <c r="A691">
        <v>2257</v>
      </c>
      <c r="B691">
        <f>YEAR(Cleaned_HR_Data_Analysis__2[[#This Row],[Joining_Date]])</f>
        <v>2021</v>
      </c>
      <c r="C691" s="1">
        <v>44315</v>
      </c>
      <c r="D691" s="1" t="str" cm="1">
        <f t="array" ref="D691">_xlfn.IFS(E691&lt;28, "17-27",
AND(E691&gt;27, E691&lt;38), "28-37",
AND(E691&gt;37, E691 &lt;48), "38-47",
AND(E691&gt;47, E691 &lt;58), "48-57",
AND(E691&gt;57, E691&lt;68), "58-67",
AND(E691&gt;67, E691&lt;78), "68-77",
E691&gt;77,"Above than 77")</f>
        <v>28-37</v>
      </c>
      <c r="E691">
        <v>33</v>
      </c>
      <c r="F691" s="1">
        <v>32438</v>
      </c>
      <c r="G691" s="1" t="str">
        <f>VLOOKUP(H691,Table7[#All], 2, FALSE)</f>
        <v>Massachusetts</v>
      </c>
      <c r="H691" s="2" t="s">
        <v>14</v>
      </c>
      <c r="I691" s="2" t="s">
        <v>22</v>
      </c>
      <c r="J691" s="2" t="s">
        <v>34</v>
      </c>
      <c r="K691" s="2" t="s">
        <v>101</v>
      </c>
      <c r="L691" s="2" t="s">
        <v>9</v>
      </c>
      <c r="M691" s="2" t="s">
        <v>10</v>
      </c>
      <c r="N691" s="2" t="s">
        <v>26</v>
      </c>
      <c r="O691" s="2" t="s">
        <v>53</v>
      </c>
      <c r="P691" s="2" t="s">
        <v>38</v>
      </c>
      <c r="Q691" s="2" t="s">
        <v>16</v>
      </c>
      <c r="R691" s="2" t="s">
        <v>18</v>
      </c>
      <c r="S691">
        <v>3</v>
      </c>
    </row>
    <row r="692" spans="1:19" x14ac:dyDescent="0.3">
      <c r="A692">
        <v>2488</v>
      </c>
      <c r="B692">
        <f>YEAR(Cleaned_HR_Data_Analysis__2[[#This Row],[Joining_Date]])</f>
        <v>2022</v>
      </c>
      <c r="C692" s="1">
        <v>44707</v>
      </c>
      <c r="D692" s="1" t="str" cm="1">
        <f t="array" ref="D692">_xlfn.IFS(E692&lt;28, "17-27",
AND(E692&gt;27, E692&lt;38), "28-37",
AND(E692&gt;37, E692 &lt;48), "38-47",
AND(E692&gt;47, E692 &lt;58), "48-57",
AND(E692&gt;57, E692&lt;68), "58-67",
AND(E692&gt;67, E692&lt;78), "68-77",
E692&gt;77,"Above than 77")</f>
        <v>28-37</v>
      </c>
      <c r="E692">
        <v>33</v>
      </c>
      <c r="F692" s="1">
        <v>32539</v>
      </c>
      <c r="G692" s="1" t="str">
        <f>VLOOKUP(H692,Table7[#All], 2, FALSE)</f>
        <v>Massachusetts</v>
      </c>
      <c r="H692" s="2" t="s">
        <v>14</v>
      </c>
      <c r="I692" s="2" t="s">
        <v>22</v>
      </c>
      <c r="J692" s="2" t="s">
        <v>34</v>
      </c>
      <c r="K692" s="2" t="s">
        <v>108</v>
      </c>
      <c r="L692" s="2" t="s">
        <v>9</v>
      </c>
      <c r="M692" s="2" t="s">
        <v>10</v>
      </c>
      <c r="N692" s="2" t="s">
        <v>19</v>
      </c>
      <c r="O692" s="2" t="s">
        <v>53</v>
      </c>
      <c r="P692" s="2" t="s">
        <v>35</v>
      </c>
      <c r="Q692" s="2" t="s">
        <v>30</v>
      </c>
      <c r="R692" s="2" t="s">
        <v>18</v>
      </c>
      <c r="S692">
        <v>4</v>
      </c>
    </row>
    <row r="693" spans="1:19" x14ac:dyDescent="0.3">
      <c r="A693">
        <v>2516</v>
      </c>
      <c r="B693">
        <f>YEAR(Cleaned_HR_Data_Analysis__2[[#This Row],[Joining_Date]])</f>
        <v>2022</v>
      </c>
      <c r="C693" s="1">
        <v>44610</v>
      </c>
      <c r="D693" s="1" t="str" cm="1">
        <f t="array" ref="D693">_xlfn.IFS(E693&lt;28, "17-27",
AND(E693&gt;27, E693&lt;38), "28-37",
AND(E693&gt;37, E693 &lt;48), "38-47",
AND(E693&gt;47, E693 &lt;58), "48-57",
AND(E693&gt;57, E693&lt;68), "58-67",
AND(E693&gt;67, E693&lt;78), "68-77",
E693&gt;77,"Above than 77")</f>
        <v>28-37</v>
      </c>
      <c r="E693">
        <v>33</v>
      </c>
      <c r="F693" s="1">
        <v>32714</v>
      </c>
      <c r="G693" s="1" t="str">
        <f>VLOOKUP(H693,Table7[#All], 2, FALSE)</f>
        <v>Massachusetts</v>
      </c>
      <c r="H693" s="2" t="s">
        <v>14</v>
      </c>
      <c r="I693" s="2" t="s">
        <v>22</v>
      </c>
      <c r="J693" s="2" t="s">
        <v>17</v>
      </c>
      <c r="K693" s="2" t="s">
        <v>106</v>
      </c>
      <c r="L693" s="2" t="s">
        <v>9</v>
      </c>
      <c r="M693" s="2" t="s">
        <v>25</v>
      </c>
      <c r="N693" s="2" t="s">
        <v>11</v>
      </c>
      <c r="O693" s="2" t="s">
        <v>53</v>
      </c>
      <c r="P693" s="2" t="s">
        <v>35</v>
      </c>
      <c r="Q693" s="2" t="s">
        <v>23</v>
      </c>
      <c r="R693" s="2" t="s">
        <v>18</v>
      </c>
      <c r="S693">
        <v>1</v>
      </c>
    </row>
    <row r="694" spans="1:19" x14ac:dyDescent="0.3">
      <c r="A694">
        <v>3941</v>
      </c>
      <c r="B694">
        <f>YEAR(Cleaned_HR_Data_Analysis__2[[#This Row],[Joining_Date]])</f>
        <v>2018</v>
      </c>
      <c r="C694" s="1">
        <v>43408</v>
      </c>
      <c r="D694" s="1" t="str" cm="1">
        <f t="array" ref="D694">_xlfn.IFS(E694&lt;28, "17-27",
AND(E694&gt;27, E694&lt;38), "28-37",
AND(E694&gt;37, E694 &lt;48), "38-47",
AND(E694&gt;47, E694 &lt;58), "48-57",
AND(E694&gt;57, E694&lt;68), "58-67",
AND(E694&gt;67, E694&lt;78), "68-77",
E694&gt;77,"Above than 77")</f>
        <v>28-37</v>
      </c>
      <c r="E694">
        <v>33</v>
      </c>
      <c r="F694" s="1">
        <v>31289</v>
      </c>
      <c r="G694" s="1" t="str">
        <f>VLOOKUP(H694,Table7[#All], 2, FALSE)</f>
        <v>Massachusetts</v>
      </c>
      <c r="H694" s="2" t="s">
        <v>14</v>
      </c>
      <c r="I694" s="2" t="s">
        <v>22</v>
      </c>
      <c r="J694" s="2" t="s">
        <v>34</v>
      </c>
      <c r="K694" s="2" t="s">
        <v>78</v>
      </c>
      <c r="L694" s="2" t="s">
        <v>9</v>
      </c>
      <c r="M694" s="2" t="s">
        <v>25</v>
      </c>
      <c r="N694" s="2" t="s">
        <v>26</v>
      </c>
      <c r="O694" s="2" t="s">
        <v>53</v>
      </c>
      <c r="P694" s="2" t="s">
        <v>35</v>
      </c>
      <c r="Q694" s="2" t="s">
        <v>16</v>
      </c>
      <c r="R694" s="2" t="s">
        <v>18</v>
      </c>
      <c r="S694">
        <v>3</v>
      </c>
    </row>
    <row r="695" spans="1:19" x14ac:dyDescent="0.3">
      <c r="A695">
        <v>2538</v>
      </c>
      <c r="B695">
        <f>YEAR(Cleaned_HR_Data_Analysis__2[[#This Row],[Joining_Date]])</f>
        <v>2019</v>
      </c>
      <c r="C695" s="1">
        <v>43722</v>
      </c>
      <c r="D695" s="1" t="str" cm="1">
        <f t="array" ref="D695">_xlfn.IFS(E695&lt;28, "17-27",
AND(E695&gt;27, E695&lt;38), "28-37",
AND(E695&gt;37, E695 &lt;48), "38-47",
AND(E695&gt;47, E695 &lt;58), "48-57",
AND(E695&gt;57, E695&lt;68), "58-67",
AND(E695&gt;67, E695&lt;78), "68-77",
E695&gt;77,"Above than 77")</f>
        <v>28-37</v>
      </c>
      <c r="E695">
        <v>33</v>
      </c>
      <c r="F695" s="1">
        <v>31462</v>
      </c>
      <c r="G695" s="1" t="str">
        <f>VLOOKUP(H695,Table7[#All], 2, FALSE)</f>
        <v>Massachusetts</v>
      </c>
      <c r="H695" s="2" t="s">
        <v>14</v>
      </c>
      <c r="I695" s="2" t="s">
        <v>15</v>
      </c>
      <c r="J695" s="2" t="s">
        <v>31</v>
      </c>
      <c r="K695" s="2" t="s">
        <v>97</v>
      </c>
      <c r="L695" s="2" t="s">
        <v>9</v>
      </c>
      <c r="M695" s="2" t="s">
        <v>25</v>
      </c>
      <c r="N695" s="2" t="s">
        <v>11</v>
      </c>
      <c r="O695" s="2" t="s">
        <v>53</v>
      </c>
      <c r="P695" s="2" t="s">
        <v>59</v>
      </c>
      <c r="Q695" s="2" t="s">
        <v>23</v>
      </c>
      <c r="R695" s="2" t="s">
        <v>18</v>
      </c>
      <c r="S695">
        <v>4</v>
      </c>
    </row>
    <row r="696" spans="1:19" x14ac:dyDescent="0.3">
      <c r="A696">
        <v>2573</v>
      </c>
      <c r="B696">
        <f>YEAR(Cleaned_HR_Data_Analysis__2[[#This Row],[Joining_Date]])</f>
        <v>2020</v>
      </c>
      <c r="C696" s="1">
        <v>43847</v>
      </c>
      <c r="D696" s="1" t="str" cm="1">
        <f t="array" ref="D696">_xlfn.IFS(E696&lt;28, "17-27",
AND(E696&gt;27, E696&lt;38), "28-37",
AND(E696&gt;37, E696 &lt;48), "38-47",
AND(E696&gt;47, E696 &lt;58), "48-57",
AND(E696&gt;57, E696&lt;68), "58-67",
AND(E696&gt;67, E696&lt;78), "68-77",
E696&gt;77,"Above than 77")</f>
        <v>28-37</v>
      </c>
      <c r="E696">
        <v>33</v>
      </c>
      <c r="F696" s="1">
        <v>31779</v>
      </c>
      <c r="G696" s="1" t="str">
        <f>VLOOKUP(H696,Table7[#All], 2, FALSE)</f>
        <v>Virginia</v>
      </c>
      <c r="H696" s="2" t="s">
        <v>109</v>
      </c>
      <c r="I696" s="2" t="s">
        <v>15</v>
      </c>
      <c r="J696" s="2" t="s">
        <v>40</v>
      </c>
      <c r="K696" s="2" t="s">
        <v>24</v>
      </c>
      <c r="L696" s="2" t="s">
        <v>66</v>
      </c>
      <c r="M696" s="2" t="s">
        <v>10</v>
      </c>
      <c r="N696" s="2" t="s">
        <v>19</v>
      </c>
      <c r="O696" s="2" t="s">
        <v>27</v>
      </c>
      <c r="P696" s="2" t="s">
        <v>35</v>
      </c>
      <c r="Q696" s="2" t="s">
        <v>37</v>
      </c>
      <c r="R696" s="2" t="s">
        <v>18</v>
      </c>
      <c r="S696">
        <v>4</v>
      </c>
    </row>
    <row r="697" spans="1:19" x14ac:dyDescent="0.3">
      <c r="A697">
        <v>2693</v>
      </c>
      <c r="B697">
        <f>YEAR(Cleaned_HR_Data_Analysis__2[[#This Row],[Joining_Date]])</f>
        <v>2020</v>
      </c>
      <c r="C697" s="1">
        <v>44118</v>
      </c>
      <c r="D697" s="1" t="str" cm="1">
        <f t="array" ref="D697">_xlfn.IFS(E697&lt;28, "17-27",
AND(E697&gt;27, E697&lt;38), "28-37",
AND(E697&gt;37, E697 &lt;48), "38-47",
AND(E697&gt;47, E697 &lt;58), "48-57",
AND(E697&gt;57, E697&lt;68), "58-67",
AND(E697&gt;67, E697&lt;78), "68-77",
E697&gt;77,"Above than 77")</f>
        <v>28-37</v>
      </c>
      <c r="E697">
        <v>33</v>
      </c>
      <c r="F697" s="1">
        <v>32046</v>
      </c>
      <c r="G697" s="1" t="str">
        <f>VLOOKUP(H697,Table7[#All], 2, FALSE)</f>
        <v>Tennessee</v>
      </c>
      <c r="H697" s="2" t="s">
        <v>120</v>
      </c>
      <c r="I697" s="2" t="s">
        <v>22</v>
      </c>
      <c r="J697" s="2" t="s">
        <v>34</v>
      </c>
      <c r="K697" s="2" t="s">
        <v>24</v>
      </c>
      <c r="L697" s="2" t="s">
        <v>9</v>
      </c>
      <c r="M697" s="2" t="s">
        <v>20</v>
      </c>
      <c r="N697" s="2" t="s">
        <v>11</v>
      </c>
      <c r="O697" s="2" t="s">
        <v>27</v>
      </c>
      <c r="P697" s="2" t="s">
        <v>28</v>
      </c>
      <c r="Q697" s="2" t="s">
        <v>16</v>
      </c>
      <c r="R697" s="2" t="s">
        <v>18</v>
      </c>
      <c r="S697">
        <v>5</v>
      </c>
    </row>
    <row r="698" spans="1:19" x14ac:dyDescent="0.3">
      <c r="A698">
        <v>2627</v>
      </c>
      <c r="B698">
        <f>YEAR(Cleaned_HR_Data_Analysis__2[[#This Row],[Joining_Date]])</f>
        <v>2023</v>
      </c>
      <c r="C698" s="1">
        <v>44955</v>
      </c>
      <c r="D698" s="1" t="str" cm="1">
        <f t="array" ref="D698">_xlfn.IFS(E698&lt;28, "17-27",
AND(E698&gt;27, E698&lt;38), "28-37",
AND(E698&gt;37, E698 &lt;48), "38-47",
AND(E698&gt;47, E698 &lt;58), "48-57",
AND(E698&gt;57, E698&lt;68), "58-67",
AND(E698&gt;67, E698&lt;78), "68-77",
E698&gt;77,"Above than 77")</f>
        <v>28-37</v>
      </c>
      <c r="E698">
        <v>33</v>
      </c>
      <c r="F698" s="1">
        <v>33019</v>
      </c>
      <c r="G698" s="1" t="str">
        <f>VLOOKUP(H698,Table7[#All], 2, FALSE)</f>
        <v>Tennessee</v>
      </c>
      <c r="H698" s="2" t="s">
        <v>120</v>
      </c>
      <c r="I698" s="2" t="s">
        <v>22</v>
      </c>
      <c r="J698" s="2" t="s">
        <v>40</v>
      </c>
      <c r="K698" s="2" t="s">
        <v>24</v>
      </c>
      <c r="L698" s="2" t="s">
        <v>9</v>
      </c>
      <c r="M698" s="2" t="s">
        <v>25</v>
      </c>
      <c r="N698" s="2" t="s">
        <v>11</v>
      </c>
      <c r="O698" s="2" t="s">
        <v>27</v>
      </c>
      <c r="P698" s="2" t="s">
        <v>59</v>
      </c>
      <c r="Q698" s="2" t="s">
        <v>30</v>
      </c>
      <c r="R698" s="2" t="s">
        <v>18</v>
      </c>
      <c r="S698">
        <v>3</v>
      </c>
    </row>
    <row r="699" spans="1:19" x14ac:dyDescent="0.3">
      <c r="A699">
        <v>2732</v>
      </c>
      <c r="B699">
        <f>YEAR(Cleaned_HR_Data_Analysis__2[[#This Row],[Joining_Date]])</f>
        <v>2022</v>
      </c>
      <c r="C699" s="1">
        <v>44804</v>
      </c>
      <c r="D699" s="1" t="str" cm="1">
        <f t="array" ref="D699">_xlfn.IFS(E699&lt;28, "17-27",
AND(E699&gt;27, E699&lt;38), "28-37",
AND(E699&gt;37, E699 &lt;48), "38-47",
AND(E699&gt;47, E699 &lt;58), "48-57",
AND(E699&gt;57, E699&lt;68), "58-67",
AND(E699&gt;67, E699&lt;78), "68-77",
E699&gt;77,"Above than 77")</f>
        <v>28-37</v>
      </c>
      <c r="E699">
        <v>33</v>
      </c>
      <c r="F699" s="1">
        <v>32605</v>
      </c>
      <c r="G699" s="1" t="str">
        <f>VLOOKUP(H699,Table7[#All], 2, FALSE)</f>
        <v>Maine</v>
      </c>
      <c r="H699" s="2" t="s">
        <v>119</v>
      </c>
      <c r="I699" s="2" t="s">
        <v>22</v>
      </c>
      <c r="J699" s="2" t="s">
        <v>31</v>
      </c>
      <c r="K699" s="2" t="s">
        <v>24</v>
      </c>
      <c r="L699" s="2" t="s">
        <v>9</v>
      </c>
      <c r="M699" s="2" t="s">
        <v>10</v>
      </c>
      <c r="N699" s="2" t="s">
        <v>19</v>
      </c>
      <c r="O699" s="2" t="s">
        <v>27</v>
      </c>
      <c r="P699" s="2" t="s">
        <v>58</v>
      </c>
      <c r="Q699" s="2" t="s">
        <v>37</v>
      </c>
      <c r="R699" s="2" t="s">
        <v>18</v>
      </c>
      <c r="S699">
        <v>5</v>
      </c>
    </row>
    <row r="700" spans="1:19" x14ac:dyDescent="0.3">
      <c r="A700">
        <v>1635</v>
      </c>
      <c r="B700">
        <f>YEAR(Cleaned_HR_Data_Analysis__2[[#This Row],[Joining_Date]])</f>
        <v>2021</v>
      </c>
      <c r="C700" s="1">
        <v>44488</v>
      </c>
      <c r="D700" s="1" t="str" cm="1">
        <f t="array" ref="D700">_xlfn.IFS(E700&lt;28, "17-27",
AND(E700&gt;27, E700&lt;38), "28-37",
AND(E700&gt;37, E700 &lt;48), "38-47",
AND(E700&gt;47, E700 &lt;58), "48-57",
AND(E700&gt;57, E700&lt;68), "58-67",
AND(E700&gt;67, E700&lt;78), "68-77",
E700&gt;77,"Above than 77")</f>
        <v>28-37</v>
      </c>
      <c r="E700">
        <v>33</v>
      </c>
      <c r="F700" s="1">
        <v>32412</v>
      </c>
      <c r="G700" s="1" t="str">
        <f>VLOOKUP(H700,Table7[#All], 2, FALSE)</f>
        <v>Massachusetts</v>
      </c>
      <c r="H700" s="2" t="s">
        <v>14</v>
      </c>
      <c r="I700" s="2" t="s">
        <v>22</v>
      </c>
      <c r="J700" s="2" t="s">
        <v>31</v>
      </c>
      <c r="K700" s="2" t="s">
        <v>24</v>
      </c>
      <c r="L700" s="2" t="s">
        <v>9</v>
      </c>
      <c r="M700" s="2" t="s">
        <v>25</v>
      </c>
      <c r="N700" s="2" t="s">
        <v>11</v>
      </c>
      <c r="O700" s="2" t="s">
        <v>53</v>
      </c>
      <c r="P700" s="2" t="s">
        <v>93</v>
      </c>
      <c r="Q700" s="2" t="s">
        <v>23</v>
      </c>
      <c r="R700" s="2" t="s">
        <v>18</v>
      </c>
      <c r="S700">
        <v>4</v>
      </c>
    </row>
    <row r="701" spans="1:19" x14ac:dyDescent="0.3">
      <c r="A701">
        <v>3467</v>
      </c>
      <c r="B701">
        <f>YEAR(Cleaned_HR_Data_Analysis__2[[#This Row],[Joining_Date]])</f>
        <v>2020</v>
      </c>
      <c r="C701" s="1">
        <v>43957</v>
      </c>
      <c r="D701" s="1" t="str" cm="1">
        <f t="array" ref="D701">_xlfn.IFS(E701&lt;28, "17-27",
AND(E701&gt;27, E701&lt;38), "28-37",
AND(E701&gt;37, E701 &lt;48), "38-47",
AND(E701&gt;47, E701 &lt;58), "48-57",
AND(E701&gt;57, E701&lt;68), "58-67",
AND(E701&gt;67, E701&lt;78), "68-77",
E701&gt;77,"Above than 77")</f>
        <v>28-37</v>
      </c>
      <c r="E701">
        <v>33</v>
      </c>
      <c r="F701" s="1">
        <v>31911</v>
      </c>
      <c r="G701" s="1" t="str">
        <f>VLOOKUP(H701,Table7[#All], 2, FALSE)</f>
        <v>Kentucky</v>
      </c>
      <c r="H701" s="2" t="s">
        <v>51</v>
      </c>
      <c r="I701" s="2" t="s">
        <v>15</v>
      </c>
      <c r="J701" s="2" t="s">
        <v>40</v>
      </c>
      <c r="K701" s="2" t="s">
        <v>24</v>
      </c>
      <c r="L701" s="2" t="s">
        <v>9</v>
      </c>
      <c r="M701" s="2" t="s">
        <v>10</v>
      </c>
      <c r="N701" s="2" t="s">
        <v>19</v>
      </c>
      <c r="O701" s="2" t="s">
        <v>27</v>
      </c>
      <c r="P701" s="2" t="s">
        <v>55</v>
      </c>
      <c r="Q701" s="2" t="s">
        <v>46</v>
      </c>
      <c r="R701" s="2" t="s">
        <v>41</v>
      </c>
      <c r="S701">
        <v>3</v>
      </c>
    </row>
    <row r="702" spans="1:19" x14ac:dyDescent="0.3">
      <c r="A702">
        <v>3536</v>
      </c>
      <c r="B702">
        <f>YEAR(Cleaned_HR_Data_Analysis__2[[#This Row],[Joining_Date]])</f>
        <v>2022</v>
      </c>
      <c r="C702" s="1">
        <v>44779</v>
      </c>
      <c r="D702" s="1" t="str" cm="1">
        <f t="array" ref="D702">_xlfn.IFS(E702&lt;28, "17-27",
AND(E702&gt;27, E702&lt;38), "28-37",
AND(E702&gt;37, E702 &lt;48), "38-47",
AND(E702&gt;47, E702 &lt;58), "48-57",
AND(E702&gt;57, E702&lt;68), "58-67",
AND(E702&gt;67, E702&lt;78), "68-77",
E702&gt;77,"Above than 77")</f>
        <v>28-37</v>
      </c>
      <c r="E702">
        <v>33</v>
      </c>
      <c r="F702" s="1">
        <v>32510</v>
      </c>
      <c r="G702" s="1" t="str">
        <f>VLOOKUP(H702,Table7[#All], 2, FALSE)</f>
        <v>Georgia</v>
      </c>
      <c r="H702" s="2" t="s">
        <v>48</v>
      </c>
      <c r="I702" s="2" t="s">
        <v>15</v>
      </c>
      <c r="J702" s="2" t="s">
        <v>31</v>
      </c>
      <c r="K702" s="2" t="s">
        <v>24</v>
      </c>
      <c r="L702" s="2" t="s">
        <v>9</v>
      </c>
      <c r="M702" s="2" t="s">
        <v>10</v>
      </c>
      <c r="N702" s="2" t="s">
        <v>11</v>
      </c>
      <c r="O702" s="2" t="s">
        <v>27</v>
      </c>
      <c r="P702" s="2" t="s">
        <v>28</v>
      </c>
      <c r="Q702" s="2" t="s">
        <v>37</v>
      </c>
      <c r="R702" s="2" t="s">
        <v>18</v>
      </c>
      <c r="S702">
        <v>2</v>
      </c>
    </row>
    <row r="703" spans="1:19" x14ac:dyDescent="0.3">
      <c r="A703">
        <v>3812</v>
      </c>
      <c r="B703">
        <f>YEAR(Cleaned_HR_Data_Analysis__2[[#This Row],[Joining_Date]])</f>
        <v>2019</v>
      </c>
      <c r="C703" s="1">
        <v>43509</v>
      </c>
      <c r="D703" s="1" t="str" cm="1">
        <f t="array" ref="D703">_xlfn.IFS(E703&lt;28, "17-27",
AND(E703&gt;27, E703&lt;38), "28-37",
AND(E703&gt;37, E703 &lt;48), "38-47",
AND(E703&gt;47, E703 &lt;58), "48-57",
AND(E703&gt;57, E703&lt;68), "58-67",
AND(E703&gt;67, E703&lt;78), "68-77",
E703&gt;77,"Above than 77")</f>
        <v>28-37</v>
      </c>
      <c r="E703">
        <v>34</v>
      </c>
      <c r="F703" s="1">
        <v>31191</v>
      </c>
      <c r="G703" s="1" t="str">
        <f>VLOOKUP(H703,Table7[#All], 2, FALSE)</f>
        <v>Massachusetts</v>
      </c>
      <c r="H703" s="2" t="s">
        <v>14</v>
      </c>
      <c r="I703" s="2" t="s">
        <v>15</v>
      </c>
      <c r="J703" s="2" t="s">
        <v>31</v>
      </c>
      <c r="K703" s="2" t="s">
        <v>72</v>
      </c>
      <c r="L703" s="2" t="s">
        <v>9</v>
      </c>
      <c r="M703" s="2" t="s">
        <v>10</v>
      </c>
      <c r="N703" s="2" t="s">
        <v>26</v>
      </c>
      <c r="O703" s="2" t="s">
        <v>53</v>
      </c>
      <c r="P703" s="2" t="s">
        <v>38</v>
      </c>
      <c r="Q703" s="2" t="s">
        <v>23</v>
      </c>
      <c r="R703" s="2" t="s">
        <v>18</v>
      </c>
      <c r="S703">
        <v>3</v>
      </c>
    </row>
    <row r="704" spans="1:19" x14ac:dyDescent="0.3">
      <c r="A704">
        <v>2499</v>
      </c>
      <c r="B704">
        <f>YEAR(Cleaned_HR_Data_Analysis__2[[#This Row],[Joining_Date]])</f>
        <v>2023</v>
      </c>
      <c r="C704" s="1">
        <v>45024</v>
      </c>
      <c r="D704" s="1" t="str" cm="1">
        <f t="array" ref="D704">_xlfn.IFS(E704&lt;28, "17-27",
AND(E704&gt;27, E704&lt;38), "28-37",
AND(E704&gt;37, E704 &lt;48), "38-47",
AND(E704&gt;47, E704 &lt;58), "48-57",
AND(E704&gt;57, E704&lt;68), "58-67",
AND(E704&gt;67, E704&lt;78), "68-77",
E704&gt;77,"Above than 77")</f>
        <v>28-37</v>
      </c>
      <c r="E704">
        <v>34</v>
      </c>
      <c r="F704" s="1">
        <v>32755</v>
      </c>
      <c r="G704" s="1" t="str">
        <f>VLOOKUP(H704,Table7[#All], 2, FALSE)</f>
        <v>Massachusetts</v>
      </c>
      <c r="H704" s="2" t="s">
        <v>14</v>
      </c>
      <c r="I704" s="2" t="s">
        <v>22</v>
      </c>
      <c r="J704" s="2" t="s">
        <v>34</v>
      </c>
      <c r="K704" s="2" t="s">
        <v>86</v>
      </c>
      <c r="L704" s="2" t="s">
        <v>9</v>
      </c>
      <c r="M704" s="2" t="s">
        <v>10</v>
      </c>
      <c r="N704" s="2" t="s">
        <v>26</v>
      </c>
      <c r="O704" s="2" t="s">
        <v>87</v>
      </c>
      <c r="P704" s="2" t="s">
        <v>54</v>
      </c>
      <c r="Q704" s="2" t="s">
        <v>46</v>
      </c>
      <c r="R704" s="2" t="s">
        <v>18</v>
      </c>
      <c r="S704">
        <v>5</v>
      </c>
    </row>
    <row r="705" spans="1:19" x14ac:dyDescent="0.3">
      <c r="A705">
        <v>1084</v>
      </c>
      <c r="B705">
        <f>YEAR(Cleaned_HR_Data_Analysis__2[[#This Row],[Joining_Date]])</f>
        <v>2023</v>
      </c>
      <c r="C705" s="1">
        <v>45104</v>
      </c>
      <c r="D705" s="1" t="str" cm="1">
        <f t="array" ref="D705">_xlfn.IFS(E705&lt;28, "17-27",
AND(E705&gt;27, E705&lt;38), "28-37",
AND(E705&gt;37, E705 &lt;48), "38-47",
AND(E705&gt;47, E705 &lt;58), "48-57",
AND(E705&gt;57, E705&lt;68), "58-67",
AND(E705&gt;67, E705&lt;78), "68-77",
E705&gt;77,"Above than 77")</f>
        <v>28-37</v>
      </c>
      <c r="E705">
        <v>34</v>
      </c>
      <c r="F705" s="1">
        <v>32732</v>
      </c>
      <c r="G705" s="1" t="str">
        <f>VLOOKUP(H705,Table7[#All], 2, FALSE)</f>
        <v>Massachusetts</v>
      </c>
      <c r="H705" s="2" t="s">
        <v>14</v>
      </c>
      <c r="I705" s="2" t="s">
        <v>22</v>
      </c>
      <c r="J705" s="2" t="s">
        <v>31</v>
      </c>
      <c r="K705" s="2" t="s">
        <v>86</v>
      </c>
      <c r="L705" s="2" t="s">
        <v>9</v>
      </c>
      <c r="M705" s="2" t="s">
        <v>10</v>
      </c>
      <c r="N705" s="2" t="s">
        <v>11</v>
      </c>
      <c r="O705" s="2" t="s">
        <v>87</v>
      </c>
      <c r="P705" s="2" t="s">
        <v>44</v>
      </c>
      <c r="Q705" s="2" t="s">
        <v>16</v>
      </c>
      <c r="R705" s="2" t="s">
        <v>18</v>
      </c>
      <c r="S705">
        <v>2</v>
      </c>
    </row>
    <row r="706" spans="1:19" x14ac:dyDescent="0.3">
      <c r="A706">
        <v>1683</v>
      </c>
      <c r="B706">
        <f>YEAR(Cleaned_HR_Data_Analysis__2[[#This Row],[Joining_Date]])</f>
        <v>2022</v>
      </c>
      <c r="C706" s="1">
        <v>44583</v>
      </c>
      <c r="D706" s="1" t="str" cm="1">
        <f t="array" ref="D706">_xlfn.IFS(E706&lt;28, "17-27",
AND(E706&gt;27, E706&lt;38), "28-37",
AND(E706&gt;37, E706 &lt;48), "38-47",
AND(E706&gt;47, E706 &lt;58), "48-57",
AND(E706&gt;57, E706&lt;68), "58-67",
AND(E706&gt;67, E706&lt;78), "68-77",
E706&gt;77,"Above than 77")</f>
        <v>28-37</v>
      </c>
      <c r="E706">
        <v>34</v>
      </c>
      <c r="F706" s="1">
        <v>32187</v>
      </c>
      <c r="G706" s="1" t="str">
        <f>VLOOKUP(H706,Table7[#All], 2, FALSE)</f>
        <v>Massachusetts</v>
      </c>
      <c r="H706" s="2" t="s">
        <v>14</v>
      </c>
      <c r="I706" s="2" t="s">
        <v>15</v>
      </c>
      <c r="J706" s="2" t="s">
        <v>34</v>
      </c>
      <c r="K706" s="2" t="s">
        <v>98</v>
      </c>
      <c r="L706" s="2" t="s">
        <v>66</v>
      </c>
      <c r="M706" s="2" t="s">
        <v>25</v>
      </c>
      <c r="N706" s="2" t="s">
        <v>26</v>
      </c>
      <c r="O706" s="2" t="s">
        <v>27</v>
      </c>
      <c r="P706" s="2" t="s">
        <v>21</v>
      </c>
      <c r="Q706" s="2" t="s">
        <v>30</v>
      </c>
      <c r="R706" s="2" t="s">
        <v>18</v>
      </c>
      <c r="S706">
        <v>4</v>
      </c>
    </row>
    <row r="707" spans="1:19" x14ac:dyDescent="0.3">
      <c r="A707">
        <v>1637</v>
      </c>
      <c r="B707">
        <f>YEAR(Cleaned_HR_Data_Analysis__2[[#This Row],[Joining_Date]])</f>
        <v>2020</v>
      </c>
      <c r="C707" s="1">
        <v>43947</v>
      </c>
      <c r="D707" s="1" t="str" cm="1">
        <f t="array" ref="D707">_xlfn.IFS(E707&lt;28, "17-27",
AND(E707&gt;27, E707&lt;38), "28-37",
AND(E707&gt;37, E707 &lt;48), "38-47",
AND(E707&gt;47, E707 &lt;58), "48-57",
AND(E707&gt;57, E707&lt;68), "58-67",
AND(E707&gt;67, E707&lt;78), "68-77",
E707&gt;77,"Above than 77")</f>
        <v>28-37</v>
      </c>
      <c r="E707">
        <v>34</v>
      </c>
      <c r="F707" s="1">
        <v>31430</v>
      </c>
      <c r="G707" s="1" t="str">
        <f>VLOOKUP(H707,Table7[#All], 2, FALSE)</f>
        <v>Massachusetts</v>
      </c>
      <c r="H707" s="2" t="s">
        <v>14</v>
      </c>
      <c r="I707" s="2" t="s">
        <v>22</v>
      </c>
      <c r="J707" s="2" t="s">
        <v>40</v>
      </c>
      <c r="K707" s="2" t="s">
        <v>98</v>
      </c>
      <c r="L707" s="2" t="s">
        <v>9</v>
      </c>
      <c r="M707" s="2" t="s">
        <v>25</v>
      </c>
      <c r="N707" s="2" t="s">
        <v>11</v>
      </c>
      <c r="O707" s="2" t="s">
        <v>90</v>
      </c>
      <c r="P707" s="2" t="s">
        <v>32</v>
      </c>
      <c r="Q707" s="2" t="s">
        <v>37</v>
      </c>
      <c r="R707" s="2" t="s">
        <v>18</v>
      </c>
      <c r="S707">
        <v>1</v>
      </c>
    </row>
    <row r="708" spans="1:19" x14ac:dyDescent="0.3">
      <c r="A708">
        <v>3671</v>
      </c>
      <c r="B708">
        <f>YEAR(Cleaned_HR_Data_Analysis__2[[#This Row],[Joining_Date]])</f>
        <v>2023</v>
      </c>
      <c r="C708" s="1">
        <v>44952</v>
      </c>
      <c r="D708" s="1" t="str" cm="1">
        <f t="array" ref="D708">_xlfn.IFS(E708&lt;28, "17-27",
AND(E708&gt;27, E708&lt;38), "28-37",
AND(E708&gt;37, E708 &lt;48), "38-47",
AND(E708&gt;47, E708 &lt;58), "48-57",
AND(E708&gt;57, E708&lt;68), "58-67",
AND(E708&gt;67, E708&lt;78), "68-77",
E708&gt;77,"Above than 77")</f>
        <v>28-37</v>
      </c>
      <c r="E708">
        <v>34</v>
      </c>
      <c r="F708" s="1">
        <v>32871</v>
      </c>
      <c r="G708" s="1" t="str">
        <f>VLOOKUP(H708,Table7[#All], 2, FALSE)</f>
        <v>Massachusetts</v>
      </c>
      <c r="H708" s="2" t="s">
        <v>14</v>
      </c>
      <c r="I708" s="2" t="s">
        <v>15</v>
      </c>
      <c r="J708" s="2" t="s">
        <v>40</v>
      </c>
      <c r="K708" s="2" t="s">
        <v>64</v>
      </c>
      <c r="L708" s="2" t="s">
        <v>66</v>
      </c>
      <c r="M708" s="2" t="s">
        <v>20</v>
      </c>
      <c r="N708" s="2" t="s">
        <v>19</v>
      </c>
      <c r="O708" s="2" t="s">
        <v>12</v>
      </c>
      <c r="P708" s="2" t="s">
        <v>49</v>
      </c>
      <c r="Q708" s="2" t="s">
        <v>46</v>
      </c>
      <c r="R708" s="2" t="s">
        <v>56</v>
      </c>
      <c r="S708">
        <v>4</v>
      </c>
    </row>
    <row r="709" spans="1:19" x14ac:dyDescent="0.3">
      <c r="A709">
        <v>3257</v>
      </c>
      <c r="B709">
        <f>YEAR(Cleaned_HR_Data_Analysis__2[[#This Row],[Joining_Date]])</f>
        <v>2020</v>
      </c>
      <c r="C709" s="1">
        <v>44154</v>
      </c>
      <c r="D709" s="1" t="str" cm="1">
        <f t="array" ref="D709">_xlfn.IFS(E709&lt;28, "17-27",
AND(E709&gt;27, E709&lt;38), "28-37",
AND(E709&gt;37, E709 &lt;48), "38-47",
AND(E709&gt;47, E709 &lt;58), "48-57",
AND(E709&gt;57, E709&lt;68), "58-67",
AND(E709&gt;67, E709&lt;78), "68-77",
E709&gt;77,"Above than 77")</f>
        <v>28-37</v>
      </c>
      <c r="E709">
        <v>34</v>
      </c>
      <c r="F709" s="1">
        <v>31512</v>
      </c>
      <c r="G709" s="1" t="str">
        <f>VLOOKUP(H709,Table7[#All], 2, FALSE)</f>
        <v>Massachusetts</v>
      </c>
      <c r="H709" s="2" t="s">
        <v>14</v>
      </c>
      <c r="I709" s="2" t="s">
        <v>15</v>
      </c>
      <c r="J709" s="2" t="s">
        <v>31</v>
      </c>
      <c r="K709" s="2" t="s">
        <v>64</v>
      </c>
      <c r="L709" s="2" t="s">
        <v>9</v>
      </c>
      <c r="M709" s="2" t="s">
        <v>25</v>
      </c>
      <c r="N709" s="2" t="s">
        <v>19</v>
      </c>
      <c r="O709" s="2" t="s">
        <v>12</v>
      </c>
      <c r="P709" s="2" t="s">
        <v>59</v>
      </c>
      <c r="Q709" s="2" t="s">
        <v>30</v>
      </c>
      <c r="R709" s="2" t="s">
        <v>18</v>
      </c>
      <c r="S709">
        <v>3</v>
      </c>
    </row>
    <row r="710" spans="1:19" x14ac:dyDescent="0.3">
      <c r="A710">
        <v>2946</v>
      </c>
      <c r="B710">
        <f>YEAR(Cleaned_HR_Data_Analysis__2[[#This Row],[Joining_Date]])</f>
        <v>2018</v>
      </c>
      <c r="C710" s="1">
        <v>43356</v>
      </c>
      <c r="D710" s="1" t="str" cm="1">
        <f t="array" ref="D710">_xlfn.IFS(E710&lt;28, "17-27",
AND(E710&gt;27, E710&lt;38), "28-37",
AND(E710&gt;37, E710 &lt;48), "38-47",
AND(E710&gt;47, E710 &lt;58), "48-57",
AND(E710&gt;57, E710&lt;68), "58-67",
AND(E710&gt;67, E710&lt;78), "68-77",
E710&gt;77,"Above than 77")</f>
        <v>28-37</v>
      </c>
      <c r="E710">
        <v>34</v>
      </c>
      <c r="F710" s="1">
        <v>30862</v>
      </c>
      <c r="G710" s="1" t="str">
        <f>VLOOKUP(H710,Table7[#All], 2, FALSE)</f>
        <v>Massachusetts</v>
      </c>
      <c r="H710" s="2" t="s">
        <v>14</v>
      </c>
      <c r="I710" s="2" t="s">
        <v>22</v>
      </c>
      <c r="J710" s="2" t="s">
        <v>40</v>
      </c>
      <c r="K710" s="2" t="s">
        <v>64</v>
      </c>
      <c r="L710" s="2" t="s">
        <v>9</v>
      </c>
      <c r="M710" s="2" t="s">
        <v>10</v>
      </c>
      <c r="N710" s="2" t="s">
        <v>19</v>
      </c>
      <c r="O710" s="2" t="s">
        <v>12</v>
      </c>
      <c r="P710" s="2" t="s">
        <v>49</v>
      </c>
      <c r="Q710" s="2" t="s">
        <v>37</v>
      </c>
      <c r="R710" s="2" t="s">
        <v>56</v>
      </c>
      <c r="S710">
        <v>5</v>
      </c>
    </row>
    <row r="711" spans="1:19" x14ac:dyDescent="0.3">
      <c r="A711">
        <v>2929</v>
      </c>
      <c r="B711">
        <f>YEAR(Cleaned_HR_Data_Analysis__2[[#This Row],[Joining_Date]])</f>
        <v>2020</v>
      </c>
      <c r="C711" s="1">
        <v>44062</v>
      </c>
      <c r="D711" s="1" t="str" cm="1">
        <f t="array" ref="D711">_xlfn.IFS(E711&lt;28, "17-27",
AND(E711&gt;27, E711&lt;38), "28-37",
AND(E711&gt;37, E711 &lt;48), "38-47",
AND(E711&gt;47, E711 &lt;58), "48-57",
AND(E711&gt;57, E711&lt;68), "58-67",
AND(E711&gt;67, E711&lt;78), "68-77",
E711&gt;77,"Above than 77")</f>
        <v>28-37</v>
      </c>
      <c r="E711">
        <v>34</v>
      </c>
      <c r="F711" s="1">
        <v>31568</v>
      </c>
      <c r="G711" s="1" t="str">
        <f>VLOOKUP(H711,Table7[#All], 2, FALSE)</f>
        <v>Massachusetts</v>
      </c>
      <c r="H711" s="2" t="s">
        <v>14</v>
      </c>
      <c r="I711" s="2" t="s">
        <v>15</v>
      </c>
      <c r="J711" s="2" t="s">
        <v>17</v>
      </c>
      <c r="K711" s="2" t="s">
        <v>64</v>
      </c>
      <c r="L711" s="2" t="s">
        <v>66</v>
      </c>
      <c r="M711" s="2" t="s">
        <v>25</v>
      </c>
      <c r="N711" s="2" t="s">
        <v>26</v>
      </c>
      <c r="O711" s="2" t="s">
        <v>12</v>
      </c>
      <c r="P711" s="2" t="s">
        <v>35</v>
      </c>
      <c r="Q711" s="2" t="s">
        <v>16</v>
      </c>
      <c r="R711" s="2" t="s">
        <v>56</v>
      </c>
      <c r="S711">
        <v>3</v>
      </c>
    </row>
    <row r="712" spans="1:19" x14ac:dyDescent="0.3">
      <c r="A712">
        <v>2805</v>
      </c>
      <c r="B712">
        <f>YEAR(Cleaned_HR_Data_Analysis__2[[#This Row],[Joining_Date]])</f>
        <v>2022</v>
      </c>
      <c r="C712" s="1">
        <v>44670</v>
      </c>
      <c r="D712" s="1" t="str" cm="1">
        <f t="array" ref="D712">_xlfn.IFS(E712&lt;28, "17-27",
AND(E712&gt;27, E712&lt;38), "28-37",
AND(E712&gt;37, E712 &lt;48), "38-47",
AND(E712&gt;47, E712 &lt;58), "48-57",
AND(E712&gt;57, E712&lt;68), "58-67",
AND(E712&gt;67, E712&lt;78), "68-77",
E712&gt;77,"Above than 77")</f>
        <v>28-37</v>
      </c>
      <c r="E712">
        <v>34</v>
      </c>
      <c r="F712" s="1">
        <v>32354</v>
      </c>
      <c r="G712" s="1" t="str">
        <f>VLOOKUP(H712,Table7[#All], 2, FALSE)</f>
        <v>Massachusetts</v>
      </c>
      <c r="H712" s="2" t="s">
        <v>14</v>
      </c>
      <c r="I712" s="2" t="s">
        <v>22</v>
      </c>
      <c r="J712" s="2" t="s">
        <v>17</v>
      </c>
      <c r="K712" s="2" t="s">
        <v>64</v>
      </c>
      <c r="L712" s="2" t="s">
        <v>9</v>
      </c>
      <c r="M712" s="2" t="s">
        <v>25</v>
      </c>
      <c r="N712" s="2" t="s">
        <v>11</v>
      </c>
      <c r="O712" s="2" t="s">
        <v>12</v>
      </c>
      <c r="P712" s="2" t="s">
        <v>35</v>
      </c>
      <c r="Q712" s="2" t="s">
        <v>16</v>
      </c>
      <c r="R712" s="2" t="s">
        <v>18</v>
      </c>
      <c r="S712">
        <v>3</v>
      </c>
    </row>
    <row r="713" spans="1:19" x14ac:dyDescent="0.3">
      <c r="A713">
        <v>2066</v>
      </c>
      <c r="B713">
        <f>YEAR(Cleaned_HR_Data_Analysis__2[[#This Row],[Joining_Date]])</f>
        <v>2023</v>
      </c>
      <c r="C713" s="1">
        <v>45142</v>
      </c>
      <c r="D713" s="1" t="str" cm="1">
        <f t="array" ref="D713">_xlfn.IFS(E713&lt;28, "17-27",
AND(E713&gt;27, E713&lt;38), "28-37",
AND(E713&gt;37, E713 &lt;48), "38-47",
AND(E713&gt;47, E713 &lt;58), "48-57",
AND(E713&gt;57, E713&lt;68), "58-67",
AND(E713&gt;67, E713&lt;78), "68-77",
E713&gt;77,"Above than 77")</f>
        <v>28-37</v>
      </c>
      <c r="E713">
        <v>34</v>
      </c>
      <c r="F713" s="1">
        <v>32653</v>
      </c>
      <c r="G713" s="1" t="str">
        <f>VLOOKUP(H713,Table7[#All], 2, FALSE)</f>
        <v>Massachusetts</v>
      </c>
      <c r="H713" s="2" t="s">
        <v>14</v>
      </c>
      <c r="I713" s="2" t="s">
        <v>15</v>
      </c>
      <c r="J713" s="2" t="s">
        <v>31</v>
      </c>
      <c r="K713" s="2" t="s">
        <v>64</v>
      </c>
      <c r="L713" s="2" t="s">
        <v>9</v>
      </c>
      <c r="M713" s="2" t="s">
        <v>10</v>
      </c>
      <c r="N713" s="2" t="s">
        <v>19</v>
      </c>
      <c r="O713" s="2" t="s">
        <v>12</v>
      </c>
      <c r="P713" s="2" t="s">
        <v>54</v>
      </c>
      <c r="Q713" s="2" t="s">
        <v>46</v>
      </c>
      <c r="R713" s="2" t="s">
        <v>18</v>
      </c>
      <c r="S713">
        <v>5</v>
      </c>
    </row>
    <row r="714" spans="1:19" x14ac:dyDescent="0.3">
      <c r="A714">
        <v>1994</v>
      </c>
      <c r="B714">
        <f>YEAR(Cleaned_HR_Data_Analysis__2[[#This Row],[Joining_Date]])</f>
        <v>2022</v>
      </c>
      <c r="C714" s="1">
        <v>44743</v>
      </c>
      <c r="D714" s="1" t="str" cm="1">
        <f t="array" ref="D714">_xlfn.IFS(E714&lt;28, "17-27",
AND(E714&gt;27, E714&lt;38), "28-37",
AND(E714&gt;37, E714 &lt;48), "38-47",
AND(E714&gt;47, E714 &lt;58), "48-57",
AND(E714&gt;57, E714&lt;68), "58-67",
AND(E714&gt;67, E714&lt;78), "68-77",
E714&gt;77,"Above than 77")</f>
        <v>28-37</v>
      </c>
      <c r="E714">
        <v>34</v>
      </c>
      <c r="F714" s="1">
        <v>32506</v>
      </c>
      <c r="G714" s="1" t="str">
        <f>VLOOKUP(H714,Table7[#All], 2, FALSE)</f>
        <v>Massachusetts</v>
      </c>
      <c r="H714" s="2" t="s">
        <v>14</v>
      </c>
      <c r="I714" s="2" t="s">
        <v>15</v>
      </c>
      <c r="J714" s="2" t="s">
        <v>31</v>
      </c>
      <c r="K714" s="2" t="s">
        <v>64</v>
      </c>
      <c r="L714" s="2" t="s">
        <v>9</v>
      </c>
      <c r="M714" s="2" t="s">
        <v>25</v>
      </c>
      <c r="N714" s="2" t="s">
        <v>19</v>
      </c>
      <c r="O714" s="2" t="s">
        <v>12</v>
      </c>
      <c r="P714" s="2" t="s">
        <v>32</v>
      </c>
      <c r="Q714" s="2" t="s">
        <v>30</v>
      </c>
      <c r="R714" s="2" t="s">
        <v>18</v>
      </c>
      <c r="S714">
        <v>5</v>
      </c>
    </row>
    <row r="715" spans="1:19" x14ac:dyDescent="0.3">
      <c r="A715">
        <v>1296</v>
      </c>
      <c r="B715">
        <f>YEAR(Cleaned_HR_Data_Analysis__2[[#This Row],[Joining_Date]])</f>
        <v>2019</v>
      </c>
      <c r="C715" s="1">
        <v>43537</v>
      </c>
      <c r="D715" s="1" t="str" cm="1">
        <f t="array" ref="D715">_xlfn.IFS(E715&lt;28, "17-27",
AND(E715&gt;27, E715&lt;38), "28-37",
AND(E715&gt;37, E715 &lt;48), "38-47",
AND(E715&gt;47, E715 &lt;58), "48-57",
AND(E715&gt;57, E715&lt;68), "58-67",
AND(E715&gt;67, E715&lt;78), "68-77",
E715&gt;77,"Above than 77")</f>
        <v>28-37</v>
      </c>
      <c r="E715">
        <v>34</v>
      </c>
      <c r="F715" s="1">
        <v>31074</v>
      </c>
      <c r="G715" s="1" t="str">
        <f>VLOOKUP(H715,Table7[#All], 2, FALSE)</f>
        <v>Massachusetts</v>
      </c>
      <c r="H715" s="2" t="s">
        <v>14</v>
      </c>
      <c r="I715" s="2" t="s">
        <v>15</v>
      </c>
      <c r="J715" s="2" t="s">
        <v>17</v>
      </c>
      <c r="K715" s="2" t="s">
        <v>64</v>
      </c>
      <c r="L715" s="2" t="s">
        <v>66</v>
      </c>
      <c r="M715" s="2" t="s">
        <v>25</v>
      </c>
      <c r="N715" s="2" t="s">
        <v>26</v>
      </c>
      <c r="O715" s="2" t="s">
        <v>12</v>
      </c>
      <c r="P715" s="2" t="s">
        <v>35</v>
      </c>
      <c r="Q715" s="2" t="s">
        <v>46</v>
      </c>
      <c r="R715" s="2" t="s">
        <v>18</v>
      </c>
      <c r="S715">
        <v>1</v>
      </c>
    </row>
    <row r="716" spans="1:19" x14ac:dyDescent="0.3">
      <c r="A716">
        <v>1192</v>
      </c>
      <c r="B716">
        <f>YEAR(Cleaned_HR_Data_Analysis__2[[#This Row],[Joining_Date]])</f>
        <v>2022</v>
      </c>
      <c r="C716" s="1">
        <v>44827</v>
      </c>
      <c r="D716" s="1" t="str" cm="1">
        <f t="array" ref="D716">_xlfn.IFS(E716&lt;28, "17-27",
AND(E716&gt;27, E716&lt;38), "28-37",
AND(E716&gt;37, E716 &lt;48), "38-47",
AND(E716&gt;47, E716 &lt;58), "48-57",
AND(E716&gt;57, E716&lt;68), "58-67",
AND(E716&gt;67, E716&lt;78), "68-77",
E716&gt;77,"Above than 77")</f>
        <v>28-37</v>
      </c>
      <c r="E716">
        <v>34</v>
      </c>
      <c r="F716" s="1">
        <v>32484</v>
      </c>
      <c r="G716" s="1" t="str">
        <f>VLOOKUP(H716,Table7[#All], 2, FALSE)</f>
        <v>Massachusetts</v>
      </c>
      <c r="H716" s="2" t="s">
        <v>14</v>
      </c>
      <c r="I716" s="2" t="s">
        <v>15</v>
      </c>
      <c r="J716" s="2" t="s">
        <v>31</v>
      </c>
      <c r="K716" s="2" t="s">
        <v>64</v>
      </c>
      <c r="L716" s="2" t="s">
        <v>9</v>
      </c>
      <c r="M716" s="2" t="s">
        <v>25</v>
      </c>
      <c r="N716" s="2" t="s">
        <v>11</v>
      </c>
      <c r="O716" s="2" t="s">
        <v>12</v>
      </c>
      <c r="P716" s="2" t="s">
        <v>32</v>
      </c>
      <c r="Q716" s="2" t="s">
        <v>16</v>
      </c>
      <c r="R716" s="2" t="s">
        <v>18</v>
      </c>
      <c r="S716">
        <v>1</v>
      </c>
    </row>
    <row r="717" spans="1:19" x14ac:dyDescent="0.3">
      <c r="A717">
        <v>3665</v>
      </c>
      <c r="B717">
        <f>YEAR(Cleaned_HR_Data_Analysis__2[[#This Row],[Joining_Date]])</f>
        <v>2019</v>
      </c>
      <c r="C717" s="1">
        <v>43791</v>
      </c>
      <c r="D717" s="1" t="str" cm="1">
        <f t="array" ref="D717">_xlfn.IFS(E717&lt;28, "17-27",
AND(E717&gt;27, E717&lt;38), "28-37",
AND(E717&gt;37, E717 &lt;48), "38-47",
AND(E717&gt;47, E717 &lt;58), "48-57",
AND(E717&gt;57, E717&lt;68), "58-67",
AND(E717&gt;67, E717&lt;78), "68-77",
E717&gt;77,"Above than 77")</f>
        <v>28-37</v>
      </c>
      <c r="E717">
        <v>34</v>
      </c>
      <c r="F717" s="1">
        <v>31136</v>
      </c>
      <c r="G717" s="1" t="str">
        <f>VLOOKUP(H717,Table7[#All], 2, FALSE)</f>
        <v>Massachusetts</v>
      </c>
      <c r="H717" s="2" t="s">
        <v>14</v>
      </c>
      <c r="I717" s="2" t="s">
        <v>22</v>
      </c>
      <c r="J717" s="2" t="s">
        <v>34</v>
      </c>
      <c r="K717" s="2" t="s">
        <v>8</v>
      </c>
      <c r="L717" s="2" t="s">
        <v>9</v>
      </c>
      <c r="M717" s="2" t="s">
        <v>25</v>
      </c>
      <c r="N717" s="2" t="s">
        <v>26</v>
      </c>
      <c r="O717" s="2" t="s">
        <v>12</v>
      </c>
      <c r="P717" s="2" t="s">
        <v>35</v>
      </c>
      <c r="Q717" s="2" t="s">
        <v>46</v>
      </c>
      <c r="R717" s="2" t="s">
        <v>18</v>
      </c>
      <c r="S717">
        <v>2</v>
      </c>
    </row>
    <row r="718" spans="1:19" x14ac:dyDescent="0.3">
      <c r="A718">
        <v>3575</v>
      </c>
      <c r="B718">
        <f>YEAR(Cleaned_HR_Data_Analysis__2[[#This Row],[Joining_Date]])</f>
        <v>2021</v>
      </c>
      <c r="C718" s="1">
        <v>44314</v>
      </c>
      <c r="D718" s="1" t="str" cm="1">
        <f t="array" ref="D718">_xlfn.IFS(E718&lt;28, "17-27",
AND(E718&gt;27, E718&lt;38), "28-37",
AND(E718&gt;37, E718 &lt;48), "38-47",
AND(E718&gt;47, E718 &lt;58), "48-57",
AND(E718&gt;57, E718&lt;68), "58-67",
AND(E718&gt;67, E718&lt;78), "68-77",
E718&gt;77,"Above than 77")</f>
        <v>28-37</v>
      </c>
      <c r="E718">
        <v>34</v>
      </c>
      <c r="F718" s="1">
        <v>31841</v>
      </c>
      <c r="G718" s="1" t="str">
        <f>VLOOKUP(H718,Table7[#All], 2, FALSE)</f>
        <v>Massachusetts</v>
      </c>
      <c r="H718" s="2" t="s">
        <v>14</v>
      </c>
      <c r="I718" s="2" t="s">
        <v>22</v>
      </c>
      <c r="J718" s="2" t="s">
        <v>31</v>
      </c>
      <c r="K718" s="2" t="s">
        <v>8</v>
      </c>
      <c r="L718" s="2" t="s">
        <v>66</v>
      </c>
      <c r="M718" s="2" t="s">
        <v>20</v>
      </c>
      <c r="N718" s="2" t="s">
        <v>19</v>
      </c>
      <c r="O718" s="2" t="s">
        <v>12</v>
      </c>
      <c r="P718" s="2" t="s">
        <v>35</v>
      </c>
      <c r="Q718" s="2" t="s">
        <v>23</v>
      </c>
      <c r="R718" s="2" t="s">
        <v>41</v>
      </c>
      <c r="S718">
        <v>1</v>
      </c>
    </row>
    <row r="719" spans="1:19" x14ac:dyDescent="0.3">
      <c r="A719">
        <v>3334</v>
      </c>
      <c r="B719">
        <f>YEAR(Cleaned_HR_Data_Analysis__2[[#This Row],[Joining_Date]])</f>
        <v>2023</v>
      </c>
      <c r="C719" s="1">
        <v>45076</v>
      </c>
      <c r="D719" s="1" t="str" cm="1">
        <f t="array" ref="D719">_xlfn.IFS(E719&lt;28, "17-27",
AND(E719&gt;27, E719&lt;38), "28-37",
AND(E719&gt;37, E719 &lt;48), "38-47",
AND(E719&gt;47, E719 &lt;58), "48-57",
AND(E719&gt;57, E719&lt;68), "58-67",
AND(E719&gt;67, E719&lt;78), "68-77",
E719&gt;77,"Above than 77")</f>
        <v>28-37</v>
      </c>
      <c r="E719">
        <v>34</v>
      </c>
      <c r="F719" s="1">
        <v>32647</v>
      </c>
      <c r="G719" s="1" t="str">
        <f>VLOOKUP(H719,Table7[#All], 2, FALSE)</f>
        <v>Massachusetts</v>
      </c>
      <c r="H719" s="2" t="s">
        <v>14</v>
      </c>
      <c r="I719" s="2" t="s">
        <v>22</v>
      </c>
      <c r="J719" s="2" t="s">
        <v>31</v>
      </c>
      <c r="K719" s="2" t="s">
        <v>8</v>
      </c>
      <c r="L719" s="2" t="s">
        <v>9</v>
      </c>
      <c r="M719" s="2" t="s">
        <v>20</v>
      </c>
      <c r="N719" s="2" t="s">
        <v>26</v>
      </c>
      <c r="O719" s="2" t="s">
        <v>12</v>
      </c>
      <c r="P719" s="2" t="s">
        <v>54</v>
      </c>
      <c r="Q719" s="2" t="s">
        <v>16</v>
      </c>
      <c r="R719" s="2" t="s">
        <v>18</v>
      </c>
      <c r="S719">
        <v>4</v>
      </c>
    </row>
    <row r="720" spans="1:19" x14ac:dyDescent="0.3">
      <c r="A720">
        <v>3129</v>
      </c>
      <c r="B720">
        <f>YEAR(Cleaned_HR_Data_Analysis__2[[#This Row],[Joining_Date]])</f>
        <v>2019</v>
      </c>
      <c r="C720" s="1">
        <v>43637</v>
      </c>
      <c r="D720" s="1" t="str" cm="1">
        <f t="array" ref="D720">_xlfn.IFS(E720&lt;28, "17-27",
AND(E720&gt;27, E720&lt;38), "28-37",
AND(E720&gt;37, E720 &lt;48), "38-47",
AND(E720&gt;47, E720 &lt;58), "48-57",
AND(E720&gt;57, E720&lt;68), "58-67",
AND(E720&gt;67, E720&lt;78), "68-77",
E720&gt;77,"Above than 77")</f>
        <v>28-37</v>
      </c>
      <c r="E720">
        <v>34</v>
      </c>
      <c r="F720" s="1">
        <v>31239</v>
      </c>
      <c r="G720" s="1" t="str">
        <f>VLOOKUP(H720,Table7[#All], 2, FALSE)</f>
        <v>Massachusetts</v>
      </c>
      <c r="H720" s="2" t="s">
        <v>14</v>
      </c>
      <c r="I720" s="2" t="s">
        <v>15</v>
      </c>
      <c r="J720" s="2" t="s">
        <v>17</v>
      </c>
      <c r="K720" s="2" t="s">
        <v>8</v>
      </c>
      <c r="L720" s="2" t="s">
        <v>9</v>
      </c>
      <c r="M720" s="2" t="s">
        <v>25</v>
      </c>
      <c r="N720" s="2" t="s">
        <v>19</v>
      </c>
      <c r="O720" s="2" t="s">
        <v>12</v>
      </c>
      <c r="P720" s="2" t="s">
        <v>69</v>
      </c>
      <c r="Q720" s="2" t="s">
        <v>37</v>
      </c>
      <c r="R720" s="2" t="s">
        <v>18</v>
      </c>
      <c r="S720">
        <v>2</v>
      </c>
    </row>
    <row r="721" spans="1:19" x14ac:dyDescent="0.3">
      <c r="A721">
        <v>3082</v>
      </c>
      <c r="B721">
        <f>YEAR(Cleaned_HR_Data_Analysis__2[[#This Row],[Joining_Date]])</f>
        <v>2022</v>
      </c>
      <c r="C721" s="1">
        <v>44883</v>
      </c>
      <c r="D721" s="1" t="str" cm="1">
        <f t="array" ref="D721">_xlfn.IFS(E721&lt;28, "17-27",
AND(E721&gt;27, E721&lt;38), "28-37",
AND(E721&gt;37, E721 &lt;48), "38-47",
AND(E721&gt;47, E721 &lt;58), "48-57",
AND(E721&gt;57, E721&lt;68), "58-67",
AND(E721&gt;67, E721&lt;78), "68-77",
E721&gt;77,"Above than 77")</f>
        <v>28-37</v>
      </c>
      <c r="E721">
        <v>34</v>
      </c>
      <c r="F721" s="1">
        <v>32420</v>
      </c>
      <c r="G721" s="1" t="str">
        <f>VLOOKUP(H721,Table7[#All], 2, FALSE)</f>
        <v>Massachusetts</v>
      </c>
      <c r="H721" s="2" t="s">
        <v>14</v>
      </c>
      <c r="I721" s="2" t="s">
        <v>15</v>
      </c>
      <c r="J721" s="2" t="s">
        <v>31</v>
      </c>
      <c r="K721" s="2" t="s">
        <v>8</v>
      </c>
      <c r="L721" s="2" t="s">
        <v>9</v>
      </c>
      <c r="M721" s="2" t="s">
        <v>20</v>
      </c>
      <c r="N721" s="2" t="s">
        <v>19</v>
      </c>
      <c r="O721" s="2" t="s">
        <v>12</v>
      </c>
      <c r="P721" s="2" t="s">
        <v>35</v>
      </c>
      <c r="Q721" s="2" t="s">
        <v>30</v>
      </c>
      <c r="R721" s="2" t="s">
        <v>18</v>
      </c>
      <c r="S721">
        <v>3</v>
      </c>
    </row>
    <row r="722" spans="1:19" x14ac:dyDescent="0.3">
      <c r="A722">
        <v>2890</v>
      </c>
      <c r="B722">
        <f>YEAR(Cleaned_HR_Data_Analysis__2[[#This Row],[Joining_Date]])</f>
        <v>2022</v>
      </c>
      <c r="C722" s="1">
        <v>44841</v>
      </c>
      <c r="D722" s="1" t="str" cm="1">
        <f t="array" ref="D722">_xlfn.IFS(E722&lt;28, "17-27",
AND(E722&gt;27, E722&lt;38), "28-37",
AND(E722&gt;37, E722 &lt;48), "38-47",
AND(E722&gt;47, E722 &lt;58), "48-57",
AND(E722&gt;57, E722&lt;68), "58-67",
AND(E722&gt;67, E722&lt;78), "68-77",
E722&gt;77,"Above than 77")</f>
        <v>28-37</v>
      </c>
      <c r="E722">
        <v>34</v>
      </c>
      <c r="F722" s="1">
        <v>32344</v>
      </c>
      <c r="G722" s="1" t="str">
        <f>VLOOKUP(H722,Table7[#All], 2, FALSE)</f>
        <v>Massachusetts</v>
      </c>
      <c r="H722" s="2" t="s">
        <v>14</v>
      </c>
      <c r="I722" s="2" t="s">
        <v>22</v>
      </c>
      <c r="J722" s="2" t="s">
        <v>31</v>
      </c>
      <c r="K722" s="2" t="s">
        <v>8</v>
      </c>
      <c r="L722" s="2" t="s">
        <v>9</v>
      </c>
      <c r="M722" s="2" t="s">
        <v>25</v>
      </c>
      <c r="N722" s="2" t="s">
        <v>19</v>
      </c>
      <c r="O722" s="2" t="s">
        <v>12</v>
      </c>
      <c r="P722" s="2" t="s">
        <v>28</v>
      </c>
      <c r="Q722" s="2" t="s">
        <v>37</v>
      </c>
      <c r="R722" s="2" t="s">
        <v>18</v>
      </c>
      <c r="S722">
        <v>5</v>
      </c>
    </row>
    <row r="723" spans="1:19" x14ac:dyDescent="0.3">
      <c r="A723">
        <v>2836</v>
      </c>
      <c r="B723">
        <f>YEAR(Cleaned_HR_Data_Analysis__2[[#This Row],[Joining_Date]])</f>
        <v>2022</v>
      </c>
      <c r="C723" s="1">
        <v>44664</v>
      </c>
      <c r="D723" s="1" t="str" cm="1">
        <f t="array" ref="D723">_xlfn.IFS(E723&lt;28, "17-27",
AND(E723&gt;27, E723&lt;38), "28-37",
AND(E723&gt;37, E723 &lt;48), "38-47",
AND(E723&gt;47, E723 &lt;58), "48-57",
AND(E723&gt;57, E723&lt;68), "58-67",
AND(E723&gt;67, E723&lt;78), "68-77",
E723&gt;77,"Above than 77")</f>
        <v>28-37</v>
      </c>
      <c r="E723">
        <v>34</v>
      </c>
      <c r="F723" s="1">
        <v>32423</v>
      </c>
      <c r="G723" s="1" t="str">
        <f>VLOOKUP(H723,Table7[#All], 2, FALSE)</f>
        <v>Massachusetts</v>
      </c>
      <c r="H723" s="2" t="s">
        <v>14</v>
      </c>
      <c r="I723" s="2" t="s">
        <v>15</v>
      </c>
      <c r="J723" s="2" t="s">
        <v>40</v>
      </c>
      <c r="K723" s="2" t="s">
        <v>8</v>
      </c>
      <c r="L723" s="2" t="s">
        <v>9</v>
      </c>
      <c r="M723" s="2" t="s">
        <v>10</v>
      </c>
      <c r="N723" s="2" t="s">
        <v>11</v>
      </c>
      <c r="O723" s="2" t="s">
        <v>12</v>
      </c>
      <c r="P723" s="2" t="s">
        <v>60</v>
      </c>
      <c r="Q723" s="2" t="s">
        <v>37</v>
      </c>
      <c r="R723" s="2" t="s">
        <v>18</v>
      </c>
      <c r="S723">
        <v>4</v>
      </c>
    </row>
    <row r="724" spans="1:19" x14ac:dyDescent="0.3">
      <c r="A724">
        <v>2203</v>
      </c>
      <c r="B724">
        <f>YEAR(Cleaned_HR_Data_Analysis__2[[#This Row],[Joining_Date]])</f>
        <v>2020</v>
      </c>
      <c r="C724" s="1">
        <v>43890</v>
      </c>
      <c r="D724" s="1" t="str" cm="1">
        <f t="array" ref="D724">_xlfn.IFS(E724&lt;28, "17-27",
AND(E724&gt;27, E724&lt;38), "28-37",
AND(E724&gt;37, E724 &lt;48), "38-47",
AND(E724&gt;47, E724 &lt;58), "48-57",
AND(E724&gt;57, E724&lt;68), "58-67",
AND(E724&gt;67, E724&lt;78), "68-77",
E724&gt;77,"Above than 77")</f>
        <v>28-37</v>
      </c>
      <c r="E724">
        <v>34</v>
      </c>
      <c r="F724" s="1">
        <v>31507</v>
      </c>
      <c r="G724" s="1" t="str">
        <f>VLOOKUP(H724,Table7[#All], 2, FALSE)</f>
        <v>Massachusetts</v>
      </c>
      <c r="H724" s="2" t="s">
        <v>14</v>
      </c>
      <c r="I724" s="2" t="s">
        <v>15</v>
      </c>
      <c r="J724" s="2" t="s">
        <v>34</v>
      </c>
      <c r="K724" s="2" t="s">
        <v>8</v>
      </c>
      <c r="L724" s="2" t="s">
        <v>66</v>
      </c>
      <c r="M724" s="2" t="s">
        <v>10</v>
      </c>
      <c r="N724" s="2" t="s">
        <v>19</v>
      </c>
      <c r="O724" s="2" t="s">
        <v>12</v>
      </c>
      <c r="P724" s="2" t="s">
        <v>32</v>
      </c>
      <c r="Q724" s="2" t="s">
        <v>46</v>
      </c>
      <c r="R724" s="2" t="s">
        <v>41</v>
      </c>
      <c r="S724">
        <v>4</v>
      </c>
    </row>
    <row r="725" spans="1:19" x14ac:dyDescent="0.3">
      <c r="A725">
        <v>2173</v>
      </c>
      <c r="B725">
        <f>YEAR(Cleaned_HR_Data_Analysis__2[[#This Row],[Joining_Date]])</f>
        <v>2021</v>
      </c>
      <c r="C725" s="1">
        <v>44422</v>
      </c>
      <c r="D725" s="1" t="str" cm="1">
        <f t="array" ref="D725">_xlfn.IFS(E725&lt;28, "17-27",
AND(E725&gt;27, E725&lt;38), "28-37",
AND(E725&gt;37, E725 &lt;48), "38-47",
AND(E725&gt;47, E725 &lt;58), "48-57",
AND(E725&gt;57, E725&lt;68), "58-67",
AND(E725&gt;67, E725&lt;78), "68-77",
E725&gt;77,"Above than 77")</f>
        <v>28-37</v>
      </c>
      <c r="E725">
        <v>34</v>
      </c>
      <c r="F725" s="1">
        <v>32054</v>
      </c>
      <c r="G725" s="1" t="str">
        <f>VLOOKUP(H725,Table7[#All], 2, FALSE)</f>
        <v>Massachusetts</v>
      </c>
      <c r="H725" s="2" t="s">
        <v>14</v>
      </c>
      <c r="I725" s="2" t="s">
        <v>15</v>
      </c>
      <c r="J725" s="2" t="s">
        <v>40</v>
      </c>
      <c r="K725" s="2" t="s">
        <v>8</v>
      </c>
      <c r="L725" s="2" t="s">
        <v>66</v>
      </c>
      <c r="M725" s="2" t="s">
        <v>10</v>
      </c>
      <c r="N725" s="2" t="s">
        <v>19</v>
      </c>
      <c r="O725" s="2" t="s">
        <v>12</v>
      </c>
      <c r="P725" s="2" t="s">
        <v>42</v>
      </c>
      <c r="Q725" s="2" t="s">
        <v>46</v>
      </c>
      <c r="R725" s="2" t="s">
        <v>41</v>
      </c>
      <c r="S725">
        <v>4</v>
      </c>
    </row>
    <row r="726" spans="1:19" x14ac:dyDescent="0.3">
      <c r="A726">
        <v>2160</v>
      </c>
      <c r="B726">
        <f>YEAR(Cleaned_HR_Data_Analysis__2[[#This Row],[Joining_Date]])</f>
        <v>2022</v>
      </c>
      <c r="C726" s="1">
        <v>44872</v>
      </c>
      <c r="D726" s="1" t="str" cm="1">
        <f t="array" ref="D726">_xlfn.IFS(E726&lt;28, "17-27",
AND(E726&gt;27, E726&lt;38), "28-37",
AND(E726&gt;37, E726 &lt;48), "38-47",
AND(E726&gt;47, E726 &lt;58), "48-57",
AND(E726&gt;57, E726&lt;68), "58-67",
AND(E726&gt;67, E726&lt;78), "68-77",
E726&gt;77,"Above than 77")</f>
        <v>28-37</v>
      </c>
      <c r="E726">
        <v>34</v>
      </c>
      <c r="F726" s="1">
        <v>32285</v>
      </c>
      <c r="G726" s="1" t="str">
        <f>VLOOKUP(H726,Table7[#All], 2, FALSE)</f>
        <v>Massachusetts</v>
      </c>
      <c r="H726" s="2" t="s">
        <v>14</v>
      </c>
      <c r="I726" s="2" t="s">
        <v>15</v>
      </c>
      <c r="J726" s="2" t="s">
        <v>34</v>
      </c>
      <c r="K726" s="2" t="s">
        <v>8</v>
      </c>
      <c r="L726" s="2" t="s">
        <v>9</v>
      </c>
      <c r="M726" s="2" t="s">
        <v>25</v>
      </c>
      <c r="N726" s="2" t="s">
        <v>19</v>
      </c>
      <c r="O726" s="2" t="s">
        <v>12</v>
      </c>
      <c r="P726" s="2" t="s">
        <v>32</v>
      </c>
      <c r="Q726" s="2" t="s">
        <v>30</v>
      </c>
      <c r="R726" s="2" t="s">
        <v>41</v>
      </c>
      <c r="S726">
        <v>1</v>
      </c>
    </row>
    <row r="727" spans="1:19" x14ac:dyDescent="0.3">
      <c r="A727">
        <v>2103</v>
      </c>
      <c r="B727">
        <f>YEAR(Cleaned_HR_Data_Analysis__2[[#This Row],[Joining_Date]])</f>
        <v>2020</v>
      </c>
      <c r="C727" s="1">
        <v>44106</v>
      </c>
      <c r="D727" s="1" t="str" cm="1">
        <f t="array" ref="D727">_xlfn.IFS(E727&lt;28, "17-27",
AND(E727&gt;27, E727&lt;38), "28-37",
AND(E727&gt;37, E727 &lt;48), "38-47",
AND(E727&gt;47, E727 &lt;58), "48-57",
AND(E727&gt;57, E727&lt;68), "58-67",
AND(E727&gt;67, E727&lt;78), "68-77",
E727&gt;77,"Above than 77")</f>
        <v>28-37</v>
      </c>
      <c r="E727">
        <v>34</v>
      </c>
      <c r="F727" s="1">
        <v>31771</v>
      </c>
      <c r="G727" s="1" t="str">
        <f>VLOOKUP(H727,Table7[#All], 2, FALSE)</f>
        <v>Massachusetts</v>
      </c>
      <c r="H727" s="2" t="s">
        <v>14</v>
      </c>
      <c r="I727" s="2" t="s">
        <v>15</v>
      </c>
      <c r="J727" s="2" t="s">
        <v>17</v>
      </c>
      <c r="K727" s="2" t="s">
        <v>8</v>
      </c>
      <c r="L727" s="2" t="s">
        <v>9</v>
      </c>
      <c r="M727" s="2" t="s">
        <v>10</v>
      </c>
      <c r="N727" s="2" t="s">
        <v>19</v>
      </c>
      <c r="O727" s="2" t="s">
        <v>12</v>
      </c>
      <c r="P727" s="2" t="s">
        <v>35</v>
      </c>
      <c r="Q727" s="2" t="s">
        <v>46</v>
      </c>
      <c r="R727" s="2" t="s">
        <v>41</v>
      </c>
      <c r="S727">
        <v>4</v>
      </c>
    </row>
    <row r="728" spans="1:19" x14ac:dyDescent="0.3">
      <c r="A728">
        <v>1907</v>
      </c>
      <c r="B728">
        <f>YEAR(Cleaned_HR_Data_Analysis__2[[#This Row],[Joining_Date]])</f>
        <v>2022</v>
      </c>
      <c r="C728" s="1">
        <v>44697</v>
      </c>
      <c r="D728" s="1" t="str" cm="1">
        <f t="array" ref="D728">_xlfn.IFS(E728&lt;28, "17-27",
AND(E728&gt;27, E728&lt;38), "28-37",
AND(E728&gt;37, E728 &lt;48), "38-47",
AND(E728&gt;47, E728 &lt;58), "48-57",
AND(E728&gt;57, E728&lt;68), "58-67",
AND(E728&gt;67, E728&lt;78), "68-77",
E728&gt;77,"Above than 77")</f>
        <v>28-37</v>
      </c>
      <c r="E728">
        <v>34</v>
      </c>
      <c r="F728" s="1">
        <v>32451</v>
      </c>
      <c r="G728" s="1" t="str">
        <f>VLOOKUP(H728,Table7[#All], 2, FALSE)</f>
        <v>Massachusetts</v>
      </c>
      <c r="H728" s="2" t="s">
        <v>14</v>
      </c>
      <c r="I728" s="2" t="s">
        <v>22</v>
      </c>
      <c r="J728" s="2" t="s">
        <v>17</v>
      </c>
      <c r="K728" s="2" t="s">
        <v>8</v>
      </c>
      <c r="L728" s="2" t="s">
        <v>9</v>
      </c>
      <c r="M728" s="2" t="s">
        <v>25</v>
      </c>
      <c r="N728" s="2" t="s">
        <v>11</v>
      </c>
      <c r="O728" s="2" t="s">
        <v>12</v>
      </c>
      <c r="P728" s="2" t="s">
        <v>35</v>
      </c>
      <c r="Q728" s="2" t="s">
        <v>46</v>
      </c>
      <c r="R728" s="2" t="s">
        <v>18</v>
      </c>
      <c r="S728">
        <v>4</v>
      </c>
    </row>
    <row r="729" spans="1:19" x14ac:dyDescent="0.3">
      <c r="A729">
        <v>1607</v>
      </c>
      <c r="B729">
        <f>YEAR(Cleaned_HR_Data_Analysis__2[[#This Row],[Joining_Date]])</f>
        <v>2021</v>
      </c>
      <c r="C729" s="1">
        <v>44264</v>
      </c>
      <c r="D729" s="1" t="str" cm="1">
        <f t="array" ref="D729">_xlfn.IFS(E729&lt;28, "17-27",
AND(E729&gt;27, E729&lt;38), "28-37",
AND(E729&gt;37, E729 &lt;48), "38-47",
AND(E729&gt;47, E729 &lt;58), "48-57",
AND(E729&gt;57, E729&lt;68), "58-67",
AND(E729&gt;67, E729&lt;78), "68-77",
E729&gt;77,"Above than 77")</f>
        <v>28-37</v>
      </c>
      <c r="E729">
        <v>34</v>
      </c>
      <c r="F729" s="1">
        <v>32121</v>
      </c>
      <c r="G729" s="1" t="str">
        <f>VLOOKUP(H729,Table7[#All], 2, FALSE)</f>
        <v>Massachusetts</v>
      </c>
      <c r="H729" s="2" t="s">
        <v>14</v>
      </c>
      <c r="I729" s="2" t="s">
        <v>15</v>
      </c>
      <c r="J729" s="2" t="s">
        <v>34</v>
      </c>
      <c r="K729" s="2" t="s">
        <v>8</v>
      </c>
      <c r="L729" s="2" t="s">
        <v>9</v>
      </c>
      <c r="M729" s="2" t="s">
        <v>10</v>
      </c>
      <c r="N729" s="2" t="s">
        <v>11</v>
      </c>
      <c r="O729" s="2" t="s">
        <v>12</v>
      </c>
      <c r="P729" s="2" t="s">
        <v>58</v>
      </c>
      <c r="Q729" s="2" t="s">
        <v>23</v>
      </c>
      <c r="R729" s="2" t="s">
        <v>56</v>
      </c>
      <c r="S729">
        <v>5</v>
      </c>
    </row>
    <row r="730" spans="1:19" x14ac:dyDescent="0.3">
      <c r="A730">
        <v>1526</v>
      </c>
      <c r="B730">
        <f>YEAR(Cleaned_HR_Data_Analysis__2[[#This Row],[Joining_Date]])</f>
        <v>2021</v>
      </c>
      <c r="C730" s="1">
        <v>44309</v>
      </c>
      <c r="D730" s="1" t="str" cm="1">
        <f t="array" ref="D730">_xlfn.IFS(E730&lt;28, "17-27",
AND(E730&gt;27, E730&lt;38), "28-37",
AND(E730&gt;37, E730 &lt;48), "38-47",
AND(E730&gt;47, E730 &lt;58), "48-57",
AND(E730&gt;57, E730&lt;68), "58-67",
AND(E730&gt;67, E730&lt;78), "68-77",
E730&gt;77,"Above than 77")</f>
        <v>28-37</v>
      </c>
      <c r="E730">
        <v>34</v>
      </c>
      <c r="F730" s="1">
        <v>31871</v>
      </c>
      <c r="G730" s="1" t="str">
        <f>VLOOKUP(H730,Table7[#All], 2, FALSE)</f>
        <v>Massachusetts</v>
      </c>
      <c r="H730" s="2" t="s">
        <v>14</v>
      </c>
      <c r="I730" s="2" t="s">
        <v>15</v>
      </c>
      <c r="J730" s="2" t="s">
        <v>40</v>
      </c>
      <c r="K730" s="2" t="s">
        <v>8</v>
      </c>
      <c r="L730" s="2" t="s">
        <v>9</v>
      </c>
      <c r="M730" s="2" t="s">
        <v>10</v>
      </c>
      <c r="N730" s="2" t="s">
        <v>26</v>
      </c>
      <c r="O730" s="2" t="s">
        <v>12</v>
      </c>
      <c r="P730" s="2" t="s">
        <v>35</v>
      </c>
      <c r="Q730" s="2" t="s">
        <v>30</v>
      </c>
      <c r="R730" s="2" t="s">
        <v>18</v>
      </c>
      <c r="S730">
        <v>3</v>
      </c>
    </row>
    <row r="731" spans="1:19" x14ac:dyDescent="0.3">
      <c r="A731">
        <v>1500</v>
      </c>
      <c r="B731">
        <f>YEAR(Cleaned_HR_Data_Analysis__2[[#This Row],[Joining_Date]])</f>
        <v>2019</v>
      </c>
      <c r="C731" s="1">
        <v>43598</v>
      </c>
      <c r="D731" s="1" t="str" cm="1">
        <f t="array" ref="D731">_xlfn.IFS(E731&lt;28, "17-27",
AND(E731&gt;27, E731&lt;38), "28-37",
AND(E731&gt;37, E731 &lt;48), "38-47",
AND(E731&gt;47, E731 &lt;58), "48-57",
AND(E731&gt;57, E731&lt;68), "58-67",
AND(E731&gt;67, E731&lt;78), "68-77",
E731&gt;77,"Above than 77")</f>
        <v>28-37</v>
      </c>
      <c r="E731">
        <v>34</v>
      </c>
      <c r="F731" s="1">
        <v>31080</v>
      </c>
      <c r="G731" s="1" t="str">
        <f>VLOOKUP(H731,Table7[#All], 2, FALSE)</f>
        <v>Massachusetts</v>
      </c>
      <c r="H731" s="2" t="s">
        <v>14</v>
      </c>
      <c r="I731" s="2" t="s">
        <v>15</v>
      </c>
      <c r="J731" s="2" t="s">
        <v>40</v>
      </c>
      <c r="K731" s="2" t="s">
        <v>8</v>
      </c>
      <c r="L731" s="2" t="s">
        <v>9</v>
      </c>
      <c r="M731" s="2" t="s">
        <v>20</v>
      </c>
      <c r="N731" s="2" t="s">
        <v>26</v>
      </c>
      <c r="O731" s="2" t="s">
        <v>12</v>
      </c>
      <c r="P731" s="2" t="s">
        <v>35</v>
      </c>
      <c r="Q731" s="2" t="s">
        <v>23</v>
      </c>
      <c r="R731" s="2" t="s">
        <v>18</v>
      </c>
      <c r="S731">
        <v>4</v>
      </c>
    </row>
    <row r="732" spans="1:19" x14ac:dyDescent="0.3">
      <c r="A732">
        <v>1467</v>
      </c>
      <c r="B732">
        <f>YEAR(Cleaned_HR_Data_Analysis__2[[#This Row],[Joining_Date]])</f>
        <v>2023</v>
      </c>
      <c r="C732" s="1">
        <v>45015</v>
      </c>
      <c r="D732" s="1" t="str" cm="1">
        <f t="array" ref="D732">_xlfn.IFS(E732&lt;28, "17-27",
AND(E732&gt;27, E732&lt;38), "28-37",
AND(E732&gt;37, E732 &lt;48), "38-47",
AND(E732&gt;47, E732 &lt;58), "48-57",
AND(E732&gt;57, E732&lt;68), "58-67",
AND(E732&gt;67, E732&lt;78), "68-77",
E732&gt;77,"Above than 77")</f>
        <v>28-37</v>
      </c>
      <c r="E732">
        <v>34</v>
      </c>
      <c r="F732" s="1">
        <v>32614</v>
      </c>
      <c r="G732" s="1" t="str">
        <f>VLOOKUP(H732,Table7[#All], 2, FALSE)</f>
        <v>Massachusetts</v>
      </c>
      <c r="H732" s="2" t="s">
        <v>14</v>
      </c>
      <c r="I732" s="2" t="s">
        <v>15</v>
      </c>
      <c r="J732" s="2" t="s">
        <v>34</v>
      </c>
      <c r="K732" s="2" t="s">
        <v>8</v>
      </c>
      <c r="L732" s="2" t="s">
        <v>9</v>
      </c>
      <c r="M732" s="2" t="s">
        <v>25</v>
      </c>
      <c r="N732" s="2" t="s">
        <v>19</v>
      </c>
      <c r="O732" s="2" t="s">
        <v>12</v>
      </c>
      <c r="P732" s="2" t="s">
        <v>62</v>
      </c>
      <c r="Q732" s="2" t="s">
        <v>37</v>
      </c>
      <c r="R732" s="2" t="s">
        <v>18</v>
      </c>
      <c r="S732">
        <v>4</v>
      </c>
    </row>
    <row r="733" spans="1:19" x14ac:dyDescent="0.3">
      <c r="A733">
        <v>1439</v>
      </c>
      <c r="B733">
        <f>YEAR(Cleaned_HR_Data_Analysis__2[[#This Row],[Joining_Date]])</f>
        <v>2022</v>
      </c>
      <c r="C733" s="1">
        <v>44762</v>
      </c>
      <c r="D733" s="1" t="str" cm="1">
        <f t="array" ref="D733">_xlfn.IFS(E733&lt;28, "17-27",
AND(E733&gt;27, E733&lt;38), "28-37",
AND(E733&gt;37, E733 &lt;48), "38-47",
AND(E733&gt;47, E733 &lt;58), "48-57",
AND(E733&gt;57, E733&lt;68), "58-67",
AND(E733&gt;67, E733&lt;78), "68-77",
E733&gt;77,"Above than 77")</f>
        <v>28-37</v>
      </c>
      <c r="E733">
        <v>34</v>
      </c>
      <c r="F733" s="1">
        <v>32166</v>
      </c>
      <c r="G733" s="1" t="str">
        <f>VLOOKUP(H733,Table7[#All], 2, FALSE)</f>
        <v>Massachusetts</v>
      </c>
      <c r="H733" s="2" t="s">
        <v>14</v>
      </c>
      <c r="I733" s="2" t="s">
        <v>15</v>
      </c>
      <c r="J733" s="2" t="s">
        <v>17</v>
      </c>
      <c r="K733" s="2" t="s">
        <v>8</v>
      </c>
      <c r="L733" s="2" t="s">
        <v>9</v>
      </c>
      <c r="M733" s="2" t="s">
        <v>25</v>
      </c>
      <c r="N733" s="2" t="s">
        <v>19</v>
      </c>
      <c r="O733" s="2" t="s">
        <v>12</v>
      </c>
      <c r="P733" s="2" t="s">
        <v>32</v>
      </c>
      <c r="Q733" s="2" t="s">
        <v>46</v>
      </c>
      <c r="R733" s="2" t="s">
        <v>56</v>
      </c>
      <c r="S733">
        <v>1</v>
      </c>
    </row>
    <row r="734" spans="1:19" x14ac:dyDescent="0.3">
      <c r="A734">
        <v>1284</v>
      </c>
      <c r="B734">
        <f>YEAR(Cleaned_HR_Data_Analysis__2[[#This Row],[Joining_Date]])</f>
        <v>2019</v>
      </c>
      <c r="C734" s="1">
        <v>43807</v>
      </c>
      <c r="D734" s="1" t="str" cm="1">
        <f t="array" ref="D734">_xlfn.IFS(E734&lt;28, "17-27",
AND(E734&gt;27, E734&lt;38), "28-37",
AND(E734&gt;37, E734 &lt;48), "38-47",
AND(E734&gt;47, E734 &lt;58), "48-57",
AND(E734&gt;57, E734&lt;68), "58-67",
AND(E734&gt;67, E734&lt;78), "68-77",
E734&gt;77,"Above than 77")</f>
        <v>28-37</v>
      </c>
      <c r="E734">
        <v>34</v>
      </c>
      <c r="F734" s="1">
        <v>31075</v>
      </c>
      <c r="G734" s="1" t="str">
        <f>VLOOKUP(H734,Table7[#All], 2, FALSE)</f>
        <v>Massachusetts</v>
      </c>
      <c r="H734" s="2" t="s">
        <v>14</v>
      </c>
      <c r="I734" s="2" t="s">
        <v>15</v>
      </c>
      <c r="J734" s="2" t="s">
        <v>34</v>
      </c>
      <c r="K734" s="2" t="s">
        <v>8</v>
      </c>
      <c r="L734" s="2" t="s">
        <v>9</v>
      </c>
      <c r="M734" s="2" t="s">
        <v>10</v>
      </c>
      <c r="N734" s="2" t="s">
        <v>26</v>
      </c>
      <c r="O734" s="2" t="s">
        <v>12</v>
      </c>
      <c r="P734" s="2" t="s">
        <v>38</v>
      </c>
      <c r="Q734" s="2" t="s">
        <v>30</v>
      </c>
      <c r="R734" s="2" t="s">
        <v>18</v>
      </c>
      <c r="S734">
        <v>1</v>
      </c>
    </row>
    <row r="735" spans="1:19" x14ac:dyDescent="0.3">
      <c r="A735">
        <v>1154</v>
      </c>
      <c r="B735">
        <f>YEAR(Cleaned_HR_Data_Analysis__2[[#This Row],[Joining_Date]])</f>
        <v>2021</v>
      </c>
      <c r="C735" s="1">
        <v>44466</v>
      </c>
      <c r="D735" s="1" t="str" cm="1">
        <f t="array" ref="D735">_xlfn.IFS(E735&lt;28, "17-27",
AND(E735&gt;27, E735&lt;38), "28-37",
AND(E735&gt;37, E735 &lt;48), "38-47",
AND(E735&gt;47, E735 &lt;58), "48-57",
AND(E735&gt;57, E735&lt;68), "58-67",
AND(E735&gt;67, E735&lt;78), "68-77",
E735&gt;77,"Above than 77")</f>
        <v>28-37</v>
      </c>
      <c r="E735">
        <v>34</v>
      </c>
      <c r="F735" s="1">
        <v>32082</v>
      </c>
      <c r="G735" s="1" t="str">
        <f>VLOOKUP(H735,Table7[#All], 2, FALSE)</f>
        <v>Massachusetts</v>
      </c>
      <c r="H735" s="2" t="s">
        <v>14</v>
      </c>
      <c r="I735" s="2" t="s">
        <v>15</v>
      </c>
      <c r="J735" s="2" t="s">
        <v>34</v>
      </c>
      <c r="K735" s="2" t="s">
        <v>8</v>
      </c>
      <c r="L735" s="2" t="s">
        <v>66</v>
      </c>
      <c r="M735" s="2" t="s">
        <v>25</v>
      </c>
      <c r="N735" s="2" t="s">
        <v>11</v>
      </c>
      <c r="O735" s="2" t="s">
        <v>12</v>
      </c>
      <c r="P735" s="2" t="s">
        <v>35</v>
      </c>
      <c r="Q735" s="2" t="s">
        <v>16</v>
      </c>
      <c r="R735" s="2" t="s">
        <v>18</v>
      </c>
      <c r="S735">
        <v>3</v>
      </c>
    </row>
    <row r="736" spans="1:19" x14ac:dyDescent="0.3">
      <c r="A736">
        <v>2449</v>
      </c>
      <c r="B736">
        <f>YEAR(Cleaned_HR_Data_Analysis__2[[#This Row],[Joining_Date]])</f>
        <v>2020</v>
      </c>
      <c r="C736" s="1">
        <v>43950</v>
      </c>
      <c r="D736" s="1" t="str" cm="1">
        <f t="array" ref="D736">_xlfn.IFS(E736&lt;28, "17-27",
AND(E736&gt;27, E736&lt;38), "28-37",
AND(E736&gt;37, E736 &lt;48), "38-47",
AND(E736&gt;47, E736 &lt;58), "48-57",
AND(E736&gt;57, E736&lt;68), "58-67",
AND(E736&gt;67, E736&lt;78), "68-77",
E736&gt;77,"Above than 77")</f>
        <v>28-37</v>
      </c>
      <c r="E736">
        <v>34</v>
      </c>
      <c r="F736" s="1">
        <v>31453</v>
      </c>
      <c r="G736" s="1" t="str">
        <f>VLOOKUP(H736,Table7[#All], 2, FALSE)</f>
        <v>Massachusetts</v>
      </c>
      <c r="H736" s="2" t="s">
        <v>14</v>
      </c>
      <c r="I736" s="2" t="s">
        <v>15</v>
      </c>
      <c r="J736" s="2" t="s">
        <v>31</v>
      </c>
      <c r="K736" s="2" t="s">
        <v>91</v>
      </c>
      <c r="L736" s="2" t="s">
        <v>66</v>
      </c>
      <c r="M736" s="2" t="s">
        <v>20</v>
      </c>
      <c r="N736" s="2" t="s">
        <v>26</v>
      </c>
      <c r="O736" s="2" t="s">
        <v>12</v>
      </c>
      <c r="P736" s="2" t="s">
        <v>21</v>
      </c>
      <c r="Q736" s="2" t="s">
        <v>23</v>
      </c>
      <c r="R736" s="2" t="s">
        <v>18</v>
      </c>
      <c r="S736">
        <v>5</v>
      </c>
    </row>
    <row r="737" spans="1:19" x14ac:dyDescent="0.3">
      <c r="A737">
        <v>2341</v>
      </c>
      <c r="B737">
        <f>YEAR(Cleaned_HR_Data_Analysis__2[[#This Row],[Joining_Date]])</f>
        <v>2018</v>
      </c>
      <c r="C737" s="1">
        <v>43386</v>
      </c>
      <c r="D737" s="1" t="str" cm="1">
        <f t="array" ref="D737">_xlfn.IFS(E737&lt;28, "17-27",
AND(E737&gt;27, E737&lt;38), "28-37",
AND(E737&gt;37, E737 &lt;48), "38-47",
AND(E737&gt;47, E737 &lt;58), "48-57",
AND(E737&gt;57, E737&lt;68), "58-67",
AND(E737&gt;67, E737&lt;78), "68-77",
E737&gt;77,"Above than 77")</f>
        <v>28-37</v>
      </c>
      <c r="E737">
        <v>34</v>
      </c>
      <c r="F737" s="1">
        <v>30988</v>
      </c>
      <c r="G737" s="1" t="str">
        <f>VLOOKUP(H737,Table7[#All], 2, FALSE)</f>
        <v>Massachusetts</v>
      </c>
      <c r="H737" s="2" t="s">
        <v>14</v>
      </c>
      <c r="I737" s="2" t="s">
        <v>15</v>
      </c>
      <c r="J737" s="2" t="s">
        <v>40</v>
      </c>
      <c r="K737" s="2" t="s">
        <v>91</v>
      </c>
      <c r="L737" s="2" t="s">
        <v>9</v>
      </c>
      <c r="M737" s="2" t="s">
        <v>25</v>
      </c>
      <c r="N737" s="2" t="s">
        <v>19</v>
      </c>
      <c r="O737" s="2" t="s">
        <v>12</v>
      </c>
      <c r="P737" s="2" t="s">
        <v>28</v>
      </c>
      <c r="Q737" s="2" t="s">
        <v>23</v>
      </c>
      <c r="R737" s="2" t="s">
        <v>18</v>
      </c>
      <c r="S737">
        <v>5</v>
      </c>
    </row>
    <row r="738" spans="1:19" x14ac:dyDescent="0.3">
      <c r="A738">
        <v>2288</v>
      </c>
      <c r="B738">
        <f>YEAR(Cleaned_HR_Data_Analysis__2[[#This Row],[Joining_Date]])</f>
        <v>2018</v>
      </c>
      <c r="C738" s="1">
        <v>43411</v>
      </c>
      <c r="D738" s="1" t="str" cm="1">
        <f t="array" ref="D738">_xlfn.IFS(E738&lt;28, "17-27",
AND(E738&gt;27, E738&lt;38), "28-37",
AND(E738&gt;37, E738 &lt;48), "38-47",
AND(E738&gt;47, E738 &lt;58), "48-57",
AND(E738&gt;57, E738&lt;68), "58-67",
AND(E738&gt;67, E738&lt;78), "68-77",
E738&gt;77,"Above than 77")</f>
        <v>28-37</v>
      </c>
      <c r="E738">
        <v>34</v>
      </c>
      <c r="F738" s="1">
        <v>30934</v>
      </c>
      <c r="G738" s="1" t="str">
        <f>VLOOKUP(H738,Table7[#All], 2, FALSE)</f>
        <v>Massachusetts</v>
      </c>
      <c r="H738" s="2" t="s">
        <v>14</v>
      </c>
      <c r="I738" s="2" t="s">
        <v>15</v>
      </c>
      <c r="J738" s="2" t="s">
        <v>40</v>
      </c>
      <c r="K738" s="2" t="s">
        <v>91</v>
      </c>
      <c r="L738" s="2" t="s">
        <v>9</v>
      </c>
      <c r="M738" s="2" t="s">
        <v>25</v>
      </c>
      <c r="N738" s="2" t="s">
        <v>19</v>
      </c>
      <c r="O738" s="2" t="s">
        <v>12</v>
      </c>
      <c r="P738" s="2" t="s">
        <v>55</v>
      </c>
      <c r="Q738" s="2" t="s">
        <v>37</v>
      </c>
      <c r="R738" s="2" t="s">
        <v>18</v>
      </c>
      <c r="S738">
        <v>1</v>
      </c>
    </row>
    <row r="739" spans="1:19" x14ac:dyDescent="0.3">
      <c r="A739">
        <v>2369</v>
      </c>
      <c r="B739">
        <f>YEAR(Cleaned_HR_Data_Analysis__2[[#This Row],[Joining_Date]])</f>
        <v>2021</v>
      </c>
      <c r="C739" s="1">
        <v>44488</v>
      </c>
      <c r="D739" s="1" t="str" cm="1">
        <f t="array" ref="D739">_xlfn.IFS(E739&lt;28, "17-27",
AND(E739&gt;27, E739&lt;38), "28-37",
AND(E739&gt;37, E739 &lt;48), "38-47",
AND(E739&gt;47, E739 &lt;58), "48-57",
AND(E739&gt;57, E739&lt;68), "58-67",
AND(E739&gt;67, E739&lt;78), "68-77",
E739&gt;77,"Above than 77")</f>
        <v>28-37</v>
      </c>
      <c r="E739">
        <v>34</v>
      </c>
      <c r="F739" s="1">
        <v>32036</v>
      </c>
      <c r="G739" s="1" t="str">
        <f>VLOOKUP(H739,Table7[#All], 2, FALSE)</f>
        <v>Massachusetts</v>
      </c>
      <c r="H739" s="2" t="s">
        <v>14</v>
      </c>
      <c r="I739" s="2" t="s">
        <v>22</v>
      </c>
      <c r="J739" s="2" t="s">
        <v>40</v>
      </c>
      <c r="K739" s="2" t="s">
        <v>71</v>
      </c>
      <c r="L739" s="2" t="s">
        <v>9</v>
      </c>
      <c r="M739" s="2" t="s">
        <v>20</v>
      </c>
      <c r="N739" s="2" t="s">
        <v>26</v>
      </c>
      <c r="O739" s="2" t="s">
        <v>12</v>
      </c>
      <c r="P739" s="2" t="s">
        <v>35</v>
      </c>
      <c r="Q739" s="2" t="s">
        <v>30</v>
      </c>
      <c r="R739" s="2" t="s">
        <v>18</v>
      </c>
      <c r="S739">
        <v>2</v>
      </c>
    </row>
    <row r="740" spans="1:19" x14ac:dyDescent="0.3">
      <c r="A740">
        <v>3950</v>
      </c>
      <c r="B740">
        <f>YEAR(Cleaned_HR_Data_Analysis__2[[#This Row],[Joining_Date]])</f>
        <v>2023</v>
      </c>
      <c r="C740" s="1">
        <v>45119</v>
      </c>
      <c r="D740" s="1" t="str" cm="1">
        <f t="array" ref="D740">_xlfn.IFS(E740&lt;28, "17-27",
AND(E740&gt;27, E740&lt;38), "28-37",
AND(E740&gt;37, E740 &lt;48), "38-47",
AND(E740&gt;47, E740 &lt;58), "48-57",
AND(E740&gt;57, E740&lt;68), "58-67",
AND(E740&gt;67, E740&lt;78), "68-77",
E740&gt;77,"Above than 77")</f>
        <v>28-37</v>
      </c>
      <c r="E740">
        <v>34</v>
      </c>
      <c r="F740" s="1">
        <v>32537</v>
      </c>
      <c r="G740" s="1" t="str">
        <f>VLOOKUP(H740,Table7[#All], 2, FALSE)</f>
        <v>Massachusetts</v>
      </c>
      <c r="H740" s="2" t="s">
        <v>14</v>
      </c>
      <c r="I740" s="2" t="s">
        <v>15</v>
      </c>
      <c r="J740" s="2" t="s">
        <v>17</v>
      </c>
      <c r="K740" s="2" t="s">
        <v>77</v>
      </c>
      <c r="L740" s="2" t="s">
        <v>9</v>
      </c>
      <c r="M740" s="2" t="s">
        <v>25</v>
      </c>
      <c r="N740" s="2" t="s">
        <v>19</v>
      </c>
      <c r="O740" s="2" t="s">
        <v>53</v>
      </c>
      <c r="P740" s="2" t="s">
        <v>55</v>
      </c>
      <c r="Q740" s="2" t="s">
        <v>23</v>
      </c>
      <c r="R740" s="2" t="s">
        <v>18</v>
      </c>
      <c r="S740">
        <v>3</v>
      </c>
    </row>
    <row r="741" spans="1:19" x14ac:dyDescent="0.3">
      <c r="A741">
        <v>3959</v>
      </c>
      <c r="B741">
        <f>YEAR(Cleaned_HR_Data_Analysis__2[[#This Row],[Joining_Date]])</f>
        <v>2022</v>
      </c>
      <c r="C741" s="1">
        <v>44876</v>
      </c>
      <c r="D741" s="1" t="str" cm="1">
        <f t="array" ref="D741">_xlfn.IFS(E741&lt;28, "17-27",
AND(E741&gt;27, E741&lt;38), "28-37",
AND(E741&gt;37, E741 &lt;48), "38-47",
AND(E741&gt;47, E741 &lt;58), "48-57",
AND(E741&gt;57, E741&lt;68), "58-67",
AND(E741&gt;67, E741&lt;78), "68-77",
E741&gt;77,"Above than 77")</f>
        <v>28-37</v>
      </c>
      <c r="E741">
        <v>34</v>
      </c>
      <c r="F741" s="1">
        <v>32375</v>
      </c>
      <c r="G741" s="1" t="str">
        <f>VLOOKUP(H741,Table7[#All], 2, FALSE)</f>
        <v>Texas</v>
      </c>
      <c r="H741" s="2" t="s">
        <v>45</v>
      </c>
      <c r="I741" s="2" t="s">
        <v>22</v>
      </c>
      <c r="J741" s="2" t="s">
        <v>31</v>
      </c>
      <c r="K741" s="2" t="s">
        <v>81</v>
      </c>
      <c r="L741" s="2" t="s">
        <v>66</v>
      </c>
      <c r="M741" s="2" t="s">
        <v>20</v>
      </c>
      <c r="N741" s="2" t="s">
        <v>19</v>
      </c>
      <c r="O741" s="2" t="s">
        <v>53</v>
      </c>
      <c r="P741" s="2" t="s">
        <v>32</v>
      </c>
      <c r="Q741" s="2" t="s">
        <v>23</v>
      </c>
      <c r="R741" s="2" t="s">
        <v>18</v>
      </c>
      <c r="S741">
        <v>4</v>
      </c>
    </row>
    <row r="742" spans="1:19" x14ac:dyDescent="0.3">
      <c r="A742">
        <v>1641</v>
      </c>
      <c r="B742">
        <f>YEAR(Cleaned_HR_Data_Analysis__2[[#This Row],[Joining_Date]])</f>
        <v>2023</v>
      </c>
      <c r="C742" s="1">
        <v>44994</v>
      </c>
      <c r="D742" s="1" t="str" cm="1">
        <f t="array" ref="D742">_xlfn.IFS(E742&lt;28, "17-27",
AND(E742&gt;27, E742&lt;38), "28-37",
AND(E742&gt;37, E742 &lt;48), "38-47",
AND(E742&gt;47, E742 &lt;58), "48-57",
AND(E742&gt;57, E742&lt;68), "58-67",
AND(E742&gt;67, E742&lt;78), "68-77",
E742&gt;77,"Above than 77")</f>
        <v>28-37</v>
      </c>
      <c r="E742">
        <v>34</v>
      </c>
      <c r="F742" s="1">
        <v>32787</v>
      </c>
      <c r="G742" s="1" t="str">
        <f>VLOOKUP(H742,Table7[#All], 2, FALSE)</f>
        <v>Massachusetts</v>
      </c>
      <c r="H742" s="2" t="s">
        <v>14</v>
      </c>
      <c r="I742" s="2" t="s">
        <v>15</v>
      </c>
      <c r="J742" s="2" t="s">
        <v>34</v>
      </c>
      <c r="K742" s="2" t="s">
        <v>97</v>
      </c>
      <c r="L742" s="2" t="s">
        <v>66</v>
      </c>
      <c r="M742" s="2" t="s">
        <v>20</v>
      </c>
      <c r="N742" s="2" t="s">
        <v>11</v>
      </c>
      <c r="O742" s="2" t="s">
        <v>53</v>
      </c>
      <c r="P742" s="2" t="s">
        <v>35</v>
      </c>
      <c r="Q742" s="2" t="s">
        <v>30</v>
      </c>
      <c r="R742" s="2" t="s">
        <v>18</v>
      </c>
      <c r="S742">
        <v>4</v>
      </c>
    </row>
    <row r="743" spans="1:19" x14ac:dyDescent="0.3">
      <c r="A743">
        <v>2614</v>
      </c>
      <c r="B743">
        <f>YEAR(Cleaned_HR_Data_Analysis__2[[#This Row],[Joining_Date]])</f>
        <v>2021</v>
      </c>
      <c r="C743" s="1">
        <v>44329</v>
      </c>
      <c r="D743" s="1" t="str" cm="1">
        <f t="array" ref="D743">_xlfn.IFS(E743&lt;28, "17-27",
AND(E743&gt;27, E743&lt;38), "28-37",
AND(E743&gt;37, E743 &lt;48), "38-47",
AND(E743&gt;47, E743 &lt;58), "48-57",
AND(E743&gt;57, E743&lt;68), "58-67",
AND(E743&gt;67, E743&lt;78), "68-77",
E743&gt;77,"Above than 77")</f>
        <v>28-37</v>
      </c>
      <c r="E743">
        <v>34</v>
      </c>
      <c r="F743" s="1">
        <v>31850</v>
      </c>
      <c r="G743" s="1" t="str">
        <f>VLOOKUP(H743,Table7[#All], 2, FALSE)</f>
        <v>Idaho</v>
      </c>
      <c r="H743" s="2" t="s">
        <v>111</v>
      </c>
      <c r="I743" s="2" t="s">
        <v>22</v>
      </c>
      <c r="J743" s="2" t="s">
        <v>40</v>
      </c>
      <c r="K743" s="2" t="s">
        <v>24</v>
      </c>
      <c r="L743" s="2" t="s">
        <v>9</v>
      </c>
      <c r="M743" s="2" t="s">
        <v>20</v>
      </c>
      <c r="N743" s="2" t="s">
        <v>19</v>
      </c>
      <c r="O743" s="2" t="s">
        <v>27</v>
      </c>
      <c r="P743" s="2" t="s">
        <v>35</v>
      </c>
      <c r="Q743" s="2" t="s">
        <v>37</v>
      </c>
      <c r="R743" s="2" t="s">
        <v>18</v>
      </c>
      <c r="S743">
        <v>1</v>
      </c>
    </row>
    <row r="744" spans="1:19" x14ac:dyDescent="0.3">
      <c r="A744">
        <v>3516</v>
      </c>
      <c r="B744">
        <f>YEAR(Cleaned_HR_Data_Analysis__2[[#This Row],[Joining_Date]])</f>
        <v>2022</v>
      </c>
      <c r="C744" s="1">
        <v>44658</v>
      </c>
      <c r="D744" s="1" t="str" cm="1">
        <f t="array" ref="D744">_xlfn.IFS(E744&lt;28, "17-27",
AND(E744&gt;27, E744&lt;38), "28-37",
AND(E744&gt;37, E744 &lt;48), "38-47",
AND(E744&gt;47, E744 &lt;58), "48-57",
AND(E744&gt;57, E744&lt;68), "58-67",
AND(E744&gt;67, E744&lt;78), "68-77",
E744&gt;77,"Above than 77")</f>
        <v>28-37</v>
      </c>
      <c r="E744">
        <v>34</v>
      </c>
      <c r="F744" s="1">
        <v>32319</v>
      </c>
      <c r="G744" s="1" t="str">
        <f>VLOOKUP(H744,Table7[#All], 2, FALSE)</f>
        <v>Colorado</v>
      </c>
      <c r="H744" s="2" t="s">
        <v>50</v>
      </c>
      <c r="I744" s="2" t="s">
        <v>22</v>
      </c>
      <c r="J744" s="2" t="s">
        <v>40</v>
      </c>
      <c r="K744" s="2" t="s">
        <v>24</v>
      </c>
      <c r="L744" s="2" t="s">
        <v>9</v>
      </c>
      <c r="M744" s="2" t="s">
        <v>10</v>
      </c>
      <c r="N744" s="2" t="s">
        <v>26</v>
      </c>
      <c r="O744" s="2" t="s">
        <v>27</v>
      </c>
      <c r="P744" s="2" t="s">
        <v>54</v>
      </c>
      <c r="Q744" s="2" t="s">
        <v>46</v>
      </c>
      <c r="R744" s="2" t="s">
        <v>18</v>
      </c>
      <c r="S744">
        <v>3</v>
      </c>
    </row>
    <row r="745" spans="1:19" x14ac:dyDescent="0.3">
      <c r="A745">
        <v>1342</v>
      </c>
      <c r="B745">
        <f>YEAR(Cleaned_HR_Data_Analysis__2[[#This Row],[Joining_Date]])</f>
        <v>2019</v>
      </c>
      <c r="C745" s="1">
        <v>43638</v>
      </c>
      <c r="D745" s="1" t="str" cm="1">
        <f t="array" ref="D745">_xlfn.IFS(E745&lt;28, "17-27",
AND(E745&gt;27, E745&lt;38), "28-37",
AND(E745&gt;37, E745 &lt;48), "38-47",
AND(E745&gt;47, E745 &lt;58), "48-57",
AND(E745&gt;57, E745&lt;68), "58-67",
AND(E745&gt;67, E745&lt;78), "68-77",
E745&gt;77,"Above than 77")</f>
        <v>28-37</v>
      </c>
      <c r="E745">
        <v>34</v>
      </c>
      <c r="F745" s="1">
        <v>31228</v>
      </c>
      <c r="G745" s="1" t="str">
        <f>VLOOKUP(H745,Table7[#All], 2, FALSE)</f>
        <v>Massachusetts</v>
      </c>
      <c r="H745" s="2" t="s">
        <v>14</v>
      </c>
      <c r="I745" s="2" t="s">
        <v>15</v>
      </c>
      <c r="J745" s="2" t="s">
        <v>31</v>
      </c>
      <c r="K745" s="2" t="s">
        <v>96</v>
      </c>
      <c r="L745" s="2" t="s">
        <v>9</v>
      </c>
      <c r="M745" s="2" t="s">
        <v>25</v>
      </c>
      <c r="N745" s="2" t="s">
        <v>26</v>
      </c>
      <c r="O745" s="2" t="s">
        <v>90</v>
      </c>
      <c r="P745" s="2" t="s">
        <v>21</v>
      </c>
      <c r="Q745" s="2" t="s">
        <v>46</v>
      </c>
      <c r="R745" s="2" t="s">
        <v>18</v>
      </c>
      <c r="S745">
        <v>2</v>
      </c>
    </row>
    <row r="746" spans="1:19" x14ac:dyDescent="0.3">
      <c r="A746">
        <v>2551</v>
      </c>
      <c r="B746">
        <f>YEAR(Cleaned_HR_Data_Analysis__2[[#This Row],[Joining_Date]])</f>
        <v>2023</v>
      </c>
      <c r="C746" s="1">
        <v>45050</v>
      </c>
      <c r="D746" s="1" t="str" cm="1">
        <f t="array" ref="D746">_xlfn.IFS(E746&lt;28, "17-27",
AND(E746&gt;27, E746&lt;38), "28-37",
AND(E746&gt;37, E746 &lt;48), "38-47",
AND(E746&gt;47, E746 &lt;58), "48-57",
AND(E746&gt;57, E746&lt;68), "58-67",
AND(E746&gt;67, E746&lt;78), "68-77",
E746&gt;77,"Above than 77")</f>
        <v>28-37</v>
      </c>
      <c r="E746">
        <v>35</v>
      </c>
      <c r="F746" s="1">
        <v>32275</v>
      </c>
      <c r="G746" s="1" t="str">
        <f>VLOOKUP(H746,Table7[#All], 2, FALSE)</f>
        <v>Massachusetts</v>
      </c>
      <c r="H746" s="2" t="s">
        <v>14</v>
      </c>
      <c r="I746" s="2" t="s">
        <v>15</v>
      </c>
      <c r="J746" s="2" t="s">
        <v>17</v>
      </c>
      <c r="K746" s="2" t="s">
        <v>86</v>
      </c>
      <c r="L746" s="2" t="s">
        <v>9</v>
      </c>
      <c r="M746" s="2" t="s">
        <v>25</v>
      </c>
      <c r="N746" s="2" t="s">
        <v>26</v>
      </c>
      <c r="O746" s="2" t="s">
        <v>87</v>
      </c>
      <c r="P746" s="2" t="s">
        <v>32</v>
      </c>
      <c r="Q746" s="2" t="s">
        <v>30</v>
      </c>
      <c r="R746" s="2" t="s">
        <v>18</v>
      </c>
      <c r="S746">
        <v>2</v>
      </c>
    </row>
    <row r="747" spans="1:19" x14ac:dyDescent="0.3">
      <c r="A747">
        <v>1064</v>
      </c>
      <c r="B747">
        <f>YEAR(Cleaned_HR_Data_Analysis__2[[#This Row],[Joining_Date]])</f>
        <v>2022</v>
      </c>
      <c r="C747" s="1">
        <v>44650</v>
      </c>
      <c r="D747" s="1" t="str" cm="1">
        <f t="array" ref="D747">_xlfn.IFS(E747&lt;28, "17-27",
AND(E747&gt;27, E747&lt;38), "28-37",
AND(E747&gt;37, E747 &lt;48), "38-47",
AND(E747&gt;47, E747 &lt;58), "48-57",
AND(E747&gt;57, E747&lt;68), "58-67",
AND(E747&gt;67, E747&lt;78), "68-77",
E747&gt;77,"Above than 77")</f>
        <v>28-37</v>
      </c>
      <c r="E747">
        <v>35</v>
      </c>
      <c r="F747" s="1">
        <v>31832</v>
      </c>
      <c r="G747" s="1" t="str">
        <f>VLOOKUP(H747,Table7[#All], 2, FALSE)</f>
        <v>Massachusetts</v>
      </c>
      <c r="H747" s="2" t="s">
        <v>14</v>
      </c>
      <c r="I747" s="2" t="s">
        <v>22</v>
      </c>
      <c r="J747" s="2" t="s">
        <v>40</v>
      </c>
      <c r="K747" s="2" t="s">
        <v>86</v>
      </c>
      <c r="L747" s="2" t="s">
        <v>66</v>
      </c>
      <c r="M747" s="2" t="s">
        <v>20</v>
      </c>
      <c r="N747" s="2" t="s">
        <v>19</v>
      </c>
      <c r="O747" s="2" t="s">
        <v>87</v>
      </c>
      <c r="P747" s="2" t="s">
        <v>35</v>
      </c>
      <c r="Q747" s="2" t="s">
        <v>16</v>
      </c>
      <c r="R747" s="2" t="s">
        <v>18</v>
      </c>
      <c r="S747">
        <v>4</v>
      </c>
    </row>
    <row r="748" spans="1:19" x14ac:dyDescent="0.3">
      <c r="A748">
        <v>3304</v>
      </c>
      <c r="B748">
        <f>YEAR(Cleaned_HR_Data_Analysis__2[[#This Row],[Joining_Date]])</f>
        <v>2019</v>
      </c>
      <c r="C748" s="1">
        <v>43557</v>
      </c>
      <c r="D748" s="1" t="str" cm="1">
        <f t="array" ref="D748">_xlfn.IFS(E748&lt;28, "17-27",
AND(E748&gt;27, E748&lt;38), "28-37",
AND(E748&gt;37, E748 &lt;48), "38-47",
AND(E748&gt;47, E748 &lt;58), "48-57",
AND(E748&gt;57, E748&lt;68), "58-67",
AND(E748&gt;67, E748&lt;78), "68-77",
E748&gt;77,"Above than 77")</f>
        <v>28-37</v>
      </c>
      <c r="E748">
        <v>35</v>
      </c>
      <c r="F748" s="1">
        <v>31023</v>
      </c>
      <c r="G748" s="1" t="str">
        <f>VLOOKUP(H748,Table7[#All], 2, FALSE)</f>
        <v>Massachusetts</v>
      </c>
      <c r="H748" s="2" t="s">
        <v>14</v>
      </c>
      <c r="I748" s="2" t="s">
        <v>15</v>
      </c>
      <c r="J748" s="2" t="s">
        <v>31</v>
      </c>
      <c r="K748" s="2" t="s">
        <v>64</v>
      </c>
      <c r="L748" s="2" t="s">
        <v>9</v>
      </c>
      <c r="M748" s="2" t="s">
        <v>20</v>
      </c>
      <c r="N748" s="2" t="s">
        <v>19</v>
      </c>
      <c r="O748" s="2" t="s">
        <v>12</v>
      </c>
      <c r="P748" s="2" t="s">
        <v>59</v>
      </c>
      <c r="Q748" s="2" t="s">
        <v>30</v>
      </c>
      <c r="R748" s="2" t="s">
        <v>18</v>
      </c>
      <c r="S748">
        <v>4</v>
      </c>
    </row>
    <row r="749" spans="1:19" x14ac:dyDescent="0.3">
      <c r="A749">
        <v>3237</v>
      </c>
      <c r="B749">
        <f>YEAR(Cleaned_HR_Data_Analysis__2[[#This Row],[Joining_Date]])</f>
        <v>2022</v>
      </c>
      <c r="C749" s="1">
        <v>44886</v>
      </c>
      <c r="D749" s="1" t="str" cm="1">
        <f t="array" ref="D749">_xlfn.IFS(E749&lt;28, "17-27",
AND(E749&gt;27, E749&lt;38), "28-37",
AND(E749&gt;37, E749 &lt;48), "38-47",
AND(E749&gt;47, E749 &lt;58), "48-57",
AND(E749&gt;57, E749&lt;68), "58-67",
AND(E749&gt;67, E749&lt;78), "68-77",
E749&gt;77,"Above than 77")</f>
        <v>28-37</v>
      </c>
      <c r="E749">
        <v>35</v>
      </c>
      <c r="F749" s="1">
        <v>32119</v>
      </c>
      <c r="G749" s="1" t="str">
        <f>VLOOKUP(H749,Table7[#All], 2, FALSE)</f>
        <v>Massachusetts</v>
      </c>
      <c r="H749" s="2" t="s">
        <v>14</v>
      </c>
      <c r="I749" s="2" t="s">
        <v>22</v>
      </c>
      <c r="J749" s="2" t="s">
        <v>34</v>
      </c>
      <c r="K749" s="2" t="s">
        <v>64</v>
      </c>
      <c r="L749" s="2" t="s">
        <v>9</v>
      </c>
      <c r="M749" s="2" t="s">
        <v>10</v>
      </c>
      <c r="N749" s="2" t="s">
        <v>26</v>
      </c>
      <c r="O749" s="2" t="s">
        <v>12</v>
      </c>
      <c r="P749" s="2" t="s">
        <v>38</v>
      </c>
      <c r="Q749" s="2" t="s">
        <v>16</v>
      </c>
      <c r="R749" s="2" t="s">
        <v>18</v>
      </c>
      <c r="S749">
        <v>1</v>
      </c>
    </row>
    <row r="750" spans="1:19" x14ac:dyDescent="0.3">
      <c r="A750">
        <v>3157</v>
      </c>
      <c r="B750">
        <f>YEAR(Cleaned_HR_Data_Analysis__2[[#This Row],[Joining_Date]])</f>
        <v>2019</v>
      </c>
      <c r="C750" s="1">
        <v>43534</v>
      </c>
      <c r="D750" s="1" t="str" cm="1">
        <f t="array" ref="D750">_xlfn.IFS(E750&lt;28, "17-27",
AND(E750&gt;27, E750&lt;38), "28-37",
AND(E750&gt;37, E750 &lt;48), "38-47",
AND(E750&gt;47, E750 &lt;58), "48-57",
AND(E750&gt;57, E750&lt;68), "58-67",
AND(E750&gt;67, E750&lt;78), "68-77",
E750&gt;77,"Above than 77")</f>
        <v>28-37</v>
      </c>
      <c r="E750">
        <v>35</v>
      </c>
      <c r="F750" s="1">
        <v>30757</v>
      </c>
      <c r="G750" s="1" t="str">
        <f>VLOOKUP(H750,Table7[#All], 2, FALSE)</f>
        <v>Massachusetts</v>
      </c>
      <c r="H750" s="2" t="s">
        <v>14</v>
      </c>
      <c r="I750" s="2" t="s">
        <v>15</v>
      </c>
      <c r="J750" s="2" t="s">
        <v>40</v>
      </c>
      <c r="K750" s="2" t="s">
        <v>64</v>
      </c>
      <c r="L750" s="2" t="s">
        <v>9</v>
      </c>
      <c r="M750" s="2" t="s">
        <v>10</v>
      </c>
      <c r="N750" s="2" t="s">
        <v>19</v>
      </c>
      <c r="O750" s="2" t="s">
        <v>12</v>
      </c>
      <c r="P750" s="2" t="s">
        <v>67</v>
      </c>
      <c r="Q750" s="2" t="s">
        <v>16</v>
      </c>
      <c r="R750" s="2" t="s">
        <v>41</v>
      </c>
      <c r="S750">
        <v>1</v>
      </c>
    </row>
    <row r="751" spans="1:19" x14ac:dyDescent="0.3">
      <c r="A751">
        <v>3138</v>
      </c>
      <c r="B751">
        <f>YEAR(Cleaned_HR_Data_Analysis__2[[#This Row],[Joining_Date]])</f>
        <v>2022</v>
      </c>
      <c r="C751" s="1">
        <v>44920</v>
      </c>
      <c r="D751" s="1" t="str" cm="1">
        <f t="array" ref="D751">_xlfn.IFS(E751&lt;28, "17-27",
AND(E751&gt;27, E751&lt;38), "28-37",
AND(E751&gt;37, E751 &lt;48), "38-47",
AND(E751&gt;47, E751 &lt;58), "48-57",
AND(E751&gt;57, E751&lt;68), "58-67",
AND(E751&gt;67, E751&lt;78), "68-77",
E751&gt;77,"Above than 77")</f>
        <v>28-37</v>
      </c>
      <c r="E751">
        <v>35</v>
      </c>
      <c r="F751" s="1">
        <v>31874</v>
      </c>
      <c r="G751" s="1" t="str">
        <f>VLOOKUP(H751,Table7[#All], 2, FALSE)</f>
        <v>Massachusetts</v>
      </c>
      <c r="H751" s="2" t="s">
        <v>14</v>
      </c>
      <c r="I751" s="2" t="s">
        <v>15</v>
      </c>
      <c r="J751" s="2" t="s">
        <v>31</v>
      </c>
      <c r="K751" s="2" t="s">
        <v>64</v>
      </c>
      <c r="L751" s="2" t="s">
        <v>66</v>
      </c>
      <c r="M751" s="2" t="s">
        <v>10</v>
      </c>
      <c r="N751" s="2" t="s">
        <v>19</v>
      </c>
      <c r="O751" s="2" t="s">
        <v>12</v>
      </c>
      <c r="P751" s="2" t="s">
        <v>35</v>
      </c>
      <c r="Q751" s="2" t="s">
        <v>37</v>
      </c>
      <c r="R751" s="2" t="s">
        <v>18</v>
      </c>
      <c r="S751">
        <v>3</v>
      </c>
    </row>
    <row r="752" spans="1:19" x14ac:dyDescent="0.3">
      <c r="A752">
        <v>3073</v>
      </c>
      <c r="B752">
        <f>YEAR(Cleaned_HR_Data_Analysis__2[[#This Row],[Joining_Date]])</f>
        <v>2022</v>
      </c>
      <c r="C752" s="1">
        <v>44860</v>
      </c>
      <c r="D752" s="1" t="str" cm="1">
        <f t="array" ref="D752">_xlfn.IFS(E752&lt;28, "17-27",
AND(E752&gt;27, E752&lt;38), "28-37",
AND(E752&gt;37, E752 &lt;48), "38-47",
AND(E752&gt;47, E752 &lt;58), "48-57",
AND(E752&gt;57, E752&lt;68), "58-67",
AND(E752&gt;67, E752&lt;78), "68-77",
E752&gt;77,"Above than 77")</f>
        <v>28-37</v>
      </c>
      <c r="E752">
        <v>35</v>
      </c>
      <c r="F752" s="1">
        <v>31893</v>
      </c>
      <c r="G752" s="1" t="str">
        <f>VLOOKUP(H752,Table7[#All], 2, FALSE)</f>
        <v>Massachusetts</v>
      </c>
      <c r="H752" s="2" t="s">
        <v>14</v>
      </c>
      <c r="I752" s="2" t="s">
        <v>15</v>
      </c>
      <c r="J752" s="2" t="s">
        <v>31</v>
      </c>
      <c r="K752" s="2" t="s">
        <v>64</v>
      </c>
      <c r="L752" s="2" t="s">
        <v>66</v>
      </c>
      <c r="M752" s="2" t="s">
        <v>10</v>
      </c>
      <c r="N752" s="2" t="s">
        <v>19</v>
      </c>
      <c r="O752" s="2" t="s">
        <v>12</v>
      </c>
      <c r="P752" s="2" t="s">
        <v>32</v>
      </c>
      <c r="Q752" s="2" t="s">
        <v>37</v>
      </c>
      <c r="R752" s="2" t="s">
        <v>18</v>
      </c>
      <c r="S752">
        <v>3</v>
      </c>
    </row>
    <row r="753" spans="1:19" x14ac:dyDescent="0.3">
      <c r="A753">
        <v>2756</v>
      </c>
      <c r="B753">
        <f>YEAR(Cleaned_HR_Data_Analysis__2[[#This Row],[Joining_Date]])</f>
        <v>2021</v>
      </c>
      <c r="C753" s="1">
        <v>44321</v>
      </c>
      <c r="D753" s="1" t="str" cm="1">
        <f t="array" ref="D753">_xlfn.IFS(E753&lt;28, "17-27",
AND(E753&gt;27, E753&lt;38), "28-37",
AND(E753&gt;37, E753 &lt;48), "38-47",
AND(E753&gt;47, E753 &lt;58), "48-57",
AND(E753&gt;57, E753&lt;68), "58-67",
AND(E753&gt;67, E753&lt;78), "68-77",
E753&gt;77,"Above than 77")</f>
        <v>28-37</v>
      </c>
      <c r="E753">
        <v>35</v>
      </c>
      <c r="F753" s="1">
        <v>31614</v>
      </c>
      <c r="G753" s="1" t="str">
        <f>VLOOKUP(H753,Table7[#All], 2, FALSE)</f>
        <v>Massachusetts</v>
      </c>
      <c r="H753" s="2" t="s">
        <v>14</v>
      </c>
      <c r="I753" s="2" t="s">
        <v>22</v>
      </c>
      <c r="J753" s="2" t="s">
        <v>40</v>
      </c>
      <c r="K753" s="2" t="s">
        <v>64</v>
      </c>
      <c r="L753" s="2" t="s">
        <v>9</v>
      </c>
      <c r="M753" s="2" t="s">
        <v>20</v>
      </c>
      <c r="N753" s="2" t="s">
        <v>19</v>
      </c>
      <c r="O753" s="2" t="s">
        <v>12</v>
      </c>
      <c r="P753" s="2" t="s">
        <v>35</v>
      </c>
      <c r="Q753" s="2" t="s">
        <v>16</v>
      </c>
      <c r="R753" s="2" t="s">
        <v>18</v>
      </c>
      <c r="S753">
        <v>3</v>
      </c>
    </row>
    <row r="754" spans="1:19" x14ac:dyDescent="0.3">
      <c r="A754">
        <v>1517</v>
      </c>
      <c r="B754">
        <f>YEAR(Cleaned_HR_Data_Analysis__2[[#This Row],[Joining_Date]])</f>
        <v>2021</v>
      </c>
      <c r="C754" s="1">
        <v>44532</v>
      </c>
      <c r="D754" s="1" t="str" cm="1">
        <f t="array" ref="D754">_xlfn.IFS(E754&lt;28, "17-27",
AND(E754&gt;27, E754&lt;38), "28-37",
AND(E754&gt;37, E754 &lt;48), "38-47",
AND(E754&gt;47, E754 &lt;58), "48-57",
AND(E754&gt;57, E754&lt;68), "58-67",
AND(E754&gt;67, E754&lt;78), "68-77",
E754&gt;77,"Above than 77")</f>
        <v>28-37</v>
      </c>
      <c r="E754">
        <v>35</v>
      </c>
      <c r="F754" s="1">
        <v>31476</v>
      </c>
      <c r="G754" s="1" t="str">
        <f>VLOOKUP(H754,Table7[#All], 2, FALSE)</f>
        <v>Massachusetts</v>
      </c>
      <c r="H754" s="2" t="s">
        <v>14</v>
      </c>
      <c r="I754" s="2" t="s">
        <v>22</v>
      </c>
      <c r="J754" s="2" t="s">
        <v>34</v>
      </c>
      <c r="K754" s="2" t="s">
        <v>64</v>
      </c>
      <c r="L754" s="2" t="s">
        <v>9</v>
      </c>
      <c r="M754" s="2" t="s">
        <v>25</v>
      </c>
      <c r="N754" s="2" t="s">
        <v>11</v>
      </c>
      <c r="O754" s="2" t="s">
        <v>12</v>
      </c>
      <c r="P754" s="2" t="s">
        <v>49</v>
      </c>
      <c r="Q754" s="2" t="s">
        <v>16</v>
      </c>
      <c r="R754" s="2" t="s">
        <v>18</v>
      </c>
      <c r="S754">
        <v>5</v>
      </c>
    </row>
    <row r="755" spans="1:19" x14ac:dyDescent="0.3">
      <c r="A755">
        <v>1277</v>
      </c>
      <c r="B755">
        <f>YEAR(Cleaned_HR_Data_Analysis__2[[#This Row],[Joining_Date]])</f>
        <v>2019</v>
      </c>
      <c r="C755" s="1">
        <v>43566</v>
      </c>
      <c r="D755" s="1" t="str" cm="1">
        <f t="array" ref="D755">_xlfn.IFS(E755&lt;28, "17-27",
AND(E755&gt;27, E755&lt;38), "28-37",
AND(E755&gt;37, E755 &lt;48), "38-47",
AND(E755&gt;47, E755 &lt;58), "48-57",
AND(E755&gt;57, E755&lt;68), "58-67",
AND(E755&gt;67, E755&lt;78), "68-77",
E755&gt;77,"Above than 77")</f>
        <v>28-37</v>
      </c>
      <c r="E755">
        <v>35</v>
      </c>
      <c r="F755" s="1">
        <v>30812</v>
      </c>
      <c r="G755" s="1" t="str">
        <f>VLOOKUP(H755,Table7[#All], 2, FALSE)</f>
        <v>Massachusetts</v>
      </c>
      <c r="H755" s="2" t="s">
        <v>14</v>
      </c>
      <c r="I755" s="2" t="s">
        <v>15</v>
      </c>
      <c r="J755" s="2" t="s">
        <v>31</v>
      </c>
      <c r="K755" s="2" t="s">
        <v>64</v>
      </c>
      <c r="L755" s="2" t="s">
        <v>9</v>
      </c>
      <c r="M755" s="2" t="s">
        <v>25</v>
      </c>
      <c r="N755" s="2" t="s">
        <v>11</v>
      </c>
      <c r="O755" s="2" t="s">
        <v>12</v>
      </c>
      <c r="P755" s="2" t="s">
        <v>49</v>
      </c>
      <c r="Q755" s="2" t="s">
        <v>30</v>
      </c>
      <c r="R755" s="2" t="s">
        <v>18</v>
      </c>
      <c r="S755">
        <v>3</v>
      </c>
    </row>
    <row r="756" spans="1:19" x14ac:dyDescent="0.3">
      <c r="A756">
        <v>1255</v>
      </c>
      <c r="B756">
        <f>YEAR(Cleaned_HR_Data_Analysis__2[[#This Row],[Joining_Date]])</f>
        <v>2019</v>
      </c>
      <c r="C756" s="1">
        <v>43738</v>
      </c>
      <c r="D756" s="1" t="str" cm="1">
        <f t="array" ref="D756">_xlfn.IFS(E756&lt;28, "17-27",
AND(E756&gt;27, E756&lt;38), "28-37",
AND(E756&gt;37, E756 &lt;48), "38-47",
AND(E756&gt;47, E756 &lt;58), "48-57",
AND(E756&gt;57, E756&lt;68), "58-67",
AND(E756&gt;67, E756&lt;78), "68-77",
E756&gt;77,"Above than 77")</f>
        <v>28-37</v>
      </c>
      <c r="E756">
        <v>35</v>
      </c>
      <c r="F756" s="1">
        <v>31010</v>
      </c>
      <c r="G756" s="1" t="str">
        <f>VLOOKUP(H756,Table7[#All], 2, FALSE)</f>
        <v>Massachusetts</v>
      </c>
      <c r="H756" s="2" t="s">
        <v>14</v>
      </c>
      <c r="I756" s="2" t="s">
        <v>15</v>
      </c>
      <c r="J756" s="2" t="s">
        <v>34</v>
      </c>
      <c r="K756" s="2" t="s">
        <v>64</v>
      </c>
      <c r="L756" s="2" t="s">
        <v>66</v>
      </c>
      <c r="M756" s="2" t="s">
        <v>25</v>
      </c>
      <c r="N756" s="2" t="s">
        <v>19</v>
      </c>
      <c r="O756" s="2" t="s">
        <v>12</v>
      </c>
      <c r="P756" s="2" t="s">
        <v>32</v>
      </c>
      <c r="Q756" s="2" t="s">
        <v>37</v>
      </c>
      <c r="R756" s="2" t="s">
        <v>18</v>
      </c>
      <c r="S756">
        <v>1</v>
      </c>
    </row>
    <row r="757" spans="1:19" x14ac:dyDescent="0.3">
      <c r="A757">
        <v>1110</v>
      </c>
      <c r="B757">
        <f>YEAR(Cleaned_HR_Data_Analysis__2[[#This Row],[Joining_Date]])</f>
        <v>2022</v>
      </c>
      <c r="C757" s="1">
        <v>44744</v>
      </c>
      <c r="D757" s="1" t="str" cm="1">
        <f t="array" ref="D757">_xlfn.IFS(E757&lt;28, "17-27",
AND(E757&gt;27, E757&lt;38), "28-37",
AND(E757&gt;37, E757 &lt;48), "38-47",
AND(E757&gt;47, E757 &lt;58), "48-57",
AND(E757&gt;57, E757&lt;68), "58-67",
AND(E757&gt;67, E757&lt;78), "68-77",
E757&gt;77,"Above than 77")</f>
        <v>28-37</v>
      </c>
      <c r="E757">
        <v>35</v>
      </c>
      <c r="F757" s="1">
        <v>31902</v>
      </c>
      <c r="G757" s="1" t="str">
        <f>VLOOKUP(H757,Table7[#All], 2, FALSE)</f>
        <v>Massachusetts</v>
      </c>
      <c r="H757" s="2" t="s">
        <v>14</v>
      </c>
      <c r="I757" s="2" t="s">
        <v>15</v>
      </c>
      <c r="J757" s="2" t="s">
        <v>31</v>
      </c>
      <c r="K757" s="2" t="s">
        <v>64</v>
      </c>
      <c r="L757" s="2" t="s">
        <v>9</v>
      </c>
      <c r="M757" s="2" t="s">
        <v>25</v>
      </c>
      <c r="N757" s="2" t="s">
        <v>26</v>
      </c>
      <c r="O757" s="2" t="s">
        <v>12</v>
      </c>
      <c r="P757" s="2" t="s">
        <v>32</v>
      </c>
      <c r="Q757" s="2" t="s">
        <v>46</v>
      </c>
      <c r="R757" s="2" t="s">
        <v>18</v>
      </c>
      <c r="S757">
        <v>1</v>
      </c>
    </row>
    <row r="758" spans="1:19" x14ac:dyDescent="0.3">
      <c r="A758">
        <v>3782</v>
      </c>
      <c r="B758">
        <f>YEAR(Cleaned_HR_Data_Analysis__2[[#This Row],[Joining_Date]])</f>
        <v>2019</v>
      </c>
      <c r="C758" s="1">
        <v>43533</v>
      </c>
      <c r="D758" s="1" t="str" cm="1">
        <f t="array" ref="D758">_xlfn.IFS(E758&lt;28, "17-27",
AND(E758&gt;27, E758&lt;38), "28-37",
AND(E758&gt;37, E758 &lt;48), "38-47",
AND(E758&gt;47, E758 &lt;58), "48-57",
AND(E758&gt;57, E758&lt;68), "58-67",
AND(E758&gt;67, E758&lt;78), "68-77",
E758&gt;77,"Above than 77")</f>
        <v>28-37</v>
      </c>
      <c r="E758">
        <v>35</v>
      </c>
      <c r="F758" s="1">
        <v>30950</v>
      </c>
      <c r="G758" s="1" t="str">
        <f>VLOOKUP(H758,Table7[#All], 2, FALSE)</f>
        <v>Massachusetts</v>
      </c>
      <c r="H758" s="2" t="s">
        <v>14</v>
      </c>
      <c r="I758" s="2" t="s">
        <v>22</v>
      </c>
      <c r="J758" s="2" t="s">
        <v>17</v>
      </c>
      <c r="K758" s="2" t="s">
        <v>8</v>
      </c>
      <c r="L758" s="2" t="s">
        <v>66</v>
      </c>
      <c r="M758" s="2" t="s">
        <v>25</v>
      </c>
      <c r="N758" s="2" t="s">
        <v>26</v>
      </c>
      <c r="O758" s="2" t="s">
        <v>12</v>
      </c>
      <c r="P758" s="2" t="s">
        <v>35</v>
      </c>
      <c r="Q758" s="2" t="s">
        <v>46</v>
      </c>
      <c r="R758" s="2" t="s">
        <v>18</v>
      </c>
      <c r="S758">
        <v>5</v>
      </c>
    </row>
    <row r="759" spans="1:19" x14ac:dyDescent="0.3">
      <c r="A759">
        <v>3713</v>
      </c>
      <c r="B759">
        <f>YEAR(Cleaned_HR_Data_Analysis__2[[#This Row],[Joining_Date]])</f>
        <v>2020</v>
      </c>
      <c r="C759" s="1">
        <v>44033</v>
      </c>
      <c r="D759" s="1" t="str" cm="1">
        <f t="array" ref="D759">_xlfn.IFS(E759&lt;28, "17-27",
AND(E759&gt;27, E759&lt;38), "28-37",
AND(E759&gt;37, E759 &lt;48), "38-47",
AND(E759&gt;47, E759 &lt;58), "48-57",
AND(E759&gt;57, E759&lt;68), "58-67",
AND(E759&gt;67, E759&lt;78), "68-77",
E759&gt;77,"Above than 77")</f>
        <v>28-37</v>
      </c>
      <c r="E759">
        <v>35</v>
      </c>
      <c r="F759" s="1">
        <v>31147</v>
      </c>
      <c r="G759" s="1" t="str">
        <f>VLOOKUP(H759,Table7[#All], 2, FALSE)</f>
        <v>Massachusetts</v>
      </c>
      <c r="H759" s="2" t="s">
        <v>14</v>
      </c>
      <c r="I759" s="2" t="s">
        <v>22</v>
      </c>
      <c r="J759" s="2" t="s">
        <v>17</v>
      </c>
      <c r="K759" s="2" t="s">
        <v>8</v>
      </c>
      <c r="L759" s="2" t="s">
        <v>9</v>
      </c>
      <c r="M759" s="2" t="s">
        <v>25</v>
      </c>
      <c r="N759" s="2" t="s">
        <v>26</v>
      </c>
      <c r="O759" s="2" t="s">
        <v>12</v>
      </c>
      <c r="P759" s="2" t="s">
        <v>28</v>
      </c>
      <c r="Q759" s="2" t="s">
        <v>23</v>
      </c>
      <c r="R759" s="2" t="s">
        <v>18</v>
      </c>
      <c r="S759">
        <v>4</v>
      </c>
    </row>
    <row r="760" spans="1:19" x14ac:dyDescent="0.3">
      <c r="A760">
        <v>3680</v>
      </c>
      <c r="B760">
        <f>YEAR(Cleaned_HR_Data_Analysis__2[[#This Row],[Joining_Date]])</f>
        <v>2020</v>
      </c>
      <c r="C760" s="1">
        <v>43917</v>
      </c>
      <c r="D760" s="1" t="str" cm="1">
        <f t="array" ref="D760">_xlfn.IFS(E760&lt;28, "17-27",
AND(E760&gt;27, E760&lt;38), "28-37",
AND(E760&gt;37, E760 &lt;48), "38-47",
AND(E760&gt;47, E760 &lt;58), "48-57",
AND(E760&gt;57, E760&lt;68), "58-67",
AND(E760&gt;67, E760&lt;78), "68-77",
E760&gt;77,"Above than 77")</f>
        <v>28-37</v>
      </c>
      <c r="E760">
        <v>35</v>
      </c>
      <c r="F760" s="1">
        <v>31304</v>
      </c>
      <c r="G760" s="1" t="str">
        <f>VLOOKUP(H760,Table7[#All], 2, FALSE)</f>
        <v>Massachusetts</v>
      </c>
      <c r="H760" s="2" t="s">
        <v>14</v>
      </c>
      <c r="I760" s="2" t="s">
        <v>15</v>
      </c>
      <c r="J760" s="2" t="s">
        <v>40</v>
      </c>
      <c r="K760" s="2" t="s">
        <v>8</v>
      </c>
      <c r="L760" s="2" t="s">
        <v>9</v>
      </c>
      <c r="M760" s="2" t="s">
        <v>20</v>
      </c>
      <c r="N760" s="2" t="s">
        <v>26</v>
      </c>
      <c r="O760" s="2" t="s">
        <v>12</v>
      </c>
      <c r="P760" s="2" t="s">
        <v>69</v>
      </c>
      <c r="Q760" s="2" t="s">
        <v>30</v>
      </c>
      <c r="R760" s="2" t="s">
        <v>18</v>
      </c>
      <c r="S760">
        <v>2</v>
      </c>
    </row>
    <row r="761" spans="1:19" x14ac:dyDescent="0.3">
      <c r="A761">
        <v>3633</v>
      </c>
      <c r="B761">
        <f>YEAR(Cleaned_HR_Data_Analysis__2[[#This Row],[Joining_Date]])</f>
        <v>2022</v>
      </c>
      <c r="C761" s="1">
        <v>44641</v>
      </c>
      <c r="D761" s="1" t="str" cm="1">
        <f t="array" ref="D761">_xlfn.IFS(E761&lt;28, "17-27",
AND(E761&gt;27, E761&lt;38), "28-37",
AND(E761&gt;37, E761 &lt;48), "38-47",
AND(E761&gt;47, E761 &lt;58), "48-57",
AND(E761&gt;57, E761&lt;68), "58-67",
AND(E761&gt;67, E761&lt;78), "68-77",
E761&gt;77,"Above than 77")</f>
        <v>28-37</v>
      </c>
      <c r="E761">
        <v>35</v>
      </c>
      <c r="F761" s="1">
        <v>31860</v>
      </c>
      <c r="G761" s="1" t="str">
        <f>VLOOKUP(H761,Table7[#All], 2, FALSE)</f>
        <v>Massachusetts</v>
      </c>
      <c r="H761" s="2" t="s">
        <v>14</v>
      </c>
      <c r="I761" s="2" t="s">
        <v>15</v>
      </c>
      <c r="J761" s="2" t="s">
        <v>31</v>
      </c>
      <c r="K761" s="2" t="s">
        <v>8</v>
      </c>
      <c r="L761" s="2" t="s">
        <v>9</v>
      </c>
      <c r="M761" s="2" t="s">
        <v>10</v>
      </c>
      <c r="N761" s="2" t="s">
        <v>26</v>
      </c>
      <c r="O761" s="2" t="s">
        <v>12</v>
      </c>
      <c r="P761" s="2" t="s">
        <v>21</v>
      </c>
      <c r="Q761" s="2" t="s">
        <v>23</v>
      </c>
      <c r="R761" s="2" t="s">
        <v>18</v>
      </c>
      <c r="S761">
        <v>4</v>
      </c>
    </row>
    <row r="762" spans="1:19" x14ac:dyDescent="0.3">
      <c r="A762">
        <v>3383</v>
      </c>
      <c r="B762">
        <f>YEAR(Cleaned_HR_Data_Analysis__2[[#This Row],[Joining_Date]])</f>
        <v>2020</v>
      </c>
      <c r="C762" s="1">
        <v>44056</v>
      </c>
      <c r="D762" s="1" t="str" cm="1">
        <f t="array" ref="D762">_xlfn.IFS(E762&lt;28, "17-27",
AND(E762&gt;27, E762&lt;38), "28-37",
AND(E762&gt;37, E762 &lt;48), "38-47",
AND(E762&gt;47, E762 &lt;58), "48-57",
AND(E762&gt;57, E762&lt;68), "58-67",
AND(E762&gt;67, E762&lt;78), "68-77",
E762&gt;77,"Above than 77")</f>
        <v>28-37</v>
      </c>
      <c r="E762">
        <v>35</v>
      </c>
      <c r="F762" s="1">
        <v>31138</v>
      </c>
      <c r="G762" s="1" t="str">
        <f>VLOOKUP(H762,Table7[#All], 2, FALSE)</f>
        <v>Massachusetts</v>
      </c>
      <c r="H762" s="2" t="s">
        <v>14</v>
      </c>
      <c r="I762" s="2" t="s">
        <v>15</v>
      </c>
      <c r="J762" s="2" t="s">
        <v>40</v>
      </c>
      <c r="K762" s="2" t="s">
        <v>8</v>
      </c>
      <c r="L762" s="2" t="s">
        <v>66</v>
      </c>
      <c r="M762" s="2" t="s">
        <v>20</v>
      </c>
      <c r="N762" s="2" t="s">
        <v>11</v>
      </c>
      <c r="O762" s="2" t="s">
        <v>12</v>
      </c>
      <c r="P762" s="2" t="s">
        <v>32</v>
      </c>
      <c r="Q762" s="2" t="s">
        <v>23</v>
      </c>
      <c r="R762" s="2" t="s">
        <v>41</v>
      </c>
      <c r="S762">
        <v>2</v>
      </c>
    </row>
    <row r="763" spans="1:19" x14ac:dyDescent="0.3">
      <c r="A763">
        <v>3062</v>
      </c>
      <c r="B763">
        <f>YEAR(Cleaned_HR_Data_Analysis__2[[#This Row],[Joining_Date]])</f>
        <v>2022</v>
      </c>
      <c r="C763" s="1">
        <v>44893</v>
      </c>
      <c r="D763" s="1" t="str" cm="1">
        <f t="array" ref="D763">_xlfn.IFS(E763&lt;28, "17-27",
AND(E763&gt;27, E763&lt;38), "28-37",
AND(E763&gt;37, E763 &lt;48), "38-47",
AND(E763&gt;47, E763 &lt;58), "48-57",
AND(E763&gt;57, E763&lt;68), "58-67",
AND(E763&gt;67, E763&lt;78), "68-77",
E763&gt;77,"Above than 77")</f>
        <v>28-37</v>
      </c>
      <c r="E763">
        <v>35</v>
      </c>
      <c r="F763" s="1">
        <v>32097</v>
      </c>
      <c r="G763" s="1" t="str">
        <f>VLOOKUP(H763,Table7[#All], 2, FALSE)</f>
        <v>Massachusetts</v>
      </c>
      <c r="H763" s="2" t="s">
        <v>14</v>
      </c>
      <c r="I763" s="2" t="s">
        <v>15</v>
      </c>
      <c r="J763" s="2" t="s">
        <v>40</v>
      </c>
      <c r="K763" s="2" t="s">
        <v>8</v>
      </c>
      <c r="L763" s="2" t="s">
        <v>9</v>
      </c>
      <c r="M763" s="2" t="s">
        <v>20</v>
      </c>
      <c r="N763" s="2" t="s">
        <v>19</v>
      </c>
      <c r="O763" s="2" t="s">
        <v>12</v>
      </c>
      <c r="P763" s="2" t="s">
        <v>32</v>
      </c>
      <c r="Q763" s="2" t="s">
        <v>46</v>
      </c>
      <c r="R763" s="2" t="s">
        <v>18</v>
      </c>
      <c r="S763">
        <v>4</v>
      </c>
    </row>
    <row r="764" spans="1:19" x14ac:dyDescent="0.3">
      <c r="A764">
        <v>2197</v>
      </c>
      <c r="B764">
        <f>YEAR(Cleaned_HR_Data_Analysis__2[[#This Row],[Joining_Date]])</f>
        <v>2018</v>
      </c>
      <c r="C764" s="1">
        <v>43334</v>
      </c>
      <c r="D764" s="1" t="str" cm="1">
        <f t="array" ref="D764">_xlfn.IFS(E764&lt;28, "17-27",
AND(E764&gt;27, E764&lt;38), "28-37",
AND(E764&gt;37, E764 &lt;48), "38-47",
AND(E764&gt;47, E764 &lt;58), "48-57",
AND(E764&gt;57, E764&lt;68), "58-67",
AND(E764&gt;67, E764&lt;78), "68-77",
E764&gt;77,"Above than 77")</f>
        <v>28-37</v>
      </c>
      <c r="E764">
        <v>35</v>
      </c>
      <c r="F764" s="1">
        <v>30418</v>
      </c>
      <c r="G764" s="1" t="str">
        <f>VLOOKUP(H764,Table7[#All], 2, FALSE)</f>
        <v>Massachusetts</v>
      </c>
      <c r="H764" s="2" t="s">
        <v>14</v>
      </c>
      <c r="I764" s="2" t="s">
        <v>15</v>
      </c>
      <c r="J764" s="2" t="s">
        <v>40</v>
      </c>
      <c r="K764" s="2" t="s">
        <v>8</v>
      </c>
      <c r="L764" s="2" t="s">
        <v>66</v>
      </c>
      <c r="M764" s="2" t="s">
        <v>10</v>
      </c>
      <c r="N764" s="2" t="s">
        <v>11</v>
      </c>
      <c r="O764" s="2" t="s">
        <v>12</v>
      </c>
      <c r="P764" s="2" t="s">
        <v>59</v>
      </c>
      <c r="Q764" s="2" t="s">
        <v>46</v>
      </c>
      <c r="R764" s="2" t="s">
        <v>56</v>
      </c>
      <c r="S764">
        <v>3</v>
      </c>
    </row>
    <row r="765" spans="1:19" x14ac:dyDescent="0.3">
      <c r="A765">
        <v>2003</v>
      </c>
      <c r="B765">
        <f>YEAR(Cleaned_HR_Data_Analysis__2[[#This Row],[Joining_Date]])</f>
        <v>2020</v>
      </c>
      <c r="C765" s="1">
        <v>43934</v>
      </c>
      <c r="D765" s="1" t="str" cm="1">
        <f t="array" ref="D765">_xlfn.IFS(E765&lt;28, "17-27",
AND(E765&gt;27, E765&lt;38), "28-37",
AND(E765&gt;37, E765 &lt;48), "38-47",
AND(E765&gt;47, E765 &lt;58), "48-57",
AND(E765&gt;57, E765&lt;68), "58-67",
AND(E765&gt;67, E765&lt;78), "68-77",
E765&gt;77,"Above than 77")</f>
        <v>28-37</v>
      </c>
      <c r="E765">
        <v>35</v>
      </c>
      <c r="F765" s="1">
        <v>31229</v>
      </c>
      <c r="G765" s="1" t="str">
        <f>VLOOKUP(H765,Table7[#All], 2, FALSE)</f>
        <v>Massachusetts</v>
      </c>
      <c r="H765" s="2" t="s">
        <v>14</v>
      </c>
      <c r="I765" s="2" t="s">
        <v>15</v>
      </c>
      <c r="J765" s="2" t="s">
        <v>34</v>
      </c>
      <c r="K765" s="2" t="s">
        <v>8</v>
      </c>
      <c r="L765" s="2" t="s">
        <v>66</v>
      </c>
      <c r="M765" s="2" t="s">
        <v>10</v>
      </c>
      <c r="N765" s="2" t="s">
        <v>26</v>
      </c>
      <c r="O765" s="2" t="s">
        <v>12</v>
      </c>
      <c r="P765" s="2" t="s">
        <v>58</v>
      </c>
      <c r="Q765" s="2" t="s">
        <v>30</v>
      </c>
      <c r="R765" s="2" t="s">
        <v>18</v>
      </c>
      <c r="S765">
        <v>5</v>
      </c>
    </row>
    <row r="766" spans="1:19" x14ac:dyDescent="0.3">
      <c r="A766">
        <v>1929</v>
      </c>
      <c r="B766">
        <f>YEAR(Cleaned_HR_Data_Analysis__2[[#This Row],[Joining_Date]])</f>
        <v>2023</v>
      </c>
      <c r="C766" s="1">
        <v>45134</v>
      </c>
      <c r="D766" s="1" t="str" cm="1">
        <f t="array" ref="D766">_xlfn.IFS(E766&lt;28, "17-27",
AND(E766&gt;27, E766&lt;38), "28-37",
AND(E766&gt;37, E766 &lt;48), "38-47",
AND(E766&gt;47, E766 &lt;58), "48-57",
AND(E766&gt;57, E766&lt;68), "58-67",
AND(E766&gt;67, E766&lt;78), "68-77",
E766&gt;77,"Above than 77")</f>
        <v>28-37</v>
      </c>
      <c r="E766">
        <v>35</v>
      </c>
      <c r="F766" s="1">
        <v>32205</v>
      </c>
      <c r="G766" s="1" t="str">
        <f>VLOOKUP(H766,Table7[#All], 2, FALSE)</f>
        <v>Massachusetts</v>
      </c>
      <c r="H766" s="2" t="s">
        <v>14</v>
      </c>
      <c r="I766" s="2" t="s">
        <v>15</v>
      </c>
      <c r="J766" s="2" t="s">
        <v>17</v>
      </c>
      <c r="K766" s="2" t="s">
        <v>8</v>
      </c>
      <c r="L766" s="2" t="s">
        <v>9</v>
      </c>
      <c r="M766" s="2" t="s">
        <v>10</v>
      </c>
      <c r="N766" s="2" t="s">
        <v>19</v>
      </c>
      <c r="O766" s="2" t="s">
        <v>12</v>
      </c>
      <c r="P766" s="2" t="s">
        <v>35</v>
      </c>
      <c r="Q766" s="2" t="s">
        <v>46</v>
      </c>
      <c r="R766" s="2" t="s">
        <v>18</v>
      </c>
      <c r="S766">
        <v>1</v>
      </c>
    </row>
    <row r="767" spans="1:19" x14ac:dyDescent="0.3">
      <c r="A767">
        <v>1757</v>
      </c>
      <c r="B767">
        <f>YEAR(Cleaned_HR_Data_Analysis__2[[#This Row],[Joining_Date]])</f>
        <v>2020</v>
      </c>
      <c r="C767" s="1">
        <v>43839</v>
      </c>
      <c r="D767" s="1" t="str" cm="1">
        <f t="array" ref="D767">_xlfn.IFS(E767&lt;28, "17-27",
AND(E767&gt;27, E767&lt;38), "28-37",
AND(E767&gt;37, E767 &lt;48), "38-47",
AND(E767&gt;47, E767 &lt;58), "48-57",
AND(E767&gt;57, E767&lt;68), "58-67",
AND(E767&gt;67, E767&lt;78), "68-77",
E767&gt;77,"Above than 77")</f>
        <v>28-37</v>
      </c>
      <c r="E767">
        <v>35</v>
      </c>
      <c r="F767" s="1">
        <v>31079</v>
      </c>
      <c r="G767" s="1" t="str">
        <f>VLOOKUP(H767,Table7[#All], 2, FALSE)</f>
        <v>Massachusetts</v>
      </c>
      <c r="H767" s="2" t="s">
        <v>14</v>
      </c>
      <c r="I767" s="2" t="s">
        <v>15</v>
      </c>
      <c r="J767" s="2" t="s">
        <v>17</v>
      </c>
      <c r="K767" s="2" t="s">
        <v>8</v>
      </c>
      <c r="L767" s="2" t="s">
        <v>9</v>
      </c>
      <c r="M767" s="2" t="s">
        <v>25</v>
      </c>
      <c r="N767" s="2" t="s">
        <v>19</v>
      </c>
      <c r="O767" s="2" t="s">
        <v>12</v>
      </c>
      <c r="P767" s="2" t="s">
        <v>13</v>
      </c>
      <c r="Q767" s="2" t="s">
        <v>16</v>
      </c>
      <c r="R767" s="2" t="s">
        <v>18</v>
      </c>
      <c r="S767">
        <v>4</v>
      </c>
    </row>
    <row r="768" spans="1:19" x14ac:dyDescent="0.3">
      <c r="A768">
        <v>1737</v>
      </c>
      <c r="B768">
        <f>YEAR(Cleaned_HR_Data_Analysis__2[[#This Row],[Joining_Date]])</f>
        <v>2018</v>
      </c>
      <c r="C768" s="1">
        <v>43400</v>
      </c>
      <c r="D768" s="1" t="str" cm="1">
        <f t="array" ref="D768">_xlfn.IFS(E768&lt;28, "17-27",
AND(E768&gt;27, E768&lt;38), "28-37",
AND(E768&gt;37, E768 &lt;48), "38-47",
AND(E768&gt;47, E768 &lt;58), "48-57",
AND(E768&gt;57, E768&lt;68), "58-67",
AND(E768&gt;67, E768&lt;78), "68-77",
E768&gt;77,"Above than 77")</f>
        <v>28-37</v>
      </c>
      <c r="E768">
        <v>35</v>
      </c>
      <c r="F768" s="1">
        <v>30373</v>
      </c>
      <c r="G768" s="1" t="str">
        <f>VLOOKUP(H768,Table7[#All], 2, FALSE)</f>
        <v>Massachusetts</v>
      </c>
      <c r="H768" s="2" t="s">
        <v>14</v>
      </c>
      <c r="I768" s="2" t="s">
        <v>15</v>
      </c>
      <c r="J768" s="2" t="s">
        <v>17</v>
      </c>
      <c r="K768" s="2" t="s">
        <v>8</v>
      </c>
      <c r="L768" s="2" t="s">
        <v>9</v>
      </c>
      <c r="M768" s="2" t="s">
        <v>10</v>
      </c>
      <c r="N768" s="2" t="s">
        <v>11</v>
      </c>
      <c r="O768" s="2" t="s">
        <v>12</v>
      </c>
      <c r="P768" s="2" t="s">
        <v>38</v>
      </c>
      <c r="Q768" s="2" t="s">
        <v>23</v>
      </c>
      <c r="R768" s="2" t="s">
        <v>18</v>
      </c>
      <c r="S768">
        <v>5</v>
      </c>
    </row>
    <row r="769" spans="1:19" x14ac:dyDescent="0.3">
      <c r="A769">
        <v>1571</v>
      </c>
      <c r="B769">
        <f>YEAR(Cleaned_HR_Data_Analysis__2[[#This Row],[Joining_Date]])</f>
        <v>2021</v>
      </c>
      <c r="C769" s="1">
        <v>44340</v>
      </c>
      <c r="D769" s="1" t="str" cm="1">
        <f t="array" ref="D769">_xlfn.IFS(E769&lt;28, "17-27",
AND(E769&gt;27, E769&lt;38), "28-37",
AND(E769&gt;37, E769 &lt;48), "38-47",
AND(E769&gt;47, E769 &lt;58), "48-57",
AND(E769&gt;57, E769&lt;68), "58-67",
AND(E769&gt;67, E769&lt;78), "68-77",
E769&gt;77,"Above than 77")</f>
        <v>28-37</v>
      </c>
      <c r="E769">
        <v>35</v>
      </c>
      <c r="F769" s="1">
        <v>31667</v>
      </c>
      <c r="G769" s="1" t="str">
        <f>VLOOKUP(H769,Table7[#All], 2, FALSE)</f>
        <v>Massachusetts</v>
      </c>
      <c r="H769" s="2" t="s">
        <v>14</v>
      </c>
      <c r="I769" s="2" t="s">
        <v>15</v>
      </c>
      <c r="J769" s="2" t="s">
        <v>40</v>
      </c>
      <c r="K769" s="2" t="s">
        <v>8</v>
      </c>
      <c r="L769" s="2" t="s">
        <v>9</v>
      </c>
      <c r="M769" s="2" t="s">
        <v>20</v>
      </c>
      <c r="N769" s="2" t="s">
        <v>19</v>
      </c>
      <c r="O769" s="2" t="s">
        <v>12</v>
      </c>
      <c r="P769" s="2" t="s">
        <v>63</v>
      </c>
      <c r="Q769" s="2" t="s">
        <v>23</v>
      </c>
      <c r="R769" s="2" t="s">
        <v>41</v>
      </c>
      <c r="S769">
        <v>2</v>
      </c>
    </row>
    <row r="770" spans="1:19" x14ac:dyDescent="0.3">
      <c r="A770">
        <v>1502</v>
      </c>
      <c r="B770">
        <f>YEAR(Cleaned_HR_Data_Analysis__2[[#This Row],[Joining_Date]])</f>
        <v>2021</v>
      </c>
      <c r="C770" s="1">
        <v>44326</v>
      </c>
      <c r="D770" s="1" t="str" cm="1">
        <f t="array" ref="D770">_xlfn.IFS(E770&lt;28, "17-27",
AND(E770&gt;27, E770&lt;38), "28-37",
AND(E770&gt;37, E770 &lt;48), "38-47",
AND(E770&gt;47, E770 &lt;58), "48-57",
AND(E770&gt;57, E770&lt;68), "58-67",
AND(E770&gt;67, E770&lt;78), "68-77",
E770&gt;77,"Above than 77")</f>
        <v>28-37</v>
      </c>
      <c r="E770">
        <v>35</v>
      </c>
      <c r="F770" s="1">
        <v>31761</v>
      </c>
      <c r="G770" s="1" t="str">
        <f>VLOOKUP(H770,Table7[#All], 2, FALSE)</f>
        <v>Massachusetts</v>
      </c>
      <c r="H770" s="2" t="s">
        <v>14</v>
      </c>
      <c r="I770" s="2" t="s">
        <v>22</v>
      </c>
      <c r="J770" s="2" t="s">
        <v>40</v>
      </c>
      <c r="K770" s="2" t="s">
        <v>8</v>
      </c>
      <c r="L770" s="2" t="s">
        <v>9</v>
      </c>
      <c r="M770" s="2" t="s">
        <v>25</v>
      </c>
      <c r="N770" s="2" t="s">
        <v>26</v>
      </c>
      <c r="O770" s="2" t="s">
        <v>12</v>
      </c>
      <c r="P770" s="2" t="s">
        <v>38</v>
      </c>
      <c r="Q770" s="2" t="s">
        <v>16</v>
      </c>
      <c r="R770" s="2" t="s">
        <v>18</v>
      </c>
      <c r="S770">
        <v>3</v>
      </c>
    </row>
    <row r="771" spans="1:19" x14ac:dyDescent="0.3">
      <c r="A771">
        <v>1310</v>
      </c>
      <c r="B771">
        <f>YEAR(Cleaned_HR_Data_Analysis__2[[#This Row],[Joining_Date]])</f>
        <v>2023</v>
      </c>
      <c r="C771" s="1">
        <v>45019</v>
      </c>
      <c r="D771" s="1" t="str" cm="1">
        <f t="array" ref="D771">_xlfn.IFS(E771&lt;28, "17-27",
AND(E771&gt;27, E771&lt;38), "28-37",
AND(E771&gt;37, E771 &lt;48), "38-47",
AND(E771&gt;47, E771 &lt;58), "48-57",
AND(E771&gt;57, E771&lt;68), "58-67",
AND(E771&gt;67, E771&lt;78), "68-77",
E771&gt;77,"Above than 77")</f>
        <v>28-37</v>
      </c>
      <c r="E771">
        <v>35</v>
      </c>
      <c r="F771" s="1">
        <v>32184</v>
      </c>
      <c r="G771" s="1" t="str">
        <f>VLOOKUP(H771,Table7[#All], 2, FALSE)</f>
        <v>Massachusetts</v>
      </c>
      <c r="H771" s="2" t="s">
        <v>14</v>
      </c>
      <c r="I771" s="2" t="s">
        <v>15</v>
      </c>
      <c r="J771" s="2" t="s">
        <v>31</v>
      </c>
      <c r="K771" s="2" t="s">
        <v>8</v>
      </c>
      <c r="L771" s="2" t="s">
        <v>9</v>
      </c>
      <c r="M771" s="2" t="s">
        <v>20</v>
      </c>
      <c r="N771" s="2" t="s">
        <v>26</v>
      </c>
      <c r="O771" s="2" t="s">
        <v>12</v>
      </c>
      <c r="P771" s="2" t="s">
        <v>32</v>
      </c>
      <c r="Q771" s="2" t="s">
        <v>46</v>
      </c>
      <c r="R771" s="2" t="s">
        <v>18</v>
      </c>
      <c r="S771">
        <v>4</v>
      </c>
    </row>
    <row r="772" spans="1:19" x14ac:dyDescent="0.3">
      <c r="A772">
        <v>1291</v>
      </c>
      <c r="B772">
        <f>YEAR(Cleaned_HR_Data_Analysis__2[[#This Row],[Joining_Date]])</f>
        <v>2023</v>
      </c>
      <c r="C772" s="1">
        <v>45094</v>
      </c>
      <c r="D772" s="1" t="str" cm="1">
        <f t="array" ref="D772">_xlfn.IFS(E772&lt;28, "17-27",
AND(E772&gt;27, E772&lt;38), "28-37",
AND(E772&gt;37, E772 &lt;48), "38-47",
AND(E772&gt;47, E772 &lt;58), "48-57",
AND(E772&gt;57, E772&lt;68), "58-67",
AND(E772&gt;67, E772&lt;78), "68-77",
E772&gt;77,"Above than 77")</f>
        <v>28-37</v>
      </c>
      <c r="E772">
        <v>35</v>
      </c>
      <c r="F772" s="1">
        <v>32214</v>
      </c>
      <c r="G772" s="1" t="str">
        <f>VLOOKUP(H772,Table7[#All], 2, FALSE)</f>
        <v>Massachusetts</v>
      </c>
      <c r="H772" s="2" t="s">
        <v>14</v>
      </c>
      <c r="I772" s="2" t="s">
        <v>15</v>
      </c>
      <c r="J772" s="2" t="s">
        <v>40</v>
      </c>
      <c r="K772" s="2" t="s">
        <v>8</v>
      </c>
      <c r="L772" s="2" t="s">
        <v>9</v>
      </c>
      <c r="M772" s="2" t="s">
        <v>10</v>
      </c>
      <c r="N772" s="2" t="s">
        <v>26</v>
      </c>
      <c r="O772" s="2" t="s">
        <v>12</v>
      </c>
      <c r="P772" s="2" t="s">
        <v>42</v>
      </c>
      <c r="Q772" s="2" t="s">
        <v>37</v>
      </c>
      <c r="R772" s="2" t="s">
        <v>18</v>
      </c>
      <c r="S772">
        <v>4</v>
      </c>
    </row>
    <row r="773" spans="1:19" x14ac:dyDescent="0.3">
      <c r="A773">
        <v>1240</v>
      </c>
      <c r="B773">
        <f>YEAR(Cleaned_HR_Data_Analysis__2[[#This Row],[Joining_Date]])</f>
        <v>2020</v>
      </c>
      <c r="C773" s="1">
        <v>43909</v>
      </c>
      <c r="D773" s="1" t="str" cm="1">
        <f t="array" ref="D773">_xlfn.IFS(E773&lt;28, "17-27",
AND(E773&gt;27, E773&lt;38), "28-37",
AND(E773&gt;37, E773 &lt;48), "38-47",
AND(E773&gt;47, E773 &lt;58), "48-57",
AND(E773&gt;57, E773&lt;68), "58-67",
AND(E773&gt;67, E773&lt;78), "68-77",
E773&gt;77,"Above than 77")</f>
        <v>28-37</v>
      </c>
      <c r="E773">
        <v>35</v>
      </c>
      <c r="F773" s="1">
        <v>31148</v>
      </c>
      <c r="G773" s="1" t="str">
        <f>VLOOKUP(H773,Table7[#All], 2, FALSE)</f>
        <v>Massachusetts</v>
      </c>
      <c r="H773" s="2" t="s">
        <v>14</v>
      </c>
      <c r="I773" s="2" t="s">
        <v>15</v>
      </c>
      <c r="J773" s="2" t="s">
        <v>31</v>
      </c>
      <c r="K773" s="2" t="s">
        <v>8</v>
      </c>
      <c r="L773" s="2" t="s">
        <v>9</v>
      </c>
      <c r="M773" s="2" t="s">
        <v>10</v>
      </c>
      <c r="N773" s="2" t="s">
        <v>26</v>
      </c>
      <c r="O773" s="2" t="s">
        <v>12</v>
      </c>
      <c r="P773" s="2" t="s">
        <v>92</v>
      </c>
      <c r="Q773" s="2" t="s">
        <v>46</v>
      </c>
      <c r="R773" s="2" t="s">
        <v>18</v>
      </c>
      <c r="S773">
        <v>4</v>
      </c>
    </row>
    <row r="774" spans="1:19" x14ac:dyDescent="0.3">
      <c r="A774">
        <v>1116</v>
      </c>
      <c r="B774">
        <f>YEAR(Cleaned_HR_Data_Analysis__2[[#This Row],[Joining_Date]])</f>
        <v>2019</v>
      </c>
      <c r="C774" s="1">
        <v>43533</v>
      </c>
      <c r="D774" s="1" t="str" cm="1">
        <f t="array" ref="D774">_xlfn.IFS(E774&lt;28, "17-27",
AND(E774&gt;27, E774&lt;38), "28-37",
AND(E774&gt;37, E774 &lt;48), "38-47",
AND(E774&gt;47, E774 &lt;58), "48-57",
AND(E774&gt;57, E774&lt;68), "58-67",
AND(E774&gt;67, E774&lt;78), "68-77",
E774&gt;77,"Above than 77")</f>
        <v>28-37</v>
      </c>
      <c r="E774">
        <v>35</v>
      </c>
      <c r="F774" s="1">
        <v>30904</v>
      </c>
      <c r="G774" s="1" t="str">
        <f>VLOOKUP(H774,Table7[#All], 2, FALSE)</f>
        <v>Massachusetts</v>
      </c>
      <c r="H774" s="2" t="s">
        <v>14</v>
      </c>
      <c r="I774" s="2" t="s">
        <v>22</v>
      </c>
      <c r="J774" s="2" t="s">
        <v>40</v>
      </c>
      <c r="K774" s="2" t="s">
        <v>8</v>
      </c>
      <c r="L774" s="2" t="s">
        <v>66</v>
      </c>
      <c r="M774" s="2" t="s">
        <v>25</v>
      </c>
      <c r="N774" s="2" t="s">
        <v>19</v>
      </c>
      <c r="O774" s="2" t="s">
        <v>12</v>
      </c>
      <c r="P774" s="2" t="s">
        <v>35</v>
      </c>
      <c r="Q774" s="2" t="s">
        <v>16</v>
      </c>
      <c r="R774" s="2" t="s">
        <v>18</v>
      </c>
      <c r="S774">
        <v>4</v>
      </c>
    </row>
    <row r="775" spans="1:19" x14ac:dyDescent="0.3">
      <c r="A775">
        <v>2453</v>
      </c>
      <c r="B775">
        <f>YEAR(Cleaned_HR_Data_Analysis__2[[#This Row],[Joining_Date]])</f>
        <v>2023</v>
      </c>
      <c r="C775" s="1">
        <v>45059</v>
      </c>
      <c r="D775" s="1" t="str" cm="1">
        <f t="array" ref="D775">_xlfn.IFS(E775&lt;28, "17-27",
AND(E775&gt;27, E775&lt;38), "28-37",
AND(E775&gt;37, E775 &lt;48), "38-47",
AND(E775&gt;47, E775 &lt;58), "48-57",
AND(E775&gt;57, E775&lt;68), "58-67",
AND(E775&gt;67, E775&lt;78), "68-77",
E775&gt;77,"Above than 77")</f>
        <v>28-37</v>
      </c>
      <c r="E775">
        <v>35</v>
      </c>
      <c r="F775" s="1">
        <v>32408</v>
      </c>
      <c r="G775" s="1" t="str">
        <f>VLOOKUP(H775,Table7[#All], 2, FALSE)</f>
        <v>Massachusetts</v>
      </c>
      <c r="H775" s="2" t="s">
        <v>14</v>
      </c>
      <c r="I775" s="2" t="s">
        <v>22</v>
      </c>
      <c r="J775" s="2" t="s">
        <v>17</v>
      </c>
      <c r="K775" s="2" t="s">
        <v>91</v>
      </c>
      <c r="L775" s="2" t="s">
        <v>9</v>
      </c>
      <c r="M775" s="2" t="s">
        <v>25</v>
      </c>
      <c r="N775" s="2" t="s">
        <v>11</v>
      </c>
      <c r="O775" s="2" t="s">
        <v>12</v>
      </c>
      <c r="P775" s="2" t="s">
        <v>69</v>
      </c>
      <c r="Q775" s="2" t="s">
        <v>30</v>
      </c>
      <c r="R775" s="2" t="s">
        <v>18</v>
      </c>
      <c r="S775">
        <v>3</v>
      </c>
    </row>
    <row r="776" spans="1:19" x14ac:dyDescent="0.3">
      <c r="A776">
        <v>2421</v>
      </c>
      <c r="B776">
        <f>YEAR(Cleaned_HR_Data_Analysis__2[[#This Row],[Joining_Date]])</f>
        <v>2021</v>
      </c>
      <c r="C776" s="1">
        <v>44520</v>
      </c>
      <c r="D776" s="1" t="str" cm="1">
        <f t="array" ref="D776">_xlfn.IFS(E776&lt;28, "17-27",
AND(E776&gt;27, E776&lt;38), "28-37",
AND(E776&gt;37, E776 &lt;48), "38-47",
AND(E776&gt;47, E776 &lt;58), "48-57",
AND(E776&gt;57, E776&lt;68), "58-67",
AND(E776&gt;67, E776&lt;78), "68-77",
E776&gt;77,"Above than 77")</f>
        <v>28-37</v>
      </c>
      <c r="E776">
        <v>35</v>
      </c>
      <c r="F776" s="1">
        <v>31658</v>
      </c>
      <c r="G776" s="1" t="str">
        <f>VLOOKUP(H776,Table7[#All], 2, FALSE)</f>
        <v>Massachusetts</v>
      </c>
      <c r="H776" s="2" t="s">
        <v>14</v>
      </c>
      <c r="I776" s="2" t="s">
        <v>15</v>
      </c>
      <c r="J776" s="2" t="s">
        <v>34</v>
      </c>
      <c r="K776" s="2" t="s">
        <v>91</v>
      </c>
      <c r="L776" s="2" t="s">
        <v>9</v>
      </c>
      <c r="M776" s="2" t="s">
        <v>25</v>
      </c>
      <c r="N776" s="2" t="s">
        <v>11</v>
      </c>
      <c r="O776" s="2" t="s">
        <v>12</v>
      </c>
      <c r="P776" s="2" t="s">
        <v>42</v>
      </c>
      <c r="Q776" s="2" t="s">
        <v>46</v>
      </c>
      <c r="R776" s="2" t="s">
        <v>18</v>
      </c>
      <c r="S776">
        <v>3</v>
      </c>
    </row>
    <row r="777" spans="1:19" x14ac:dyDescent="0.3">
      <c r="A777">
        <v>2417</v>
      </c>
      <c r="B777">
        <f>YEAR(Cleaned_HR_Data_Analysis__2[[#This Row],[Joining_Date]])</f>
        <v>2021</v>
      </c>
      <c r="C777" s="1">
        <v>44254</v>
      </c>
      <c r="D777" s="1" t="str" cm="1">
        <f t="array" ref="D777">_xlfn.IFS(E777&lt;28, "17-27",
AND(E777&gt;27, E777&lt;38), "28-37",
AND(E777&gt;37, E777 &lt;48), "38-47",
AND(E777&gt;47, E777 &lt;58), "48-57",
AND(E777&gt;57, E777&lt;68), "58-67",
AND(E777&gt;67, E777&lt;78), "68-77",
E777&gt;77,"Above than 77")</f>
        <v>28-37</v>
      </c>
      <c r="E777">
        <v>35</v>
      </c>
      <c r="F777" s="1">
        <v>31726</v>
      </c>
      <c r="G777" s="1" t="str">
        <f>VLOOKUP(H777,Table7[#All], 2, FALSE)</f>
        <v>Massachusetts</v>
      </c>
      <c r="H777" s="2" t="s">
        <v>14</v>
      </c>
      <c r="I777" s="2" t="s">
        <v>22</v>
      </c>
      <c r="J777" s="2" t="s">
        <v>31</v>
      </c>
      <c r="K777" s="2" t="s">
        <v>91</v>
      </c>
      <c r="L777" s="2" t="s">
        <v>9</v>
      </c>
      <c r="M777" s="2" t="s">
        <v>10</v>
      </c>
      <c r="N777" s="2" t="s">
        <v>11</v>
      </c>
      <c r="O777" s="2" t="s">
        <v>12</v>
      </c>
      <c r="P777" s="2" t="s">
        <v>42</v>
      </c>
      <c r="Q777" s="2" t="s">
        <v>16</v>
      </c>
      <c r="R777" s="2" t="s">
        <v>18</v>
      </c>
      <c r="S777">
        <v>3</v>
      </c>
    </row>
    <row r="778" spans="1:19" x14ac:dyDescent="0.3">
      <c r="A778">
        <v>2336</v>
      </c>
      <c r="B778">
        <f>YEAR(Cleaned_HR_Data_Analysis__2[[#This Row],[Joining_Date]])</f>
        <v>2019</v>
      </c>
      <c r="C778" s="1">
        <v>43744</v>
      </c>
      <c r="D778" s="1" t="str" cm="1">
        <f t="array" ref="D778">_xlfn.IFS(E778&lt;28, "17-27",
AND(E778&gt;27, E778&lt;38), "28-37",
AND(E778&gt;37, E778 &lt;48), "38-47",
AND(E778&gt;47, E778 &lt;58), "48-57",
AND(E778&gt;57, E778&lt;68), "58-67",
AND(E778&gt;67, E778&lt;78), "68-77",
E778&gt;77,"Above than 77")</f>
        <v>28-37</v>
      </c>
      <c r="E778">
        <v>35</v>
      </c>
      <c r="F778" s="1">
        <v>30808</v>
      </c>
      <c r="G778" s="1" t="str">
        <f>VLOOKUP(H778,Table7[#All], 2, FALSE)</f>
        <v>Massachusetts</v>
      </c>
      <c r="H778" s="2" t="s">
        <v>14</v>
      </c>
      <c r="I778" s="2" t="s">
        <v>15</v>
      </c>
      <c r="J778" s="2" t="s">
        <v>31</v>
      </c>
      <c r="K778" s="2" t="s">
        <v>91</v>
      </c>
      <c r="L778" s="2" t="s">
        <v>9</v>
      </c>
      <c r="M778" s="2" t="s">
        <v>10</v>
      </c>
      <c r="N778" s="2" t="s">
        <v>19</v>
      </c>
      <c r="O778" s="2" t="s">
        <v>12</v>
      </c>
      <c r="P778" s="2" t="s">
        <v>32</v>
      </c>
      <c r="Q778" s="2" t="s">
        <v>30</v>
      </c>
      <c r="R778" s="2" t="s">
        <v>18</v>
      </c>
      <c r="S778">
        <v>1</v>
      </c>
    </row>
    <row r="779" spans="1:19" x14ac:dyDescent="0.3">
      <c r="A779">
        <v>3930</v>
      </c>
      <c r="B779">
        <f>YEAR(Cleaned_HR_Data_Analysis__2[[#This Row],[Joining_Date]])</f>
        <v>2019</v>
      </c>
      <c r="C779" s="1">
        <v>43793</v>
      </c>
      <c r="D779" s="1" t="str" cm="1">
        <f t="array" ref="D779">_xlfn.IFS(E779&lt;28, "17-27",
AND(E779&gt;27, E779&lt;38), "28-37",
AND(E779&gt;37, E779 &lt;48), "38-47",
AND(E779&gt;47, E779 &lt;58), "48-57",
AND(E779&gt;57, E779&lt;68), "58-67",
AND(E779&gt;67, E779&lt;78), "68-77",
E779&gt;77,"Above than 77")</f>
        <v>28-37</v>
      </c>
      <c r="E779">
        <v>35</v>
      </c>
      <c r="F779" s="1">
        <v>30781</v>
      </c>
      <c r="G779" s="1" t="str">
        <f>VLOOKUP(H779,Table7[#All], 2, FALSE)</f>
        <v>Massachusetts</v>
      </c>
      <c r="H779" s="2" t="s">
        <v>14</v>
      </c>
      <c r="I779" s="2" t="s">
        <v>15</v>
      </c>
      <c r="J779" s="2" t="s">
        <v>34</v>
      </c>
      <c r="K779" s="2" t="s">
        <v>71</v>
      </c>
      <c r="L779" s="2" t="s">
        <v>9</v>
      </c>
      <c r="M779" s="2" t="s">
        <v>10</v>
      </c>
      <c r="N779" s="2" t="s">
        <v>19</v>
      </c>
      <c r="O779" s="2" t="s">
        <v>53</v>
      </c>
      <c r="P779" s="2" t="s">
        <v>32</v>
      </c>
      <c r="Q779" s="2" t="s">
        <v>46</v>
      </c>
      <c r="R779" s="2" t="s">
        <v>18</v>
      </c>
      <c r="S779">
        <v>4</v>
      </c>
    </row>
    <row r="780" spans="1:19" x14ac:dyDescent="0.3">
      <c r="A780">
        <v>3823</v>
      </c>
      <c r="B780">
        <f>YEAR(Cleaned_HR_Data_Analysis__2[[#This Row],[Joining_Date]])</f>
        <v>2022</v>
      </c>
      <c r="C780" s="1">
        <v>44851</v>
      </c>
      <c r="D780" s="1" t="str" cm="1">
        <f t="array" ref="D780">_xlfn.IFS(E780&lt;28, "17-27",
AND(E780&gt;27, E780&lt;38), "28-37",
AND(E780&gt;37, E780 &lt;48), "38-47",
AND(E780&gt;47, E780 &lt;58), "48-57",
AND(E780&gt;57, E780&lt;68), "58-67",
AND(E780&gt;67, E780&lt;78), "68-77",
E780&gt;77,"Above than 77")</f>
        <v>28-37</v>
      </c>
      <c r="E780">
        <v>35</v>
      </c>
      <c r="F780" s="1">
        <v>32013</v>
      </c>
      <c r="G780" s="1" t="str">
        <f>VLOOKUP(H780,Table7[#All], 2, FALSE)</f>
        <v>Massachusetts</v>
      </c>
      <c r="H780" s="2" t="s">
        <v>14</v>
      </c>
      <c r="I780" s="2" t="s">
        <v>22</v>
      </c>
      <c r="J780" s="2" t="s">
        <v>31</v>
      </c>
      <c r="K780" s="2" t="s">
        <v>71</v>
      </c>
      <c r="L780" s="2" t="s">
        <v>9</v>
      </c>
      <c r="M780" s="2" t="s">
        <v>25</v>
      </c>
      <c r="N780" s="2" t="s">
        <v>19</v>
      </c>
      <c r="O780" s="2" t="s">
        <v>73</v>
      </c>
      <c r="P780" s="2" t="s">
        <v>58</v>
      </c>
      <c r="Q780" s="2" t="s">
        <v>16</v>
      </c>
      <c r="R780" s="2" t="s">
        <v>56</v>
      </c>
      <c r="S780">
        <v>4</v>
      </c>
    </row>
    <row r="781" spans="1:19" x14ac:dyDescent="0.3">
      <c r="A781">
        <v>2247</v>
      </c>
      <c r="B781">
        <f>YEAR(Cleaned_HR_Data_Analysis__2[[#This Row],[Joining_Date]])</f>
        <v>2018</v>
      </c>
      <c r="C781" s="1">
        <v>43353</v>
      </c>
      <c r="D781" s="1" t="str" cm="1">
        <f t="array" ref="D781">_xlfn.IFS(E781&lt;28, "17-27",
AND(E781&gt;27, E781&lt;38), "28-37",
AND(E781&gt;37, E781 &lt;48), "38-47",
AND(E781&gt;47, E781 &lt;58), "48-57",
AND(E781&gt;57, E781&lt;68), "58-67",
AND(E781&gt;67, E781&lt;78), "68-77",
E781&gt;77,"Above than 77")</f>
        <v>28-37</v>
      </c>
      <c r="E781">
        <v>35</v>
      </c>
      <c r="F781" s="1">
        <v>30416</v>
      </c>
      <c r="G781" s="1" t="str">
        <f>VLOOKUP(H781,Table7[#All], 2, FALSE)</f>
        <v>Massachusetts</v>
      </c>
      <c r="H781" s="2" t="s">
        <v>14</v>
      </c>
      <c r="I781" s="2" t="s">
        <v>15</v>
      </c>
      <c r="J781" s="2" t="s">
        <v>17</v>
      </c>
      <c r="K781" s="2" t="s">
        <v>70</v>
      </c>
      <c r="L781" s="2" t="s">
        <v>9</v>
      </c>
      <c r="M781" s="2" t="s">
        <v>20</v>
      </c>
      <c r="N781" s="2" t="s">
        <v>26</v>
      </c>
      <c r="O781" s="2" t="s">
        <v>53</v>
      </c>
      <c r="P781" s="2" t="s">
        <v>55</v>
      </c>
      <c r="Q781" s="2" t="s">
        <v>23</v>
      </c>
      <c r="R781" s="2" t="s">
        <v>18</v>
      </c>
      <c r="S781">
        <v>4</v>
      </c>
    </row>
    <row r="782" spans="1:19" x14ac:dyDescent="0.3">
      <c r="A782">
        <v>2272</v>
      </c>
      <c r="B782">
        <f>YEAR(Cleaned_HR_Data_Analysis__2[[#This Row],[Joining_Date]])</f>
        <v>2022</v>
      </c>
      <c r="C782" s="1">
        <v>44802</v>
      </c>
      <c r="D782" s="1" t="str" cm="1">
        <f t="array" ref="D782">_xlfn.IFS(E782&lt;28, "17-27",
AND(E782&gt;27, E782&lt;38), "28-37",
AND(E782&gt;37, E782 &lt;48), "38-47",
AND(E782&gt;47, E782 &lt;58), "48-57",
AND(E782&gt;57, E782&lt;68), "58-67",
AND(E782&gt;67, E782&lt;78), "68-77",
E782&gt;77,"Above than 77")</f>
        <v>28-37</v>
      </c>
      <c r="E782">
        <v>35</v>
      </c>
      <c r="F782" s="1">
        <v>31871</v>
      </c>
      <c r="G782" s="1" t="str">
        <f>VLOOKUP(H782,Table7[#All], 2, FALSE)</f>
        <v>Connecticut</v>
      </c>
      <c r="H782" s="2" t="s">
        <v>36</v>
      </c>
      <c r="I782" s="2" t="s">
        <v>15</v>
      </c>
      <c r="J782" s="2" t="s">
        <v>40</v>
      </c>
      <c r="K782" s="2" t="s">
        <v>70</v>
      </c>
      <c r="L782" s="2" t="s">
        <v>9</v>
      </c>
      <c r="M782" s="2" t="s">
        <v>20</v>
      </c>
      <c r="N782" s="2" t="s">
        <v>11</v>
      </c>
      <c r="O782" s="2" t="s">
        <v>53</v>
      </c>
      <c r="P782" s="2" t="s">
        <v>35</v>
      </c>
      <c r="Q782" s="2" t="s">
        <v>37</v>
      </c>
      <c r="R782" s="2" t="s">
        <v>18</v>
      </c>
      <c r="S782">
        <v>5</v>
      </c>
    </row>
    <row r="783" spans="1:19" x14ac:dyDescent="0.3">
      <c r="A783">
        <v>2486</v>
      </c>
      <c r="B783">
        <f>YEAR(Cleaned_HR_Data_Analysis__2[[#This Row],[Joining_Date]])</f>
        <v>2020</v>
      </c>
      <c r="C783" s="1">
        <v>43954</v>
      </c>
      <c r="D783" s="1" t="str" cm="1">
        <f t="array" ref="D783">_xlfn.IFS(E783&lt;28, "17-27",
AND(E783&gt;27, E783&lt;38), "28-37",
AND(E783&gt;37, E783 &lt;48), "38-47",
AND(E783&gt;47, E783 &lt;58), "48-57",
AND(E783&gt;57, E783&lt;68), "58-67",
AND(E783&gt;67, E783&lt;78), "68-77",
E783&gt;77,"Above than 77")</f>
        <v>28-37</v>
      </c>
      <c r="E783">
        <v>35</v>
      </c>
      <c r="F783" s="1">
        <v>31283</v>
      </c>
      <c r="G783" s="1" t="str">
        <f>VLOOKUP(H783,Table7[#All], 2, FALSE)</f>
        <v>Massachusetts</v>
      </c>
      <c r="H783" s="2" t="s">
        <v>14</v>
      </c>
      <c r="I783" s="2" t="s">
        <v>22</v>
      </c>
      <c r="J783" s="2" t="s">
        <v>34</v>
      </c>
      <c r="K783" s="2" t="s">
        <v>103</v>
      </c>
      <c r="L783" s="2" t="s">
        <v>9</v>
      </c>
      <c r="M783" s="2" t="s">
        <v>20</v>
      </c>
      <c r="N783" s="2" t="s">
        <v>19</v>
      </c>
      <c r="O783" s="2" t="s">
        <v>53</v>
      </c>
      <c r="P783" s="2" t="s">
        <v>32</v>
      </c>
      <c r="Q783" s="2" t="s">
        <v>37</v>
      </c>
      <c r="R783" s="2" t="s">
        <v>18</v>
      </c>
      <c r="S783">
        <v>1</v>
      </c>
    </row>
    <row r="784" spans="1:19" x14ac:dyDescent="0.3">
      <c r="A784">
        <v>2291</v>
      </c>
      <c r="B784">
        <f>YEAR(Cleaned_HR_Data_Analysis__2[[#This Row],[Joining_Date]])</f>
        <v>2020</v>
      </c>
      <c r="C784" s="1">
        <v>44019</v>
      </c>
      <c r="D784" s="1" t="str" cm="1">
        <f t="array" ref="D784">_xlfn.IFS(E784&lt;28, "17-27",
AND(E784&gt;27, E784&lt;38), "28-37",
AND(E784&gt;37, E784 &lt;48), "38-47",
AND(E784&gt;47, E784 &lt;58), "48-57",
AND(E784&gt;57, E784&lt;68), "58-67",
AND(E784&gt;67, E784&lt;78), "68-77",
E784&gt;77,"Above than 77")</f>
        <v>28-37</v>
      </c>
      <c r="E784">
        <v>35</v>
      </c>
      <c r="F784" s="1">
        <v>31095</v>
      </c>
      <c r="G784" s="1" t="str">
        <f>VLOOKUP(H784,Table7[#All], 2, FALSE)</f>
        <v>Massachusetts</v>
      </c>
      <c r="H784" s="2" t="s">
        <v>14</v>
      </c>
      <c r="I784" s="2" t="s">
        <v>15</v>
      </c>
      <c r="J784" s="2" t="s">
        <v>34</v>
      </c>
      <c r="K784" s="2" t="s">
        <v>106</v>
      </c>
      <c r="L784" s="2" t="s">
        <v>9</v>
      </c>
      <c r="M784" s="2" t="s">
        <v>10</v>
      </c>
      <c r="N784" s="2" t="s">
        <v>26</v>
      </c>
      <c r="O784" s="2" t="s">
        <v>12</v>
      </c>
      <c r="P784" s="2" t="s">
        <v>32</v>
      </c>
      <c r="Q784" s="2" t="s">
        <v>37</v>
      </c>
      <c r="R784" s="2" t="s">
        <v>18</v>
      </c>
      <c r="S784">
        <v>4</v>
      </c>
    </row>
    <row r="785" spans="1:19" x14ac:dyDescent="0.3">
      <c r="A785">
        <v>3994</v>
      </c>
      <c r="B785">
        <f>YEAR(Cleaned_HR_Data_Analysis__2[[#This Row],[Joining_Date]])</f>
        <v>2022</v>
      </c>
      <c r="C785" s="1">
        <v>44826</v>
      </c>
      <c r="D785" s="1" t="str" cm="1">
        <f t="array" ref="D785">_xlfn.IFS(E785&lt;28, "17-27",
AND(E785&gt;27, E785&lt;38), "28-37",
AND(E785&gt;37, E785 &lt;48), "38-47",
AND(E785&gt;47, E785 &lt;58), "48-57",
AND(E785&gt;57, E785&lt;68), "58-67",
AND(E785&gt;67, E785&lt;78), "68-77",
E785&gt;77,"Above than 77")</f>
        <v>28-37</v>
      </c>
      <c r="E785">
        <v>35</v>
      </c>
      <c r="F785" s="1">
        <v>31816</v>
      </c>
      <c r="G785" s="1" t="str">
        <f>VLOOKUP(H785,Table7[#All], 2, FALSE)</f>
        <v>Massachusetts</v>
      </c>
      <c r="H785" s="2" t="s">
        <v>14</v>
      </c>
      <c r="I785" s="2" t="s">
        <v>15</v>
      </c>
      <c r="J785" s="2" t="s">
        <v>31</v>
      </c>
      <c r="K785" s="2" t="s">
        <v>78</v>
      </c>
      <c r="L785" s="2" t="s">
        <v>9</v>
      </c>
      <c r="M785" s="2" t="s">
        <v>25</v>
      </c>
      <c r="N785" s="2" t="s">
        <v>19</v>
      </c>
      <c r="O785" s="2" t="s">
        <v>53</v>
      </c>
      <c r="P785" s="2" t="s">
        <v>35</v>
      </c>
      <c r="Q785" s="2" t="s">
        <v>46</v>
      </c>
      <c r="R785" s="2" t="s">
        <v>18</v>
      </c>
      <c r="S785">
        <v>5</v>
      </c>
    </row>
    <row r="786" spans="1:19" x14ac:dyDescent="0.3">
      <c r="A786">
        <v>2565</v>
      </c>
      <c r="B786">
        <f>YEAR(Cleaned_HR_Data_Analysis__2[[#This Row],[Joining_Date]])</f>
        <v>2020</v>
      </c>
      <c r="C786" s="1">
        <v>43852</v>
      </c>
      <c r="D786" s="1" t="str" cm="1">
        <f t="array" ref="D786">_xlfn.IFS(E786&lt;28, "17-27",
AND(E786&gt;27, E786&lt;38), "28-37",
AND(E786&gt;37, E786 &lt;48), "38-47",
AND(E786&gt;47, E786 &lt;58), "48-57",
AND(E786&gt;57, E786&lt;68), "58-67",
AND(E786&gt;67, E786&lt;78), "68-77",
E786&gt;77,"Above than 77")</f>
        <v>28-37</v>
      </c>
      <c r="E786">
        <v>35</v>
      </c>
      <c r="F786" s="1">
        <v>31365</v>
      </c>
      <c r="G786" s="1" t="str">
        <f>VLOOKUP(H786,Table7[#All], 2, FALSE)</f>
        <v>Massachusetts</v>
      </c>
      <c r="H786" s="2" t="s">
        <v>14</v>
      </c>
      <c r="I786" s="2" t="s">
        <v>15</v>
      </c>
      <c r="J786" s="2" t="s">
        <v>34</v>
      </c>
      <c r="K786" s="2" t="s">
        <v>97</v>
      </c>
      <c r="L786" s="2" t="s">
        <v>9</v>
      </c>
      <c r="M786" s="2" t="s">
        <v>10</v>
      </c>
      <c r="N786" s="2" t="s">
        <v>11</v>
      </c>
      <c r="O786" s="2" t="s">
        <v>53</v>
      </c>
      <c r="P786" s="2" t="s">
        <v>35</v>
      </c>
      <c r="Q786" s="2" t="s">
        <v>16</v>
      </c>
      <c r="R786" s="2" t="s">
        <v>18</v>
      </c>
      <c r="S786">
        <v>5</v>
      </c>
    </row>
    <row r="787" spans="1:19" x14ac:dyDescent="0.3">
      <c r="A787">
        <v>3555</v>
      </c>
      <c r="B787">
        <f>YEAR(Cleaned_HR_Data_Analysis__2[[#This Row],[Joining_Date]])</f>
        <v>2023</v>
      </c>
      <c r="C787" s="1">
        <v>44932</v>
      </c>
      <c r="D787" s="1" t="str" cm="1">
        <f t="array" ref="D787">_xlfn.IFS(E787&lt;28, "17-27",
AND(E787&gt;27, E787&lt;38), "28-37",
AND(E787&gt;37, E787 &lt;48), "38-47",
AND(E787&gt;47, E787 &lt;58), "48-57",
AND(E787&gt;57, E787&lt;68), "58-67",
AND(E787&gt;67, E787&lt;78), "68-77",
E787&gt;77,"Above than 77")</f>
        <v>28-37</v>
      </c>
      <c r="E787">
        <v>35</v>
      </c>
      <c r="F787" s="1">
        <v>32153</v>
      </c>
      <c r="G787" s="1" t="str">
        <f>VLOOKUP(H787,Table7[#All], 2, FALSE)</f>
        <v>Indiana</v>
      </c>
      <c r="H787" s="2" t="s">
        <v>47</v>
      </c>
      <c r="I787" s="2" t="s">
        <v>15</v>
      </c>
      <c r="J787" s="2" t="s">
        <v>17</v>
      </c>
      <c r="K787" s="2" t="s">
        <v>24</v>
      </c>
      <c r="L787" s="2" t="s">
        <v>9</v>
      </c>
      <c r="M787" s="2" t="s">
        <v>25</v>
      </c>
      <c r="N787" s="2" t="s">
        <v>11</v>
      </c>
      <c r="O787" s="2" t="s">
        <v>27</v>
      </c>
      <c r="P787" s="2" t="s">
        <v>38</v>
      </c>
      <c r="Q787" s="2" t="s">
        <v>23</v>
      </c>
      <c r="R787" s="2" t="s">
        <v>18</v>
      </c>
      <c r="S787">
        <v>5</v>
      </c>
    </row>
    <row r="788" spans="1:19" x14ac:dyDescent="0.3">
      <c r="A788">
        <v>3493</v>
      </c>
      <c r="B788">
        <f>YEAR(Cleaned_HR_Data_Analysis__2[[#This Row],[Joining_Date]])</f>
        <v>2019</v>
      </c>
      <c r="C788" s="1">
        <v>43661</v>
      </c>
      <c r="D788" s="1" t="str" cm="1">
        <f t="array" ref="D788">_xlfn.IFS(E788&lt;28, "17-27",
AND(E788&gt;27, E788&lt;38), "28-37",
AND(E788&gt;37, E788 &lt;48), "38-47",
AND(E788&gt;47, E788 &lt;58), "48-57",
AND(E788&gt;57, E788&lt;68), "58-67",
AND(E788&gt;67, E788&lt;78), "68-77",
E788&gt;77,"Above than 77")</f>
        <v>28-37</v>
      </c>
      <c r="E788">
        <v>35</v>
      </c>
      <c r="F788" s="1">
        <v>30789</v>
      </c>
      <c r="G788" s="1" t="str">
        <f>VLOOKUP(H788,Table7[#All], 2, FALSE)</f>
        <v>Colorado</v>
      </c>
      <c r="H788" s="2" t="s">
        <v>50</v>
      </c>
      <c r="I788" s="2" t="s">
        <v>22</v>
      </c>
      <c r="J788" s="2" t="s">
        <v>17</v>
      </c>
      <c r="K788" s="2" t="s">
        <v>24</v>
      </c>
      <c r="L788" s="2" t="s">
        <v>9</v>
      </c>
      <c r="M788" s="2" t="s">
        <v>25</v>
      </c>
      <c r="N788" s="2" t="s">
        <v>11</v>
      </c>
      <c r="O788" s="2" t="s">
        <v>27</v>
      </c>
      <c r="P788" s="2" t="s">
        <v>54</v>
      </c>
      <c r="Q788" s="2" t="s">
        <v>46</v>
      </c>
      <c r="R788" s="2" t="s">
        <v>18</v>
      </c>
      <c r="S788">
        <v>1</v>
      </c>
    </row>
    <row r="789" spans="1:19" x14ac:dyDescent="0.3">
      <c r="A789">
        <v>1320</v>
      </c>
      <c r="B789">
        <f>YEAR(Cleaned_HR_Data_Analysis__2[[#This Row],[Joining_Date]])</f>
        <v>2018</v>
      </c>
      <c r="C789" s="1">
        <v>43459</v>
      </c>
      <c r="D789" s="1" t="str" cm="1">
        <f t="array" ref="D789">_xlfn.IFS(E789&lt;28, "17-27",
AND(E789&gt;27, E789&lt;38), "28-37",
AND(E789&gt;37, E789 &lt;48), "38-47",
AND(E789&gt;47, E789 &lt;58), "48-57",
AND(E789&gt;57, E789&lt;68), "58-67",
AND(E789&gt;67, E789&lt;78), "68-77",
E789&gt;77,"Above than 77")</f>
        <v>28-37</v>
      </c>
      <c r="E789">
        <v>35</v>
      </c>
      <c r="F789" s="1">
        <v>30565</v>
      </c>
      <c r="G789" s="1" t="str">
        <f>VLOOKUP(H789,Table7[#All], 2, FALSE)</f>
        <v>Massachusetts</v>
      </c>
      <c r="H789" s="2" t="s">
        <v>14</v>
      </c>
      <c r="I789" s="2" t="s">
        <v>15</v>
      </c>
      <c r="J789" s="2" t="s">
        <v>17</v>
      </c>
      <c r="K789" s="2" t="s">
        <v>95</v>
      </c>
      <c r="L789" s="2" t="s">
        <v>9</v>
      </c>
      <c r="M789" s="2" t="s">
        <v>20</v>
      </c>
      <c r="N789" s="2" t="s">
        <v>26</v>
      </c>
      <c r="O789" s="2" t="s">
        <v>90</v>
      </c>
      <c r="P789" s="2" t="s">
        <v>59</v>
      </c>
      <c r="Q789" s="2" t="s">
        <v>16</v>
      </c>
      <c r="R789" s="2" t="s">
        <v>18</v>
      </c>
      <c r="S789">
        <v>1</v>
      </c>
    </row>
    <row r="790" spans="1:19" x14ac:dyDescent="0.3">
      <c r="A790">
        <v>1356</v>
      </c>
      <c r="B790">
        <f>YEAR(Cleaned_HR_Data_Analysis__2[[#This Row],[Joining_Date]])</f>
        <v>2023</v>
      </c>
      <c r="C790" s="1">
        <v>45005</v>
      </c>
      <c r="D790" s="1" t="str" cm="1">
        <f t="array" ref="D790">_xlfn.IFS(E790&lt;28, "17-27",
AND(E790&gt;27, E790&lt;38), "28-37",
AND(E790&gt;37, E790 &lt;48), "38-47",
AND(E790&gt;47, E790 &lt;58), "48-57",
AND(E790&gt;57, E790&lt;68), "58-67",
AND(E790&gt;67, E790&lt;78), "68-77",
E790&gt;77,"Above than 77")</f>
        <v>28-37</v>
      </c>
      <c r="E790">
        <v>35</v>
      </c>
      <c r="F790" s="1">
        <v>32306</v>
      </c>
      <c r="G790" s="1" t="str">
        <f>VLOOKUP(H790,Table7[#All], 2, FALSE)</f>
        <v>Massachusetts</v>
      </c>
      <c r="H790" s="2" t="s">
        <v>14</v>
      </c>
      <c r="I790" s="2" t="s">
        <v>15</v>
      </c>
      <c r="J790" s="2" t="s">
        <v>34</v>
      </c>
      <c r="K790" s="2" t="s">
        <v>96</v>
      </c>
      <c r="L790" s="2" t="s">
        <v>9</v>
      </c>
      <c r="M790" s="2" t="s">
        <v>20</v>
      </c>
      <c r="N790" s="2" t="s">
        <v>19</v>
      </c>
      <c r="O790" s="2" t="s">
        <v>90</v>
      </c>
      <c r="P790" s="2" t="s">
        <v>42</v>
      </c>
      <c r="Q790" s="2" t="s">
        <v>23</v>
      </c>
      <c r="R790" s="2" t="s">
        <v>18</v>
      </c>
      <c r="S790">
        <v>1</v>
      </c>
    </row>
    <row r="791" spans="1:19" x14ac:dyDescent="0.3">
      <c r="A791">
        <v>1324</v>
      </c>
      <c r="B791">
        <f>YEAR(Cleaned_HR_Data_Analysis__2[[#This Row],[Joining_Date]])</f>
        <v>2021</v>
      </c>
      <c r="C791" s="1">
        <v>44400</v>
      </c>
      <c r="D791" s="1" t="str" cm="1">
        <f t="array" ref="D791">_xlfn.IFS(E791&lt;28, "17-27",
AND(E791&gt;27, E791&lt;38), "28-37",
AND(E791&gt;37, E791 &lt;48), "38-47",
AND(E791&gt;47, E791 &lt;58), "48-57",
AND(E791&gt;57, E791&lt;68), "58-67",
AND(E791&gt;67, E791&lt;78), "68-77",
E791&gt;77,"Above than 77")</f>
        <v>28-37</v>
      </c>
      <c r="E791">
        <v>35</v>
      </c>
      <c r="F791" s="1">
        <v>31713</v>
      </c>
      <c r="G791" s="1" t="str">
        <f>VLOOKUP(H791,Table7[#All], 2, FALSE)</f>
        <v>Massachusetts</v>
      </c>
      <c r="H791" s="2" t="s">
        <v>14</v>
      </c>
      <c r="I791" s="2" t="s">
        <v>15</v>
      </c>
      <c r="J791" s="2" t="s">
        <v>31</v>
      </c>
      <c r="K791" s="2" t="s">
        <v>96</v>
      </c>
      <c r="L791" s="2" t="s">
        <v>9</v>
      </c>
      <c r="M791" s="2" t="s">
        <v>20</v>
      </c>
      <c r="N791" s="2" t="s">
        <v>19</v>
      </c>
      <c r="O791" s="2" t="s">
        <v>90</v>
      </c>
      <c r="P791" s="2" t="s">
        <v>32</v>
      </c>
      <c r="Q791" s="2" t="s">
        <v>23</v>
      </c>
      <c r="R791" s="2" t="s">
        <v>18</v>
      </c>
      <c r="S791">
        <v>3</v>
      </c>
    </row>
    <row r="792" spans="1:19" x14ac:dyDescent="0.3">
      <c r="A792">
        <v>1689</v>
      </c>
      <c r="B792">
        <f>YEAR(Cleaned_HR_Data_Analysis__2[[#This Row],[Joining_Date]])</f>
        <v>2021</v>
      </c>
      <c r="C792" s="1">
        <v>44198</v>
      </c>
      <c r="D792" s="1" t="str" cm="1">
        <f t="array" ref="D792">_xlfn.IFS(E792&lt;28, "17-27",
AND(E792&gt;27, E792&lt;38), "28-37",
AND(E792&gt;37, E792 &lt;48), "38-47",
AND(E792&gt;47, E792 &lt;58), "48-57",
AND(E792&gt;57, E792&lt;68), "58-67",
AND(E792&gt;67, E792&lt;78), "68-77",
E792&gt;77,"Above than 77")</f>
        <v>28-37</v>
      </c>
      <c r="E792">
        <v>36</v>
      </c>
      <c r="F792" s="1">
        <v>31385</v>
      </c>
      <c r="G792" s="1" t="str">
        <f>VLOOKUP(H792,Table7[#All], 2, FALSE)</f>
        <v>Massachusetts</v>
      </c>
      <c r="H792" s="2" t="s">
        <v>14</v>
      </c>
      <c r="I792" s="2" t="s">
        <v>22</v>
      </c>
      <c r="J792" s="2" t="s">
        <v>34</v>
      </c>
      <c r="K792" s="2" t="s">
        <v>89</v>
      </c>
      <c r="L792" s="2" t="s">
        <v>9</v>
      </c>
      <c r="M792" s="2" t="s">
        <v>20</v>
      </c>
      <c r="N792" s="2" t="s">
        <v>11</v>
      </c>
      <c r="O792" s="2" t="s">
        <v>90</v>
      </c>
      <c r="P792" s="2" t="s">
        <v>35</v>
      </c>
      <c r="Q792" s="2" t="s">
        <v>30</v>
      </c>
      <c r="R792" s="2" t="s">
        <v>18</v>
      </c>
      <c r="S792">
        <v>3</v>
      </c>
    </row>
    <row r="793" spans="1:19" x14ac:dyDescent="0.3">
      <c r="A793">
        <v>3761</v>
      </c>
      <c r="B793">
        <f>YEAR(Cleaned_HR_Data_Analysis__2[[#This Row],[Joining_Date]])</f>
        <v>2023</v>
      </c>
      <c r="C793" s="1">
        <v>45099</v>
      </c>
      <c r="D793" s="1" t="str" cm="1">
        <f t="array" ref="D793">_xlfn.IFS(E793&lt;28, "17-27",
AND(E793&gt;27, E793&lt;38), "28-37",
AND(E793&gt;37, E793 &lt;48), "38-47",
AND(E793&gt;47, E793 &lt;58), "48-57",
AND(E793&gt;57, E793&lt;68), "58-67",
AND(E793&gt;67, E793&lt;78), "68-77",
E793&gt;77,"Above than 77")</f>
        <v>28-37</v>
      </c>
      <c r="E793">
        <v>36</v>
      </c>
      <c r="F793" s="1">
        <v>32104</v>
      </c>
      <c r="G793" s="1" t="str">
        <f>VLOOKUP(H793,Table7[#All], 2, FALSE)</f>
        <v>Massachusetts</v>
      </c>
      <c r="H793" s="2" t="s">
        <v>14</v>
      </c>
      <c r="I793" s="2" t="s">
        <v>15</v>
      </c>
      <c r="J793" s="2" t="s">
        <v>34</v>
      </c>
      <c r="K793" s="2" t="s">
        <v>64</v>
      </c>
      <c r="L793" s="2" t="s">
        <v>9</v>
      </c>
      <c r="M793" s="2" t="s">
        <v>10</v>
      </c>
      <c r="N793" s="2" t="s">
        <v>19</v>
      </c>
      <c r="O793" s="2" t="s">
        <v>12</v>
      </c>
      <c r="P793" s="2" t="s">
        <v>28</v>
      </c>
      <c r="Q793" s="2" t="s">
        <v>37</v>
      </c>
      <c r="R793" s="2" t="s">
        <v>18</v>
      </c>
      <c r="S793">
        <v>4</v>
      </c>
    </row>
    <row r="794" spans="1:19" x14ac:dyDescent="0.3">
      <c r="A794">
        <v>2018</v>
      </c>
      <c r="B794">
        <f>YEAR(Cleaned_HR_Data_Analysis__2[[#This Row],[Joining_Date]])</f>
        <v>2022</v>
      </c>
      <c r="C794" s="1">
        <v>44629</v>
      </c>
      <c r="D794" s="1" t="str" cm="1">
        <f t="array" ref="D794">_xlfn.IFS(E794&lt;28, "17-27",
AND(E794&gt;27, E794&lt;38), "28-37",
AND(E794&gt;37, E794 &lt;48), "38-47",
AND(E794&gt;47, E794 &lt;58), "48-57",
AND(E794&gt;57, E794&lt;68), "58-67",
AND(E794&gt;67, E794&lt;78), "68-77",
E794&gt;77,"Above than 77")</f>
        <v>28-37</v>
      </c>
      <c r="E794">
        <v>36</v>
      </c>
      <c r="F794" s="1">
        <v>31439</v>
      </c>
      <c r="G794" s="1" t="str">
        <f>VLOOKUP(H794,Table7[#All], 2, FALSE)</f>
        <v>Massachusetts</v>
      </c>
      <c r="H794" s="2" t="s">
        <v>14</v>
      </c>
      <c r="I794" s="2" t="s">
        <v>15</v>
      </c>
      <c r="J794" s="2" t="s">
        <v>40</v>
      </c>
      <c r="K794" s="2" t="s">
        <v>64</v>
      </c>
      <c r="L794" s="2" t="s">
        <v>9</v>
      </c>
      <c r="M794" s="2" t="s">
        <v>10</v>
      </c>
      <c r="N794" s="2" t="s">
        <v>11</v>
      </c>
      <c r="O794" s="2" t="s">
        <v>12</v>
      </c>
      <c r="P794" s="2" t="s">
        <v>63</v>
      </c>
      <c r="Q794" s="2" t="s">
        <v>46</v>
      </c>
      <c r="R794" s="2" t="s">
        <v>18</v>
      </c>
      <c r="S794">
        <v>2</v>
      </c>
    </row>
    <row r="795" spans="1:19" x14ac:dyDescent="0.3">
      <c r="A795">
        <v>3749</v>
      </c>
      <c r="B795">
        <f>YEAR(Cleaned_HR_Data_Analysis__2[[#This Row],[Joining_Date]])</f>
        <v>2021</v>
      </c>
      <c r="C795" s="1">
        <v>44243</v>
      </c>
      <c r="D795" s="1" t="str" cm="1">
        <f t="array" ref="D795">_xlfn.IFS(E795&lt;28, "17-27",
AND(E795&gt;27, E795&lt;38), "28-37",
AND(E795&gt;37, E795 &lt;48), "38-47",
AND(E795&gt;47, E795 &lt;58), "48-57",
AND(E795&gt;57, E795&lt;68), "58-67",
AND(E795&gt;67, E795&lt;78), "68-77",
E795&gt;77,"Above than 77")</f>
        <v>28-37</v>
      </c>
      <c r="E795">
        <v>36</v>
      </c>
      <c r="F795" s="1">
        <v>31169</v>
      </c>
      <c r="G795" s="1" t="str">
        <f>VLOOKUP(H795,Table7[#All], 2, FALSE)</f>
        <v>Massachusetts</v>
      </c>
      <c r="H795" s="2" t="s">
        <v>14</v>
      </c>
      <c r="I795" s="2" t="s">
        <v>15</v>
      </c>
      <c r="J795" s="2" t="s">
        <v>34</v>
      </c>
      <c r="K795" s="2" t="s">
        <v>8</v>
      </c>
      <c r="L795" s="2" t="s">
        <v>9</v>
      </c>
      <c r="M795" s="2" t="s">
        <v>25</v>
      </c>
      <c r="N795" s="2" t="s">
        <v>19</v>
      </c>
      <c r="O795" s="2" t="s">
        <v>12</v>
      </c>
      <c r="P795" s="2" t="s">
        <v>57</v>
      </c>
      <c r="Q795" s="2" t="s">
        <v>30</v>
      </c>
      <c r="R795" s="2" t="s">
        <v>18</v>
      </c>
      <c r="S795">
        <v>3</v>
      </c>
    </row>
    <row r="796" spans="1:19" x14ac:dyDescent="0.3">
      <c r="A796">
        <v>3685</v>
      </c>
      <c r="B796">
        <f>YEAR(Cleaned_HR_Data_Analysis__2[[#This Row],[Joining_Date]])</f>
        <v>2022</v>
      </c>
      <c r="C796" s="1">
        <v>44789</v>
      </c>
      <c r="D796" s="1" t="str" cm="1">
        <f t="array" ref="D796">_xlfn.IFS(E796&lt;28, "17-27",
AND(E796&gt;27, E796&lt;38), "28-37",
AND(E796&gt;37, E796 &lt;48), "38-47",
AND(E796&gt;47, E796 &lt;58), "48-57",
AND(E796&gt;57, E796&lt;68), "58-67",
AND(E796&gt;67, E796&lt;78), "68-77",
E796&gt;77,"Above than 77")</f>
        <v>28-37</v>
      </c>
      <c r="E796">
        <v>36</v>
      </c>
      <c r="F796" s="1">
        <v>31585</v>
      </c>
      <c r="G796" s="1" t="str">
        <f>VLOOKUP(H796,Table7[#All], 2, FALSE)</f>
        <v>Massachusetts</v>
      </c>
      <c r="H796" s="2" t="s">
        <v>14</v>
      </c>
      <c r="I796" s="2" t="s">
        <v>22</v>
      </c>
      <c r="J796" s="2" t="s">
        <v>17</v>
      </c>
      <c r="K796" s="2" t="s">
        <v>8</v>
      </c>
      <c r="L796" s="2" t="s">
        <v>9</v>
      </c>
      <c r="M796" s="2" t="s">
        <v>25</v>
      </c>
      <c r="N796" s="2" t="s">
        <v>11</v>
      </c>
      <c r="O796" s="2" t="s">
        <v>12</v>
      </c>
      <c r="P796" s="2" t="s">
        <v>54</v>
      </c>
      <c r="Q796" s="2" t="s">
        <v>46</v>
      </c>
      <c r="R796" s="2" t="s">
        <v>18</v>
      </c>
      <c r="S796">
        <v>3</v>
      </c>
    </row>
    <row r="797" spans="1:19" x14ac:dyDescent="0.3">
      <c r="A797">
        <v>3644</v>
      </c>
      <c r="B797">
        <f>YEAR(Cleaned_HR_Data_Analysis__2[[#This Row],[Joining_Date]])</f>
        <v>2022</v>
      </c>
      <c r="C797" s="1">
        <v>44728</v>
      </c>
      <c r="D797" s="1" t="str" cm="1">
        <f t="array" ref="D797">_xlfn.IFS(E797&lt;28, "17-27",
AND(E797&gt;27, E797&lt;38), "28-37",
AND(E797&gt;37, E797 &lt;48), "38-47",
AND(E797&gt;47, E797 &lt;58), "48-57",
AND(E797&gt;57, E797&lt;68), "58-67",
AND(E797&gt;67, E797&lt;78), "68-77",
E797&gt;77,"Above than 77")</f>
        <v>28-37</v>
      </c>
      <c r="E797">
        <v>36</v>
      </c>
      <c r="F797" s="1">
        <v>31587</v>
      </c>
      <c r="G797" s="1" t="str">
        <f>VLOOKUP(H797,Table7[#All], 2, FALSE)</f>
        <v>Massachusetts</v>
      </c>
      <c r="H797" s="2" t="s">
        <v>14</v>
      </c>
      <c r="I797" s="2" t="s">
        <v>22</v>
      </c>
      <c r="J797" s="2" t="s">
        <v>34</v>
      </c>
      <c r="K797" s="2" t="s">
        <v>8</v>
      </c>
      <c r="L797" s="2" t="s">
        <v>9</v>
      </c>
      <c r="M797" s="2" t="s">
        <v>20</v>
      </c>
      <c r="N797" s="2" t="s">
        <v>26</v>
      </c>
      <c r="O797" s="2" t="s">
        <v>12</v>
      </c>
      <c r="P797" s="2" t="s">
        <v>35</v>
      </c>
      <c r="Q797" s="2" t="s">
        <v>37</v>
      </c>
      <c r="R797" s="2" t="s">
        <v>18</v>
      </c>
      <c r="S797">
        <v>4</v>
      </c>
    </row>
    <row r="798" spans="1:19" x14ac:dyDescent="0.3">
      <c r="A798">
        <v>3172</v>
      </c>
      <c r="B798">
        <f>YEAR(Cleaned_HR_Data_Analysis__2[[#This Row],[Joining_Date]])</f>
        <v>2019</v>
      </c>
      <c r="C798" s="1">
        <v>43577</v>
      </c>
      <c r="D798" s="1" t="str" cm="1">
        <f t="array" ref="D798">_xlfn.IFS(E798&lt;28, "17-27",
AND(E798&gt;27, E798&lt;38), "28-37",
AND(E798&gt;37, E798 &lt;48), "38-47",
AND(E798&gt;47, E798 &lt;58), "48-57",
AND(E798&gt;57, E798&lt;68), "58-67",
AND(E798&gt;67, E798&lt;78), "68-77",
E798&gt;77,"Above than 77")</f>
        <v>28-37</v>
      </c>
      <c r="E798">
        <v>36</v>
      </c>
      <c r="F798" s="1">
        <v>30506</v>
      </c>
      <c r="G798" s="1" t="str">
        <f>VLOOKUP(H798,Table7[#All], 2, FALSE)</f>
        <v>Massachusetts</v>
      </c>
      <c r="H798" s="2" t="s">
        <v>14</v>
      </c>
      <c r="I798" s="2" t="s">
        <v>15</v>
      </c>
      <c r="J798" s="2" t="s">
        <v>40</v>
      </c>
      <c r="K798" s="2" t="s">
        <v>8</v>
      </c>
      <c r="L798" s="2" t="s">
        <v>9</v>
      </c>
      <c r="M798" s="2" t="s">
        <v>10</v>
      </c>
      <c r="N798" s="2" t="s">
        <v>11</v>
      </c>
      <c r="O798" s="2" t="s">
        <v>12</v>
      </c>
      <c r="P798" s="2" t="s">
        <v>58</v>
      </c>
      <c r="Q798" s="2" t="s">
        <v>46</v>
      </c>
      <c r="R798" s="2" t="s">
        <v>18</v>
      </c>
      <c r="S798">
        <v>3</v>
      </c>
    </row>
    <row r="799" spans="1:19" x14ac:dyDescent="0.3">
      <c r="A799">
        <v>3040</v>
      </c>
      <c r="B799">
        <f>YEAR(Cleaned_HR_Data_Analysis__2[[#This Row],[Joining_Date]])</f>
        <v>2020</v>
      </c>
      <c r="C799" s="1">
        <v>44179</v>
      </c>
      <c r="D799" s="1" t="str" cm="1">
        <f t="array" ref="D799">_xlfn.IFS(E799&lt;28, "17-27",
AND(E799&gt;27, E799&lt;38), "28-37",
AND(E799&gt;37, E799 &lt;48), "38-47",
AND(E799&gt;47, E799 &lt;58), "48-57",
AND(E799&gt;57, E799&lt;68), "58-67",
AND(E799&gt;67, E799&lt;78), "68-77",
E799&gt;77,"Above than 77")</f>
        <v>28-37</v>
      </c>
      <c r="E799">
        <v>36</v>
      </c>
      <c r="F799" s="1">
        <v>30713</v>
      </c>
      <c r="G799" s="1" t="str">
        <f>VLOOKUP(H799,Table7[#All], 2, FALSE)</f>
        <v>Massachusetts</v>
      </c>
      <c r="H799" s="2" t="s">
        <v>14</v>
      </c>
      <c r="I799" s="2" t="s">
        <v>15</v>
      </c>
      <c r="J799" s="2" t="s">
        <v>40</v>
      </c>
      <c r="K799" s="2" t="s">
        <v>8</v>
      </c>
      <c r="L799" s="2" t="s">
        <v>9</v>
      </c>
      <c r="M799" s="2" t="s">
        <v>25</v>
      </c>
      <c r="N799" s="2" t="s">
        <v>19</v>
      </c>
      <c r="O799" s="2" t="s">
        <v>12</v>
      </c>
      <c r="P799" s="2" t="s">
        <v>35</v>
      </c>
      <c r="Q799" s="2" t="s">
        <v>16</v>
      </c>
      <c r="R799" s="2" t="s">
        <v>18</v>
      </c>
      <c r="S799">
        <v>1</v>
      </c>
    </row>
    <row r="800" spans="1:19" x14ac:dyDescent="0.3">
      <c r="A800">
        <v>2059</v>
      </c>
      <c r="B800">
        <f>YEAR(Cleaned_HR_Data_Analysis__2[[#This Row],[Joining_Date]])</f>
        <v>2023</v>
      </c>
      <c r="C800" s="1">
        <v>45136</v>
      </c>
      <c r="D800" s="1" t="str" cm="1">
        <f t="array" ref="D800">_xlfn.IFS(E800&lt;28, "17-27",
AND(E800&gt;27, E800&lt;38), "28-37",
AND(E800&gt;37, E800 &lt;48), "38-47",
AND(E800&gt;47, E800 &lt;58), "48-57",
AND(E800&gt;57, E800&lt;68), "58-67",
AND(E800&gt;67, E800&lt;78), "68-77",
E800&gt;77,"Above than 77")</f>
        <v>28-37</v>
      </c>
      <c r="E800">
        <v>36</v>
      </c>
      <c r="F800" s="1">
        <v>31985</v>
      </c>
      <c r="G800" s="1" t="str">
        <f>VLOOKUP(H800,Table7[#All], 2, FALSE)</f>
        <v>Massachusetts</v>
      </c>
      <c r="H800" s="2" t="s">
        <v>14</v>
      </c>
      <c r="I800" s="2" t="s">
        <v>15</v>
      </c>
      <c r="J800" s="2" t="s">
        <v>34</v>
      </c>
      <c r="K800" s="2" t="s">
        <v>8</v>
      </c>
      <c r="L800" s="2" t="s">
        <v>66</v>
      </c>
      <c r="M800" s="2" t="s">
        <v>25</v>
      </c>
      <c r="N800" s="2" t="s">
        <v>11</v>
      </c>
      <c r="O800" s="2" t="s">
        <v>12</v>
      </c>
      <c r="P800" s="2" t="s">
        <v>32</v>
      </c>
      <c r="Q800" s="2" t="s">
        <v>16</v>
      </c>
      <c r="R800" s="2" t="s">
        <v>18</v>
      </c>
      <c r="S800">
        <v>4</v>
      </c>
    </row>
    <row r="801" spans="1:19" x14ac:dyDescent="0.3">
      <c r="A801">
        <v>2012</v>
      </c>
      <c r="B801">
        <f>YEAR(Cleaned_HR_Data_Analysis__2[[#This Row],[Joining_Date]])</f>
        <v>2020</v>
      </c>
      <c r="C801" s="1">
        <v>43854</v>
      </c>
      <c r="D801" s="1" t="str" cm="1">
        <f t="array" ref="D801">_xlfn.IFS(E801&lt;28, "17-27",
AND(E801&gt;27, E801&lt;38), "28-37",
AND(E801&gt;37, E801 &lt;48), "38-47",
AND(E801&gt;47, E801 &lt;58), "48-57",
AND(E801&gt;57, E801&lt;68), "58-67",
AND(E801&gt;67, E801&lt;78), "68-77",
E801&gt;77,"Above than 77")</f>
        <v>28-37</v>
      </c>
      <c r="E801">
        <v>36</v>
      </c>
      <c r="F801" s="1">
        <v>30839</v>
      </c>
      <c r="G801" s="1" t="str">
        <f>VLOOKUP(H801,Table7[#All], 2, FALSE)</f>
        <v>Massachusetts</v>
      </c>
      <c r="H801" s="2" t="s">
        <v>14</v>
      </c>
      <c r="I801" s="2" t="s">
        <v>15</v>
      </c>
      <c r="J801" s="2" t="s">
        <v>31</v>
      </c>
      <c r="K801" s="2" t="s">
        <v>8</v>
      </c>
      <c r="L801" s="2" t="s">
        <v>9</v>
      </c>
      <c r="M801" s="2" t="s">
        <v>10</v>
      </c>
      <c r="N801" s="2" t="s">
        <v>26</v>
      </c>
      <c r="O801" s="2" t="s">
        <v>12</v>
      </c>
      <c r="P801" s="2" t="s">
        <v>28</v>
      </c>
      <c r="Q801" s="2" t="s">
        <v>16</v>
      </c>
      <c r="R801" s="2" t="s">
        <v>18</v>
      </c>
      <c r="S801">
        <v>3</v>
      </c>
    </row>
    <row r="802" spans="1:19" x14ac:dyDescent="0.3">
      <c r="A802">
        <v>1862</v>
      </c>
      <c r="B802">
        <f>YEAR(Cleaned_HR_Data_Analysis__2[[#This Row],[Joining_Date]])</f>
        <v>2021</v>
      </c>
      <c r="C802" s="1">
        <v>44438</v>
      </c>
      <c r="D802" s="1" t="str" cm="1">
        <f t="array" ref="D802">_xlfn.IFS(E802&lt;28, "17-27",
AND(E802&gt;27, E802&lt;38), "28-37",
AND(E802&gt;37, E802 &lt;48), "38-47",
AND(E802&gt;47, E802 &lt;58), "48-57",
AND(E802&gt;57, E802&lt;68), "58-67",
AND(E802&gt;67, E802&lt;78), "68-77",
E802&gt;77,"Above than 77")</f>
        <v>28-37</v>
      </c>
      <c r="E802">
        <v>36</v>
      </c>
      <c r="F802" s="1">
        <v>31131</v>
      </c>
      <c r="G802" s="1" t="str">
        <f>VLOOKUP(H802,Table7[#All], 2, FALSE)</f>
        <v>Massachusetts</v>
      </c>
      <c r="H802" s="2" t="s">
        <v>14</v>
      </c>
      <c r="I802" s="2" t="s">
        <v>22</v>
      </c>
      <c r="J802" s="2" t="s">
        <v>31</v>
      </c>
      <c r="K802" s="2" t="s">
        <v>8</v>
      </c>
      <c r="L802" s="2" t="s">
        <v>9</v>
      </c>
      <c r="M802" s="2" t="s">
        <v>25</v>
      </c>
      <c r="N802" s="2" t="s">
        <v>11</v>
      </c>
      <c r="O802" s="2" t="s">
        <v>12</v>
      </c>
      <c r="P802" s="2" t="s">
        <v>21</v>
      </c>
      <c r="Q802" s="2" t="s">
        <v>30</v>
      </c>
      <c r="R802" s="2" t="s">
        <v>41</v>
      </c>
      <c r="S802">
        <v>4</v>
      </c>
    </row>
    <row r="803" spans="1:19" x14ac:dyDescent="0.3">
      <c r="A803">
        <v>1781</v>
      </c>
      <c r="B803">
        <f>YEAR(Cleaned_HR_Data_Analysis__2[[#This Row],[Joining_Date]])</f>
        <v>2019</v>
      </c>
      <c r="C803" s="1">
        <v>43587</v>
      </c>
      <c r="D803" s="1" t="str" cm="1">
        <f t="array" ref="D803">_xlfn.IFS(E803&lt;28, "17-27",
AND(E803&gt;27, E803&lt;38), "28-37",
AND(E803&gt;37, E803 &lt;48), "38-47",
AND(E803&gt;47, E803 &lt;58), "48-57",
AND(E803&gt;57, E803&lt;68), "58-67",
AND(E803&gt;67, E803&lt;78), "68-77",
E803&gt;77,"Above than 77")</f>
        <v>28-37</v>
      </c>
      <c r="E803">
        <v>36</v>
      </c>
      <c r="F803" s="1">
        <v>30661</v>
      </c>
      <c r="G803" s="1" t="str">
        <f>VLOOKUP(H803,Table7[#All], 2, FALSE)</f>
        <v>Massachusetts</v>
      </c>
      <c r="H803" s="2" t="s">
        <v>14</v>
      </c>
      <c r="I803" s="2" t="s">
        <v>15</v>
      </c>
      <c r="J803" s="2" t="s">
        <v>40</v>
      </c>
      <c r="K803" s="2" t="s">
        <v>8</v>
      </c>
      <c r="L803" s="2" t="s">
        <v>9</v>
      </c>
      <c r="M803" s="2" t="s">
        <v>10</v>
      </c>
      <c r="N803" s="2" t="s">
        <v>19</v>
      </c>
      <c r="O803" s="2" t="s">
        <v>12</v>
      </c>
      <c r="P803" s="2" t="s">
        <v>28</v>
      </c>
      <c r="Q803" s="2" t="s">
        <v>16</v>
      </c>
      <c r="R803" s="2" t="s">
        <v>18</v>
      </c>
      <c r="S803">
        <v>2</v>
      </c>
    </row>
    <row r="804" spans="1:19" x14ac:dyDescent="0.3">
      <c r="A804">
        <v>1593</v>
      </c>
      <c r="B804">
        <f>YEAR(Cleaned_HR_Data_Analysis__2[[#This Row],[Joining_Date]])</f>
        <v>2020</v>
      </c>
      <c r="C804" s="1">
        <v>44170</v>
      </c>
      <c r="D804" s="1" t="str" cm="1">
        <f t="array" ref="D804">_xlfn.IFS(E804&lt;28, "17-27",
AND(E804&gt;27, E804&lt;38), "28-37",
AND(E804&gt;37, E804 &lt;48), "38-47",
AND(E804&gt;47, E804 &lt;58), "48-57",
AND(E804&gt;57, E804&lt;68), "58-67",
AND(E804&gt;67, E804&lt;78), "68-77",
E804&gt;77,"Above than 77")</f>
        <v>28-37</v>
      </c>
      <c r="E804">
        <v>36</v>
      </c>
      <c r="F804" s="1">
        <v>31004</v>
      </c>
      <c r="G804" s="1" t="str">
        <f>VLOOKUP(H804,Table7[#All], 2, FALSE)</f>
        <v>Massachusetts</v>
      </c>
      <c r="H804" s="2" t="s">
        <v>14</v>
      </c>
      <c r="I804" s="2" t="s">
        <v>22</v>
      </c>
      <c r="J804" s="2" t="s">
        <v>17</v>
      </c>
      <c r="K804" s="2" t="s">
        <v>8</v>
      </c>
      <c r="L804" s="2" t="s">
        <v>9</v>
      </c>
      <c r="M804" s="2" t="s">
        <v>20</v>
      </c>
      <c r="N804" s="2" t="s">
        <v>26</v>
      </c>
      <c r="O804" s="2" t="s">
        <v>12</v>
      </c>
      <c r="P804" s="2" t="s">
        <v>60</v>
      </c>
      <c r="Q804" s="2" t="s">
        <v>46</v>
      </c>
      <c r="R804" s="2" t="s">
        <v>41</v>
      </c>
      <c r="S804">
        <v>4</v>
      </c>
    </row>
    <row r="805" spans="1:19" x14ac:dyDescent="0.3">
      <c r="A805">
        <v>1573</v>
      </c>
      <c r="B805">
        <f>YEAR(Cleaned_HR_Data_Analysis__2[[#This Row],[Joining_Date]])</f>
        <v>2021</v>
      </c>
      <c r="C805" s="1">
        <v>44272</v>
      </c>
      <c r="D805" s="1" t="str" cm="1">
        <f t="array" ref="D805">_xlfn.IFS(E805&lt;28, "17-27",
AND(E805&gt;27, E805&lt;38), "28-37",
AND(E805&gt;37, E805 &lt;48), "38-47",
AND(E805&gt;47, E805 &lt;58), "48-57",
AND(E805&gt;57, E805&lt;68), "58-67",
AND(E805&gt;67, E805&lt;78), "68-77",
E805&gt;77,"Above than 77")</f>
        <v>28-37</v>
      </c>
      <c r="E805">
        <v>36</v>
      </c>
      <c r="F805" s="1">
        <v>31066</v>
      </c>
      <c r="G805" s="1" t="str">
        <f>VLOOKUP(H805,Table7[#All], 2, FALSE)</f>
        <v>Massachusetts</v>
      </c>
      <c r="H805" s="2" t="s">
        <v>14</v>
      </c>
      <c r="I805" s="2" t="s">
        <v>15</v>
      </c>
      <c r="J805" s="2" t="s">
        <v>17</v>
      </c>
      <c r="K805" s="2" t="s">
        <v>8</v>
      </c>
      <c r="L805" s="2" t="s">
        <v>9</v>
      </c>
      <c r="M805" s="2" t="s">
        <v>10</v>
      </c>
      <c r="N805" s="2" t="s">
        <v>19</v>
      </c>
      <c r="O805" s="2" t="s">
        <v>12</v>
      </c>
      <c r="P805" s="2" t="s">
        <v>58</v>
      </c>
      <c r="Q805" s="2" t="s">
        <v>30</v>
      </c>
      <c r="R805" s="2" t="s">
        <v>18</v>
      </c>
      <c r="S805">
        <v>1</v>
      </c>
    </row>
    <row r="806" spans="1:19" x14ac:dyDescent="0.3">
      <c r="A806">
        <v>1503</v>
      </c>
      <c r="B806">
        <f>YEAR(Cleaned_HR_Data_Analysis__2[[#This Row],[Joining_Date]])</f>
        <v>2021</v>
      </c>
      <c r="C806" s="1">
        <v>44360</v>
      </c>
      <c r="D806" s="1" t="str" cm="1">
        <f t="array" ref="D806">_xlfn.IFS(E806&lt;28, "17-27",
AND(E806&gt;27, E806&lt;38), "28-37",
AND(E806&gt;37, E806 &lt;48), "38-47",
AND(E806&gt;47, E806 &lt;58), "48-57",
AND(E806&gt;57, E806&lt;68), "58-67",
AND(E806&gt;67, E806&lt;78), "68-77",
E806&gt;77,"Above than 77")</f>
        <v>28-37</v>
      </c>
      <c r="E806">
        <v>36</v>
      </c>
      <c r="F806" s="1">
        <v>31158</v>
      </c>
      <c r="G806" s="1" t="str">
        <f>VLOOKUP(H806,Table7[#All], 2, FALSE)</f>
        <v>Massachusetts</v>
      </c>
      <c r="H806" s="2" t="s">
        <v>14</v>
      </c>
      <c r="I806" s="2" t="s">
        <v>15</v>
      </c>
      <c r="J806" s="2" t="s">
        <v>31</v>
      </c>
      <c r="K806" s="2" t="s">
        <v>8</v>
      </c>
      <c r="L806" s="2" t="s">
        <v>9</v>
      </c>
      <c r="M806" s="2" t="s">
        <v>10</v>
      </c>
      <c r="N806" s="2" t="s">
        <v>19</v>
      </c>
      <c r="O806" s="2" t="s">
        <v>12</v>
      </c>
      <c r="P806" s="2" t="s">
        <v>28</v>
      </c>
      <c r="Q806" s="2" t="s">
        <v>37</v>
      </c>
      <c r="R806" s="2" t="s">
        <v>18</v>
      </c>
      <c r="S806">
        <v>2</v>
      </c>
    </row>
    <row r="807" spans="1:19" x14ac:dyDescent="0.3">
      <c r="A807">
        <v>1311</v>
      </c>
      <c r="B807">
        <f>YEAR(Cleaned_HR_Data_Analysis__2[[#This Row],[Joining_Date]])</f>
        <v>2023</v>
      </c>
      <c r="C807" s="1">
        <v>45072</v>
      </c>
      <c r="D807" s="1" t="str" cm="1">
        <f t="array" ref="D807">_xlfn.IFS(E807&lt;28, "17-27",
AND(E807&gt;27, E807&lt;38), "28-37",
AND(E807&gt;37, E807 &lt;48), "38-47",
AND(E807&gt;47, E807 &lt;58), "48-57",
AND(E807&gt;57, E807&lt;68), "58-67",
AND(E807&gt;67, E807&lt;78), "68-77",
E807&gt;77,"Above than 77")</f>
        <v>28-37</v>
      </c>
      <c r="E807">
        <v>36</v>
      </c>
      <c r="F807" s="1">
        <v>31830</v>
      </c>
      <c r="G807" s="1" t="str">
        <f>VLOOKUP(H807,Table7[#All], 2, FALSE)</f>
        <v>Massachusetts</v>
      </c>
      <c r="H807" s="2" t="s">
        <v>14</v>
      </c>
      <c r="I807" s="2" t="s">
        <v>22</v>
      </c>
      <c r="J807" s="2" t="s">
        <v>31</v>
      </c>
      <c r="K807" s="2" t="s">
        <v>8</v>
      </c>
      <c r="L807" s="2" t="s">
        <v>9</v>
      </c>
      <c r="M807" s="2" t="s">
        <v>25</v>
      </c>
      <c r="N807" s="2" t="s">
        <v>11</v>
      </c>
      <c r="O807" s="2" t="s">
        <v>12</v>
      </c>
      <c r="P807" s="2" t="s">
        <v>42</v>
      </c>
      <c r="Q807" s="2" t="s">
        <v>46</v>
      </c>
      <c r="R807" s="2" t="s">
        <v>18</v>
      </c>
      <c r="S807">
        <v>2</v>
      </c>
    </row>
    <row r="808" spans="1:19" x14ac:dyDescent="0.3">
      <c r="A808">
        <v>1138</v>
      </c>
      <c r="B808">
        <f>YEAR(Cleaned_HR_Data_Analysis__2[[#This Row],[Joining_Date]])</f>
        <v>2019</v>
      </c>
      <c r="C808" s="1">
        <v>43658</v>
      </c>
      <c r="D808" s="1" t="str" cm="1">
        <f t="array" ref="D808">_xlfn.IFS(E808&lt;28, "17-27",
AND(E808&gt;27, E808&lt;38), "28-37",
AND(E808&gt;37, E808 &lt;48), "38-47",
AND(E808&gt;47, E808 &lt;58), "48-57",
AND(E808&gt;57, E808&lt;68), "58-67",
AND(E808&gt;67, E808&lt;78), "68-77",
E808&gt;77,"Above than 77")</f>
        <v>28-37</v>
      </c>
      <c r="E808">
        <v>36</v>
      </c>
      <c r="F808" s="1">
        <v>30530</v>
      </c>
      <c r="G808" s="1" t="str">
        <f>VLOOKUP(H808,Table7[#All], 2, FALSE)</f>
        <v>Massachusetts</v>
      </c>
      <c r="H808" s="2" t="s">
        <v>14</v>
      </c>
      <c r="I808" s="2" t="s">
        <v>22</v>
      </c>
      <c r="J808" s="2" t="s">
        <v>40</v>
      </c>
      <c r="K808" s="2" t="s">
        <v>8</v>
      </c>
      <c r="L808" s="2" t="s">
        <v>9</v>
      </c>
      <c r="M808" s="2" t="s">
        <v>25</v>
      </c>
      <c r="N808" s="2" t="s">
        <v>26</v>
      </c>
      <c r="O808" s="2" t="s">
        <v>12</v>
      </c>
      <c r="P808" s="2" t="s">
        <v>38</v>
      </c>
      <c r="Q808" s="2" t="s">
        <v>37</v>
      </c>
      <c r="R808" s="2" t="s">
        <v>18</v>
      </c>
      <c r="S808">
        <v>5</v>
      </c>
    </row>
    <row r="809" spans="1:19" x14ac:dyDescent="0.3">
      <c r="A809">
        <v>2395</v>
      </c>
      <c r="B809">
        <f>YEAR(Cleaned_HR_Data_Analysis__2[[#This Row],[Joining_Date]])</f>
        <v>2019</v>
      </c>
      <c r="C809" s="1">
        <v>43809</v>
      </c>
      <c r="D809" s="1" t="str" cm="1">
        <f t="array" ref="D809">_xlfn.IFS(E809&lt;28, "17-27",
AND(E809&gt;27, E809&lt;38), "28-37",
AND(E809&gt;37, E809 &lt;48), "38-47",
AND(E809&gt;47, E809 &lt;58), "48-57",
AND(E809&gt;57, E809&lt;68), "58-67",
AND(E809&gt;67, E809&lt;78), "68-77",
E809&gt;77,"Above than 77")</f>
        <v>28-37</v>
      </c>
      <c r="E809">
        <v>36</v>
      </c>
      <c r="F809" s="1">
        <v>30491</v>
      </c>
      <c r="G809" s="1" t="str">
        <f>VLOOKUP(H809,Table7[#All], 2, FALSE)</f>
        <v>Massachusetts</v>
      </c>
      <c r="H809" s="2" t="s">
        <v>14</v>
      </c>
      <c r="I809" s="2" t="s">
        <v>22</v>
      </c>
      <c r="J809" s="2" t="s">
        <v>40</v>
      </c>
      <c r="K809" s="2" t="s">
        <v>91</v>
      </c>
      <c r="L809" s="2" t="s">
        <v>9</v>
      </c>
      <c r="M809" s="2" t="s">
        <v>20</v>
      </c>
      <c r="N809" s="2" t="s">
        <v>11</v>
      </c>
      <c r="O809" s="2" t="s">
        <v>12</v>
      </c>
      <c r="P809" s="2" t="s">
        <v>38</v>
      </c>
      <c r="Q809" s="2" t="s">
        <v>37</v>
      </c>
      <c r="R809" s="2" t="s">
        <v>18</v>
      </c>
      <c r="S809">
        <v>1</v>
      </c>
    </row>
    <row r="810" spans="1:19" x14ac:dyDescent="0.3">
      <c r="A810">
        <v>2319</v>
      </c>
      <c r="B810">
        <f>YEAR(Cleaned_HR_Data_Analysis__2[[#This Row],[Joining_Date]])</f>
        <v>2019</v>
      </c>
      <c r="C810" s="1">
        <v>43552</v>
      </c>
      <c r="D810" s="1" t="str" cm="1">
        <f t="array" ref="D810">_xlfn.IFS(E810&lt;28, "17-27",
AND(E810&gt;27, E810&lt;38), "28-37",
AND(E810&gt;37, E810 &lt;48), "38-47",
AND(E810&gt;47, E810 &lt;58), "48-57",
AND(E810&gt;57, E810&lt;68), "58-67",
AND(E810&gt;67, E810&lt;78), "68-77",
E810&gt;77,"Above than 77")</f>
        <v>28-37</v>
      </c>
      <c r="E810">
        <v>36</v>
      </c>
      <c r="F810" s="1">
        <v>30365</v>
      </c>
      <c r="G810" s="1" t="str">
        <f>VLOOKUP(H810,Table7[#All], 2, FALSE)</f>
        <v>Massachusetts</v>
      </c>
      <c r="H810" s="2" t="s">
        <v>14</v>
      </c>
      <c r="I810" s="2" t="s">
        <v>15</v>
      </c>
      <c r="J810" s="2" t="s">
        <v>17</v>
      </c>
      <c r="K810" s="2" t="s">
        <v>91</v>
      </c>
      <c r="L810" s="2" t="s">
        <v>66</v>
      </c>
      <c r="M810" s="2" t="s">
        <v>10</v>
      </c>
      <c r="N810" s="2" t="s">
        <v>19</v>
      </c>
      <c r="O810" s="2" t="s">
        <v>12</v>
      </c>
      <c r="P810" s="2" t="s">
        <v>28</v>
      </c>
      <c r="Q810" s="2" t="s">
        <v>16</v>
      </c>
      <c r="R810" s="2" t="s">
        <v>18</v>
      </c>
      <c r="S810">
        <v>4</v>
      </c>
    </row>
    <row r="811" spans="1:19" x14ac:dyDescent="0.3">
      <c r="A811">
        <v>2315</v>
      </c>
      <c r="B811">
        <f>YEAR(Cleaned_HR_Data_Analysis__2[[#This Row],[Joining_Date]])</f>
        <v>2022</v>
      </c>
      <c r="C811" s="1">
        <v>44724</v>
      </c>
      <c r="D811" s="1" t="str" cm="1">
        <f t="array" ref="D811">_xlfn.IFS(E811&lt;28, "17-27",
AND(E811&gt;27, E811&lt;38), "28-37",
AND(E811&gt;37, E811 &lt;48), "38-47",
AND(E811&gt;47, E811 &lt;58), "48-57",
AND(E811&gt;57, E811&lt;68), "58-67",
AND(E811&gt;67, E811&lt;78), "68-77",
E811&gt;77,"Above than 77")</f>
        <v>28-37</v>
      </c>
      <c r="E811">
        <v>36</v>
      </c>
      <c r="F811" s="1">
        <v>31462</v>
      </c>
      <c r="G811" s="1" t="str">
        <f>VLOOKUP(H811,Table7[#All], 2, FALSE)</f>
        <v>Massachusetts</v>
      </c>
      <c r="H811" s="2" t="s">
        <v>14</v>
      </c>
      <c r="I811" s="2" t="s">
        <v>15</v>
      </c>
      <c r="J811" s="2" t="s">
        <v>34</v>
      </c>
      <c r="K811" s="2" t="s">
        <v>91</v>
      </c>
      <c r="L811" s="2" t="s">
        <v>9</v>
      </c>
      <c r="M811" s="2" t="s">
        <v>25</v>
      </c>
      <c r="N811" s="2" t="s">
        <v>19</v>
      </c>
      <c r="O811" s="2" t="s">
        <v>12</v>
      </c>
      <c r="P811" s="2" t="s">
        <v>54</v>
      </c>
      <c r="Q811" s="2" t="s">
        <v>30</v>
      </c>
      <c r="R811" s="2" t="s">
        <v>18</v>
      </c>
      <c r="S811">
        <v>3</v>
      </c>
    </row>
    <row r="812" spans="1:19" x14ac:dyDescent="0.3">
      <c r="A812">
        <v>1697</v>
      </c>
      <c r="B812">
        <f>YEAR(Cleaned_HR_Data_Analysis__2[[#This Row],[Joining_Date]])</f>
        <v>2023</v>
      </c>
      <c r="C812" s="1">
        <v>45070</v>
      </c>
      <c r="D812" s="1" t="str" cm="1">
        <f t="array" ref="D812">_xlfn.IFS(E812&lt;28, "17-27",
AND(E812&gt;27, E812&lt;38), "28-37",
AND(E812&gt;37, E812 &lt;48), "38-47",
AND(E812&gt;47, E812 &lt;58), "48-57",
AND(E812&gt;57, E812&lt;68), "58-67",
AND(E812&gt;67, E812&lt;78), "68-77",
E812&gt;77,"Above than 77")</f>
        <v>28-37</v>
      </c>
      <c r="E812">
        <v>36</v>
      </c>
      <c r="F812" s="1">
        <v>31943</v>
      </c>
      <c r="G812" s="1" t="str">
        <f>VLOOKUP(H812,Table7[#All], 2, FALSE)</f>
        <v>Massachusetts</v>
      </c>
      <c r="H812" s="2" t="s">
        <v>14</v>
      </c>
      <c r="I812" s="2" t="s">
        <v>22</v>
      </c>
      <c r="J812" s="2" t="s">
        <v>17</v>
      </c>
      <c r="K812" s="2" t="s">
        <v>97</v>
      </c>
      <c r="L812" s="2" t="s">
        <v>9</v>
      </c>
      <c r="M812" s="2" t="s">
        <v>25</v>
      </c>
      <c r="N812" s="2" t="s">
        <v>26</v>
      </c>
      <c r="O812" s="2" t="s">
        <v>53</v>
      </c>
      <c r="P812" s="2" t="s">
        <v>32</v>
      </c>
      <c r="Q812" s="2" t="s">
        <v>46</v>
      </c>
      <c r="R812" s="2" t="s">
        <v>18</v>
      </c>
      <c r="S812">
        <v>5</v>
      </c>
    </row>
    <row r="813" spans="1:19" x14ac:dyDescent="0.3">
      <c r="A813">
        <v>1652</v>
      </c>
      <c r="B813">
        <f>YEAR(Cleaned_HR_Data_Analysis__2[[#This Row],[Joining_Date]])</f>
        <v>2021</v>
      </c>
      <c r="C813" s="1">
        <v>44529</v>
      </c>
      <c r="D813" s="1" t="str" cm="1">
        <f t="array" ref="D813">_xlfn.IFS(E813&lt;28, "17-27",
AND(E813&gt;27, E813&lt;38), "28-37",
AND(E813&gt;37, E813 &lt;48), "38-47",
AND(E813&gt;47, E813 &lt;58), "48-57",
AND(E813&gt;57, E813&lt;68), "58-67",
AND(E813&gt;67, E813&lt;78), "68-77",
E813&gt;77,"Above than 77")</f>
        <v>28-37</v>
      </c>
      <c r="E813">
        <v>36</v>
      </c>
      <c r="F813" s="1">
        <v>31199</v>
      </c>
      <c r="G813" s="1" t="str">
        <f>VLOOKUP(H813,Table7[#All], 2, FALSE)</f>
        <v>Massachusetts</v>
      </c>
      <c r="H813" s="2" t="s">
        <v>14</v>
      </c>
      <c r="I813" s="2" t="s">
        <v>15</v>
      </c>
      <c r="J813" s="2" t="s">
        <v>31</v>
      </c>
      <c r="K813" s="2" t="s">
        <v>97</v>
      </c>
      <c r="L813" s="2" t="s">
        <v>66</v>
      </c>
      <c r="M813" s="2" t="s">
        <v>25</v>
      </c>
      <c r="N813" s="2" t="s">
        <v>11</v>
      </c>
      <c r="O813" s="2" t="s">
        <v>53</v>
      </c>
      <c r="P813" s="2" t="s">
        <v>35</v>
      </c>
      <c r="Q813" s="2" t="s">
        <v>16</v>
      </c>
      <c r="R813" s="2" t="s">
        <v>18</v>
      </c>
      <c r="S813">
        <v>4</v>
      </c>
    </row>
    <row r="814" spans="1:19" x14ac:dyDescent="0.3">
      <c r="A814">
        <v>2727</v>
      </c>
      <c r="B814">
        <f>YEAR(Cleaned_HR_Data_Analysis__2[[#This Row],[Joining_Date]])</f>
        <v>2020</v>
      </c>
      <c r="C814" s="1">
        <v>43875</v>
      </c>
      <c r="D814" s="1" t="str" cm="1">
        <f t="array" ref="D814">_xlfn.IFS(E814&lt;28, "17-27",
AND(E814&gt;27, E814&lt;38), "28-37",
AND(E814&gt;37, E814 &lt;48), "38-47",
AND(E814&gt;47, E814 &lt;58), "48-57",
AND(E814&gt;57, E814&lt;68), "58-67",
AND(E814&gt;67, E814&lt;78), "68-77",
E814&gt;77,"Above than 77")</f>
        <v>28-37</v>
      </c>
      <c r="E814">
        <v>36</v>
      </c>
      <c r="F814" s="1">
        <v>30967</v>
      </c>
      <c r="G814" s="1" t="str">
        <f>VLOOKUP(H814,Table7[#All], 2, FALSE)</f>
        <v>New York</v>
      </c>
      <c r="H814" s="2" t="s">
        <v>118</v>
      </c>
      <c r="I814" s="2" t="s">
        <v>22</v>
      </c>
      <c r="J814" s="2" t="s">
        <v>40</v>
      </c>
      <c r="K814" s="2" t="s">
        <v>24</v>
      </c>
      <c r="L814" s="2" t="s">
        <v>9</v>
      </c>
      <c r="M814" s="2" t="s">
        <v>10</v>
      </c>
      <c r="N814" s="2" t="s">
        <v>11</v>
      </c>
      <c r="O814" s="2" t="s">
        <v>27</v>
      </c>
      <c r="P814" s="2" t="s">
        <v>32</v>
      </c>
      <c r="Q814" s="2" t="s">
        <v>16</v>
      </c>
      <c r="R814" s="2" t="s">
        <v>18</v>
      </c>
      <c r="S814">
        <v>3</v>
      </c>
    </row>
    <row r="815" spans="1:19" x14ac:dyDescent="0.3">
      <c r="A815">
        <v>3445</v>
      </c>
      <c r="B815">
        <f>YEAR(Cleaned_HR_Data_Analysis__2[[#This Row],[Joining_Date]])</f>
        <v>2021</v>
      </c>
      <c r="C815" s="1">
        <v>44212</v>
      </c>
      <c r="D815" s="1" t="str" cm="1">
        <f t="array" ref="D815">_xlfn.IFS(E815&lt;28, "17-27",
AND(E815&gt;27, E815&lt;38), "28-37",
AND(E815&gt;37, E815 &lt;48), "38-47",
AND(E815&gt;47, E815 &lt;58), "48-57",
AND(E815&gt;57, E815&lt;68), "58-67",
AND(E815&gt;67, E815&lt;78), "68-77",
E815&gt;77,"Above than 77")</f>
        <v>28-37</v>
      </c>
      <c r="E815">
        <v>36</v>
      </c>
      <c r="F815" s="1">
        <v>31388</v>
      </c>
      <c r="G815" s="1" t="str">
        <f>VLOOKUP(H815,Table7[#All], 2, FALSE)</f>
        <v>Kentucky</v>
      </c>
      <c r="H815" s="2" t="s">
        <v>51</v>
      </c>
      <c r="I815" s="2" t="s">
        <v>15</v>
      </c>
      <c r="J815" s="2" t="s">
        <v>34</v>
      </c>
      <c r="K815" s="2" t="s">
        <v>24</v>
      </c>
      <c r="L815" s="2" t="s">
        <v>9</v>
      </c>
      <c r="M815" s="2" t="s">
        <v>10</v>
      </c>
      <c r="N815" s="2" t="s">
        <v>11</v>
      </c>
      <c r="O815" s="2" t="s">
        <v>27</v>
      </c>
      <c r="P815" s="2" t="s">
        <v>54</v>
      </c>
      <c r="Q815" s="2" t="s">
        <v>30</v>
      </c>
      <c r="R815" s="2" t="s">
        <v>41</v>
      </c>
      <c r="S815">
        <v>5</v>
      </c>
    </row>
    <row r="816" spans="1:19" x14ac:dyDescent="0.3">
      <c r="A816">
        <v>2681</v>
      </c>
      <c r="B816">
        <f>YEAR(Cleaned_HR_Data_Analysis__2[[#This Row],[Joining_Date]])</f>
        <v>2020</v>
      </c>
      <c r="C816" s="1">
        <v>43998</v>
      </c>
      <c r="D816" s="1" t="str" cm="1">
        <f t="array" ref="D816">_xlfn.IFS(E816&lt;28, "17-27",
AND(E816&gt;27, E816&lt;38), "28-37",
AND(E816&gt;37, E816 &lt;48), "38-47",
AND(E816&gt;47, E816 &lt;58), "48-57",
AND(E816&gt;57, E816&lt;68), "58-67",
AND(E816&gt;67, E816&lt;78), "68-77",
E816&gt;77,"Above than 77")</f>
        <v>28-37</v>
      </c>
      <c r="E816">
        <v>36</v>
      </c>
      <c r="F816" s="1">
        <v>30716</v>
      </c>
      <c r="G816" s="1" t="str">
        <f>VLOOKUP(H816,Table7[#All], 2, FALSE)</f>
        <v>Idaho</v>
      </c>
      <c r="H816" s="2" t="s">
        <v>111</v>
      </c>
      <c r="I816" s="2" t="s">
        <v>22</v>
      </c>
      <c r="J816" s="2" t="s">
        <v>34</v>
      </c>
      <c r="K816" s="2" t="s">
        <v>24</v>
      </c>
      <c r="L816" s="2" t="s">
        <v>9</v>
      </c>
      <c r="M816" s="2" t="s">
        <v>20</v>
      </c>
      <c r="N816" s="2" t="s">
        <v>11</v>
      </c>
      <c r="O816" s="2" t="s">
        <v>27</v>
      </c>
      <c r="P816" s="2" t="s">
        <v>35</v>
      </c>
      <c r="Q816" s="2" t="s">
        <v>37</v>
      </c>
      <c r="R816" s="2" t="s">
        <v>18</v>
      </c>
      <c r="S816">
        <v>3</v>
      </c>
    </row>
    <row r="817" spans="1:19" x14ac:dyDescent="0.3">
      <c r="A817">
        <v>3539</v>
      </c>
      <c r="B817">
        <f>YEAR(Cleaned_HR_Data_Analysis__2[[#This Row],[Joining_Date]])</f>
        <v>2019</v>
      </c>
      <c r="C817" s="1">
        <v>43807</v>
      </c>
      <c r="D817" s="1" t="str" cm="1">
        <f t="array" ref="D817">_xlfn.IFS(E817&lt;28, "17-27",
AND(E817&gt;27, E817&lt;38), "28-37",
AND(E817&gt;37, E817 &lt;48), "38-47",
AND(E817&gt;47, E817 &lt;58), "48-57",
AND(E817&gt;57, E817&lt;68), "58-67",
AND(E817&gt;67, E817&lt;78), "68-77",
E817&gt;77,"Above than 77")</f>
        <v>28-37</v>
      </c>
      <c r="E817">
        <v>36</v>
      </c>
      <c r="F817" s="1">
        <v>30647</v>
      </c>
      <c r="G817" s="1" t="str">
        <f>VLOOKUP(H817,Table7[#All], 2, FALSE)</f>
        <v>Colorado</v>
      </c>
      <c r="H817" s="2" t="s">
        <v>50</v>
      </c>
      <c r="I817" s="2" t="s">
        <v>22</v>
      </c>
      <c r="J817" s="2" t="s">
        <v>31</v>
      </c>
      <c r="K817" s="2" t="s">
        <v>24</v>
      </c>
      <c r="L817" s="2" t="s">
        <v>9</v>
      </c>
      <c r="M817" s="2" t="s">
        <v>25</v>
      </c>
      <c r="N817" s="2" t="s">
        <v>11</v>
      </c>
      <c r="O817" s="2" t="s">
        <v>27</v>
      </c>
      <c r="P817" s="2" t="s">
        <v>32</v>
      </c>
      <c r="Q817" s="2" t="s">
        <v>23</v>
      </c>
      <c r="R817" s="2" t="s">
        <v>18</v>
      </c>
      <c r="S817">
        <v>3</v>
      </c>
    </row>
    <row r="818" spans="1:19" x14ac:dyDescent="0.3">
      <c r="A818">
        <v>1362</v>
      </c>
      <c r="B818">
        <f>YEAR(Cleaned_HR_Data_Analysis__2[[#This Row],[Joining_Date]])</f>
        <v>2019</v>
      </c>
      <c r="C818" s="1">
        <v>43779</v>
      </c>
      <c r="D818" s="1" t="str" cm="1">
        <f t="array" ref="D818">_xlfn.IFS(E818&lt;28, "17-27",
AND(E818&gt;27, E818&lt;38), "28-37",
AND(E818&gt;37, E818 &lt;48), "38-47",
AND(E818&gt;47, E818 &lt;58), "48-57",
AND(E818&gt;57, E818&lt;68), "58-67",
AND(E818&gt;67, E818&lt;78), "68-77",
E818&gt;77,"Above than 77")</f>
        <v>28-37</v>
      </c>
      <c r="E818">
        <v>36</v>
      </c>
      <c r="F818" s="1">
        <v>30600</v>
      </c>
      <c r="G818" s="1" t="str">
        <f>VLOOKUP(H818,Table7[#All], 2, FALSE)</f>
        <v>Massachusetts</v>
      </c>
      <c r="H818" s="2" t="s">
        <v>14</v>
      </c>
      <c r="I818" s="2" t="s">
        <v>15</v>
      </c>
      <c r="J818" s="2" t="s">
        <v>17</v>
      </c>
      <c r="K818" s="2" t="s">
        <v>95</v>
      </c>
      <c r="L818" s="2" t="s">
        <v>9</v>
      </c>
      <c r="M818" s="2" t="s">
        <v>25</v>
      </c>
      <c r="N818" s="2" t="s">
        <v>11</v>
      </c>
      <c r="O818" s="2" t="s">
        <v>90</v>
      </c>
      <c r="P818" s="2" t="s">
        <v>32</v>
      </c>
      <c r="Q818" s="2" t="s">
        <v>46</v>
      </c>
      <c r="R818" s="2" t="s">
        <v>41</v>
      </c>
      <c r="S818">
        <v>2</v>
      </c>
    </row>
    <row r="819" spans="1:19" x14ac:dyDescent="0.3">
      <c r="A819">
        <v>1373</v>
      </c>
      <c r="B819">
        <f>YEAR(Cleaned_HR_Data_Analysis__2[[#This Row],[Joining_Date]])</f>
        <v>2022</v>
      </c>
      <c r="C819" s="1">
        <v>44573</v>
      </c>
      <c r="D819" s="1" t="str" cm="1">
        <f t="array" ref="D819">_xlfn.IFS(E819&lt;28, "17-27",
AND(E819&gt;27, E819&lt;38), "28-37",
AND(E819&gt;37, E819 &lt;48), "38-47",
AND(E819&gt;47, E819 &lt;58), "48-57",
AND(E819&gt;57, E819&lt;68), "58-67",
AND(E819&gt;67, E819&lt;78), "68-77",
E819&gt;77,"Above than 77")</f>
        <v>28-37</v>
      </c>
      <c r="E819">
        <v>36</v>
      </c>
      <c r="F819" s="1">
        <v>31522</v>
      </c>
      <c r="G819" s="1" t="str">
        <f>VLOOKUP(H819,Table7[#All], 2, FALSE)</f>
        <v>Massachusetts</v>
      </c>
      <c r="H819" s="2" t="s">
        <v>14</v>
      </c>
      <c r="I819" s="2" t="s">
        <v>22</v>
      </c>
      <c r="J819" s="2" t="s">
        <v>40</v>
      </c>
      <c r="K819" s="2" t="s">
        <v>96</v>
      </c>
      <c r="L819" s="2" t="s">
        <v>9</v>
      </c>
      <c r="M819" s="2" t="s">
        <v>10</v>
      </c>
      <c r="N819" s="2" t="s">
        <v>19</v>
      </c>
      <c r="O819" s="2" t="s">
        <v>90</v>
      </c>
      <c r="P819" s="2" t="s">
        <v>35</v>
      </c>
      <c r="Q819" s="2" t="s">
        <v>30</v>
      </c>
      <c r="R819" s="2" t="s">
        <v>41</v>
      </c>
      <c r="S819">
        <v>2</v>
      </c>
    </row>
    <row r="820" spans="1:19" x14ac:dyDescent="0.3">
      <c r="A820">
        <v>1039</v>
      </c>
      <c r="B820">
        <f>YEAR(Cleaned_HR_Data_Analysis__2[[#This Row],[Joining_Date]])</f>
        <v>2019</v>
      </c>
      <c r="C820" s="1">
        <v>43699</v>
      </c>
      <c r="D820" s="1" t="str" cm="1">
        <f t="array" ref="D820">_xlfn.IFS(E820&lt;28, "17-27",
AND(E820&gt;27, E820&lt;38), "28-37",
AND(E820&gt;37, E820 &lt;48), "38-47",
AND(E820&gt;47, E820 &lt;58), "48-57",
AND(E820&gt;57, E820&lt;68), "58-67",
AND(E820&gt;67, E820&lt;78), "68-77",
E820&gt;77,"Above than 77")</f>
        <v>28-37</v>
      </c>
      <c r="E820">
        <v>37</v>
      </c>
      <c r="F820" s="1">
        <v>30272</v>
      </c>
      <c r="G820" s="1" t="str">
        <f>VLOOKUP(H820,Table7[#All], 2, FALSE)</f>
        <v>Massachusetts</v>
      </c>
      <c r="H820" s="2" t="s">
        <v>14</v>
      </c>
      <c r="I820" s="2" t="s">
        <v>15</v>
      </c>
      <c r="J820" s="2" t="s">
        <v>17</v>
      </c>
      <c r="K820" s="2" t="s">
        <v>86</v>
      </c>
      <c r="L820" s="2" t="s">
        <v>66</v>
      </c>
      <c r="M820" s="2" t="s">
        <v>20</v>
      </c>
      <c r="N820" s="2" t="s">
        <v>26</v>
      </c>
      <c r="O820" s="2" t="s">
        <v>87</v>
      </c>
      <c r="P820" s="2" t="s">
        <v>13</v>
      </c>
      <c r="Q820" s="2" t="s">
        <v>30</v>
      </c>
      <c r="R820" s="2" t="s">
        <v>18</v>
      </c>
      <c r="S820">
        <v>4</v>
      </c>
    </row>
    <row r="821" spans="1:19" x14ac:dyDescent="0.3">
      <c r="A821">
        <v>1656</v>
      </c>
      <c r="B821">
        <f>YEAR(Cleaned_HR_Data_Analysis__2[[#This Row],[Joining_Date]])</f>
        <v>2022</v>
      </c>
      <c r="C821" s="1">
        <v>44808</v>
      </c>
      <c r="D821" s="1" t="str" cm="1">
        <f t="array" ref="D821">_xlfn.IFS(E821&lt;28, "17-27",
AND(E821&gt;27, E821&lt;38), "28-37",
AND(E821&gt;37, E821 &lt;48), "38-47",
AND(E821&gt;47, E821 &lt;58), "48-57",
AND(E821&gt;57, E821&lt;68), "58-67",
AND(E821&gt;67, E821&lt;78), "68-77",
E821&gt;77,"Above than 77")</f>
        <v>28-37</v>
      </c>
      <c r="E821">
        <v>37</v>
      </c>
      <c r="F821" s="1">
        <v>31187</v>
      </c>
      <c r="G821" s="1" t="str">
        <f>VLOOKUP(H821,Table7[#All], 2, FALSE)</f>
        <v>Massachusetts</v>
      </c>
      <c r="H821" s="2" t="s">
        <v>14</v>
      </c>
      <c r="I821" s="2" t="s">
        <v>22</v>
      </c>
      <c r="J821" s="2" t="s">
        <v>31</v>
      </c>
      <c r="K821" s="2" t="s">
        <v>89</v>
      </c>
      <c r="L821" s="2" t="s">
        <v>9</v>
      </c>
      <c r="M821" s="2" t="s">
        <v>20</v>
      </c>
      <c r="N821" s="2" t="s">
        <v>11</v>
      </c>
      <c r="O821" s="2" t="s">
        <v>90</v>
      </c>
      <c r="P821" s="2" t="s">
        <v>35</v>
      </c>
      <c r="Q821" s="2" t="s">
        <v>37</v>
      </c>
      <c r="R821" s="2" t="s">
        <v>18</v>
      </c>
      <c r="S821">
        <v>4</v>
      </c>
    </row>
    <row r="822" spans="1:19" x14ac:dyDescent="0.3">
      <c r="A822">
        <v>1693</v>
      </c>
      <c r="B822">
        <f>YEAR(Cleaned_HR_Data_Analysis__2[[#This Row],[Joining_Date]])</f>
        <v>2022</v>
      </c>
      <c r="C822" s="1">
        <v>44919</v>
      </c>
      <c r="D822" s="1" t="str" cm="1">
        <f t="array" ref="D822">_xlfn.IFS(E822&lt;28, "17-27",
AND(E822&gt;27, E822&lt;38), "28-37",
AND(E822&gt;37, E822 &lt;48), "38-47",
AND(E822&gt;47, E822 &lt;58), "48-57",
AND(E822&gt;57, E822&lt;68), "58-67",
AND(E822&gt;67, E822&lt;78), "68-77",
E822&gt;77,"Above than 77")</f>
        <v>28-37</v>
      </c>
      <c r="E822">
        <v>37</v>
      </c>
      <c r="F822" s="1">
        <v>31272</v>
      </c>
      <c r="G822" s="1" t="str">
        <f>VLOOKUP(H822,Table7[#All], 2, FALSE)</f>
        <v>Massachusetts</v>
      </c>
      <c r="H822" s="2" t="s">
        <v>14</v>
      </c>
      <c r="I822" s="2" t="s">
        <v>15</v>
      </c>
      <c r="J822" s="2" t="s">
        <v>31</v>
      </c>
      <c r="K822" s="2" t="s">
        <v>98</v>
      </c>
      <c r="L822" s="2" t="s">
        <v>9</v>
      </c>
      <c r="M822" s="2" t="s">
        <v>10</v>
      </c>
      <c r="N822" s="2" t="s">
        <v>11</v>
      </c>
      <c r="O822" s="2" t="s">
        <v>53</v>
      </c>
      <c r="P822" s="2" t="s">
        <v>35</v>
      </c>
      <c r="Q822" s="2" t="s">
        <v>30</v>
      </c>
      <c r="R822" s="2" t="s">
        <v>18</v>
      </c>
      <c r="S822">
        <v>5</v>
      </c>
    </row>
    <row r="823" spans="1:19" x14ac:dyDescent="0.3">
      <c r="A823">
        <v>3072</v>
      </c>
      <c r="B823">
        <f>YEAR(Cleaned_HR_Data_Analysis__2[[#This Row],[Joining_Date]])</f>
        <v>2023</v>
      </c>
      <c r="C823" s="1">
        <v>45042</v>
      </c>
      <c r="D823" s="1" t="str" cm="1">
        <f t="array" ref="D823">_xlfn.IFS(E823&lt;28, "17-27",
AND(E823&gt;27, E823&lt;38), "28-37",
AND(E823&gt;37, E823 &lt;48), "38-47",
AND(E823&gt;47, E823 &lt;58), "48-57",
AND(E823&gt;57, E823&lt;68), "58-67",
AND(E823&gt;67, E823&lt;78), "68-77",
E823&gt;77,"Above than 77")</f>
        <v>28-37</v>
      </c>
      <c r="E823">
        <v>37</v>
      </c>
      <c r="F823" s="1">
        <v>31458</v>
      </c>
      <c r="G823" s="1" t="str">
        <f>VLOOKUP(H823,Table7[#All], 2, FALSE)</f>
        <v>Massachusetts</v>
      </c>
      <c r="H823" s="2" t="s">
        <v>14</v>
      </c>
      <c r="I823" s="2" t="s">
        <v>15</v>
      </c>
      <c r="J823" s="2" t="s">
        <v>40</v>
      </c>
      <c r="K823" s="2" t="s">
        <v>64</v>
      </c>
      <c r="L823" s="2" t="s">
        <v>9</v>
      </c>
      <c r="M823" s="2" t="s">
        <v>25</v>
      </c>
      <c r="N823" s="2" t="s">
        <v>26</v>
      </c>
      <c r="O823" s="2" t="s">
        <v>12</v>
      </c>
      <c r="P823" s="2" t="s">
        <v>61</v>
      </c>
      <c r="Q823" s="2" t="s">
        <v>46</v>
      </c>
      <c r="R823" s="2" t="s">
        <v>18</v>
      </c>
      <c r="S823">
        <v>4</v>
      </c>
    </row>
    <row r="824" spans="1:19" x14ac:dyDescent="0.3">
      <c r="A824">
        <v>2886</v>
      </c>
      <c r="B824">
        <f>YEAR(Cleaned_HR_Data_Analysis__2[[#This Row],[Joining_Date]])</f>
        <v>2020</v>
      </c>
      <c r="C824" s="1">
        <v>44049</v>
      </c>
      <c r="D824" s="1" t="str" cm="1">
        <f t="array" ref="D824">_xlfn.IFS(E824&lt;28, "17-27",
AND(E824&gt;27, E824&lt;38), "28-37",
AND(E824&gt;37, E824 &lt;48), "38-47",
AND(E824&gt;47, E824 &lt;58), "48-57",
AND(E824&gt;57, E824&lt;68), "58-67",
AND(E824&gt;67, E824&lt;78), "68-77",
E824&gt;77,"Above than 77")</f>
        <v>28-37</v>
      </c>
      <c r="E824">
        <v>37</v>
      </c>
      <c r="F824" s="1">
        <v>30619</v>
      </c>
      <c r="G824" s="1" t="str">
        <f>VLOOKUP(H824,Table7[#All], 2, FALSE)</f>
        <v>Massachusetts</v>
      </c>
      <c r="H824" s="2" t="s">
        <v>14</v>
      </c>
      <c r="I824" s="2" t="s">
        <v>22</v>
      </c>
      <c r="J824" s="2" t="s">
        <v>34</v>
      </c>
      <c r="K824" s="2" t="s">
        <v>64</v>
      </c>
      <c r="L824" s="2" t="s">
        <v>9</v>
      </c>
      <c r="M824" s="2" t="s">
        <v>10</v>
      </c>
      <c r="N824" s="2" t="s">
        <v>19</v>
      </c>
      <c r="O824" s="2" t="s">
        <v>12</v>
      </c>
      <c r="P824" s="2" t="s">
        <v>35</v>
      </c>
      <c r="Q824" s="2" t="s">
        <v>46</v>
      </c>
      <c r="R824" s="2" t="s">
        <v>18</v>
      </c>
      <c r="S824">
        <v>5</v>
      </c>
    </row>
    <row r="825" spans="1:19" x14ac:dyDescent="0.3">
      <c r="A825">
        <v>1798</v>
      </c>
      <c r="B825">
        <f>YEAR(Cleaned_HR_Data_Analysis__2[[#This Row],[Joining_Date]])</f>
        <v>2022</v>
      </c>
      <c r="C825" s="1">
        <v>44864</v>
      </c>
      <c r="D825" s="1" t="str" cm="1">
        <f t="array" ref="D825">_xlfn.IFS(E825&lt;28, "17-27",
AND(E825&gt;27, E825&lt;38), "28-37",
AND(E825&gt;37, E825 &lt;48), "38-47",
AND(E825&gt;47, E825 &lt;58), "48-57",
AND(E825&gt;57, E825&lt;68), "58-67",
AND(E825&gt;67, E825&lt;78), "68-77",
E825&gt;77,"Above than 77")</f>
        <v>28-37</v>
      </c>
      <c r="E825">
        <v>37</v>
      </c>
      <c r="F825" s="1">
        <v>31388</v>
      </c>
      <c r="G825" s="1" t="str">
        <f>VLOOKUP(H825,Table7[#All], 2, FALSE)</f>
        <v>Massachusetts</v>
      </c>
      <c r="H825" s="2" t="s">
        <v>14</v>
      </c>
      <c r="I825" s="2" t="s">
        <v>15</v>
      </c>
      <c r="J825" s="2" t="s">
        <v>17</v>
      </c>
      <c r="K825" s="2" t="s">
        <v>64</v>
      </c>
      <c r="L825" s="2" t="s">
        <v>9</v>
      </c>
      <c r="M825" s="2" t="s">
        <v>20</v>
      </c>
      <c r="N825" s="2" t="s">
        <v>19</v>
      </c>
      <c r="O825" s="2" t="s">
        <v>12</v>
      </c>
      <c r="P825" s="2" t="s">
        <v>49</v>
      </c>
      <c r="Q825" s="2" t="s">
        <v>37</v>
      </c>
      <c r="R825" s="2" t="s">
        <v>18</v>
      </c>
      <c r="S825">
        <v>2</v>
      </c>
    </row>
    <row r="826" spans="1:19" x14ac:dyDescent="0.3">
      <c r="A826">
        <v>1739</v>
      </c>
      <c r="B826">
        <f>YEAR(Cleaned_HR_Data_Analysis__2[[#This Row],[Joining_Date]])</f>
        <v>2019</v>
      </c>
      <c r="C826" s="1">
        <v>43661</v>
      </c>
      <c r="D826" s="1" t="str" cm="1">
        <f t="array" ref="D826">_xlfn.IFS(E826&lt;28, "17-27",
AND(E826&gt;27, E826&lt;38), "28-37",
AND(E826&gt;37, E826 &lt;48), "38-47",
AND(E826&gt;47, E826 &lt;58), "48-57",
AND(E826&gt;57, E826&lt;68), "58-67",
AND(E826&gt;67, E826&lt;78), "68-77",
E826&gt;77,"Above than 77")</f>
        <v>28-37</v>
      </c>
      <c r="E826">
        <v>37</v>
      </c>
      <c r="F826" s="1">
        <v>29962</v>
      </c>
      <c r="G826" s="1" t="str">
        <f>VLOOKUP(H826,Table7[#All], 2, FALSE)</f>
        <v>Massachusetts</v>
      </c>
      <c r="H826" s="2" t="s">
        <v>14</v>
      </c>
      <c r="I826" s="2" t="s">
        <v>15</v>
      </c>
      <c r="J826" s="2" t="s">
        <v>34</v>
      </c>
      <c r="K826" s="2" t="s">
        <v>64</v>
      </c>
      <c r="L826" s="2" t="s">
        <v>9</v>
      </c>
      <c r="M826" s="2" t="s">
        <v>10</v>
      </c>
      <c r="N826" s="2" t="s">
        <v>26</v>
      </c>
      <c r="O826" s="2" t="s">
        <v>12</v>
      </c>
      <c r="P826" s="2" t="s">
        <v>21</v>
      </c>
      <c r="Q826" s="2" t="s">
        <v>23</v>
      </c>
      <c r="R826" s="2" t="s">
        <v>18</v>
      </c>
      <c r="S826">
        <v>5</v>
      </c>
    </row>
    <row r="827" spans="1:19" x14ac:dyDescent="0.3">
      <c r="A827">
        <v>1215</v>
      </c>
      <c r="B827">
        <f>YEAR(Cleaned_HR_Data_Analysis__2[[#This Row],[Joining_Date]])</f>
        <v>2020</v>
      </c>
      <c r="C827" s="1">
        <v>43874</v>
      </c>
      <c r="D827" s="1" t="str" cm="1">
        <f t="array" ref="D827">_xlfn.IFS(E827&lt;28, "17-27",
AND(E827&gt;27, E827&lt;38), "28-37",
AND(E827&gt;37, E827 &lt;48), "38-47",
AND(E827&gt;47, E827 &lt;58), "48-57",
AND(E827&gt;57, E827&lt;68), "58-67",
AND(E827&gt;67, E827&lt;78), "68-77",
E827&gt;77,"Above than 77")</f>
        <v>28-37</v>
      </c>
      <c r="E827">
        <v>37</v>
      </c>
      <c r="F827" s="1">
        <v>30515</v>
      </c>
      <c r="G827" s="1" t="str">
        <f>VLOOKUP(H827,Table7[#All], 2, FALSE)</f>
        <v>Massachusetts</v>
      </c>
      <c r="H827" s="2" t="s">
        <v>14</v>
      </c>
      <c r="I827" s="2" t="s">
        <v>15</v>
      </c>
      <c r="J827" s="2" t="s">
        <v>17</v>
      </c>
      <c r="K827" s="2" t="s">
        <v>64</v>
      </c>
      <c r="L827" s="2" t="s">
        <v>9</v>
      </c>
      <c r="M827" s="2" t="s">
        <v>10</v>
      </c>
      <c r="N827" s="2" t="s">
        <v>11</v>
      </c>
      <c r="O827" s="2" t="s">
        <v>12</v>
      </c>
      <c r="P827" s="2" t="s">
        <v>21</v>
      </c>
      <c r="Q827" s="2" t="s">
        <v>46</v>
      </c>
      <c r="R827" s="2" t="s">
        <v>18</v>
      </c>
      <c r="S827">
        <v>1</v>
      </c>
    </row>
    <row r="828" spans="1:19" x14ac:dyDescent="0.3">
      <c r="A828">
        <v>1212</v>
      </c>
      <c r="B828">
        <f>YEAR(Cleaned_HR_Data_Analysis__2[[#This Row],[Joining_Date]])</f>
        <v>2020</v>
      </c>
      <c r="C828" s="1">
        <v>44069</v>
      </c>
      <c r="D828" s="1" t="str" cm="1">
        <f t="array" ref="D828">_xlfn.IFS(E828&lt;28, "17-27",
AND(E828&gt;27, E828&lt;38), "28-37",
AND(E828&gt;37, E828 &lt;48), "38-47",
AND(E828&gt;47, E828 &lt;58), "48-57",
AND(E828&gt;57, E828&lt;68), "58-67",
AND(E828&gt;67, E828&lt;78), "68-77",
E828&gt;77,"Above than 77")</f>
        <v>28-37</v>
      </c>
      <c r="E828">
        <v>37</v>
      </c>
      <c r="F828" s="1">
        <v>30555</v>
      </c>
      <c r="G828" s="1" t="str">
        <f>VLOOKUP(H828,Table7[#All], 2, FALSE)</f>
        <v>Massachusetts</v>
      </c>
      <c r="H828" s="2" t="s">
        <v>14</v>
      </c>
      <c r="I828" s="2" t="s">
        <v>15</v>
      </c>
      <c r="J828" s="2" t="s">
        <v>31</v>
      </c>
      <c r="K828" s="2" t="s">
        <v>64</v>
      </c>
      <c r="L828" s="2" t="s">
        <v>66</v>
      </c>
      <c r="M828" s="2" t="s">
        <v>10</v>
      </c>
      <c r="N828" s="2" t="s">
        <v>11</v>
      </c>
      <c r="O828" s="2" t="s">
        <v>12</v>
      </c>
      <c r="P828" s="2" t="s">
        <v>42</v>
      </c>
      <c r="Q828" s="2" t="s">
        <v>23</v>
      </c>
      <c r="R828" s="2" t="s">
        <v>18</v>
      </c>
      <c r="S828">
        <v>5</v>
      </c>
    </row>
    <row r="829" spans="1:19" x14ac:dyDescent="0.3">
      <c r="A829">
        <v>1211</v>
      </c>
      <c r="B829">
        <f>YEAR(Cleaned_HR_Data_Analysis__2[[#This Row],[Joining_Date]])</f>
        <v>2018</v>
      </c>
      <c r="C829" s="1">
        <v>43409</v>
      </c>
      <c r="D829" s="1" t="str" cm="1">
        <f t="array" ref="D829">_xlfn.IFS(E829&lt;28, "17-27",
AND(E829&gt;27, E829&lt;38), "28-37",
AND(E829&gt;37, E829 &lt;48), "38-47",
AND(E829&gt;47, E829 &lt;58), "48-57",
AND(E829&gt;57, E829&lt;68), "58-67",
AND(E829&gt;67, E829&lt;78), "68-77",
E829&gt;77,"Above than 77")</f>
        <v>28-37</v>
      </c>
      <c r="E829">
        <v>37</v>
      </c>
      <c r="F829" s="1">
        <v>29931</v>
      </c>
      <c r="G829" s="1" t="str">
        <f>VLOOKUP(H829,Table7[#All], 2, FALSE)</f>
        <v>Massachusetts</v>
      </c>
      <c r="H829" s="2" t="s">
        <v>14</v>
      </c>
      <c r="I829" s="2" t="s">
        <v>22</v>
      </c>
      <c r="J829" s="2" t="s">
        <v>17</v>
      </c>
      <c r="K829" s="2" t="s">
        <v>64</v>
      </c>
      <c r="L829" s="2" t="s">
        <v>66</v>
      </c>
      <c r="M829" s="2" t="s">
        <v>20</v>
      </c>
      <c r="N829" s="2" t="s">
        <v>26</v>
      </c>
      <c r="O829" s="2" t="s">
        <v>12</v>
      </c>
      <c r="P829" s="2" t="s">
        <v>35</v>
      </c>
      <c r="Q829" s="2" t="s">
        <v>30</v>
      </c>
      <c r="R829" s="2" t="s">
        <v>18</v>
      </c>
      <c r="S829">
        <v>3</v>
      </c>
    </row>
    <row r="830" spans="1:19" x14ac:dyDescent="0.3">
      <c r="A830">
        <v>3596</v>
      </c>
      <c r="B830">
        <f>YEAR(Cleaned_HR_Data_Analysis__2[[#This Row],[Joining_Date]])</f>
        <v>2019</v>
      </c>
      <c r="C830" s="1">
        <v>43674</v>
      </c>
      <c r="D830" s="1" t="str" cm="1">
        <f t="array" ref="D830">_xlfn.IFS(E830&lt;28, "17-27",
AND(E830&gt;27, E830&lt;38), "28-37",
AND(E830&gt;37, E830 &lt;48), "38-47",
AND(E830&gt;47, E830 &lt;58), "48-57",
AND(E830&gt;57, E830&lt;68), "58-67",
AND(E830&gt;67, E830&lt;78), "68-77",
E830&gt;77,"Above than 77")</f>
        <v>28-37</v>
      </c>
      <c r="E830">
        <v>37</v>
      </c>
      <c r="F830" s="1">
        <v>30151</v>
      </c>
      <c r="G830" s="1" t="str">
        <f>VLOOKUP(H830,Table7[#All], 2, FALSE)</f>
        <v>Massachusetts</v>
      </c>
      <c r="H830" s="2" t="s">
        <v>14</v>
      </c>
      <c r="I830" s="2" t="s">
        <v>22</v>
      </c>
      <c r="J830" s="2" t="s">
        <v>31</v>
      </c>
      <c r="K830" s="2" t="s">
        <v>8</v>
      </c>
      <c r="L830" s="2" t="s">
        <v>9</v>
      </c>
      <c r="M830" s="2" t="s">
        <v>20</v>
      </c>
      <c r="N830" s="2" t="s">
        <v>11</v>
      </c>
      <c r="O830" s="2" t="s">
        <v>12</v>
      </c>
      <c r="P830" s="2" t="s">
        <v>49</v>
      </c>
      <c r="Q830" s="2" t="s">
        <v>30</v>
      </c>
      <c r="R830" s="2" t="s">
        <v>56</v>
      </c>
      <c r="S830">
        <v>3</v>
      </c>
    </row>
    <row r="831" spans="1:19" x14ac:dyDescent="0.3">
      <c r="A831">
        <v>3573</v>
      </c>
      <c r="B831">
        <f>YEAR(Cleaned_HR_Data_Analysis__2[[#This Row],[Joining_Date]])</f>
        <v>2020</v>
      </c>
      <c r="C831" s="1">
        <v>43899</v>
      </c>
      <c r="D831" s="1" t="str" cm="1">
        <f t="array" ref="D831">_xlfn.IFS(E831&lt;28, "17-27",
AND(E831&gt;27, E831&lt;38), "28-37",
AND(E831&gt;37, E831 &lt;48), "38-47",
AND(E831&gt;47, E831 &lt;58), "48-57",
AND(E831&gt;57, E831&lt;68), "58-67",
AND(E831&gt;67, E831&lt;78), "68-77",
E831&gt;77,"Above than 77")</f>
        <v>28-37</v>
      </c>
      <c r="E831">
        <v>37</v>
      </c>
      <c r="F831" s="1">
        <v>30615</v>
      </c>
      <c r="G831" s="1" t="str">
        <f>VLOOKUP(H831,Table7[#All], 2, FALSE)</f>
        <v>Massachusetts</v>
      </c>
      <c r="H831" s="2" t="s">
        <v>14</v>
      </c>
      <c r="I831" s="2" t="s">
        <v>15</v>
      </c>
      <c r="J831" s="2" t="s">
        <v>40</v>
      </c>
      <c r="K831" s="2" t="s">
        <v>8</v>
      </c>
      <c r="L831" s="2" t="s">
        <v>9</v>
      </c>
      <c r="M831" s="2" t="s">
        <v>10</v>
      </c>
      <c r="N831" s="2" t="s">
        <v>26</v>
      </c>
      <c r="O831" s="2" t="s">
        <v>12</v>
      </c>
      <c r="P831" s="2" t="s">
        <v>35</v>
      </c>
      <c r="Q831" s="2" t="s">
        <v>46</v>
      </c>
      <c r="R831" s="2" t="s">
        <v>41</v>
      </c>
      <c r="S831">
        <v>1</v>
      </c>
    </row>
    <row r="832" spans="1:19" x14ac:dyDescent="0.3">
      <c r="A832">
        <v>3376</v>
      </c>
      <c r="B832">
        <f>YEAR(Cleaned_HR_Data_Analysis__2[[#This Row],[Joining_Date]])</f>
        <v>2023</v>
      </c>
      <c r="C832" s="1">
        <v>45113</v>
      </c>
      <c r="D832" s="1" t="str" cm="1">
        <f t="array" ref="D832">_xlfn.IFS(E832&lt;28, "17-27",
AND(E832&gt;27, E832&lt;38), "28-37",
AND(E832&gt;37, E832 &lt;48), "38-47",
AND(E832&gt;47, E832 &lt;58), "48-57",
AND(E832&gt;57, E832&lt;68), "58-67",
AND(E832&gt;67, E832&lt;78), "68-77",
E832&gt;77,"Above than 77")</f>
        <v>28-37</v>
      </c>
      <c r="E832">
        <v>37</v>
      </c>
      <c r="F832" s="1">
        <v>31727</v>
      </c>
      <c r="G832" s="1" t="str">
        <f>VLOOKUP(H832,Table7[#All], 2, FALSE)</f>
        <v>Massachusetts</v>
      </c>
      <c r="H832" s="2" t="s">
        <v>14</v>
      </c>
      <c r="I832" s="2" t="s">
        <v>15</v>
      </c>
      <c r="J832" s="2" t="s">
        <v>31</v>
      </c>
      <c r="K832" s="2" t="s">
        <v>8</v>
      </c>
      <c r="L832" s="2" t="s">
        <v>9</v>
      </c>
      <c r="M832" s="2" t="s">
        <v>20</v>
      </c>
      <c r="N832" s="2" t="s">
        <v>26</v>
      </c>
      <c r="O832" s="2" t="s">
        <v>12</v>
      </c>
      <c r="P832" s="2" t="s">
        <v>35</v>
      </c>
      <c r="Q832" s="2" t="s">
        <v>46</v>
      </c>
      <c r="R832" s="2" t="s">
        <v>41</v>
      </c>
      <c r="S832">
        <v>1</v>
      </c>
    </row>
    <row r="833" spans="1:19" x14ac:dyDescent="0.3">
      <c r="A833">
        <v>3352</v>
      </c>
      <c r="B833">
        <f>YEAR(Cleaned_HR_Data_Analysis__2[[#This Row],[Joining_Date]])</f>
        <v>2023</v>
      </c>
      <c r="C833" s="1">
        <v>44979</v>
      </c>
      <c r="D833" s="1" t="str" cm="1">
        <f t="array" ref="D833">_xlfn.IFS(E833&lt;28, "17-27",
AND(E833&gt;27, E833&lt;38), "28-37",
AND(E833&gt;37, E833 &lt;48), "38-47",
AND(E833&gt;47, E833 &lt;58), "48-57",
AND(E833&gt;57, E833&lt;68), "58-67",
AND(E833&gt;67, E833&lt;78), "68-77",
E833&gt;77,"Above than 77")</f>
        <v>28-37</v>
      </c>
      <c r="E833">
        <v>37</v>
      </c>
      <c r="F833" s="1">
        <v>31507</v>
      </c>
      <c r="G833" s="1" t="str">
        <f>VLOOKUP(H833,Table7[#All], 2, FALSE)</f>
        <v>Massachusetts</v>
      </c>
      <c r="H833" s="2" t="s">
        <v>14</v>
      </c>
      <c r="I833" s="2" t="s">
        <v>22</v>
      </c>
      <c r="J833" s="2" t="s">
        <v>31</v>
      </c>
      <c r="K833" s="2" t="s">
        <v>8</v>
      </c>
      <c r="L833" s="2" t="s">
        <v>9</v>
      </c>
      <c r="M833" s="2" t="s">
        <v>20</v>
      </c>
      <c r="N833" s="2" t="s">
        <v>26</v>
      </c>
      <c r="O833" s="2" t="s">
        <v>12</v>
      </c>
      <c r="P833" s="2" t="s">
        <v>35</v>
      </c>
      <c r="Q833" s="2" t="s">
        <v>30</v>
      </c>
      <c r="R833" s="2" t="s">
        <v>18</v>
      </c>
      <c r="S833">
        <v>5</v>
      </c>
    </row>
    <row r="834" spans="1:19" x14ac:dyDescent="0.3">
      <c r="A834">
        <v>3067</v>
      </c>
      <c r="B834">
        <f>YEAR(Cleaned_HR_Data_Analysis__2[[#This Row],[Joining_Date]])</f>
        <v>2019</v>
      </c>
      <c r="C834" s="1">
        <v>43774</v>
      </c>
      <c r="D834" s="1" t="str" cm="1">
        <f t="array" ref="D834">_xlfn.IFS(E834&lt;28, "17-27",
AND(E834&gt;27, E834&lt;38), "28-37",
AND(E834&gt;37, E834 &lt;48), "38-47",
AND(E834&gt;47, E834 &lt;58), "48-57",
AND(E834&gt;57, E834&lt;68), "58-67",
AND(E834&gt;67, E834&lt;78), "68-77",
E834&gt;77,"Above than 77")</f>
        <v>28-37</v>
      </c>
      <c r="E834">
        <v>37</v>
      </c>
      <c r="F834" s="1">
        <v>30031</v>
      </c>
      <c r="G834" s="1" t="str">
        <f>VLOOKUP(H834,Table7[#All], 2, FALSE)</f>
        <v>Massachusetts</v>
      </c>
      <c r="H834" s="2" t="s">
        <v>14</v>
      </c>
      <c r="I834" s="2" t="s">
        <v>22</v>
      </c>
      <c r="J834" s="2" t="s">
        <v>31</v>
      </c>
      <c r="K834" s="2" t="s">
        <v>8</v>
      </c>
      <c r="L834" s="2" t="s">
        <v>9</v>
      </c>
      <c r="M834" s="2" t="s">
        <v>20</v>
      </c>
      <c r="N834" s="2" t="s">
        <v>26</v>
      </c>
      <c r="O834" s="2" t="s">
        <v>12</v>
      </c>
      <c r="P834" s="2" t="s">
        <v>35</v>
      </c>
      <c r="Q834" s="2" t="s">
        <v>23</v>
      </c>
      <c r="R834" s="2" t="s">
        <v>18</v>
      </c>
      <c r="S834">
        <v>1</v>
      </c>
    </row>
    <row r="835" spans="1:19" x14ac:dyDescent="0.3">
      <c r="A835">
        <v>3013</v>
      </c>
      <c r="B835">
        <f>YEAR(Cleaned_HR_Data_Analysis__2[[#This Row],[Joining_Date]])</f>
        <v>2019</v>
      </c>
      <c r="C835" s="1">
        <v>43603</v>
      </c>
      <c r="D835" s="1" t="str" cm="1">
        <f t="array" ref="D835">_xlfn.IFS(E835&lt;28, "17-27",
AND(E835&gt;27, E835&lt;38), "28-37",
AND(E835&gt;37, E835 &lt;48), "38-47",
AND(E835&gt;47, E835 &lt;58), "48-57",
AND(E835&gt;57, E835&lt;68), "58-67",
AND(E835&gt;67, E835&lt;78), "68-77",
E835&gt;77,"Above than 77")</f>
        <v>28-37</v>
      </c>
      <c r="E835">
        <v>37</v>
      </c>
      <c r="F835" s="1">
        <v>30035</v>
      </c>
      <c r="G835" s="1" t="str">
        <f>VLOOKUP(H835,Table7[#All], 2, FALSE)</f>
        <v>Massachusetts</v>
      </c>
      <c r="H835" s="2" t="s">
        <v>14</v>
      </c>
      <c r="I835" s="2" t="s">
        <v>15</v>
      </c>
      <c r="J835" s="2" t="s">
        <v>17</v>
      </c>
      <c r="K835" s="2" t="s">
        <v>8</v>
      </c>
      <c r="L835" s="2" t="s">
        <v>9</v>
      </c>
      <c r="M835" s="2" t="s">
        <v>25</v>
      </c>
      <c r="N835" s="2" t="s">
        <v>11</v>
      </c>
      <c r="O835" s="2" t="s">
        <v>12</v>
      </c>
      <c r="P835" s="2" t="s">
        <v>49</v>
      </c>
      <c r="Q835" s="2" t="s">
        <v>46</v>
      </c>
      <c r="R835" s="2" t="s">
        <v>65</v>
      </c>
      <c r="S835">
        <v>2</v>
      </c>
    </row>
    <row r="836" spans="1:19" x14ac:dyDescent="0.3">
      <c r="A836">
        <v>2997</v>
      </c>
      <c r="B836">
        <f>YEAR(Cleaned_HR_Data_Analysis__2[[#This Row],[Joining_Date]])</f>
        <v>2022</v>
      </c>
      <c r="C836" s="1">
        <v>44606</v>
      </c>
      <c r="D836" s="1" t="str" cm="1">
        <f t="array" ref="D836">_xlfn.IFS(E836&lt;28, "17-27",
AND(E836&gt;27, E836&lt;38), "28-37",
AND(E836&gt;37, E836 &lt;48), "38-47",
AND(E836&gt;47, E836 &lt;58), "48-57",
AND(E836&gt;57, E836&lt;68), "58-67",
AND(E836&gt;67, E836&lt;78), "68-77",
E836&gt;77,"Above than 77")</f>
        <v>28-37</v>
      </c>
      <c r="E836">
        <v>37</v>
      </c>
      <c r="F836" s="1">
        <v>31228</v>
      </c>
      <c r="G836" s="1" t="str">
        <f>VLOOKUP(H836,Table7[#All], 2, FALSE)</f>
        <v>Massachusetts</v>
      </c>
      <c r="H836" s="2" t="s">
        <v>14</v>
      </c>
      <c r="I836" s="2" t="s">
        <v>15</v>
      </c>
      <c r="J836" s="2" t="s">
        <v>34</v>
      </c>
      <c r="K836" s="2" t="s">
        <v>8</v>
      </c>
      <c r="L836" s="2" t="s">
        <v>9</v>
      </c>
      <c r="M836" s="2" t="s">
        <v>10</v>
      </c>
      <c r="N836" s="2" t="s">
        <v>26</v>
      </c>
      <c r="O836" s="2" t="s">
        <v>12</v>
      </c>
      <c r="P836" s="2" t="s">
        <v>32</v>
      </c>
      <c r="Q836" s="2" t="s">
        <v>30</v>
      </c>
      <c r="R836" s="2" t="s">
        <v>18</v>
      </c>
      <c r="S836">
        <v>2</v>
      </c>
    </row>
    <row r="837" spans="1:19" x14ac:dyDescent="0.3">
      <c r="A837">
        <v>2968</v>
      </c>
      <c r="B837">
        <f>YEAR(Cleaned_HR_Data_Analysis__2[[#This Row],[Joining_Date]])</f>
        <v>2018</v>
      </c>
      <c r="C837" s="1">
        <v>43457</v>
      </c>
      <c r="D837" s="1" t="str" cm="1">
        <f t="array" ref="D837">_xlfn.IFS(E837&lt;28, "17-27",
AND(E837&gt;27, E837&lt;38), "28-37",
AND(E837&gt;37, E837 &lt;48), "38-47",
AND(E837&gt;47, E837 &lt;58), "48-57",
AND(E837&gt;57, E837&lt;68), "58-67",
AND(E837&gt;67, E837&lt;78), "68-77",
E837&gt;77,"Above than 77")</f>
        <v>28-37</v>
      </c>
      <c r="E837">
        <v>37</v>
      </c>
      <c r="F837" s="1">
        <v>29742</v>
      </c>
      <c r="G837" s="1" t="str">
        <f>VLOOKUP(H837,Table7[#All], 2, FALSE)</f>
        <v>Massachusetts</v>
      </c>
      <c r="H837" s="2" t="s">
        <v>14</v>
      </c>
      <c r="I837" s="2" t="s">
        <v>15</v>
      </c>
      <c r="J837" s="2" t="s">
        <v>31</v>
      </c>
      <c r="K837" s="2" t="s">
        <v>8</v>
      </c>
      <c r="L837" s="2" t="s">
        <v>9</v>
      </c>
      <c r="M837" s="2" t="s">
        <v>20</v>
      </c>
      <c r="N837" s="2" t="s">
        <v>26</v>
      </c>
      <c r="O837" s="2" t="s">
        <v>12</v>
      </c>
      <c r="P837" s="2" t="s">
        <v>32</v>
      </c>
      <c r="Q837" s="2" t="s">
        <v>37</v>
      </c>
      <c r="R837" s="2" t="s">
        <v>18</v>
      </c>
      <c r="S837">
        <v>5</v>
      </c>
    </row>
    <row r="838" spans="1:19" x14ac:dyDescent="0.3">
      <c r="A838">
        <v>2962</v>
      </c>
      <c r="B838">
        <f>YEAR(Cleaned_HR_Data_Analysis__2[[#This Row],[Joining_Date]])</f>
        <v>2019</v>
      </c>
      <c r="C838" s="1">
        <v>43811</v>
      </c>
      <c r="D838" s="1" t="str" cm="1">
        <f t="array" ref="D838">_xlfn.IFS(E838&lt;28, "17-27",
AND(E838&gt;27, E838&lt;38), "28-37",
AND(E838&gt;37, E838 &lt;48), "38-47",
AND(E838&gt;47, E838 &lt;58), "48-57",
AND(E838&gt;57, E838&lt;68), "58-67",
AND(E838&gt;67, E838&lt;78), "68-77",
E838&gt;77,"Above than 77")</f>
        <v>28-37</v>
      </c>
      <c r="E838">
        <v>37</v>
      </c>
      <c r="F838" s="1">
        <v>30227</v>
      </c>
      <c r="G838" s="1" t="str">
        <f>VLOOKUP(H838,Table7[#All], 2, FALSE)</f>
        <v>Massachusetts</v>
      </c>
      <c r="H838" s="2" t="s">
        <v>14</v>
      </c>
      <c r="I838" s="2" t="s">
        <v>15</v>
      </c>
      <c r="J838" s="2" t="s">
        <v>31</v>
      </c>
      <c r="K838" s="2" t="s">
        <v>8</v>
      </c>
      <c r="L838" s="2" t="s">
        <v>9</v>
      </c>
      <c r="M838" s="2" t="s">
        <v>25</v>
      </c>
      <c r="N838" s="2" t="s">
        <v>19</v>
      </c>
      <c r="O838" s="2" t="s">
        <v>12</v>
      </c>
      <c r="P838" s="2" t="s">
        <v>42</v>
      </c>
      <c r="Q838" s="2" t="s">
        <v>23</v>
      </c>
      <c r="R838" s="2" t="s">
        <v>18</v>
      </c>
      <c r="S838">
        <v>2</v>
      </c>
    </row>
    <row r="839" spans="1:19" x14ac:dyDescent="0.3">
      <c r="A839">
        <v>2204</v>
      </c>
      <c r="B839">
        <f>YEAR(Cleaned_HR_Data_Analysis__2[[#This Row],[Joining_Date]])</f>
        <v>2021</v>
      </c>
      <c r="C839" s="1">
        <v>44463</v>
      </c>
      <c r="D839" s="1" t="str" cm="1">
        <f t="array" ref="D839">_xlfn.IFS(E839&lt;28, "17-27",
AND(E839&gt;27, E839&lt;38), "28-37",
AND(E839&gt;37, E839 &lt;48), "38-47",
AND(E839&gt;47, E839 &lt;58), "48-57",
AND(E839&gt;57, E839&lt;68), "58-67",
AND(E839&gt;67, E839&lt;78), "68-77",
E839&gt;77,"Above than 77")</f>
        <v>28-37</v>
      </c>
      <c r="E839">
        <v>37</v>
      </c>
      <c r="F839" s="1">
        <v>30978</v>
      </c>
      <c r="G839" s="1" t="str">
        <f>VLOOKUP(H839,Table7[#All], 2, FALSE)</f>
        <v>Massachusetts</v>
      </c>
      <c r="H839" s="2" t="s">
        <v>14</v>
      </c>
      <c r="I839" s="2" t="s">
        <v>15</v>
      </c>
      <c r="J839" s="2" t="s">
        <v>40</v>
      </c>
      <c r="K839" s="2" t="s">
        <v>8</v>
      </c>
      <c r="L839" s="2" t="s">
        <v>9</v>
      </c>
      <c r="M839" s="2" t="s">
        <v>20</v>
      </c>
      <c r="N839" s="2" t="s">
        <v>26</v>
      </c>
      <c r="O839" s="2" t="s">
        <v>12</v>
      </c>
      <c r="P839" s="2" t="s">
        <v>58</v>
      </c>
      <c r="Q839" s="2" t="s">
        <v>30</v>
      </c>
      <c r="R839" s="2" t="s">
        <v>56</v>
      </c>
      <c r="S839">
        <v>2</v>
      </c>
    </row>
    <row r="840" spans="1:19" x14ac:dyDescent="0.3">
      <c r="A840">
        <v>2184</v>
      </c>
      <c r="B840">
        <f>YEAR(Cleaned_HR_Data_Analysis__2[[#This Row],[Joining_Date]])</f>
        <v>2021</v>
      </c>
      <c r="C840" s="1">
        <v>44444</v>
      </c>
      <c r="D840" s="1" t="str" cm="1">
        <f t="array" ref="D840">_xlfn.IFS(E840&lt;28, "17-27",
AND(E840&gt;27, E840&lt;38), "28-37",
AND(E840&gt;37, E840 &lt;48), "38-47",
AND(E840&gt;47, E840 &lt;58), "48-57",
AND(E840&gt;57, E840&lt;68), "58-67",
AND(E840&gt;67, E840&lt;78), "68-77",
E840&gt;77,"Above than 77")</f>
        <v>28-37</v>
      </c>
      <c r="E840">
        <v>37</v>
      </c>
      <c r="F840" s="1">
        <v>30732</v>
      </c>
      <c r="G840" s="1" t="str">
        <f>VLOOKUP(H840,Table7[#All], 2, FALSE)</f>
        <v>Massachusetts</v>
      </c>
      <c r="H840" s="2" t="s">
        <v>14</v>
      </c>
      <c r="I840" s="2" t="s">
        <v>15</v>
      </c>
      <c r="J840" s="2" t="s">
        <v>40</v>
      </c>
      <c r="K840" s="2" t="s">
        <v>8</v>
      </c>
      <c r="L840" s="2" t="s">
        <v>9</v>
      </c>
      <c r="M840" s="2" t="s">
        <v>25</v>
      </c>
      <c r="N840" s="2" t="s">
        <v>11</v>
      </c>
      <c r="O840" s="2" t="s">
        <v>12</v>
      </c>
      <c r="P840" s="2" t="s">
        <v>21</v>
      </c>
      <c r="Q840" s="2" t="s">
        <v>30</v>
      </c>
      <c r="R840" s="2" t="s">
        <v>41</v>
      </c>
      <c r="S840">
        <v>4</v>
      </c>
    </row>
    <row r="841" spans="1:19" x14ac:dyDescent="0.3">
      <c r="A841">
        <v>2030</v>
      </c>
      <c r="B841">
        <f>YEAR(Cleaned_HR_Data_Analysis__2[[#This Row],[Joining_Date]])</f>
        <v>2019</v>
      </c>
      <c r="C841" s="1">
        <v>43581</v>
      </c>
      <c r="D841" s="1" t="str" cm="1">
        <f t="array" ref="D841">_xlfn.IFS(E841&lt;28, "17-27",
AND(E841&gt;27, E841&lt;38), "28-37",
AND(E841&gt;37, E841 &lt;48), "38-47",
AND(E841&gt;47, E841 &lt;58), "48-57",
AND(E841&gt;57, E841&lt;68), "58-67",
AND(E841&gt;67, E841&lt;78), "68-77",
E841&gt;77,"Above than 77")</f>
        <v>28-37</v>
      </c>
      <c r="E841">
        <v>37</v>
      </c>
      <c r="F841" s="1">
        <v>30176</v>
      </c>
      <c r="G841" s="1" t="str">
        <f>VLOOKUP(H841,Table7[#All], 2, FALSE)</f>
        <v>Massachusetts</v>
      </c>
      <c r="H841" s="2" t="s">
        <v>14</v>
      </c>
      <c r="I841" s="2" t="s">
        <v>15</v>
      </c>
      <c r="J841" s="2" t="s">
        <v>34</v>
      </c>
      <c r="K841" s="2" t="s">
        <v>8</v>
      </c>
      <c r="L841" s="2" t="s">
        <v>9</v>
      </c>
      <c r="M841" s="2" t="s">
        <v>25</v>
      </c>
      <c r="N841" s="2" t="s">
        <v>26</v>
      </c>
      <c r="O841" s="2" t="s">
        <v>12</v>
      </c>
      <c r="P841" s="2" t="s">
        <v>59</v>
      </c>
      <c r="Q841" s="2" t="s">
        <v>46</v>
      </c>
      <c r="R841" s="2" t="s">
        <v>18</v>
      </c>
      <c r="S841">
        <v>1</v>
      </c>
    </row>
    <row r="842" spans="1:19" x14ac:dyDescent="0.3">
      <c r="A842">
        <v>1930</v>
      </c>
      <c r="B842">
        <f>YEAR(Cleaned_HR_Data_Analysis__2[[#This Row],[Joining_Date]])</f>
        <v>2023</v>
      </c>
      <c r="C842" s="1">
        <v>45122</v>
      </c>
      <c r="D842" s="1" t="str" cm="1">
        <f t="array" ref="D842">_xlfn.IFS(E842&lt;28, "17-27",
AND(E842&gt;27, E842&lt;38), "28-37",
AND(E842&gt;37, E842 &lt;48), "38-47",
AND(E842&gt;47, E842 &lt;58), "48-57",
AND(E842&gt;57, E842&lt;68), "58-67",
AND(E842&gt;67, E842&lt;78), "68-77",
E842&gt;77,"Above than 77")</f>
        <v>28-37</v>
      </c>
      <c r="E842">
        <v>37</v>
      </c>
      <c r="F842" s="1">
        <v>31650</v>
      </c>
      <c r="G842" s="1" t="str">
        <f>VLOOKUP(H842,Table7[#All], 2, FALSE)</f>
        <v>Massachusetts</v>
      </c>
      <c r="H842" s="2" t="s">
        <v>14</v>
      </c>
      <c r="I842" s="2" t="s">
        <v>15</v>
      </c>
      <c r="J842" s="2" t="s">
        <v>31</v>
      </c>
      <c r="K842" s="2" t="s">
        <v>8</v>
      </c>
      <c r="L842" s="2" t="s">
        <v>9</v>
      </c>
      <c r="M842" s="2" t="s">
        <v>25</v>
      </c>
      <c r="N842" s="2" t="s">
        <v>11</v>
      </c>
      <c r="O842" s="2" t="s">
        <v>12</v>
      </c>
      <c r="P842" s="2" t="s">
        <v>32</v>
      </c>
      <c r="Q842" s="2" t="s">
        <v>46</v>
      </c>
      <c r="R842" s="2" t="s">
        <v>18</v>
      </c>
      <c r="S842">
        <v>3</v>
      </c>
    </row>
    <row r="843" spans="1:19" x14ac:dyDescent="0.3">
      <c r="A843">
        <v>1869</v>
      </c>
      <c r="B843">
        <f>YEAR(Cleaned_HR_Data_Analysis__2[[#This Row],[Joining_Date]])</f>
        <v>2019</v>
      </c>
      <c r="C843" s="1">
        <v>43780</v>
      </c>
      <c r="D843" s="1" t="str" cm="1">
        <f t="array" ref="D843">_xlfn.IFS(E843&lt;28, "17-27",
AND(E843&gt;27, E843&lt;38), "28-37",
AND(E843&gt;37, E843 &lt;48), "38-47",
AND(E843&gt;47, E843 &lt;58), "48-57",
AND(E843&gt;57, E843&lt;68), "58-67",
AND(E843&gt;67, E843&lt;78), "68-77",
E843&gt;77,"Above than 77")</f>
        <v>28-37</v>
      </c>
      <c r="E843">
        <v>37</v>
      </c>
      <c r="F843" s="1">
        <v>29976</v>
      </c>
      <c r="G843" s="1" t="str">
        <f>VLOOKUP(H843,Table7[#All], 2, FALSE)</f>
        <v>Massachusetts</v>
      </c>
      <c r="H843" s="2" t="s">
        <v>14</v>
      </c>
      <c r="I843" s="2" t="s">
        <v>15</v>
      </c>
      <c r="J843" s="2" t="s">
        <v>34</v>
      </c>
      <c r="K843" s="2" t="s">
        <v>8</v>
      </c>
      <c r="L843" s="2" t="s">
        <v>9</v>
      </c>
      <c r="M843" s="2" t="s">
        <v>20</v>
      </c>
      <c r="N843" s="2" t="s">
        <v>11</v>
      </c>
      <c r="O843" s="2" t="s">
        <v>12</v>
      </c>
      <c r="P843" s="2" t="s">
        <v>60</v>
      </c>
      <c r="Q843" s="2" t="s">
        <v>46</v>
      </c>
      <c r="R843" s="2" t="s">
        <v>41</v>
      </c>
      <c r="S843">
        <v>2</v>
      </c>
    </row>
    <row r="844" spans="1:19" x14ac:dyDescent="0.3">
      <c r="A844">
        <v>1828</v>
      </c>
      <c r="B844">
        <f>YEAR(Cleaned_HR_Data_Analysis__2[[#This Row],[Joining_Date]])</f>
        <v>2020</v>
      </c>
      <c r="C844" s="1">
        <v>43891</v>
      </c>
      <c r="D844" s="1" t="str" cm="1">
        <f t="array" ref="D844">_xlfn.IFS(E844&lt;28, "17-27",
AND(E844&gt;27, E844&lt;38), "28-37",
AND(E844&gt;37, E844 &lt;48), "38-47",
AND(E844&gt;47, E844 &lt;58), "48-57",
AND(E844&gt;57, E844&lt;68), "58-67",
AND(E844&gt;67, E844&lt;78), "68-77",
E844&gt;77,"Above than 77")</f>
        <v>28-37</v>
      </c>
      <c r="E844">
        <v>37</v>
      </c>
      <c r="F844" s="1">
        <v>30415</v>
      </c>
      <c r="G844" s="1" t="str">
        <f>VLOOKUP(H844,Table7[#All], 2, FALSE)</f>
        <v>Massachusetts</v>
      </c>
      <c r="H844" s="2" t="s">
        <v>14</v>
      </c>
      <c r="I844" s="2" t="s">
        <v>22</v>
      </c>
      <c r="J844" s="2" t="s">
        <v>40</v>
      </c>
      <c r="K844" s="2" t="s">
        <v>8</v>
      </c>
      <c r="L844" s="2" t="s">
        <v>9</v>
      </c>
      <c r="M844" s="2" t="s">
        <v>20</v>
      </c>
      <c r="N844" s="2" t="s">
        <v>26</v>
      </c>
      <c r="O844" s="2" t="s">
        <v>12</v>
      </c>
      <c r="P844" s="2" t="s">
        <v>59</v>
      </c>
      <c r="Q844" s="2" t="s">
        <v>37</v>
      </c>
      <c r="R844" s="2" t="s">
        <v>41</v>
      </c>
      <c r="S844">
        <v>3</v>
      </c>
    </row>
    <row r="845" spans="1:19" x14ac:dyDescent="0.3">
      <c r="A845">
        <v>1803</v>
      </c>
      <c r="B845">
        <f>YEAR(Cleaned_HR_Data_Analysis__2[[#This Row],[Joining_Date]])</f>
        <v>2019</v>
      </c>
      <c r="C845" s="1">
        <v>43780</v>
      </c>
      <c r="D845" s="1" t="str" cm="1">
        <f t="array" ref="D845">_xlfn.IFS(E845&lt;28, "17-27",
AND(E845&gt;27, E845&lt;38), "28-37",
AND(E845&gt;37, E845 &lt;48), "38-47",
AND(E845&gt;47, E845 &lt;58), "48-57",
AND(E845&gt;57, E845&lt;68), "58-67",
AND(E845&gt;67, E845&lt;78), "68-77",
E845&gt;77,"Above than 77")</f>
        <v>28-37</v>
      </c>
      <c r="E845">
        <v>37</v>
      </c>
      <c r="F845" s="1">
        <v>30082</v>
      </c>
      <c r="G845" s="1" t="str">
        <f>VLOOKUP(H845,Table7[#All], 2, FALSE)</f>
        <v>Massachusetts</v>
      </c>
      <c r="H845" s="2" t="s">
        <v>14</v>
      </c>
      <c r="I845" s="2" t="s">
        <v>15</v>
      </c>
      <c r="J845" s="2" t="s">
        <v>40</v>
      </c>
      <c r="K845" s="2" t="s">
        <v>8</v>
      </c>
      <c r="L845" s="2" t="s">
        <v>9</v>
      </c>
      <c r="M845" s="2" t="s">
        <v>25</v>
      </c>
      <c r="N845" s="2" t="s">
        <v>11</v>
      </c>
      <c r="O845" s="2" t="s">
        <v>12</v>
      </c>
      <c r="P845" s="2" t="s">
        <v>38</v>
      </c>
      <c r="Q845" s="2" t="s">
        <v>30</v>
      </c>
      <c r="R845" s="2" t="s">
        <v>18</v>
      </c>
      <c r="S845">
        <v>3</v>
      </c>
    </row>
    <row r="846" spans="1:19" x14ac:dyDescent="0.3">
      <c r="A846">
        <v>1412</v>
      </c>
      <c r="B846">
        <f>YEAR(Cleaned_HR_Data_Analysis__2[[#This Row],[Joining_Date]])</f>
        <v>2019</v>
      </c>
      <c r="C846" s="1">
        <v>43636</v>
      </c>
      <c r="D846" s="1" t="str" cm="1">
        <f t="array" ref="D846">_xlfn.IFS(E846&lt;28, "17-27",
AND(E846&gt;27, E846&lt;38), "28-37",
AND(E846&gt;37, E846 &lt;48), "38-47",
AND(E846&gt;47, E846 &lt;58), "48-57",
AND(E846&gt;57, E846&lt;68), "58-67",
AND(E846&gt;67, E846&lt;78), "68-77",
E846&gt;77,"Above than 77")</f>
        <v>28-37</v>
      </c>
      <c r="E846">
        <v>37</v>
      </c>
      <c r="F846" s="1">
        <v>30213</v>
      </c>
      <c r="G846" s="1" t="str">
        <f>VLOOKUP(H846,Table7[#All], 2, FALSE)</f>
        <v>Massachusetts</v>
      </c>
      <c r="H846" s="2" t="s">
        <v>14</v>
      </c>
      <c r="I846" s="2" t="s">
        <v>15</v>
      </c>
      <c r="J846" s="2" t="s">
        <v>17</v>
      </c>
      <c r="K846" s="2" t="s">
        <v>8</v>
      </c>
      <c r="L846" s="2" t="s">
        <v>9</v>
      </c>
      <c r="M846" s="2" t="s">
        <v>20</v>
      </c>
      <c r="N846" s="2" t="s">
        <v>26</v>
      </c>
      <c r="O846" s="2" t="s">
        <v>12</v>
      </c>
      <c r="P846" s="2" t="s">
        <v>35</v>
      </c>
      <c r="Q846" s="2" t="s">
        <v>16</v>
      </c>
      <c r="R846" s="2" t="s">
        <v>41</v>
      </c>
      <c r="S846">
        <v>3</v>
      </c>
    </row>
    <row r="847" spans="1:19" x14ac:dyDescent="0.3">
      <c r="A847">
        <v>1397</v>
      </c>
      <c r="B847">
        <f>YEAR(Cleaned_HR_Data_Analysis__2[[#This Row],[Joining_Date]])</f>
        <v>2018</v>
      </c>
      <c r="C847" s="1">
        <v>43459</v>
      </c>
      <c r="D847" s="1" t="str" cm="1">
        <f t="array" ref="D847">_xlfn.IFS(E847&lt;28, "17-27",
AND(E847&gt;27, E847&lt;38), "28-37",
AND(E847&gt;37, E847 &lt;48), "38-47",
AND(E847&gt;47, E847 &lt;58), "48-57",
AND(E847&gt;57, E847&lt;68), "58-67",
AND(E847&gt;67, E847&lt;78), "68-77",
E847&gt;77,"Above than 77")</f>
        <v>28-37</v>
      </c>
      <c r="E847">
        <v>37</v>
      </c>
      <c r="F847" s="1">
        <v>29643</v>
      </c>
      <c r="G847" s="1" t="str">
        <f>VLOOKUP(H847,Table7[#All], 2, FALSE)</f>
        <v>Massachusetts</v>
      </c>
      <c r="H847" s="2" t="s">
        <v>14</v>
      </c>
      <c r="I847" s="2" t="s">
        <v>22</v>
      </c>
      <c r="J847" s="2" t="s">
        <v>31</v>
      </c>
      <c r="K847" s="2" t="s">
        <v>8</v>
      </c>
      <c r="L847" s="2" t="s">
        <v>9</v>
      </c>
      <c r="M847" s="2" t="s">
        <v>10</v>
      </c>
      <c r="N847" s="2" t="s">
        <v>19</v>
      </c>
      <c r="O847" s="2" t="s">
        <v>12</v>
      </c>
      <c r="P847" s="2" t="s">
        <v>32</v>
      </c>
      <c r="Q847" s="2" t="s">
        <v>30</v>
      </c>
      <c r="R847" s="2" t="s">
        <v>41</v>
      </c>
      <c r="S847">
        <v>2</v>
      </c>
    </row>
    <row r="848" spans="1:19" x14ac:dyDescent="0.3">
      <c r="A848">
        <v>1216</v>
      </c>
      <c r="B848">
        <f>YEAR(Cleaned_HR_Data_Analysis__2[[#This Row],[Joining_Date]])</f>
        <v>2023</v>
      </c>
      <c r="C848" s="1">
        <v>44972</v>
      </c>
      <c r="D848" s="1" t="str" cm="1">
        <f t="array" ref="D848">_xlfn.IFS(E848&lt;28, "17-27",
AND(E848&gt;27, E848&lt;38), "28-37",
AND(E848&gt;37, E848 &lt;48), "38-47",
AND(E848&gt;47, E848 &lt;58), "48-57",
AND(E848&gt;57, E848&lt;68), "58-67",
AND(E848&gt;67, E848&lt;78), "68-77",
E848&gt;77,"Above than 77")</f>
        <v>28-37</v>
      </c>
      <c r="E848">
        <v>37</v>
      </c>
      <c r="F848" s="1">
        <v>31582</v>
      </c>
      <c r="G848" s="1" t="str">
        <f>VLOOKUP(H848,Table7[#All], 2, FALSE)</f>
        <v>Massachusetts</v>
      </c>
      <c r="H848" s="2" t="s">
        <v>14</v>
      </c>
      <c r="I848" s="2" t="s">
        <v>15</v>
      </c>
      <c r="J848" s="2" t="s">
        <v>31</v>
      </c>
      <c r="K848" s="2" t="s">
        <v>8</v>
      </c>
      <c r="L848" s="2" t="s">
        <v>66</v>
      </c>
      <c r="M848" s="2" t="s">
        <v>20</v>
      </c>
      <c r="N848" s="2" t="s">
        <v>26</v>
      </c>
      <c r="O848" s="2" t="s">
        <v>12</v>
      </c>
      <c r="P848" s="2" t="s">
        <v>32</v>
      </c>
      <c r="Q848" s="2" t="s">
        <v>37</v>
      </c>
      <c r="R848" s="2" t="s">
        <v>18</v>
      </c>
      <c r="S848">
        <v>1</v>
      </c>
    </row>
    <row r="849" spans="1:19" x14ac:dyDescent="0.3">
      <c r="A849">
        <v>2402</v>
      </c>
      <c r="B849">
        <f>YEAR(Cleaned_HR_Data_Analysis__2[[#This Row],[Joining_Date]])</f>
        <v>2022</v>
      </c>
      <c r="C849" s="1">
        <v>44665</v>
      </c>
      <c r="D849" s="1" t="str" cm="1">
        <f t="array" ref="D849">_xlfn.IFS(E849&lt;28, "17-27",
AND(E849&gt;27, E849&lt;38), "28-37",
AND(E849&gt;37, E849 &lt;48), "38-47",
AND(E849&gt;47, E849 &lt;58), "48-57",
AND(E849&gt;57, E849&lt;68), "58-67",
AND(E849&gt;67, E849&lt;78), "68-77",
E849&gt;77,"Above than 77")</f>
        <v>28-37</v>
      </c>
      <c r="E849">
        <v>37</v>
      </c>
      <c r="F849" s="1">
        <v>31309</v>
      </c>
      <c r="G849" s="1" t="str">
        <f>VLOOKUP(H849,Table7[#All], 2, FALSE)</f>
        <v>Massachusetts</v>
      </c>
      <c r="H849" s="2" t="s">
        <v>14</v>
      </c>
      <c r="I849" s="2" t="s">
        <v>15</v>
      </c>
      <c r="J849" s="2" t="s">
        <v>17</v>
      </c>
      <c r="K849" s="2" t="s">
        <v>91</v>
      </c>
      <c r="L849" s="2" t="s">
        <v>66</v>
      </c>
      <c r="M849" s="2" t="s">
        <v>25</v>
      </c>
      <c r="N849" s="2" t="s">
        <v>11</v>
      </c>
      <c r="O849" s="2" t="s">
        <v>12</v>
      </c>
      <c r="P849" s="2" t="s">
        <v>58</v>
      </c>
      <c r="Q849" s="2" t="s">
        <v>37</v>
      </c>
      <c r="R849" s="2" t="s">
        <v>18</v>
      </c>
      <c r="S849">
        <v>2</v>
      </c>
    </row>
    <row r="850" spans="1:19" x14ac:dyDescent="0.3">
      <c r="A850">
        <v>2286</v>
      </c>
      <c r="B850">
        <f>YEAR(Cleaned_HR_Data_Analysis__2[[#This Row],[Joining_Date]])</f>
        <v>2018</v>
      </c>
      <c r="C850" s="1">
        <v>43367</v>
      </c>
      <c r="D850" s="1" t="str" cm="1">
        <f t="array" ref="D850">_xlfn.IFS(E850&lt;28, "17-27",
AND(E850&gt;27, E850&lt;38), "28-37",
AND(E850&gt;37, E850 &lt;48), "38-47",
AND(E850&gt;47, E850 &lt;58), "48-57",
AND(E850&gt;57, E850&lt;68), "58-67",
AND(E850&gt;67, E850&lt;78), "68-77",
E850&gt;77,"Above than 77")</f>
        <v>28-37</v>
      </c>
      <c r="E850">
        <v>37</v>
      </c>
      <c r="F850" s="1">
        <v>29869</v>
      </c>
      <c r="G850" s="1" t="str">
        <f>VLOOKUP(H850,Table7[#All], 2, FALSE)</f>
        <v>Massachusetts</v>
      </c>
      <c r="H850" s="2" t="s">
        <v>14</v>
      </c>
      <c r="I850" s="2" t="s">
        <v>22</v>
      </c>
      <c r="J850" s="2" t="s">
        <v>40</v>
      </c>
      <c r="K850" s="2" t="s">
        <v>91</v>
      </c>
      <c r="L850" s="2" t="s">
        <v>9</v>
      </c>
      <c r="M850" s="2" t="s">
        <v>10</v>
      </c>
      <c r="N850" s="2" t="s">
        <v>26</v>
      </c>
      <c r="O850" s="2" t="s">
        <v>12</v>
      </c>
      <c r="P850" s="2" t="s">
        <v>38</v>
      </c>
      <c r="Q850" s="2" t="s">
        <v>37</v>
      </c>
      <c r="R850" s="2" t="s">
        <v>18</v>
      </c>
      <c r="S850">
        <v>4</v>
      </c>
    </row>
    <row r="851" spans="1:19" x14ac:dyDescent="0.3">
      <c r="A851">
        <v>3815</v>
      </c>
      <c r="B851">
        <f>YEAR(Cleaned_HR_Data_Analysis__2[[#This Row],[Joining_Date]])</f>
        <v>2021</v>
      </c>
      <c r="C851" s="1">
        <v>44281</v>
      </c>
      <c r="D851" s="1" t="str" cm="1">
        <f t="array" ref="D851">_xlfn.IFS(E851&lt;28, "17-27",
AND(E851&gt;27, E851&lt;38), "28-37",
AND(E851&gt;37, E851 &lt;48), "38-47",
AND(E851&gt;47, E851 &lt;58), "48-57",
AND(E851&gt;57, E851&lt;68), "58-67",
AND(E851&gt;67, E851&lt;78), "68-77",
E851&gt;77,"Above than 77")</f>
        <v>28-37</v>
      </c>
      <c r="E851">
        <v>37</v>
      </c>
      <c r="F851" s="1">
        <v>30828</v>
      </c>
      <c r="G851" s="1" t="str">
        <f>VLOOKUP(H851,Table7[#All], 2, FALSE)</f>
        <v>Massachusetts</v>
      </c>
      <c r="H851" s="2" t="s">
        <v>14</v>
      </c>
      <c r="I851" s="2" t="s">
        <v>22</v>
      </c>
      <c r="J851" s="2" t="s">
        <v>40</v>
      </c>
      <c r="K851" s="2" t="s">
        <v>71</v>
      </c>
      <c r="L851" s="2" t="s">
        <v>9</v>
      </c>
      <c r="M851" s="2" t="s">
        <v>10</v>
      </c>
      <c r="N851" s="2" t="s">
        <v>11</v>
      </c>
      <c r="O851" s="2" t="s">
        <v>53</v>
      </c>
      <c r="P851" s="2" t="s">
        <v>54</v>
      </c>
      <c r="Q851" s="2" t="s">
        <v>16</v>
      </c>
      <c r="R851" s="2" t="s">
        <v>18</v>
      </c>
      <c r="S851">
        <v>5</v>
      </c>
    </row>
    <row r="852" spans="1:19" x14ac:dyDescent="0.3">
      <c r="A852">
        <v>1695</v>
      </c>
      <c r="B852">
        <f>YEAR(Cleaned_HR_Data_Analysis__2[[#This Row],[Joining_Date]])</f>
        <v>2018</v>
      </c>
      <c r="C852" s="1">
        <v>43347</v>
      </c>
      <c r="D852" s="1" t="str" cm="1">
        <f t="array" ref="D852">_xlfn.IFS(E852&lt;28, "17-27",
AND(E852&gt;27, E852&lt;38), "28-37",
AND(E852&gt;37, E852 &lt;48), "38-47",
AND(E852&gt;47, E852 &lt;58), "48-57",
AND(E852&gt;57, E852&lt;68), "58-67",
AND(E852&gt;67, E852&lt;78), "68-77",
E852&gt;77,"Above than 77")</f>
        <v>28-37</v>
      </c>
      <c r="E852">
        <v>37</v>
      </c>
      <c r="F852" s="1">
        <v>29903</v>
      </c>
      <c r="G852" s="1" t="str">
        <f>VLOOKUP(H852,Table7[#All], 2, FALSE)</f>
        <v>Massachusetts</v>
      </c>
      <c r="H852" s="2" t="s">
        <v>14</v>
      </c>
      <c r="I852" s="2" t="s">
        <v>15</v>
      </c>
      <c r="J852" s="2" t="s">
        <v>17</v>
      </c>
      <c r="K852" s="2" t="s">
        <v>83</v>
      </c>
      <c r="L852" s="2" t="s">
        <v>66</v>
      </c>
      <c r="M852" s="2" t="s">
        <v>10</v>
      </c>
      <c r="N852" s="2" t="s">
        <v>11</v>
      </c>
      <c r="O852" s="2" t="s">
        <v>53</v>
      </c>
      <c r="P852" s="2" t="s">
        <v>92</v>
      </c>
      <c r="Q852" s="2" t="s">
        <v>30</v>
      </c>
      <c r="R852" s="2" t="s">
        <v>18</v>
      </c>
      <c r="S852">
        <v>3</v>
      </c>
    </row>
    <row r="853" spans="1:19" x14ac:dyDescent="0.3">
      <c r="A853">
        <v>1661</v>
      </c>
      <c r="B853">
        <f>YEAR(Cleaned_HR_Data_Analysis__2[[#This Row],[Joining_Date]])</f>
        <v>2019</v>
      </c>
      <c r="C853" s="1">
        <v>43543</v>
      </c>
      <c r="D853" s="1" t="str" cm="1">
        <f t="array" ref="D853">_xlfn.IFS(E853&lt;28, "17-27",
AND(E853&gt;27, E853&lt;38), "28-37",
AND(E853&gt;37, E853 &lt;48), "38-47",
AND(E853&gt;47, E853 &lt;58), "48-57",
AND(E853&gt;57, E853&lt;68), "58-67",
AND(E853&gt;67, E853&lt;78), "68-77",
E853&gt;77,"Above than 77")</f>
        <v>28-37</v>
      </c>
      <c r="E853">
        <v>37</v>
      </c>
      <c r="F853" s="1">
        <v>30087</v>
      </c>
      <c r="G853" s="1" t="str">
        <f>VLOOKUP(H853,Table7[#All], 2, FALSE)</f>
        <v>Massachusetts</v>
      </c>
      <c r="H853" s="2" t="s">
        <v>14</v>
      </c>
      <c r="I853" s="2" t="s">
        <v>22</v>
      </c>
      <c r="J853" s="2" t="s">
        <v>40</v>
      </c>
      <c r="K853" s="2" t="s">
        <v>83</v>
      </c>
      <c r="L853" s="2" t="s">
        <v>9</v>
      </c>
      <c r="M853" s="2" t="s">
        <v>10</v>
      </c>
      <c r="N853" s="2" t="s">
        <v>11</v>
      </c>
      <c r="O853" s="2" t="s">
        <v>53</v>
      </c>
      <c r="P853" s="2" t="s">
        <v>13</v>
      </c>
      <c r="Q853" s="2" t="s">
        <v>23</v>
      </c>
      <c r="R853" s="2" t="s">
        <v>18</v>
      </c>
      <c r="S853">
        <v>4</v>
      </c>
    </row>
    <row r="854" spans="1:19" x14ac:dyDescent="0.3">
      <c r="A854">
        <v>1631</v>
      </c>
      <c r="B854">
        <f>YEAR(Cleaned_HR_Data_Analysis__2[[#This Row],[Joining_Date]])</f>
        <v>2023</v>
      </c>
      <c r="C854" s="1">
        <v>45094</v>
      </c>
      <c r="D854" s="1" t="str" cm="1">
        <f t="array" ref="D854">_xlfn.IFS(E854&lt;28, "17-27",
AND(E854&gt;27, E854&lt;38), "28-37",
AND(E854&gt;37, E854 &lt;48), "38-47",
AND(E854&gt;47, E854 &lt;58), "48-57",
AND(E854&gt;57, E854&lt;68), "58-67",
AND(E854&gt;67, E854&lt;78), "68-77",
E854&gt;77,"Above than 77")</f>
        <v>28-37</v>
      </c>
      <c r="E854">
        <v>37</v>
      </c>
      <c r="F854" s="1">
        <v>31709</v>
      </c>
      <c r="G854" s="1" t="str">
        <f>VLOOKUP(H854,Table7[#All], 2, FALSE)</f>
        <v>Massachusetts</v>
      </c>
      <c r="H854" s="2" t="s">
        <v>14</v>
      </c>
      <c r="I854" s="2" t="s">
        <v>15</v>
      </c>
      <c r="J854" s="2" t="s">
        <v>17</v>
      </c>
      <c r="K854" s="2" t="s">
        <v>97</v>
      </c>
      <c r="L854" s="2" t="s">
        <v>66</v>
      </c>
      <c r="M854" s="2" t="s">
        <v>25</v>
      </c>
      <c r="N854" s="2" t="s">
        <v>11</v>
      </c>
      <c r="O854" s="2" t="s">
        <v>53</v>
      </c>
      <c r="P854" s="2" t="s">
        <v>44</v>
      </c>
      <c r="Q854" s="2" t="s">
        <v>16</v>
      </c>
      <c r="R854" s="2" t="s">
        <v>18</v>
      </c>
      <c r="S854">
        <v>4</v>
      </c>
    </row>
    <row r="855" spans="1:19" x14ac:dyDescent="0.3">
      <c r="A855">
        <v>3522</v>
      </c>
      <c r="B855">
        <f>YEAR(Cleaned_HR_Data_Analysis__2[[#This Row],[Joining_Date]])</f>
        <v>2020</v>
      </c>
      <c r="C855" s="1">
        <v>43892</v>
      </c>
      <c r="D855" s="1" t="str" cm="1">
        <f t="array" ref="D855">_xlfn.IFS(E855&lt;28, "17-27",
AND(E855&gt;27, E855&lt;38), "28-37",
AND(E855&gt;37, E855 &lt;48), "38-47",
AND(E855&gt;47, E855 &lt;58), "48-57",
AND(E855&gt;57, E855&lt;68), "58-67",
AND(E855&gt;67, E855&lt;78), "68-77",
E855&gt;77,"Above than 77")</f>
        <v>28-37</v>
      </c>
      <c r="E855">
        <v>37</v>
      </c>
      <c r="F855" s="1">
        <v>30601</v>
      </c>
      <c r="G855" s="1" t="str">
        <f>VLOOKUP(H855,Table7[#All], 2, FALSE)</f>
        <v>Kentucky</v>
      </c>
      <c r="H855" s="2" t="s">
        <v>51</v>
      </c>
      <c r="I855" s="2" t="s">
        <v>15</v>
      </c>
      <c r="J855" s="2" t="s">
        <v>31</v>
      </c>
      <c r="K855" s="2" t="s">
        <v>24</v>
      </c>
      <c r="L855" s="2" t="s">
        <v>9</v>
      </c>
      <c r="M855" s="2" t="s">
        <v>25</v>
      </c>
      <c r="N855" s="2" t="s">
        <v>11</v>
      </c>
      <c r="O855" s="2" t="s">
        <v>27</v>
      </c>
      <c r="P855" s="2" t="s">
        <v>49</v>
      </c>
      <c r="Q855" s="2" t="s">
        <v>30</v>
      </c>
      <c r="R855" s="2" t="s">
        <v>18</v>
      </c>
      <c r="S855">
        <v>5</v>
      </c>
    </row>
    <row r="856" spans="1:19" x14ac:dyDescent="0.3">
      <c r="A856">
        <v>2709</v>
      </c>
      <c r="B856">
        <f>YEAR(Cleaned_HR_Data_Analysis__2[[#This Row],[Joining_Date]])</f>
        <v>2022</v>
      </c>
      <c r="C856" s="1">
        <v>44654</v>
      </c>
      <c r="D856" s="1" t="str" cm="1">
        <f t="array" ref="D856">_xlfn.IFS(E856&lt;28, "17-27",
AND(E856&gt;27, E856&lt;38), "28-37",
AND(E856&gt;37, E856 &lt;48), "38-47",
AND(E856&gt;47, E856 &lt;58), "48-57",
AND(E856&gt;57, E856&lt;68), "58-67",
AND(E856&gt;67, E856&lt;78), "68-77",
E856&gt;77,"Above than 77")</f>
        <v>28-37</v>
      </c>
      <c r="E856">
        <v>37</v>
      </c>
      <c r="F856" s="1">
        <v>31075</v>
      </c>
      <c r="G856" s="1" t="str">
        <f>VLOOKUP(H856,Table7[#All], 2, FALSE)</f>
        <v>Idaho</v>
      </c>
      <c r="H856" s="2" t="s">
        <v>111</v>
      </c>
      <c r="I856" s="2" t="s">
        <v>22</v>
      </c>
      <c r="J856" s="2" t="s">
        <v>34</v>
      </c>
      <c r="K856" s="2" t="s">
        <v>24</v>
      </c>
      <c r="L856" s="2" t="s">
        <v>9</v>
      </c>
      <c r="M856" s="2" t="s">
        <v>25</v>
      </c>
      <c r="N856" s="2" t="s">
        <v>19</v>
      </c>
      <c r="O856" s="2" t="s">
        <v>27</v>
      </c>
      <c r="P856" s="2" t="s">
        <v>35</v>
      </c>
      <c r="Q856" s="2" t="s">
        <v>46</v>
      </c>
      <c r="R856" s="2" t="s">
        <v>18</v>
      </c>
      <c r="S856">
        <v>2</v>
      </c>
    </row>
    <row r="857" spans="1:19" x14ac:dyDescent="0.3">
      <c r="A857">
        <v>3540</v>
      </c>
      <c r="B857">
        <f>YEAR(Cleaned_HR_Data_Analysis__2[[#This Row],[Joining_Date]])</f>
        <v>2020</v>
      </c>
      <c r="C857" s="1">
        <v>43902</v>
      </c>
      <c r="D857" s="1" t="str" cm="1">
        <f t="array" ref="D857">_xlfn.IFS(E857&lt;28, "17-27",
AND(E857&gt;27, E857&lt;38), "28-37",
AND(E857&gt;37, E857 &lt;48), "38-47",
AND(E857&gt;47, E857 &lt;58), "48-57",
AND(E857&gt;57, E857&lt;68), "58-67",
AND(E857&gt;67, E857&lt;78), "68-77",
E857&gt;77,"Above than 77")</f>
        <v>28-37</v>
      </c>
      <c r="E857">
        <v>37</v>
      </c>
      <c r="F857" s="1">
        <v>30476</v>
      </c>
      <c r="G857" s="1" t="str">
        <f>VLOOKUP(H857,Table7[#All], 2, FALSE)</f>
        <v>Colorado</v>
      </c>
      <c r="H857" s="2" t="s">
        <v>50</v>
      </c>
      <c r="I857" s="2" t="s">
        <v>22</v>
      </c>
      <c r="J857" s="2" t="s">
        <v>17</v>
      </c>
      <c r="K857" s="2" t="s">
        <v>24</v>
      </c>
      <c r="L857" s="2" t="s">
        <v>9</v>
      </c>
      <c r="M857" s="2" t="s">
        <v>25</v>
      </c>
      <c r="N857" s="2" t="s">
        <v>26</v>
      </c>
      <c r="O857" s="2" t="s">
        <v>27</v>
      </c>
      <c r="P857" s="2" t="s">
        <v>49</v>
      </c>
      <c r="Q857" s="2" t="s">
        <v>16</v>
      </c>
      <c r="R857" s="2" t="s">
        <v>41</v>
      </c>
      <c r="S857">
        <v>2</v>
      </c>
    </row>
    <row r="858" spans="1:19" x14ac:dyDescent="0.3">
      <c r="A858">
        <v>2633</v>
      </c>
      <c r="B858">
        <f>YEAR(Cleaned_HR_Data_Analysis__2[[#This Row],[Joining_Date]])</f>
        <v>2022</v>
      </c>
      <c r="C858" s="1">
        <v>44781</v>
      </c>
      <c r="D858" s="1" t="str" cm="1">
        <f t="array" ref="D858">_xlfn.IFS(E858&lt;28, "17-27",
AND(E858&gt;27, E858&lt;38), "28-37",
AND(E858&gt;37, E858 &lt;48), "38-47",
AND(E858&gt;47, E858 &lt;58), "48-57",
AND(E858&gt;57, E858&lt;68), "58-67",
AND(E858&gt;67, E858&lt;78), "68-77",
E858&gt;77,"Above than 77")</f>
        <v>28-37</v>
      </c>
      <c r="E858">
        <v>37</v>
      </c>
      <c r="F858" s="1">
        <v>31299</v>
      </c>
      <c r="G858" s="1" t="str">
        <f>VLOOKUP(H858,Table7[#All], 2, FALSE)</f>
        <v>Washington</v>
      </c>
      <c r="H858" s="2" t="s">
        <v>113</v>
      </c>
      <c r="I858" s="2" t="s">
        <v>15</v>
      </c>
      <c r="J858" s="2" t="s">
        <v>31</v>
      </c>
      <c r="K858" s="2" t="s">
        <v>95</v>
      </c>
      <c r="L858" s="2" t="s">
        <v>9</v>
      </c>
      <c r="M858" s="2" t="s">
        <v>20</v>
      </c>
      <c r="N858" s="2" t="s">
        <v>11</v>
      </c>
      <c r="O858" s="2" t="s">
        <v>27</v>
      </c>
      <c r="P858" s="2" t="s">
        <v>54</v>
      </c>
      <c r="Q858" s="2" t="s">
        <v>16</v>
      </c>
      <c r="R858" s="2" t="s">
        <v>18</v>
      </c>
      <c r="S858">
        <v>2</v>
      </c>
    </row>
    <row r="859" spans="1:19" x14ac:dyDescent="0.3">
      <c r="A859">
        <v>2602</v>
      </c>
      <c r="B859">
        <f>YEAR(Cleaned_HR_Data_Analysis__2[[#This Row],[Joining_Date]])</f>
        <v>2019</v>
      </c>
      <c r="C859" s="1">
        <v>43571</v>
      </c>
      <c r="D859" s="1" t="str" cm="1">
        <f t="array" ref="D859">_xlfn.IFS(E859&lt;28, "17-27",
AND(E859&gt;27, E859&lt;38), "28-37",
AND(E859&gt;37, E859 &lt;48), "38-47",
AND(E859&gt;47, E859 &lt;58), "48-57",
AND(E859&gt;57, E859&lt;68), "58-67",
AND(E859&gt;67, E859&lt;78), "68-77",
E859&gt;77,"Above than 77")</f>
        <v>28-37</v>
      </c>
      <c r="E859">
        <v>37</v>
      </c>
      <c r="F859" s="1">
        <v>30170</v>
      </c>
      <c r="G859" s="1" t="str">
        <f>VLOOKUP(H859,Table7[#All], 2, FALSE)</f>
        <v>Massachusetts</v>
      </c>
      <c r="H859" s="2" t="s">
        <v>14</v>
      </c>
      <c r="I859" s="2" t="s">
        <v>15</v>
      </c>
      <c r="J859" s="2" t="s">
        <v>17</v>
      </c>
      <c r="K859" s="2" t="s">
        <v>96</v>
      </c>
      <c r="L859" s="2" t="s">
        <v>9</v>
      </c>
      <c r="M859" s="2" t="s">
        <v>25</v>
      </c>
      <c r="N859" s="2" t="s">
        <v>11</v>
      </c>
      <c r="O859" s="2" t="s">
        <v>90</v>
      </c>
      <c r="P859" s="2" t="s">
        <v>59</v>
      </c>
      <c r="Q859" s="2" t="s">
        <v>30</v>
      </c>
      <c r="R859" s="2" t="s">
        <v>18</v>
      </c>
      <c r="S859">
        <v>5</v>
      </c>
    </row>
    <row r="860" spans="1:19" x14ac:dyDescent="0.3">
      <c r="A860">
        <v>1365</v>
      </c>
      <c r="B860">
        <f>YEAR(Cleaned_HR_Data_Analysis__2[[#This Row],[Joining_Date]])</f>
        <v>2019</v>
      </c>
      <c r="C860" s="1">
        <v>43670</v>
      </c>
      <c r="D860" s="1" t="str" cm="1">
        <f t="array" ref="D860">_xlfn.IFS(E860&lt;28, "17-27",
AND(E860&gt;27, E860&lt;38), "28-37",
AND(E860&gt;37, E860 &lt;48), "38-47",
AND(E860&gt;47, E860 &lt;58), "48-57",
AND(E860&gt;57, E860&lt;68), "58-67",
AND(E860&gt;67, E860&lt;78), "68-77",
E860&gt;77,"Above than 77")</f>
        <v>28-37</v>
      </c>
      <c r="E860">
        <v>37</v>
      </c>
      <c r="F860" s="1">
        <v>30145</v>
      </c>
      <c r="G860" s="1" t="str">
        <f>VLOOKUP(H860,Table7[#All], 2, FALSE)</f>
        <v>Massachusetts</v>
      </c>
      <c r="H860" s="2" t="s">
        <v>14</v>
      </c>
      <c r="I860" s="2" t="s">
        <v>22</v>
      </c>
      <c r="J860" s="2" t="s">
        <v>17</v>
      </c>
      <c r="K860" s="2" t="s">
        <v>96</v>
      </c>
      <c r="L860" s="2" t="s">
        <v>9</v>
      </c>
      <c r="M860" s="2" t="s">
        <v>10</v>
      </c>
      <c r="N860" s="2" t="s">
        <v>11</v>
      </c>
      <c r="O860" s="2" t="s">
        <v>90</v>
      </c>
      <c r="P860" s="2" t="s">
        <v>35</v>
      </c>
      <c r="Q860" s="2" t="s">
        <v>23</v>
      </c>
      <c r="R860" s="2" t="s">
        <v>41</v>
      </c>
      <c r="S860">
        <v>1</v>
      </c>
    </row>
    <row r="861" spans="1:19" x14ac:dyDescent="0.3">
      <c r="A861">
        <v>1325</v>
      </c>
      <c r="B861">
        <f>YEAR(Cleaned_HR_Data_Analysis__2[[#This Row],[Joining_Date]])</f>
        <v>2019</v>
      </c>
      <c r="C861" s="1">
        <v>43785</v>
      </c>
      <c r="D861" s="1" t="str" cm="1">
        <f t="array" ref="D861">_xlfn.IFS(E861&lt;28, "17-27",
AND(E861&gt;27, E861&lt;38), "28-37",
AND(E861&gt;37, E861 &lt;48), "38-47",
AND(E861&gt;47, E861 &lt;58), "48-57",
AND(E861&gt;57, E861&lt;68), "58-67",
AND(E861&gt;67, E861&lt;78), "68-77",
E861&gt;77,"Above than 77")</f>
        <v>28-37</v>
      </c>
      <c r="E861">
        <v>37</v>
      </c>
      <c r="F861" s="1">
        <v>30073</v>
      </c>
      <c r="G861" s="1" t="str">
        <f>VLOOKUP(H861,Table7[#All], 2, FALSE)</f>
        <v>Massachusetts</v>
      </c>
      <c r="H861" s="2" t="s">
        <v>14</v>
      </c>
      <c r="I861" s="2" t="s">
        <v>15</v>
      </c>
      <c r="J861" s="2" t="s">
        <v>40</v>
      </c>
      <c r="K861" s="2" t="s">
        <v>96</v>
      </c>
      <c r="L861" s="2" t="s">
        <v>9</v>
      </c>
      <c r="M861" s="2" t="s">
        <v>10</v>
      </c>
      <c r="N861" s="2" t="s">
        <v>26</v>
      </c>
      <c r="O861" s="2" t="s">
        <v>90</v>
      </c>
      <c r="P861" s="2" t="s">
        <v>42</v>
      </c>
      <c r="Q861" s="2" t="s">
        <v>37</v>
      </c>
      <c r="R861" s="2" t="s">
        <v>18</v>
      </c>
      <c r="S861">
        <v>5</v>
      </c>
    </row>
    <row r="862" spans="1:19" x14ac:dyDescent="0.3">
      <c r="A862">
        <v>1074</v>
      </c>
      <c r="B862">
        <f>YEAR(Cleaned_HR_Data_Analysis__2[[#This Row],[Joining_Date]])</f>
        <v>2021</v>
      </c>
      <c r="C862" s="1">
        <v>44246</v>
      </c>
      <c r="D862" s="1" t="str" cm="1">
        <f t="array" ref="D862">_xlfn.IFS(E862&lt;28, "17-27",
AND(E862&gt;27, E862&lt;38), "28-37",
AND(E862&gt;37, E862 &lt;48), "38-47",
AND(E862&gt;47, E862 &lt;58), "48-57",
AND(E862&gt;57, E862&lt;68), "58-67",
AND(E862&gt;67, E862&lt;78), "68-77",
E862&gt;77,"Above than 77")</f>
        <v>38-47</v>
      </c>
      <c r="E862">
        <v>38</v>
      </c>
      <c r="F862" s="1">
        <v>30505</v>
      </c>
      <c r="G862" s="1" t="str">
        <f>VLOOKUP(H862,Table7[#All], 2, FALSE)</f>
        <v>Massachusetts</v>
      </c>
      <c r="H862" s="2" t="s">
        <v>14</v>
      </c>
      <c r="I862" s="2" t="s">
        <v>22</v>
      </c>
      <c r="J862" s="2" t="s">
        <v>40</v>
      </c>
      <c r="K862" s="2" t="s">
        <v>86</v>
      </c>
      <c r="L862" s="2" t="s">
        <v>66</v>
      </c>
      <c r="M862" s="2" t="s">
        <v>25</v>
      </c>
      <c r="N862" s="2" t="s">
        <v>19</v>
      </c>
      <c r="O862" s="2" t="s">
        <v>87</v>
      </c>
      <c r="P862" s="2" t="s">
        <v>32</v>
      </c>
      <c r="Q862" s="2" t="s">
        <v>46</v>
      </c>
      <c r="R862" s="2" t="s">
        <v>18</v>
      </c>
      <c r="S862">
        <v>4</v>
      </c>
    </row>
    <row r="863" spans="1:19" x14ac:dyDescent="0.3">
      <c r="A863">
        <v>1008</v>
      </c>
      <c r="B863">
        <f>YEAR(Cleaned_HR_Data_Analysis__2[[#This Row],[Joining_Date]])</f>
        <v>2019</v>
      </c>
      <c r="C863" s="1">
        <v>43705</v>
      </c>
      <c r="D863" s="1" t="str" cm="1">
        <f t="array" ref="D863">_xlfn.IFS(E863&lt;28, "17-27",
AND(E863&gt;27, E863&lt;38), "28-37",
AND(E863&gt;37, E863 &lt;48), "38-47",
AND(E863&gt;47, E863 &lt;58), "48-57",
AND(E863&gt;57, E863&lt;68), "58-67",
AND(E863&gt;67, E863&lt;78), "68-77",
E863&gt;77,"Above than 77")</f>
        <v>38-47</v>
      </c>
      <c r="E863">
        <v>38</v>
      </c>
      <c r="F863" s="1">
        <v>29941</v>
      </c>
      <c r="G863" s="1" t="str">
        <f>VLOOKUP(H863,Table7[#All], 2, FALSE)</f>
        <v>Massachusetts</v>
      </c>
      <c r="H863" s="2" t="s">
        <v>14</v>
      </c>
      <c r="I863" s="2" t="s">
        <v>15</v>
      </c>
      <c r="J863" s="2" t="s">
        <v>34</v>
      </c>
      <c r="K863" s="2" t="s">
        <v>86</v>
      </c>
      <c r="L863" s="2" t="s">
        <v>9</v>
      </c>
      <c r="M863" s="2" t="s">
        <v>10</v>
      </c>
      <c r="N863" s="2" t="s">
        <v>26</v>
      </c>
      <c r="O863" s="2" t="s">
        <v>87</v>
      </c>
      <c r="P863" s="2" t="s">
        <v>32</v>
      </c>
      <c r="Q863" s="2" t="s">
        <v>23</v>
      </c>
      <c r="R863" s="2" t="s">
        <v>18</v>
      </c>
      <c r="S863">
        <v>2</v>
      </c>
    </row>
    <row r="864" spans="1:19" x14ac:dyDescent="0.3">
      <c r="A864">
        <v>1947</v>
      </c>
      <c r="B864">
        <f>YEAR(Cleaned_HR_Data_Analysis__2[[#This Row],[Joining_Date]])</f>
        <v>2020</v>
      </c>
      <c r="C864" s="1">
        <v>44091</v>
      </c>
      <c r="D864" s="1" t="str" cm="1">
        <f t="array" ref="D864">_xlfn.IFS(E864&lt;28, "17-27",
AND(E864&gt;27, E864&lt;38), "28-37",
AND(E864&gt;37, E864 &lt;48), "38-47",
AND(E864&gt;47, E864 &lt;58), "48-57",
AND(E864&gt;57, E864&lt;68), "58-67",
AND(E864&gt;67, E864&lt;78), "68-77",
E864&gt;77,"Above than 77")</f>
        <v>38-47</v>
      </c>
      <c r="E864">
        <v>38</v>
      </c>
      <c r="F864" s="1">
        <v>30153</v>
      </c>
      <c r="G864" s="1" t="str">
        <f>VLOOKUP(H864,Table7[#All], 2, FALSE)</f>
        <v>Pennsylvania</v>
      </c>
      <c r="H864" s="2" t="s">
        <v>100</v>
      </c>
      <c r="I864" s="2" t="s">
        <v>15</v>
      </c>
      <c r="J864" s="2" t="s">
        <v>31</v>
      </c>
      <c r="K864" s="2" t="s">
        <v>98</v>
      </c>
      <c r="L864" s="2" t="s">
        <v>9</v>
      </c>
      <c r="M864" s="2" t="s">
        <v>20</v>
      </c>
      <c r="N864" s="2" t="s">
        <v>11</v>
      </c>
      <c r="O864" s="2" t="s">
        <v>27</v>
      </c>
      <c r="P864" s="2" t="s">
        <v>28</v>
      </c>
      <c r="Q864" s="2" t="s">
        <v>16</v>
      </c>
      <c r="R864" s="2" t="s">
        <v>18</v>
      </c>
      <c r="S864">
        <v>3</v>
      </c>
    </row>
    <row r="865" spans="1:19" x14ac:dyDescent="0.3">
      <c r="A865">
        <v>3410</v>
      </c>
      <c r="B865">
        <f>YEAR(Cleaned_HR_Data_Analysis__2[[#This Row],[Joining_Date]])</f>
        <v>2018</v>
      </c>
      <c r="C865" s="1">
        <v>43452</v>
      </c>
      <c r="D865" s="1" t="str" cm="1">
        <f t="array" ref="D865">_xlfn.IFS(E865&lt;28, "17-27",
AND(E865&gt;27, E865&lt;38), "28-37",
AND(E865&gt;37, E865 &lt;48), "38-47",
AND(E865&gt;47, E865 &lt;58), "48-57",
AND(E865&gt;57, E865&lt;68), "58-67",
AND(E865&gt;67, E865&lt;78), "68-77",
E865&gt;77,"Above than 77")</f>
        <v>38-47</v>
      </c>
      <c r="E865">
        <v>38</v>
      </c>
      <c r="F865" s="1">
        <v>29409</v>
      </c>
      <c r="G865" s="1" t="str">
        <f>VLOOKUP(H865,Table7[#All], 2, FALSE)</f>
        <v>Massachusetts</v>
      </c>
      <c r="H865" s="2" t="s">
        <v>14</v>
      </c>
      <c r="I865" s="2" t="s">
        <v>22</v>
      </c>
      <c r="J865" s="2" t="s">
        <v>17</v>
      </c>
      <c r="K865" s="2" t="s">
        <v>64</v>
      </c>
      <c r="L865" s="2" t="s">
        <v>9</v>
      </c>
      <c r="M865" s="2" t="s">
        <v>10</v>
      </c>
      <c r="N865" s="2" t="s">
        <v>11</v>
      </c>
      <c r="O865" s="2" t="s">
        <v>12</v>
      </c>
      <c r="P865" s="2" t="s">
        <v>62</v>
      </c>
      <c r="Q865" s="2" t="s">
        <v>23</v>
      </c>
      <c r="R865" s="2" t="s">
        <v>18</v>
      </c>
      <c r="S865">
        <v>3</v>
      </c>
    </row>
    <row r="866" spans="1:19" x14ac:dyDescent="0.3">
      <c r="A866">
        <v>3262</v>
      </c>
      <c r="B866">
        <f>YEAR(Cleaned_HR_Data_Analysis__2[[#This Row],[Joining_Date]])</f>
        <v>2022</v>
      </c>
      <c r="C866" s="1">
        <v>44642</v>
      </c>
      <c r="D866" s="1" t="str" cm="1">
        <f t="array" ref="D866">_xlfn.IFS(E866&lt;28, "17-27",
AND(E866&gt;27, E866&lt;38), "28-37",
AND(E866&gt;37, E866 &lt;48), "38-47",
AND(E866&gt;47, E866 &lt;58), "48-57",
AND(E866&gt;57, E866&lt;68), "58-67",
AND(E866&gt;67, E866&lt;78), "68-77",
E866&gt;77,"Above than 77")</f>
        <v>38-47</v>
      </c>
      <c r="E866">
        <v>38</v>
      </c>
      <c r="F866" s="1">
        <v>30708</v>
      </c>
      <c r="G866" s="1" t="str">
        <f>VLOOKUP(H866,Table7[#All], 2, FALSE)</f>
        <v>Massachusetts</v>
      </c>
      <c r="H866" s="2" t="s">
        <v>14</v>
      </c>
      <c r="I866" s="2" t="s">
        <v>15</v>
      </c>
      <c r="J866" s="2" t="s">
        <v>40</v>
      </c>
      <c r="K866" s="2" t="s">
        <v>64</v>
      </c>
      <c r="L866" s="2" t="s">
        <v>9</v>
      </c>
      <c r="M866" s="2" t="s">
        <v>25</v>
      </c>
      <c r="N866" s="2" t="s">
        <v>19</v>
      </c>
      <c r="O866" s="2" t="s">
        <v>12</v>
      </c>
      <c r="P866" s="2" t="s">
        <v>60</v>
      </c>
      <c r="Q866" s="2" t="s">
        <v>37</v>
      </c>
      <c r="R866" s="2" t="s">
        <v>65</v>
      </c>
      <c r="S866">
        <v>3</v>
      </c>
    </row>
    <row r="867" spans="1:19" x14ac:dyDescent="0.3">
      <c r="A867">
        <v>3240</v>
      </c>
      <c r="B867">
        <f>YEAR(Cleaned_HR_Data_Analysis__2[[#This Row],[Joining_Date]])</f>
        <v>2018</v>
      </c>
      <c r="C867" s="1">
        <v>43324</v>
      </c>
      <c r="D867" s="1" t="str" cm="1">
        <f t="array" ref="D867">_xlfn.IFS(E867&lt;28, "17-27",
AND(E867&gt;27, E867&lt;38), "28-37",
AND(E867&gt;37, E867 &lt;48), "38-47",
AND(E867&gt;47, E867 &lt;58), "48-57",
AND(E867&gt;57, E867&lt;68), "58-67",
AND(E867&gt;67, E867&lt;78), "68-77",
E867&gt;77,"Above than 77")</f>
        <v>38-47</v>
      </c>
      <c r="E867">
        <v>38</v>
      </c>
      <c r="F867" s="1">
        <v>29285</v>
      </c>
      <c r="G867" s="1" t="str">
        <f>VLOOKUP(H867,Table7[#All], 2, FALSE)</f>
        <v>Massachusetts</v>
      </c>
      <c r="H867" s="2" t="s">
        <v>14</v>
      </c>
      <c r="I867" s="2" t="s">
        <v>15</v>
      </c>
      <c r="J867" s="2" t="s">
        <v>34</v>
      </c>
      <c r="K867" s="2" t="s">
        <v>64</v>
      </c>
      <c r="L867" s="2" t="s">
        <v>66</v>
      </c>
      <c r="M867" s="2" t="s">
        <v>25</v>
      </c>
      <c r="N867" s="2" t="s">
        <v>11</v>
      </c>
      <c r="O867" s="2" t="s">
        <v>12</v>
      </c>
      <c r="P867" s="2" t="s">
        <v>58</v>
      </c>
      <c r="Q867" s="2" t="s">
        <v>46</v>
      </c>
      <c r="R867" s="2" t="s">
        <v>18</v>
      </c>
      <c r="S867">
        <v>5</v>
      </c>
    </row>
    <row r="868" spans="1:19" x14ac:dyDescent="0.3">
      <c r="A868">
        <v>3209</v>
      </c>
      <c r="B868">
        <f>YEAR(Cleaned_HR_Data_Analysis__2[[#This Row],[Joining_Date]])</f>
        <v>2021</v>
      </c>
      <c r="C868" s="1">
        <v>44310</v>
      </c>
      <c r="D868" s="1" t="str" cm="1">
        <f t="array" ref="D868">_xlfn.IFS(E868&lt;28, "17-27",
AND(E868&gt;27, E868&lt;38), "28-37",
AND(E868&gt;37, E868 &lt;48), "38-47",
AND(E868&gt;47, E868 &lt;58), "48-57",
AND(E868&gt;57, E868&lt;68), "58-67",
AND(E868&gt;67, E868&lt;78), "68-77",
E868&gt;77,"Above than 77")</f>
        <v>38-47</v>
      </c>
      <c r="E868">
        <v>38</v>
      </c>
      <c r="F868" s="1">
        <v>30392</v>
      </c>
      <c r="G868" s="1" t="str">
        <f>VLOOKUP(H868,Table7[#All], 2, FALSE)</f>
        <v>Massachusetts</v>
      </c>
      <c r="H868" s="2" t="s">
        <v>14</v>
      </c>
      <c r="I868" s="2" t="s">
        <v>22</v>
      </c>
      <c r="J868" s="2" t="s">
        <v>17</v>
      </c>
      <c r="K868" s="2" t="s">
        <v>64</v>
      </c>
      <c r="L868" s="2" t="s">
        <v>9</v>
      </c>
      <c r="M868" s="2" t="s">
        <v>10</v>
      </c>
      <c r="N868" s="2" t="s">
        <v>19</v>
      </c>
      <c r="O868" s="2" t="s">
        <v>12</v>
      </c>
      <c r="P868" s="2" t="s">
        <v>32</v>
      </c>
      <c r="Q868" s="2" t="s">
        <v>23</v>
      </c>
      <c r="R868" s="2" t="s">
        <v>18</v>
      </c>
      <c r="S868">
        <v>3</v>
      </c>
    </row>
    <row r="869" spans="1:19" x14ac:dyDescent="0.3">
      <c r="A869">
        <v>3113</v>
      </c>
      <c r="B869">
        <f>YEAR(Cleaned_HR_Data_Analysis__2[[#This Row],[Joining_Date]])</f>
        <v>2019</v>
      </c>
      <c r="C869" s="1">
        <v>43499</v>
      </c>
      <c r="D869" s="1" t="str" cm="1">
        <f t="array" ref="D869">_xlfn.IFS(E869&lt;28, "17-27",
AND(E869&gt;27, E869&lt;38), "28-37",
AND(E869&gt;37, E869 &lt;48), "38-47",
AND(E869&gt;47, E869 &lt;58), "48-57",
AND(E869&gt;57, E869&lt;68), "58-67",
AND(E869&gt;67, E869&lt;78), "68-77",
E869&gt;77,"Above than 77")</f>
        <v>38-47</v>
      </c>
      <c r="E869">
        <v>38</v>
      </c>
      <c r="F869" s="1">
        <v>29769</v>
      </c>
      <c r="G869" s="1" t="str">
        <f>VLOOKUP(H869,Table7[#All], 2, FALSE)</f>
        <v>Massachusetts</v>
      </c>
      <c r="H869" s="2" t="s">
        <v>14</v>
      </c>
      <c r="I869" s="2" t="s">
        <v>15</v>
      </c>
      <c r="J869" s="2" t="s">
        <v>40</v>
      </c>
      <c r="K869" s="2" t="s">
        <v>64</v>
      </c>
      <c r="L869" s="2" t="s">
        <v>9</v>
      </c>
      <c r="M869" s="2" t="s">
        <v>10</v>
      </c>
      <c r="N869" s="2" t="s">
        <v>11</v>
      </c>
      <c r="O869" s="2" t="s">
        <v>12</v>
      </c>
      <c r="P869" s="2" t="s">
        <v>54</v>
      </c>
      <c r="Q869" s="2" t="s">
        <v>16</v>
      </c>
      <c r="R869" s="2" t="s">
        <v>18</v>
      </c>
      <c r="S869">
        <v>2</v>
      </c>
    </row>
    <row r="870" spans="1:19" x14ac:dyDescent="0.3">
      <c r="A870">
        <v>2190</v>
      </c>
      <c r="B870">
        <f>YEAR(Cleaned_HR_Data_Analysis__2[[#This Row],[Joining_Date]])</f>
        <v>2023</v>
      </c>
      <c r="C870" s="1">
        <v>45041</v>
      </c>
      <c r="D870" s="1" t="str" cm="1">
        <f t="array" ref="D870">_xlfn.IFS(E870&lt;28, "17-27",
AND(E870&gt;27, E870&lt;38), "28-37",
AND(E870&gt;37, E870 &lt;48), "38-47",
AND(E870&gt;47, E870 &lt;58), "48-57",
AND(E870&gt;57, E870&lt;68), "58-67",
AND(E870&gt;67, E870&lt;78), "68-77",
E870&gt;77,"Above than 77")</f>
        <v>38-47</v>
      </c>
      <c r="E870">
        <v>38</v>
      </c>
      <c r="F870" s="1">
        <v>31067</v>
      </c>
      <c r="G870" s="1" t="str">
        <f>VLOOKUP(H870,Table7[#All], 2, FALSE)</f>
        <v>Massachusetts</v>
      </c>
      <c r="H870" s="2" t="s">
        <v>14</v>
      </c>
      <c r="I870" s="2" t="s">
        <v>15</v>
      </c>
      <c r="J870" s="2" t="s">
        <v>31</v>
      </c>
      <c r="K870" s="2" t="s">
        <v>64</v>
      </c>
      <c r="L870" s="2" t="s">
        <v>9</v>
      </c>
      <c r="M870" s="2" t="s">
        <v>20</v>
      </c>
      <c r="N870" s="2" t="s">
        <v>11</v>
      </c>
      <c r="O870" s="2" t="s">
        <v>12</v>
      </c>
      <c r="P870" s="2" t="s">
        <v>32</v>
      </c>
      <c r="Q870" s="2" t="s">
        <v>46</v>
      </c>
      <c r="R870" s="2" t="s">
        <v>56</v>
      </c>
      <c r="S870">
        <v>2</v>
      </c>
    </row>
    <row r="871" spans="1:19" x14ac:dyDescent="0.3">
      <c r="A871">
        <v>2096</v>
      </c>
      <c r="B871">
        <f>YEAR(Cleaned_HR_Data_Analysis__2[[#This Row],[Joining_Date]])</f>
        <v>2023</v>
      </c>
      <c r="C871" s="1">
        <v>45125</v>
      </c>
      <c r="D871" s="1" t="str" cm="1">
        <f t="array" ref="D871">_xlfn.IFS(E871&lt;28, "17-27",
AND(E871&gt;27, E871&lt;38), "28-37",
AND(E871&gt;37, E871 &lt;48), "38-47",
AND(E871&gt;47, E871 &lt;58), "48-57",
AND(E871&gt;57, E871&lt;68), "58-67",
AND(E871&gt;67, E871&lt;78), "68-77",
E871&gt;77,"Above than 77")</f>
        <v>38-47</v>
      </c>
      <c r="E871">
        <v>38</v>
      </c>
      <c r="F871" s="1">
        <v>31245</v>
      </c>
      <c r="G871" s="1" t="str">
        <f>VLOOKUP(H871,Table7[#All], 2, FALSE)</f>
        <v>Massachusetts</v>
      </c>
      <c r="H871" s="2" t="s">
        <v>14</v>
      </c>
      <c r="I871" s="2" t="s">
        <v>15</v>
      </c>
      <c r="J871" s="2" t="s">
        <v>31</v>
      </c>
      <c r="K871" s="2" t="s">
        <v>64</v>
      </c>
      <c r="L871" s="2" t="s">
        <v>9</v>
      </c>
      <c r="M871" s="2" t="s">
        <v>10</v>
      </c>
      <c r="N871" s="2" t="s">
        <v>11</v>
      </c>
      <c r="O871" s="2" t="s">
        <v>12</v>
      </c>
      <c r="P871" s="2" t="s">
        <v>35</v>
      </c>
      <c r="Q871" s="2" t="s">
        <v>37</v>
      </c>
      <c r="R871" s="2" t="s">
        <v>18</v>
      </c>
      <c r="S871">
        <v>4</v>
      </c>
    </row>
    <row r="872" spans="1:19" x14ac:dyDescent="0.3">
      <c r="A872">
        <v>2014</v>
      </c>
      <c r="B872">
        <f>YEAR(Cleaned_HR_Data_Analysis__2[[#This Row],[Joining_Date]])</f>
        <v>2022</v>
      </c>
      <c r="C872" s="1">
        <v>44633</v>
      </c>
      <c r="D872" s="1" t="str" cm="1">
        <f t="array" ref="D872">_xlfn.IFS(E872&lt;28, "17-27",
AND(E872&gt;27, E872&lt;38), "28-37",
AND(E872&gt;37, E872 &lt;48), "38-47",
AND(E872&gt;47, E872 &lt;58), "48-57",
AND(E872&gt;57, E872&lt;68), "58-67",
AND(E872&gt;67, E872&lt;78), "68-77",
E872&gt;77,"Above than 77")</f>
        <v>38-47</v>
      </c>
      <c r="E872">
        <v>38</v>
      </c>
      <c r="F872" s="1">
        <v>30997</v>
      </c>
      <c r="G872" s="1" t="str">
        <f>VLOOKUP(H872,Table7[#All], 2, FALSE)</f>
        <v>Massachusetts</v>
      </c>
      <c r="H872" s="2" t="s">
        <v>14</v>
      </c>
      <c r="I872" s="2" t="s">
        <v>15</v>
      </c>
      <c r="J872" s="2" t="s">
        <v>40</v>
      </c>
      <c r="K872" s="2" t="s">
        <v>64</v>
      </c>
      <c r="L872" s="2" t="s">
        <v>9</v>
      </c>
      <c r="M872" s="2" t="s">
        <v>20</v>
      </c>
      <c r="N872" s="2" t="s">
        <v>26</v>
      </c>
      <c r="O872" s="2" t="s">
        <v>12</v>
      </c>
      <c r="P872" s="2" t="s">
        <v>49</v>
      </c>
      <c r="Q872" s="2" t="s">
        <v>46</v>
      </c>
      <c r="R872" s="2" t="s">
        <v>18</v>
      </c>
      <c r="S872">
        <v>5</v>
      </c>
    </row>
    <row r="873" spans="1:19" x14ac:dyDescent="0.3">
      <c r="A873">
        <v>1914</v>
      </c>
      <c r="B873">
        <f>YEAR(Cleaned_HR_Data_Analysis__2[[#This Row],[Joining_Date]])</f>
        <v>2019</v>
      </c>
      <c r="C873" s="1">
        <v>43539</v>
      </c>
      <c r="D873" s="1" t="str" cm="1">
        <f t="array" ref="D873">_xlfn.IFS(E873&lt;28, "17-27",
AND(E873&gt;27, E873&lt;38), "28-37",
AND(E873&gt;37, E873 &lt;48), "38-47",
AND(E873&gt;47, E873 &lt;58), "48-57",
AND(E873&gt;57, E873&lt;68), "58-67",
AND(E873&gt;67, E873&lt;78), "68-77",
E873&gt;77,"Above than 77")</f>
        <v>38-47</v>
      </c>
      <c r="E873">
        <v>38</v>
      </c>
      <c r="F873" s="1">
        <v>29680</v>
      </c>
      <c r="G873" s="1" t="str">
        <f>VLOOKUP(H873,Table7[#All], 2, FALSE)</f>
        <v>Massachusetts</v>
      </c>
      <c r="H873" s="2" t="s">
        <v>14</v>
      </c>
      <c r="I873" s="2" t="s">
        <v>15</v>
      </c>
      <c r="J873" s="2" t="s">
        <v>34</v>
      </c>
      <c r="K873" s="2" t="s">
        <v>64</v>
      </c>
      <c r="L873" s="2" t="s">
        <v>66</v>
      </c>
      <c r="M873" s="2" t="s">
        <v>20</v>
      </c>
      <c r="N873" s="2" t="s">
        <v>26</v>
      </c>
      <c r="O873" s="2" t="s">
        <v>12</v>
      </c>
      <c r="P873" s="2" t="s">
        <v>42</v>
      </c>
      <c r="Q873" s="2" t="s">
        <v>30</v>
      </c>
      <c r="R873" s="2" t="s">
        <v>18</v>
      </c>
      <c r="S873">
        <v>4</v>
      </c>
    </row>
    <row r="874" spans="1:19" x14ac:dyDescent="0.3">
      <c r="A874">
        <v>3636</v>
      </c>
      <c r="B874">
        <f>YEAR(Cleaned_HR_Data_Analysis__2[[#This Row],[Joining_Date]])</f>
        <v>2020</v>
      </c>
      <c r="C874" s="1">
        <v>43859</v>
      </c>
      <c r="D874" s="1" t="str" cm="1">
        <f t="array" ref="D874">_xlfn.IFS(E874&lt;28, "17-27",
AND(E874&gt;27, E874&lt;38), "28-37",
AND(E874&gt;37, E874 &lt;48), "38-47",
AND(E874&gt;47, E874 &lt;58), "48-57",
AND(E874&gt;57, E874&lt;68), "58-67",
AND(E874&gt;67, E874&lt;78), "68-77",
E874&gt;77,"Above than 77")</f>
        <v>38-47</v>
      </c>
      <c r="E874">
        <v>38</v>
      </c>
      <c r="F874" s="1">
        <v>30023</v>
      </c>
      <c r="G874" s="1" t="str">
        <f>VLOOKUP(H874,Table7[#All], 2, FALSE)</f>
        <v>Massachusetts</v>
      </c>
      <c r="H874" s="2" t="s">
        <v>14</v>
      </c>
      <c r="I874" s="2" t="s">
        <v>22</v>
      </c>
      <c r="J874" s="2" t="s">
        <v>40</v>
      </c>
      <c r="K874" s="2" t="s">
        <v>8</v>
      </c>
      <c r="L874" s="2" t="s">
        <v>9</v>
      </c>
      <c r="M874" s="2" t="s">
        <v>10</v>
      </c>
      <c r="N874" s="2" t="s">
        <v>26</v>
      </c>
      <c r="O874" s="2" t="s">
        <v>12</v>
      </c>
      <c r="P874" s="2" t="s">
        <v>60</v>
      </c>
      <c r="Q874" s="2" t="s">
        <v>46</v>
      </c>
      <c r="R874" s="2" t="s">
        <v>18</v>
      </c>
      <c r="S874">
        <v>5</v>
      </c>
    </row>
    <row r="875" spans="1:19" x14ac:dyDescent="0.3">
      <c r="A875">
        <v>3612</v>
      </c>
      <c r="B875">
        <f>YEAR(Cleaned_HR_Data_Analysis__2[[#This Row],[Joining_Date]])</f>
        <v>2022</v>
      </c>
      <c r="C875" s="1">
        <v>44584</v>
      </c>
      <c r="D875" s="1" t="str" cm="1">
        <f t="array" ref="D875">_xlfn.IFS(E875&lt;28, "17-27",
AND(E875&gt;27, E875&lt;38), "28-37",
AND(E875&gt;37, E875 &lt;48), "38-47",
AND(E875&gt;47, E875 &lt;58), "48-57",
AND(E875&gt;57, E875&lt;68), "58-67",
AND(E875&gt;67, E875&lt;78), "68-77",
E875&gt;77,"Above than 77")</f>
        <v>38-47</v>
      </c>
      <c r="E875">
        <v>38</v>
      </c>
      <c r="F875" s="1">
        <v>31041</v>
      </c>
      <c r="G875" s="1" t="str">
        <f>VLOOKUP(H875,Table7[#All], 2, FALSE)</f>
        <v>Massachusetts</v>
      </c>
      <c r="H875" s="2" t="s">
        <v>14</v>
      </c>
      <c r="I875" s="2" t="s">
        <v>22</v>
      </c>
      <c r="J875" s="2" t="s">
        <v>31</v>
      </c>
      <c r="K875" s="2" t="s">
        <v>8</v>
      </c>
      <c r="L875" s="2" t="s">
        <v>9</v>
      </c>
      <c r="M875" s="2" t="s">
        <v>10</v>
      </c>
      <c r="N875" s="2" t="s">
        <v>19</v>
      </c>
      <c r="O875" s="2" t="s">
        <v>12</v>
      </c>
      <c r="P875" s="2" t="s">
        <v>35</v>
      </c>
      <c r="Q875" s="2" t="s">
        <v>37</v>
      </c>
      <c r="R875" s="2" t="s">
        <v>65</v>
      </c>
      <c r="S875">
        <v>3</v>
      </c>
    </row>
    <row r="876" spans="1:19" x14ac:dyDescent="0.3">
      <c r="A876">
        <v>3399</v>
      </c>
      <c r="B876">
        <f>YEAR(Cleaned_HR_Data_Analysis__2[[#This Row],[Joining_Date]])</f>
        <v>2022</v>
      </c>
      <c r="C876" s="1">
        <v>44717</v>
      </c>
      <c r="D876" s="1" t="str" cm="1">
        <f t="array" ref="D876">_xlfn.IFS(E876&lt;28, "17-27",
AND(E876&gt;27, E876&lt;38), "28-37",
AND(E876&gt;37, E876 &lt;48), "38-47",
AND(E876&gt;47, E876 &lt;58), "48-57",
AND(E876&gt;57, E876&lt;68), "58-67",
AND(E876&gt;67, E876&lt;78), "68-77",
E876&gt;77,"Above than 77")</f>
        <v>38-47</v>
      </c>
      <c r="E876">
        <v>38</v>
      </c>
      <c r="F876" s="1">
        <v>30737</v>
      </c>
      <c r="G876" s="1" t="str">
        <f>VLOOKUP(H876,Table7[#All], 2, FALSE)</f>
        <v>Massachusetts</v>
      </c>
      <c r="H876" s="2" t="s">
        <v>14</v>
      </c>
      <c r="I876" s="2" t="s">
        <v>15</v>
      </c>
      <c r="J876" s="2" t="s">
        <v>17</v>
      </c>
      <c r="K876" s="2" t="s">
        <v>8</v>
      </c>
      <c r="L876" s="2" t="s">
        <v>9</v>
      </c>
      <c r="M876" s="2" t="s">
        <v>25</v>
      </c>
      <c r="N876" s="2" t="s">
        <v>26</v>
      </c>
      <c r="O876" s="2" t="s">
        <v>12</v>
      </c>
      <c r="P876" s="2" t="s">
        <v>21</v>
      </c>
      <c r="Q876" s="2" t="s">
        <v>16</v>
      </c>
      <c r="R876" s="2" t="s">
        <v>18</v>
      </c>
      <c r="S876">
        <v>4</v>
      </c>
    </row>
    <row r="877" spans="1:19" x14ac:dyDescent="0.3">
      <c r="A877">
        <v>3201</v>
      </c>
      <c r="B877">
        <f>YEAR(Cleaned_HR_Data_Analysis__2[[#This Row],[Joining_Date]])</f>
        <v>2022</v>
      </c>
      <c r="C877" s="1">
        <v>44883</v>
      </c>
      <c r="D877" s="1" t="str" cm="1">
        <f t="array" ref="D877">_xlfn.IFS(E877&lt;28, "17-27",
AND(E877&gt;27, E877&lt;38), "28-37",
AND(E877&gt;37, E877 &lt;48), "38-47",
AND(E877&gt;47, E877 &lt;58), "48-57",
AND(E877&gt;57, E877&lt;68), "58-67",
AND(E877&gt;67, E877&lt;78), "68-77",
E877&gt;77,"Above than 77")</f>
        <v>38-47</v>
      </c>
      <c r="E877">
        <v>38</v>
      </c>
      <c r="F877" s="1">
        <v>30879</v>
      </c>
      <c r="G877" s="1" t="str">
        <f>VLOOKUP(H877,Table7[#All], 2, FALSE)</f>
        <v>Massachusetts</v>
      </c>
      <c r="H877" s="2" t="s">
        <v>14</v>
      </c>
      <c r="I877" s="2" t="s">
        <v>15</v>
      </c>
      <c r="J877" s="2" t="s">
        <v>17</v>
      </c>
      <c r="K877" s="2" t="s">
        <v>8</v>
      </c>
      <c r="L877" s="2" t="s">
        <v>9</v>
      </c>
      <c r="M877" s="2" t="s">
        <v>20</v>
      </c>
      <c r="N877" s="2" t="s">
        <v>19</v>
      </c>
      <c r="O877" s="2" t="s">
        <v>12</v>
      </c>
      <c r="P877" s="2" t="s">
        <v>21</v>
      </c>
      <c r="Q877" s="2" t="s">
        <v>46</v>
      </c>
      <c r="R877" s="2" t="s">
        <v>18</v>
      </c>
      <c r="S877">
        <v>4</v>
      </c>
    </row>
    <row r="878" spans="1:19" x14ac:dyDescent="0.3">
      <c r="A878">
        <v>3149</v>
      </c>
      <c r="B878">
        <f>YEAR(Cleaned_HR_Data_Analysis__2[[#This Row],[Joining_Date]])</f>
        <v>2021</v>
      </c>
      <c r="C878" s="1">
        <v>44256</v>
      </c>
      <c r="D878" s="1" t="str" cm="1">
        <f t="array" ref="D878">_xlfn.IFS(E878&lt;28, "17-27",
AND(E878&gt;27, E878&lt;38), "28-37",
AND(E878&gt;37, E878 &lt;48), "38-47",
AND(E878&gt;47, E878 &lt;58), "48-57",
AND(E878&gt;57, E878&lt;68), "58-67",
AND(E878&gt;67, E878&lt;78), "68-77",
E878&gt;77,"Above than 77")</f>
        <v>38-47</v>
      </c>
      <c r="E878">
        <v>38</v>
      </c>
      <c r="F878" s="1">
        <v>30586</v>
      </c>
      <c r="G878" s="1" t="str">
        <f>VLOOKUP(H878,Table7[#All], 2, FALSE)</f>
        <v>Massachusetts</v>
      </c>
      <c r="H878" s="2" t="s">
        <v>14</v>
      </c>
      <c r="I878" s="2" t="s">
        <v>15</v>
      </c>
      <c r="J878" s="2" t="s">
        <v>31</v>
      </c>
      <c r="K878" s="2" t="s">
        <v>8</v>
      </c>
      <c r="L878" s="2" t="s">
        <v>9</v>
      </c>
      <c r="M878" s="2" t="s">
        <v>25</v>
      </c>
      <c r="N878" s="2" t="s">
        <v>19</v>
      </c>
      <c r="O878" s="2" t="s">
        <v>12</v>
      </c>
      <c r="P878" s="2" t="s">
        <v>35</v>
      </c>
      <c r="Q878" s="2" t="s">
        <v>37</v>
      </c>
      <c r="R878" s="2" t="s">
        <v>41</v>
      </c>
      <c r="S878">
        <v>1</v>
      </c>
    </row>
    <row r="879" spans="1:19" x14ac:dyDescent="0.3">
      <c r="A879">
        <v>3063</v>
      </c>
      <c r="B879">
        <f>YEAR(Cleaned_HR_Data_Analysis__2[[#This Row],[Joining_Date]])</f>
        <v>2021</v>
      </c>
      <c r="C879" s="1">
        <v>44552</v>
      </c>
      <c r="D879" s="1" t="str" cm="1">
        <f t="array" ref="D879">_xlfn.IFS(E879&lt;28, "17-27",
AND(E879&gt;27, E879&lt;38), "28-37",
AND(E879&gt;37, E879 &lt;48), "38-47",
AND(E879&gt;47, E879 &lt;58), "48-57",
AND(E879&gt;57, E879&lt;68), "58-67",
AND(E879&gt;67, E879&lt;78), "68-77",
E879&gt;77,"Above than 77")</f>
        <v>38-47</v>
      </c>
      <c r="E879">
        <v>38</v>
      </c>
      <c r="F879" s="1">
        <v>30610</v>
      </c>
      <c r="G879" s="1" t="str">
        <f>VLOOKUP(H879,Table7[#All], 2, FALSE)</f>
        <v>Massachusetts</v>
      </c>
      <c r="H879" s="2" t="s">
        <v>14</v>
      </c>
      <c r="I879" s="2" t="s">
        <v>15</v>
      </c>
      <c r="J879" s="2" t="s">
        <v>17</v>
      </c>
      <c r="K879" s="2" t="s">
        <v>8</v>
      </c>
      <c r="L879" s="2" t="s">
        <v>9</v>
      </c>
      <c r="M879" s="2" t="s">
        <v>10</v>
      </c>
      <c r="N879" s="2" t="s">
        <v>26</v>
      </c>
      <c r="O879" s="2" t="s">
        <v>12</v>
      </c>
      <c r="P879" s="2" t="s">
        <v>35</v>
      </c>
      <c r="Q879" s="2" t="s">
        <v>30</v>
      </c>
      <c r="R879" s="2" t="s">
        <v>18</v>
      </c>
      <c r="S879">
        <v>5</v>
      </c>
    </row>
    <row r="880" spans="1:19" x14ac:dyDescent="0.3">
      <c r="A880">
        <v>2970</v>
      </c>
      <c r="B880">
        <f>YEAR(Cleaned_HR_Data_Analysis__2[[#This Row],[Joining_Date]])</f>
        <v>2020</v>
      </c>
      <c r="C880" s="1">
        <v>44090</v>
      </c>
      <c r="D880" s="1" t="str" cm="1">
        <f t="array" ref="D880">_xlfn.IFS(E880&lt;28, "17-27",
AND(E880&gt;27, E880&lt;38), "28-37",
AND(E880&gt;37, E880 &lt;48), "38-47",
AND(E880&gt;47, E880 &lt;58), "48-57",
AND(E880&gt;57, E880&lt;68), "58-67",
AND(E880&gt;67, E880&lt;78), "68-77",
E880&gt;77,"Above than 77")</f>
        <v>38-47</v>
      </c>
      <c r="E880">
        <v>38</v>
      </c>
      <c r="F880" s="1">
        <v>30071</v>
      </c>
      <c r="G880" s="1" t="str">
        <f>VLOOKUP(H880,Table7[#All], 2, FALSE)</f>
        <v>Massachusetts</v>
      </c>
      <c r="H880" s="2" t="s">
        <v>14</v>
      </c>
      <c r="I880" s="2" t="s">
        <v>15</v>
      </c>
      <c r="J880" s="2" t="s">
        <v>17</v>
      </c>
      <c r="K880" s="2" t="s">
        <v>8</v>
      </c>
      <c r="L880" s="2" t="s">
        <v>9</v>
      </c>
      <c r="M880" s="2" t="s">
        <v>25</v>
      </c>
      <c r="N880" s="2" t="s">
        <v>26</v>
      </c>
      <c r="O880" s="2" t="s">
        <v>12</v>
      </c>
      <c r="P880" s="2" t="s">
        <v>32</v>
      </c>
      <c r="Q880" s="2" t="s">
        <v>23</v>
      </c>
      <c r="R880" s="2" t="s">
        <v>18</v>
      </c>
      <c r="S880">
        <v>5</v>
      </c>
    </row>
    <row r="881" spans="1:19" x14ac:dyDescent="0.3">
      <c r="A881">
        <v>2823</v>
      </c>
      <c r="B881">
        <f>YEAR(Cleaned_HR_Data_Analysis__2[[#This Row],[Joining_Date]])</f>
        <v>2023</v>
      </c>
      <c r="C881" s="1">
        <v>45068</v>
      </c>
      <c r="D881" s="1" t="str" cm="1">
        <f t="array" ref="D881">_xlfn.IFS(E881&lt;28, "17-27",
AND(E881&gt;27, E881&lt;38), "28-37",
AND(E881&gt;37, E881 &lt;48), "38-47",
AND(E881&gt;47, E881 &lt;58), "48-57",
AND(E881&gt;57, E881&lt;68), "58-67",
AND(E881&gt;67, E881&lt;78), "68-77",
E881&gt;77,"Above than 77")</f>
        <v>38-47</v>
      </c>
      <c r="E881">
        <v>38</v>
      </c>
      <c r="F881" s="1">
        <v>31388</v>
      </c>
      <c r="G881" s="1" t="str">
        <f>VLOOKUP(H881,Table7[#All], 2, FALSE)</f>
        <v>Massachusetts</v>
      </c>
      <c r="H881" s="2" t="s">
        <v>14</v>
      </c>
      <c r="I881" s="2" t="s">
        <v>15</v>
      </c>
      <c r="J881" s="2" t="s">
        <v>40</v>
      </c>
      <c r="K881" s="2" t="s">
        <v>8</v>
      </c>
      <c r="L881" s="2" t="s">
        <v>9</v>
      </c>
      <c r="M881" s="2" t="s">
        <v>10</v>
      </c>
      <c r="N881" s="2" t="s">
        <v>26</v>
      </c>
      <c r="O881" s="2" t="s">
        <v>12</v>
      </c>
      <c r="P881" s="2" t="s">
        <v>32</v>
      </c>
      <c r="Q881" s="2" t="s">
        <v>16</v>
      </c>
      <c r="R881" s="2" t="s">
        <v>18</v>
      </c>
      <c r="S881">
        <v>2</v>
      </c>
    </row>
    <row r="882" spans="1:19" x14ac:dyDescent="0.3">
      <c r="A882">
        <v>2180</v>
      </c>
      <c r="B882">
        <f>YEAR(Cleaned_HR_Data_Analysis__2[[#This Row],[Joining_Date]])</f>
        <v>2018</v>
      </c>
      <c r="C882" s="1">
        <v>43407</v>
      </c>
      <c r="D882" s="1" t="str" cm="1">
        <f t="array" ref="D882">_xlfn.IFS(E882&lt;28, "17-27",
AND(E882&gt;27, E882&lt;38), "28-37",
AND(E882&gt;37, E882 &lt;48), "38-47",
AND(E882&gt;47, E882 &lt;58), "48-57",
AND(E882&gt;57, E882&lt;68), "58-67",
AND(E882&gt;67, E882&lt;78), "68-77",
E882&gt;77,"Above than 77")</f>
        <v>38-47</v>
      </c>
      <c r="E882">
        <v>38</v>
      </c>
      <c r="F882" s="1">
        <v>29443</v>
      </c>
      <c r="G882" s="1" t="str">
        <f>VLOOKUP(H882,Table7[#All], 2, FALSE)</f>
        <v>Massachusetts</v>
      </c>
      <c r="H882" s="2" t="s">
        <v>14</v>
      </c>
      <c r="I882" s="2" t="s">
        <v>15</v>
      </c>
      <c r="J882" s="2" t="s">
        <v>17</v>
      </c>
      <c r="K882" s="2" t="s">
        <v>8</v>
      </c>
      <c r="L882" s="2" t="s">
        <v>9</v>
      </c>
      <c r="M882" s="2" t="s">
        <v>25</v>
      </c>
      <c r="N882" s="2" t="s">
        <v>19</v>
      </c>
      <c r="O882" s="2" t="s">
        <v>12</v>
      </c>
      <c r="P882" s="2" t="s">
        <v>35</v>
      </c>
      <c r="Q882" s="2" t="s">
        <v>23</v>
      </c>
      <c r="R882" s="2" t="s">
        <v>65</v>
      </c>
      <c r="S882">
        <v>4</v>
      </c>
    </row>
    <row r="883" spans="1:19" x14ac:dyDescent="0.3">
      <c r="A883">
        <v>2159</v>
      </c>
      <c r="B883">
        <f>YEAR(Cleaned_HR_Data_Analysis__2[[#This Row],[Joining_Date]])</f>
        <v>2021</v>
      </c>
      <c r="C883" s="1">
        <v>44278</v>
      </c>
      <c r="D883" s="1" t="str" cm="1">
        <f t="array" ref="D883">_xlfn.IFS(E883&lt;28, "17-27",
AND(E883&gt;27, E883&lt;38), "28-37",
AND(E883&gt;37, E883 &lt;48), "38-47",
AND(E883&gt;47, E883 &lt;58), "48-57",
AND(E883&gt;57, E883&lt;68), "58-67",
AND(E883&gt;67, E883&lt;78), "68-77",
E883&gt;77,"Above than 77")</f>
        <v>38-47</v>
      </c>
      <c r="E883">
        <v>38</v>
      </c>
      <c r="F883" s="1">
        <v>30467</v>
      </c>
      <c r="G883" s="1" t="str">
        <f>VLOOKUP(H883,Table7[#All], 2, FALSE)</f>
        <v>Massachusetts</v>
      </c>
      <c r="H883" s="2" t="s">
        <v>14</v>
      </c>
      <c r="I883" s="2" t="s">
        <v>15</v>
      </c>
      <c r="J883" s="2" t="s">
        <v>17</v>
      </c>
      <c r="K883" s="2" t="s">
        <v>8</v>
      </c>
      <c r="L883" s="2" t="s">
        <v>9</v>
      </c>
      <c r="M883" s="2" t="s">
        <v>25</v>
      </c>
      <c r="N883" s="2" t="s">
        <v>11</v>
      </c>
      <c r="O883" s="2" t="s">
        <v>12</v>
      </c>
      <c r="P883" s="2" t="s">
        <v>21</v>
      </c>
      <c r="Q883" s="2" t="s">
        <v>16</v>
      </c>
      <c r="R883" s="2" t="s">
        <v>41</v>
      </c>
      <c r="S883">
        <v>1</v>
      </c>
    </row>
    <row r="884" spans="1:19" x14ac:dyDescent="0.3">
      <c r="A884">
        <v>2058</v>
      </c>
      <c r="B884">
        <f>YEAR(Cleaned_HR_Data_Analysis__2[[#This Row],[Joining_Date]])</f>
        <v>2022</v>
      </c>
      <c r="C884" s="1">
        <v>44668</v>
      </c>
      <c r="D884" s="1" t="str" cm="1">
        <f t="array" ref="D884">_xlfn.IFS(E884&lt;28, "17-27",
AND(E884&gt;27, E884&lt;38), "28-37",
AND(E884&gt;37, E884 &lt;48), "38-47",
AND(E884&gt;47, E884 &lt;58), "48-57",
AND(E884&gt;57, E884&lt;68), "58-67",
AND(E884&gt;67, E884&lt;78), "68-77",
E884&gt;77,"Above than 77")</f>
        <v>38-47</v>
      </c>
      <c r="E884">
        <v>38</v>
      </c>
      <c r="F884" s="1">
        <v>30694</v>
      </c>
      <c r="G884" s="1" t="str">
        <f>VLOOKUP(H884,Table7[#All], 2, FALSE)</f>
        <v>Massachusetts</v>
      </c>
      <c r="H884" s="2" t="s">
        <v>14</v>
      </c>
      <c r="I884" s="2" t="s">
        <v>22</v>
      </c>
      <c r="J884" s="2" t="s">
        <v>40</v>
      </c>
      <c r="K884" s="2" t="s">
        <v>8</v>
      </c>
      <c r="L884" s="2" t="s">
        <v>9</v>
      </c>
      <c r="M884" s="2" t="s">
        <v>25</v>
      </c>
      <c r="N884" s="2" t="s">
        <v>19</v>
      </c>
      <c r="O884" s="2" t="s">
        <v>12</v>
      </c>
      <c r="P884" s="2" t="s">
        <v>35</v>
      </c>
      <c r="Q884" s="2" t="s">
        <v>16</v>
      </c>
      <c r="R884" s="2" t="s">
        <v>18</v>
      </c>
      <c r="S884">
        <v>5</v>
      </c>
    </row>
    <row r="885" spans="1:19" x14ac:dyDescent="0.3">
      <c r="A885">
        <v>1982</v>
      </c>
      <c r="B885">
        <f>YEAR(Cleaned_HR_Data_Analysis__2[[#This Row],[Joining_Date]])</f>
        <v>2018</v>
      </c>
      <c r="C885" s="1">
        <v>43418</v>
      </c>
      <c r="D885" s="1" t="str" cm="1">
        <f t="array" ref="D885">_xlfn.IFS(E885&lt;28, "17-27",
AND(E885&gt;27, E885&lt;38), "28-37",
AND(E885&gt;37, E885 &lt;48), "38-47",
AND(E885&gt;47, E885 &lt;58), "48-57",
AND(E885&gt;57, E885&lt;68), "58-67",
AND(E885&gt;67, E885&lt;78), "68-77",
E885&gt;77,"Above than 77")</f>
        <v>38-47</v>
      </c>
      <c r="E885">
        <v>38</v>
      </c>
      <c r="F885" s="1">
        <v>29365</v>
      </c>
      <c r="G885" s="1" t="str">
        <f>VLOOKUP(H885,Table7[#All], 2, FALSE)</f>
        <v>Massachusetts</v>
      </c>
      <c r="H885" s="2" t="s">
        <v>14</v>
      </c>
      <c r="I885" s="2" t="s">
        <v>15</v>
      </c>
      <c r="J885" s="2" t="s">
        <v>34</v>
      </c>
      <c r="K885" s="2" t="s">
        <v>8</v>
      </c>
      <c r="L885" s="2" t="s">
        <v>9</v>
      </c>
      <c r="M885" s="2" t="s">
        <v>25</v>
      </c>
      <c r="N885" s="2" t="s">
        <v>11</v>
      </c>
      <c r="O885" s="2" t="s">
        <v>12</v>
      </c>
      <c r="P885" s="2" t="s">
        <v>28</v>
      </c>
      <c r="Q885" s="2" t="s">
        <v>23</v>
      </c>
      <c r="R885" s="2" t="s">
        <v>18</v>
      </c>
      <c r="S885">
        <v>5</v>
      </c>
    </row>
    <row r="886" spans="1:19" x14ac:dyDescent="0.3">
      <c r="A886">
        <v>1899</v>
      </c>
      <c r="B886">
        <f>YEAR(Cleaned_HR_Data_Analysis__2[[#This Row],[Joining_Date]])</f>
        <v>2020</v>
      </c>
      <c r="C886" s="1">
        <v>44177</v>
      </c>
      <c r="D886" s="1" t="str" cm="1">
        <f t="array" ref="D886">_xlfn.IFS(E886&lt;28, "17-27",
AND(E886&gt;27, E886&lt;38), "28-37",
AND(E886&gt;37, E886 &lt;48), "38-47",
AND(E886&gt;47, E886 &lt;58), "48-57",
AND(E886&gt;57, E886&lt;68), "58-67",
AND(E886&gt;67, E886&lt;78), "68-77",
E886&gt;77,"Above than 77")</f>
        <v>38-47</v>
      </c>
      <c r="E886">
        <v>38</v>
      </c>
      <c r="F886" s="1">
        <v>30200</v>
      </c>
      <c r="G886" s="1" t="str">
        <f>VLOOKUP(H886,Table7[#All], 2, FALSE)</f>
        <v>Massachusetts</v>
      </c>
      <c r="H886" s="2" t="s">
        <v>14</v>
      </c>
      <c r="I886" s="2" t="s">
        <v>15</v>
      </c>
      <c r="J886" s="2" t="s">
        <v>34</v>
      </c>
      <c r="K886" s="2" t="s">
        <v>8</v>
      </c>
      <c r="L886" s="2" t="s">
        <v>9</v>
      </c>
      <c r="M886" s="2" t="s">
        <v>10</v>
      </c>
      <c r="N886" s="2" t="s">
        <v>11</v>
      </c>
      <c r="O886" s="2" t="s">
        <v>12</v>
      </c>
      <c r="P886" s="2" t="s">
        <v>35</v>
      </c>
      <c r="Q886" s="2" t="s">
        <v>46</v>
      </c>
      <c r="R886" s="2" t="s">
        <v>18</v>
      </c>
      <c r="S886">
        <v>4</v>
      </c>
    </row>
    <row r="887" spans="1:19" x14ac:dyDescent="0.3">
      <c r="A887">
        <v>1886</v>
      </c>
      <c r="B887">
        <f>YEAR(Cleaned_HR_Data_Analysis__2[[#This Row],[Joining_Date]])</f>
        <v>2022</v>
      </c>
      <c r="C887" s="1">
        <v>44838</v>
      </c>
      <c r="D887" s="1" t="str" cm="1">
        <f t="array" ref="D887">_xlfn.IFS(E887&lt;28, "17-27",
AND(E887&gt;27, E887&lt;38), "28-37",
AND(E887&gt;37, E887 &lt;48), "38-47",
AND(E887&gt;47, E887 &lt;58), "48-57",
AND(E887&gt;57, E887&lt;68), "58-67",
AND(E887&gt;67, E887&lt;78), "68-77",
E887&gt;77,"Above than 77")</f>
        <v>38-47</v>
      </c>
      <c r="E887">
        <v>38</v>
      </c>
      <c r="F887" s="1">
        <v>31022</v>
      </c>
      <c r="G887" s="1" t="str">
        <f>VLOOKUP(H887,Table7[#All], 2, FALSE)</f>
        <v>Massachusetts</v>
      </c>
      <c r="H887" s="2" t="s">
        <v>14</v>
      </c>
      <c r="I887" s="2" t="s">
        <v>22</v>
      </c>
      <c r="J887" s="2" t="s">
        <v>31</v>
      </c>
      <c r="K887" s="2" t="s">
        <v>8</v>
      </c>
      <c r="L887" s="2" t="s">
        <v>9</v>
      </c>
      <c r="M887" s="2" t="s">
        <v>10</v>
      </c>
      <c r="N887" s="2" t="s">
        <v>19</v>
      </c>
      <c r="O887" s="2" t="s">
        <v>12</v>
      </c>
      <c r="P887" s="2" t="s">
        <v>44</v>
      </c>
      <c r="Q887" s="2" t="s">
        <v>16</v>
      </c>
      <c r="R887" s="2" t="s">
        <v>18</v>
      </c>
      <c r="S887">
        <v>2</v>
      </c>
    </row>
    <row r="888" spans="1:19" x14ac:dyDescent="0.3">
      <c r="A888">
        <v>1885</v>
      </c>
      <c r="B888">
        <f>YEAR(Cleaned_HR_Data_Analysis__2[[#This Row],[Joining_Date]])</f>
        <v>2022</v>
      </c>
      <c r="C888" s="1">
        <v>44568</v>
      </c>
      <c r="D888" s="1" t="str" cm="1">
        <f t="array" ref="D888">_xlfn.IFS(E888&lt;28, "17-27",
AND(E888&gt;27, E888&lt;38), "28-37",
AND(E888&gt;37, E888 &lt;48), "38-47",
AND(E888&gt;47, E888 &lt;58), "48-57",
AND(E888&gt;57, E888&lt;68), "58-67",
AND(E888&gt;67, E888&lt;78), "68-77",
E888&gt;77,"Above than 77")</f>
        <v>38-47</v>
      </c>
      <c r="E888">
        <v>38</v>
      </c>
      <c r="F888" s="1">
        <v>30825</v>
      </c>
      <c r="G888" s="1" t="str">
        <f>VLOOKUP(H888,Table7[#All], 2, FALSE)</f>
        <v>Massachusetts</v>
      </c>
      <c r="H888" s="2" t="s">
        <v>14</v>
      </c>
      <c r="I888" s="2" t="s">
        <v>22</v>
      </c>
      <c r="J888" s="2" t="s">
        <v>34</v>
      </c>
      <c r="K888" s="2" t="s">
        <v>8</v>
      </c>
      <c r="L888" s="2" t="s">
        <v>9</v>
      </c>
      <c r="M888" s="2" t="s">
        <v>10</v>
      </c>
      <c r="N888" s="2" t="s">
        <v>26</v>
      </c>
      <c r="O888" s="2" t="s">
        <v>12</v>
      </c>
      <c r="P888" s="2" t="s">
        <v>32</v>
      </c>
      <c r="Q888" s="2" t="s">
        <v>30</v>
      </c>
      <c r="R888" s="2" t="s">
        <v>18</v>
      </c>
      <c r="S888">
        <v>2</v>
      </c>
    </row>
    <row r="889" spans="1:19" x14ac:dyDescent="0.3">
      <c r="A889">
        <v>1859</v>
      </c>
      <c r="B889">
        <f>YEAR(Cleaned_HR_Data_Analysis__2[[#This Row],[Joining_Date]])</f>
        <v>2020</v>
      </c>
      <c r="C889" s="1">
        <v>44196</v>
      </c>
      <c r="D889" s="1" t="str" cm="1">
        <f t="array" ref="D889">_xlfn.IFS(E889&lt;28, "17-27",
AND(E889&gt;27, E889&lt;38), "28-37",
AND(E889&gt;37, E889 &lt;48), "38-47",
AND(E889&gt;47, E889 &lt;58), "48-57",
AND(E889&gt;57, E889&lt;68), "58-67",
AND(E889&gt;67, E889&lt;78), "68-77",
E889&gt;77,"Above than 77")</f>
        <v>38-47</v>
      </c>
      <c r="E889">
        <v>38</v>
      </c>
      <c r="F889" s="1">
        <v>30299</v>
      </c>
      <c r="G889" s="1" t="str">
        <f>VLOOKUP(H889,Table7[#All], 2, FALSE)</f>
        <v>Massachusetts</v>
      </c>
      <c r="H889" s="2" t="s">
        <v>14</v>
      </c>
      <c r="I889" s="2" t="s">
        <v>15</v>
      </c>
      <c r="J889" s="2" t="s">
        <v>34</v>
      </c>
      <c r="K889" s="2" t="s">
        <v>8</v>
      </c>
      <c r="L889" s="2" t="s">
        <v>9</v>
      </c>
      <c r="M889" s="2" t="s">
        <v>10</v>
      </c>
      <c r="N889" s="2" t="s">
        <v>19</v>
      </c>
      <c r="O889" s="2" t="s">
        <v>12</v>
      </c>
      <c r="P889" s="2" t="s">
        <v>35</v>
      </c>
      <c r="Q889" s="2" t="s">
        <v>23</v>
      </c>
      <c r="R889" s="2" t="s">
        <v>41</v>
      </c>
      <c r="S889">
        <v>2</v>
      </c>
    </row>
    <row r="890" spans="1:19" x14ac:dyDescent="0.3">
      <c r="A890">
        <v>1852</v>
      </c>
      <c r="B890">
        <f>YEAR(Cleaned_HR_Data_Analysis__2[[#This Row],[Joining_Date]])</f>
        <v>2019</v>
      </c>
      <c r="C890" s="1">
        <v>43511</v>
      </c>
      <c r="D890" s="1" t="str" cm="1">
        <f t="array" ref="D890">_xlfn.IFS(E890&lt;28, "17-27",
AND(E890&gt;27, E890&lt;38), "28-37",
AND(E890&gt;37, E890 &lt;48), "38-47",
AND(E890&gt;47, E890 &lt;58), "48-57",
AND(E890&gt;57, E890&lt;68), "58-67",
AND(E890&gt;67, E890&lt;78), "68-77",
E890&gt;77,"Above than 77")</f>
        <v>38-47</v>
      </c>
      <c r="E890">
        <v>38</v>
      </c>
      <c r="F890" s="1">
        <v>29877</v>
      </c>
      <c r="G890" s="1" t="str">
        <f>VLOOKUP(H890,Table7[#All], 2, FALSE)</f>
        <v>Massachusetts</v>
      </c>
      <c r="H890" s="2" t="s">
        <v>14</v>
      </c>
      <c r="I890" s="2" t="s">
        <v>15</v>
      </c>
      <c r="J890" s="2" t="s">
        <v>31</v>
      </c>
      <c r="K890" s="2" t="s">
        <v>8</v>
      </c>
      <c r="L890" s="2" t="s">
        <v>66</v>
      </c>
      <c r="M890" s="2" t="s">
        <v>25</v>
      </c>
      <c r="N890" s="2" t="s">
        <v>19</v>
      </c>
      <c r="O890" s="2" t="s">
        <v>12</v>
      </c>
      <c r="P890" s="2" t="s">
        <v>32</v>
      </c>
      <c r="Q890" s="2" t="s">
        <v>37</v>
      </c>
      <c r="R890" s="2" t="s">
        <v>65</v>
      </c>
      <c r="S890">
        <v>4</v>
      </c>
    </row>
    <row r="891" spans="1:19" x14ac:dyDescent="0.3">
      <c r="A891">
        <v>1802</v>
      </c>
      <c r="B891">
        <f>YEAR(Cleaned_HR_Data_Analysis__2[[#This Row],[Joining_Date]])</f>
        <v>2020</v>
      </c>
      <c r="C891" s="1">
        <v>43921</v>
      </c>
      <c r="D891" s="1" t="str" cm="1">
        <f t="array" ref="D891">_xlfn.IFS(E891&lt;28, "17-27",
AND(E891&gt;27, E891&lt;38), "28-37",
AND(E891&gt;37, E891 &lt;48), "38-47",
AND(E891&gt;47, E891 &lt;58), "48-57",
AND(E891&gt;57, E891&lt;68), "58-67",
AND(E891&gt;67, E891&lt;78), "68-77",
E891&gt;77,"Above than 77")</f>
        <v>38-47</v>
      </c>
      <c r="E891">
        <v>38</v>
      </c>
      <c r="F891" s="1">
        <v>30176</v>
      </c>
      <c r="G891" s="1" t="str">
        <f>VLOOKUP(H891,Table7[#All], 2, FALSE)</f>
        <v>Massachusetts</v>
      </c>
      <c r="H891" s="2" t="s">
        <v>14</v>
      </c>
      <c r="I891" s="2" t="s">
        <v>15</v>
      </c>
      <c r="J891" s="2" t="s">
        <v>40</v>
      </c>
      <c r="K891" s="2" t="s">
        <v>8</v>
      </c>
      <c r="L891" s="2" t="s">
        <v>9</v>
      </c>
      <c r="M891" s="2" t="s">
        <v>20</v>
      </c>
      <c r="N891" s="2" t="s">
        <v>26</v>
      </c>
      <c r="O891" s="2" t="s">
        <v>12</v>
      </c>
      <c r="P891" s="2" t="s">
        <v>35</v>
      </c>
      <c r="Q891" s="2" t="s">
        <v>30</v>
      </c>
      <c r="R891" s="2" t="s">
        <v>18</v>
      </c>
      <c r="S891">
        <v>2</v>
      </c>
    </row>
    <row r="892" spans="1:19" x14ac:dyDescent="0.3">
      <c r="A892">
        <v>1590</v>
      </c>
      <c r="B892">
        <f>YEAR(Cleaned_HR_Data_Analysis__2[[#This Row],[Joining_Date]])</f>
        <v>2021</v>
      </c>
      <c r="C892" s="1">
        <v>44448</v>
      </c>
      <c r="D892" s="1" t="str" cm="1">
        <f t="array" ref="D892">_xlfn.IFS(E892&lt;28, "17-27",
AND(E892&gt;27, E892&lt;38), "28-37",
AND(E892&gt;37, E892 &lt;48), "38-47",
AND(E892&gt;47, E892 &lt;58), "48-57",
AND(E892&gt;57, E892&lt;68), "58-67",
AND(E892&gt;67, E892&lt;78), "68-77",
E892&gt;77,"Above than 77")</f>
        <v>38-47</v>
      </c>
      <c r="E892">
        <v>38</v>
      </c>
      <c r="F892" s="1">
        <v>30568</v>
      </c>
      <c r="G892" s="1" t="str">
        <f>VLOOKUP(H892,Table7[#All], 2, FALSE)</f>
        <v>Massachusetts</v>
      </c>
      <c r="H892" s="2" t="s">
        <v>14</v>
      </c>
      <c r="I892" s="2" t="s">
        <v>22</v>
      </c>
      <c r="J892" s="2" t="s">
        <v>31</v>
      </c>
      <c r="K892" s="2" t="s">
        <v>8</v>
      </c>
      <c r="L892" s="2" t="s">
        <v>9</v>
      </c>
      <c r="M892" s="2" t="s">
        <v>20</v>
      </c>
      <c r="N892" s="2" t="s">
        <v>19</v>
      </c>
      <c r="O892" s="2" t="s">
        <v>12</v>
      </c>
      <c r="P892" s="2" t="s">
        <v>59</v>
      </c>
      <c r="Q892" s="2" t="s">
        <v>37</v>
      </c>
      <c r="R892" s="2" t="s">
        <v>18</v>
      </c>
      <c r="S892">
        <v>1</v>
      </c>
    </row>
    <row r="893" spans="1:19" x14ac:dyDescent="0.3">
      <c r="A893">
        <v>1587</v>
      </c>
      <c r="B893">
        <f>YEAR(Cleaned_HR_Data_Analysis__2[[#This Row],[Joining_Date]])</f>
        <v>2022</v>
      </c>
      <c r="C893" s="1">
        <v>44704</v>
      </c>
      <c r="D893" s="1" t="str" cm="1">
        <f t="array" ref="D893">_xlfn.IFS(E893&lt;28, "17-27",
AND(E893&gt;27, E893&lt;38), "28-37",
AND(E893&gt;37, E893 &lt;48), "38-47",
AND(E893&gt;47, E893 &lt;58), "48-57",
AND(E893&gt;57, E893&lt;68), "58-67",
AND(E893&gt;67, E893&lt;78), "68-77",
E893&gt;77,"Above than 77")</f>
        <v>38-47</v>
      </c>
      <c r="E893">
        <v>38</v>
      </c>
      <c r="F893" s="1">
        <v>31028</v>
      </c>
      <c r="G893" s="1" t="str">
        <f>VLOOKUP(H893,Table7[#All], 2, FALSE)</f>
        <v>Massachusetts</v>
      </c>
      <c r="H893" s="2" t="s">
        <v>14</v>
      </c>
      <c r="I893" s="2" t="s">
        <v>22</v>
      </c>
      <c r="J893" s="2" t="s">
        <v>40</v>
      </c>
      <c r="K893" s="2" t="s">
        <v>8</v>
      </c>
      <c r="L893" s="2" t="s">
        <v>9</v>
      </c>
      <c r="M893" s="2" t="s">
        <v>20</v>
      </c>
      <c r="N893" s="2" t="s">
        <v>11</v>
      </c>
      <c r="O893" s="2" t="s">
        <v>12</v>
      </c>
      <c r="P893" s="2" t="s">
        <v>49</v>
      </c>
      <c r="Q893" s="2" t="s">
        <v>30</v>
      </c>
      <c r="R893" s="2" t="s">
        <v>18</v>
      </c>
      <c r="S893">
        <v>5</v>
      </c>
    </row>
    <row r="894" spans="1:19" x14ac:dyDescent="0.3">
      <c r="A894">
        <v>1491</v>
      </c>
      <c r="B894">
        <f>YEAR(Cleaned_HR_Data_Analysis__2[[#This Row],[Joining_Date]])</f>
        <v>2020</v>
      </c>
      <c r="C894" s="1">
        <v>43899</v>
      </c>
      <c r="D894" s="1" t="str" cm="1">
        <f t="array" ref="D894">_xlfn.IFS(E894&lt;28, "17-27",
AND(E894&gt;27, E894&lt;38), "28-37",
AND(E894&gt;37, E894 &lt;48), "38-47",
AND(E894&gt;47, E894 &lt;58), "48-57",
AND(E894&gt;57, E894&lt;68), "58-67",
AND(E894&gt;67, E894&lt;78), "68-77",
E894&gt;77,"Above than 77")</f>
        <v>38-47</v>
      </c>
      <c r="E894">
        <v>38</v>
      </c>
      <c r="F894" s="1">
        <v>30009</v>
      </c>
      <c r="G894" s="1" t="str">
        <f>VLOOKUP(H894,Table7[#All], 2, FALSE)</f>
        <v>Massachusetts</v>
      </c>
      <c r="H894" s="2" t="s">
        <v>14</v>
      </c>
      <c r="I894" s="2" t="s">
        <v>15</v>
      </c>
      <c r="J894" s="2" t="s">
        <v>34</v>
      </c>
      <c r="K894" s="2" t="s">
        <v>8</v>
      </c>
      <c r="L894" s="2" t="s">
        <v>9</v>
      </c>
      <c r="M894" s="2" t="s">
        <v>20</v>
      </c>
      <c r="N894" s="2" t="s">
        <v>11</v>
      </c>
      <c r="O894" s="2" t="s">
        <v>12</v>
      </c>
      <c r="P894" s="2" t="s">
        <v>54</v>
      </c>
      <c r="Q894" s="2" t="s">
        <v>23</v>
      </c>
      <c r="R894" s="2" t="s">
        <v>41</v>
      </c>
      <c r="S894">
        <v>3</v>
      </c>
    </row>
    <row r="895" spans="1:19" x14ac:dyDescent="0.3">
      <c r="A895">
        <v>1409</v>
      </c>
      <c r="B895">
        <f>YEAR(Cleaned_HR_Data_Analysis__2[[#This Row],[Joining_Date]])</f>
        <v>2019</v>
      </c>
      <c r="C895" s="1">
        <v>43535</v>
      </c>
      <c r="D895" s="1" t="str" cm="1">
        <f t="array" ref="D895">_xlfn.IFS(E895&lt;28, "17-27",
AND(E895&gt;27, E895&lt;38), "28-37",
AND(E895&gt;37, E895 &lt;48), "38-47",
AND(E895&gt;47, E895 &lt;58), "48-57",
AND(E895&gt;57, E895&lt;68), "58-67",
AND(E895&gt;67, E895&lt;78), "68-77",
E895&gt;77,"Above than 77")</f>
        <v>38-47</v>
      </c>
      <c r="E895">
        <v>38</v>
      </c>
      <c r="F895" s="1">
        <v>29678</v>
      </c>
      <c r="G895" s="1" t="str">
        <f>VLOOKUP(H895,Table7[#All], 2, FALSE)</f>
        <v>Massachusetts</v>
      </c>
      <c r="H895" s="2" t="s">
        <v>14</v>
      </c>
      <c r="I895" s="2" t="s">
        <v>15</v>
      </c>
      <c r="J895" s="2" t="s">
        <v>17</v>
      </c>
      <c r="K895" s="2" t="s">
        <v>8</v>
      </c>
      <c r="L895" s="2" t="s">
        <v>66</v>
      </c>
      <c r="M895" s="2" t="s">
        <v>25</v>
      </c>
      <c r="N895" s="2" t="s">
        <v>19</v>
      </c>
      <c r="O895" s="2" t="s">
        <v>12</v>
      </c>
      <c r="P895" s="2" t="s">
        <v>32</v>
      </c>
      <c r="Q895" s="2" t="s">
        <v>30</v>
      </c>
      <c r="R895" s="2" t="s">
        <v>41</v>
      </c>
      <c r="S895">
        <v>2</v>
      </c>
    </row>
    <row r="896" spans="1:19" x14ac:dyDescent="0.3">
      <c r="A896">
        <v>2363</v>
      </c>
      <c r="B896">
        <f>YEAR(Cleaned_HR_Data_Analysis__2[[#This Row],[Joining_Date]])</f>
        <v>2021</v>
      </c>
      <c r="C896" s="1">
        <v>44235</v>
      </c>
      <c r="D896" s="1" t="str" cm="1">
        <f t="array" ref="D896">_xlfn.IFS(E896&lt;28, "17-27",
AND(E896&gt;27, E896&lt;38), "28-37",
AND(E896&gt;37, E896 &lt;48), "38-47",
AND(E896&gt;47, E896 &lt;58), "48-57",
AND(E896&gt;57, E896&lt;68), "58-67",
AND(E896&gt;67, E896&lt;78), "68-77",
E896&gt;77,"Above than 77")</f>
        <v>38-47</v>
      </c>
      <c r="E896">
        <v>38</v>
      </c>
      <c r="F896" s="1">
        <v>30364</v>
      </c>
      <c r="G896" s="1" t="str">
        <f>VLOOKUP(H896,Table7[#All], 2, FALSE)</f>
        <v>Massachusetts</v>
      </c>
      <c r="H896" s="2" t="s">
        <v>14</v>
      </c>
      <c r="I896" s="2" t="s">
        <v>15</v>
      </c>
      <c r="J896" s="2" t="s">
        <v>17</v>
      </c>
      <c r="K896" s="2" t="s">
        <v>91</v>
      </c>
      <c r="L896" s="2" t="s">
        <v>9</v>
      </c>
      <c r="M896" s="2" t="s">
        <v>25</v>
      </c>
      <c r="N896" s="2" t="s">
        <v>11</v>
      </c>
      <c r="O896" s="2" t="s">
        <v>12</v>
      </c>
      <c r="P896" s="2" t="s">
        <v>59</v>
      </c>
      <c r="Q896" s="2" t="s">
        <v>23</v>
      </c>
      <c r="R896" s="2" t="s">
        <v>18</v>
      </c>
      <c r="S896">
        <v>5</v>
      </c>
    </row>
    <row r="897" spans="1:19" x14ac:dyDescent="0.3">
      <c r="A897">
        <v>1186</v>
      </c>
      <c r="B897">
        <f>YEAR(Cleaned_HR_Data_Analysis__2[[#This Row],[Joining_Date]])</f>
        <v>2021</v>
      </c>
      <c r="C897" s="1">
        <v>44258</v>
      </c>
      <c r="D897" s="1" t="str" cm="1">
        <f t="array" ref="D897">_xlfn.IFS(E897&lt;28, "17-27",
AND(E897&gt;27, E897&lt;38), "28-37",
AND(E897&gt;37, E897 &lt;48), "38-47",
AND(E897&gt;47, E897 &lt;58), "48-57",
AND(E897&gt;57, E897&lt;68), "58-67",
AND(E897&gt;67, E897&lt;78), "68-77",
E897&gt;77,"Above than 77")</f>
        <v>38-47</v>
      </c>
      <c r="E897">
        <v>38</v>
      </c>
      <c r="F897" s="1">
        <v>30553</v>
      </c>
      <c r="G897" s="1" t="str">
        <f>VLOOKUP(H897,Table7[#All], 2, FALSE)</f>
        <v>Massachusetts</v>
      </c>
      <c r="H897" s="2" t="s">
        <v>14</v>
      </c>
      <c r="I897" s="2" t="s">
        <v>15</v>
      </c>
      <c r="J897" s="2" t="s">
        <v>31</v>
      </c>
      <c r="K897" s="2" t="s">
        <v>91</v>
      </c>
      <c r="L897" s="2" t="s">
        <v>9</v>
      </c>
      <c r="M897" s="2" t="s">
        <v>25</v>
      </c>
      <c r="N897" s="2" t="s">
        <v>19</v>
      </c>
      <c r="O897" s="2" t="s">
        <v>12</v>
      </c>
      <c r="P897" s="2" t="s">
        <v>49</v>
      </c>
      <c r="Q897" s="2" t="s">
        <v>23</v>
      </c>
      <c r="R897" s="2" t="s">
        <v>18</v>
      </c>
      <c r="S897">
        <v>3</v>
      </c>
    </row>
    <row r="898" spans="1:19" x14ac:dyDescent="0.3">
      <c r="A898">
        <v>3927</v>
      </c>
      <c r="B898">
        <f>YEAR(Cleaned_HR_Data_Analysis__2[[#This Row],[Joining_Date]])</f>
        <v>2020</v>
      </c>
      <c r="C898" s="1">
        <v>43891</v>
      </c>
      <c r="D898" s="1" t="str" cm="1">
        <f t="array" ref="D898">_xlfn.IFS(E898&lt;28, "17-27",
AND(E898&gt;27, E898&lt;38), "28-37",
AND(E898&gt;37, E898 &lt;48), "38-47",
AND(E898&gt;47, E898 &lt;58), "48-57",
AND(E898&gt;57, E898&lt;68), "58-67",
AND(E898&gt;67, E898&lt;78), "68-77",
E898&gt;77,"Above than 77")</f>
        <v>38-47</v>
      </c>
      <c r="E898">
        <v>38</v>
      </c>
      <c r="F898" s="1">
        <v>30236</v>
      </c>
      <c r="G898" s="1" t="str">
        <f>VLOOKUP(H898,Table7[#All], 2, FALSE)</f>
        <v>Massachusetts</v>
      </c>
      <c r="H898" s="2" t="s">
        <v>14</v>
      </c>
      <c r="I898" s="2" t="s">
        <v>22</v>
      </c>
      <c r="J898" s="2" t="s">
        <v>31</v>
      </c>
      <c r="K898" s="2" t="s">
        <v>71</v>
      </c>
      <c r="L898" s="2" t="s">
        <v>9</v>
      </c>
      <c r="M898" s="2" t="s">
        <v>10</v>
      </c>
      <c r="N898" s="2" t="s">
        <v>11</v>
      </c>
      <c r="O898" s="2" t="s">
        <v>73</v>
      </c>
      <c r="P898" s="2" t="s">
        <v>21</v>
      </c>
      <c r="Q898" s="2" t="s">
        <v>30</v>
      </c>
      <c r="R898" s="2" t="s">
        <v>18</v>
      </c>
      <c r="S898">
        <v>4</v>
      </c>
    </row>
    <row r="899" spans="1:19" x14ac:dyDescent="0.3">
      <c r="A899">
        <v>2253</v>
      </c>
      <c r="B899">
        <f>YEAR(Cleaned_HR_Data_Analysis__2[[#This Row],[Joining_Date]])</f>
        <v>2020</v>
      </c>
      <c r="C899" s="1">
        <v>44152</v>
      </c>
      <c r="D899" s="1" t="str" cm="1">
        <f t="array" ref="D899">_xlfn.IFS(E899&lt;28, "17-27",
AND(E899&gt;27, E899&lt;38), "28-37",
AND(E899&gt;37, E899 &lt;48), "38-47",
AND(E899&gt;47, E899 &lt;58), "48-57",
AND(E899&gt;57, E899&lt;68), "58-67",
AND(E899&gt;67, E899&lt;78), "68-77",
E899&gt;77,"Above than 77")</f>
        <v>38-47</v>
      </c>
      <c r="E899">
        <v>38</v>
      </c>
      <c r="F899" s="1">
        <v>29987</v>
      </c>
      <c r="G899" s="1" t="str">
        <f>VLOOKUP(H899,Table7[#All], 2, FALSE)</f>
        <v>Massachusetts</v>
      </c>
      <c r="H899" s="2" t="s">
        <v>14</v>
      </c>
      <c r="I899" s="2" t="s">
        <v>15</v>
      </c>
      <c r="J899" s="2" t="s">
        <v>31</v>
      </c>
      <c r="K899" s="2" t="s">
        <v>70</v>
      </c>
      <c r="L899" s="2" t="s">
        <v>9</v>
      </c>
      <c r="M899" s="2" t="s">
        <v>25</v>
      </c>
      <c r="N899" s="2" t="s">
        <v>19</v>
      </c>
      <c r="O899" s="2" t="s">
        <v>53</v>
      </c>
      <c r="P899" s="2" t="s">
        <v>35</v>
      </c>
      <c r="Q899" s="2" t="s">
        <v>30</v>
      </c>
      <c r="R899" s="2" t="s">
        <v>18</v>
      </c>
      <c r="S899">
        <v>1</v>
      </c>
    </row>
    <row r="900" spans="1:19" x14ac:dyDescent="0.3">
      <c r="A900">
        <v>2256</v>
      </c>
      <c r="B900">
        <f>YEAR(Cleaned_HR_Data_Analysis__2[[#This Row],[Joining_Date]])</f>
        <v>2019</v>
      </c>
      <c r="C900" s="1">
        <v>43810</v>
      </c>
      <c r="D900" s="1" t="str" cm="1">
        <f t="array" ref="D900">_xlfn.IFS(E900&lt;28, "17-27",
AND(E900&gt;27, E900&lt;38), "28-37",
AND(E900&gt;37, E900 &lt;48), "38-47",
AND(E900&gt;47, E900 &lt;58), "48-57",
AND(E900&gt;57, E900&lt;68), "58-67",
AND(E900&gt;67, E900&lt;78), "68-77",
E900&gt;77,"Above than 77")</f>
        <v>38-47</v>
      </c>
      <c r="E900">
        <v>38</v>
      </c>
      <c r="F900" s="1">
        <v>29949</v>
      </c>
      <c r="G900" s="1" t="str">
        <f>VLOOKUP(H900,Table7[#All], 2, FALSE)</f>
        <v>Connecticut</v>
      </c>
      <c r="H900" s="2" t="s">
        <v>36</v>
      </c>
      <c r="I900" s="2" t="s">
        <v>15</v>
      </c>
      <c r="J900" s="2" t="s">
        <v>17</v>
      </c>
      <c r="K900" s="2" t="s">
        <v>70</v>
      </c>
      <c r="L900" s="2" t="s">
        <v>9</v>
      </c>
      <c r="M900" s="2" t="s">
        <v>20</v>
      </c>
      <c r="N900" s="2" t="s">
        <v>11</v>
      </c>
      <c r="O900" s="2" t="s">
        <v>53</v>
      </c>
      <c r="P900" s="2" t="s">
        <v>35</v>
      </c>
      <c r="Q900" s="2" t="s">
        <v>46</v>
      </c>
      <c r="R900" s="2" t="s">
        <v>18</v>
      </c>
      <c r="S900">
        <v>5</v>
      </c>
    </row>
    <row r="901" spans="1:19" x14ac:dyDescent="0.3">
      <c r="A901">
        <v>2373</v>
      </c>
      <c r="B901">
        <f>YEAR(Cleaned_HR_Data_Analysis__2[[#This Row],[Joining_Date]])</f>
        <v>2020</v>
      </c>
      <c r="C901" s="1">
        <v>44140</v>
      </c>
      <c r="D901" s="1" t="str" cm="1">
        <f t="array" ref="D901">_xlfn.IFS(E901&lt;28, "17-27",
AND(E901&gt;27, E901&lt;38), "28-37",
AND(E901&gt;37, E901 &lt;48), "38-47",
AND(E901&gt;47, E901 &lt;58), "48-57",
AND(E901&gt;57, E901&lt;68), "58-67",
AND(E901&gt;67, E901&lt;78), "68-77",
E901&gt;77,"Above than 77")</f>
        <v>38-47</v>
      </c>
      <c r="E901">
        <v>38</v>
      </c>
      <c r="F901" s="1">
        <v>30246</v>
      </c>
      <c r="G901" s="1" t="str">
        <f>VLOOKUP(H901,Table7[#All], 2, FALSE)</f>
        <v>Massachusetts</v>
      </c>
      <c r="H901" s="2" t="s">
        <v>14</v>
      </c>
      <c r="I901" s="2" t="s">
        <v>15</v>
      </c>
      <c r="J901" s="2" t="s">
        <v>40</v>
      </c>
      <c r="K901" s="2" t="s">
        <v>80</v>
      </c>
      <c r="L901" s="2" t="s">
        <v>9</v>
      </c>
      <c r="M901" s="2" t="s">
        <v>25</v>
      </c>
      <c r="N901" s="2" t="s">
        <v>19</v>
      </c>
      <c r="O901" s="2" t="s">
        <v>53</v>
      </c>
      <c r="P901" s="2" t="s">
        <v>60</v>
      </c>
      <c r="Q901" s="2" t="s">
        <v>30</v>
      </c>
      <c r="R901" s="2" t="s">
        <v>18</v>
      </c>
      <c r="S901">
        <v>5</v>
      </c>
    </row>
    <row r="902" spans="1:19" x14ac:dyDescent="0.3">
      <c r="A902">
        <v>2334</v>
      </c>
      <c r="B902">
        <f>YEAR(Cleaned_HR_Data_Analysis__2[[#This Row],[Joining_Date]])</f>
        <v>2021</v>
      </c>
      <c r="C902" s="1">
        <v>44398</v>
      </c>
      <c r="D902" s="1" t="str" cm="1">
        <f t="array" ref="D902">_xlfn.IFS(E902&lt;28, "17-27",
AND(E902&gt;27, E902&lt;38), "28-37",
AND(E902&gt;37, E902 &lt;48), "38-47",
AND(E902&gt;47, E902 &lt;58), "48-57",
AND(E902&gt;57, E902&lt;68), "58-67",
AND(E902&gt;67, E902&lt;78), "68-77",
E902&gt;77,"Above than 77")</f>
        <v>38-47</v>
      </c>
      <c r="E902">
        <v>38</v>
      </c>
      <c r="F902" s="1">
        <v>30366</v>
      </c>
      <c r="G902" s="1" t="str">
        <f>VLOOKUP(H902,Table7[#All], 2, FALSE)</f>
        <v>Massachusetts</v>
      </c>
      <c r="H902" s="2" t="s">
        <v>14</v>
      </c>
      <c r="I902" s="2" t="s">
        <v>22</v>
      </c>
      <c r="J902" s="2" t="s">
        <v>31</v>
      </c>
      <c r="K902" s="2" t="s">
        <v>78</v>
      </c>
      <c r="L902" s="2" t="s">
        <v>9</v>
      </c>
      <c r="M902" s="2" t="s">
        <v>10</v>
      </c>
      <c r="N902" s="2" t="s">
        <v>19</v>
      </c>
      <c r="O902" s="2" t="s">
        <v>53</v>
      </c>
      <c r="P902" s="2" t="s">
        <v>42</v>
      </c>
      <c r="Q902" s="2" t="s">
        <v>46</v>
      </c>
      <c r="R902" s="2" t="s">
        <v>18</v>
      </c>
      <c r="S902">
        <v>3</v>
      </c>
    </row>
    <row r="903" spans="1:19" x14ac:dyDescent="0.3">
      <c r="A903">
        <v>2528</v>
      </c>
      <c r="B903">
        <f>YEAR(Cleaned_HR_Data_Analysis__2[[#This Row],[Joining_Date]])</f>
        <v>2023</v>
      </c>
      <c r="C903" s="1">
        <v>45005</v>
      </c>
      <c r="D903" s="1" t="str" cm="1">
        <f t="array" ref="D903">_xlfn.IFS(E903&lt;28, "17-27",
AND(E903&gt;27, E903&lt;38), "28-37",
AND(E903&gt;37, E903 &lt;48), "38-47",
AND(E903&gt;47, E903 &lt;58), "48-57",
AND(E903&gt;57, E903&lt;68), "58-67",
AND(E903&gt;67, E903&lt;78), "68-77",
E903&gt;77,"Above than 77")</f>
        <v>38-47</v>
      </c>
      <c r="E903">
        <v>38</v>
      </c>
      <c r="F903" s="1">
        <v>31207</v>
      </c>
      <c r="G903" s="1" t="str">
        <f>VLOOKUP(H903,Table7[#All], 2, FALSE)</f>
        <v>Massachusetts</v>
      </c>
      <c r="H903" s="2" t="s">
        <v>14</v>
      </c>
      <c r="I903" s="2" t="s">
        <v>22</v>
      </c>
      <c r="J903" s="2" t="s">
        <v>34</v>
      </c>
      <c r="K903" s="2" t="s">
        <v>97</v>
      </c>
      <c r="L903" s="2" t="s">
        <v>9</v>
      </c>
      <c r="M903" s="2" t="s">
        <v>20</v>
      </c>
      <c r="N903" s="2" t="s">
        <v>11</v>
      </c>
      <c r="O903" s="2" t="s">
        <v>53</v>
      </c>
      <c r="P903" s="2" t="s">
        <v>54</v>
      </c>
      <c r="Q903" s="2" t="s">
        <v>16</v>
      </c>
      <c r="R903" s="2" t="s">
        <v>18</v>
      </c>
      <c r="S903">
        <v>4</v>
      </c>
    </row>
    <row r="904" spans="1:19" x14ac:dyDescent="0.3">
      <c r="A904">
        <v>2507</v>
      </c>
      <c r="B904">
        <f>YEAR(Cleaned_HR_Data_Analysis__2[[#This Row],[Joining_Date]])</f>
        <v>2023</v>
      </c>
      <c r="C904" s="1">
        <v>44931</v>
      </c>
      <c r="D904" s="1" t="str" cm="1">
        <f t="array" ref="D904">_xlfn.IFS(E904&lt;28, "17-27",
AND(E904&gt;27, E904&lt;38), "28-37",
AND(E904&gt;37, E904 &lt;48), "38-47",
AND(E904&gt;47, E904 &lt;58), "48-57",
AND(E904&gt;57, E904&lt;68), "58-67",
AND(E904&gt;67, E904&lt;78), "68-77",
E904&gt;77,"Above than 77")</f>
        <v>38-47</v>
      </c>
      <c r="E904">
        <v>38</v>
      </c>
      <c r="F904" s="1">
        <v>31296</v>
      </c>
      <c r="G904" s="1" t="str">
        <f>VLOOKUP(H904,Table7[#All], 2, FALSE)</f>
        <v>Massachusetts</v>
      </c>
      <c r="H904" s="2" t="s">
        <v>14</v>
      </c>
      <c r="I904" s="2" t="s">
        <v>15</v>
      </c>
      <c r="J904" s="2" t="s">
        <v>31</v>
      </c>
      <c r="K904" s="2" t="s">
        <v>97</v>
      </c>
      <c r="L904" s="2" t="s">
        <v>66</v>
      </c>
      <c r="M904" s="2" t="s">
        <v>20</v>
      </c>
      <c r="N904" s="2" t="s">
        <v>26</v>
      </c>
      <c r="O904" s="2" t="s">
        <v>53</v>
      </c>
      <c r="P904" s="2" t="s">
        <v>21</v>
      </c>
      <c r="Q904" s="2" t="s">
        <v>16</v>
      </c>
      <c r="R904" s="2" t="s">
        <v>18</v>
      </c>
      <c r="S904">
        <v>3</v>
      </c>
    </row>
    <row r="905" spans="1:19" x14ac:dyDescent="0.3">
      <c r="A905">
        <v>1726</v>
      </c>
      <c r="B905">
        <f>YEAR(Cleaned_HR_Data_Analysis__2[[#This Row],[Joining_Date]])</f>
        <v>2019</v>
      </c>
      <c r="C905" s="1">
        <v>43650</v>
      </c>
      <c r="D905" s="1" t="str" cm="1">
        <f t="array" ref="D905">_xlfn.IFS(E905&lt;28, "17-27",
AND(E905&gt;27, E905&lt;38), "28-37",
AND(E905&gt;37, E905 &lt;48), "38-47",
AND(E905&gt;47, E905 &lt;58), "48-57",
AND(E905&gt;57, E905&lt;68), "58-67",
AND(E905&gt;67, E905&lt;78), "68-77",
E905&gt;77,"Above than 77")</f>
        <v>38-47</v>
      </c>
      <c r="E905">
        <v>38</v>
      </c>
      <c r="F905" s="1">
        <v>29607</v>
      </c>
      <c r="G905" s="1" t="str">
        <f>VLOOKUP(H905,Table7[#All], 2, FALSE)</f>
        <v>Massachusetts</v>
      </c>
      <c r="H905" s="2" t="s">
        <v>14</v>
      </c>
      <c r="I905" s="2" t="s">
        <v>22</v>
      </c>
      <c r="J905" s="2" t="s">
        <v>31</v>
      </c>
      <c r="K905" s="2" t="s">
        <v>97</v>
      </c>
      <c r="L905" s="2" t="s">
        <v>9</v>
      </c>
      <c r="M905" s="2" t="s">
        <v>10</v>
      </c>
      <c r="N905" s="2" t="s">
        <v>26</v>
      </c>
      <c r="O905" s="2" t="s">
        <v>53</v>
      </c>
      <c r="P905" s="2" t="s">
        <v>59</v>
      </c>
      <c r="Q905" s="2" t="s">
        <v>46</v>
      </c>
      <c r="R905" s="2" t="s">
        <v>18</v>
      </c>
      <c r="S905">
        <v>5</v>
      </c>
    </row>
    <row r="906" spans="1:19" x14ac:dyDescent="0.3">
      <c r="A906">
        <v>2699</v>
      </c>
      <c r="B906">
        <f>YEAR(Cleaned_HR_Data_Analysis__2[[#This Row],[Joining_Date]])</f>
        <v>2023</v>
      </c>
      <c r="C906" s="1">
        <v>45143</v>
      </c>
      <c r="D906" s="1" t="str" cm="1">
        <f t="array" ref="D906">_xlfn.IFS(E906&lt;28, "17-27",
AND(E906&gt;27, E906&lt;38), "28-37",
AND(E906&gt;37, E906 &lt;48), "38-47",
AND(E906&gt;47, E906 &lt;58), "48-57",
AND(E906&gt;57, E906&lt;68), "58-67",
AND(E906&gt;67, E906&lt;78), "68-77",
E906&gt;77,"Above than 77")</f>
        <v>38-47</v>
      </c>
      <c r="E906">
        <v>38</v>
      </c>
      <c r="F906" s="1">
        <v>31283</v>
      </c>
      <c r="G906" s="1" t="str">
        <f>VLOOKUP(H906,Table7[#All], 2, FALSE)</f>
        <v>Washington</v>
      </c>
      <c r="H906" s="2" t="s">
        <v>113</v>
      </c>
      <c r="I906" s="2" t="s">
        <v>15</v>
      </c>
      <c r="J906" s="2" t="s">
        <v>34</v>
      </c>
      <c r="K906" s="2" t="s">
        <v>24</v>
      </c>
      <c r="L906" s="2" t="s">
        <v>9</v>
      </c>
      <c r="M906" s="2" t="s">
        <v>10</v>
      </c>
      <c r="N906" s="2" t="s">
        <v>11</v>
      </c>
      <c r="O906" s="2" t="s">
        <v>27</v>
      </c>
      <c r="P906" s="2" t="s">
        <v>42</v>
      </c>
      <c r="Q906" s="2" t="s">
        <v>30</v>
      </c>
      <c r="R906" s="2" t="s">
        <v>18</v>
      </c>
      <c r="S906">
        <v>1</v>
      </c>
    </row>
    <row r="907" spans="1:19" x14ac:dyDescent="0.3">
      <c r="A907">
        <v>1643</v>
      </c>
      <c r="B907">
        <f>YEAR(Cleaned_HR_Data_Analysis__2[[#This Row],[Joining_Date]])</f>
        <v>2019</v>
      </c>
      <c r="C907" s="1">
        <v>43562</v>
      </c>
      <c r="D907" s="1" t="str" cm="1">
        <f t="array" ref="D907">_xlfn.IFS(E907&lt;28, "17-27",
AND(E907&gt;27, E907&lt;38), "28-37",
AND(E907&gt;37, E907 &lt;48), "38-47",
AND(E907&gt;47, E907 &lt;58), "48-57",
AND(E907&gt;57, E907&lt;68), "58-67",
AND(E907&gt;67, E907&lt;78), "68-77",
E907&gt;77,"Above than 77")</f>
        <v>38-47</v>
      </c>
      <c r="E907">
        <v>38</v>
      </c>
      <c r="F907" s="1">
        <v>29725</v>
      </c>
      <c r="G907" s="1" t="str">
        <f>VLOOKUP(H907,Table7[#All], 2, FALSE)</f>
        <v>Massachusetts</v>
      </c>
      <c r="H907" s="2" t="s">
        <v>14</v>
      </c>
      <c r="I907" s="2" t="s">
        <v>22</v>
      </c>
      <c r="J907" s="2" t="s">
        <v>17</v>
      </c>
      <c r="K907" s="2" t="s">
        <v>24</v>
      </c>
      <c r="L907" s="2" t="s">
        <v>9</v>
      </c>
      <c r="M907" s="2" t="s">
        <v>25</v>
      </c>
      <c r="N907" s="2" t="s">
        <v>19</v>
      </c>
      <c r="O907" s="2" t="s">
        <v>53</v>
      </c>
      <c r="P907" s="2" t="s">
        <v>21</v>
      </c>
      <c r="Q907" s="2" t="s">
        <v>30</v>
      </c>
      <c r="R907" s="2" t="s">
        <v>18</v>
      </c>
      <c r="S907">
        <v>3</v>
      </c>
    </row>
    <row r="908" spans="1:19" x14ac:dyDescent="0.3">
      <c r="A908">
        <v>3444</v>
      </c>
      <c r="B908">
        <f>YEAR(Cleaned_HR_Data_Analysis__2[[#This Row],[Joining_Date]])</f>
        <v>2021</v>
      </c>
      <c r="C908" s="1">
        <v>44528</v>
      </c>
      <c r="D908" s="1" t="str" cm="1">
        <f t="array" ref="D908">_xlfn.IFS(E908&lt;28, "17-27",
AND(E908&gt;27, E908&lt;38), "28-37",
AND(E908&gt;37, E908 &lt;48), "38-47",
AND(E908&gt;47, E908 &lt;58), "48-57",
AND(E908&gt;57, E908&lt;68), "58-67",
AND(E908&gt;67, E908&lt;78), "68-77",
E908&gt;77,"Above than 77")</f>
        <v>38-47</v>
      </c>
      <c r="E908">
        <v>38</v>
      </c>
      <c r="F908" s="1">
        <v>30635</v>
      </c>
      <c r="G908" s="1" t="str">
        <f>VLOOKUP(H908,Table7[#All], 2, FALSE)</f>
        <v>Kentucky</v>
      </c>
      <c r="H908" s="2" t="s">
        <v>51</v>
      </c>
      <c r="I908" s="2" t="s">
        <v>22</v>
      </c>
      <c r="J908" s="2" t="s">
        <v>17</v>
      </c>
      <c r="K908" s="2" t="s">
        <v>24</v>
      </c>
      <c r="L908" s="2" t="s">
        <v>9</v>
      </c>
      <c r="M908" s="2" t="s">
        <v>10</v>
      </c>
      <c r="N908" s="2" t="s">
        <v>19</v>
      </c>
      <c r="O908" s="2" t="s">
        <v>27</v>
      </c>
      <c r="P908" s="2" t="s">
        <v>42</v>
      </c>
      <c r="Q908" s="2" t="s">
        <v>30</v>
      </c>
      <c r="R908" s="2" t="s">
        <v>18</v>
      </c>
      <c r="S908">
        <v>2</v>
      </c>
    </row>
    <row r="909" spans="1:19" x14ac:dyDescent="0.3">
      <c r="A909">
        <v>1322</v>
      </c>
      <c r="B909">
        <f>YEAR(Cleaned_HR_Data_Analysis__2[[#This Row],[Joining_Date]])</f>
        <v>2023</v>
      </c>
      <c r="C909" s="1">
        <v>44959</v>
      </c>
      <c r="D909" s="1" t="str" cm="1">
        <f t="array" ref="D909">_xlfn.IFS(E909&lt;28, "17-27",
AND(E909&gt;27, E909&lt;38), "28-37",
AND(E909&gt;37, E909 &lt;48), "38-47",
AND(E909&gt;47, E909 &lt;58), "48-57",
AND(E909&gt;57, E909&lt;68), "58-67",
AND(E909&gt;67, E909&lt;78), "68-77",
E909&gt;77,"Above than 77")</f>
        <v>38-47</v>
      </c>
      <c r="E909">
        <v>38</v>
      </c>
      <c r="F909" s="1">
        <v>31185</v>
      </c>
      <c r="G909" s="1" t="str">
        <f>VLOOKUP(H909,Table7[#All], 2, FALSE)</f>
        <v>Massachusetts</v>
      </c>
      <c r="H909" s="2" t="s">
        <v>14</v>
      </c>
      <c r="I909" s="2" t="s">
        <v>15</v>
      </c>
      <c r="J909" s="2" t="s">
        <v>17</v>
      </c>
      <c r="K909" s="2" t="s">
        <v>96</v>
      </c>
      <c r="L909" s="2" t="s">
        <v>9</v>
      </c>
      <c r="M909" s="2" t="s">
        <v>25</v>
      </c>
      <c r="N909" s="2" t="s">
        <v>26</v>
      </c>
      <c r="O909" s="2" t="s">
        <v>90</v>
      </c>
      <c r="P909" s="2" t="s">
        <v>44</v>
      </c>
      <c r="Q909" s="2" t="s">
        <v>23</v>
      </c>
      <c r="R909" s="2" t="s">
        <v>18</v>
      </c>
      <c r="S909">
        <v>5</v>
      </c>
    </row>
    <row r="910" spans="1:19" x14ac:dyDescent="0.3">
      <c r="A910">
        <v>3698</v>
      </c>
      <c r="B910">
        <f>YEAR(Cleaned_HR_Data_Analysis__2[[#This Row],[Joining_Date]])</f>
        <v>2023</v>
      </c>
      <c r="C910" s="1">
        <v>45007</v>
      </c>
      <c r="D910" s="1" t="str" cm="1">
        <f t="array" ref="D910">_xlfn.IFS(E910&lt;28, "17-27",
AND(E910&gt;27, E910&lt;38), "28-37",
AND(E910&gt;37, E910 &lt;48), "38-47",
AND(E910&gt;47, E910 &lt;58), "48-57",
AND(E910&gt;57, E910&lt;68), "58-67",
AND(E910&gt;67, E910&lt;78), "68-77",
E910&gt;77,"Above than 77")</f>
        <v>38-47</v>
      </c>
      <c r="E910">
        <v>39</v>
      </c>
      <c r="F910" s="1">
        <v>30845</v>
      </c>
      <c r="G910" s="1" t="str">
        <f>VLOOKUP(H910,Table7[#All], 2, FALSE)</f>
        <v>Massachusetts</v>
      </c>
      <c r="H910" s="2" t="s">
        <v>14</v>
      </c>
      <c r="I910" s="2" t="s">
        <v>15</v>
      </c>
      <c r="J910" s="2" t="s">
        <v>34</v>
      </c>
      <c r="K910" s="2" t="s">
        <v>64</v>
      </c>
      <c r="L910" s="2" t="s">
        <v>9</v>
      </c>
      <c r="M910" s="2" t="s">
        <v>25</v>
      </c>
      <c r="N910" s="2" t="s">
        <v>19</v>
      </c>
      <c r="O910" s="2" t="s">
        <v>12</v>
      </c>
      <c r="P910" s="2" t="s">
        <v>60</v>
      </c>
      <c r="Q910" s="2" t="s">
        <v>23</v>
      </c>
      <c r="R910" s="2" t="s">
        <v>65</v>
      </c>
      <c r="S910">
        <v>5</v>
      </c>
    </row>
    <row r="911" spans="1:19" x14ac:dyDescent="0.3">
      <c r="A911">
        <v>2906</v>
      </c>
      <c r="B911">
        <f>YEAR(Cleaned_HR_Data_Analysis__2[[#This Row],[Joining_Date]])</f>
        <v>2018</v>
      </c>
      <c r="C911" s="1">
        <v>43375</v>
      </c>
      <c r="D911" s="1" t="str" cm="1">
        <f t="array" ref="D911">_xlfn.IFS(E911&lt;28, "17-27",
AND(E911&gt;27, E911&lt;38), "28-37",
AND(E911&gt;37, E911 &lt;48), "38-47",
AND(E911&gt;47, E911 &lt;58), "48-57",
AND(E911&gt;57, E911&lt;68), "58-67",
AND(E911&gt;67, E911&lt;78), "68-77",
E911&gt;77,"Above than 77")</f>
        <v>38-47</v>
      </c>
      <c r="E911">
        <v>39</v>
      </c>
      <c r="F911" s="1">
        <v>28897</v>
      </c>
      <c r="G911" s="1" t="str">
        <f>VLOOKUP(H911,Table7[#All], 2, FALSE)</f>
        <v>Massachusetts</v>
      </c>
      <c r="H911" s="2" t="s">
        <v>14</v>
      </c>
      <c r="I911" s="2" t="s">
        <v>22</v>
      </c>
      <c r="J911" s="2" t="s">
        <v>40</v>
      </c>
      <c r="K911" s="2" t="s">
        <v>64</v>
      </c>
      <c r="L911" s="2" t="s">
        <v>9</v>
      </c>
      <c r="M911" s="2" t="s">
        <v>10</v>
      </c>
      <c r="N911" s="2" t="s">
        <v>26</v>
      </c>
      <c r="O911" s="2" t="s">
        <v>12</v>
      </c>
      <c r="P911" s="2" t="s">
        <v>35</v>
      </c>
      <c r="Q911" s="2" t="s">
        <v>46</v>
      </c>
      <c r="R911" s="2" t="s">
        <v>56</v>
      </c>
      <c r="S911">
        <v>5</v>
      </c>
    </row>
    <row r="912" spans="1:19" x14ac:dyDescent="0.3">
      <c r="A912">
        <v>1835</v>
      </c>
      <c r="B912">
        <f>YEAR(Cleaned_HR_Data_Analysis__2[[#This Row],[Joining_Date]])</f>
        <v>2021</v>
      </c>
      <c r="C912" s="1">
        <v>44449</v>
      </c>
      <c r="D912" s="1" t="str" cm="1">
        <f t="array" ref="D912">_xlfn.IFS(E912&lt;28, "17-27",
AND(E912&gt;27, E912&lt;38), "28-37",
AND(E912&gt;37, E912 &lt;48), "38-47",
AND(E912&gt;47, E912 &lt;58), "48-57",
AND(E912&gt;57, E912&lt;68), "58-67",
AND(E912&gt;67, E912&lt;78), "68-77",
E912&gt;77,"Above than 77")</f>
        <v>38-47</v>
      </c>
      <c r="E912">
        <v>39</v>
      </c>
      <c r="F912" s="1">
        <v>30280</v>
      </c>
      <c r="G912" s="1" t="str">
        <f>VLOOKUP(H912,Table7[#All], 2, FALSE)</f>
        <v>Massachusetts</v>
      </c>
      <c r="H912" s="2" t="s">
        <v>14</v>
      </c>
      <c r="I912" s="2" t="s">
        <v>15</v>
      </c>
      <c r="J912" s="2" t="s">
        <v>31</v>
      </c>
      <c r="K912" s="2" t="s">
        <v>64</v>
      </c>
      <c r="L912" s="2" t="s">
        <v>9</v>
      </c>
      <c r="M912" s="2" t="s">
        <v>20</v>
      </c>
      <c r="N912" s="2" t="s">
        <v>26</v>
      </c>
      <c r="O912" s="2" t="s">
        <v>12</v>
      </c>
      <c r="P912" s="2" t="s">
        <v>35</v>
      </c>
      <c r="Q912" s="2" t="s">
        <v>46</v>
      </c>
      <c r="R912" s="2" t="s">
        <v>56</v>
      </c>
      <c r="S912">
        <v>2</v>
      </c>
    </row>
    <row r="913" spans="1:19" x14ac:dyDescent="0.3">
      <c r="A913">
        <v>1558</v>
      </c>
      <c r="B913">
        <f>YEAR(Cleaned_HR_Data_Analysis__2[[#This Row],[Joining_Date]])</f>
        <v>2020</v>
      </c>
      <c r="C913" s="1">
        <v>44068</v>
      </c>
      <c r="D913" s="1" t="str" cm="1">
        <f t="array" ref="D913">_xlfn.IFS(E913&lt;28, "17-27",
AND(E913&gt;27, E913&lt;38), "28-37",
AND(E913&gt;37, E913 &lt;48), "38-47",
AND(E913&gt;47, E913 &lt;58), "48-57",
AND(E913&gt;57, E913&lt;68), "58-67",
AND(E913&gt;67, E913&lt;78), "68-77",
E913&gt;77,"Above than 77")</f>
        <v>38-47</v>
      </c>
      <c r="E913">
        <v>39</v>
      </c>
      <c r="F913" s="1">
        <v>29641</v>
      </c>
      <c r="G913" s="1" t="str">
        <f>VLOOKUP(H913,Table7[#All], 2, FALSE)</f>
        <v>Massachusetts</v>
      </c>
      <c r="H913" s="2" t="s">
        <v>14</v>
      </c>
      <c r="I913" s="2" t="s">
        <v>22</v>
      </c>
      <c r="J913" s="2" t="s">
        <v>34</v>
      </c>
      <c r="K913" s="2" t="s">
        <v>64</v>
      </c>
      <c r="L913" s="2" t="s">
        <v>9</v>
      </c>
      <c r="M913" s="2" t="s">
        <v>20</v>
      </c>
      <c r="N913" s="2" t="s">
        <v>19</v>
      </c>
      <c r="O913" s="2" t="s">
        <v>12</v>
      </c>
      <c r="P913" s="2" t="s">
        <v>35</v>
      </c>
      <c r="Q913" s="2" t="s">
        <v>37</v>
      </c>
      <c r="R913" s="2" t="s">
        <v>18</v>
      </c>
      <c r="S913">
        <v>5</v>
      </c>
    </row>
    <row r="914" spans="1:19" x14ac:dyDescent="0.3">
      <c r="A914">
        <v>1514</v>
      </c>
      <c r="B914">
        <f>YEAR(Cleaned_HR_Data_Analysis__2[[#This Row],[Joining_Date]])</f>
        <v>2022</v>
      </c>
      <c r="C914" s="1">
        <v>44757</v>
      </c>
      <c r="D914" s="1" t="str" cm="1">
        <f t="array" ref="D914">_xlfn.IFS(E914&lt;28, "17-27",
AND(E914&gt;27, E914&lt;38), "28-37",
AND(E914&gt;37, E914 &lt;48), "38-47",
AND(E914&gt;47, E914 &lt;58), "48-57",
AND(E914&gt;57, E914&lt;68), "58-67",
AND(E914&gt;67, E914&lt;78), "68-77",
E914&gt;77,"Above than 77")</f>
        <v>38-47</v>
      </c>
      <c r="E914">
        <v>39</v>
      </c>
      <c r="F914" s="1">
        <v>30655</v>
      </c>
      <c r="G914" s="1" t="str">
        <f>VLOOKUP(H914,Table7[#All], 2, FALSE)</f>
        <v>Massachusetts</v>
      </c>
      <c r="H914" s="2" t="s">
        <v>14</v>
      </c>
      <c r="I914" s="2" t="s">
        <v>22</v>
      </c>
      <c r="J914" s="2" t="s">
        <v>17</v>
      </c>
      <c r="K914" s="2" t="s">
        <v>64</v>
      </c>
      <c r="L914" s="2" t="s">
        <v>9</v>
      </c>
      <c r="M914" s="2" t="s">
        <v>10</v>
      </c>
      <c r="N914" s="2" t="s">
        <v>11</v>
      </c>
      <c r="O914" s="2" t="s">
        <v>12</v>
      </c>
      <c r="P914" s="2" t="s">
        <v>49</v>
      </c>
      <c r="Q914" s="2" t="s">
        <v>23</v>
      </c>
      <c r="R914" s="2" t="s">
        <v>18</v>
      </c>
      <c r="S914">
        <v>3</v>
      </c>
    </row>
    <row r="915" spans="1:19" x14ac:dyDescent="0.3">
      <c r="A915">
        <v>3629</v>
      </c>
      <c r="B915">
        <f>YEAR(Cleaned_HR_Data_Analysis__2[[#This Row],[Joining_Date]])</f>
        <v>2022</v>
      </c>
      <c r="C915" s="1">
        <v>44800</v>
      </c>
      <c r="D915" s="1" t="str" cm="1">
        <f t="array" ref="D915">_xlfn.IFS(E915&lt;28, "17-27",
AND(E915&gt;27, E915&lt;38), "28-37",
AND(E915&gt;37, E915 &lt;48), "38-47",
AND(E915&gt;47, E915 &lt;58), "48-57",
AND(E915&gt;57, E915&lt;68), "58-67",
AND(E915&gt;67, E915&lt;78), "68-77",
E915&gt;77,"Above than 77")</f>
        <v>38-47</v>
      </c>
      <c r="E915">
        <v>39</v>
      </c>
      <c r="F915" s="1">
        <v>30646</v>
      </c>
      <c r="G915" s="1" t="str">
        <f>VLOOKUP(H915,Table7[#All], 2, FALSE)</f>
        <v>Massachusetts</v>
      </c>
      <c r="H915" s="2" t="s">
        <v>14</v>
      </c>
      <c r="I915" s="2" t="s">
        <v>22</v>
      </c>
      <c r="J915" s="2" t="s">
        <v>40</v>
      </c>
      <c r="K915" s="2" t="s">
        <v>8</v>
      </c>
      <c r="L915" s="2" t="s">
        <v>66</v>
      </c>
      <c r="M915" s="2" t="s">
        <v>10</v>
      </c>
      <c r="N915" s="2" t="s">
        <v>26</v>
      </c>
      <c r="O915" s="2" t="s">
        <v>12</v>
      </c>
      <c r="P915" s="2" t="s">
        <v>35</v>
      </c>
      <c r="Q915" s="2" t="s">
        <v>37</v>
      </c>
      <c r="R915" s="2" t="s">
        <v>18</v>
      </c>
      <c r="S915">
        <v>4</v>
      </c>
    </row>
    <row r="916" spans="1:19" x14ac:dyDescent="0.3">
      <c r="A916">
        <v>3619</v>
      </c>
      <c r="B916">
        <f>YEAR(Cleaned_HR_Data_Analysis__2[[#This Row],[Joining_Date]])</f>
        <v>2023</v>
      </c>
      <c r="C916" s="1">
        <v>45008</v>
      </c>
      <c r="D916" s="1" t="str" cm="1">
        <f t="array" ref="D916">_xlfn.IFS(E916&lt;28, "17-27",
AND(E916&gt;27, E916&lt;38), "28-37",
AND(E916&gt;37, E916 &lt;48), "38-47",
AND(E916&gt;47, E916 &lt;58), "48-57",
AND(E916&gt;57, E916&lt;68), "58-67",
AND(E916&gt;67, E916&lt;78), "68-77",
E916&gt;77,"Above than 77")</f>
        <v>38-47</v>
      </c>
      <c r="E916">
        <v>39</v>
      </c>
      <c r="F916" s="1">
        <v>30758</v>
      </c>
      <c r="G916" s="1" t="str">
        <f>VLOOKUP(H916,Table7[#All], 2, FALSE)</f>
        <v>Massachusetts</v>
      </c>
      <c r="H916" s="2" t="s">
        <v>14</v>
      </c>
      <c r="I916" s="2" t="s">
        <v>22</v>
      </c>
      <c r="J916" s="2" t="s">
        <v>34</v>
      </c>
      <c r="K916" s="2" t="s">
        <v>8</v>
      </c>
      <c r="L916" s="2" t="s">
        <v>9</v>
      </c>
      <c r="M916" s="2" t="s">
        <v>25</v>
      </c>
      <c r="N916" s="2" t="s">
        <v>19</v>
      </c>
      <c r="O916" s="2" t="s">
        <v>12</v>
      </c>
      <c r="P916" s="2" t="s">
        <v>32</v>
      </c>
      <c r="Q916" s="2" t="s">
        <v>46</v>
      </c>
      <c r="R916" s="2" t="s">
        <v>18</v>
      </c>
      <c r="S916">
        <v>5</v>
      </c>
    </row>
    <row r="917" spans="1:19" x14ac:dyDescent="0.3">
      <c r="A917">
        <v>3380</v>
      </c>
      <c r="B917">
        <f>YEAR(Cleaned_HR_Data_Analysis__2[[#This Row],[Joining_Date]])</f>
        <v>2023</v>
      </c>
      <c r="C917" s="1">
        <v>45104</v>
      </c>
      <c r="D917" s="1" t="str" cm="1">
        <f t="array" ref="D917">_xlfn.IFS(E917&lt;28, "17-27",
AND(E917&gt;27, E917&lt;38), "28-37",
AND(E917&gt;37, E917 &lt;48), "38-47",
AND(E917&gt;47, E917 &lt;58), "48-57",
AND(E917&gt;57, E917&lt;68), "58-67",
AND(E917&gt;67, E917&lt;78), "68-77",
E917&gt;77,"Above than 77")</f>
        <v>38-47</v>
      </c>
      <c r="E917">
        <v>39</v>
      </c>
      <c r="F917" s="1">
        <v>31035</v>
      </c>
      <c r="G917" s="1" t="str">
        <f>VLOOKUP(H917,Table7[#All], 2, FALSE)</f>
        <v>Massachusetts</v>
      </c>
      <c r="H917" s="2" t="s">
        <v>14</v>
      </c>
      <c r="I917" s="2" t="s">
        <v>22</v>
      </c>
      <c r="J917" s="2" t="s">
        <v>17</v>
      </c>
      <c r="K917" s="2" t="s">
        <v>8</v>
      </c>
      <c r="L917" s="2" t="s">
        <v>9</v>
      </c>
      <c r="M917" s="2" t="s">
        <v>25</v>
      </c>
      <c r="N917" s="2" t="s">
        <v>11</v>
      </c>
      <c r="O917" s="2" t="s">
        <v>12</v>
      </c>
      <c r="P917" s="2" t="s">
        <v>35</v>
      </c>
      <c r="Q917" s="2" t="s">
        <v>37</v>
      </c>
      <c r="R917" s="2" t="s">
        <v>41</v>
      </c>
      <c r="S917">
        <v>3</v>
      </c>
    </row>
    <row r="918" spans="1:19" x14ac:dyDescent="0.3">
      <c r="A918">
        <v>3317</v>
      </c>
      <c r="B918">
        <f>YEAR(Cleaned_HR_Data_Analysis__2[[#This Row],[Joining_Date]])</f>
        <v>2022</v>
      </c>
      <c r="C918" s="1">
        <v>44637</v>
      </c>
      <c r="D918" s="1" t="str" cm="1">
        <f t="array" ref="D918">_xlfn.IFS(E918&lt;28, "17-27",
AND(E918&gt;27, E918&lt;38), "28-37",
AND(E918&gt;37, E918 &lt;48), "38-47",
AND(E918&gt;47, E918 &lt;58), "48-57",
AND(E918&gt;57, E918&lt;68), "58-67",
AND(E918&gt;67, E918&lt;78), "68-77",
E918&gt;77,"Above than 77")</f>
        <v>38-47</v>
      </c>
      <c r="E918">
        <v>39</v>
      </c>
      <c r="F918" s="1">
        <v>30414</v>
      </c>
      <c r="G918" s="1" t="str">
        <f>VLOOKUP(H918,Table7[#All], 2, FALSE)</f>
        <v>Massachusetts</v>
      </c>
      <c r="H918" s="2" t="s">
        <v>14</v>
      </c>
      <c r="I918" s="2" t="s">
        <v>15</v>
      </c>
      <c r="J918" s="2" t="s">
        <v>31</v>
      </c>
      <c r="K918" s="2" t="s">
        <v>8</v>
      </c>
      <c r="L918" s="2" t="s">
        <v>9</v>
      </c>
      <c r="M918" s="2" t="s">
        <v>20</v>
      </c>
      <c r="N918" s="2" t="s">
        <v>11</v>
      </c>
      <c r="O918" s="2" t="s">
        <v>12</v>
      </c>
      <c r="P918" s="2" t="s">
        <v>13</v>
      </c>
      <c r="Q918" s="2" t="s">
        <v>30</v>
      </c>
      <c r="R918" s="2" t="s">
        <v>18</v>
      </c>
      <c r="S918">
        <v>5</v>
      </c>
    </row>
    <row r="919" spans="1:19" x14ac:dyDescent="0.3">
      <c r="A919">
        <v>3195</v>
      </c>
      <c r="B919">
        <f>YEAR(Cleaned_HR_Data_Analysis__2[[#This Row],[Joining_Date]])</f>
        <v>2020</v>
      </c>
      <c r="C919" s="1">
        <v>44028</v>
      </c>
      <c r="D919" s="1" t="str" cm="1">
        <f t="array" ref="D919">_xlfn.IFS(E919&lt;28, "17-27",
AND(E919&gt;27, E919&lt;38), "28-37",
AND(E919&gt;37, E919 &lt;48), "38-47",
AND(E919&gt;47, E919 &lt;58), "48-57",
AND(E919&gt;57, E919&lt;68), "58-67",
AND(E919&gt;67, E919&lt;78), "68-77",
E919&gt;77,"Above than 77")</f>
        <v>38-47</v>
      </c>
      <c r="E919">
        <v>39</v>
      </c>
      <c r="F919" s="1">
        <v>29617</v>
      </c>
      <c r="G919" s="1" t="str">
        <f>VLOOKUP(H919,Table7[#All], 2, FALSE)</f>
        <v>Massachusetts</v>
      </c>
      <c r="H919" s="2" t="s">
        <v>14</v>
      </c>
      <c r="I919" s="2" t="s">
        <v>15</v>
      </c>
      <c r="J919" s="2" t="s">
        <v>40</v>
      </c>
      <c r="K919" s="2" t="s">
        <v>8</v>
      </c>
      <c r="L919" s="2" t="s">
        <v>9</v>
      </c>
      <c r="M919" s="2" t="s">
        <v>25</v>
      </c>
      <c r="N919" s="2" t="s">
        <v>19</v>
      </c>
      <c r="O919" s="2" t="s">
        <v>12</v>
      </c>
      <c r="P919" s="2" t="s">
        <v>32</v>
      </c>
      <c r="Q919" s="2" t="s">
        <v>16</v>
      </c>
      <c r="R919" s="2" t="s">
        <v>18</v>
      </c>
      <c r="S919">
        <v>4</v>
      </c>
    </row>
    <row r="920" spans="1:19" x14ac:dyDescent="0.3">
      <c r="A920">
        <v>3130</v>
      </c>
      <c r="B920">
        <f>YEAR(Cleaned_HR_Data_Analysis__2[[#This Row],[Joining_Date]])</f>
        <v>2020</v>
      </c>
      <c r="C920" s="1">
        <v>44053</v>
      </c>
      <c r="D920" s="1" t="str" cm="1">
        <f t="array" ref="D920">_xlfn.IFS(E920&lt;28, "17-27",
AND(E920&gt;27, E920&lt;38), "28-37",
AND(E920&gt;37, E920 &lt;48), "38-47",
AND(E920&gt;47, E920 &lt;58), "48-57",
AND(E920&gt;57, E920&lt;68), "58-67",
AND(E920&gt;67, E920&lt;78), "68-77",
E920&gt;77,"Above than 77")</f>
        <v>38-47</v>
      </c>
      <c r="E920">
        <v>39</v>
      </c>
      <c r="F920" s="1">
        <v>29715</v>
      </c>
      <c r="G920" s="1" t="str">
        <f>VLOOKUP(H920,Table7[#All], 2, FALSE)</f>
        <v>Massachusetts</v>
      </c>
      <c r="H920" s="2" t="s">
        <v>14</v>
      </c>
      <c r="I920" s="2" t="s">
        <v>15</v>
      </c>
      <c r="J920" s="2" t="s">
        <v>17</v>
      </c>
      <c r="K920" s="2" t="s">
        <v>8</v>
      </c>
      <c r="L920" s="2" t="s">
        <v>9</v>
      </c>
      <c r="M920" s="2" t="s">
        <v>20</v>
      </c>
      <c r="N920" s="2" t="s">
        <v>19</v>
      </c>
      <c r="O920" s="2" t="s">
        <v>12</v>
      </c>
      <c r="P920" s="2" t="s">
        <v>59</v>
      </c>
      <c r="Q920" s="2" t="s">
        <v>37</v>
      </c>
      <c r="R920" s="2" t="s">
        <v>18</v>
      </c>
      <c r="S920">
        <v>3</v>
      </c>
    </row>
    <row r="921" spans="1:19" x14ac:dyDescent="0.3">
      <c r="A921">
        <v>2967</v>
      </c>
      <c r="B921">
        <f>YEAR(Cleaned_HR_Data_Analysis__2[[#This Row],[Joining_Date]])</f>
        <v>2022</v>
      </c>
      <c r="C921" s="1">
        <v>44921</v>
      </c>
      <c r="D921" s="1" t="str" cm="1">
        <f t="array" ref="D921">_xlfn.IFS(E921&lt;28, "17-27",
AND(E921&gt;27, E921&lt;38), "28-37",
AND(E921&gt;37, E921 &lt;48), "38-47",
AND(E921&gt;47, E921 &lt;58), "48-57",
AND(E921&gt;57, E921&lt;68), "58-67",
AND(E921&gt;67, E921&lt;78), "68-77",
E921&gt;77,"Above than 77")</f>
        <v>38-47</v>
      </c>
      <c r="E921">
        <v>39</v>
      </c>
      <c r="F921" s="1">
        <v>30656</v>
      </c>
      <c r="G921" s="1" t="str">
        <f>VLOOKUP(H921,Table7[#All], 2, FALSE)</f>
        <v>Massachusetts</v>
      </c>
      <c r="H921" s="2" t="s">
        <v>14</v>
      </c>
      <c r="I921" s="2" t="s">
        <v>15</v>
      </c>
      <c r="J921" s="2" t="s">
        <v>34</v>
      </c>
      <c r="K921" s="2" t="s">
        <v>8</v>
      </c>
      <c r="L921" s="2" t="s">
        <v>9</v>
      </c>
      <c r="M921" s="2" t="s">
        <v>25</v>
      </c>
      <c r="N921" s="2" t="s">
        <v>19</v>
      </c>
      <c r="O921" s="2" t="s">
        <v>12</v>
      </c>
      <c r="P921" s="2" t="s">
        <v>35</v>
      </c>
      <c r="Q921" s="2" t="s">
        <v>30</v>
      </c>
      <c r="R921" s="2" t="s">
        <v>18</v>
      </c>
      <c r="S921">
        <v>3</v>
      </c>
    </row>
    <row r="922" spans="1:19" x14ac:dyDescent="0.3">
      <c r="A922">
        <v>2936</v>
      </c>
      <c r="B922">
        <f>YEAR(Cleaned_HR_Data_Analysis__2[[#This Row],[Joining_Date]])</f>
        <v>2023</v>
      </c>
      <c r="C922" s="1">
        <v>44978</v>
      </c>
      <c r="D922" s="1" t="str" cm="1">
        <f t="array" ref="D922">_xlfn.IFS(E922&lt;28, "17-27",
AND(E922&gt;27, E922&lt;38), "28-37",
AND(E922&gt;37, E922 &lt;48), "38-47",
AND(E922&gt;47, E922 &lt;58), "48-57",
AND(E922&gt;57, E922&lt;68), "58-67",
AND(E922&gt;67, E922&lt;78), "68-77",
E922&gt;77,"Above than 77")</f>
        <v>38-47</v>
      </c>
      <c r="E922">
        <v>39</v>
      </c>
      <c r="F922" s="1">
        <v>30940</v>
      </c>
      <c r="G922" s="1" t="str">
        <f>VLOOKUP(H922,Table7[#All], 2, FALSE)</f>
        <v>Massachusetts</v>
      </c>
      <c r="H922" s="2" t="s">
        <v>14</v>
      </c>
      <c r="I922" s="2" t="s">
        <v>22</v>
      </c>
      <c r="J922" s="2" t="s">
        <v>34</v>
      </c>
      <c r="K922" s="2" t="s">
        <v>8</v>
      </c>
      <c r="L922" s="2" t="s">
        <v>9</v>
      </c>
      <c r="M922" s="2" t="s">
        <v>10</v>
      </c>
      <c r="N922" s="2" t="s">
        <v>11</v>
      </c>
      <c r="O922" s="2" t="s">
        <v>12</v>
      </c>
      <c r="P922" s="2" t="s">
        <v>32</v>
      </c>
      <c r="Q922" s="2" t="s">
        <v>46</v>
      </c>
      <c r="R922" s="2" t="s">
        <v>56</v>
      </c>
      <c r="S922">
        <v>3</v>
      </c>
    </row>
    <row r="923" spans="1:19" x14ac:dyDescent="0.3">
      <c r="A923">
        <v>2918</v>
      </c>
      <c r="B923">
        <f>YEAR(Cleaned_HR_Data_Analysis__2[[#This Row],[Joining_Date]])</f>
        <v>2018</v>
      </c>
      <c r="C923" s="1">
        <v>43456</v>
      </c>
      <c r="D923" s="1" t="str" cm="1">
        <f t="array" ref="D923">_xlfn.IFS(E923&lt;28, "17-27",
AND(E923&gt;27, E923&lt;38), "28-37",
AND(E923&gt;37, E923 &lt;48), "38-47",
AND(E923&gt;47, E923 &lt;58), "48-57",
AND(E923&gt;57, E923&lt;68), "58-67",
AND(E923&gt;67, E923&lt;78), "68-77",
E923&gt;77,"Above than 77")</f>
        <v>38-47</v>
      </c>
      <c r="E923">
        <v>39</v>
      </c>
      <c r="F923" s="1">
        <v>28983</v>
      </c>
      <c r="G923" s="1" t="str">
        <f>VLOOKUP(H923,Table7[#All], 2, FALSE)</f>
        <v>Massachusetts</v>
      </c>
      <c r="H923" s="2" t="s">
        <v>14</v>
      </c>
      <c r="I923" s="2" t="s">
        <v>15</v>
      </c>
      <c r="J923" s="2" t="s">
        <v>17</v>
      </c>
      <c r="K923" s="2" t="s">
        <v>8</v>
      </c>
      <c r="L923" s="2" t="s">
        <v>9</v>
      </c>
      <c r="M923" s="2" t="s">
        <v>20</v>
      </c>
      <c r="N923" s="2" t="s">
        <v>26</v>
      </c>
      <c r="O923" s="2" t="s">
        <v>12</v>
      </c>
      <c r="P923" s="2" t="s">
        <v>35</v>
      </c>
      <c r="Q923" s="2" t="s">
        <v>37</v>
      </c>
      <c r="R923" s="2" t="s">
        <v>41</v>
      </c>
      <c r="S923">
        <v>3</v>
      </c>
    </row>
    <row r="924" spans="1:19" x14ac:dyDescent="0.3">
      <c r="A924">
        <v>2875</v>
      </c>
      <c r="B924">
        <f>YEAR(Cleaned_HR_Data_Analysis__2[[#This Row],[Joining_Date]])</f>
        <v>2020</v>
      </c>
      <c r="C924" s="1">
        <v>44190</v>
      </c>
      <c r="D924" s="1" t="str" cm="1">
        <f t="array" ref="D924">_xlfn.IFS(E924&lt;28, "17-27",
AND(E924&gt;27, E924&lt;38), "28-37",
AND(E924&gt;37, E924 &lt;48), "38-47",
AND(E924&gt;47, E924 &lt;58), "48-57",
AND(E924&gt;57, E924&lt;68), "58-67",
AND(E924&gt;67, E924&lt;78), "68-77",
E924&gt;77,"Above than 77")</f>
        <v>38-47</v>
      </c>
      <c r="E924">
        <v>39</v>
      </c>
      <c r="F924" s="1">
        <v>29740</v>
      </c>
      <c r="G924" s="1" t="str">
        <f>VLOOKUP(H924,Table7[#All], 2, FALSE)</f>
        <v>Massachusetts</v>
      </c>
      <c r="H924" s="2" t="s">
        <v>14</v>
      </c>
      <c r="I924" s="2" t="s">
        <v>15</v>
      </c>
      <c r="J924" s="2" t="s">
        <v>40</v>
      </c>
      <c r="K924" s="2" t="s">
        <v>8</v>
      </c>
      <c r="L924" s="2" t="s">
        <v>9</v>
      </c>
      <c r="M924" s="2" t="s">
        <v>25</v>
      </c>
      <c r="N924" s="2" t="s">
        <v>11</v>
      </c>
      <c r="O924" s="2" t="s">
        <v>12</v>
      </c>
      <c r="P924" s="2" t="s">
        <v>32</v>
      </c>
      <c r="Q924" s="2" t="s">
        <v>37</v>
      </c>
      <c r="R924" s="2" t="s">
        <v>18</v>
      </c>
      <c r="S924">
        <v>5</v>
      </c>
    </row>
    <row r="925" spans="1:19" x14ac:dyDescent="0.3">
      <c r="A925">
        <v>2753</v>
      </c>
      <c r="B925">
        <f>YEAR(Cleaned_HR_Data_Analysis__2[[#This Row],[Joining_Date]])</f>
        <v>2023</v>
      </c>
      <c r="C925" s="1">
        <v>44939</v>
      </c>
      <c r="D925" s="1" t="str" cm="1">
        <f t="array" ref="D925">_xlfn.IFS(E925&lt;28, "17-27",
AND(E925&gt;27, E925&lt;38), "28-37",
AND(E925&gt;37, E925 &lt;48), "38-47",
AND(E925&gt;47, E925 &lt;58), "48-57",
AND(E925&gt;57, E925&lt;68), "58-67",
AND(E925&gt;67, E925&lt;78), "68-77",
E925&gt;77,"Above than 77")</f>
        <v>38-47</v>
      </c>
      <c r="E925">
        <v>39</v>
      </c>
      <c r="F925" s="1">
        <v>30844</v>
      </c>
      <c r="G925" s="1" t="str">
        <f>VLOOKUP(H925,Table7[#All], 2, FALSE)</f>
        <v>Massachusetts</v>
      </c>
      <c r="H925" s="2" t="s">
        <v>14</v>
      </c>
      <c r="I925" s="2" t="s">
        <v>15</v>
      </c>
      <c r="J925" s="2" t="s">
        <v>17</v>
      </c>
      <c r="K925" s="2" t="s">
        <v>8</v>
      </c>
      <c r="L925" s="2" t="s">
        <v>9</v>
      </c>
      <c r="M925" s="2" t="s">
        <v>10</v>
      </c>
      <c r="N925" s="2" t="s">
        <v>26</v>
      </c>
      <c r="O925" s="2" t="s">
        <v>12</v>
      </c>
      <c r="P925" s="2" t="s">
        <v>35</v>
      </c>
      <c r="Q925" s="2" t="s">
        <v>37</v>
      </c>
      <c r="R925" s="2" t="s">
        <v>18</v>
      </c>
      <c r="S925">
        <v>1</v>
      </c>
    </row>
    <row r="926" spans="1:19" x14ac:dyDescent="0.3">
      <c r="A926">
        <v>2196</v>
      </c>
      <c r="B926">
        <f>YEAR(Cleaned_HR_Data_Analysis__2[[#This Row],[Joining_Date]])</f>
        <v>2022</v>
      </c>
      <c r="C926" s="1">
        <v>44879</v>
      </c>
      <c r="D926" s="1" t="str" cm="1">
        <f t="array" ref="D926">_xlfn.IFS(E926&lt;28, "17-27",
AND(E926&gt;27, E926&lt;38), "28-37",
AND(E926&gt;37, E926 &lt;48), "38-47",
AND(E926&gt;47, E926 &lt;58), "48-57",
AND(E926&gt;57, E926&lt;68), "58-67",
AND(E926&gt;67, E926&lt;78), "68-77",
E926&gt;77,"Above than 77")</f>
        <v>38-47</v>
      </c>
      <c r="E926">
        <v>39</v>
      </c>
      <c r="F926" s="1">
        <v>30492</v>
      </c>
      <c r="G926" s="1" t="str">
        <f>VLOOKUP(H926,Table7[#All], 2, FALSE)</f>
        <v>Massachusetts</v>
      </c>
      <c r="H926" s="2" t="s">
        <v>14</v>
      </c>
      <c r="I926" s="2" t="s">
        <v>22</v>
      </c>
      <c r="J926" s="2" t="s">
        <v>31</v>
      </c>
      <c r="K926" s="2" t="s">
        <v>8</v>
      </c>
      <c r="L926" s="2" t="s">
        <v>66</v>
      </c>
      <c r="M926" s="2" t="s">
        <v>25</v>
      </c>
      <c r="N926" s="2" t="s">
        <v>19</v>
      </c>
      <c r="O926" s="2" t="s">
        <v>12</v>
      </c>
      <c r="P926" s="2" t="s">
        <v>69</v>
      </c>
      <c r="Q926" s="2" t="s">
        <v>16</v>
      </c>
      <c r="R926" s="2" t="s">
        <v>56</v>
      </c>
      <c r="S926">
        <v>2</v>
      </c>
    </row>
    <row r="927" spans="1:19" x14ac:dyDescent="0.3">
      <c r="A927">
        <v>2147</v>
      </c>
      <c r="B927">
        <f>YEAR(Cleaned_HR_Data_Analysis__2[[#This Row],[Joining_Date]])</f>
        <v>2020</v>
      </c>
      <c r="C927" s="1">
        <v>44057</v>
      </c>
      <c r="D927" s="1" t="str" cm="1">
        <f t="array" ref="D927">_xlfn.IFS(E927&lt;28, "17-27",
AND(E927&gt;27, E927&lt;38), "28-37",
AND(E927&gt;37, E927 &lt;48), "38-47",
AND(E927&gt;47, E927 &lt;58), "48-57",
AND(E927&gt;57, E927&lt;68), "58-67",
AND(E927&gt;67, E927&lt;78), "68-77",
E927&gt;77,"Above than 77")</f>
        <v>38-47</v>
      </c>
      <c r="E927">
        <v>39</v>
      </c>
      <c r="F927" s="1">
        <v>29896</v>
      </c>
      <c r="G927" s="1" t="str">
        <f>VLOOKUP(H927,Table7[#All], 2, FALSE)</f>
        <v>Massachusetts</v>
      </c>
      <c r="H927" s="2" t="s">
        <v>14</v>
      </c>
      <c r="I927" s="2" t="s">
        <v>15</v>
      </c>
      <c r="J927" s="2" t="s">
        <v>40</v>
      </c>
      <c r="K927" s="2" t="s">
        <v>8</v>
      </c>
      <c r="L927" s="2" t="s">
        <v>9</v>
      </c>
      <c r="M927" s="2" t="s">
        <v>10</v>
      </c>
      <c r="N927" s="2" t="s">
        <v>26</v>
      </c>
      <c r="O927" s="2" t="s">
        <v>12</v>
      </c>
      <c r="P927" s="2" t="s">
        <v>21</v>
      </c>
      <c r="Q927" s="2" t="s">
        <v>23</v>
      </c>
      <c r="R927" s="2" t="s">
        <v>41</v>
      </c>
      <c r="S927">
        <v>1</v>
      </c>
    </row>
    <row r="928" spans="1:19" x14ac:dyDescent="0.3">
      <c r="A928">
        <v>2083</v>
      </c>
      <c r="B928">
        <f>YEAR(Cleaned_HR_Data_Analysis__2[[#This Row],[Joining_Date]])</f>
        <v>2020</v>
      </c>
      <c r="C928" s="1">
        <v>43933</v>
      </c>
      <c r="D928" s="1" t="str" cm="1">
        <f t="array" ref="D928">_xlfn.IFS(E928&lt;28, "17-27",
AND(E928&gt;27, E928&lt;38), "28-37",
AND(E928&gt;37, E928 &lt;48), "38-47",
AND(E928&gt;47, E928 &lt;58), "48-57",
AND(E928&gt;57, E928&lt;68), "58-67",
AND(E928&gt;67, E928&lt;78), "68-77",
E928&gt;77,"Above than 77")</f>
        <v>38-47</v>
      </c>
      <c r="E928">
        <v>39</v>
      </c>
      <c r="F928" s="1">
        <v>29722</v>
      </c>
      <c r="G928" s="1" t="str">
        <f>VLOOKUP(H928,Table7[#All], 2, FALSE)</f>
        <v>Massachusetts</v>
      </c>
      <c r="H928" s="2" t="s">
        <v>14</v>
      </c>
      <c r="I928" s="2" t="s">
        <v>15</v>
      </c>
      <c r="J928" s="2" t="s">
        <v>40</v>
      </c>
      <c r="K928" s="2" t="s">
        <v>8</v>
      </c>
      <c r="L928" s="2" t="s">
        <v>9</v>
      </c>
      <c r="M928" s="2" t="s">
        <v>10</v>
      </c>
      <c r="N928" s="2" t="s">
        <v>11</v>
      </c>
      <c r="O928" s="2" t="s">
        <v>12</v>
      </c>
      <c r="P928" s="2" t="s">
        <v>42</v>
      </c>
      <c r="Q928" s="2" t="s">
        <v>23</v>
      </c>
      <c r="R928" s="2" t="s">
        <v>18</v>
      </c>
      <c r="S928">
        <v>2</v>
      </c>
    </row>
    <row r="929" spans="1:19" x14ac:dyDescent="0.3">
      <c r="A929">
        <v>1928</v>
      </c>
      <c r="B929">
        <f>YEAR(Cleaned_HR_Data_Analysis__2[[#This Row],[Joining_Date]])</f>
        <v>2022</v>
      </c>
      <c r="C929" s="1">
        <v>44781</v>
      </c>
      <c r="D929" s="1" t="str" cm="1">
        <f t="array" ref="D929">_xlfn.IFS(E929&lt;28, "17-27",
AND(E929&gt;27, E929&lt;38), "28-37",
AND(E929&gt;37, E929 &lt;48), "38-47",
AND(E929&gt;47, E929 &lt;58), "48-57",
AND(E929&gt;57, E929&lt;68), "58-67",
AND(E929&gt;67, E929&lt;78), "68-77",
E929&gt;77,"Above than 77")</f>
        <v>38-47</v>
      </c>
      <c r="E929">
        <v>39</v>
      </c>
      <c r="F929" s="1">
        <v>30392</v>
      </c>
      <c r="G929" s="1" t="str">
        <f>VLOOKUP(H929,Table7[#All], 2, FALSE)</f>
        <v>Massachusetts</v>
      </c>
      <c r="H929" s="2" t="s">
        <v>14</v>
      </c>
      <c r="I929" s="2" t="s">
        <v>15</v>
      </c>
      <c r="J929" s="2" t="s">
        <v>17</v>
      </c>
      <c r="K929" s="2" t="s">
        <v>8</v>
      </c>
      <c r="L929" s="2" t="s">
        <v>9</v>
      </c>
      <c r="M929" s="2" t="s">
        <v>25</v>
      </c>
      <c r="N929" s="2" t="s">
        <v>19</v>
      </c>
      <c r="O929" s="2" t="s">
        <v>12</v>
      </c>
      <c r="P929" s="2" t="s">
        <v>32</v>
      </c>
      <c r="Q929" s="2" t="s">
        <v>23</v>
      </c>
      <c r="R929" s="2" t="s">
        <v>18</v>
      </c>
      <c r="S929">
        <v>5</v>
      </c>
    </row>
    <row r="930" spans="1:19" x14ac:dyDescent="0.3">
      <c r="A930">
        <v>1827</v>
      </c>
      <c r="B930">
        <f>YEAR(Cleaned_HR_Data_Analysis__2[[#This Row],[Joining_Date]])</f>
        <v>2021</v>
      </c>
      <c r="C930" s="1">
        <v>44458</v>
      </c>
      <c r="D930" s="1" t="str" cm="1">
        <f t="array" ref="D930">_xlfn.IFS(E930&lt;28, "17-27",
AND(E930&gt;27, E930&lt;38), "28-37",
AND(E930&gt;37, E930 &lt;48), "38-47",
AND(E930&gt;47, E930 &lt;58), "48-57",
AND(E930&gt;57, E930&lt;68), "58-67",
AND(E930&gt;67, E930&lt;78), "68-77",
E930&gt;77,"Above than 77")</f>
        <v>38-47</v>
      </c>
      <c r="E930">
        <v>39</v>
      </c>
      <c r="F930" s="1">
        <v>30092</v>
      </c>
      <c r="G930" s="1" t="str">
        <f>VLOOKUP(H930,Table7[#All], 2, FALSE)</f>
        <v>Massachusetts</v>
      </c>
      <c r="H930" s="2" t="s">
        <v>14</v>
      </c>
      <c r="I930" s="2" t="s">
        <v>15</v>
      </c>
      <c r="J930" s="2" t="s">
        <v>17</v>
      </c>
      <c r="K930" s="2" t="s">
        <v>8</v>
      </c>
      <c r="L930" s="2" t="s">
        <v>9</v>
      </c>
      <c r="M930" s="2" t="s">
        <v>10</v>
      </c>
      <c r="N930" s="2" t="s">
        <v>11</v>
      </c>
      <c r="O930" s="2" t="s">
        <v>12</v>
      </c>
      <c r="P930" s="2" t="s">
        <v>35</v>
      </c>
      <c r="Q930" s="2" t="s">
        <v>30</v>
      </c>
      <c r="R930" s="2" t="s">
        <v>56</v>
      </c>
      <c r="S930">
        <v>3</v>
      </c>
    </row>
    <row r="931" spans="1:19" x14ac:dyDescent="0.3">
      <c r="A931">
        <v>1592</v>
      </c>
      <c r="B931">
        <f>YEAR(Cleaned_HR_Data_Analysis__2[[#This Row],[Joining_Date]])</f>
        <v>2020</v>
      </c>
      <c r="C931" s="1">
        <v>43996</v>
      </c>
      <c r="D931" s="1" t="str" cm="1">
        <f t="array" ref="D931">_xlfn.IFS(E931&lt;28, "17-27",
AND(E931&gt;27, E931&lt;38), "28-37",
AND(E931&gt;37, E931 &lt;48), "38-47",
AND(E931&gt;47, E931 &lt;58), "48-57",
AND(E931&gt;57, E931&lt;68), "58-67",
AND(E931&gt;67, E931&lt;78), "68-77",
E931&gt;77,"Above than 77")</f>
        <v>38-47</v>
      </c>
      <c r="E931">
        <v>39</v>
      </c>
      <c r="F931" s="1">
        <v>29813</v>
      </c>
      <c r="G931" s="1" t="str">
        <f>VLOOKUP(H931,Table7[#All], 2, FALSE)</f>
        <v>Massachusetts</v>
      </c>
      <c r="H931" s="2" t="s">
        <v>14</v>
      </c>
      <c r="I931" s="2" t="s">
        <v>22</v>
      </c>
      <c r="J931" s="2" t="s">
        <v>31</v>
      </c>
      <c r="K931" s="2" t="s">
        <v>8</v>
      </c>
      <c r="L931" s="2" t="s">
        <v>9</v>
      </c>
      <c r="M931" s="2" t="s">
        <v>25</v>
      </c>
      <c r="N931" s="2" t="s">
        <v>19</v>
      </c>
      <c r="O931" s="2" t="s">
        <v>12</v>
      </c>
      <c r="P931" s="2" t="s">
        <v>42</v>
      </c>
      <c r="Q931" s="2" t="s">
        <v>30</v>
      </c>
      <c r="R931" s="2" t="s">
        <v>41</v>
      </c>
      <c r="S931">
        <v>1</v>
      </c>
    </row>
    <row r="932" spans="1:19" x14ac:dyDescent="0.3">
      <c r="A932">
        <v>1441</v>
      </c>
      <c r="B932">
        <f>YEAR(Cleaned_HR_Data_Analysis__2[[#This Row],[Joining_Date]])</f>
        <v>2021</v>
      </c>
      <c r="C932" s="1">
        <v>44526</v>
      </c>
      <c r="D932" s="1" t="str" cm="1">
        <f t="array" ref="D932">_xlfn.IFS(E932&lt;28, "17-27",
AND(E932&gt;27, E932&lt;38), "28-37",
AND(E932&gt;37, E932 &lt;48), "38-47",
AND(E932&gt;47, E932 &lt;58), "48-57",
AND(E932&gt;57, E932&lt;68), "58-67",
AND(E932&gt;67, E932&lt;78), "68-77",
E932&gt;77,"Above than 77")</f>
        <v>38-47</v>
      </c>
      <c r="E932">
        <v>39</v>
      </c>
      <c r="F932" s="1">
        <v>30026</v>
      </c>
      <c r="G932" s="1" t="str">
        <f>VLOOKUP(H932,Table7[#All], 2, FALSE)</f>
        <v>Massachusetts</v>
      </c>
      <c r="H932" s="2" t="s">
        <v>14</v>
      </c>
      <c r="I932" s="2" t="s">
        <v>15</v>
      </c>
      <c r="J932" s="2" t="s">
        <v>34</v>
      </c>
      <c r="K932" s="2" t="s">
        <v>8</v>
      </c>
      <c r="L932" s="2" t="s">
        <v>9</v>
      </c>
      <c r="M932" s="2" t="s">
        <v>10</v>
      </c>
      <c r="N932" s="2" t="s">
        <v>19</v>
      </c>
      <c r="O932" s="2" t="s">
        <v>12</v>
      </c>
      <c r="P932" s="2" t="s">
        <v>35</v>
      </c>
      <c r="Q932" s="2" t="s">
        <v>23</v>
      </c>
      <c r="R932" s="2" t="s">
        <v>56</v>
      </c>
      <c r="S932">
        <v>1</v>
      </c>
    </row>
    <row r="933" spans="1:19" x14ac:dyDescent="0.3">
      <c r="A933">
        <v>1419</v>
      </c>
      <c r="B933">
        <f>YEAR(Cleaned_HR_Data_Analysis__2[[#This Row],[Joining_Date]])</f>
        <v>2023</v>
      </c>
      <c r="C933" s="1">
        <v>45068</v>
      </c>
      <c r="D933" s="1" t="str" cm="1">
        <f t="array" ref="D933">_xlfn.IFS(E933&lt;28, "17-27",
AND(E933&gt;27, E933&lt;38), "28-37",
AND(E933&gt;37, E933 &lt;48), "38-47",
AND(E933&gt;47, E933 &lt;58), "48-57",
AND(E933&gt;57, E933&lt;68), "58-67",
AND(E933&gt;67, E933&lt;78), "68-77",
E933&gt;77,"Above than 77")</f>
        <v>38-47</v>
      </c>
      <c r="E933">
        <v>39</v>
      </c>
      <c r="F933" s="1">
        <v>30692</v>
      </c>
      <c r="G933" s="1" t="str">
        <f>VLOOKUP(H933,Table7[#All], 2, FALSE)</f>
        <v>Massachusetts</v>
      </c>
      <c r="H933" s="2" t="s">
        <v>14</v>
      </c>
      <c r="I933" s="2" t="s">
        <v>15</v>
      </c>
      <c r="J933" s="2" t="s">
        <v>40</v>
      </c>
      <c r="K933" s="2" t="s">
        <v>8</v>
      </c>
      <c r="L933" s="2" t="s">
        <v>9</v>
      </c>
      <c r="M933" s="2" t="s">
        <v>10</v>
      </c>
      <c r="N933" s="2" t="s">
        <v>11</v>
      </c>
      <c r="O933" s="2" t="s">
        <v>12</v>
      </c>
      <c r="P933" s="2" t="s">
        <v>35</v>
      </c>
      <c r="Q933" s="2" t="s">
        <v>30</v>
      </c>
      <c r="R933" s="2" t="s">
        <v>41</v>
      </c>
      <c r="S933">
        <v>2</v>
      </c>
    </row>
    <row r="934" spans="1:19" x14ac:dyDescent="0.3">
      <c r="A934">
        <v>1411</v>
      </c>
      <c r="B934">
        <f>YEAR(Cleaned_HR_Data_Analysis__2[[#This Row],[Joining_Date]])</f>
        <v>2019</v>
      </c>
      <c r="C934" s="1">
        <v>43648</v>
      </c>
      <c r="D934" s="1" t="str" cm="1">
        <f t="array" ref="D934">_xlfn.IFS(E934&lt;28, "17-27",
AND(E934&gt;27, E934&lt;38), "28-37",
AND(E934&gt;37, E934 &lt;48), "38-47",
AND(E934&gt;47, E934 &lt;58), "48-57",
AND(E934&gt;57, E934&lt;68), "58-67",
AND(E934&gt;67, E934&lt;78), "68-77",
E934&gt;77,"Above than 77")</f>
        <v>38-47</v>
      </c>
      <c r="E934">
        <v>39</v>
      </c>
      <c r="F934" s="1">
        <v>29367</v>
      </c>
      <c r="G934" s="1" t="str">
        <f>VLOOKUP(H934,Table7[#All], 2, FALSE)</f>
        <v>Massachusetts</v>
      </c>
      <c r="H934" s="2" t="s">
        <v>14</v>
      </c>
      <c r="I934" s="2" t="s">
        <v>15</v>
      </c>
      <c r="J934" s="2" t="s">
        <v>34</v>
      </c>
      <c r="K934" s="2" t="s">
        <v>8</v>
      </c>
      <c r="L934" s="2" t="s">
        <v>9</v>
      </c>
      <c r="M934" s="2" t="s">
        <v>20</v>
      </c>
      <c r="N934" s="2" t="s">
        <v>11</v>
      </c>
      <c r="O934" s="2" t="s">
        <v>12</v>
      </c>
      <c r="P934" s="2" t="s">
        <v>21</v>
      </c>
      <c r="Q934" s="2" t="s">
        <v>23</v>
      </c>
      <c r="R934" s="2" t="s">
        <v>41</v>
      </c>
      <c r="S934">
        <v>4</v>
      </c>
    </row>
    <row r="935" spans="1:19" x14ac:dyDescent="0.3">
      <c r="A935">
        <v>1202</v>
      </c>
      <c r="B935">
        <f>YEAR(Cleaned_HR_Data_Analysis__2[[#This Row],[Joining_Date]])</f>
        <v>2022</v>
      </c>
      <c r="C935" s="1">
        <v>44805</v>
      </c>
      <c r="D935" s="1" t="str" cm="1">
        <f t="array" ref="D935">_xlfn.IFS(E935&lt;28, "17-27",
AND(E935&gt;27, E935&lt;38), "28-37",
AND(E935&gt;37, E935 &lt;48), "38-47",
AND(E935&gt;47, E935 &lt;58), "48-57",
AND(E935&gt;57, E935&lt;68), "58-67",
AND(E935&gt;67, E935&lt;78), "68-77",
E935&gt;77,"Above than 77")</f>
        <v>38-47</v>
      </c>
      <c r="E935">
        <v>39</v>
      </c>
      <c r="F935" s="1">
        <v>30487</v>
      </c>
      <c r="G935" s="1" t="str">
        <f>VLOOKUP(H935,Table7[#All], 2, FALSE)</f>
        <v>Massachusetts</v>
      </c>
      <c r="H935" s="2" t="s">
        <v>14</v>
      </c>
      <c r="I935" s="2" t="s">
        <v>22</v>
      </c>
      <c r="J935" s="2" t="s">
        <v>17</v>
      </c>
      <c r="K935" s="2" t="s">
        <v>8</v>
      </c>
      <c r="L935" s="2" t="s">
        <v>66</v>
      </c>
      <c r="M935" s="2" t="s">
        <v>10</v>
      </c>
      <c r="N935" s="2" t="s">
        <v>26</v>
      </c>
      <c r="O935" s="2" t="s">
        <v>12</v>
      </c>
      <c r="P935" s="2" t="s">
        <v>59</v>
      </c>
      <c r="Q935" s="2" t="s">
        <v>16</v>
      </c>
      <c r="R935" s="2" t="s">
        <v>18</v>
      </c>
      <c r="S935">
        <v>3</v>
      </c>
    </row>
    <row r="936" spans="1:19" x14ac:dyDescent="0.3">
      <c r="A936">
        <v>1162</v>
      </c>
      <c r="B936">
        <f>YEAR(Cleaned_HR_Data_Analysis__2[[#This Row],[Joining_Date]])</f>
        <v>2022</v>
      </c>
      <c r="C936" s="1">
        <v>44649</v>
      </c>
      <c r="D936" s="1" t="str" cm="1">
        <f t="array" ref="D936">_xlfn.IFS(E936&lt;28, "17-27",
AND(E936&gt;27, E936&lt;38), "28-37",
AND(E936&gt;37, E936 &lt;48), "38-47",
AND(E936&gt;47, E936 &lt;58), "48-57",
AND(E936&gt;57, E936&lt;68), "58-67",
AND(E936&gt;67, E936&lt;78), "68-77",
E936&gt;77,"Above than 77")</f>
        <v>38-47</v>
      </c>
      <c r="E936">
        <v>39</v>
      </c>
      <c r="F936" s="1">
        <v>30545</v>
      </c>
      <c r="G936" s="1" t="str">
        <f>VLOOKUP(H936,Table7[#All], 2, FALSE)</f>
        <v>Massachusetts</v>
      </c>
      <c r="H936" s="2" t="s">
        <v>14</v>
      </c>
      <c r="I936" s="2" t="s">
        <v>15</v>
      </c>
      <c r="J936" s="2" t="s">
        <v>17</v>
      </c>
      <c r="K936" s="2" t="s">
        <v>8</v>
      </c>
      <c r="L936" s="2" t="s">
        <v>9</v>
      </c>
      <c r="M936" s="2" t="s">
        <v>25</v>
      </c>
      <c r="N936" s="2" t="s">
        <v>11</v>
      </c>
      <c r="O936" s="2" t="s">
        <v>12</v>
      </c>
      <c r="P936" s="2" t="s">
        <v>32</v>
      </c>
      <c r="Q936" s="2" t="s">
        <v>46</v>
      </c>
      <c r="R936" s="2" t="s">
        <v>18</v>
      </c>
      <c r="S936">
        <v>3</v>
      </c>
    </row>
    <row r="937" spans="1:19" x14ac:dyDescent="0.3">
      <c r="A937">
        <v>1156</v>
      </c>
      <c r="B937">
        <f>YEAR(Cleaned_HR_Data_Analysis__2[[#This Row],[Joining_Date]])</f>
        <v>2019</v>
      </c>
      <c r="C937" s="1">
        <v>43668</v>
      </c>
      <c r="D937" s="1" t="str" cm="1">
        <f t="array" ref="D937">_xlfn.IFS(E937&lt;28, "17-27",
AND(E937&gt;27, E937&lt;38), "28-37",
AND(E937&gt;37, E937 &lt;48), "38-47",
AND(E937&gt;47, E937 &lt;58), "48-57",
AND(E937&gt;57, E937&lt;68), "58-67",
AND(E937&gt;67, E937&lt;78), "68-77",
E937&gt;77,"Above than 77")</f>
        <v>38-47</v>
      </c>
      <c r="E937">
        <v>39</v>
      </c>
      <c r="F937" s="1">
        <v>29331</v>
      </c>
      <c r="G937" s="1" t="str">
        <f>VLOOKUP(H937,Table7[#All], 2, FALSE)</f>
        <v>Massachusetts</v>
      </c>
      <c r="H937" s="2" t="s">
        <v>14</v>
      </c>
      <c r="I937" s="2" t="s">
        <v>22</v>
      </c>
      <c r="J937" s="2" t="s">
        <v>34</v>
      </c>
      <c r="K937" s="2" t="s">
        <v>8</v>
      </c>
      <c r="L937" s="2" t="s">
        <v>66</v>
      </c>
      <c r="M937" s="2" t="s">
        <v>10</v>
      </c>
      <c r="N937" s="2" t="s">
        <v>19</v>
      </c>
      <c r="O937" s="2" t="s">
        <v>12</v>
      </c>
      <c r="P937" s="2" t="s">
        <v>67</v>
      </c>
      <c r="Q937" s="2" t="s">
        <v>23</v>
      </c>
      <c r="R937" s="2" t="s">
        <v>18</v>
      </c>
      <c r="S937">
        <v>5</v>
      </c>
    </row>
    <row r="938" spans="1:19" x14ac:dyDescent="0.3">
      <c r="A938">
        <v>1150</v>
      </c>
      <c r="B938">
        <f>YEAR(Cleaned_HR_Data_Analysis__2[[#This Row],[Joining_Date]])</f>
        <v>2020</v>
      </c>
      <c r="C938" s="1">
        <v>44048</v>
      </c>
      <c r="D938" s="1" t="str" cm="1">
        <f t="array" ref="D938">_xlfn.IFS(E938&lt;28, "17-27",
AND(E938&gt;27, E938&lt;38), "28-37",
AND(E938&gt;37, E938 &lt;48), "38-47",
AND(E938&gt;47, E938 &lt;58), "48-57",
AND(E938&gt;57, E938&lt;68), "58-67",
AND(E938&gt;67, E938&lt;78), "68-77",
E938&gt;77,"Above than 77")</f>
        <v>38-47</v>
      </c>
      <c r="E938">
        <v>39</v>
      </c>
      <c r="F938" s="1">
        <v>29679</v>
      </c>
      <c r="G938" s="1" t="str">
        <f>VLOOKUP(H938,Table7[#All], 2, FALSE)</f>
        <v>Massachusetts</v>
      </c>
      <c r="H938" s="2" t="s">
        <v>14</v>
      </c>
      <c r="I938" s="2" t="s">
        <v>15</v>
      </c>
      <c r="J938" s="2" t="s">
        <v>31</v>
      </c>
      <c r="K938" s="2" t="s">
        <v>8</v>
      </c>
      <c r="L938" s="2" t="s">
        <v>9</v>
      </c>
      <c r="M938" s="2" t="s">
        <v>20</v>
      </c>
      <c r="N938" s="2" t="s">
        <v>19</v>
      </c>
      <c r="O938" s="2" t="s">
        <v>12</v>
      </c>
      <c r="P938" s="2" t="s">
        <v>21</v>
      </c>
      <c r="Q938" s="2" t="s">
        <v>16</v>
      </c>
      <c r="R938" s="2" t="s">
        <v>18</v>
      </c>
      <c r="S938">
        <v>4</v>
      </c>
    </row>
    <row r="939" spans="1:19" x14ac:dyDescent="0.3">
      <c r="A939">
        <v>2473</v>
      </c>
      <c r="B939">
        <f>YEAR(Cleaned_HR_Data_Analysis__2[[#This Row],[Joining_Date]])</f>
        <v>2021</v>
      </c>
      <c r="C939" s="1">
        <v>44282</v>
      </c>
      <c r="D939" s="1" t="str" cm="1">
        <f t="array" ref="D939">_xlfn.IFS(E939&lt;28, "17-27",
AND(E939&gt;27, E939&lt;38), "28-37",
AND(E939&gt;37, E939 &lt;48), "38-47",
AND(E939&gt;47, E939 &lt;58), "48-57",
AND(E939&gt;57, E939&lt;68), "58-67",
AND(E939&gt;67, E939&lt;78), "68-77",
E939&gt;77,"Above than 77")</f>
        <v>38-47</v>
      </c>
      <c r="E939">
        <v>39</v>
      </c>
      <c r="F939" s="1">
        <v>30147</v>
      </c>
      <c r="G939" s="1" t="str">
        <f>VLOOKUP(H939,Table7[#All], 2, FALSE)</f>
        <v>Massachusetts</v>
      </c>
      <c r="H939" s="2" t="s">
        <v>14</v>
      </c>
      <c r="I939" s="2" t="s">
        <v>22</v>
      </c>
      <c r="J939" s="2" t="s">
        <v>31</v>
      </c>
      <c r="K939" s="2" t="s">
        <v>91</v>
      </c>
      <c r="L939" s="2" t="s">
        <v>9</v>
      </c>
      <c r="M939" s="2" t="s">
        <v>10</v>
      </c>
      <c r="N939" s="2" t="s">
        <v>26</v>
      </c>
      <c r="O939" s="2" t="s">
        <v>12</v>
      </c>
      <c r="P939" s="2" t="s">
        <v>107</v>
      </c>
      <c r="Q939" s="2" t="s">
        <v>23</v>
      </c>
      <c r="R939" s="2" t="s">
        <v>18</v>
      </c>
      <c r="S939">
        <v>4</v>
      </c>
    </row>
    <row r="940" spans="1:19" x14ac:dyDescent="0.3">
      <c r="A940">
        <v>2346</v>
      </c>
      <c r="B940">
        <f>YEAR(Cleaned_HR_Data_Analysis__2[[#This Row],[Joining_Date]])</f>
        <v>2023</v>
      </c>
      <c r="C940" s="1">
        <v>45025</v>
      </c>
      <c r="D940" s="1" t="str" cm="1">
        <f t="array" ref="D940">_xlfn.IFS(E940&lt;28, "17-27",
AND(E940&gt;27, E940&lt;38), "28-37",
AND(E940&gt;37, E940 &lt;48), "38-47",
AND(E940&gt;47, E940 &lt;58), "48-57",
AND(E940&gt;57, E940&lt;68), "58-67",
AND(E940&gt;67, E940&lt;78), "68-77",
E940&gt;77,"Above than 77")</f>
        <v>38-47</v>
      </c>
      <c r="E940">
        <v>39</v>
      </c>
      <c r="F940" s="1">
        <v>30740</v>
      </c>
      <c r="G940" s="1" t="str">
        <f>VLOOKUP(H940,Table7[#All], 2, FALSE)</f>
        <v>Massachusetts</v>
      </c>
      <c r="H940" s="2" t="s">
        <v>14</v>
      </c>
      <c r="I940" s="2" t="s">
        <v>15</v>
      </c>
      <c r="J940" s="2" t="s">
        <v>17</v>
      </c>
      <c r="K940" s="2" t="s">
        <v>91</v>
      </c>
      <c r="L940" s="2" t="s">
        <v>9</v>
      </c>
      <c r="M940" s="2" t="s">
        <v>20</v>
      </c>
      <c r="N940" s="2" t="s">
        <v>19</v>
      </c>
      <c r="O940" s="2" t="s">
        <v>12</v>
      </c>
      <c r="P940" s="2" t="s">
        <v>35</v>
      </c>
      <c r="Q940" s="2" t="s">
        <v>23</v>
      </c>
      <c r="R940" s="2" t="s">
        <v>18</v>
      </c>
      <c r="S940">
        <v>3</v>
      </c>
    </row>
    <row r="941" spans="1:19" x14ac:dyDescent="0.3">
      <c r="A941">
        <v>2328</v>
      </c>
      <c r="B941">
        <f>YEAR(Cleaned_HR_Data_Analysis__2[[#This Row],[Joining_Date]])</f>
        <v>2019</v>
      </c>
      <c r="C941" s="1">
        <v>43542</v>
      </c>
      <c r="D941" s="1" t="str" cm="1">
        <f t="array" ref="D941">_xlfn.IFS(E941&lt;28, "17-27",
AND(E941&gt;27, E941&lt;38), "28-37",
AND(E941&gt;37, E941 &lt;48), "38-47",
AND(E941&gt;47, E941 &lt;58), "48-57",
AND(E941&gt;57, E941&lt;68), "58-67",
AND(E941&gt;67, E941&lt;78), "68-77",
E941&gt;77,"Above than 77")</f>
        <v>38-47</v>
      </c>
      <c r="E941">
        <v>39</v>
      </c>
      <c r="F941" s="1">
        <v>29367</v>
      </c>
      <c r="G941" s="1" t="str">
        <f>VLOOKUP(H941,Table7[#All], 2, FALSE)</f>
        <v>Massachusetts</v>
      </c>
      <c r="H941" s="2" t="s">
        <v>14</v>
      </c>
      <c r="I941" s="2" t="s">
        <v>22</v>
      </c>
      <c r="J941" s="2" t="s">
        <v>40</v>
      </c>
      <c r="K941" s="2" t="s">
        <v>71</v>
      </c>
      <c r="L941" s="2" t="s">
        <v>9</v>
      </c>
      <c r="M941" s="2" t="s">
        <v>25</v>
      </c>
      <c r="N941" s="2" t="s">
        <v>26</v>
      </c>
      <c r="O941" s="2" t="s">
        <v>12</v>
      </c>
      <c r="P941" s="2" t="s">
        <v>32</v>
      </c>
      <c r="Q941" s="2" t="s">
        <v>46</v>
      </c>
      <c r="R941" s="2" t="s">
        <v>18</v>
      </c>
      <c r="S941">
        <v>4</v>
      </c>
    </row>
    <row r="942" spans="1:19" x14ac:dyDescent="0.3">
      <c r="A942">
        <v>3896</v>
      </c>
      <c r="B942">
        <f>YEAR(Cleaned_HR_Data_Analysis__2[[#This Row],[Joining_Date]])</f>
        <v>2019</v>
      </c>
      <c r="C942" s="1">
        <v>43690</v>
      </c>
      <c r="D942" s="1" t="str" cm="1">
        <f t="array" ref="D942">_xlfn.IFS(E942&lt;28, "17-27",
AND(E942&gt;27, E942&lt;38), "28-37",
AND(E942&gt;37, E942 &lt;48), "38-47",
AND(E942&gt;47, E942 &lt;58), "48-57",
AND(E942&gt;57, E942&lt;68), "58-67",
AND(E942&gt;67, E942&lt;78), "68-77",
E942&gt;77,"Above than 77")</f>
        <v>38-47</v>
      </c>
      <c r="E942">
        <v>39</v>
      </c>
      <c r="F942" s="1">
        <v>29545</v>
      </c>
      <c r="G942" s="1" t="str">
        <f>VLOOKUP(H942,Table7[#All], 2, FALSE)</f>
        <v>Massachusetts</v>
      </c>
      <c r="H942" s="2" t="s">
        <v>14</v>
      </c>
      <c r="I942" s="2" t="s">
        <v>15</v>
      </c>
      <c r="J942" s="2" t="s">
        <v>17</v>
      </c>
      <c r="K942" s="2" t="s">
        <v>70</v>
      </c>
      <c r="L942" s="2" t="s">
        <v>9</v>
      </c>
      <c r="M942" s="2" t="s">
        <v>20</v>
      </c>
      <c r="N942" s="2" t="s">
        <v>26</v>
      </c>
      <c r="O942" s="2" t="s">
        <v>53</v>
      </c>
      <c r="P942" s="2" t="s">
        <v>42</v>
      </c>
      <c r="Q942" s="2" t="s">
        <v>30</v>
      </c>
      <c r="R942" s="2" t="s">
        <v>18</v>
      </c>
      <c r="S942">
        <v>3</v>
      </c>
    </row>
    <row r="943" spans="1:19" x14ac:dyDescent="0.3">
      <c r="A943">
        <v>3838</v>
      </c>
      <c r="B943">
        <f>YEAR(Cleaned_HR_Data_Analysis__2[[#This Row],[Joining_Date]])</f>
        <v>2018</v>
      </c>
      <c r="C943" s="1">
        <v>43451</v>
      </c>
      <c r="D943" s="1" t="str" cm="1">
        <f t="array" ref="D943">_xlfn.IFS(E943&lt;28, "17-27",
AND(E943&gt;27, E943&lt;38), "28-37",
AND(E943&gt;37, E943 &lt;48), "38-47",
AND(E943&gt;47, E943 &lt;58), "48-57",
AND(E943&gt;57, E943&lt;68), "58-67",
AND(E943&gt;67, E943&lt;78), "68-77",
E943&gt;77,"Above than 77")</f>
        <v>38-47</v>
      </c>
      <c r="E943">
        <v>39</v>
      </c>
      <c r="F943" s="1">
        <v>29081</v>
      </c>
      <c r="G943" s="1" t="str">
        <f>VLOOKUP(H943,Table7[#All], 2, FALSE)</f>
        <v>Massachusetts</v>
      </c>
      <c r="H943" s="2" t="s">
        <v>14</v>
      </c>
      <c r="I943" s="2" t="s">
        <v>15</v>
      </c>
      <c r="J943" s="2" t="s">
        <v>31</v>
      </c>
      <c r="K943" s="2" t="s">
        <v>70</v>
      </c>
      <c r="L943" s="2" t="s">
        <v>9</v>
      </c>
      <c r="M943" s="2" t="s">
        <v>20</v>
      </c>
      <c r="N943" s="2" t="s">
        <v>19</v>
      </c>
      <c r="O943" s="2" t="s">
        <v>53</v>
      </c>
      <c r="P943" s="2" t="s">
        <v>35</v>
      </c>
      <c r="Q943" s="2" t="s">
        <v>46</v>
      </c>
      <c r="R943" s="2" t="s">
        <v>65</v>
      </c>
      <c r="S943">
        <v>1</v>
      </c>
    </row>
    <row r="944" spans="1:19" x14ac:dyDescent="0.3">
      <c r="A944">
        <v>2310</v>
      </c>
      <c r="B944">
        <f>YEAR(Cleaned_HR_Data_Analysis__2[[#This Row],[Joining_Date]])</f>
        <v>2022</v>
      </c>
      <c r="C944" s="1">
        <v>44672</v>
      </c>
      <c r="D944" s="1" t="str" cm="1">
        <f t="array" ref="D944">_xlfn.IFS(E944&lt;28, "17-27",
AND(E944&gt;27, E944&lt;38), "28-37",
AND(E944&gt;37, E944 &lt;48), "38-47",
AND(E944&gt;47, E944 &lt;58), "48-57",
AND(E944&gt;57, E944&lt;68), "58-67",
AND(E944&gt;67, E944&lt;78), "68-77",
E944&gt;77,"Above than 77")</f>
        <v>38-47</v>
      </c>
      <c r="E944">
        <v>39</v>
      </c>
      <c r="F944" s="1">
        <v>30641</v>
      </c>
      <c r="G944" s="1" t="str">
        <f>VLOOKUP(H944,Table7[#All], 2, FALSE)</f>
        <v>Massachusetts</v>
      </c>
      <c r="H944" s="2" t="s">
        <v>14</v>
      </c>
      <c r="I944" s="2" t="s">
        <v>22</v>
      </c>
      <c r="J944" s="2" t="s">
        <v>31</v>
      </c>
      <c r="K944" s="2" t="s">
        <v>80</v>
      </c>
      <c r="L944" s="2" t="s">
        <v>9</v>
      </c>
      <c r="M944" s="2" t="s">
        <v>20</v>
      </c>
      <c r="N944" s="2" t="s">
        <v>26</v>
      </c>
      <c r="O944" s="2" t="s">
        <v>12</v>
      </c>
      <c r="P944" s="2" t="s">
        <v>55</v>
      </c>
      <c r="Q944" s="2" t="s">
        <v>23</v>
      </c>
      <c r="R944" s="2" t="s">
        <v>18</v>
      </c>
      <c r="S944">
        <v>1</v>
      </c>
    </row>
    <row r="945" spans="1:19" x14ac:dyDescent="0.3">
      <c r="A945">
        <v>2743</v>
      </c>
      <c r="B945">
        <f>YEAR(Cleaned_HR_Data_Analysis__2[[#This Row],[Joining_Date]])</f>
        <v>2021</v>
      </c>
      <c r="C945" s="1">
        <v>44408</v>
      </c>
      <c r="D945" s="1" t="str" cm="1">
        <f t="array" ref="D945">_xlfn.IFS(E945&lt;28, "17-27",
AND(E945&gt;27, E945&lt;38), "28-37",
AND(E945&gt;37, E945 &lt;48), "38-47",
AND(E945&gt;47, E945 &lt;58), "48-57",
AND(E945&gt;57, E945&lt;68), "58-67",
AND(E945&gt;67, E945&lt;78), "68-77",
E945&gt;77,"Above than 77")</f>
        <v>38-47</v>
      </c>
      <c r="E945">
        <v>39</v>
      </c>
      <c r="F945" s="1">
        <v>29979</v>
      </c>
      <c r="G945" s="1" t="str">
        <f>VLOOKUP(H945,Table7[#All], 2, FALSE)</f>
        <v>Washington</v>
      </c>
      <c r="H945" s="2" t="s">
        <v>113</v>
      </c>
      <c r="I945" s="2" t="s">
        <v>22</v>
      </c>
      <c r="J945" s="2" t="s">
        <v>34</v>
      </c>
      <c r="K945" s="2" t="s">
        <v>24</v>
      </c>
      <c r="L945" s="2" t="s">
        <v>9</v>
      </c>
      <c r="M945" s="2" t="s">
        <v>25</v>
      </c>
      <c r="N945" s="2" t="s">
        <v>26</v>
      </c>
      <c r="O945" s="2" t="s">
        <v>27</v>
      </c>
      <c r="P945" s="2" t="s">
        <v>35</v>
      </c>
      <c r="Q945" s="2" t="s">
        <v>37</v>
      </c>
      <c r="R945" s="2" t="s">
        <v>18</v>
      </c>
      <c r="S945">
        <v>2</v>
      </c>
    </row>
    <row r="946" spans="1:19" x14ac:dyDescent="0.3">
      <c r="A946">
        <v>2721</v>
      </c>
      <c r="B946">
        <f>YEAR(Cleaned_HR_Data_Analysis__2[[#This Row],[Joining_Date]])</f>
        <v>2020</v>
      </c>
      <c r="C946" s="1">
        <v>43891</v>
      </c>
      <c r="D946" s="1" t="str" cm="1">
        <f t="array" ref="D946">_xlfn.IFS(E946&lt;28, "17-27",
AND(E946&gt;27, E946&lt;38), "28-37",
AND(E946&gt;37, E946 &lt;48), "38-47",
AND(E946&gt;47, E946 &lt;58), "48-57",
AND(E946&gt;57, E946&lt;68), "58-67",
AND(E946&gt;67, E946&lt;78), "68-77",
E946&gt;77,"Above than 77")</f>
        <v>38-47</v>
      </c>
      <c r="E946">
        <v>39</v>
      </c>
      <c r="F946" s="1">
        <v>29905</v>
      </c>
      <c r="G946" s="1" t="str">
        <f>VLOOKUP(H946,Table7[#All], 2, FALSE)</f>
        <v>North Carolina</v>
      </c>
      <c r="H946" s="2" t="s">
        <v>121</v>
      </c>
      <c r="I946" s="2" t="s">
        <v>22</v>
      </c>
      <c r="J946" s="2" t="s">
        <v>34</v>
      </c>
      <c r="K946" s="2" t="s">
        <v>24</v>
      </c>
      <c r="L946" s="2" t="s">
        <v>9</v>
      </c>
      <c r="M946" s="2" t="s">
        <v>25</v>
      </c>
      <c r="N946" s="2" t="s">
        <v>19</v>
      </c>
      <c r="O946" s="2" t="s">
        <v>27</v>
      </c>
      <c r="P946" s="2" t="s">
        <v>58</v>
      </c>
      <c r="Q946" s="2" t="s">
        <v>23</v>
      </c>
      <c r="R946" s="2" t="s">
        <v>18</v>
      </c>
      <c r="S946">
        <v>4</v>
      </c>
    </row>
    <row r="947" spans="1:19" x14ac:dyDescent="0.3">
      <c r="A947">
        <v>2740</v>
      </c>
      <c r="B947">
        <f>YEAR(Cleaned_HR_Data_Analysis__2[[#This Row],[Joining_Date]])</f>
        <v>2022</v>
      </c>
      <c r="C947" s="1">
        <v>44897</v>
      </c>
      <c r="D947" s="1" t="str" cm="1">
        <f t="array" ref="D947">_xlfn.IFS(E947&lt;28, "17-27",
AND(E947&gt;27, E947&lt;38), "28-37",
AND(E947&gt;37, E947 &lt;48), "38-47",
AND(E947&gt;47, E947 &lt;58), "48-57",
AND(E947&gt;57, E947&lt;68), "58-67",
AND(E947&gt;67, E947&lt;78), "68-77",
E947&gt;77,"Above than 77")</f>
        <v>38-47</v>
      </c>
      <c r="E947">
        <v>39</v>
      </c>
      <c r="F947" s="1">
        <v>30584</v>
      </c>
      <c r="G947" s="1" t="str">
        <f>VLOOKUP(H947,Table7[#All], 2, FALSE)</f>
        <v>Idaho</v>
      </c>
      <c r="H947" s="2" t="s">
        <v>111</v>
      </c>
      <c r="I947" s="2" t="s">
        <v>22</v>
      </c>
      <c r="J947" s="2" t="s">
        <v>31</v>
      </c>
      <c r="K947" s="2" t="s">
        <v>24</v>
      </c>
      <c r="L947" s="2" t="s">
        <v>9</v>
      </c>
      <c r="M947" s="2" t="s">
        <v>25</v>
      </c>
      <c r="N947" s="2" t="s">
        <v>26</v>
      </c>
      <c r="O947" s="2" t="s">
        <v>27</v>
      </c>
      <c r="P947" s="2" t="s">
        <v>28</v>
      </c>
      <c r="Q947" s="2" t="s">
        <v>37</v>
      </c>
      <c r="R947" s="2" t="s">
        <v>18</v>
      </c>
      <c r="S947">
        <v>5</v>
      </c>
    </row>
    <row r="948" spans="1:19" x14ac:dyDescent="0.3">
      <c r="A948">
        <v>3543</v>
      </c>
      <c r="B948">
        <f>YEAR(Cleaned_HR_Data_Analysis__2[[#This Row],[Joining_Date]])</f>
        <v>2020</v>
      </c>
      <c r="C948" s="1">
        <v>44145</v>
      </c>
      <c r="D948" s="1" t="str" cm="1">
        <f t="array" ref="D948">_xlfn.IFS(E948&lt;28, "17-27",
AND(E948&gt;27, E948&lt;38), "28-37",
AND(E948&gt;37, E948 &lt;48), "38-47",
AND(E948&gt;47, E948 &lt;58), "48-57",
AND(E948&gt;57, E948&lt;68), "58-67",
AND(E948&gt;67, E948&lt;78), "68-77",
E948&gt;77,"Above than 77")</f>
        <v>38-47</v>
      </c>
      <c r="E948">
        <v>39</v>
      </c>
      <c r="F948" s="1">
        <v>29635</v>
      </c>
      <c r="G948" s="1" t="str">
        <f>VLOOKUP(H948,Table7[#All], 2, FALSE)</f>
        <v>California</v>
      </c>
      <c r="H948" s="2" t="s">
        <v>39</v>
      </c>
      <c r="I948" s="2" t="s">
        <v>15</v>
      </c>
      <c r="J948" s="2" t="s">
        <v>31</v>
      </c>
      <c r="K948" s="2" t="s">
        <v>24</v>
      </c>
      <c r="L948" s="2" t="s">
        <v>9</v>
      </c>
      <c r="M948" s="2" t="s">
        <v>20</v>
      </c>
      <c r="N948" s="2" t="s">
        <v>19</v>
      </c>
      <c r="O948" s="2" t="s">
        <v>27</v>
      </c>
      <c r="P948" s="2" t="s">
        <v>32</v>
      </c>
      <c r="Q948" s="2" t="s">
        <v>37</v>
      </c>
      <c r="R948" s="2" t="s">
        <v>18</v>
      </c>
      <c r="S948">
        <v>5</v>
      </c>
    </row>
    <row r="949" spans="1:19" x14ac:dyDescent="0.3">
      <c r="A949">
        <v>2624</v>
      </c>
      <c r="B949">
        <f>YEAR(Cleaned_HR_Data_Analysis__2[[#This Row],[Joining_Date]])</f>
        <v>2023</v>
      </c>
      <c r="C949" s="1">
        <v>45088</v>
      </c>
      <c r="D949" s="1" t="str" cm="1">
        <f t="array" ref="D949">_xlfn.IFS(E949&lt;28, "17-27",
AND(E949&gt;27, E949&lt;38), "28-37",
AND(E949&gt;37, E949 &lt;48), "38-47",
AND(E949&gt;47, E949 &lt;58), "48-57",
AND(E949&gt;57, E949&lt;68), "58-67",
AND(E949&gt;67, E949&lt;78), "68-77",
E949&gt;77,"Above than 77")</f>
        <v>38-47</v>
      </c>
      <c r="E949">
        <v>39</v>
      </c>
      <c r="F949" s="1">
        <v>30885</v>
      </c>
      <c r="G949" s="1" t="str">
        <f>VLOOKUP(H949,Table7[#All], 2, FALSE)</f>
        <v>Alabama</v>
      </c>
      <c r="H949" s="2" t="s">
        <v>116</v>
      </c>
      <c r="I949" s="2" t="s">
        <v>22</v>
      </c>
      <c r="J949" s="2" t="s">
        <v>31</v>
      </c>
      <c r="K949" s="2" t="s">
        <v>24</v>
      </c>
      <c r="L949" s="2" t="s">
        <v>9</v>
      </c>
      <c r="M949" s="2" t="s">
        <v>20</v>
      </c>
      <c r="N949" s="2" t="s">
        <v>11</v>
      </c>
      <c r="O949" s="2" t="s">
        <v>27</v>
      </c>
      <c r="P949" s="2" t="s">
        <v>59</v>
      </c>
      <c r="Q949" s="2" t="s">
        <v>30</v>
      </c>
      <c r="R949" s="2" t="s">
        <v>18</v>
      </c>
      <c r="S949">
        <v>4</v>
      </c>
    </row>
    <row r="950" spans="1:19" x14ac:dyDescent="0.3">
      <c r="A950">
        <v>2684</v>
      </c>
      <c r="B950">
        <f>YEAR(Cleaned_HR_Data_Analysis__2[[#This Row],[Joining_Date]])</f>
        <v>2022</v>
      </c>
      <c r="C950" s="1">
        <v>44599</v>
      </c>
      <c r="D950" s="1" t="str" cm="1">
        <f t="array" ref="D950">_xlfn.IFS(E950&lt;28, "17-27",
AND(E950&gt;27, E950&lt;38), "28-37",
AND(E950&gt;37, E950 &lt;48), "38-47",
AND(E950&gt;47, E950 &lt;58), "48-57",
AND(E950&gt;57, E950&lt;68), "58-67",
AND(E950&gt;67, E950&lt;78), "68-77",
E950&gt;77,"Above than 77")</f>
        <v>38-47</v>
      </c>
      <c r="E950">
        <v>39</v>
      </c>
      <c r="F950" s="1">
        <v>30596</v>
      </c>
      <c r="G950" s="1" t="str">
        <f>VLOOKUP(H950,Table7[#All], 2, FALSE)</f>
        <v>Massachusetts</v>
      </c>
      <c r="H950" s="2" t="s">
        <v>14</v>
      </c>
      <c r="I950" s="2" t="s">
        <v>15</v>
      </c>
      <c r="J950" s="2" t="s">
        <v>17</v>
      </c>
      <c r="K950" s="2" t="s">
        <v>95</v>
      </c>
      <c r="L950" s="2" t="s">
        <v>9</v>
      </c>
      <c r="M950" s="2" t="s">
        <v>25</v>
      </c>
      <c r="N950" s="2" t="s">
        <v>11</v>
      </c>
      <c r="O950" s="2" t="s">
        <v>27</v>
      </c>
      <c r="P950" s="2" t="s">
        <v>28</v>
      </c>
      <c r="Q950" s="2" t="s">
        <v>16</v>
      </c>
      <c r="R950" s="2" t="s">
        <v>18</v>
      </c>
      <c r="S950">
        <v>4</v>
      </c>
    </row>
    <row r="951" spans="1:19" x14ac:dyDescent="0.3">
      <c r="A951">
        <v>1318</v>
      </c>
      <c r="B951">
        <f>YEAR(Cleaned_HR_Data_Analysis__2[[#This Row],[Joining_Date]])</f>
        <v>2023</v>
      </c>
      <c r="C951" s="1">
        <v>45136</v>
      </c>
      <c r="D951" s="1" t="str" cm="1">
        <f t="array" ref="D951">_xlfn.IFS(E951&lt;28, "17-27",
AND(E951&gt;27, E951&lt;38), "28-37",
AND(E951&gt;37, E951 &lt;48), "38-47",
AND(E951&gt;47, E951 &lt;58), "48-57",
AND(E951&gt;57, E951&lt;68), "58-67",
AND(E951&gt;67, E951&lt;78), "68-77",
E951&gt;77,"Above than 77")</f>
        <v>38-47</v>
      </c>
      <c r="E951">
        <v>39</v>
      </c>
      <c r="F951" s="1">
        <v>30816</v>
      </c>
      <c r="G951" s="1" t="str">
        <f>VLOOKUP(H951,Table7[#All], 2, FALSE)</f>
        <v>Massachusetts</v>
      </c>
      <c r="H951" s="2" t="s">
        <v>14</v>
      </c>
      <c r="I951" s="2" t="s">
        <v>15</v>
      </c>
      <c r="J951" s="2" t="s">
        <v>40</v>
      </c>
      <c r="K951" s="2" t="s">
        <v>95</v>
      </c>
      <c r="L951" s="2" t="s">
        <v>9</v>
      </c>
      <c r="M951" s="2" t="s">
        <v>10</v>
      </c>
      <c r="N951" s="2" t="s">
        <v>26</v>
      </c>
      <c r="O951" s="2" t="s">
        <v>90</v>
      </c>
      <c r="P951" s="2" t="s">
        <v>35</v>
      </c>
      <c r="Q951" s="2" t="s">
        <v>16</v>
      </c>
      <c r="R951" s="2" t="s">
        <v>18</v>
      </c>
      <c r="S951">
        <v>4</v>
      </c>
    </row>
    <row r="952" spans="1:19" x14ac:dyDescent="0.3">
      <c r="A952">
        <v>1379</v>
      </c>
      <c r="B952">
        <f>YEAR(Cleaned_HR_Data_Analysis__2[[#This Row],[Joining_Date]])</f>
        <v>2023</v>
      </c>
      <c r="C952" s="1">
        <v>44949</v>
      </c>
      <c r="D952" s="1" t="str" cm="1">
        <f t="array" ref="D952">_xlfn.IFS(E952&lt;28, "17-27",
AND(E952&gt;27, E952&lt;38), "28-37",
AND(E952&gt;37, E952 &lt;48), "38-47",
AND(E952&gt;47, E952 &lt;58), "48-57",
AND(E952&gt;57, E952&lt;68), "58-67",
AND(E952&gt;67, E952&lt;78), "68-77",
E952&gt;77,"Above than 77")</f>
        <v>38-47</v>
      </c>
      <c r="E952">
        <v>39</v>
      </c>
      <c r="F952" s="1">
        <v>30976</v>
      </c>
      <c r="G952" s="1" t="str">
        <f>VLOOKUP(H952,Table7[#All], 2, FALSE)</f>
        <v>Massachusetts</v>
      </c>
      <c r="H952" s="2" t="s">
        <v>14</v>
      </c>
      <c r="I952" s="2" t="s">
        <v>22</v>
      </c>
      <c r="J952" s="2" t="s">
        <v>17</v>
      </c>
      <c r="K952" s="2" t="s">
        <v>96</v>
      </c>
      <c r="L952" s="2" t="s">
        <v>9</v>
      </c>
      <c r="M952" s="2" t="s">
        <v>20</v>
      </c>
      <c r="N952" s="2" t="s">
        <v>19</v>
      </c>
      <c r="O952" s="2" t="s">
        <v>90</v>
      </c>
      <c r="P952" s="2" t="s">
        <v>28</v>
      </c>
      <c r="Q952" s="2" t="s">
        <v>16</v>
      </c>
      <c r="R952" s="2" t="s">
        <v>41</v>
      </c>
      <c r="S952">
        <v>2</v>
      </c>
    </row>
    <row r="953" spans="1:19" x14ac:dyDescent="0.3">
      <c r="A953">
        <v>3821</v>
      </c>
      <c r="B953">
        <f>YEAR(Cleaned_HR_Data_Analysis__2[[#This Row],[Joining_Date]])</f>
        <v>2021</v>
      </c>
      <c r="C953" s="1">
        <v>44548</v>
      </c>
      <c r="D953" s="1" t="str" cm="1">
        <f t="array" ref="D953">_xlfn.IFS(E953&lt;28, "17-27",
AND(E953&gt;27, E953&lt;38), "28-37",
AND(E953&gt;37, E953 &lt;48), "38-47",
AND(E953&gt;47, E953 &lt;58), "48-57",
AND(E953&gt;57, E953&lt;68), "58-67",
AND(E953&gt;67, E953&lt;78), "68-77",
E953&gt;77,"Above than 77")</f>
        <v>38-47</v>
      </c>
      <c r="E953">
        <v>40</v>
      </c>
      <c r="F953" s="1">
        <v>29679</v>
      </c>
      <c r="G953" s="1" t="str">
        <f>VLOOKUP(H953,Table7[#All], 2, FALSE)</f>
        <v>Massachusetts</v>
      </c>
      <c r="H953" s="2" t="s">
        <v>14</v>
      </c>
      <c r="I953" s="2" t="s">
        <v>22</v>
      </c>
      <c r="J953" s="2" t="s">
        <v>31</v>
      </c>
      <c r="K953" s="2" t="s">
        <v>72</v>
      </c>
      <c r="L953" s="2" t="s">
        <v>9</v>
      </c>
      <c r="M953" s="2" t="s">
        <v>10</v>
      </c>
      <c r="N953" s="2" t="s">
        <v>19</v>
      </c>
      <c r="O953" s="2" t="s">
        <v>53</v>
      </c>
      <c r="P953" s="2" t="s">
        <v>35</v>
      </c>
      <c r="Q953" s="2" t="s">
        <v>16</v>
      </c>
      <c r="R953" s="2" t="s">
        <v>18</v>
      </c>
      <c r="S953">
        <v>4</v>
      </c>
    </row>
    <row r="954" spans="1:19" x14ac:dyDescent="0.3">
      <c r="A954">
        <v>1339</v>
      </c>
      <c r="B954">
        <f>YEAR(Cleaned_HR_Data_Analysis__2[[#This Row],[Joining_Date]])</f>
        <v>2021</v>
      </c>
      <c r="C954" s="1">
        <v>44287</v>
      </c>
      <c r="D954" s="1" t="str" cm="1">
        <f t="array" ref="D954">_xlfn.IFS(E954&lt;28, "17-27",
AND(E954&gt;27, E954&lt;38), "28-37",
AND(E954&gt;37, E954 &lt;48), "38-47",
AND(E954&gt;47, E954 &lt;58), "48-57",
AND(E954&gt;57, E954&lt;68), "58-67",
AND(E954&gt;67, E954&lt;78), "68-77",
E954&gt;77,"Above than 77")</f>
        <v>38-47</v>
      </c>
      <c r="E954">
        <v>40</v>
      </c>
      <c r="F954" s="1">
        <v>29909</v>
      </c>
      <c r="G954" s="1" t="str">
        <f>VLOOKUP(H954,Table7[#All], 2, FALSE)</f>
        <v>Massachusetts</v>
      </c>
      <c r="H954" s="2" t="s">
        <v>14</v>
      </c>
      <c r="I954" s="2" t="s">
        <v>22</v>
      </c>
      <c r="J954" s="2" t="s">
        <v>17</v>
      </c>
      <c r="K954" s="2" t="s">
        <v>72</v>
      </c>
      <c r="L954" s="2" t="s">
        <v>9</v>
      </c>
      <c r="M954" s="2" t="s">
        <v>10</v>
      </c>
      <c r="N954" s="2" t="s">
        <v>26</v>
      </c>
      <c r="O954" s="2" t="s">
        <v>53</v>
      </c>
      <c r="P954" s="2" t="s">
        <v>59</v>
      </c>
      <c r="Q954" s="2" t="s">
        <v>23</v>
      </c>
      <c r="R954" s="2" t="s">
        <v>18</v>
      </c>
      <c r="S954">
        <v>3</v>
      </c>
    </row>
    <row r="955" spans="1:19" x14ac:dyDescent="0.3">
      <c r="A955">
        <v>3978</v>
      </c>
      <c r="B955">
        <f>YEAR(Cleaned_HR_Data_Analysis__2[[#This Row],[Joining_Date]])</f>
        <v>2020</v>
      </c>
      <c r="C955" s="1">
        <v>44024</v>
      </c>
      <c r="D955" s="1" t="str" cm="1">
        <f t="array" ref="D955">_xlfn.IFS(E955&lt;28, "17-27",
AND(E955&gt;27, E955&lt;38), "28-37",
AND(E955&gt;37, E955 &lt;48), "38-47",
AND(E955&gt;47, E955 &lt;58), "48-57",
AND(E955&gt;57, E955&lt;68), "58-67",
AND(E955&gt;67, E955&lt;78), "68-77",
E955&gt;77,"Above than 77")</f>
        <v>38-47</v>
      </c>
      <c r="E955">
        <v>40</v>
      </c>
      <c r="F955" s="1">
        <v>29337</v>
      </c>
      <c r="G955" s="1" t="str">
        <f>VLOOKUP(H955,Table7[#All], 2, FALSE)</f>
        <v>Massachusetts</v>
      </c>
      <c r="H955" s="2" t="s">
        <v>14</v>
      </c>
      <c r="I955" s="2" t="s">
        <v>22</v>
      </c>
      <c r="J955" s="2" t="s">
        <v>17</v>
      </c>
      <c r="K955" s="2" t="s">
        <v>84</v>
      </c>
      <c r="L955" s="2" t="s">
        <v>9</v>
      </c>
      <c r="M955" s="2" t="s">
        <v>20</v>
      </c>
      <c r="N955" s="2" t="s">
        <v>26</v>
      </c>
      <c r="O955" s="2" t="s">
        <v>53</v>
      </c>
      <c r="P955" s="2" t="s">
        <v>32</v>
      </c>
      <c r="Q955" s="2" t="s">
        <v>46</v>
      </c>
      <c r="R955" s="2" t="s">
        <v>18</v>
      </c>
      <c r="S955">
        <v>3</v>
      </c>
    </row>
    <row r="956" spans="1:19" x14ac:dyDescent="0.3">
      <c r="A956">
        <v>1066</v>
      </c>
      <c r="B956">
        <f>YEAR(Cleaned_HR_Data_Analysis__2[[#This Row],[Joining_Date]])</f>
        <v>2021</v>
      </c>
      <c r="C956" s="1">
        <v>44557</v>
      </c>
      <c r="D956" s="1" t="str" cm="1">
        <f t="array" ref="D956">_xlfn.IFS(E956&lt;28, "17-27",
AND(E956&gt;27, E956&lt;38), "28-37",
AND(E956&gt;37, E956 &lt;48), "38-47",
AND(E956&gt;47, E956 &lt;58), "48-57",
AND(E956&gt;57, E956&lt;68), "58-67",
AND(E956&gt;67, E956&lt;78), "68-77",
E956&gt;77,"Above than 77")</f>
        <v>38-47</v>
      </c>
      <c r="E956">
        <v>40</v>
      </c>
      <c r="F956" s="1">
        <v>29699</v>
      </c>
      <c r="G956" s="1" t="str">
        <f>VLOOKUP(H956,Table7[#All], 2, FALSE)</f>
        <v>Massachusetts</v>
      </c>
      <c r="H956" s="2" t="s">
        <v>14</v>
      </c>
      <c r="I956" s="2" t="s">
        <v>22</v>
      </c>
      <c r="J956" s="2" t="s">
        <v>31</v>
      </c>
      <c r="K956" s="2" t="s">
        <v>86</v>
      </c>
      <c r="L956" s="2" t="s">
        <v>9</v>
      </c>
      <c r="M956" s="2" t="s">
        <v>25</v>
      </c>
      <c r="N956" s="2" t="s">
        <v>11</v>
      </c>
      <c r="O956" s="2" t="s">
        <v>87</v>
      </c>
      <c r="P956" s="2" t="s">
        <v>60</v>
      </c>
      <c r="Q956" s="2" t="s">
        <v>23</v>
      </c>
      <c r="R956" s="2" t="s">
        <v>18</v>
      </c>
      <c r="S956">
        <v>3</v>
      </c>
    </row>
    <row r="957" spans="1:19" x14ac:dyDescent="0.3">
      <c r="A957">
        <v>1703</v>
      </c>
      <c r="B957">
        <f>YEAR(Cleaned_HR_Data_Analysis__2[[#This Row],[Joining_Date]])</f>
        <v>2018</v>
      </c>
      <c r="C957" s="1">
        <v>43376</v>
      </c>
      <c r="D957" s="1" t="str" cm="1">
        <f t="array" ref="D957">_xlfn.IFS(E957&lt;28, "17-27",
AND(E957&gt;27, E957&lt;38), "28-37",
AND(E957&gt;37, E957 &lt;48), "38-47",
AND(E957&gt;47, E957 &lt;58), "48-57",
AND(E957&gt;57, E957&lt;68), "58-67",
AND(E957&gt;67, E957&lt;78), "68-77",
E957&gt;77,"Above than 77")</f>
        <v>38-47</v>
      </c>
      <c r="E957">
        <v>40</v>
      </c>
      <c r="F957" s="1">
        <v>28544</v>
      </c>
      <c r="G957" s="1" t="str">
        <f>VLOOKUP(H957,Table7[#All], 2, FALSE)</f>
        <v>Massachusetts</v>
      </c>
      <c r="H957" s="2" t="s">
        <v>14</v>
      </c>
      <c r="I957" s="2" t="s">
        <v>15</v>
      </c>
      <c r="J957" s="2" t="s">
        <v>31</v>
      </c>
      <c r="K957" s="2" t="s">
        <v>98</v>
      </c>
      <c r="L957" s="2" t="s">
        <v>9</v>
      </c>
      <c r="M957" s="2" t="s">
        <v>25</v>
      </c>
      <c r="N957" s="2" t="s">
        <v>26</v>
      </c>
      <c r="O957" s="2" t="s">
        <v>27</v>
      </c>
      <c r="P957" s="2" t="s">
        <v>21</v>
      </c>
      <c r="Q957" s="2" t="s">
        <v>30</v>
      </c>
      <c r="R957" s="2" t="s">
        <v>18</v>
      </c>
      <c r="S957">
        <v>1</v>
      </c>
    </row>
    <row r="958" spans="1:19" x14ac:dyDescent="0.3">
      <c r="A958">
        <v>3742</v>
      </c>
      <c r="B958">
        <f>YEAR(Cleaned_HR_Data_Analysis__2[[#This Row],[Joining_Date]])</f>
        <v>2021</v>
      </c>
      <c r="C958" s="1">
        <v>44461</v>
      </c>
      <c r="D958" s="1" t="str" cm="1">
        <f t="array" ref="D958">_xlfn.IFS(E958&lt;28, "17-27",
AND(E958&gt;27, E958&lt;38), "28-37",
AND(E958&gt;37, E958 &lt;48), "38-47",
AND(E958&gt;47, E958 &lt;58), "48-57",
AND(E958&gt;57, E958&lt;68), "58-67",
AND(E958&gt;67, E958&lt;78), "68-77",
E958&gt;77,"Above than 77")</f>
        <v>38-47</v>
      </c>
      <c r="E958">
        <v>40</v>
      </c>
      <c r="F958" s="1">
        <v>29841</v>
      </c>
      <c r="G958" s="1" t="str">
        <f>VLOOKUP(H958,Table7[#All], 2, FALSE)</f>
        <v>Massachusetts</v>
      </c>
      <c r="H958" s="2" t="s">
        <v>14</v>
      </c>
      <c r="I958" s="2" t="s">
        <v>15</v>
      </c>
      <c r="J958" s="2" t="s">
        <v>34</v>
      </c>
      <c r="K958" s="2" t="s">
        <v>64</v>
      </c>
      <c r="L958" s="2" t="s">
        <v>9</v>
      </c>
      <c r="M958" s="2" t="s">
        <v>10</v>
      </c>
      <c r="N958" s="2" t="s">
        <v>19</v>
      </c>
      <c r="O958" s="2" t="s">
        <v>12</v>
      </c>
      <c r="P958" s="2" t="s">
        <v>35</v>
      </c>
      <c r="Q958" s="2" t="s">
        <v>46</v>
      </c>
      <c r="R958" s="2" t="s">
        <v>18</v>
      </c>
      <c r="S958">
        <v>1</v>
      </c>
    </row>
    <row r="959" spans="1:19" x14ac:dyDescent="0.3">
      <c r="A959">
        <v>3345</v>
      </c>
      <c r="B959">
        <f>YEAR(Cleaned_HR_Data_Analysis__2[[#This Row],[Joining_Date]])</f>
        <v>2021</v>
      </c>
      <c r="C959" s="1">
        <v>44543</v>
      </c>
      <c r="D959" s="1" t="str" cm="1">
        <f t="array" ref="D959">_xlfn.IFS(E959&lt;28, "17-27",
AND(E959&gt;27, E959&lt;38), "28-37",
AND(E959&gt;37, E959 &lt;48), "38-47",
AND(E959&gt;47, E959 &lt;58), "48-57",
AND(E959&gt;57, E959&lt;68), "58-67",
AND(E959&gt;67, E959&lt;78), "68-77",
E959&gt;77,"Above than 77")</f>
        <v>38-47</v>
      </c>
      <c r="E959">
        <v>40</v>
      </c>
      <c r="F959" s="1">
        <v>29685</v>
      </c>
      <c r="G959" s="1" t="str">
        <f>VLOOKUP(H959,Table7[#All], 2, FALSE)</f>
        <v>Massachusetts</v>
      </c>
      <c r="H959" s="2" t="s">
        <v>14</v>
      </c>
      <c r="I959" s="2" t="s">
        <v>22</v>
      </c>
      <c r="J959" s="2" t="s">
        <v>31</v>
      </c>
      <c r="K959" s="2" t="s">
        <v>64</v>
      </c>
      <c r="L959" s="2" t="s">
        <v>66</v>
      </c>
      <c r="M959" s="2" t="s">
        <v>25</v>
      </c>
      <c r="N959" s="2" t="s">
        <v>11</v>
      </c>
      <c r="O959" s="2" t="s">
        <v>12</v>
      </c>
      <c r="P959" s="2" t="s">
        <v>54</v>
      </c>
      <c r="Q959" s="2" t="s">
        <v>46</v>
      </c>
      <c r="R959" s="2" t="s">
        <v>18</v>
      </c>
      <c r="S959">
        <v>1</v>
      </c>
    </row>
    <row r="960" spans="1:19" x14ac:dyDescent="0.3">
      <c r="A960">
        <v>3280</v>
      </c>
      <c r="B960">
        <f>YEAR(Cleaned_HR_Data_Analysis__2[[#This Row],[Joining_Date]])</f>
        <v>2023</v>
      </c>
      <c r="C960" s="1">
        <v>45075</v>
      </c>
      <c r="D960" s="1" t="str" cm="1">
        <f t="array" ref="D960">_xlfn.IFS(E960&lt;28, "17-27",
AND(E960&gt;27, E960&lt;38), "28-37",
AND(E960&gt;37, E960 &lt;48), "38-47",
AND(E960&gt;47, E960 &lt;58), "48-57",
AND(E960&gt;57, E960&lt;68), "58-67",
AND(E960&gt;67, E960&lt;78), "68-77",
E960&gt;77,"Above than 77")</f>
        <v>38-47</v>
      </c>
      <c r="E960">
        <v>40</v>
      </c>
      <c r="F960" s="1">
        <v>30506</v>
      </c>
      <c r="G960" s="1" t="str">
        <f>VLOOKUP(H960,Table7[#All], 2, FALSE)</f>
        <v>Massachusetts</v>
      </c>
      <c r="H960" s="2" t="s">
        <v>14</v>
      </c>
      <c r="I960" s="2" t="s">
        <v>22</v>
      </c>
      <c r="J960" s="2" t="s">
        <v>40</v>
      </c>
      <c r="K960" s="2" t="s">
        <v>64</v>
      </c>
      <c r="L960" s="2" t="s">
        <v>66</v>
      </c>
      <c r="M960" s="2" t="s">
        <v>20</v>
      </c>
      <c r="N960" s="2" t="s">
        <v>19</v>
      </c>
      <c r="O960" s="2" t="s">
        <v>12</v>
      </c>
      <c r="P960" s="2" t="s">
        <v>54</v>
      </c>
      <c r="Q960" s="2" t="s">
        <v>30</v>
      </c>
      <c r="R960" s="2" t="s">
        <v>18</v>
      </c>
      <c r="S960">
        <v>5</v>
      </c>
    </row>
    <row r="961" spans="1:19" x14ac:dyDescent="0.3">
      <c r="A961">
        <v>3161</v>
      </c>
      <c r="B961">
        <f>YEAR(Cleaned_HR_Data_Analysis__2[[#This Row],[Joining_Date]])</f>
        <v>2023</v>
      </c>
      <c r="C961" s="1">
        <v>45139</v>
      </c>
      <c r="D961" s="1" t="str" cm="1">
        <f t="array" ref="D961">_xlfn.IFS(E961&lt;28, "17-27",
AND(E961&gt;27, E961&lt;38), "28-37",
AND(E961&gt;37, E961 &lt;48), "38-47",
AND(E961&gt;47, E961 &lt;58), "48-57",
AND(E961&gt;57, E961&lt;68), "58-67",
AND(E961&gt;67, E961&lt;78), "68-77",
E961&gt;77,"Above than 77")</f>
        <v>38-47</v>
      </c>
      <c r="E961">
        <v>40</v>
      </c>
      <c r="F961" s="1">
        <v>30423</v>
      </c>
      <c r="G961" s="1" t="str">
        <f>VLOOKUP(H961,Table7[#All], 2, FALSE)</f>
        <v>Massachusetts</v>
      </c>
      <c r="H961" s="2" t="s">
        <v>14</v>
      </c>
      <c r="I961" s="2" t="s">
        <v>15</v>
      </c>
      <c r="J961" s="2" t="s">
        <v>40</v>
      </c>
      <c r="K961" s="2" t="s">
        <v>64</v>
      </c>
      <c r="L961" s="2" t="s">
        <v>66</v>
      </c>
      <c r="M961" s="2" t="s">
        <v>25</v>
      </c>
      <c r="N961" s="2" t="s">
        <v>11</v>
      </c>
      <c r="O961" s="2" t="s">
        <v>12</v>
      </c>
      <c r="P961" s="2" t="s">
        <v>32</v>
      </c>
      <c r="Q961" s="2" t="s">
        <v>37</v>
      </c>
      <c r="R961" s="2" t="s">
        <v>18</v>
      </c>
      <c r="S961">
        <v>5</v>
      </c>
    </row>
    <row r="962" spans="1:19" x14ac:dyDescent="0.3">
      <c r="A962">
        <v>3159</v>
      </c>
      <c r="B962">
        <f>YEAR(Cleaned_HR_Data_Analysis__2[[#This Row],[Joining_Date]])</f>
        <v>2018</v>
      </c>
      <c r="C962" s="1">
        <v>43335</v>
      </c>
      <c r="D962" s="1" t="str" cm="1">
        <f t="array" ref="D962">_xlfn.IFS(E962&lt;28, "17-27",
AND(E962&gt;27, E962&lt;38), "28-37",
AND(E962&gt;37, E962 &lt;48), "38-47",
AND(E962&gt;47, E962 &lt;58), "48-57",
AND(E962&gt;57, E962&lt;68), "58-67",
AND(E962&gt;67, E962&lt;78), "68-77",
E962&gt;77,"Above than 77")</f>
        <v>38-47</v>
      </c>
      <c r="E962">
        <v>40</v>
      </c>
      <c r="F962" s="1">
        <v>28639</v>
      </c>
      <c r="G962" s="1" t="str">
        <f>VLOOKUP(H962,Table7[#All], 2, FALSE)</f>
        <v>Massachusetts</v>
      </c>
      <c r="H962" s="2" t="s">
        <v>14</v>
      </c>
      <c r="I962" s="2" t="s">
        <v>15</v>
      </c>
      <c r="J962" s="2" t="s">
        <v>34</v>
      </c>
      <c r="K962" s="2" t="s">
        <v>64</v>
      </c>
      <c r="L962" s="2" t="s">
        <v>9</v>
      </c>
      <c r="M962" s="2" t="s">
        <v>25</v>
      </c>
      <c r="N962" s="2" t="s">
        <v>26</v>
      </c>
      <c r="O962" s="2" t="s">
        <v>12</v>
      </c>
      <c r="P962" s="2" t="s">
        <v>35</v>
      </c>
      <c r="Q962" s="2" t="s">
        <v>46</v>
      </c>
      <c r="R962" s="2" t="s">
        <v>18</v>
      </c>
      <c r="S962">
        <v>1</v>
      </c>
    </row>
    <row r="963" spans="1:19" x14ac:dyDescent="0.3">
      <c r="A963">
        <v>3116</v>
      </c>
      <c r="B963">
        <f>YEAR(Cleaned_HR_Data_Analysis__2[[#This Row],[Joining_Date]])</f>
        <v>2021</v>
      </c>
      <c r="C963" s="1">
        <v>44259</v>
      </c>
      <c r="D963" s="1" t="str" cm="1">
        <f t="array" ref="D963">_xlfn.IFS(E963&lt;28, "17-27",
AND(E963&gt;27, E963&lt;38), "28-37",
AND(E963&gt;37, E963 &lt;48), "38-47",
AND(E963&gt;47, E963 &lt;58), "48-57",
AND(E963&gt;57, E963&lt;68), "58-67",
AND(E963&gt;67, E963&lt;78), "68-77",
E963&gt;77,"Above than 77")</f>
        <v>38-47</v>
      </c>
      <c r="E963">
        <v>40</v>
      </c>
      <c r="F963" s="1">
        <v>29883</v>
      </c>
      <c r="G963" s="1" t="str">
        <f>VLOOKUP(H963,Table7[#All], 2, FALSE)</f>
        <v>Massachusetts</v>
      </c>
      <c r="H963" s="2" t="s">
        <v>14</v>
      </c>
      <c r="I963" s="2" t="s">
        <v>15</v>
      </c>
      <c r="J963" s="2" t="s">
        <v>34</v>
      </c>
      <c r="K963" s="2" t="s">
        <v>64</v>
      </c>
      <c r="L963" s="2" t="s">
        <v>9</v>
      </c>
      <c r="M963" s="2" t="s">
        <v>20</v>
      </c>
      <c r="N963" s="2" t="s">
        <v>26</v>
      </c>
      <c r="O963" s="2" t="s">
        <v>12</v>
      </c>
      <c r="P963" s="2" t="s">
        <v>35</v>
      </c>
      <c r="Q963" s="2" t="s">
        <v>23</v>
      </c>
      <c r="R963" s="2" t="s">
        <v>18</v>
      </c>
      <c r="S963">
        <v>1</v>
      </c>
    </row>
    <row r="964" spans="1:19" x14ac:dyDescent="0.3">
      <c r="A964">
        <v>3046</v>
      </c>
      <c r="B964">
        <f>YEAR(Cleaned_HR_Data_Analysis__2[[#This Row],[Joining_Date]])</f>
        <v>2023</v>
      </c>
      <c r="C964" s="1">
        <v>45079</v>
      </c>
      <c r="D964" s="1" t="str" cm="1">
        <f t="array" ref="D964">_xlfn.IFS(E964&lt;28, "17-27",
AND(E964&gt;27, E964&lt;38), "28-37",
AND(E964&gt;37, E964 &lt;48), "38-47",
AND(E964&gt;47, E964 &lt;58), "48-57",
AND(E964&gt;57, E964&lt;68), "58-67",
AND(E964&gt;67, E964&lt;78), "68-77",
E964&gt;77,"Above than 77")</f>
        <v>38-47</v>
      </c>
      <c r="E964">
        <v>40</v>
      </c>
      <c r="F964" s="1">
        <v>30472</v>
      </c>
      <c r="G964" s="1" t="str">
        <f>VLOOKUP(H964,Table7[#All], 2, FALSE)</f>
        <v>Massachusetts</v>
      </c>
      <c r="H964" s="2" t="s">
        <v>14</v>
      </c>
      <c r="I964" s="2" t="s">
        <v>15</v>
      </c>
      <c r="J964" s="2" t="s">
        <v>31</v>
      </c>
      <c r="K964" s="2" t="s">
        <v>64</v>
      </c>
      <c r="L964" s="2" t="s">
        <v>66</v>
      </c>
      <c r="M964" s="2" t="s">
        <v>20</v>
      </c>
      <c r="N964" s="2" t="s">
        <v>19</v>
      </c>
      <c r="O964" s="2" t="s">
        <v>12</v>
      </c>
      <c r="P964" s="2" t="s">
        <v>59</v>
      </c>
      <c r="Q964" s="2" t="s">
        <v>30</v>
      </c>
      <c r="R964" s="2" t="s">
        <v>41</v>
      </c>
      <c r="S964">
        <v>5</v>
      </c>
    </row>
    <row r="965" spans="1:19" x14ac:dyDescent="0.3">
      <c r="A965">
        <v>2827</v>
      </c>
      <c r="B965">
        <f>YEAR(Cleaned_HR_Data_Analysis__2[[#This Row],[Joining_Date]])</f>
        <v>2020</v>
      </c>
      <c r="C965" s="1">
        <v>43880</v>
      </c>
      <c r="D965" s="1" t="str" cm="1">
        <f t="array" ref="D965">_xlfn.IFS(E965&lt;28, "17-27",
AND(E965&gt;27, E965&lt;38), "28-37",
AND(E965&gt;37, E965 &lt;48), "38-47",
AND(E965&gt;47, E965 &lt;58), "48-57",
AND(E965&gt;57, E965&lt;68), "58-67",
AND(E965&gt;67, E965&lt;78), "68-77",
E965&gt;77,"Above than 77")</f>
        <v>38-47</v>
      </c>
      <c r="E965">
        <v>40</v>
      </c>
      <c r="F965" s="1">
        <v>29442</v>
      </c>
      <c r="G965" s="1" t="str">
        <f>VLOOKUP(H965,Table7[#All], 2, FALSE)</f>
        <v>Massachusetts</v>
      </c>
      <c r="H965" s="2" t="s">
        <v>14</v>
      </c>
      <c r="I965" s="2" t="s">
        <v>15</v>
      </c>
      <c r="J965" s="2" t="s">
        <v>34</v>
      </c>
      <c r="K965" s="2" t="s">
        <v>64</v>
      </c>
      <c r="L965" s="2" t="s">
        <v>66</v>
      </c>
      <c r="M965" s="2" t="s">
        <v>25</v>
      </c>
      <c r="N965" s="2" t="s">
        <v>19</v>
      </c>
      <c r="O965" s="2" t="s">
        <v>12</v>
      </c>
      <c r="P965" s="2" t="s">
        <v>35</v>
      </c>
      <c r="Q965" s="2" t="s">
        <v>30</v>
      </c>
      <c r="R965" s="2" t="s">
        <v>18</v>
      </c>
      <c r="S965">
        <v>4</v>
      </c>
    </row>
    <row r="966" spans="1:19" x14ac:dyDescent="0.3">
      <c r="A966">
        <v>2784</v>
      </c>
      <c r="B966">
        <f>YEAR(Cleaned_HR_Data_Analysis__2[[#This Row],[Joining_Date]])</f>
        <v>2021</v>
      </c>
      <c r="C966" s="1">
        <v>44336</v>
      </c>
      <c r="D966" s="1" t="str" cm="1">
        <f t="array" ref="D966">_xlfn.IFS(E966&lt;28, "17-27",
AND(E966&gt;27, E966&lt;38), "28-37",
AND(E966&gt;37, E966 &lt;48), "38-47",
AND(E966&gt;47, E966 &lt;58), "48-57",
AND(E966&gt;57, E966&lt;68), "58-67",
AND(E966&gt;67, E966&lt;78), "68-77",
E966&gt;77,"Above than 77")</f>
        <v>38-47</v>
      </c>
      <c r="E966">
        <v>40</v>
      </c>
      <c r="F966" s="1">
        <v>29653</v>
      </c>
      <c r="G966" s="1" t="str">
        <f>VLOOKUP(H966,Table7[#All], 2, FALSE)</f>
        <v>Massachusetts</v>
      </c>
      <c r="H966" s="2" t="s">
        <v>14</v>
      </c>
      <c r="I966" s="2" t="s">
        <v>22</v>
      </c>
      <c r="J966" s="2" t="s">
        <v>40</v>
      </c>
      <c r="K966" s="2" t="s">
        <v>64</v>
      </c>
      <c r="L966" s="2" t="s">
        <v>9</v>
      </c>
      <c r="M966" s="2" t="s">
        <v>10</v>
      </c>
      <c r="N966" s="2" t="s">
        <v>26</v>
      </c>
      <c r="O966" s="2" t="s">
        <v>12</v>
      </c>
      <c r="P966" s="2" t="s">
        <v>35</v>
      </c>
      <c r="Q966" s="2" t="s">
        <v>16</v>
      </c>
      <c r="R966" s="2" t="s">
        <v>18</v>
      </c>
      <c r="S966">
        <v>3</v>
      </c>
    </row>
    <row r="967" spans="1:19" x14ac:dyDescent="0.3">
      <c r="A967">
        <v>1738</v>
      </c>
      <c r="B967">
        <f>YEAR(Cleaned_HR_Data_Analysis__2[[#This Row],[Joining_Date]])</f>
        <v>2023</v>
      </c>
      <c r="C967" s="1">
        <v>45076</v>
      </c>
      <c r="D967" s="1" t="str" cm="1">
        <f t="array" ref="D967">_xlfn.IFS(E967&lt;28, "17-27",
AND(E967&gt;27, E967&lt;38), "28-37",
AND(E967&gt;37, E967 &lt;48), "38-47",
AND(E967&gt;47, E967 &lt;58), "48-57",
AND(E967&gt;57, E967&lt;68), "58-67",
AND(E967&gt;67, E967&lt;78), "68-77",
E967&gt;77,"Above than 77")</f>
        <v>38-47</v>
      </c>
      <c r="E967">
        <v>40</v>
      </c>
      <c r="F967" s="1">
        <v>30637</v>
      </c>
      <c r="G967" s="1" t="str">
        <f>VLOOKUP(H967,Table7[#All], 2, FALSE)</f>
        <v>Massachusetts</v>
      </c>
      <c r="H967" s="2" t="s">
        <v>14</v>
      </c>
      <c r="I967" s="2" t="s">
        <v>22</v>
      </c>
      <c r="J967" s="2" t="s">
        <v>31</v>
      </c>
      <c r="K967" s="2" t="s">
        <v>64</v>
      </c>
      <c r="L967" s="2" t="s">
        <v>66</v>
      </c>
      <c r="M967" s="2" t="s">
        <v>10</v>
      </c>
      <c r="N967" s="2" t="s">
        <v>19</v>
      </c>
      <c r="O967" s="2" t="s">
        <v>12</v>
      </c>
      <c r="P967" s="2" t="s">
        <v>38</v>
      </c>
      <c r="Q967" s="2" t="s">
        <v>16</v>
      </c>
      <c r="R967" s="2" t="s">
        <v>18</v>
      </c>
      <c r="S967">
        <v>1</v>
      </c>
    </row>
    <row r="968" spans="1:19" x14ac:dyDescent="0.3">
      <c r="A968">
        <v>1406</v>
      </c>
      <c r="B968">
        <f>YEAR(Cleaned_HR_Data_Analysis__2[[#This Row],[Joining_Date]])</f>
        <v>2022</v>
      </c>
      <c r="C968" s="1">
        <v>44859</v>
      </c>
      <c r="D968" s="1" t="str" cm="1">
        <f t="array" ref="D968">_xlfn.IFS(E968&lt;28, "17-27",
AND(E968&gt;27, E968&lt;38), "28-37",
AND(E968&gt;37, E968 &lt;48), "38-47",
AND(E968&gt;47, E968 &lt;58), "48-57",
AND(E968&gt;57, E968&lt;68), "58-67",
AND(E968&gt;67, E968&lt;78), "68-77",
E968&gt;77,"Above than 77")</f>
        <v>38-47</v>
      </c>
      <c r="E968">
        <v>40</v>
      </c>
      <c r="F968" s="1">
        <v>30265</v>
      </c>
      <c r="G968" s="1" t="str">
        <f>VLOOKUP(H968,Table7[#All], 2, FALSE)</f>
        <v>Massachusetts</v>
      </c>
      <c r="H968" s="2" t="s">
        <v>14</v>
      </c>
      <c r="I968" s="2" t="s">
        <v>15</v>
      </c>
      <c r="J968" s="2" t="s">
        <v>31</v>
      </c>
      <c r="K968" s="2" t="s">
        <v>64</v>
      </c>
      <c r="L968" s="2" t="s">
        <v>9</v>
      </c>
      <c r="M968" s="2" t="s">
        <v>20</v>
      </c>
      <c r="N968" s="2" t="s">
        <v>19</v>
      </c>
      <c r="O968" s="2" t="s">
        <v>12</v>
      </c>
      <c r="P968" s="2" t="s">
        <v>32</v>
      </c>
      <c r="Q968" s="2" t="s">
        <v>46</v>
      </c>
      <c r="R968" s="2" t="s">
        <v>41</v>
      </c>
      <c r="S968">
        <v>1</v>
      </c>
    </row>
    <row r="969" spans="1:19" x14ac:dyDescent="0.3">
      <c r="A969">
        <v>1404</v>
      </c>
      <c r="B969">
        <f>YEAR(Cleaned_HR_Data_Analysis__2[[#This Row],[Joining_Date]])</f>
        <v>2018</v>
      </c>
      <c r="C969" s="1">
        <v>43405</v>
      </c>
      <c r="D969" s="1" t="str" cm="1">
        <f t="array" ref="D969">_xlfn.IFS(E969&lt;28, "17-27",
AND(E969&gt;27, E969&lt;38), "28-37",
AND(E969&gt;37, E969 &lt;48), "38-47",
AND(E969&gt;47, E969 &lt;58), "48-57",
AND(E969&gt;57, E969&lt;68), "58-67",
AND(E969&gt;67, E969&lt;78), "68-77",
E969&gt;77,"Above than 77")</f>
        <v>38-47</v>
      </c>
      <c r="E969">
        <v>40</v>
      </c>
      <c r="F969" s="1">
        <v>28830</v>
      </c>
      <c r="G969" s="1" t="str">
        <f>VLOOKUP(H969,Table7[#All], 2, FALSE)</f>
        <v>Massachusetts</v>
      </c>
      <c r="H969" s="2" t="s">
        <v>14</v>
      </c>
      <c r="I969" s="2" t="s">
        <v>22</v>
      </c>
      <c r="J969" s="2" t="s">
        <v>31</v>
      </c>
      <c r="K969" s="2" t="s">
        <v>64</v>
      </c>
      <c r="L969" s="2" t="s">
        <v>66</v>
      </c>
      <c r="M969" s="2" t="s">
        <v>10</v>
      </c>
      <c r="N969" s="2" t="s">
        <v>26</v>
      </c>
      <c r="O969" s="2" t="s">
        <v>12</v>
      </c>
      <c r="P969" s="2" t="s">
        <v>13</v>
      </c>
      <c r="Q969" s="2" t="s">
        <v>23</v>
      </c>
      <c r="R969" s="2" t="s">
        <v>41</v>
      </c>
      <c r="S969">
        <v>2</v>
      </c>
    </row>
    <row r="970" spans="1:19" x14ac:dyDescent="0.3">
      <c r="A970">
        <v>1298</v>
      </c>
      <c r="B970">
        <f>YEAR(Cleaned_HR_Data_Analysis__2[[#This Row],[Joining_Date]])</f>
        <v>2023</v>
      </c>
      <c r="C970" s="1">
        <v>44982</v>
      </c>
      <c r="D970" s="1" t="str" cm="1">
        <f t="array" ref="D970">_xlfn.IFS(E970&lt;28, "17-27",
AND(E970&gt;27, E970&lt;38), "28-37",
AND(E970&gt;37, E970 &lt;48), "38-47",
AND(E970&gt;47, E970 &lt;58), "48-57",
AND(E970&gt;57, E970&lt;68), "58-67",
AND(E970&gt;67, E970&lt;78), "68-77",
E970&gt;77,"Above than 77")</f>
        <v>38-47</v>
      </c>
      <c r="E970">
        <v>40</v>
      </c>
      <c r="F970" s="1">
        <v>30385</v>
      </c>
      <c r="G970" s="1" t="str">
        <f>VLOOKUP(H970,Table7[#All], 2, FALSE)</f>
        <v>Massachusetts</v>
      </c>
      <c r="H970" s="2" t="s">
        <v>14</v>
      </c>
      <c r="I970" s="2" t="s">
        <v>15</v>
      </c>
      <c r="J970" s="2" t="s">
        <v>34</v>
      </c>
      <c r="K970" s="2" t="s">
        <v>64</v>
      </c>
      <c r="L970" s="2" t="s">
        <v>9</v>
      </c>
      <c r="M970" s="2" t="s">
        <v>20</v>
      </c>
      <c r="N970" s="2" t="s">
        <v>26</v>
      </c>
      <c r="O970" s="2" t="s">
        <v>12</v>
      </c>
      <c r="P970" s="2" t="s">
        <v>32</v>
      </c>
      <c r="Q970" s="2" t="s">
        <v>37</v>
      </c>
      <c r="R970" s="2" t="s">
        <v>18</v>
      </c>
      <c r="S970">
        <v>2</v>
      </c>
    </row>
    <row r="971" spans="1:19" x14ac:dyDescent="0.3">
      <c r="A971">
        <v>1275</v>
      </c>
      <c r="B971">
        <f>YEAR(Cleaned_HR_Data_Analysis__2[[#This Row],[Joining_Date]])</f>
        <v>2022</v>
      </c>
      <c r="C971" s="1">
        <v>44845</v>
      </c>
      <c r="D971" s="1" t="str" cm="1">
        <f t="array" ref="D971">_xlfn.IFS(E971&lt;28, "17-27",
AND(E971&gt;27, E971&lt;38), "28-37",
AND(E971&gt;37, E971 &lt;48), "38-47",
AND(E971&gt;47, E971 &lt;58), "48-57",
AND(E971&gt;57, E971&lt;68), "58-67",
AND(E971&gt;67, E971&lt;78), "68-77",
E971&gt;77,"Above than 77")</f>
        <v>38-47</v>
      </c>
      <c r="E971">
        <v>40</v>
      </c>
      <c r="F971" s="1">
        <v>30121</v>
      </c>
      <c r="G971" s="1" t="str">
        <f>VLOOKUP(H971,Table7[#All], 2, FALSE)</f>
        <v>Massachusetts</v>
      </c>
      <c r="H971" s="2" t="s">
        <v>14</v>
      </c>
      <c r="I971" s="2" t="s">
        <v>15</v>
      </c>
      <c r="J971" s="2" t="s">
        <v>31</v>
      </c>
      <c r="K971" s="2" t="s">
        <v>64</v>
      </c>
      <c r="L971" s="2" t="s">
        <v>9</v>
      </c>
      <c r="M971" s="2" t="s">
        <v>25</v>
      </c>
      <c r="N971" s="2" t="s">
        <v>26</v>
      </c>
      <c r="O971" s="2" t="s">
        <v>12</v>
      </c>
      <c r="P971" s="2" t="s">
        <v>21</v>
      </c>
      <c r="Q971" s="2" t="s">
        <v>30</v>
      </c>
      <c r="R971" s="2" t="s">
        <v>18</v>
      </c>
      <c r="S971">
        <v>5</v>
      </c>
    </row>
    <row r="972" spans="1:19" x14ac:dyDescent="0.3">
      <c r="A972">
        <v>3805</v>
      </c>
      <c r="B972">
        <f>YEAR(Cleaned_HR_Data_Analysis__2[[#This Row],[Joining_Date]])</f>
        <v>2022</v>
      </c>
      <c r="C972" s="1">
        <v>44679</v>
      </c>
      <c r="D972" s="1" t="str" cm="1">
        <f t="array" ref="D972">_xlfn.IFS(E972&lt;28, "17-27",
AND(E972&gt;27, E972&lt;38), "28-37",
AND(E972&gt;37, E972 &lt;48), "38-47",
AND(E972&gt;47, E972 &lt;58), "48-57",
AND(E972&gt;57, E972&lt;68), "58-67",
AND(E972&gt;67, E972&lt;78), "68-77",
E972&gt;77,"Above than 77")</f>
        <v>38-47</v>
      </c>
      <c r="E972">
        <v>40</v>
      </c>
      <c r="F972" s="1">
        <v>30064</v>
      </c>
      <c r="G972" s="1" t="str">
        <f>VLOOKUP(H972,Table7[#All], 2, FALSE)</f>
        <v>Massachusetts</v>
      </c>
      <c r="H972" s="2" t="s">
        <v>14</v>
      </c>
      <c r="I972" s="2" t="s">
        <v>22</v>
      </c>
      <c r="J972" s="2" t="s">
        <v>40</v>
      </c>
      <c r="K972" s="2" t="s">
        <v>8</v>
      </c>
      <c r="L972" s="2" t="s">
        <v>9</v>
      </c>
      <c r="M972" s="2" t="s">
        <v>25</v>
      </c>
      <c r="N972" s="2" t="s">
        <v>26</v>
      </c>
      <c r="O972" s="2" t="s">
        <v>12</v>
      </c>
      <c r="P972" s="2" t="s">
        <v>32</v>
      </c>
      <c r="Q972" s="2" t="s">
        <v>30</v>
      </c>
      <c r="R972" s="2" t="s">
        <v>18</v>
      </c>
      <c r="S972">
        <v>5</v>
      </c>
    </row>
    <row r="973" spans="1:19" x14ac:dyDescent="0.3">
      <c r="A973">
        <v>3771</v>
      </c>
      <c r="B973">
        <f>YEAR(Cleaned_HR_Data_Analysis__2[[#This Row],[Joining_Date]])</f>
        <v>2021</v>
      </c>
      <c r="C973" s="1">
        <v>44220</v>
      </c>
      <c r="D973" s="1" t="str" cm="1">
        <f t="array" ref="D973">_xlfn.IFS(E973&lt;28, "17-27",
AND(E973&gt;27, E973&lt;38), "28-37",
AND(E973&gt;37, E973 &lt;48), "38-47",
AND(E973&gt;47, E973 &lt;58), "48-57",
AND(E973&gt;57, E973&lt;68), "58-67",
AND(E973&gt;67, E973&lt;78), "68-77",
E973&gt;77,"Above than 77")</f>
        <v>38-47</v>
      </c>
      <c r="E973">
        <v>40</v>
      </c>
      <c r="F973" s="1">
        <v>29849</v>
      </c>
      <c r="G973" s="1" t="str">
        <f>VLOOKUP(H973,Table7[#All], 2, FALSE)</f>
        <v>Massachusetts</v>
      </c>
      <c r="H973" s="2" t="s">
        <v>14</v>
      </c>
      <c r="I973" s="2" t="s">
        <v>22</v>
      </c>
      <c r="J973" s="2" t="s">
        <v>34</v>
      </c>
      <c r="K973" s="2" t="s">
        <v>8</v>
      </c>
      <c r="L973" s="2" t="s">
        <v>66</v>
      </c>
      <c r="M973" s="2" t="s">
        <v>20</v>
      </c>
      <c r="N973" s="2" t="s">
        <v>26</v>
      </c>
      <c r="O973" s="2" t="s">
        <v>12</v>
      </c>
      <c r="P973" s="2" t="s">
        <v>32</v>
      </c>
      <c r="Q973" s="2" t="s">
        <v>46</v>
      </c>
      <c r="R973" s="2" t="s">
        <v>18</v>
      </c>
      <c r="S973">
        <v>2</v>
      </c>
    </row>
    <row r="974" spans="1:19" x14ac:dyDescent="0.3">
      <c r="A974">
        <v>3711</v>
      </c>
      <c r="B974">
        <f>YEAR(Cleaned_HR_Data_Analysis__2[[#This Row],[Joining_Date]])</f>
        <v>2021</v>
      </c>
      <c r="C974" s="1">
        <v>44394</v>
      </c>
      <c r="D974" s="1" t="str" cm="1">
        <f t="array" ref="D974">_xlfn.IFS(E974&lt;28, "17-27",
AND(E974&gt;27, E974&lt;38), "28-37",
AND(E974&gt;37, E974 &lt;48), "38-47",
AND(E974&gt;47, E974 &lt;58), "48-57",
AND(E974&gt;57, E974&lt;68), "58-67",
AND(E974&gt;67, E974&lt;78), "68-77",
E974&gt;77,"Above than 77")</f>
        <v>38-47</v>
      </c>
      <c r="E974">
        <v>40</v>
      </c>
      <c r="F974" s="1">
        <v>29589</v>
      </c>
      <c r="G974" s="1" t="str">
        <f>VLOOKUP(H974,Table7[#All], 2, FALSE)</f>
        <v>Massachusetts</v>
      </c>
      <c r="H974" s="2" t="s">
        <v>14</v>
      </c>
      <c r="I974" s="2" t="s">
        <v>15</v>
      </c>
      <c r="J974" s="2" t="s">
        <v>31</v>
      </c>
      <c r="K974" s="2" t="s">
        <v>8</v>
      </c>
      <c r="L974" s="2" t="s">
        <v>9</v>
      </c>
      <c r="M974" s="2" t="s">
        <v>20</v>
      </c>
      <c r="N974" s="2" t="s">
        <v>19</v>
      </c>
      <c r="O974" s="2" t="s">
        <v>12</v>
      </c>
      <c r="P974" s="2" t="s">
        <v>13</v>
      </c>
      <c r="Q974" s="2" t="s">
        <v>37</v>
      </c>
      <c r="R974" s="2" t="s">
        <v>56</v>
      </c>
      <c r="S974">
        <v>3</v>
      </c>
    </row>
    <row r="975" spans="1:19" x14ac:dyDescent="0.3">
      <c r="A975">
        <v>3692</v>
      </c>
      <c r="B975">
        <f>YEAR(Cleaned_HR_Data_Analysis__2[[#This Row],[Joining_Date]])</f>
        <v>2019</v>
      </c>
      <c r="C975" s="1">
        <v>43780</v>
      </c>
      <c r="D975" s="1" t="str" cm="1">
        <f t="array" ref="D975">_xlfn.IFS(E975&lt;28, "17-27",
AND(E975&gt;27, E975&lt;38), "28-37",
AND(E975&gt;37, E975 &lt;48), "38-47",
AND(E975&gt;47, E975 &lt;58), "48-57",
AND(E975&gt;57, E975&lt;68), "58-67",
AND(E975&gt;67, E975&lt;78), "68-77",
E975&gt;77,"Above than 77")</f>
        <v>38-47</v>
      </c>
      <c r="E975">
        <v>40</v>
      </c>
      <c r="F975" s="1">
        <v>29204</v>
      </c>
      <c r="G975" s="1" t="str">
        <f>VLOOKUP(H975,Table7[#All], 2, FALSE)</f>
        <v>Massachusetts</v>
      </c>
      <c r="H975" s="2" t="s">
        <v>14</v>
      </c>
      <c r="I975" s="2" t="s">
        <v>22</v>
      </c>
      <c r="J975" s="2" t="s">
        <v>17</v>
      </c>
      <c r="K975" s="2" t="s">
        <v>8</v>
      </c>
      <c r="L975" s="2" t="s">
        <v>9</v>
      </c>
      <c r="M975" s="2" t="s">
        <v>25</v>
      </c>
      <c r="N975" s="2" t="s">
        <v>26</v>
      </c>
      <c r="O975" s="2" t="s">
        <v>12</v>
      </c>
      <c r="P975" s="2" t="s">
        <v>21</v>
      </c>
      <c r="Q975" s="2" t="s">
        <v>37</v>
      </c>
      <c r="R975" s="2" t="s">
        <v>56</v>
      </c>
      <c r="S975">
        <v>5</v>
      </c>
    </row>
    <row r="976" spans="1:19" x14ac:dyDescent="0.3">
      <c r="A976">
        <v>3608</v>
      </c>
      <c r="B976">
        <f>YEAR(Cleaned_HR_Data_Analysis__2[[#This Row],[Joining_Date]])</f>
        <v>2019</v>
      </c>
      <c r="C976" s="1">
        <v>43509</v>
      </c>
      <c r="D976" s="1" t="str" cm="1">
        <f t="array" ref="D976">_xlfn.IFS(E976&lt;28, "17-27",
AND(E976&gt;27, E976&lt;38), "28-37",
AND(E976&gt;37, E976 &lt;48), "38-47",
AND(E976&gt;47, E976 &lt;58), "48-57",
AND(E976&gt;57, E976&lt;68), "58-67",
AND(E976&gt;67, E976&lt;78), "68-77",
E976&gt;77,"Above than 77")</f>
        <v>38-47</v>
      </c>
      <c r="E976">
        <v>40</v>
      </c>
      <c r="F976" s="1">
        <v>29042</v>
      </c>
      <c r="G976" s="1" t="str">
        <f>VLOOKUP(H976,Table7[#All], 2, FALSE)</f>
        <v>Massachusetts</v>
      </c>
      <c r="H976" s="2" t="s">
        <v>14</v>
      </c>
      <c r="I976" s="2" t="s">
        <v>22</v>
      </c>
      <c r="J976" s="2" t="s">
        <v>34</v>
      </c>
      <c r="K976" s="2" t="s">
        <v>8</v>
      </c>
      <c r="L976" s="2" t="s">
        <v>9</v>
      </c>
      <c r="M976" s="2" t="s">
        <v>25</v>
      </c>
      <c r="N976" s="2" t="s">
        <v>11</v>
      </c>
      <c r="O976" s="2" t="s">
        <v>12</v>
      </c>
      <c r="P976" s="2" t="s">
        <v>35</v>
      </c>
      <c r="Q976" s="2" t="s">
        <v>30</v>
      </c>
      <c r="R976" s="2" t="s">
        <v>18</v>
      </c>
      <c r="S976">
        <v>3</v>
      </c>
    </row>
    <row r="977" spans="1:19" x14ac:dyDescent="0.3">
      <c r="A977">
        <v>3359</v>
      </c>
      <c r="B977">
        <f>YEAR(Cleaned_HR_Data_Analysis__2[[#This Row],[Joining_Date]])</f>
        <v>2020</v>
      </c>
      <c r="C977" s="1">
        <v>44164</v>
      </c>
      <c r="D977" s="1" t="str" cm="1">
        <f t="array" ref="D977">_xlfn.IFS(E977&lt;28, "17-27",
AND(E977&gt;27, E977&lt;38), "28-37",
AND(E977&gt;37, E977 &lt;48), "38-47",
AND(E977&gt;47, E977 &lt;58), "48-57",
AND(E977&gt;57, E977&lt;68), "58-67",
AND(E977&gt;67, E977&lt;78), "68-77",
E977&gt;77,"Above than 77")</f>
        <v>38-47</v>
      </c>
      <c r="E977">
        <v>40</v>
      </c>
      <c r="F977" s="1">
        <v>29259</v>
      </c>
      <c r="G977" s="1" t="str">
        <f>VLOOKUP(H977,Table7[#All], 2, FALSE)</f>
        <v>Massachusetts</v>
      </c>
      <c r="H977" s="2" t="s">
        <v>14</v>
      </c>
      <c r="I977" s="2" t="s">
        <v>22</v>
      </c>
      <c r="J977" s="2" t="s">
        <v>34</v>
      </c>
      <c r="K977" s="2" t="s">
        <v>8</v>
      </c>
      <c r="L977" s="2" t="s">
        <v>9</v>
      </c>
      <c r="M977" s="2" t="s">
        <v>25</v>
      </c>
      <c r="N977" s="2" t="s">
        <v>11</v>
      </c>
      <c r="O977" s="2" t="s">
        <v>12</v>
      </c>
      <c r="P977" s="2" t="s">
        <v>35</v>
      </c>
      <c r="Q977" s="2" t="s">
        <v>23</v>
      </c>
      <c r="R977" s="2" t="s">
        <v>41</v>
      </c>
      <c r="S977">
        <v>1</v>
      </c>
    </row>
    <row r="978" spans="1:19" x14ac:dyDescent="0.3">
      <c r="A978">
        <v>3289</v>
      </c>
      <c r="B978">
        <f>YEAR(Cleaned_HR_Data_Analysis__2[[#This Row],[Joining_Date]])</f>
        <v>2020</v>
      </c>
      <c r="C978" s="1">
        <v>43968</v>
      </c>
      <c r="D978" s="1" t="str" cm="1">
        <f t="array" ref="D978">_xlfn.IFS(E978&lt;28, "17-27",
AND(E978&gt;27, E978&lt;38), "28-37",
AND(E978&gt;37, E978 &lt;48), "38-47",
AND(E978&gt;47, E978 &lt;58), "48-57",
AND(E978&gt;57, E978&lt;68), "58-67",
AND(E978&gt;67, E978&lt;78), "68-77",
E978&gt;77,"Above than 77")</f>
        <v>38-47</v>
      </c>
      <c r="E978">
        <v>40</v>
      </c>
      <c r="F978" s="1">
        <v>29531</v>
      </c>
      <c r="G978" s="1" t="str">
        <f>VLOOKUP(H978,Table7[#All], 2, FALSE)</f>
        <v>Massachusetts</v>
      </c>
      <c r="H978" s="2" t="s">
        <v>14</v>
      </c>
      <c r="I978" s="2" t="s">
        <v>15</v>
      </c>
      <c r="J978" s="2" t="s">
        <v>40</v>
      </c>
      <c r="K978" s="2" t="s">
        <v>8</v>
      </c>
      <c r="L978" s="2" t="s">
        <v>9</v>
      </c>
      <c r="M978" s="2" t="s">
        <v>10</v>
      </c>
      <c r="N978" s="2" t="s">
        <v>19</v>
      </c>
      <c r="O978" s="2" t="s">
        <v>12</v>
      </c>
      <c r="P978" s="2" t="s">
        <v>32</v>
      </c>
      <c r="Q978" s="2" t="s">
        <v>16</v>
      </c>
      <c r="R978" s="2" t="s">
        <v>18</v>
      </c>
      <c r="S978">
        <v>5</v>
      </c>
    </row>
    <row r="979" spans="1:19" x14ac:dyDescent="0.3">
      <c r="A979">
        <v>3199</v>
      </c>
      <c r="B979">
        <f>YEAR(Cleaned_HR_Data_Analysis__2[[#This Row],[Joining_Date]])</f>
        <v>2018</v>
      </c>
      <c r="C979" s="1">
        <v>43426</v>
      </c>
      <c r="D979" s="1" t="str" cm="1">
        <f t="array" ref="D979">_xlfn.IFS(E979&lt;28, "17-27",
AND(E979&gt;27, E979&lt;38), "28-37",
AND(E979&gt;37, E979 &lt;48), "38-47",
AND(E979&gt;47, E979 &lt;58), "48-57",
AND(E979&gt;57, E979&lt;68), "58-67",
AND(E979&gt;67, E979&lt;78), "68-77",
E979&gt;77,"Above than 77")</f>
        <v>38-47</v>
      </c>
      <c r="E979">
        <v>40</v>
      </c>
      <c r="F979" s="1">
        <v>28507</v>
      </c>
      <c r="G979" s="1" t="str">
        <f>VLOOKUP(H979,Table7[#All], 2, FALSE)</f>
        <v>Massachusetts</v>
      </c>
      <c r="H979" s="2" t="s">
        <v>14</v>
      </c>
      <c r="I979" s="2" t="s">
        <v>15</v>
      </c>
      <c r="J979" s="2" t="s">
        <v>34</v>
      </c>
      <c r="K979" s="2" t="s">
        <v>8</v>
      </c>
      <c r="L979" s="2" t="s">
        <v>9</v>
      </c>
      <c r="M979" s="2" t="s">
        <v>25</v>
      </c>
      <c r="N979" s="2" t="s">
        <v>26</v>
      </c>
      <c r="O979" s="2" t="s">
        <v>12</v>
      </c>
      <c r="P979" s="2" t="s">
        <v>42</v>
      </c>
      <c r="Q979" s="2" t="s">
        <v>23</v>
      </c>
      <c r="R979" s="2" t="s">
        <v>18</v>
      </c>
      <c r="S979">
        <v>4</v>
      </c>
    </row>
    <row r="980" spans="1:19" x14ac:dyDescent="0.3">
      <c r="A980">
        <v>3163</v>
      </c>
      <c r="B980">
        <f>YEAR(Cleaned_HR_Data_Analysis__2[[#This Row],[Joining_Date]])</f>
        <v>2019</v>
      </c>
      <c r="C980" s="1">
        <v>43734</v>
      </c>
      <c r="D980" s="1" t="str" cm="1">
        <f t="array" ref="D980">_xlfn.IFS(E980&lt;28, "17-27",
AND(E980&gt;27, E980&lt;38), "28-37",
AND(E980&gt;37, E980 &lt;48), "38-47",
AND(E980&gt;47, E980 &lt;58), "48-57",
AND(E980&gt;57, E980&lt;68), "58-67",
AND(E980&gt;67, E980&lt;78), "68-77",
E980&gt;77,"Above than 77")</f>
        <v>38-47</v>
      </c>
      <c r="E980">
        <v>40</v>
      </c>
      <c r="F980" s="1">
        <v>28927</v>
      </c>
      <c r="G980" s="1" t="str">
        <f>VLOOKUP(H980,Table7[#All], 2, FALSE)</f>
        <v>Massachusetts</v>
      </c>
      <c r="H980" s="2" t="s">
        <v>14</v>
      </c>
      <c r="I980" s="2" t="s">
        <v>22</v>
      </c>
      <c r="J980" s="2" t="s">
        <v>34</v>
      </c>
      <c r="K980" s="2" t="s">
        <v>8</v>
      </c>
      <c r="L980" s="2" t="s">
        <v>9</v>
      </c>
      <c r="M980" s="2" t="s">
        <v>10</v>
      </c>
      <c r="N980" s="2" t="s">
        <v>19</v>
      </c>
      <c r="O980" s="2" t="s">
        <v>12</v>
      </c>
      <c r="P980" s="2" t="s">
        <v>60</v>
      </c>
      <c r="Q980" s="2" t="s">
        <v>37</v>
      </c>
      <c r="R980" s="2" t="s">
        <v>18</v>
      </c>
      <c r="S980">
        <v>4</v>
      </c>
    </row>
    <row r="981" spans="1:19" x14ac:dyDescent="0.3">
      <c r="A981">
        <v>3146</v>
      </c>
      <c r="B981">
        <f>YEAR(Cleaned_HR_Data_Analysis__2[[#This Row],[Joining_Date]])</f>
        <v>2018</v>
      </c>
      <c r="C981" s="1">
        <v>43450</v>
      </c>
      <c r="D981" s="1" t="str" cm="1">
        <f t="array" ref="D981">_xlfn.IFS(E981&lt;28, "17-27",
AND(E981&gt;27, E981&lt;38), "28-37",
AND(E981&gt;37, E981 &lt;48), "38-47",
AND(E981&gt;47, E981 &lt;58), "48-57",
AND(E981&gt;57, E981&lt;68), "58-67",
AND(E981&gt;67, E981&lt;78), "68-77",
E981&gt;77,"Above than 77")</f>
        <v>38-47</v>
      </c>
      <c r="E981">
        <v>40</v>
      </c>
      <c r="F981" s="1">
        <v>28781</v>
      </c>
      <c r="G981" s="1" t="str">
        <f>VLOOKUP(H981,Table7[#All], 2, FALSE)</f>
        <v>Massachusetts</v>
      </c>
      <c r="H981" s="2" t="s">
        <v>14</v>
      </c>
      <c r="I981" s="2" t="s">
        <v>15</v>
      </c>
      <c r="J981" s="2" t="s">
        <v>17</v>
      </c>
      <c r="K981" s="2" t="s">
        <v>8</v>
      </c>
      <c r="L981" s="2" t="s">
        <v>9</v>
      </c>
      <c r="M981" s="2" t="s">
        <v>20</v>
      </c>
      <c r="N981" s="2" t="s">
        <v>11</v>
      </c>
      <c r="O981" s="2" t="s">
        <v>12</v>
      </c>
      <c r="P981" s="2" t="s">
        <v>54</v>
      </c>
      <c r="Q981" s="2" t="s">
        <v>16</v>
      </c>
      <c r="R981" s="2" t="s">
        <v>18</v>
      </c>
      <c r="S981">
        <v>1</v>
      </c>
    </row>
    <row r="982" spans="1:19" x14ac:dyDescent="0.3">
      <c r="A982">
        <v>3081</v>
      </c>
      <c r="B982">
        <f>YEAR(Cleaned_HR_Data_Analysis__2[[#This Row],[Joining_Date]])</f>
        <v>2020</v>
      </c>
      <c r="C982" s="1">
        <v>44124</v>
      </c>
      <c r="D982" s="1" t="str" cm="1">
        <f t="array" ref="D982">_xlfn.IFS(E982&lt;28, "17-27",
AND(E982&gt;27, E982&lt;38), "28-37",
AND(E982&gt;37, E982 &lt;48), "38-47",
AND(E982&gt;47, E982 &lt;58), "48-57",
AND(E982&gt;57, E982&lt;68), "58-67",
AND(E982&gt;67, E982&lt;78), "68-77",
E982&gt;77,"Above than 77")</f>
        <v>38-47</v>
      </c>
      <c r="E982">
        <v>40</v>
      </c>
      <c r="F982" s="1">
        <v>29297</v>
      </c>
      <c r="G982" s="1" t="str">
        <f>VLOOKUP(H982,Table7[#All], 2, FALSE)</f>
        <v>Massachusetts</v>
      </c>
      <c r="H982" s="2" t="s">
        <v>14</v>
      </c>
      <c r="I982" s="2" t="s">
        <v>22</v>
      </c>
      <c r="J982" s="2" t="s">
        <v>17</v>
      </c>
      <c r="K982" s="2" t="s">
        <v>8</v>
      </c>
      <c r="L982" s="2" t="s">
        <v>9</v>
      </c>
      <c r="M982" s="2" t="s">
        <v>20</v>
      </c>
      <c r="N982" s="2" t="s">
        <v>11</v>
      </c>
      <c r="O982" s="2" t="s">
        <v>12</v>
      </c>
      <c r="P982" s="2" t="s">
        <v>13</v>
      </c>
      <c r="Q982" s="2" t="s">
        <v>16</v>
      </c>
      <c r="R982" s="2" t="s">
        <v>18</v>
      </c>
      <c r="S982">
        <v>3</v>
      </c>
    </row>
    <row r="983" spans="1:19" x14ac:dyDescent="0.3">
      <c r="A983">
        <v>2793</v>
      </c>
      <c r="B983">
        <f>YEAR(Cleaned_HR_Data_Analysis__2[[#This Row],[Joining_Date]])</f>
        <v>2021</v>
      </c>
      <c r="C983" s="1">
        <v>44257</v>
      </c>
      <c r="D983" s="1" t="str" cm="1">
        <f t="array" ref="D983">_xlfn.IFS(E983&lt;28, "17-27",
AND(E983&gt;27, E983&lt;38), "28-37",
AND(E983&gt;37, E983 &lt;48), "38-47",
AND(E983&gt;47, E983 &lt;58), "48-57",
AND(E983&gt;57, E983&lt;68), "58-67",
AND(E983&gt;67, E983&lt;78), "68-77",
E983&gt;77,"Above than 77")</f>
        <v>38-47</v>
      </c>
      <c r="E983">
        <v>40</v>
      </c>
      <c r="F983" s="1">
        <v>29817</v>
      </c>
      <c r="G983" s="1" t="str">
        <f>VLOOKUP(H983,Table7[#All], 2, FALSE)</f>
        <v>Massachusetts</v>
      </c>
      <c r="H983" s="2" t="s">
        <v>14</v>
      </c>
      <c r="I983" s="2" t="s">
        <v>22</v>
      </c>
      <c r="J983" s="2" t="s">
        <v>40</v>
      </c>
      <c r="K983" s="2" t="s">
        <v>8</v>
      </c>
      <c r="L983" s="2" t="s">
        <v>9</v>
      </c>
      <c r="M983" s="2" t="s">
        <v>25</v>
      </c>
      <c r="N983" s="2" t="s">
        <v>19</v>
      </c>
      <c r="O983" s="2" t="s">
        <v>12</v>
      </c>
      <c r="P983" s="2" t="s">
        <v>63</v>
      </c>
      <c r="Q983" s="2" t="s">
        <v>37</v>
      </c>
      <c r="R983" s="2" t="s">
        <v>18</v>
      </c>
      <c r="S983">
        <v>5</v>
      </c>
    </row>
    <row r="984" spans="1:19" x14ac:dyDescent="0.3">
      <c r="A984">
        <v>2028</v>
      </c>
      <c r="B984">
        <f>YEAR(Cleaned_HR_Data_Analysis__2[[#This Row],[Joining_Date]])</f>
        <v>2021</v>
      </c>
      <c r="C984" s="1">
        <v>44469</v>
      </c>
      <c r="D984" s="1" t="str" cm="1">
        <f t="array" ref="D984">_xlfn.IFS(E984&lt;28, "17-27",
AND(E984&gt;27, E984&lt;38), "28-37",
AND(E984&gt;37, E984 &lt;48), "38-47",
AND(E984&gt;47, E984 &lt;58), "48-57",
AND(E984&gt;57, E984&lt;68), "58-67",
AND(E984&gt;67, E984&lt;78), "68-77",
E984&gt;77,"Above than 77")</f>
        <v>38-47</v>
      </c>
      <c r="E984">
        <v>40</v>
      </c>
      <c r="F984" s="1">
        <v>29708</v>
      </c>
      <c r="G984" s="1" t="str">
        <f>VLOOKUP(H984,Table7[#All], 2, FALSE)</f>
        <v>Massachusetts</v>
      </c>
      <c r="H984" s="2" t="s">
        <v>14</v>
      </c>
      <c r="I984" s="2" t="s">
        <v>15</v>
      </c>
      <c r="J984" s="2" t="s">
        <v>17</v>
      </c>
      <c r="K984" s="2" t="s">
        <v>8</v>
      </c>
      <c r="L984" s="2" t="s">
        <v>66</v>
      </c>
      <c r="M984" s="2" t="s">
        <v>25</v>
      </c>
      <c r="N984" s="2" t="s">
        <v>11</v>
      </c>
      <c r="O984" s="2" t="s">
        <v>12</v>
      </c>
      <c r="P984" s="2" t="s">
        <v>35</v>
      </c>
      <c r="Q984" s="2" t="s">
        <v>23</v>
      </c>
      <c r="R984" s="2" t="s">
        <v>18</v>
      </c>
      <c r="S984">
        <v>4</v>
      </c>
    </row>
    <row r="985" spans="1:19" x14ac:dyDescent="0.3">
      <c r="A985">
        <v>1904</v>
      </c>
      <c r="B985">
        <f>YEAR(Cleaned_HR_Data_Analysis__2[[#This Row],[Joining_Date]])</f>
        <v>2022</v>
      </c>
      <c r="C985" s="1">
        <v>44872</v>
      </c>
      <c r="D985" s="1" t="str" cm="1">
        <f t="array" ref="D985">_xlfn.IFS(E985&lt;28, "17-27",
AND(E985&gt;27, E985&lt;38), "28-37",
AND(E985&gt;37, E985 &lt;48), "38-47",
AND(E985&gt;47, E985 &lt;58), "48-57",
AND(E985&gt;57, E985&lt;68), "58-67",
AND(E985&gt;67, E985&lt;78), "68-77",
E985&gt;77,"Above than 77")</f>
        <v>38-47</v>
      </c>
      <c r="E985">
        <v>40</v>
      </c>
      <c r="F985" s="1">
        <v>30235</v>
      </c>
      <c r="G985" s="1" t="str">
        <f>VLOOKUP(H985,Table7[#All], 2, FALSE)</f>
        <v>Massachusetts</v>
      </c>
      <c r="H985" s="2" t="s">
        <v>14</v>
      </c>
      <c r="I985" s="2" t="s">
        <v>15</v>
      </c>
      <c r="J985" s="2" t="s">
        <v>17</v>
      </c>
      <c r="K985" s="2" t="s">
        <v>8</v>
      </c>
      <c r="L985" s="2" t="s">
        <v>9</v>
      </c>
      <c r="M985" s="2" t="s">
        <v>10</v>
      </c>
      <c r="N985" s="2" t="s">
        <v>11</v>
      </c>
      <c r="O985" s="2" t="s">
        <v>12</v>
      </c>
      <c r="P985" s="2" t="s">
        <v>32</v>
      </c>
      <c r="Q985" s="2" t="s">
        <v>46</v>
      </c>
      <c r="R985" s="2" t="s">
        <v>18</v>
      </c>
      <c r="S985">
        <v>1</v>
      </c>
    </row>
    <row r="986" spans="1:19" x14ac:dyDescent="0.3">
      <c r="A986">
        <v>1833</v>
      </c>
      <c r="B986">
        <f>YEAR(Cleaned_HR_Data_Analysis__2[[#This Row],[Joining_Date]])</f>
        <v>2023</v>
      </c>
      <c r="C986" s="1">
        <v>44927</v>
      </c>
      <c r="D986" s="1" t="str" cm="1">
        <f t="array" ref="D986">_xlfn.IFS(E986&lt;28, "17-27",
AND(E986&gt;27, E986&lt;38), "28-37",
AND(E986&gt;37, E986 &lt;48), "38-47",
AND(E986&gt;47, E986 &lt;58), "48-57",
AND(E986&gt;57, E986&lt;68), "58-67",
AND(E986&gt;67, E986&lt;78), "68-77",
E986&gt;77,"Above than 77")</f>
        <v>38-47</v>
      </c>
      <c r="E986">
        <v>40</v>
      </c>
      <c r="F986" s="1">
        <v>30681</v>
      </c>
      <c r="G986" s="1" t="str">
        <f>VLOOKUP(H986,Table7[#All], 2, FALSE)</f>
        <v>Massachusetts</v>
      </c>
      <c r="H986" s="2" t="s">
        <v>14</v>
      </c>
      <c r="I986" s="2" t="s">
        <v>15</v>
      </c>
      <c r="J986" s="2" t="s">
        <v>34</v>
      </c>
      <c r="K986" s="2" t="s">
        <v>8</v>
      </c>
      <c r="L986" s="2" t="s">
        <v>9</v>
      </c>
      <c r="M986" s="2" t="s">
        <v>20</v>
      </c>
      <c r="N986" s="2" t="s">
        <v>26</v>
      </c>
      <c r="O986" s="2" t="s">
        <v>12</v>
      </c>
      <c r="P986" s="2" t="s">
        <v>35</v>
      </c>
      <c r="Q986" s="2" t="s">
        <v>16</v>
      </c>
      <c r="R986" s="2" t="s">
        <v>56</v>
      </c>
      <c r="S986">
        <v>3</v>
      </c>
    </row>
    <row r="987" spans="1:19" x14ac:dyDescent="0.3">
      <c r="A987">
        <v>1813</v>
      </c>
      <c r="B987">
        <f>YEAR(Cleaned_HR_Data_Analysis__2[[#This Row],[Joining_Date]])</f>
        <v>2020</v>
      </c>
      <c r="C987" s="1">
        <v>44047</v>
      </c>
      <c r="D987" s="1" t="str" cm="1">
        <f t="array" ref="D987">_xlfn.IFS(E987&lt;28, "17-27",
AND(E987&gt;27, E987&lt;38), "28-37",
AND(E987&gt;37, E987 &lt;48), "38-47",
AND(E987&gt;47, E987 &lt;58), "48-57",
AND(E987&gt;57, E987&lt;68), "58-67",
AND(E987&gt;67, E987&lt;78), "68-77",
E987&gt;77,"Above than 77")</f>
        <v>38-47</v>
      </c>
      <c r="E987">
        <v>40</v>
      </c>
      <c r="F987" s="1">
        <v>29232</v>
      </c>
      <c r="G987" s="1" t="str">
        <f>VLOOKUP(H987,Table7[#All], 2, FALSE)</f>
        <v>Massachusetts</v>
      </c>
      <c r="H987" s="2" t="s">
        <v>14</v>
      </c>
      <c r="I987" s="2" t="s">
        <v>15</v>
      </c>
      <c r="J987" s="2" t="s">
        <v>40</v>
      </c>
      <c r="K987" s="2" t="s">
        <v>8</v>
      </c>
      <c r="L987" s="2" t="s">
        <v>9</v>
      </c>
      <c r="M987" s="2" t="s">
        <v>10</v>
      </c>
      <c r="N987" s="2" t="s">
        <v>11</v>
      </c>
      <c r="O987" s="2" t="s">
        <v>12</v>
      </c>
      <c r="P987" s="2" t="s">
        <v>21</v>
      </c>
      <c r="Q987" s="2" t="s">
        <v>30</v>
      </c>
      <c r="R987" s="2" t="s">
        <v>18</v>
      </c>
      <c r="S987">
        <v>5</v>
      </c>
    </row>
    <row r="988" spans="1:19" x14ac:dyDescent="0.3">
      <c r="A988">
        <v>1808</v>
      </c>
      <c r="B988">
        <f>YEAR(Cleaned_HR_Data_Analysis__2[[#This Row],[Joining_Date]])</f>
        <v>2023</v>
      </c>
      <c r="C988" s="1">
        <v>45133</v>
      </c>
      <c r="D988" s="1" t="str" cm="1">
        <f t="array" ref="D988">_xlfn.IFS(E988&lt;28, "17-27",
AND(E988&gt;27, E988&lt;38), "28-37",
AND(E988&gt;37, E988 &lt;48), "38-47",
AND(E988&gt;47, E988 &lt;58), "48-57",
AND(E988&gt;57, E988&lt;68), "58-67",
AND(E988&gt;67, E988&lt;78), "68-77",
E988&gt;77,"Above than 77")</f>
        <v>38-47</v>
      </c>
      <c r="E988">
        <v>40</v>
      </c>
      <c r="F988" s="1">
        <v>30584</v>
      </c>
      <c r="G988" s="1" t="str">
        <f>VLOOKUP(H988,Table7[#All], 2, FALSE)</f>
        <v>Massachusetts</v>
      </c>
      <c r="H988" s="2" t="s">
        <v>14</v>
      </c>
      <c r="I988" s="2" t="s">
        <v>15</v>
      </c>
      <c r="J988" s="2" t="s">
        <v>34</v>
      </c>
      <c r="K988" s="2" t="s">
        <v>8</v>
      </c>
      <c r="L988" s="2" t="s">
        <v>9</v>
      </c>
      <c r="M988" s="2" t="s">
        <v>20</v>
      </c>
      <c r="N988" s="2" t="s">
        <v>19</v>
      </c>
      <c r="O988" s="2" t="s">
        <v>12</v>
      </c>
      <c r="P988" s="2" t="s">
        <v>49</v>
      </c>
      <c r="Q988" s="2" t="s">
        <v>37</v>
      </c>
      <c r="R988" s="2" t="s">
        <v>18</v>
      </c>
      <c r="S988">
        <v>2</v>
      </c>
    </row>
    <row r="989" spans="1:19" x14ac:dyDescent="0.3">
      <c r="A989">
        <v>1807</v>
      </c>
      <c r="B989">
        <f>YEAR(Cleaned_HR_Data_Analysis__2[[#This Row],[Joining_Date]])</f>
        <v>2019</v>
      </c>
      <c r="C989" s="1">
        <v>43712</v>
      </c>
      <c r="D989" s="1" t="str" cm="1">
        <f t="array" ref="D989">_xlfn.IFS(E989&lt;28, "17-27",
AND(E989&gt;27, E989&lt;38), "28-37",
AND(E989&gt;37, E989 &lt;48), "38-47",
AND(E989&gt;47, E989 &lt;58), "48-57",
AND(E989&gt;57, E989&lt;68), "58-67",
AND(E989&gt;67, E989&lt;78), "68-77",
E989&gt;77,"Above than 77")</f>
        <v>38-47</v>
      </c>
      <c r="E989">
        <v>40</v>
      </c>
      <c r="F989" s="1">
        <v>29172</v>
      </c>
      <c r="G989" s="1" t="str">
        <f>VLOOKUP(H989,Table7[#All], 2, FALSE)</f>
        <v>Massachusetts</v>
      </c>
      <c r="H989" s="2" t="s">
        <v>14</v>
      </c>
      <c r="I989" s="2" t="s">
        <v>15</v>
      </c>
      <c r="J989" s="2" t="s">
        <v>17</v>
      </c>
      <c r="K989" s="2" t="s">
        <v>8</v>
      </c>
      <c r="L989" s="2" t="s">
        <v>9</v>
      </c>
      <c r="M989" s="2" t="s">
        <v>10</v>
      </c>
      <c r="N989" s="2" t="s">
        <v>11</v>
      </c>
      <c r="O989" s="2" t="s">
        <v>12</v>
      </c>
      <c r="P989" s="2" t="s">
        <v>63</v>
      </c>
      <c r="Q989" s="2" t="s">
        <v>16</v>
      </c>
      <c r="R989" s="2" t="s">
        <v>18</v>
      </c>
      <c r="S989">
        <v>4</v>
      </c>
    </row>
    <row r="990" spans="1:19" x14ac:dyDescent="0.3">
      <c r="A990">
        <v>1791</v>
      </c>
      <c r="B990">
        <f>YEAR(Cleaned_HR_Data_Analysis__2[[#This Row],[Joining_Date]])</f>
        <v>2021</v>
      </c>
      <c r="C990" s="1">
        <v>44261</v>
      </c>
      <c r="D990" s="1" t="str" cm="1">
        <f t="array" ref="D990">_xlfn.IFS(E990&lt;28, "17-27",
AND(E990&gt;27, E990&lt;38), "28-37",
AND(E990&gt;37, E990 &lt;48), "38-47",
AND(E990&gt;47, E990 &lt;58), "48-57",
AND(E990&gt;57, E990&lt;68), "58-67",
AND(E990&gt;67, E990&lt;78), "68-77",
E990&gt;77,"Above than 77")</f>
        <v>38-47</v>
      </c>
      <c r="E990">
        <v>40</v>
      </c>
      <c r="F990" s="1">
        <v>29800</v>
      </c>
      <c r="G990" s="1" t="str">
        <f>VLOOKUP(H990,Table7[#All], 2, FALSE)</f>
        <v>Massachusetts</v>
      </c>
      <c r="H990" s="2" t="s">
        <v>14</v>
      </c>
      <c r="I990" s="2" t="s">
        <v>15</v>
      </c>
      <c r="J990" s="2" t="s">
        <v>40</v>
      </c>
      <c r="K990" s="2" t="s">
        <v>8</v>
      </c>
      <c r="L990" s="2" t="s">
        <v>9</v>
      </c>
      <c r="M990" s="2" t="s">
        <v>10</v>
      </c>
      <c r="N990" s="2" t="s">
        <v>19</v>
      </c>
      <c r="O990" s="2" t="s">
        <v>12</v>
      </c>
      <c r="P990" s="2" t="s">
        <v>59</v>
      </c>
      <c r="Q990" s="2" t="s">
        <v>23</v>
      </c>
      <c r="R990" s="2" t="s">
        <v>18</v>
      </c>
      <c r="S990">
        <v>5</v>
      </c>
    </row>
    <row r="991" spans="1:19" x14ac:dyDescent="0.3">
      <c r="A991">
        <v>1783</v>
      </c>
      <c r="B991">
        <f>YEAR(Cleaned_HR_Data_Analysis__2[[#This Row],[Joining_Date]])</f>
        <v>2021</v>
      </c>
      <c r="C991" s="1">
        <v>44356</v>
      </c>
      <c r="D991" s="1" t="str" cm="1">
        <f t="array" ref="D991">_xlfn.IFS(E991&lt;28, "17-27",
AND(E991&gt;27, E991&lt;38), "28-37",
AND(E991&gt;37, E991 &lt;48), "38-47",
AND(E991&gt;47, E991 &lt;58), "48-57",
AND(E991&gt;57, E991&lt;68), "58-67",
AND(E991&gt;67, E991&lt;78), "68-77",
E991&gt;77,"Above than 77")</f>
        <v>38-47</v>
      </c>
      <c r="E991">
        <v>40</v>
      </c>
      <c r="F991" s="1">
        <v>29927</v>
      </c>
      <c r="G991" s="1" t="str">
        <f>VLOOKUP(H991,Table7[#All], 2, FALSE)</f>
        <v>Massachusetts</v>
      </c>
      <c r="H991" s="2" t="s">
        <v>14</v>
      </c>
      <c r="I991" s="2" t="s">
        <v>15</v>
      </c>
      <c r="J991" s="2" t="s">
        <v>17</v>
      </c>
      <c r="K991" s="2" t="s">
        <v>8</v>
      </c>
      <c r="L991" s="2" t="s">
        <v>9</v>
      </c>
      <c r="M991" s="2" t="s">
        <v>20</v>
      </c>
      <c r="N991" s="2" t="s">
        <v>11</v>
      </c>
      <c r="O991" s="2" t="s">
        <v>12</v>
      </c>
      <c r="P991" s="2" t="s">
        <v>32</v>
      </c>
      <c r="Q991" s="2" t="s">
        <v>16</v>
      </c>
      <c r="R991" s="2" t="s">
        <v>18</v>
      </c>
      <c r="S991">
        <v>2</v>
      </c>
    </row>
    <row r="992" spans="1:19" x14ac:dyDescent="0.3">
      <c r="A992">
        <v>1752</v>
      </c>
      <c r="B992">
        <f>YEAR(Cleaned_HR_Data_Analysis__2[[#This Row],[Joining_Date]])</f>
        <v>2022</v>
      </c>
      <c r="C992" s="1">
        <v>44625</v>
      </c>
      <c r="D992" s="1" t="str" cm="1">
        <f t="array" ref="D992">_xlfn.IFS(E992&lt;28, "17-27",
AND(E992&gt;27, E992&lt;38), "28-37",
AND(E992&gt;37, E992 &lt;48), "38-47",
AND(E992&gt;47, E992 &lt;58), "48-57",
AND(E992&gt;57, E992&lt;68), "58-67",
AND(E992&gt;67, E992&lt;78), "68-77",
E992&gt;77,"Above than 77")</f>
        <v>38-47</v>
      </c>
      <c r="E992">
        <v>40</v>
      </c>
      <c r="F992" s="1">
        <v>30259</v>
      </c>
      <c r="G992" s="1" t="str">
        <f>VLOOKUP(H992,Table7[#All], 2, FALSE)</f>
        <v>Massachusetts</v>
      </c>
      <c r="H992" s="2" t="s">
        <v>14</v>
      </c>
      <c r="I992" s="2" t="s">
        <v>22</v>
      </c>
      <c r="J992" s="2" t="s">
        <v>31</v>
      </c>
      <c r="K992" s="2" t="s">
        <v>8</v>
      </c>
      <c r="L992" s="2" t="s">
        <v>9</v>
      </c>
      <c r="M992" s="2" t="s">
        <v>20</v>
      </c>
      <c r="N992" s="2" t="s">
        <v>26</v>
      </c>
      <c r="O992" s="2" t="s">
        <v>12</v>
      </c>
      <c r="P992" s="2" t="s">
        <v>32</v>
      </c>
      <c r="Q992" s="2" t="s">
        <v>16</v>
      </c>
      <c r="R992" s="2" t="s">
        <v>18</v>
      </c>
      <c r="S992">
        <v>1</v>
      </c>
    </row>
    <row r="993" spans="1:19" x14ac:dyDescent="0.3">
      <c r="A993">
        <v>1407</v>
      </c>
      <c r="B993">
        <f>YEAR(Cleaned_HR_Data_Analysis__2[[#This Row],[Joining_Date]])</f>
        <v>2023</v>
      </c>
      <c r="C993" s="1">
        <v>45020</v>
      </c>
      <c r="D993" s="1" t="str" cm="1">
        <f t="array" ref="D993">_xlfn.IFS(E993&lt;28, "17-27",
AND(E993&gt;27, E993&lt;38), "28-37",
AND(E993&gt;37, E993 &lt;48), "38-47",
AND(E993&gt;47, E993 &lt;58), "48-57",
AND(E993&gt;57, E993&lt;68), "58-67",
AND(E993&gt;67, E993&lt;78), "68-77",
E993&gt;77,"Above than 77")</f>
        <v>38-47</v>
      </c>
      <c r="E993">
        <v>40</v>
      </c>
      <c r="F993" s="1">
        <v>30405</v>
      </c>
      <c r="G993" s="1" t="str">
        <f>VLOOKUP(H993,Table7[#All], 2, FALSE)</f>
        <v>Massachusetts</v>
      </c>
      <c r="H993" s="2" t="s">
        <v>14</v>
      </c>
      <c r="I993" s="2" t="s">
        <v>22</v>
      </c>
      <c r="J993" s="2" t="s">
        <v>34</v>
      </c>
      <c r="K993" s="2" t="s">
        <v>8</v>
      </c>
      <c r="L993" s="2" t="s">
        <v>9</v>
      </c>
      <c r="M993" s="2" t="s">
        <v>25</v>
      </c>
      <c r="N993" s="2" t="s">
        <v>26</v>
      </c>
      <c r="O993" s="2" t="s">
        <v>12</v>
      </c>
      <c r="P993" s="2" t="s">
        <v>28</v>
      </c>
      <c r="Q993" s="2" t="s">
        <v>23</v>
      </c>
      <c r="R993" s="2" t="s">
        <v>41</v>
      </c>
      <c r="S993">
        <v>3</v>
      </c>
    </row>
    <row r="994" spans="1:19" x14ac:dyDescent="0.3">
      <c r="A994">
        <v>1309</v>
      </c>
      <c r="B994">
        <f>YEAR(Cleaned_HR_Data_Analysis__2[[#This Row],[Joining_Date]])</f>
        <v>2020</v>
      </c>
      <c r="C994" s="1">
        <v>44060</v>
      </c>
      <c r="D994" s="1" t="str" cm="1">
        <f t="array" ref="D994">_xlfn.IFS(E994&lt;28, "17-27",
AND(E994&gt;27, E994&lt;38), "28-37",
AND(E994&gt;37, E994 &lt;48), "38-47",
AND(E994&gt;47, E994 &lt;58), "48-57",
AND(E994&gt;57, E994&lt;68), "58-67",
AND(E994&gt;67, E994&lt;78), "68-77",
E994&gt;77,"Above than 77")</f>
        <v>38-47</v>
      </c>
      <c r="E994">
        <v>40</v>
      </c>
      <c r="F994" s="1">
        <v>29356</v>
      </c>
      <c r="G994" s="1" t="str">
        <f>VLOOKUP(H994,Table7[#All], 2, FALSE)</f>
        <v>Massachusetts</v>
      </c>
      <c r="H994" s="2" t="s">
        <v>14</v>
      </c>
      <c r="I994" s="2" t="s">
        <v>15</v>
      </c>
      <c r="J994" s="2" t="s">
        <v>17</v>
      </c>
      <c r="K994" s="2" t="s">
        <v>8</v>
      </c>
      <c r="L994" s="2" t="s">
        <v>9</v>
      </c>
      <c r="M994" s="2" t="s">
        <v>20</v>
      </c>
      <c r="N994" s="2" t="s">
        <v>11</v>
      </c>
      <c r="O994" s="2" t="s">
        <v>12</v>
      </c>
      <c r="P994" s="2" t="s">
        <v>35</v>
      </c>
      <c r="Q994" s="2" t="s">
        <v>30</v>
      </c>
      <c r="R994" s="2" t="s">
        <v>18</v>
      </c>
      <c r="S994">
        <v>1</v>
      </c>
    </row>
    <row r="995" spans="1:19" x14ac:dyDescent="0.3">
      <c r="A995">
        <v>1307</v>
      </c>
      <c r="B995">
        <f>YEAR(Cleaned_HR_Data_Analysis__2[[#This Row],[Joining_Date]])</f>
        <v>2021</v>
      </c>
      <c r="C995" s="1">
        <v>44461</v>
      </c>
      <c r="D995" s="1" t="str" cm="1">
        <f t="array" ref="D995">_xlfn.IFS(E995&lt;28, "17-27",
AND(E995&gt;27, E995&lt;38), "28-37",
AND(E995&gt;37, E995 &lt;48), "38-47",
AND(E995&gt;47, E995 &lt;58), "48-57",
AND(E995&gt;57, E995&lt;68), "58-67",
AND(E995&gt;67, E995&lt;78), "68-77",
E995&gt;77,"Above than 77")</f>
        <v>38-47</v>
      </c>
      <c r="E995">
        <v>40</v>
      </c>
      <c r="F995" s="1">
        <v>29641</v>
      </c>
      <c r="G995" s="1" t="str">
        <f>VLOOKUP(H995,Table7[#All], 2, FALSE)</f>
        <v>Massachusetts</v>
      </c>
      <c r="H995" s="2" t="s">
        <v>14</v>
      </c>
      <c r="I995" s="2" t="s">
        <v>22</v>
      </c>
      <c r="J995" s="2" t="s">
        <v>34</v>
      </c>
      <c r="K995" s="2" t="s">
        <v>8</v>
      </c>
      <c r="L995" s="2" t="s">
        <v>66</v>
      </c>
      <c r="M995" s="2" t="s">
        <v>10</v>
      </c>
      <c r="N995" s="2" t="s">
        <v>19</v>
      </c>
      <c r="O995" s="2" t="s">
        <v>12</v>
      </c>
      <c r="P995" s="2" t="s">
        <v>42</v>
      </c>
      <c r="Q995" s="2" t="s">
        <v>37</v>
      </c>
      <c r="R995" s="2" t="s">
        <v>18</v>
      </c>
      <c r="S995">
        <v>5</v>
      </c>
    </row>
    <row r="996" spans="1:19" x14ac:dyDescent="0.3">
      <c r="A996">
        <v>2376</v>
      </c>
      <c r="B996">
        <f>YEAR(Cleaned_HR_Data_Analysis__2[[#This Row],[Joining_Date]])</f>
        <v>2023</v>
      </c>
      <c r="C996" s="1">
        <v>45025</v>
      </c>
      <c r="D996" s="1" t="str" cm="1">
        <f t="array" ref="D996">_xlfn.IFS(E996&lt;28, "17-27",
AND(E996&gt;27, E996&lt;38), "28-37",
AND(E996&gt;37, E996 &lt;48), "38-47",
AND(E996&gt;47, E996 &lt;58), "48-57",
AND(E996&gt;57, E996&lt;68), "58-67",
AND(E996&gt;67, E996&lt;78), "68-77",
E996&gt;77,"Above than 77")</f>
        <v>38-47</v>
      </c>
      <c r="E996">
        <v>40</v>
      </c>
      <c r="F996" s="1">
        <v>30599</v>
      </c>
      <c r="G996" s="1" t="str">
        <f>VLOOKUP(H996,Table7[#All], 2, FALSE)</f>
        <v>Massachusetts</v>
      </c>
      <c r="H996" s="2" t="s">
        <v>14</v>
      </c>
      <c r="I996" s="2" t="s">
        <v>15</v>
      </c>
      <c r="J996" s="2" t="s">
        <v>40</v>
      </c>
      <c r="K996" s="2" t="s">
        <v>91</v>
      </c>
      <c r="L996" s="2" t="s">
        <v>9</v>
      </c>
      <c r="M996" s="2" t="s">
        <v>25</v>
      </c>
      <c r="N996" s="2" t="s">
        <v>19</v>
      </c>
      <c r="O996" s="2" t="s">
        <v>12</v>
      </c>
      <c r="P996" s="2" t="s">
        <v>35</v>
      </c>
      <c r="Q996" s="2" t="s">
        <v>46</v>
      </c>
      <c r="R996" s="2" t="s">
        <v>18</v>
      </c>
      <c r="S996">
        <v>2</v>
      </c>
    </row>
    <row r="997" spans="1:19" x14ac:dyDescent="0.3">
      <c r="A997">
        <v>1252</v>
      </c>
      <c r="B997">
        <f>YEAR(Cleaned_HR_Data_Analysis__2[[#This Row],[Joining_Date]])</f>
        <v>2022</v>
      </c>
      <c r="C997" s="1">
        <v>44631</v>
      </c>
      <c r="D997" s="1" t="str" cm="1">
        <f t="array" ref="D997">_xlfn.IFS(E997&lt;28, "17-27",
AND(E997&gt;27, E997&lt;38), "28-37",
AND(E997&gt;37, E997 &lt;48), "38-47",
AND(E997&gt;47, E997 &lt;58), "48-57",
AND(E997&gt;57, E997&lt;68), "58-67",
AND(E997&gt;67, E997&lt;78), "68-77",
E997&gt;77,"Above than 77")</f>
        <v>38-47</v>
      </c>
      <c r="E997">
        <v>40</v>
      </c>
      <c r="F997" s="1">
        <v>30003</v>
      </c>
      <c r="G997" s="1" t="str">
        <f>VLOOKUP(H997,Table7[#All], 2, FALSE)</f>
        <v>Massachusetts</v>
      </c>
      <c r="H997" s="2" t="s">
        <v>14</v>
      </c>
      <c r="I997" s="2" t="s">
        <v>15</v>
      </c>
      <c r="J997" s="2" t="s">
        <v>40</v>
      </c>
      <c r="K997" s="2" t="s">
        <v>91</v>
      </c>
      <c r="L997" s="2" t="s">
        <v>9</v>
      </c>
      <c r="M997" s="2" t="s">
        <v>20</v>
      </c>
      <c r="N997" s="2" t="s">
        <v>19</v>
      </c>
      <c r="O997" s="2" t="s">
        <v>12</v>
      </c>
      <c r="P997" s="2" t="s">
        <v>54</v>
      </c>
      <c r="Q997" s="2" t="s">
        <v>46</v>
      </c>
      <c r="R997" s="2" t="s">
        <v>18</v>
      </c>
      <c r="S997">
        <v>3</v>
      </c>
    </row>
    <row r="998" spans="1:19" x14ac:dyDescent="0.3">
      <c r="A998">
        <v>1208</v>
      </c>
      <c r="B998">
        <f>YEAR(Cleaned_HR_Data_Analysis__2[[#This Row],[Joining_Date]])</f>
        <v>2019</v>
      </c>
      <c r="C998" s="1">
        <v>43694</v>
      </c>
      <c r="D998" s="1" t="str" cm="1">
        <f t="array" ref="D998">_xlfn.IFS(E998&lt;28, "17-27",
AND(E998&gt;27, E998&lt;38), "28-37",
AND(E998&gt;37, E998 &lt;48), "38-47",
AND(E998&gt;47, E998 &lt;58), "48-57",
AND(E998&gt;57, E998&lt;68), "58-67",
AND(E998&gt;67, E998&lt;78), "68-77",
E998&gt;77,"Above than 77")</f>
        <v>38-47</v>
      </c>
      <c r="E998">
        <v>40</v>
      </c>
      <c r="F998" s="1">
        <v>29219</v>
      </c>
      <c r="G998" s="1" t="str">
        <f>VLOOKUP(H998,Table7[#All], 2, FALSE)</f>
        <v>Massachusetts</v>
      </c>
      <c r="H998" s="2" t="s">
        <v>14</v>
      </c>
      <c r="I998" s="2" t="s">
        <v>15</v>
      </c>
      <c r="J998" s="2" t="s">
        <v>31</v>
      </c>
      <c r="K998" s="2" t="s">
        <v>91</v>
      </c>
      <c r="L998" s="2" t="s">
        <v>9</v>
      </c>
      <c r="M998" s="2" t="s">
        <v>10</v>
      </c>
      <c r="N998" s="2" t="s">
        <v>19</v>
      </c>
      <c r="O998" s="2" t="s">
        <v>12</v>
      </c>
      <c r="P998" s="2" t="s">
        <v>59</v>
      </c>
      <c r="Q998" s="2" t="s">
        <v>37</v>
      </c>
      <c r="R998" s="2" t="s">
        <v>18</v>
      </c>
      <c r="S998">
        <v>1</v>
      </c>
    </row>
    <row r="999" spans="1:19" x14ac:dyDescent="0.3">
      <c r="A999">
        <v>1121</v>
      </c>
      <c r="B999">
        <f>YEAR(Cleaned_HR_Data_Analysis__2[[#This Row],[Joining_Date]])</f>
        <v>2021</v>
      </c>
      <c r="C999" s="1">
        <v>44271</v>
      </c>
      <c r="D999" s="1" t="str" cm="1">
        <f t="array" ref="D999">_xlfn.IFS(E999&lt;28, "17-27",
AND(E999&gt;27, E999&lt;38), "28-37",
AND(E999&gt;37, E999 &lt;48), "38-47",
AND(E999&gt;47, E999 &lt;58), "48-57",
AND(E999&gt;57, E999&lt;68), "58-67",
AND(E999&gt;67, E999&lt;78), "68-77",
E999&gt;77,"Above than 77")</f>
        <v>38-47</v>
      </c>
      <c r="E999">
        <v>40</v>
      </c>
      <c r="F999" s="1">
        <v>29735</v>
      </c>
      <c r="G999" s="1" t="str">
        <f>VLOOKUP(H999,Table7[#All], 2, FALSE)</f>
        <v>Massachusetts</v>
      </c>
      <c r="H999" s="2" t="s">
        <v>14</v>
      </c>
      <c r="I999" s="2" t="s">
        <v>15</v>
      </c>
      <c r="J999" s="2" t="s">
        <v>17</v>
      </c>
      <c r="K999" s="2" t="s">
        <v>91</v>
      </c>
      <c r="L999" s="2" t="s">
        <v>9</v>
      </c>
      <c r="M999" s="2" t="s">
        <v>20</v>
      </c>
      <c r="N999" s="2" t="s">
        <v>11</v>
      </c>
      <c r="O999" s="2" t="s">
        <v>12</v>
      </c>
      <c r="P999" s="2" t="s">
        <v>21</v>
      </c>
      <c r="Q999" s="2" t="s">
        <v>23</v>
      </c>
      <c r="R999" s="2" t="s">
        <v>18</v>
      </c>
      <c r="S999">
        <v>1</v>
      </c>
    </row>
    <row r="1000" spans="1:19" x14ac:dyDescent="0.3">
      <c r="A1000">
        <v>3889</v>
      </c>
      <c r="B1000">
        <f>YEAR(Cleaned_HR_Data_Analysis__2[[#This Row],[Joining_Date]])</f>
        <v>2022</v>
      </c>
      <c r="C1000" s="1">
        <v>44809</v>
      </c>
      <c r="D1000" s="1" t="str" cm="1">
        <f t="array" ref="D1000">_xlfn.IFS(E1000&lt;28, "17-27",
AND(E1000&gt;27, E1000&lt;38), "28-37",
AND(E1000&gt;37, E1000 &lt;48), "38-47",
AND(E1000&gt;47, E1000 &lt;58), "48-57",
AND(E1000&gt;57, E1000&lt;68), "58-67",
AND(E1000&gt;67, E1000&lt;78), "68-77",
E1000&gt;77,"Above than 77")</f>
        <v>38-47</v>
      </c>
      <c r="E1000">
        <v>40</v>
      </c>
      <c r="F1000" s="1">
        <v>30239</v>
      </c>
      <c r="G1000" s="1" t="str">
        <f>VLOOKUP(H1000,Table7[#All], 2, FALSE)</f>
        <v>Massachusetts</v>
      </c>
      <c r="H1000" s="2" t="s">
        <v>14</v>
      </c>
      <c r="I1000" s="2" t="s">
        <v>22</v>
      </c>
      <c r="J1000" s="2" t="s">
        <v>31</v>
      </c>
      <c r="K1000" s="2" t="s">
        <v>71</v>
      </c>
      <c r="L1000" s="2" t="s">
        <v>9</v>
      </c>
      <c r="M1000" s="2" t="s">
        <v>10</v>
      </c>
      <c r="N1000" s="2" t="s">
        <v>26</v>
      </c>
      <c r="O1000" s="2" t="s">
        <v>73</v>
      </c>
      <c r="P1000" s="2" t="s">
        <v>32</v>
      </c>
      <c r="Q1000" s="2" t="s">
        <v>37</v>
      </c>
      <c r="R1000" s="2" t="s">
        <v>18</v>
      </c>
      <c r="S1000">
        <v>1</v>
      </c>
    </row>
    <row r="1001" spans="1:19" x14ac:dyDescent="0.3">
      <c r="A1001">
        <v>2241</v>
      </c>
      <c r="B1001">
        <f>YEAR(Cleaned_HR_Data_Analysis__2[[#This Row],[Joining_Date]])</f>
        <v>2021</v>
      </c>
      <c r="C1001" s="1">
        <v>44371</v>
      </c>
      <c r="D1001" s="1" t="str" cm="1">
        <f t="array" ref="D1001">_xlfn.IFS(E1001&lt;28, "17-27",
AND(E1001&gt;27, E1001&lt;38), "28-37",
AND(E1001&gt;37, E1001 &lt;48), "38-47",
AND(E1001&gt;47, E1001 &lt;58), "48-57",
AND(E1001&gt;57, E1001&lt;68), "58-67",
AND(E1001&gt;67, E1001&lt;78), "68-77",
E1001&gt;77,"Above than 77")</f>
        <v>38-47</v>
      </c>
      <c r="E1001">
        <v>40</v>
      </c>
      <c r="F1001" s="1">
        <v>29738</v>
      </c>
      <c r="G1001" s="1" t="str">
        <f>VLOOKUP(H1001,Table7[#All], 2, FALSE)</f>
        <v>Massachusetts</v>
      </c>
      <c r="H1001" s="2" t="s">
        <v>14</v>
      </c>
      <c r="I1001" s="2" t="s">
        <v>15</v>
      </c>
      <c r="J1001" s="2" t="s">
        <v>34</v>
      </c>
      <c r="K1001" s="2" t="s">
        <v>70</v>
      </c>
      <c r="L1001" s="2" t="s">
        <v>9</v>
      </c>
      <c r="M1001" s="2" t="s">
        <v>20</v>
      </c>
      <c r="N1001" s="2" t="s">
        <v>11</v>
      </c>
      <c r="O1001" s="2" t="s">
        <v>53</v>
      </c>
      <c r="P1001" s="2" t="s">
        <v>68</v>
      </c>
      <c r="Q1001" s="2" t="s">
        <v>23</v>
      </c>
      <c r="R1001" s="2" t="s">
        <v>18</v>
      </c>
      <c r="S1001">
        <v>4</v>
      </c>
    </row>
    <row r="1002" spans="1:19" x14ac:dyDescent="0.3">
      <c r="A1002">
        <v>2477</v>
      </c>
      <c r="B1002">
        <f>YEAR(Cleaned_HR_Data_Analysis__2[[#This Row],[Joining_Date]])</f>
        <v>2022</v>
      </c>
      <c r="C1002" s="1">
        <v>44592</v>
      </c>
      <c r="D1002" s="1" t="str" cm="1">
        <f t="array" ref="D1002">_xlfn.IFS(E1002&lt;28, "17-27",
AND(E1002&gt;27, E1002&lt;38), "28-37",
AND(E1002&gt;37, E1002 &lt;48), "38-47",
AND(E1002&gt;47, E1002 &lt;58), "48-57",
AND(E1002&gt;57, E1002&lt;68), "58-67",
AND(E1002&gt;67, E1002&lt;78), "68-77",
E1002&gt;77,"Above than 77")</f>
        <v>38-47</v>
      </c>
      <c r="E1002">
        <v>40</v>
      </c>
      <c r="F1002" s="1">
        <v>30208</v>
      </c>
      <c r="G1002" s="1" t="str">
        <f>VLOOKUP(H1002,Table7[#All], 2, FALSE)</f>
        <v>Rhode Island</v>
      </c>
      <c r="H1002" s="2" t="s">
        <v>105</v>
      </c>
      <c r="I1002" s="2" t="s">
        <v>15</v>
      </c>
      <c r="J1002" s="2" t="s">
        <v>40</v>
      </c>
      <c r="K1002" s="2" t="s">
        <v>104</v>
      </c>
      <c r="L1002" s="2" t="s">
        <v>9</v>
      </c>
      <c r="M1002" s="2" t="s">
        <v>10</v>
      </c>
      <c r="N1002" s="2" t="s">
        <v>19</v>
      </c>
      <c r="O1002" s="2" t="s">
        <v>27</v>
      </c>
      <c r="P1002" s="2" t="s">
        <v>35</v>
      </c>
      <c r="Q1002" s="2" t="s">
        <v>46</v>
      </c>
      <c r="R1002" s="2" t="s">
        <v>18</v>
      </c>
      <c r="S1002">
        <v>4</v>
      </c>
    </row>
    <row r="1003" spans="1:19" x14ac:dyDescent="0.3">
      <c r="A1003">
        <v>2425</v>
      </c>
      <c r="B1003">
        <f>YEAR(Cleaned_HR_Data_Analysis__2[[#This Row],[Joining_Date]])</f>
        <v>2022</v>
      </c>
      <c r="C1003" s="1">
        <v>44731</v>
      </c>
      <c r="D1003" s="1" t="str" cm="1">
        <f t="array" ref="D1003">_xlfn.IFS(E1003&lt;28, "17-27",
AND(E1003&gt;27, E1003&lt;38), "28-37",
AND(E1003&gt;37, E1003 &lt;48), "38-47",
AND(E1003&gt;47, E1003 &lt;58), "48-57",
AND(E1003&gt;57, E1003&lt;68), "58-67",
AND(E1003&gt;67, E1003&lt;78), "68-77",
E1003&gt;77,"Above than 77")</f>
        <v>38-47</v>
      </c>
      <c r="E1003">
        <v>40</v>
      </c>
      <c r="F1003" s="1">
        <v>30117</v>
      </c>
      <c r="G1003" s="1" t="str">
        <f>VLOOKUP(H1003,Table7[#All], 2, FALSE)</f>
        <v>Massachusetts</v>
      </c>
      <c r="H1003" s="2" t="s">
        <v>14</v>
      </c>
      <c r="I1003" s="2" t="s">
        <v>22</v>
      </c>
      <c r="J1003" s="2" t="s">
        <v>40</v>
      </c>
      <c r="K1003" s="2" t="s">
        <v>106</v>
      </c>
      <c r="L1003" s="2" t="s">
        <v>9</v>
      </c>
      <c r="M1003" s="2" t="s">
        <v>10</v>
      </c>
      <c r="N1003" s="2" t="s">
        <v>11</v>
      </c>
      <c r="O1003" s="2" t="s">
        <v>12</v>
      </c>
      <c r="P1003" s="2" t="s">
        <v>59</v>
      </c>
      <c r="Q1003" s="2" t="s">
        <v>46</v>
      </c>
      <c r="R1003" s="2" t="s">
        <v>18</v>
      </c>
      <c r="S1003">
        <v>2</v>
      </c>
    </row>
    <row r="1004" spans="1:19" x14ac:dyDescent="0.3">
      <c r="A1004">
        <v>3987</v>
      </c>
      <c r="B1004">
        <f>YEAR(Cleaned_HR_Data_Analysis__2[[#This Row],[Joining_Date]])</f>
        <v>2022</v>
      </c>
      <c r="C1004" s="1">
        <v>44617</v>
      </c>
      <c r="D1004" s="1" t="str" cm="1">
        <f t="array" ref="D1004">_xlfn.IFS(E1004&lt;28, "17-27",
AND(E1004&gt;27, E1004&lt;38), "28-37",
AND(E1004&gt;37, E1004 &lt;48), "38-47",
AND(E1004&gt;47, E1004 &lt;58), "48-57",
AND(E1004&gt;57, E1004&lt;68), "58-67",
AND(E1004&gt;67, E1004&lt;78), "68-77",
E1004&gt;77,"Above than 77")</f>
        <v>38-47</v>
      </c>
      <c r="E1004">
        <v>40</v>
      </c>
      <c r="F1004" s="1">
        <v>30074</v>
      </c>
      <c r="G1004" s="1" t="str">
        <f>VLOOKUP(H1004,Table7[#All], 2, FALSE)</f>
        <v>Texas</v>
      </c>
      <c r="H1004" s="2" t="s">
        <v>45</v>
      </c>
      <c r="I1004" s="2" t="s">
        <v>22</v>
      </c>
      <c r="J1004" s="2" t="s">
        <v>17</v>
      </c>
      <c r="K1004" s="2" t="s">
        <v>81</v>
      </c>
      <c r="L1004" s="2" t="s">
        <v>66</v>
      </c>
      <c r="M1004" s="2" t="s">
        <v>25</v>
      </c>
      <c r="N1004" s="2" t="s">
        <v>19</v>
      </c>
      <c r="O1004" s="2" t="s">
        <v>53</v>
      </c>
      <c r="P1004" s="2" t="s">
        <v>60</v>
      </c>
      <c r="Q1004" s="2" t="s">
        <v>30</v>
      </c>
      <c r="R1004" s="2" t="s">
        <v>41</v>
      </c>
      <c r="S1004">
        <v>4</v>
      </c>
    </row>
    <row r="1005" spans="1:19" x14ac:dyDescent="0.3">
      <c r="A1005">
        <v>3497</v>
      </c>
      <c r="B1005">
        <f>YEAR(Cleaned_HR_Data_Analysis__2[[#This Row],[Joining_Date]])</f>
        <v>2021</v>
      </c>
      <c r="C1005" s="1">
        <v>44538</v>
      </c>
      <c r="D1005" s="1" t="str" cm="1">
        <f t="array" ref="D1005">_xlfn.IFS(E1005&lt;28, "17-27",
AND(E1005&gt;27, E1005&lt;38), "28-37",
AND(E1005&gt;37, E1005 &lt;48), "38-47",
AND(E1005&gt;47, E1005 &lt;58), "48-57",
AND(E1005&gt;57, E1005&lt;68), "58-67",
AND(E1005&gt;67, E1005&lt;78), "68-77",
E1005&gt;77,"Above than 77")</f>
        <v>38-47</v>
      </c>
      <c r="E1005">
        <v>40</v>
      </c>
      <c r="F1005" s="1">
        <v>29635</v>
      </c>
      <c r="G1005" s="1" t="str">
        <f>VLOOKUP(H1005,Table7[#All], 2, FALSE)</f>
        <v>Oregon</v>
      </c>
      <c r="H1005" s="2" t="s">
        <v>43</v>
      </c>
      <c r="I1005" s="2" t="s">
        <v>15</v>
      </c>
      <c r="J1005" s="2" t="s">
        <v>17</v>
      </c>
      <c r="K1005" s="2" t="s">
        <v>24</v>
      </c>
      <c r="L1005" s="2" t="s">
        <v>9</v>
      </c>
      <c r="M1005" s="2" t="s">
        <v>20</v>
      </c>
      <c r="N1005" s="2" t="s">
        <v>11</v>
      </c>
      <c r="O1005" s="2" t="s">
        <v>27</v>
      </c>
      <c r="P1005" s="2" t="s">
        <v>54</v>
      </c>
      <c r="Q1005" s="2" t="s">
        <v>23</v>
      </c>
      <c r="R1005" s="2" t="s">
        <v>18</v>
      </c>
      <c r="S1005">
        <v>3</v>
      </c>
    </row>
    <row r="1006" spans="1:19" x14ac:dyDescent="0.3">
      <c r="A1006">
        <v>2586</v>
      </c>
      <c r="B1006">
        <f>YEAR(Cleaned_HR_Data_Analysis__2[[#This Row],[Joining_Date]])</f>
        <v>2020</v>
      </c>
      <c r="C1006" s="1">
        <v>43936</v>
      </c>
      <c r="D1006" s="1" t="str" cm="1">
        <f t="array" ref="D1006">_xlfn.IFS(E1006&lt;28, "17-27",
AND(E1006&gt;27, E1006&lt;38), "28-37",
AND(E1006&gt;37, E1006 &lt;48), "38-47",
AND(E1006&gt;47, E1006 &lt;58), "48-57",
AND(E1006&gt;57, E1006&lt;68), "58-67",
AND(E1006&gt;67, E1006&lt;78), "68-77",
E1006&gt;77,"Above than 77")</f>
        <v>38-47</v>
      </c>
      <c r="E1006">
        <v>40</v>
      </c>
      <c r="F1006" s="1">
        <v>29336</v>
      </c>
      <c r="G1006" s="1" t="str">
        <f>VLOOKUP(H1006,Table7[#All], 2, FALSE)</f>
        <v>North Carolina</v>
      </c>
      <c r="H1006" s="2" t="s">
        <v>121</v>
      </c>
      <c r="I1006" s="2" t="s">
        <v>22</v>
      </c>
      <c r="J1006" s="2" t="s">
        <v>40</v>
      </c>
      <c r="K1006" s="2" t="s">
        <v>24</v>
      </c>
      <c r="L1006" s="2" t="s">
        <v>9</v>
      </c>
      <c r="M1006" s="2" t="s">
        <v>25</v>
      </c>
      <c r="N1006" s="2" t="s">
        <v>26</v>
      </c>
      <c r="O1006" s="2" t="s">
        <v>27</v>
      </c>
      <c r="P1006" s="2" t="s">
        <v>35</v>
      </c>
      <c r="Q1006" s="2" t="s">
        <v>46</v>
      </c>
      <c r="R1006" s="2" t="s">
        <v>18</v>
      </c>
      <c r="S1006">
        <v>4</v>
      </c>
    </row>
    <row r="1007" spans="1:19" x14ac:dyDescent="0.3">
      <c r="A1007">
        <v>3453</v>
      </c>
      <c r="B1007">
        <f>YEAR(Cleaned_HR_Data_Analysis__2[[#This Row],[Joining_Date]])</f>
        <v>2022</v>
      </c>
      <c r="C1007" s="1">
        <v>44847</v>
      </c>
      <c r="D1007" s="1" t="str" cm="1">
        <f t="array" ref="D1007">_xlfn.IFS(E1007&lt;28, "17-27",
AND(E1007&gt;27, E1007&lt;38), "28-37",
AND(E1007&gt;37, E1007 &lt;48), "38-47",
AND(E1007&gt;47, E1007 &lt;58), "48-57",
AND(E1007&gt;57, E1007&lt;68), "58-67",
AND(E1007&gt;67, E1007&lt;78), "68-77",
E1007&gt;77,"Above than 77")</f>
        <v>38-47</v>
      </c>
      <c r="E1007">
        <v>40</v>
      </c>
      <c r="F1007" s="1">
        <v>30048</v>
      </c>
      <c r="G1007" s="1" t="str">
        <f>VLOOKUP(H1007,Table7[#All], 2, FALSE)</f>
        <v>Massachusetts</v>
      </c>
      <c r="H1007" s="2" t="s">
        <v>14</v>
      </c>
      <c r="I1007" s="2" t="s">
        <v>22</v>
      </c>
      <c r="J1007" s="2" t="s">
        <v>17</v>
      </c>
      <c r="K1007" s="2" t="s">
        <v>24</v>
      </c>
      <c r="L1007" s="2" t="s">
        <v>9</v>
      </c>
      <c r="M1007" s="2" t="s">
        <v>10</v>
      </c>
      <c r="N1007" s="2" t="s">
        <v>11</v>
      </c>
      <c r="O1007" s="2" t="s">
        <v>27</v>
      </c>
      <c r="P1007" s="2" t="s">
        <v>55</v>
      </c>
      <c r="Q1007" s="2" t="s">
        <v>16</v>
      </c>
      <c r="R1007" s="2" t="s">
        <v>18</v>
      </c>
      <c r="S1007">
        <v>5</v>
      </c>
    </row>
    <row r="1008" spans="1:19" x14ac:dyDescent="0.3">
      <c r="A1008">
        <v>3886</v>
      </c>
      <c r="B1008">
        <f>YEAR(Cleaned_HR_Data_Analysis__2[[#This Row],[Joining_Date]])</f>
        <v>2018</v>
      </c>
      <c r="C1008" s="1">
        <v>43385</v>
      </c>
      <c r="D1008" s="1" t="str" cm="1">
        <f t="array" ref="D1008">_xlfn.IFS(E1008&lt;28, "17-27",
AND(E1008&gt;27, E1008&lt;38), "28-37",
AND(E1008&gt;37, E1008 &lt;48), "38-47",
AND(E1008&gt;47, E1008 &lt;58), "48-57",
AND(E1008&gt;57, E1008&lt;68), "58-67",
AND(E1008&gt;67, E1008&lt;78), "68-77",
E1008&gt;77,"Above than 77")</f>
        <v>38-47</v>
      </c>
      <c r="E1008">
        <v>41</v>
      </c>
      <c r="F1008" s="1">
        <v>28465</v>
      </c>
      <c r="G1008" s="1" t="str">
        <f>VLOOKUP(H1008,Table7[#All], 2, FALSE)</f>
        <v>Connecticut</v>
      </c>
      <c r="H1008" s="2" t="s">
        <v>36</v>
      </c>
      <c r="I1008" s="2" t="s">
        <v>22</v>
      </c>
      <c r="J1008" s="2" t="s">
        <v>31</v>
      </c>
      <c r="K1008" s="2" t="s">
        <v>72</v>
      </c>
      <c r="L1008" s="2" t="s">
        <v>9</v>
      </c>
      <c r="M1008" s="2" t="s">
        <v>20</v>
      </c>
      <c r="N1008" s="2" t="s">
        <v>26</v>
      </c>
      <c r="O1008" s="2" t="s">
        <v>53</v>
      </c>
      <c r="P1008" s="2" t="s">
        <v>61</v>
      </c>
      <c r="Q1008" s="2" t="s">
        <v>30</v>
      </c>
      <c r="R1008" s="2" t="s">
        <v>18</v>
      </c>
      <c r="S1008">
        <v>2</v>
      </c>
    </row>
    <row r="1009" spans="1:19" x14ac:dyDescent="0.3">
      <c r="A1009">
        <v>2493</v>
      </c>
      <c r="B1009">
        <f>YEAR(Cleaned_HR_Data_Analysis__2[[#This Row],[Joining_Date]])</f>
        <v>2022</v>
      </c>
      <c r="C1009" s="1">
        <v>44898</v>
      </c>
      <c r="D1009" s="1" t="str" cm="1">
        <f t="array" ref="D1009">_xlfn.IFS(E1009&lt;28, "17-27",
AND(E1009&gt;27, E1009&lt;38), "28-37",
AND(E1009&gt;37, E1009 &lt;48), "38-47",
AND(E1009&gt;47, E1009 &lt;58), "48-57",
AND(E1009&gt;57, E1009&lt;68), "58-67",
AND(E1009&gt;67, E1009&lt;78), "68-77",
E1009&gt;77,"Above than 77")</f>
        <v>38-47</v>
      </c>
      <c r="E1009">
        <v>41</v>
      </c>
      <c r="F1009" s="1">
        <v>29722</v>
      </c>
      <c r="G1009" s="1" t="str">
        <f>VLOOKUP(H1009,Table7[#All], 2, FALSE)</f>
        <v>Massachusetts</v>
      </c>
      <c r="H1009" s="2" t="s">
        <v>14</v>
      </c>
      <c r="I1009" s="2" t="s">
        <v>22</v>
      </c>
      <c r="J1009" s="2" t="s">
        <v>40</v>
      </c>
      <c r="K1009" s="2" t="s">
        <v>86</v>
      </c>
      <c r="L1009" s="2" t="s">
        <v>9</v>
      </c>
      <c r="M1009" s="2" t="s">
        <v>10</v>
      </c>
      <c r="N1009" s="2" t="s">
        <v>11</v>
      </c>
      <c r="O1009" s="2" t="s">
        <v>87</v>
      </c>
      <c r="P1009" s="2" t="s">
        <v>35</v>
      </c>
      <c r="Q1009" s="2" t="s">
        <v>37</v>
      </c>
      <c r="R1009" s="2" t="s">
        <v>18</v>
      </c>
      <c r="S1009">
        <v>3</v>
      </c>
    </row>
    <row r="1010" spans="1:19" x14ac:dyDescent="0.3">
      <c r="A1010">
        <v>1072</v>
      </c>
      <c r="B1010">
        <f>YEAR(Cleaned_HR_Data_Analysis__2[[#This Row],[Joining_Date]])</f>
        <v>2018</v>
      </c>
      <c r="C1010" s="1">
        <v>43461</v>
      </c>
      <c r="D1010" s="1" t="str" cm="1">
        <f t="array" ref="D1010">_xlfn.IFS(E1010&lt;28, "17-27",
AND(E1010&gt;27, E1010&lt;38), "28-37",
AND(E1010&gt;37, E1010 &lt;48), "38-47",
AND(E1010&gt;47, E1010 &lt;58), "48-57",
AND(E1010&gt;57, E1010&lt;68), "58-67",
AND(E1010&gt;67, E1010&lt;78), "68-77",
E1010&gt;77,"Above than 77")</f>
        <v>38-47</v>
      </c>
      <c r="E1010">
        <v>41</v>
      </c>
      <c r="F1010" s="1">
        <v>28145</v>
      </c>
      <c r="G1010" s="1" t="str">
        <f>VLOOKUP(H1010,Table7[#All], 2, FALSE)</f>
        <v>Massachusetts</v>
      </c>
      <c r="H1010" s="2" t="s">
        <v>14</v>
      </c>
      <c r="I1010" s="2" t="s">
        <v>15</v>
      </c>
      <c r="J1010" s="2" t="s">
        <v>17</v>
      </c>
      <c r="K1010" s="2" t="s">
        <v>86</v>
      </c>
      <c r="L1010" s="2" t="s">
        <v>9</v>
      </c>
      <c r="M1010" s="2" t="s">
        <v>20</v>
      </c>
      <c r="N1010" s="2" t="s">
        <v>11</v>
      </c>
      <c r="O1010" s="2" t="s">
        <v>87</v>
      </c>
      <c r="P1010" s="2" t="s">
        <v>35</v>
      </c>
      <c r="Q1010" s="2" t="s">
        <v>46</v>
      </c>
      <c r="R1010" s="2" t="s">
        <v>18</v>
      </c>
      <c r="S1010">
        <v>2</v>
      </c>
    </row>
    <row r="1011" spans="1:19" x14ac:dyDescent="0.3">
      <c r="A1011">
        <v>1051</v>
      </c>
      <c r="B1011">
        <f>YEAR(Cleaned_HR_Data_Analysis__2[[#This Row],[Joining_Date]])</f>
        <v>2022</v>
      </c>
      <c r="C1011" s="1">
        <v>44659</v>
      </c>
      <c r="D1011" s="1" t="str" cm="1">
        <f t="array" ref="D1011">_xlfn.IFS(E1011&lt;28, "17-27",
AND(E1011&gt;27, E1011&lt;38), "28-37",
AND(E1011&gt;37, E1011 &lt;48), "38-47",
AND(E1011&gt;47, E1011 &lt;58), "48-57",
AND(E1011&gt;57, E1011&lt;68), "58-67",
AND(E1011&gt;67, E1011&lt;78), "68-77",
E1011&gt;77,"Above than 77")</f>
        <v>38-47</v>
      </c>
      <c r="E1011">
        <v>41</v>
      </c>
      <c r="F1011" s="1">
        <v>29705</v>
      </c>
      <c r="G1011" s="1" t="str">
        <f>VLOOKUP(H1011,Table7[#All], 2, FALSE)</f>
        <v>Massachusetts</v>
      </c>
      <c r="H1011" s="2" t="s">
        <v>14</v>
      </c>
      <c r="I1011" s="2" t="s">
        <v>22</v>
      </c>
      <c r="J1011" s="2" t="s">
        <v>40</v>
      </c>
      <c r="K1011" s="2" t="s">
        <v>86</v>
      </c>
      <c r="L1011" s="2" t="s">
        <v>9</v>
      </c>
      <c r="M1011" s="2" t="s">
        <v>25</v>
      </c>
      <c r="N1011" s="2" t="s">
        <v>11</v>
      </c>
      <c r="O1011" s="2" t="s">
        <v>87</v>
      </c>
      <c r="P1011" s="2" t="s">
        <v>35</v>
      </c>
      <c r="Q1011" s="2" t="s">
        <v>16</v>
      </c>
      <c r="R1011" s="2" t="s">
        <v>18</v>
      </c>
      <c r="S1011">
        <v>4</v>
      </c>
    </row>
    <row r="1012" spans="1:19" x14ac:dyDescent="0.3">
      <c r="A1012">
        <v>1029</v>
      </c>
      <c r="B1012">
        <f>YEAR(Cleaned_HR_Data_Analysis__2[[#This Row],[Joining_Date]])</f>
        <v>2020</v>
      </c>
      <c r="C1012" s="1">
        <v>43949</v>
      </c>
      <c r="D1012" s="1" t="str" cm="1">
        <f t="array" ref="D1012">_xlfn.IFS(E1012&lt;28, "17-27",
AND(E1012&gt;27, E1012&lt;38), "28-37",
AND(E1012&gt;37, E1012 &lt;48), "38-47",
AND(E1012&gt;47, E1012 &lt;58), "48-57",
AND(E1012&gt;57, E1012&lt;68), "58-67",
AND(E1012&gt;67, E1012&lt;78), "68-77",
E1012&gt;77,"Above than 77")</f>
        <v>38-47</v>
      </c>
      <c r="E1012">
        <v>41</v>
      </c>
      <c r="F1012" s="1">
        <v>29007</v>
      </c>
      <c r="G1012" s="1" t="str">
        <f>VLOOKUP(H1012,Table7[#All], 2, FALSE)</f>
        <v>Massachusetts</v>
      </c>
      <c r="H1012" s="2" t="s">
        <v>14</v>
      </c>
      <c r="I1012" s="2" t="s">
        <v>15</v>
      </c>
      <c r="J1012" s="2" t="s">
        <v>40</v>
      </c>
      <c r="K1012" s="2" t="s">
        <v>86</v>
      </c>
      <c r="L1012" s="2" t="s">
        <v>9</v>
      </c>
      <c r="M1012" s="2" t="s">
        <v>20</v>
      </c>
      <c r="N1012" s="2" t="s">
        <v>26</v>
      </c>
      <c r="O1012" s="2" t="s">
        <v>87</v>
      </c>
      <c r="P1012" s="2" t="s">
        <v>35</v>
      </c>
      <c r="Q1012" s="2" t="s">
        <v>46</v>
      </c>
      <c r="R1012" s="2" t="s">
        <v>18</v>
      </c>
      <c r="S1012">
        <v>5</v>
      </c>
    </row>
    <row r="1013" spans="1:19" x14ac:dyDescent="0.3">
      <c r="A1013">
        <v>1052</v>
      </c>
      <c r="B1013">
        <f>YEAR(Cleaned_HR_Data_Analysis__2[[#This Row],[Joining_Date]])</f>
        <v>2021</v>
      </c>
      <c r="C1013" s="1">
        <v>44252</v>
      </c>
      <c r="D1013" s="1" t="str" cm="1">
        <f t="array" ref="D1013">_xlfn.IFS(E1013&lt;28, "17-27",
AND(E1013&gt;27, E1013&lt;38), "28-37",
AND(E1013&gt;37, E1013 &lt;48), "38-47",
AND(E1013&gt;47, E1013 &lt;58), "48-57",
AND(E1013&gt;57, E1013&lt;68), "58-67",
AND(E1013&gt;67, E1013&lt;78), "68-77",
E1013&gt;77,"Above than 77")</f>
        <v>38-47</v>
      </c>
      <c r="E1013">
        <v>41</v>
      </c>
      <c r="F1013" s="1">
        <v>29393</v>
      </c>
      <c r="G1013" s="1" t="str">
        <f>VLOOKUP(H1013,Table7[#All], 2, FALSE)</f>
        <v>Massachusetts</v>
      </c>
      <c r="H1013" s="2" t="s">
        <v>14</v>
      </c>
      <c r="I1013" s="2" t="s">
        <v>15</v>
      </c>
      <c r="J1013" s="2" t="s">
        <v>31</v>
      </c>
      <c r="K1013" s="2" t="s">
        <v>88</v>
      </c>
      <c r="L1013" s="2" t="s">
        <v>9</v>
      </c>
      <c r="M1013" s="2" t="s">
        <v>10</v>
      </c>
      <c r="N1013" s="2" t="s">
        <v>26</v>
      </c>
      <c r="O1013" s="2" t="s">
        <v>87</v>
      </c>
      <c r="P1013" s="2" t="s">
        <v>32</v>
      </c>
      <c r="Q1013" s="2" t="s">
        <v>23</v>
      </c>
      <c r="R1013" s="2" t="s">
        <v>18</v>
      </c>
      <c r="S1013">
        <v>4</v>
      </c>
    </row>
    <row r="1014" spans="1:19" x14ac:dyDescent="0.3">
      <c r="A1014">
        <v>1035</v>
      </c>
      <c r="B1014">
        <f>YEAR(Cleaned_HR_Data_Analysis__2[[#This Row],[Joining_Date]])</f>
        <v>2020</v>
      </c>
      <c r="C1014" s="1">
        <v>44117</v>
      </c>
      <c r="D1014" s="1" t="str" cm="1">
        <f t="array" ref="D1014">_xlfn.IFS(E1014&lt;28, "17-27",
AND(E1014&gt;27, E1014&lt;38), "28-37",
AND(E1014&gt;37, E1014 &lt;48), "38-47",
AND(E1014&gt;47, E1014 &lt;58), "48-57",
AND(E1014&gt;57, E1014&lt;68), "58-67",
AND(E1014&gt;67, E1014&lt;78), "68-77",
E1014&gt;77,"Above than 77")</f>
        <v>38-47</v>
      </c>
      <c r="E1014">
        <v>41</v>
      </c>
      <c r="F1014" s="1">
        <v>28902</v>
      </c>
      <c r="G1014" s="1" t="str">
        <f>VLOOKUP(H1014,Table7[#All], 2, FALSE)</f>
        <v>Massachusetts</v>
      </c>
      <c r="H1014" s="2" t="s">
        <v>14</v>
      </c>
      <c r="I1014" s="2" t="s">
        <v>15</v>
      </c>
      <c r="J1014" s="2" t="s">
        <v>40</v>
      </c>
      <c r="K1014" s="2" t="s">
        <v>89</v>
      </c>
      <c r="L1014" s="2" t="s">
        <v>9</v>
      </c>
      <c r="M1014" s="2" t="s">
        <v>25</v>
      </c>
      <c r="N1014" s="2" t="s">
        <v>19</v>
      </c>
      <c r="O1014" s="2" t="s">
        <v>90</v>
      </c>
      <c r="P1014" s="2" t="s">
        <v>69</v>
      </c>
      <c r="Q1014" s="2" t="s">
        <v>46</v>
      </c>
      <c r="R1014" s="2" t="s">
        <v>18</v>
      </c>
      <c r="S1014">
        <v>5</v>
      </c>
    </row>
    <row r="1015" spans="1:19" x14ac:dyDescent="0.3">
      <c r="A1015">
        <v>3603</v>
      </c>
      <c r="B1015">
        <f>YEAR(Cleaned_HR_Data_Analysis__2[[#This Row],[Joining_Date]])</f>
        <v>2018</v>
      </c>
      <c r="C1015" s="1">
        <v>43433</v>
      </c>
      <c r="D1015" s="1" t="str" cm="1">
        <f t="array" ref="D1015">_xlfn.IFS(E1015&lt;28, "17-27",
AND(E1015&gt;27, E1015&lt;38), "28-37",
AND(E1015&gt;37, E1015 &lt;48), "38-47",
AND(E1015&gt;47, E1015 &lt;58), "48-57",
AND(E1015&gt;57, E1015&lt;68), "58-67",
AND(E1015&gt;67, E1015&lt;78), "68-77",
E1015&gt;77,"Above than 77")</f>
        <v>38-47</v>
      </c>
      <c r="E1015">
        <v>41</v>
      </c>
      <c r="F1015" s="1">
        <v>28171</v>
      </c>
      <c r="G1015" s="1" t="str">
        <f>VLOOKUP(H1015,Table7[#All], 2, FALSE)</f>
        <v>Massachusetts</v>
      </c>
      <c r="H1015" s="2" t="s">
        <v>14</v>
      </c>
      <c r="I1015" s="2" t="s">
        <v>15</v>
      </c>
      <c r="J1015" s="2" t="s">
        <v>34</v>
      </c>
      <c r="K1015" s="2" t="s">
        <v>64</v>
      </c>
      <c r="L1015" s="2" t="s">
        <v>66</v>
      </c>
      <c r="M1015" s="2" t="s">
        <v>25</v>
      </c>
      <c r="N1015" s="2" t="s">
        <v>19</v>
      </c>
      <c r="O1015" s="2" t="s">
        <v>12</v>
      </c>
      <c r="P1015" s="2" t="s">
        <v>35</v>
      </c>
      <c r="Q1015" s="2" t="s">
        <v>16</v>
      </c>
      <c r="R1015" s="2" t="s">
        <v>18</v>
      </c>
      <c r="S1015">
        <v>1</v>
      </c>
    </row>
    <row r="1016" spans="1:19" x14ac:dyDescent="0.3">
      <c r="A1016">
        <v>3092</v>
      </c>
      <c r="B1016">
        <f>YEAR(Cleaned_HR_Data_Analysis__2[[#This Row],[Joining_Date]])</f>
        <v>2020</v>
      </c>
      <c r="C1016" s="1">
        <v>43842</v>
      </c>
      <c r="D1016" s="1" t="str" cm="1">
        <f t="array" ref="D1016">_xlfn.IFS(E1016&lt;28, "17-27",
AND(E1016&gt;27, E1016&lt;38), "28-37",
AND(E1016&gt;37, E1016 &lt;48), "38-47",
AND(E1016&gt;47, E1016 &lt;58), "48-57",
AND(E1016&gt;57, E1016&lt;68), "58-67",
AND(E1016&gt;67, E1016&lt;78), "68-77",
E1016&gt;77,"Above than 77")</f>
        <v>38-47</v>
      </c>
      <c r="E1016">
        <v>41</v>
      </c>
      <c r="F1016" s="1">
        <v>29199</v>
      </c>
      <c r="G1016" s="1" t="str">
        <f>VLOOKUP(H1016,Table7[#All], 2, FALSE)</f>
        <v>Massachusetts</v>
      </c>
      <c r="H1016" s="2" t="s">
        <v>14</v>
      </c>
      <c r="I1016" s="2" t="s">
        <v>15</v>
      </c>
      <c r="J1016" s="2" t="s">
        <v>34</v>
      </c>
      <c r="K1016" s="2" t="s">
        <v>64</v>
      </c>
      <c r="L1016" s="2" t="s">
        <v>9</v>
      </c>
      <c r="M1016" s="2" t="s">
        <v>10</v>
      </c>
      <c r="N1016" s="2" t="s">
        <v>19</v>
      </c>
      <c r="O1016" s="2" t="s">
        <v>12</v>
      </c>
      <c r="P1016" s="2" t="s">
        <v>35</v>
      </c>
      <c r="Q1016" s="2" t="s">
        <v>30</v>
      </c>
      <c r="R1016" s="2" t="s">
        <v>18</v>
      </c>
      <c r="S1016">
        <v>4</v>
      </c>
    </row>
    <row r="1017" spans="1:19" x14ac:dyDescent="0.3">
      <c r="A1017">
        <v>2908</v>
      </c>
      <c r="B1017">
        <f>YEAR(Cleaned_HR_Data_Analysis__2[[#This Row],[Joining_Date]])</f>
        <v>2021</v>
      </c>
      <c r="C1017" s="1">
        <v>44274</v>
      </c>
      <c r="D1017" s="1" t="str" cm="1">
        <f t="array" ref="D1017">_xlfn.IFS(E1017&lt;28, "17-27",
AND(E1017&gt;27, E1017&lt;38), "28-37",
AND(E1017&gt;37, E1017 &lt;48), "38-47",
AND(E1017&gt;47, E1017 &lt;58), "48-57",
AND(E1017&gt;57, E1017&lt;68), "58-67",
AND(E1017&gt;67, E1017&lt;78), "68-77",
E1017&gt;77,"Above than 77")</f>
        <v>38-47</v>
      </c>
      <c r="E1017">
        <v>41</v>
      </c>
      <c r="F1017" s="1">
        <v>29317</v>
      </c>
      <c r="G1017" s="1" t="str">
        <f>VLOOKUP(H1017,Table7[#All], 2, FALSE)</f>
        <v>Massachusetts</v>
      </c>
      <c r="H1017" s="2" t="s">
        <v>14</v>
      </c>
      <c r="I1017" s="2" t="s">
        <v>22</v>
      </c>
      <c r="J1017" s="2" t="s">
        <v>31</v>
      </c>
      <c r="K1017" s="2" t="s">
        <v>64</v>
      </c>
      <c r="L1017" s="2" t="s">
        <v>9</v>
      </c>
      <c r="M1017" s="2" t="s">
        <v>10</v>
      </c>
      <c r="N1017" s="2" t="s">
        <v>11</v>
      </c>
      <c r="O1017" s="2" t="s">
        <v>12</v>
      </c>
      <c r="P1017" s="2" t="s">
        <v>54</v>
      </c>
      <c r="Q1017" s="2" t="s">
        <v>46</v>
      </c>
      <c r="R1017" s="2" t="s">
        <v>41</v>
      </c>
      <c r="S1017">
        <v>2</v>
      </c>
    </row>
    <row r="1018" spans="1:19" x14ac:dyDescent="0.3">
      <c r="A1018">
        <v>2845</v>
      </c>
      <c r="B1018">
        <f>YEAR(Cleaned_HR_Data_Analysis__2[[#This Row],[Joining_Date]])</f>
        <v>2020</v>
      </c>
      <c r="C1018" s="1">
        <v>44077</v>
      </c>
      <c r="D1018" s="1" t="str" cm="1">
        <f t="array" ref="D1018">_xlfn.IFS(E1018&lt;28, "17-27",
AND(E1018&gt;27, E1018&lt;38), "28-37",
AND(E1018&gt;37, E1018 &lt;48), "38-47",
AND(E1018&gt;47, E1018 &lt;58), "48-57",
AND(E1018&gt;57, E1018&lt;68), "58-67",
AND(E1018&gt;67, E1018&lt;78), "68-77",
E1018&gt;77,"Above than 77")</f>
        <v>38-47</v>
      </c>
      <c r="E1018">
        <v>41</v>
      </c>
      <c r="F1018" s="1">
        <v>29024</v>
      </c>
      <c r="G1018" s="1" t="str">
        <f>VLOOKUP(H1018,Table7[#All], 2, FALSE)</f>
        <v>Massachusetts</v>
      </c>
      <c r="H1018" s="2" t="s">
        <v>14</v>
      </c>
      <c r="I1018" s="2" t="s">
        <v>15</v>
      </c>
      <c r="J1018" s="2" t="s">
        <v>31</v>
      </c>
      <c r="K1018" s="2" t="s">
        <v>64</v>
      </c>
      <c r="L1018" s="2" t="s">
        <v>9</v>
      </c>
      <c r="M1018" s="2" t="s">
        <v>25</v>
      </c>
      <c r="N1018" s="2" t="s">
        <v>26</v>
      </c>
      <c r="O1018" s="2" t="s">
        <v>12</v>
      </c>
      <c r="P1018" s="2" t="s">
        <v>32</v>
      </c>
      <c r="Q1018" s="2" t="s">
        <v>16</v>
      </c>
      <c r="R1018" s="2" t="s">
        <v>18</v>
      </c>
      <c r="S1018">
        <v>4</v>
      </c>
    </row>
    <row r="1019" spans="1:19" x14ac:dyDescent="0.3">
      <c r="A1019">
        <v>2825</v>
      </c>
      <c r="B1019">
        <f>YEAR(Cleaned_HR_Data_Analysis__2[[#This Row],[Joining_Date]])</f>
        <v>2023</v>
      </c>
      <c r="C1019" s="1">
        <v>44970</v>
      </c>
      <c r="D1019" s="1" t="str" cm="1">
        <f t="array" ref="D1019">_xlfn.IFS(E1019&lt;28, "17-27",
AND(E1019&gt;27, E1019&lt;38), "28-37",
AND(E1019&gt;37, E1019 &lt;48), "38-47",
AND(E1019&gt;47, E1019 &lt;58), "48-57",
AND(E1019&gt;57, E1019&lt;68), "58-67",
AND(E1019&gt;67, E1019&lt;78), "68-77",
E1019&gt;77,"Above than 77")</f>
        <v>38-47</v>
      </c>
      <c r="E1019">
        <v>41</v>
      </c>
      <c r="F1019" s="1">
        <v>30314</v>
      </c>
      <c r="G1019" s="1" t="str">
        <f>VLOOKUP(H1019,Table7[#All], 2, FALSE)</f>
        <v>Massachusetts</v>
      </c>
      <c r="H1019" s="2" t="s">
        <v>14</v>
      </c>
      <c r="I1019" s="2" t="s">
        <v>22</v>
      </c>
      <c r="J1019" s="2" t="s">
        <v>17</v>
      </c>
      <c r="K1019" s="2" t="s">
        <v>64</v>
      </c>
      <c r="L1019" s="2" t="s">
        <v>9</v>
      </c>
      <c r="M1019" s="2" t="s">
        <v>25</v>
      </c>
      <c r="N1019" s="2" t="s">
        <v>11</v>
      </c>
      <c r="O1019" s="2" t="s">
        <v>12</v>
      </c>
      <c r="P1019" s="2" t="s">
        <v>57</v>
      </c>
      <c r="Q1019" s="2" t="s">
        <v>23</v>
      </c>
      <c r="R1019" s="2" t="s">
        <v>18</v>
      </c>
      <c r="S1019">
        <v>4</v>
      </c>
    </row>
    <row r="1020" spans="1:19" x14ac:dyDescent="0.3">
      <c r="A1020">
        <v>2115</v>
      </c>
      <c r="B1020">
        <f>YEAR(Cleaned_HR_Data_Analysis__2[[#This Row],[Joining_Date]])</f>
        <v>2019</v>
      </c>
      <c r="C1020" s="1">
        <v>43570</v>
      </c>
      <c r="D1020" s="1" t="str" cm="1">
        <f t="array" ref="D1020">_xlfn.IFS(E1020&lt;28, "17-27",
AND(E1020&gt;27, E1020&lt;38), "28-37",
AND(E1020&gt;37, E1020 &lt;48), "38-47",
AND(E1020&gt;47, E1020 &lt;58), "48-57",
AND(E1020&gt;57, E1020&lt;68), "58-67",
AND(E1020&gt;67, E1020&lt;78), "68-77",
E1020&gt;77,"Above than 77")</f>
        <v>38-47</v>
      </c>
      <c r="E1020">
        <v>41</v>
      </c>
      <c r="F1020" s="1">
        <v>28579</v>
      </c>
      <c r="G1020" s="1" t="str">
        <f>VLOOKUP(H1020,Table7[#All], 2, FALSE)</f>
        <v>Massachusetts</v>
      </c>
      <c r="H1020" s="2" t="s">
        <v>14</v>
      </c>
      <c r="I1020" s="2" t="s">
        <v>15</v>
      </c>
      <c r="J1020" s="2" t="s">
        <v>34</v>
      </c>
      <c r="K1020" s="2" t="s">
        <v>64</v>
      </c>
      <c r="L1020" s="2" t="s">
        <v>9</v>
      </c>
      <c r="M1020" s="2" t="s">
        <v>10</v>
      </c>
      <c r="N1020" s="2" t="s">
        <v>19</v>
      </c>
      <c r="O1020" s="2" t="s">
        <v>12</v>
      </c>
      <c r="P1020" s="2" t="s">
        <v>67</v>
      </c>
      <c r="Q1020" s="2" t="s">
        <v>46</v>
      </c>
      <c r="R1020" s="2" t="s">
        <v>41</v>
      </c>
      <c r="S1020">
        <v>2</v>
      </c>
    </row>
    <row r="1021" spans="1:19" x14ac:dyDescent="0.3">
      <c r="A1021">
        <v>1578</v>
      </c>
      <c r="B1021">
        <f>YEAR(Cleaned_HR_Data_Analysis__2[[#This Row],[Joining_Date]])</f>
        <v>2021</v>
      </c>
      <c r="C1021" s="1">
        <v>44322</v>
      </c>
      <c r="D1021" s="1" t="str" cm="1">
        <f t="array" ref="D1021">_xlfn.IFS(E1021&lt;28, "17-27",
AND(E1021&gt;27, E1021&lt;38), "28-37",
AND(E1021&gt;37, E1021 &lt;48), "38-47",
AND(E1021&gt;47, E1021 &lt;58), "48-57",
AND(E1021&gt;57, E1021&lt;68), "58-67",
AND(E1021&gt;67, E1021&lt;78), "68-77",
E1021&gt;77,"Above than 77")</f>
        <v>38-47</v>
      </c>
      <c r="E1021">
        <v>41</v>
      </c>
      <c r="F1021" s="1">
        <v>29453</v>
      </c>
      <c r="G1021" s="1" t="str">
        <f>VLOOKUP(H1021,Table7[#All], 2, FALSE)</f>
        <v>Massachusetts</v>
      </c>
      <c r="H1021" s="2" t="s">
        <v>14</v>
      </c>
      <c r="I1021" s="2" t="s">
        <v>22</v>
      </c>
      <c r="J1021" s="2" t="s">
        <v>34</v>
      </c>
      <c r="K1021" s="2" t="s">
        <v>64</v>
      </c>
      <c r="L1021" s="2" t="s">
        <v>66</v>
      </c>
      <c r="M1021" s="2" t="s">
        <v>20</v>
      </c>
      <c r="N1021" s="2" t="s">
        <v>26</v>
      </c>
      <c r="O1021" s="2" t="s">
        <v>12</v>
      </c>
      <c r="P1021" s="2" t="s">
        <v>35</v>
      </c>
      <c r="Q1021" s="2" t="s">
        <v>23</v>
      </c>
      <c r="R1021" s="2" t="s">
        <v>56</v>
      </c>
      <c r="S1021">
        <v>5</v>
      </c>
    </row>
    <row r="1022" spans="1:19" x14ac:dyDescent="0.3">
      <c r="A1022">
        <v>1405</v>
      </c>
      <c r="B1022">
        <f>YEAR(Cleaned_HR_Data_Analysis__2[[#This Row],[Joining_Date]])</f>
        <v>2018</v>
      </c>
      <c r="C1022" s="1">
        <v>43442</v>
      </c>
      <c r="D1022" s="1" t="str" cm="1">
        <f t="array" ref="D1022">_xlfn.IFS(E1022&lt;28, "17-27",
AND(E1022&gt;27, E1022&lt;38), "28-37",
AND(E1022&gt;37, E1022 &lt;48), "38-47",
AND(E1022&gt;47, E1022 &lt;58), "48-57",
AND(E1022&gt;57, E1022&lt;68), "58-67",
AND(E1022&gt;67, E1022&lt;78), "68-77",
E1022&gt;77,"Above than 77")</f>
        <v>38-47</v>
      </c>
      <c r="E1022">
        <v>41</v>
      </c>
      <c r="F1022" s="1">
        <v>28214</v>
      </c>
      <c r="G1022" s="1" t="str">
        <f>VLOOKUP(H1022,Table7[#All], 2, FALSE)</f>
        <v>Massachusetts</v>
      </c>
      <c r="H1022" s="2" t="s">
        <v>14</v>
      </c>
      <c r="I1022" s="2" t="s">
        <v>15</v>
      </c>
      <c r="J1022" s="2" t="s">
        <v>31</v>
      </c>
      <c r="K1022" s="2" t="s">
        <v>64</v>
      </c>
      <c r="L1022" s="2" t="s">
        <v>9</v>
      </c>
      <c r="M1022" s="2" t="s">
        <v>20</v>
      </c>
      <c r="N1022" s="2" t="s">
        <v>19</v>
      </c>
      <c r="O1022" s="2" t="s">
        <v>12</v>
      </c>
      <c r="P1022" s="2" t="s">
        <v>35</v>
      </c>
      <c r="Q1022" s="2" t="s">
        <v>30</v>
      </c>
      <c r="R1022" s="2" t="s">
        <v>41</v>
      </c>
      <c r="S1022">
        <v>3</v>
      </c>
    </row>
    <row r="1023" spans="1:19" x14ac:dyDescent="0.3">
      <c r="A1023">
        <v>1276</v>
      </c>
      <c r="B1023">
        <f>YEAR(Cleaned_HR_Data_Analysis__2[[#This Row],[Joining_Date]])</f>
        <v>2019</v>
      </c>
      <c r="C1023" s="1">
        <v>43827</v>
      </c>
      <c r="D1023" s="1" t="str" cm="1">
        <f t="array" ref="D1023">_xlfn.IFS(E1023&lt;28, "17-27",
AND(E1023&gt;27, E1023&lt;38), "28-37",
AND(E1023&gt;37, E1023 &lt;48), "38-47",
AND(E1023&gt;47, E1023 &lt;58), "48-57",
AND(E1023&gt;57, E1023&lt;68), "58-67",
AND(E1023&gt;67, E1023&lt;78), "68-77",
E1023&gt;77,"Above than 77")</f>
        <v>38-47</v>
      </c>
      <c r="E1023">
        <v>41</v>
      </c>
      <c r="F1023" s="1">
        <v>28601</v>
      </c>
      <c r="G1023" s="1" t="str">
        <f>VLOOKUP(H1023,Table7[#All], 2, FALSE)</f>
        <v>Massachusetts</v>
      </c>
      <c r="H1023" s="2" t="s">
        <v>14</v>
      </c>
      <c r="I1023" s="2" t="s">
        <v>15</v>
      </c>
      <c r="J1023" s="2" t="s">
        <v>34</v>
      </c>
      <c r="K1023" s="2" t="s">
        <v>64</v>
      </c>
      <c r="L1023" s="2" t="s">
        <v>9</v>
      </c>
      <c r="M1023" s="2" t="s">
        <v>25</v>
      </c>
      <c r="N1023" s="2" t="s">
        <v>19</v>
      </c>
      <c r="O1023" s="2" t="s">
        <v>12</v>
      </c>
      <c r="P1023" s="2" t="s">
        <v>28</v>
      </c>
      <c r="Q1023" s="2" t="s">
        <v>16</v>
      </c>
      <c r="R1023" s="2" t="s">
        <v>18</v>
      </c>
      <c r="S1023">
        <v>4</v>
      </c>
    </row>
    <row r="1024" spans="1:19" x14ac:dyDescent="0.3">
      <c r="A1024">
        <v>1191</v>
      </c>
      <c r="B1024">
        <f>YEAR(Cleaned_HR_Data_Analysis__2[[#This Row],[Joining_Date]])</f>
        <v>2019</v>
      </c>
      <c r="C1024" s="1">
        <v>43793</v>
      </c>
      <c r="D1024" s="1" t="str" cm="1">
        <f t="array" ref="D1024">_xlfn.IFS(E1024&lt;28, "17-27",
AND(E1024&gt;27, E1024&lt;38), "28-37",
AND(E1024&gt;37, E1024 &lt;48), "38-47",
AND(E1024&gt;47, E1024 &lt;58), "48-57",
AND(E1024&gt;57, E1024&lt;68), "58-67",
AND(E1024&gt;67, E1024&lt;78), "68-77",
E1024&gt;77,"Above than 77")</f>
        <v>38-47</v>
      </c>
      <c r="E1024">
        <v>41</v>
      </c>
      <c r="F1024" s="1">
        <v>28605</v>
      </c>
      <c r="G1024" s="1" t="str">
        <f>VLOOKUP(H1024,Table7[#All], 2, FALSE)</f>
        <v>Massachusetts</v>
      </c>
      <c r="H1024" s="2" t="s">
        <v>14</v>
      </c>
      <c r="I1024" s="2" t="s">
        <v>15</v>
      </c>
      <c r="J1024" s="2" t="s">
        <v>40</v>
      </c>
      <c r="K1024" s="2" t="s">
        <v>64</v>
      </c>
      <c r="L1024" s="2" t="s">
        <v>9</v>
      </c>
      <c r="M1024" s="2" t="s">
        <v>25</v>
      </c>
      <c r="N1024" s="2" t="s">
        <v>26</v>
      </c>
      <c r="O1024" s="2" t="s">
        <v>12</v>
      </c>
      <c r="P1024" s="2" t="s">
        <v>59</v>
      </c>
      <c r="Q1024" s="2" t="s">
        <v>37</v>
      </c>
      <c r="R1024" s="2" t="s">
        <v>18</v>
      </c>
      <c r="S1024">
        <v>4</v>
      </c>
    </row>
    <row r="1025" spans="1:19" x14ac:dyDescent="0.3">
      <c r="A1025">
        <v>1188</v>
      </c>
      <c r="B1025">
        <f>YEAR(Cleaned_HR_Data_Analysis__2[[#This Row],[Joining_Date]])</f>
        <v>2020</v>
      </c>
      <c r="C1025" s="1">
        <v>43867</v>
      </c>
      <c r="D1025" s="1" t="str" cm="1">
        <f t="array" ref="D1025">_xlfn.IFS(E1025&lt;28, "17-27",
AND(E1025&gt;27, E1025&lt;38), "28-37",
AND(E1025&gt;37, E1025 &lt;48), "38-47",
AND(E1025&gt;47, E1025 &lt;58), "48-57",
AND(E1025&gt;57, E1025&lt;68), "58-67",
AND(E1025&gt;67, E1025&lt;78), "68-77",
E1025&gt;77,"Above than 77")</f>
        <v>38-47</v>
      </c>
      <c r="E1025">
        <v>41</v>
      </c>
      <c r="F1025" s="1">
        <v>29003</v>
      </c>
      <c r="G1025" s="1" t="str">
        <f>VLOOKUP(H1025,Table7[#All], 2, FALSE)</f>
        <v>Massachusetts</v>
      </c>
      <c r="H1025" s="2" t="s">
        <v>14</v>
      </c>
      <c r="I1025" s="2" t="s">
        <v>22</v>
      </c>
      <c r="J1025" s="2" t="s">
        <v>40</v>
      </c>
      <c r="K1025" s="2" t="s">
        <v>64</v>
      </c>
      <c r="L1025" s="2" t="s">
        <v>66</v>
      </c>
      <c r="M1025" s="2" t="s">
        <v>10</v>
      </c>
      <c r="N1025" s="2" t="s">
        <v>26</v>
      </c>
      <c r="O1025" s="2" t="s">
        <v>12</v>
      </c>
      <c r="P1025" s="2" t="s">
        <v>28</v>
      </c>
      <c r="Q1025" s="2" t="s">
        <v>37</v>
      </c>
      <c r="R1025" s="2" t="s">
        <v>18</v>
      </c>
      <c r="S1025">
        <v>1</v>
      </c>
    </row>
    <row r="1026" spans="1:19" x14ac:dyDescent="0.3">
      <c r="A1026">
        <v>3804</v>
      </c>
      <c r="B1026">
        <f>YEAR(Cleaned_HR_Data_Analysis__2[[#This Row],[Joining_Date]])</f>
        <v>2019</v>
      </c>
      <c r="C1026" s="1">
        <v>43600</v>
      </c>
      <c r="D1026" s="1" t="str" cm="1">
        <f t="array" ref="D1026">_xlfn.IFS(E1026&lt;28, "17-27",
AND(E1026&gt;27, E1026&lt;38), "28-37",
AND(E1026&gt;37, E1026 &lt;48), "38-47",
AND(E1026&gt;47, E1026 &lt;58), "48-57",
AND(E1026&gt;57, E1026&lt;68), "58-67",
AND(E1026&gt;67, E1026&lt;78), "68-77",
E1026&gt;77,"Above than 77")</f>
        <v>38-47</v>
      </c>
      <c r="E1026">
        <v>41</v>
      </c>
      <c r="F1026" s="1">
        <v>28759</v>
      </c>
      <c r="G1026" s="1" t="str">
        <f>VLOOKUP(H1026,Table7[#All], 2, FALSE)</f>
        <v>Massachusetts</v>
      </c>
      <c r="H1026" s="2" t="s">
        <v>14</v>
      </c>
      <c r="I1026" s="2" t="s">
        <v>15</v>
      </c>
      <c r="J1026" s="2" t="s">
        <v>31</v>
      </c>
      <c r="K1026" s="2" t="s">
        <v>8</v>
      </c>
      <c r="L1026" s="2" t="s">
        <v>9</v>
      </c>
      <c r="M1026" s="2" t="s">
        <v>25</v>
      </c>
      <c r="N1026" s="2" t="s">
        <v>11</v>
      </c>
      <c r="O1026" s="2" t="s">
        <v>12</v>
      </c>
      <c r="P1026" s="2" t="s">
        <v>32</v>
      </c>
      <c r="Q1026" s="2" t="s">
        <v>23</v>
      </c>
      <c r="R1026" s="2" t="s">
        <v>18</v>
      </c>
      <c r="S1026">
        <v>2</v>
      </c>
    </row>
    <row r="1027" spans="1:19" x14ac:dyDescent="0.3">
      <c r="A1027">
        <v>3776</v>
      </c>
      <c r="B1027">
        <f>YEAR(Cleaned_HR_Data_Analysis__2[[#This Row],[Joining_Date]])</f>
        <v>2021</v>
      </c>
      <c r="C1027" s="1">
        <v>44483</v>
      </c>
      <c r="D1027" s="1" t="str" cm="1">
        <f t="array" ref="D1027">_xlfn.IFS(E1027&lt;28, "17-27",
AND(E1027&gt;27, E1027&lt;38), "28-37",
AND(E1027&gt;37, E1027 &lt;48), "38-47",
AND(E1027&gt;47, E1027 &lt;58), "48-57",
AND(E1027&gt;57, E1027&lt;68), "58-67",
AND(E1027&gt;67, E1027&lt;78), "68-77",
E1027&gt;77,"Above than 77")</f>
        <v>38-47</v>
      </c>
      <c r="E1027">
        <v>41</v>
      </c>
      <c r="F1027" s="1">
        <v>29339</v>
      </c>
      <c r="G1027" s="1" t="str">
        <f>VLOOKUP(H1027,Table7[#All], 2, FALSE)</f>
        <v>Massachusetts</v>
      </c>
      <c r="H1027" s="2" t="s">
        <v>14</v>
      </c>
      <c r="I1027" s="2" t="s">
        <v>22</v>
      </c>
      <c r="J1027" s="2" t="s">
        <v>34</v>
      </c>
      <c r="K1027" s="2" t="s">
        <v>8</v>
      </c>
      <c r="L1027" s="2" t="s">
        <v>9</v>
      </c>
      <c r="M1027" s="2" t="s">
        <v>10</v>
      </c>
      <c r="N1027" s="2" t="s">
        <v>19</v>
      </c>
      <c r="O1027" s="2" t="s">
        <v>12</v>
      </c>
      <c r="P1027" s="2" t="s">
        <v>38</v>
      </c>
      <c r="Q1027" s="2" t="s">
        <v>37</v>
      </c>
      <c r="R1027" s="2" t="s">
        <v>18</v>
      </c>
      <c r="S1027">
        <v>1</v>
      </c>
    </row>
    <row r="1028" spans="1:19" x14ac:dyDescent="0.3">
      <c r="A1028">
        <v>3775</v>
      </c>
      <c r="B1028">
        <f>YEAR(Cleaned_HR_Data_Analysis__2[[#This Row],[Joining_Date]])</f>
        <v>2021</v>
      </c>
      <c r="C1028" s="1">
        <v>44390</v>
      </c>
      <c r="D1028" s="1" t="str" cm="1">
        <f t="array" ref="D1028">_xlfn.IFS(E1028&lt;28, "17-27",
AND(E1028&gt;27, E1028&lt;38), "28-37",
AND(E1028&gt;37, E1028 &lt;48), "38-47",
AND(E1028&gt;47, E1028 &lt;58), "48-57",
AND(E1028&gt;57, E1028&lt;68), "58-67",
AND(E1028&gt;67, E1028&lt;78), "68-77",
E1028&gt;77,"Above than 77")</f>
        <v>38-47</v>
      </c>
      <c r="E1028">
        <v>41</v>
      </c>
      <c r="F1028" s="1">
        <v>29509</v>
      </c>
      <c r="G1028" s="1" t="str">
        <f>VLOOKUP(H1028,Table7[#All], 2, FALSE)</f>
        <v>Massachusetts</v>
      </c>
      <c r="H1028" s="2" t="s">
        <v>14</v>
      </c>
      <c r="I1028" s="2" t="s">
        <v>22</v>
      </c>
      <c r="J1028" s="2" t="s">
        <v>17</v>
      </c>
      <c r="K1028" s="2" t="s">
        <v>8</v>
      </c>
      <c r="L1028" s="2" t="s">
        <v>9</v>
      </c>
      <c r="M1028" s="2" t="s">
        <v>10</v>
      </c>
      <c r="N1028" s="2" t="s">
        <v>26</v>
      </c>
      <c r="O1028" s="2" t="s">
        <v>12</v>
      </c>
      <c r="P1028" s="2" t="s">
        <v>35</v>
      </c>
      <c r="Q1028" s="2" t="s">
        <v>30</v>
      </c>
      <c r="R1028" s="2" t="s">
        <v>18</v>
      </c>
      <c r="S1028">
        <v>1</v>
      </c>
    </row>
    <row r="1029" spans="1:19" x14ac:dyDescent="0.3">
      <c r="A1029">
        <v>3745</v>
      </c>
      <c r="B1029">
        <f>YEAR(Cleaned_HR_Data_Analysis__2[[#This Row],[Joining_Date]])</f>
        <v>2019</v>
      </c>
      <c r="C1029" s="1">
        <v>43616</v>
      </c>
      <c r="D1029" s="1" t="str" cm="1">
        <f t="array" ref="D1029">_xlfn.IFS(E1029&lt;28, "17-27",
AND(E1029&gt;27, E1029&lt;38), "28-37",
AND(E1029&gt;37, E1029 &lt;48), "38-47",
AND(E1029&gt;47, E1029 &lt;58), "48-57",
AND(E1029&gt;57, E1029&lt;68), "58-67",
AND(E1029&gt;67, E1029&lt;78), "68-77",
E1029&gt;77,"Above than 77")</f>
        <v>38-47</v>
      </c>
      <c r="E1029">
        <v>41</v>
      </c>
      <c r="F1029" s="1">
        <v>28691</v>
      </c>
      <c r="G1029" s="1" t="str">
        <f>VLOOKUP(H1029,Table7[#All], 2, FALSE)</f>
        <v>Massachusetts</v>
      </c>
      <c r="H1029" s="2" t="s">
        <v>14</v>
      </c>
      <c r="I1029" s="2" t="s">
        <v>22</v>
      </c>
      <c r="J1029" s="2" t="s">
        <v>31</v>
      </c>
      <c r="K1029" s="2" t="s">
        <v>8</v>
      </c>
      <c r="L1029" s="2" t="s">
        <v>66</v>
      </c>
      <c r="M1029" s="2" t="s">
        <v>25</v>
      </c>
      <c r="N1029" s="2" t="s">
        <v>11</v>
      </c>
      <c r="O1029" s="2" t="s">
        <v>12</v>
      </c>
      <c r="P1029" s="2" t="s">
        <v>32</v>
      </c>
      <c r="Q1029" s="2" t="s">
        <v>46</v>
      </c>
      <c r="R1029" s="2" t="s">
        <v>18</v>
      </c>
      <c r="S1029">
        <v>4</v>
      </c>
    </row>
    <row r="1030" spans="1:19" x14ac:dyDescent="0.3">
      <c r="A1030">
        <v>3616</v>
      </c>
      <c r="B1030">
        <f>YEAR(Cleaned_HR_Data_Analysis__2[[#This Row],[Joining_Date]])</f>
        <v>2022</v>
      </c>
      <c r="C1030" s="1">
        <v>44604</v>
      </c>
      <c r="D1030" s="1" t="str" cm="1">
        <f t="array" ref="D1030">_xlfn.IFS(E1030&lt;28, "17-27",
AND(E1030&gt;27, E1030&lt;38), "28-37",
AND(E1030&gt;37, E1030 &lt;48), "38-47",
AND(E1030&gt;47, E1030 &lt;58), "48-57",
AND(E1030&gt;57, E1030&lt;68), "58-67",
AND(E1030&gt;67, E1030&lt;78), "68-77",
E1030&gt;77,"Above than 77")</f>
        <v>38-47</v>
      </c>
      <c r="E1030">
        <v>41</v>
      </c>
      <c r="F1030" s="1">
        <v>29669</v>
      </c>
      <c r="G1030" s="1" t="str">
        <f>VLOOKUP(H1030,Table7[#All], 2, FALSE)</f>
        <v>Massachusetts</v>
      </c>
      <c r="H1030" s="2" t="s">
        <v>14</v>
      </c>
      <c r="I1030" s="2" t="s">
        <v>15</v>
      </c>
      <c r="J1030" s="2" t="s">
        <v>34</v>
      </c>
      <c r="K1030" s="2" t="s">
        <v>8</v>
      </c>
      <c r="L1030" s="2" t="s">
        <v>9</v>
      </c>
      <c r="M1030" s="2" t="s">
        <v>10</v>
      </c>
      <c r="N1030" s="2" t="s">
        <v>11</v>
      </c>
      <c r="O1030" s="2" t="s">
        <v>12</v>
      </c>
      <c r="P1030" s="2" t="s">
        <v>32</v>
      </c>
      <c r="Q1030" s="2" t="s">
        <v>23</v>
      </c>
      <c r="R1030" s="2" t="s">
        <v>18</v>
      </c>
      <c r="S1030">
        <v>1</v>
      </c>
    </row>
    <row r="1031" spans="1:19" x14ac:dyDescent="0.3">
      <c r="A1031">
        <v>3327</v>
      </c>
      <c r="B1031">
        <f>YEAR(Cleaned_HR_Data_Analysis__2[[#This Row],[Joining_Date]])</f>
        <v>2020</v>
      </c>
      <c r="C1031" s="1">
        <v>43831</v>
      </c>
      <c r="D1031" s="1" t="str" cm="1">
        <f t="array" ref="D1031">_xlfn.IFS(E1031&lt;28, "17-27",
AND(E1031&gt;27, E1031&lt;38), "28-37",
AND(E1031&gt;37, E1031 &lt;48), "38-47",
AND(E1031&gt;47, E1031 &lt;58), "48-57",
AND(E1031&gt;57, E1031&lt;68), "58-67",
AND(E1031&gt;67, E1031&lt;78), "68-77",
E1031&gt;77,"Above than 77")</f>
        <v>38-47</v>
      </c>
      <c r="E1031">
        <v>41</v>
      </c>
      <c r="F1031" s="1">
        <v>28972</v>
      </c>
      <c r="G1031" s="1" t="str">
        <f>VLOOKUP(H1031,Table7[#All], 2, FALSE)</f>
        <v>Massachusetts</v>
      </c>
      <c r="H1031" s="2" t="s">
        <v>14</v>
      </c>
      <c r="I1031" s="2" t="s">
        <v>15</v>
      </c>
      <c r="J1031" s="2" t="s">
        <v>17</v>
      </c>
      <c r="K1031" s="2" t="s">
        <v>8</v>
      </c>
      <c r="L1031" s="2" t="s">
        <v>9</v>
      </c>
      <c r="M1031" s="2" t="s">
        <v>10</v>
      </c>
      <c r="N1031" s="2" t="s">
        <v>11</v>
      </c>
      <c r="O1031" s="2" t="s">
        <v>12</v>
      </c>
      <c r="P1031" s="2" t="s">
        <v>55</v>
      </c>
      <c r="Q1031" s="2" t="s">
        <v>23</v>
      </c>
      <c r="R1031" s="2" t="s">
        <v>18</v>
      </c>
      <c r="S1031">
        <v>1</v>
      </c>
    </row>
    <row r="1032" spans="1:19" x14ac:dyDescent="0.3">
      <c r="A1032">
        <v>3307</v>
      </c>
      <c r="B1032">
        <f>YEAR(Cleaned_HR_Data_Analysis__2[[#This Row],[Joining_Date]])</f>
        <v>2019</v>
      </c>
      <c r="C1032" s="1">
        <v>43637</v>
      </c>
      <c r="D1032" s="1" t="str" cm="1">
        <f t="array" ref="D1032">_xlfn.IFS(E1032&lt;28, "17-27",
AND(E1032&gt;27, E1032&lt;38), "28-37",
AND(E1032&gt;37, E1032 &lt;48), "38-47",
AND(E1032&gt;47, E1032 &lt;58), "48-57",
AND(E1032&gt;57, E1032&lt;68), "58-67",
AND(E1032&gt;67, E1032&lt;78), "68-77",
E1032&gt;77,"Above than 77")</f>
        <v>38-47</v>
      </c>
      <c r="E1032">
        <v>41</v>
      </c>
      <c r="F1032" s="1">
        <v>28781</v>
      </c>
      <c r="G1032" s="1" t="str">
        <f>VLOOKUP(H1032,Table7[#All], 2, FALSE)</f>
        <v>Massachusetts</v>
      </c>
      <c r="H1032" s="2" t="s">
        <v>14</v>
      </c>
      <c r="I1032" s="2" t="s">
        <v>22</v>
      </c>
      <c r="J1032" s="2" t="s">
        <v>34</v>
      </c>
      <c r="K1032" s="2" t="s">
        <v>8</v>
      </c>
      <c r="L1032" s="2" t="s">
        <v>9</v>
      </c>
      <c r="M1032" s="2" t="s">
        <v>25</v>
      </c>
      <c r="N1032" s="2" t="s">
        <v>11</v>
      </c>
      <c r="O1032" s="2" t="s">
        <v>12</v>
      </c>
      <c r="P1032" s="2" t="s">
        <v>44</v>
      </c>
      <c r="Q1032" s="2" t="s">
        <v>46</v>
      </c>
      <c r="R1032" s="2" t="s">
        <v>18</v>
      </c>
      <c r="S1032">
        <v>4</v>
      </c>
    </row>
    <row r="1033" spans="1:19" x14ac:dyDescent="0.3">
      <c r="A1033">
        <v>3207</v>
      </c>
      <c r="B1033">
        <f>YEAR(Cleaned_HR_Data_Analysis__2[[#This Row],[Joining_Date]])</f>
        <v>2022</v>
      </c>
      <c r="C1033" s="1">
        <v>44647</v>
      </c>
      <c r="D1033" s="1" t="str" cm="1">
        <f t="array" ref="D1033">_xlfn.IFS(E1033&lt;28, "17-27",
AND(E1033&gt;27, E1033&lt;38), "28-37",
AND(E1033&gt;37, E1033 &lt;48), "38-47",
AND(E1033&gt;47, E1033 &lt;58), "48-57",
AND(E1033&gt;57, E1033&lt;68), "58-67",
AND(E1033&gt;67, E1033&lt;78), "68-77",
E1033&gt;77,"Above than 77")</f>
        <v>38-47</v>
      </c>
      <c r="E1033">
        <v>41</v>
      </c>
      <c r="F1033" s="1">
        <v>29826</v>
      </c>
      <c r="G1033" s="1" t="str">
        <f>VLOOKUP(H1033,Table7[#All], 2, FALSE)</f>
        <v>Massachusetts</v>
      </c>
      <c r="H1033" s="2" t="s">
        <v>14</v>
      </c>
      <c r="I1033" s="2" t="s">
        <v>15</v>
      </c>
      <c r="J1033" s="2" t="s">
        <v>17</v>
      </c>
      <c r="K1033" s="2" t="s">
        <v>8</v>
      </c>
      <c r="L1033" s="2" t="s">
        <v>9</v>
      </c>
      <c r="M1033" s="2" t="s">
        <v>25</v>
      </c>
      <c r="N1033" s="2" t="s">
        <v>11</v>
      </c>
      <c r="O1033" s="2" t="s">
        <v>12</v>
      </c>
      <c r="P1033" s="2" t="s">
        <v>54</v>
      </c>
      <c r="Q1033" s="2" t="s">
        <v>16</v>
      </c>
      <c r="R1033" s="2" t="s">
        <v>18</v>
      </c>
      <c r="S1033">
        <v>4</v>
      </c>
    </row>
    <row r="1034" spans="1:19" x14ac:dyDescent="0.3">
      <c r="A1034">
        <v>3132</v>
      </c>
      <c r="B1034">
        <f>YEAR(Cleaned_HR_Data_Analysis__2[[#This Row],[Joining_Date]])</f>
        <v>2020</v>
      </c>
      <c r="C1034" s="1">
        <v>43948</v>
      </c>
      <c r="D1034" s="1" t="str" cm="1">
        <f t="array" ref="D1034">_xlfn.IFS(E1034&lt;28, "17-27",
AND(E1034&gt;27, E1034&lt;38), "28-37",
AND(E1034&gt;37, E1034 &lt;48), "38-47",
AND(E1034&gt;47, E1034 &lt;58), "48-57",
AND(E1034&gt;57, E1034&lt;68), "58-67",
AND(E1034&gt;67, E1034&lt;78), "68-77",
E1034&gt;77,"Above than 77")</f>
        <v>38-47</v>
      </c>
      <c r="E1034">
        <v>41</v>
      </c>
      <c r="F1034" s="1">
        <v>29118</v>
      </c>
      <c r="G1034" s="1" t="str">
        <f>VLOOKUP(H1034,Table7[#All], 2, FALSE)</f>
        <v>Massachusetts</v>
      </c>
      <c r="H1034" s="2" t="s">
        <v>14</v>
      </c>
      <c r="I1034" s="2" t="s">
        <v>15</v>
      </c>
      <c r="J1034" s="2" t="s">
        <v>40</v>
      </c>
      <c r="K1034" s="2" t="s">
        <v>8</v>
      </c>
      <c r="L1034" s="2" t="s">
        <v>9</v>
      </c>
      <c r="M1034" s="2" t="s">
        <v>25</v>
      </c>
      <c r="N1034" s="2" t="s">
        <v>19</v>
      </c>
      <c r="O1034" s="2" t="s">
        <v>12</v>
      </c>
      <c r="P1034" s="2" t="s">
        <v>35</v>
      </c>
      <c r="Q1034" s="2" t="s">
        <v>46</v>
      </c>
      <c r="R1034" s="2" t="s">
        <v>18</v>
      </c>
      <c r="S1034">
        <v>2</v>
      </c>
    </row>
    <row r="1035" spans="1:19" x14ac:dyDescent="0.3">
      <c r="A1035">
        <v>2978</v>
      </c>
      <c r="B1035">
        <f>YEAR(Cleaned_HR_Data_Analysis__2[[#This Row],[Joining_Date]])</f>
        <v>2022</v>
      </c>
      <c r="C1035" s="1">
        <v>44789</v>
      </c>
      <c r="D1035" s="1" t="str" cm="1">
        <f t="array" ref="D1035">_xlfn.IFS(E1035&lt;28, "17-27",
AND(E1035&gt;27, E1035&lt;38), "28-37",
AND(E1035&gt;37, E1035 &lt;48), "38-47",
AND(E1035&gt;47, E1035 &lt;58), "48-57",
AND(E1035&gt;57, E1035&lt;68), "58-67",
AND(E1035&gt;67, E1035&lt;78), "68-77",
E1035&gt;77,"Above than 77")</f>
        <v>38-47</v>
      </c>
      <c r="E1035">
        <v>41</v>
      </c>
      <c r="F1035" s="1">
        <v>29840</v>
      </c>
      <c r="G1035" s="1" t="str">
        <f>VLOOKUP(H1035,Table7[#All], 2, FALSE)</f>
        <v>Massachusetts</v>
      </c>
      <c r="H1035" s="2" t="s">
        <v>14</v>
      </c>
      <c r="I1035" s="2" t="s">
        <v>22</v>
      </c>
      <c r="J1035" s="2" t="s">
        <v>40</v>
      </c>
      <c r="K1035" s="2" t="s">
        <v>8</v>
      </c>
      <c r="L1035" s="2" t="s">
        <v>9</v>
      </c>
      <c r="M1035" s="2" t="s">
        <v>25</v>
      </c>
      <c r="N1035" s="2" t="s">
        <v>11</v>
      </c>
      <c r="O1035" s="2" t="s">
        <v>12</v>
      </c>
      <c r="P1035" s="2" t="s">
        <v>63</v>
      </c>
      <c r="Q1035" s="2" t="s">
        <v>23</v>
      </c>
      <c r="R1035" s="2" t="s">
        <v>18</v>
      </c>
      <c r="S1035">
        <v>2</v>
      </c>
    </row>
    <row r="1036" spans="1:19" x14ac:dyDescent="0.3">
      <c r="A1036">
        <v>2882</v>
      </c>
      <c r="B1036">
        <f>YEAR(Cleaned_HR_Data_Analysis__2[[#This Row],[Joining_Date]])</f>
        <v>2019</v>
      </c>
      <c r="C1036" s="1">
        <v>43606</v>
      </c>
      <c r="D1036" s="1" t="str" cm="1">
        <f t="array" ref="D1036">_xlfn.IFS(E1036&lt;28, "17-27",
AND(E1036&gt;27, E1036&lt;38), "28-37",
AND(E1036&gt;37, E1036 &lt;48), "38-47",
AND(E1036&gt;47, E1036 &lt;58), "48-57",
AND(E1036&gt;57, E1036&lt;68), "58-67",
AND(E1036&gt;67, E1036&lt;78), "68-77",
E1036&gt;77,"Above than 77")</f>
        <v>38-47</v>
      </c>
      <c r="E1036">
        <v>41</v>
      </c>
      <c r="F1036" s="1">
        <v>28823</v>
      </c>
      <c r="G1036" s="1" t="str">
        <f>VLOOKUP(H1036,Table7[#All], 2, FALSE)</f>
        <v>Massachusetts</v>
      </c>
      <c r="H1036" s="2" t="s">
        <v>14</v>
      </c>
      <c r="I1036" s="2" t="s">
        <v>22</v>
      </c>
      <c r="J1036" s="2" t="s">
        <v>17</v>
      </c>
      <c r="K1036" s="2" t="s">
        <v>8</v>
      </c>
      <c r="L1036" s="2" t="s">
        <v>66</v>
      </c>
      <c r="M1036" s="2" t="s">
        <v>20</v>
      </c>
      <c r="N1036" s="2" t="s">
        <v>26</v>
      </c>
      <c r="O1036" s="2" t="s">
        <v>12</v>
      </c>
      <c r="P1036" s="2" t="s">
        <v>58</v>
      </c>
      <c r="Q1036" s="2" t="s">
        <v>46</v>
      </c>
      <c r="R1036" s="2" t="s">
        <v>18</v>
      </c>
      <c r="S1036">
        <v>2</v>
      </c>
    </row>
    <row r="1037" spans="1:19" x14ac:dyDescent="0.3">
      <c r="A1037">
        <v>2768</v>
      </c>
      <c r="B1037">
        <f>YEAR(Cleaned_HR_Data_Analysis__2[[#This Row],[Joining_Date]])</f>
        <v>2022</v>
      </c>
      <c r="C1037" s="1">
        <v>44724</v>
      </c>
      <c r="D1037" s="1" t="str" cm="1">
        <f t="array" ref="D1037">_xlfn.IFS(E1037&lt;28, "17-27",
AND(E1037&gt;27, E1037&lt;38), "28-37",
AND(E1037&gt;37, E1037 &lt;48), "38-47",
AND(E1037&gt;47, E1037 &lt;58), "48-57",
AND(E1037&gt;57, E1037&lt;68), "58-67",
AND(E1037&gt;67, E1037&lt;78), "68-77",
E1037&gt;77,"Above than 77")</f>
        <v>38-47</v>
      </c>
      <c r="E1037">
        <v>41</v>
      </c>
      <c r="F1037" s="1">
        <v>29637</v>
      </c>
      <c r="G1037" s="1" t="str">
        <f>VLOOKUP(H1037,Table7[#All], 2, FALSE)</f>
        <v>Massachusetts</v>
      </c>
      <c r="H1037" s="2" t="s">
        <v>14</v>
      </c>
      <c r="I1037" s="2" t="s">
        <v>22</v>
      </c>
      <c r="J1037" s="2" t="s">
        <v>34</v>
      </c>
      <c r="K1037" s="2" t="s">
        <v>8</v>
      </c>
      <c r="L1037" s="2" t="s">
        <v>9</v>
      </c>
      <c r="M1037" s="2" t="s">
        <v>20</v>
      </c>
      <c r="N1037" s="2" t="s">
        <v>26</v>
      </c>
      <c r="O1037" s="2" t="s">
        <v>12</v>
      </c>
      <c r="P1037" s="2" t="s">
        <v>69</v>
      </c>
      <c r="Q1037" s="2" t="s">
        <v>46</v>
      </c>
      <c r="R1037" s="2" t="s">
        <v>18</v>
      </c>
      <c r="S1037">
        <v>1</v>
      </c>
    </row>
    <row r="1038" spans="1:19" x14ac:dyDescent="0.3">
      <c r="A1038">
        <v>2007</v>
      </c>
      <c r="B1038">
        <f>YEAR(Cleaned_HR_Data_Analysis__2[[#This Row],[Joining_Date]])</f>
        <v>2020</v>
      </c>
      <c r="C1038" s="1">
        <v>44180</v>
      </c>
      <c r="D1038" s="1" t="str" cm="1">
        <f t="array" ref="D1038">_xlfn.IFS(E1038&lt;28, "17-27",
AND(E1038&gt;27, E1038&lt;38), "28-37",
AND(E1038&gt;37, E1038 &lt;48), "38-47",
AND(E1038&gt;47, E1038 &lt;58), "48-57",
AND(E1038&gt;57, E1038&lt;68), "58-67",
AND(E1038&gt;67, E1038&lt;78), "68-77",
E1038&gt;77,"Above than 77")</f>
        <v>38-47</v>
      </c>
      <c r="E1038">
        <v>41</v>
      </c>
      <c r="F1038" s="1">
        <v>28980</v>
      </c>
      <c r="G1038" s="1" t="str">
        <f>VLOOKUP(H1038,Table7[#All], 2, FALSE)</f>
        <v>Massachusetts</v>
      </c>
      <c r="H1038" s="2" t="s">
        <v>14</v>
      </c>
      <c r="I1038" s="2" t="s">
        <v>15</v>
      </c>
      <c r="J1038" s="2" t="s">
        <v>17</v>
      </c>
      <c r="K1038" s="2" t="s">
        <v>8</v>
      </c>
      <c r="L1038" s="2" t="s">
        <v>9</v>
      </c>
      <c r="M1038" s="2" t="s">
        <v>25</v>
      </c>
      <c r="N1038" s="2" t="s">
        <v>11</v>
      </c>
      <c r="O1038" s="2" t="s">
        <v>12</v>
      </c>
      <c r="P1038" s="2" t="s">
        <v>49</v>
      </c>
      <c r="Q1038" s="2" t="s">
        <v>37</v>
      </c>
      <c r="R1038" s="2" t="s">
        <v>18</v>
      </c>
      <c r="S1038">
        <v>1</v>
      </c>
    </row>
    <row r="1039" spans="1:19" x14ac:dyDescent="0.3">
      <c r="A1039">
        <v>1750</v>
      </c>
      <c r="B1039">
        <f>YEAR(Cleaned_HR_Data_Analysis__2[[#This Row],[Joining_Date]])</f>
        <v>2018</v>
      </c>
      <c r="C1039" s="1">
        <v>43441</v>
      </c>
      <c r="D1039" s="1" t="str" cm="1">
        <f t="array" ref="D1039">_xlfn.IFS(E1039&lt;28, "17-27",
AND(E1039&gt;27, E1039&lt;38), "28-37",
AND(E1039&gt;37, E1039 &lt;48), "38-47",
AND(E1039&gt;47, E1039 &lt;58), "48-57",
AND(E1039&gt;57, E1039&lt;68), "58-67",
AND(E1039&gt;67, E1039&lt;78), "68-77",
E1039&gt;77,"Above than 77")</f>
        <v>38-47</v>
      </c>
      <c r="E1039">
        <v>41</v>
      </c>
      <c r="F1039" s="1">
        <v>28226</v>
      </c>
      <c r="G1039" s="1" t="str">
        <f>VLOOKUP(H1039,Table7[#All], 2, FALSE)</f>
        <v>Massachusetts</v>
      </c>
      <c r="H1039" s="2" t="s">
        <v>14</v>
      </c>
      <c r="I1039" s="2" t="s">
        <v>15</v>
      </c>
      <c r="J1039" s="2" t="s">
        <v>17</v>
      </c>
      <c r="K1039" s="2" t="s">
        <v>8</v>
      </c>
      <c r="L1039" s="2" t="s">
        <v>9</v>
      </c>
      <c r="M1039" s="2" t="s">
        <v>25</v>
      </c>
      <c r="N1039" s="2" t="s">
        <v>11</v>
      </c>
      <c r="O1039" s="2" t="s">
        <v>12</v>
      </c>
      <c r="P1039" s="2" t="s">
        <v>35</v>
      </c>
      <c r="Q1039" s="2" t="s">
        <v>30</v>
      </c>
      <c r="R1039" s="2" t="s">
        <v>18</v>
      </c>
      <c r="S1039">
        <v>2</v>
      </c>
    </row>
    <row r="1040" spans="1:19" x14ac:dyDescent="0.3">
      <c r="A1040">
        <v>1741</v>
      </c>
      <c r="B1040">
        <f>YEAR(Cleaned_HR_Data_Analysis__2[[#This Row],[Joining_Date]])</f>
        <v>2022</v>
      </c>
      <c r="C1040" s="1">
        <v>44820</v>
      </c>
      <c r="D1040" s="1" t="str" cm="1">
        <f t="array" ref="D1040">_xlfn.IFS(E1040&lt;28, "17-27",
AND(E1040&gt;27, E1040&lt;38), "28-37",
AND(E1040&gt;37, E1040 &lt;48), "38-47",
AND(E1040&gt;47, E1040 &lt;58), "48-57",
AND(E1040&gt;57, E1040&lt;68), "58-67",
AND(E1040&gt;67, E1040&lt;78), "68-77",
E1040&gt;77,"Above than 77")</f>
        <v>38-47</v>
      </c>
      <c r="E1040">
        <v>41</v>
      </c>
      <c r="F1040" s="1">
        <v>29597</v>
      </c>
      <c r="G1040" s="1" t="str">
        <f>VLOOKUP(H1040,Table7[#All], 2, FALSE)</f>
        <v>Massachusetts</v>
      </c>
      <c r="H1040" s="2" t="s">
        <v>14</v>
      </c>
      <c r="I1040" s="2" t="s">
        <v>15</v>
      </c>
      <c r="J1040" s="2" t="s">
        <v>31</v>
      </c>
      <c r="K1040" s="2" t="s">
        <v>8</v>
      </c>
      <c r="L1040" s="2" t="s">
        <v>9</v>
      </c>
      <c r="M1040" s="2" t="s">
        <v>10</v>
      </c>
      <c r="N1040" s="2" t="s">
        <v>19</v>
      </c>
      <c r="O1040" s="2" t="s">
        <v>12</v>
      </c>
      <c r="P1040" s="2" t="s">
        <v>38</v>
      </c>
      <c r="Q1040" s="2" t="s">
        <v>46</v>
      </c>
      <c r="R1040" s="2" t="s">
        <v>18</v>
      </c>
      <c r="S1040">
        <v>4</v>
      </c>
    </row>
    <row r="1041" spans="1:19" x14ac:dyDescent="0.3">
      <c r="A1041">
        <v>1510</v>
      </c>
      <c r="B1041">
        <f>YEAR(Cleaned_HR_Data_Analysis__2[[#This Row],[Joining_Date]])</f>
        <v>2021</v>
      </c>
      <c r="C1041" s="1">
        <v>44270</v>
      </c>
      <c r="D1041" s="1" t="str" cm="1">
        <f t="array" ref="D1041">_xlfn.IFS(E1041&lt;28, "17-27",
AND(E1041&gt;27, E1041&lt;38), "28-37",
AND(E1041&gt;37, E1041 &lt;48), "38-47",
AND(E1041&gt;47, E1041 &lt;58), "48-57",
AND(E1041&gt;57, E1041&lt;68), "58-67",
AND(E1041&gt;67, E1041&lt;78), "68-77",
E1041&gt;77,"Above than 77")</f>
        <v>38-47</v>
      </c>
      <c r="E1041">
        <v>41</v>
      </c>
      <c r="F1041" s="1">
        <v>29480</v>
      </c>
      <c r="G1041" s="1" t="str">
        <f>VLOOKUP(H1041,Table7[#All], 2, FALSE)</f>
        <v>Massachusetts</v>
      </c>
      <c r="H1041" s="2" t="s">
        <v>14</v>
      </c>
      <c r="I1041" s="2" t="s">
        <v>15</v>
      </c>
      <c r="J1041" s="2" t="s">
        <v>34</v>
      </c>
      <c r="K1041" s="2" t="s">
        <v>8</v>
      </c>
      <c r="L1041" s="2" t="s">
        <v>9</v>
      </c>
      <c r="M1041" s="2" t="s">
        <v>10</v>
      </c>
      <c r="N1041" s="2" t="s">
        <v>11</v>
      </c>
      <c r="O1041" s="2" t="s">
        <v>12</v>
      </c>
      <c r="P1041" s="2" t="s">
        <v>28</v>
      </c>
      <c r="Q1041" s="2" t="s">
        <v>37</v>
      </c>
      <c r="R1041" s="2" t="s">
        <v>18</v>
      </c>
      <c r="S1041">
        <v>3</v>
      </c>
    </row>
    <row r="1042" spans="1:19" x14ac:dyDescent="0.3">
      <c r="A1042">
        <v>1457</v>
      </c>
      <c r="B1042">
        <f>YEAR(Cleaned_HR_Data_Analysis__2[[#This Row],[Joining_Date]])</f>
        <v>2018</v>
      </c>
      <c r="C1042" s="1">
        <v>43427</v>
      </c>
      <c r="D1042" s="1" t="str" cm="1">
        <f t="array" ref="D1042">_xlfn.IFS(E1042&lt;28, "17-27",
AND(E1042&gt;27, E1042&lt;38), "28-37",
AND(E1042&gt;37, E1042 &lt;48), "38-47",
AND(E1042&gt;47, E1042 &lt;58), "48-57",
AND(E1042&gt;57, E1042&lt;68), "58-67",
AND(E1042&gt;67, E1042&lt;78), "68-77",
E1042&gt;77,"Above than 77")</f>
        <v>38-47</v>
      </c>
      <c r="E1042">
        <v>41</v>
      </c>
      <c r="F1042" s="1">
        <v>28340</v>
      </c>
      <c r="G1042" s="1" t="str">
        <f>VLOOKUP(H1042,Table7[#All], 2, FALSE)</f>
        <v>Massachusetts</v>
      </c>
      <c r="H1042" s="2" t="s">
        <v>14</v>
      </c>
      <c r="I1042" s="2" t="s">
        <v>15</v>
      </c>
      <c r="J1042" s="2" t="s">
        <v>34</v>
      </c>
      <c r="K1042" s="2" t="s">
        <v>8</v>
      </c>
      <c r="L1042" s="2" t="s">
        <v>9</v>
      </c>
      <c r="M1042" s="2" t="s">
        <v>10</v>
      </c>
      <c r="N1042" s="2" t="s">
        <v>19</v>
      </c>
      <c r="O1042" s="2" t="s">
        <v>12</v>
      </c>
      <c r="P1042" s="2" t="s">
        <v>35</v>
      </c>
      <c r="Q1042" s="2" t="s">
        <v>30</v>
      </c>
      <c r="R1042" s="2" t="s">
        <v>41</v>
      </c>
      <c r="S1042">
        <v>1</v>
      </c>
    </row>
    <row r="1043" spans="1:19" x14ac:dyDescent="0.3">
      <c r="A1043">
        <v>1408</v>
      </c>
      <c r="B1043">
        <f>YEAR(Cleaned_HR_Data_Analysis__2[[#This Row],[Joining_Date]])</f>
        <v>2021</v>
      </c>
      <c r="C1043" s="1">
        <v>44272</v>
      </c>
      <c r="D1043" s="1" t="str" cm="1">
        <f t="array" ref="D1043">_xlfn.IFS(E1043&lt;28, "17-27",
AND(E1043&gt;27, E1043&lt;38), "28-37",
AND(E1043&gt;37, E1043 &lt;48), "38-47",
AND(E1043&gt;47, E1043 &lt;58), "48-57",
AND(E1043&gt;57, E1043&lt;68), "58-67",
AND(E1043&gt;67, E1043&lt;78), "68-77",
E1043&gt;77,"Above than 77")</f>
        <v>38-47</v>
      </c>
      <c r="E1043">
        <v>41</v>
      </c>
      <c r="F1043" s="1">
        <v>29558</v>
      </c>
      <c r="G1043" s="1" t="str">
        <f>VLOOKUP(H1043,Table7[#All], 2, FALSE)</f>
        <v>Massachusetts</v>
      </c>
      <c r="H1043" s="2" t="s">
        <v>14</v>
      </c>
      <c r="I1043" s="2" t="s">
        <v>15</v>
      </c>
      <c r="J1043" s="2" t="s">
        <v>31</v>
      </c>
      <c r="K1043" s="2" t="s">
        <v>8</v>
      </c>
      <c r="L1043" s="2" t="s">
        <v>9</v>
      </c>
      <c r="M1043" s="2" t="s">
        <v>10</v>
      </c>
      <c r="N1043" s="2" t="s">
        <v>26</v>
      </c>
      <c r="O1043" s="2" t="s">
        <v>12</v>
      </c>
      <c r="P1043" s="2" t="s">
        <v>35</v>
      </c>
      <c r="Q1043" s="2" t="s">
        <v>30</v>
      </c>
      <c r="R1043" s="2" t="s">
        <v>41</v>
      </c>
      <c r="S1043">
        <v>3</v>
      </c>
    </row>
    <row r="1044" spans="1:19" x14ac:dyDescent="0.3">
      <c r="A1044">
        <v>1282</v>
      </c>
      <c r="B1044">
        <f>YEAR(Cleaned_HR_Data_Analysis__2[[#This Row],[Joining_Date]])</f>
        <v>2021</v>
      </c>
      <c r="C1044" s="1">
        <v>44296</v>
      </c>
      <c r="D1044" s="1" t="str" cm="1">
        <f t="array" ref="D1044">_xlfn.IFS(E1044&lt;28, "17-27",
AND(E1044&gt;27, E1044&lt;38), "28-37",
AND(E1044&gt;37, E1044 &lt;48), "38-47",
AND(E1044&gt;47, E1044 &lt;58), "48-57",
AND(E1044&gt;57, E1044&lt;68), "58-67",
AND(E1044&gt;67, E1044&lt;78), "68-77",
E1044&gt;77,"Above than 77")</f>
        <v>38-47</v>
      </c>
      <c r="E1044">
        <v>41</v>
      </c>
      <c r="F1044" s="1">
        <v>29583</v>
      </c>
      <c r="G1044" s="1" t="str">
        <f>VLOOKUP(H1044,Table7[#All], 2, FALSE)</f>
        <v>Massachusetts</v>
      </c>
      <c r="H1044" s="2" t="s">
        <v>14</v>
      </c>
      <c r="I1044" s="2" t="s">
        <v>15</v>
      </c>
      <c r="J1044" s="2" t="s">
        <v>17</v>
      </c>
      <c r="K1044" s="2" t="s">
        <v>8</v>
      </c>
      <c r="L1044" s="2" t="s">
        <v>66</v>
      </c>
      <c r="M1044" s="2" t="s">
        <v>20</v>
      </c>
      <c r="N1044" s="2" t="s">
        <v>19</v>
      </c>
      <c r="O1044" s="2" t="s">
        <v>12</v>
      </c>
      <c r="P1044" s="2" t="s">
        <v>60</v>
      </c>
      <c r="Q1044" s="2" t="s">
        <v>37</v>
      </c>
      <c r="R1044" s="2" t="s">
        <v>18</v>
      </c>
      <c r="S1044">
        <v>3</v>
      </c>
    </row>
    <row r="1045" spans="1:19" x14ac:dyDescent="0.3">
      <c r="A1045">
        <v>1243</v>
      </c>
      <c r="B1045">
        <f>YEAR(Cleaned_HR_Data_Analysis__2[[#This Row],[Joining_Date]])</f>
        <v>2020</v>
      </c>
      <c r="C1045" s="1">
        <v>43986</v>
      </c>
      <c r="D1045" s="1" t="str" cm="1">
        <f t="array" ref="D1045">_xlfn.IFS(E1045&lt;28, "17-27",
AND(E1045&gt;27, E1045&lt;38), "28-37",
AND(E1045&gt;37, E1045 &lt;48), "38-47",
AND(E1045&gt;47, E1045 &lt;58), "48-57",
AND(E1045&gt;57, E1045&lt;68), "58-67",
AND(E1045&gt;67, E1045&lt;78), "68-77",
E1045&gt;77,"Above than 77")</f>
        <v>38-47</v>
      </c>
      <c r="E1045">
        <v>41</v>
      </c>
      <c r="F1045" s="1">
        <v>28921</v>
      </c>
      <c r="G1045" s="1" t="str">
        <f>VLOOKUP(H1045,Table7[#All], 2, FALSE)</f>
        <v>Massachusetts</v>
      </c>
      <c r="H1045" s="2" t="s">
        <v>14</v>
      </c>
      <c r="I1045" s="2" t="s">
        <v>15</v>
      </c>
      <c r="J1045" s="2" t="s">
        <v>17</v>
      </c>
      <c r="K1045" s="2" t="s">
        <v>8</v>
      </c>
      <c r="L1045" s="2" t="s">
        <v>9</v>
      </c>
      <c r="M1045" s="2" t="s">
        <v>10</v>
      </c>
      <c r="N1045" s="2" t="s">
        <v>19</v>
      </c>
      <c r="O1045" s="2" t="s">
        <v>12</v>
      </c>
      <c r="P1045" s="2" t="s">
        <v>32</v>
      </c>
      <c r="Q1045" s="2" t="s">
        <v>16</v>
      </c>
      <c r="R1045" s="2" t="s">
        <v>18</v>
      </c>
      <c r="S1045">
        <v>2</v>
      </c>
    </row>
    <row r="1046" spans="1:19" x14ac:dyDescent="0.3">
      <c r="A1046">
        <v>1196</v>
      </c>
      <c r="B1046">
        <f>YEAR(Cleaned_HR_Data_Analysis__2[[#This Row],[Joining_Date]])</f>
        <v>2019</v>
      </c>
      <c r="C1046" s="1">
        <v>43533</v>
      </c>
      <c r="D1046" s="1" t="str" cm="1">
        <f t="array" ref="D1046">_xlfn.IFS(E1046&lt;28, "17-27",
AND(E1046&gt;27, E1046&lt;38), "28-37",
AND(E1046&gt;37, E1046 &lt;48), "38-47",
AND(E1046&gt;47, E1046 &lt;58), "48-57",
AND(E1046&gt;57, E1046&lt;68), "58-67",
AND(E1046&gt;67, E1046&lt;78), "68-77",
E1046&gt;77,"Above than 77")</f>
        <v>38-47</v>
      </c>
      <c r="E1046">
        <v>41</v>
      </c>
      <c r="F1046" s="1">
        <v>28801</v>
      </c>
      <c r="G1046" s="1" t="str">
        <f>VLOOKUP(H1046,Table7[#All], 2, FALSE)</f>
        <v>Massachusetts</v>
      </c>
      <c r="H1046" s="2" t="s">
        <v>14</v>
      </c>
      <c r="I1046" s="2" t="s">
        <v>15</v>
      </c>
      <c r="J1046" s="2" t="s">
        <v>34</v>
      </c>
      <c r="K1046" s="2" t="s">
        <v>8</v>
      </c>
      <c r="L1046" s="2" t="s">
        <v>9</v>
      </c>
      <c r="M1046" s="2" t="s">
        <v>20</v>
      </c>
      <c r="N1046" s="2" t="s">
        <v>11</v>
      </c>
      <c r="O1046" s="2" t="s">
        <v>12</v>
      </c>
      <c r="P1046" s="2" t="s">
        <v>38</v>
      </c>
      <c r="Q1046" s="2" t="s">
        <v>30</v>
      </c>
      <c r="R1046" s="2" t="s">
        <v>18</v>
      </c>
      <c r="S1046">
        <v>5</v>
      </c>
    </row>
    <row r="1047" spans="1:19" x14ac:dyDescent="0.3">
      <c r="A1047">
        <v>1109</v>
      </c>
      <c r="B1047">
        <f>YEAR(Cleaned_HR_Data_Analysis__2[[#This Row],[Joining_Date]])</f>
        <v>2022</v>
      </c>
      <c r="C1047" s="1">
        <v>44723</v>
      </c>
      <c r="D1047" s="1" t="str" cm="1">
        <f t="array" ref="D1047">_xlfn.IFS(E1047&lt;28, "17-27",
AND(E1047&gt;27, E1047&lt;38), "28-37",
AND(E1047&gt;37, E1047 &lt;48), "38-47",
AND(E1047&gt;47, E1047 &lt;58), "48-57",
AND(E1047&gt;57, E1047&lt;68), "58-67",
AND(E1047&gt;67, E1047&lt;78), "68-77",
E1047&gt;77,"Above than 77")</f>
        <v>38-47</v>
      </c>
      <c r="E1047">
        <v>41</v>
      </c>
      <c r="F1047" s="1">
        <v>29860</v>
      </c>
      <c r="G1047" s="1" t="str">
        <f>VLOOKUP(H1047,Table7[#All], 2, FALSE)</f>
        <v>Massachusetts</v>
      </c>
      <c r="H1047" s="2" t="s">
        <v>14</v>
      </c>
      <c r="I1047" s="2" t="s">
        <v>15</v>
      </c>
      <c r="J1047" s="2" t="s">
        <v>40</v>
      </c>
      <c r="K1047" s="2" t="s">
        <v>8</v>
      </c>
      <c r="L1047" s="2" t="s">
        <v>66</v>
      </c>
      <c r="M1047" s="2" t="s">
        <v>25</v>
      </c>
      <c r="N1047" s="2" t="s">
        <v>11</v>
      </c>
      <c r="O1047" s="2" t="s">
        <v>12</v>
      </c>
      <c r="P1047" s="2" t="s">
        <v>35</v>
      </c>
      <c r="Q1047" s="2" t="s">
        <v>16</v>
      </c>
      <c r="R1047" s="2" t="s">
        <v>18</v>
      </c>
      <c r="S1047">
        <v>5</v>
      </c>
    </row>
    <row r="1048" spans="1:19" x14ac:dyDescent="0.3">
      <c r="A1048">
        <v>2435</v>
      </c>
      <c r="B1048">
        <f>YEAR(Cleaned_HR_Data_Analysis__2[[#This Row],[Joining_Date]])</f>
        <v>2023</v>
      </c>
      <c r="C1048" s="1">
        <v>44998</v>
      </c>
      <c r="D1048" s="1" t="str" cm="1">
        <f t="array" ref="D1048">_xlfn.IFS(E1048&lt;28, "17-27",
AND(E1048&gt;27, E1048&lt;38), "28-37",
AND(E1048&gt;37, E1048 &lt;48), "38-47",
AND(E1048&gt;47, E1048 &lt;58), "48-57",
AND(E1048&gt;57, E1048&lt;68), "58-67",
AND(E1048&gt;67, E1048&lt;78), "68-77",
E1048&gt;77,"Above than 77")</f>
        <v>38-47</v>
      </c>
      <c r="E1048">
        <v>41</v>
      </c>
      <c r="F1048" s="1">
        <v>30107</v>
      </c>
      <c r="G1048" s="1" t="str">
        <f>VLOOKUP(H1048,Table7[#All], 2, FALSE)</f>
        <v>Massachusetts</v>
      </c>
      <c r="H1048" s="2" t="s">
        <v>14</v>
      </c>
      <c r="I1048" s="2" t="s">
        <v>22</v>
      </c>
      <c r="J1048" s="2" t="s">
        <v>17</v>
      </c>
      <c r="K1048" s="2" t="s">
        <v>91</v>
      </c>
      <c r="L1048" s="2" t="s">
        <v>66</v>
      </c>
      <c r="M1048" s="2" t="s">
        <v>25</v>
      </c>
      <c r="N1048" s="2" t="s">
        <v>11</v>
      </c>
      <c r="O1048" s="2" t="s">
        <v>12</v>
      </c>
      <c r="P1048" s="2" t="s">
        <v>42</v>
      </c>
      <c r="Q1048" s="2" t="s">
        <v>30</v>
      </c>
      <c r="R1048" s="2" t="s">
        <v>18</v>
      </c>
      <c r="S1048">
        <v>3</v>
      </c>
    </row>
    <row r="1049" spans="1:19" x14ac:dyDescent="0.3">
      <c r="A1049">
        <v>2276</v>
      </c>
      <c r="B1049">
        <f>YEAR(Cleaned_HR_Data_Analysis__2[[#This Row],[Joining_Date]])</f>
        <v>2023</v>
      </c>
      <c r="C1049" s="1">
        <v>45117</v>
      </c>
      <c r="D1049" s="1" t="str" cm="1">
        <f t="array" ref="D1049">_xlfn.IFS(E1049&lt;28, "17-27",
AND(E1049&gt;27, E1049&lt;38), "28-37",
AND(E1049&gt;37, E1049 &lt;48), "38-47",
AND(E1049&gt;47, E1049 &lt;58), "48-57",
AND(E1049&gt;57, E1049&lt;68), "58-67",
AND(E1049&gt;67, E1049&lt;78), "68-77",
E1049&gt;77,"Above than 77")</f>
        <v>38-47</v>
      </c>
      <c r="E1049">
        <v>41</v>
      </c>
      <c r="F1049" s="1">
        <v>30276</v>
      </c>
      <c r="G1049" s="1" t="str">
        <f>VLOOKUP(H1049,Table7[#All], 2, FALSE)</f>
        <v>Massachusetts</v>
      </c>
      <c r="H1049" s="2" t="s">
        <v>14</v>
      </c>
      <c r="I1049" s="2" t="s">
        <v>15</v>
      </c>
      <c r="J1049" s="2" t="s">
        <v>40</v>
      </c>
      <c r="K1049" s="2" t="s">
        <v>91</v>
      </c>
      <c r="L1049" s="2" t="s">
        <v>9</v>
      </c>
      <c r="M1049" s="2" t="s">
        <v>25</v>
      </c>
      <c r="N1049" s="2" t="s">
        <v>26</v>
      </c>
      <c r="O1049" s="2" t="s">
        <v>12</v>
      </c>
      <c r="P1049" s="2" t="s">
        <v>54</v>
      </c>
      <c r="Q1049" s="2" t="s">
        <v>16</v>
      </c>
      <c r="R1049" s="2" t="s">
        <v>18</v>
      </c>
      <c r="S1049">
        <v>2</v>
      </c>
    </row>
    <row r="1050" spans="1:19" x14ac:dyDescent="0.3">
      <c r="A1050">
        <v>2458</v>
      </c>
      <c r="B1050">
        <f>YEAR(Cleaned_HR_Data_Analysis__2[[#This Row],[Joining_Date]])</f>
        <v>2020</v>
      </c>
      <c r="C1050" s="1">
        <v>44125</v>
      </c>
      <c r="D1050" s="1" t="str" cm="1">
        <f t="array" ref="D1050">_xlfn.IFS(E1050&lt;28, "17-27",
AND(E1050&gt;27, E1050&lt;38), "28-37",
AND(E1050&gt;37, E1050 &lt;48), "38-47",
AND(E1050&gt;47, E1050 &lt;58), "48-57",
AND(E1050&gt;57, E1050&lt;68), "58-67",
AND(E1050&gt;67, E1050&lt;78), "68-77",
E1050&gt;77,"Above than 77")</f>
        <v>38-47</v>
      </c>
      <c r="E1050">
        <v>41</v>
      </c>
      <c r="F1050" s="1">
        <v>28924</v>
      </c>
      <c r="G1050" s="1" t="str">
        <f>VLOOKUP(H1050,Table7[#All], 2, FALSE)</f>
        <v>Massachusetts</v>
      </c>
      <c r="H1050" s="2" t="s">
        <v>14</v>
      </c>
      <c r="I1050" s="2" t="s">
        <v>22</v>
      </c>
      <c r="J1050" s="2" t="s">
        <v>17</v>
      </c>
      <c r="K1050" s="2" t="s">
        <v>94</v>
      </c>
      <c r="L1050" s="2" t="s">
        <v>9</v>
      </c>
      <c r="M1050" s="2" t="s">
        <v>20</v>
      </c>
      <c r="N1050" s="2" t="s">
        <v>26</v>
      </c>
      <c r="O1050" s="2" t="s">
        <v>12</v>
      </c>
      <c r="P1050" s="2" t="s">
        <v>58</v>
      </c>
      <c r="Q1050" s="2" t="s">
        <v>30</v>
      </c>
      <c r="R1050" s="2" t="s">
        <v>18</v>
      </c>
      <c r="S1050">
        <v>3</v>
      </c>
    </row>
    <row r="1051" spans="1:19" x14ac:dyDescent="0.3">
      <c r="A1051">
        <v>2423</v>
      </c>
      <c r="B1051">
        <f>YEAR(Cleaned_HR_Data_Analysis__2[[#This Row],[Joining_Date]])</f>
        <v>2018</v>
      </c>
      <c r="C1051" s="1">
        <v>43383</v>
      </c>
      <c r="D1051" s="1" t="str" cm="1">
        <f t="array" ref="D1051">_xlfn.IFS(E1051&lt;28, "17-27",
AND(E1051&gt;27, E1051&lt;38), "28-37",
AND(E1051&gt;37, E1051 &lt;48), "38-47",
AND(E1051&gt;47, E1051 &lt;58), "48-57",
AND(E1051&gt;57, E1051&lt;68), "58-67",
AND(E1051&gt;67, E1051&lt;78), "68-77",
E1051&gt;77,"Above than 77")</f>
        <v>38-47</v>
      </c>
      <c r="E1051">
        <v>41</v>
      </c>
      <c r="F1051" s="1">
        <v>28439</v>
      </c>
      <c r="G1051" s="1" t="str">
        <f>VLOOKUP(H1051,Table7[#All], 2, FALSE)</f>
        <v>Massachusetts</v>
      </c>
      <c r="H1051" s="2" t="s">
        <v>14</v>
      </c>
      <c r="I1051" s="2" t="s">
        <v>22</v>
      </c>
      <c r="J1051" s="2" t="s">
        <v>40</v>
      </c>
      <c r="K1051" s="2" t="s">
        <v>94</v>
      </c>
      <c r="L1051" s="2" t="s">
        <v>9</v>
      </c>
      <c r="M1051" s="2" t="s">
        <v>10</v>
      </c>
      <c r="N1051" s="2" t="s">
        <v>19</v>
      </c>
      <c r="O1051" s="2" t="s">
        <v>12</v>
      </c>
      <c r="P1051" s="2" t="s">
        <v>32</v>
      </c>
      <c r="Q1051" s="2" t="s">
        <v>46</v>
      </c>
      <c r="R1051" s="2" t="s">
        <v>18</v>
      </c>
      <c r="S1051">
        <v>3</v>
      </c>
    </row>
    <row r="1052" spans="1:19" x14ac:dyDescent="0.3">
      <c r="A1052">
        <v>3934</v>
      </c>
      <c r="B1052">
        <f>YEAR(Cleaned_HR_Data_Analysis__2[[#This Row],[Joining_Date]])</f>
        <v>2020</v>
      </c>
      <c r="C1052" s="1">
        <v>43936</v>
      </c>
      <c r="D1052" s="1" t="str" cm="1">
        <f t="array" ref="D1052">_xlfn.IFS(E1052&lt;28, "17-27",
AND(E1052&gt;27, E1052&lt;38), "28-37",
AND(E1052&gt;37, E1052 &lt;48), "38-47",
AND(E1052&gt;47, E1052 &lt;58), "48-57",
AND(E1052&gt;57, E1052&lt;68), "58-67",
AND(E1052&gt;67, E1052&lt;78), "68-77",
E1052&gt;77,"Above than 77")</f>
        <v>38-47</v>
      </c>
      <c r="E1052">
        <v>41</v>
      </c>
      <c r="F1052" s="1">
        <v>28858</v>
      </c>
      <c r="G1052" s="1" t="str">
        <f>VLOOKUP(H1052,Table7[#All], 2, FALSE)</f>
        <v>Massachusetts</v>
      </c>
      <c r="H1052" s="2" t="s">
        <v>14</v>
      </c>
      <c r="I1052" s="2" t="s">
        <v>15</v>
      </c>
      <c r="J1052" s="2" t="s">
        <v>17</v>
      </c>
      <c r="K1052" s="2" t="s">
        <v>70</v>
      </c>
      <c r="L1052" s="2" t="s">
        <v>9</v>
      </c>
      <c r="M1052" s="2" t="s">
        <v>25</v>
      </c>
      <c r="N1052" s="2" t="s">
        <v>11</v>
      </c>
      <c r="O1052" s="2" t="s">
        <v>53</v>
      </c>
      <c r="P1052" s="2" t="s">
        <v>44</v>
      </c>
      <c r="Q1052" s="2" t="s">
        <v>46</v>
      </c>
      <c r="R1052" s="2" t="s">
        <v>18</v>
      </c>
      <c r="S1052">
        <v>3</v>
      </c>
    </row>
    <row r="1053" spans="1:19" x14ac:dyDescent="0.3">
      <c r="A1053">
        <v>2487</v>
      </c>
      <c r="B1053">
        <f>YEAR(Cleaned_HR_Data_Analysis__2[[#This Row],[Joining_Date]])</f>
        <v>2019</v>
      </c>
      <c r="C1053" s="1">
        <v>43666</v>
      </c>
      <c r="D1053" s="1" t="str" cm="1">
        <f t="array" ref="D1053">_xlfn.IFS(E1053&lt;28, "17-27",
AND(E1053&gt;27, E1053&lt;38), "28-37",
AND(E1053&gt;37, E1053 &lt;48), "38-47",
AND(E1053&gt;47, E1053 &lt;58), "48-57",
AND(E1053&gt;57, E1053&lt;68), "58-67",
AND(E1053&gt;67, E1053&lt;78), "68-77",
E1053&gt;77,"Above than 77")</f>
        <v>38-47</v>
      </c>
      <c r="E1053">
        <v>41</v>
      </c>
      <c r="F1053" s="1">
        <v>28833</v>
      </c>
      <c r="G1053" s="1" t="str">
        <f>VLOOKUP(H1053,Table7[#All], 2, FALSE)</f>
        <v>Massachusetts</v>
      </c>
      <c r="H1053" s="2" t="s">
        <v>14</v>
      </c>
      <c r="I1053" s="2" t="s">
        <v>22</v>
      </c>
      <c r="J1053" s="2" t="s">
        <v>31</v>
      </c>
      <c r="K1053" s="2" t="s">
        <v>103</v>
      </c>
      <c r="L1053" s="2" t="s">
        <v>9</v>
      </c>
      <c r="M1053" s="2" t="s">
        <v>20</v>
      </c>
      <c r="N1053" s="2" t="s">
        <v>19</v>
      </c>
      <c r="O1053" s="2" t="s">
        <v>53</v>
      </c>
      <c r="P1053" s="2" t="s">
        <v>49</v>
      </c>
      <c r="Q1053" s="2" t="s">
        <v>16</v>
      </c>
      <c r="R1053" s="2" t="s">
        <v>18</v>
      </c>
      <c r="S1053">
        <v>1</v>
      </c>
    </row>
    <row r="1054" spans="1:19" x14ac:dyDescent="0.3">
      <c r="A1054">
        <v>3472</v>
      </c>
      <c r="B1054">
        <f>YEAR(Cleaned_HR_Data_Analysis__2[[#This Row],[Joining_Date]])</f>
        <v>2023</v>
      </c>
      <c r="C1054" s="1">
        <v>44941</v>
      </c>
      <c r="D1054" s="1" t="str" cm="1">
        <f t="array" ref="D1054">_xlfn.IFS(E1054&lt;28, "17-27",
AND(E1054&gt;27, E1054&lt;38), "28-37",
AND(E1054&gt;37, E1054 &lt;48), "38-47",
AND(E1054&gt;47, E1054 &lt;58), "48-57",
AND(E1054&gt;57, E1054&lt;68), "58-67",
AND(E1054&gt;67, E1054&lt;78), "68-77",
E1054&gt;77,"Above than 77")</f>
        <v>38-47</v>
      </c>
      <c r="E1054">
        <v>41</v>
      </c>
      <c r="F1054" s="1">
        <v>29963</v>
      </c>
      <c r="G1054" s="1" t="str">
        <f>VLOOKUP(H1054,Table7[#All], 2, FALSE)</f>
        <v>Texas</v>
      </c>
      <c r="H1054" s="2" t="s">
        <v>45</v>
      </c>
      <c r="I1054" s="2" t="s">
        <v>22</v>
      </c>
      <c r="J1054" s="2" t="s">
        <v>34</v>
      </c>
      <c r="K1054" s="2" t="s">
        <v>24</v>
      </c>
      <c r="L1054" s="2" t="s">
        <v>9</v>
      </c>
      <c r="M1054" s="2" t="s">
        <v>10</v>
      </c>
      <c r="N1054" s="2" t="s">
        <v>11</v>
      </c>
      <c r="O1054" s="2" t="s">
        <v>27</v>
      </c>
      <c r="P1054" s="2" t="s">
        <v>54</v>
      </c>
      <c r="Q1054" s="2" t="s">
        <v>30</v>
      </c>
      <c r="R1054" s="2" t="s">
        <v>41</v>
      </c>
      <c r="S1054">
        <v>5</v>
      </c>
    </row>
    <row r="1055" spans="1:19" x14ac:dyDescent="0.3">
      <c r="A1055">
        <v>3546</v>
      </c>
      <c r="B1055">
        <f>YEAR(Cleaned_HR_Data_Analysis__2[[#This Row],[Joining_Date]])</f>
        <v>2021</v>
      </c>
      <c r="C1055" s="1">
        <v>44408</v>
      </c>
      <c r="D1055" s="1" t="str" cm="1">
        <f t="array" ref="D1055">_xlfn.IFS(E1055&lt;28, "17-27",
AND(E1055&gt;27, E1055&lt;38), "28-37",
AND(E1055&gt;37, E1055 &lt;48), "38-47",
AND(E1055&gt;47, E1055 &lt;58), "48-57",
AND(E1055&gt;57, E1055&lt;68), "58-67",
AND(E1055&gt;67, E1055&lt;78), "68-77",
E1055&gt;77,"Above than 77")</f>
        <v>38-47</v>
      </c>
      <c r="E1055">
        <v>41</v>
      </c>
      <c r="F1055" s="1">
        <v>29416</v>
      </c>
      <c r="G1055" s="1" t="str">
        <f>VLOOKUP(H1055,Table7[#All], 2, FALSE)</f>
        <v>North Dakota</v>
      </c>
      <c r="H1055" s="2" t="s">
        <v>29</v>
      </c>
      <c r="I1055" s="2" t="s">
        <v>22</v>
      </c>
      <c r="J1055" s="2" t="s">
        <v>17</v>
      </c>
      <c r="K1055" s="2" t="s">
        <v>24</v>
      </c>
      <c r="L1055" s="2" t="s">
        <v>9</v>
      </c>
      <c r="M1055" s="2" t="s">
        <v>25</v>
      </c>
      <c r="N1055" s="2" t="s">
        <v>26</v>
      </c>
      <c r="O1055" s="2" t="s">
        <v>27</v>
      </c>
      <c r="P1055" s="2" t="s">
        <v>32</v>
      </c>
      <c r="Q1055" s="2" t="s">
        <v>23</v>
      </c>
      <c r="R1055" s="2" t="s">
        <v>41</v>
      </c>
      <c r="S1055">
        <v>5</v>
      </c>
    </row>
    <row r="1056" spans="1:19" x14ac:dyDescent="0.3">
      <c r="A1056">
        <v>3504</v>
      </c>
      <c r="B1056">
        <f>YEAR(Cleaned_HR_Data_Analysis__2[[#This Row],[Joining_Date]])</f>
        <v>2021</v>
      </c>
      <c r="C1056" s="1">
        <v>44479</v>
      </c>
      <c r="D1056" s="1" t="str" cm="1">
        <f t="array" ref="D1056">_xlfn.IFS(E1056&lt;28, "17-27",
AND(E1056&gt;27, E1056&lt;38), "28-37",
AND(E1056&gt;37, E1056 &lt;48), "38-47",
AND(E1056&gt;47, E1056 &lt;58), "48-57",
AND(E1056&gt;57, E1056&lt;68), "58-67",
AND(E1056&gt;67, E1056&lt;78), "68-77",
E1056&gt;77,"Above than 77")</f>
        <v>38-47</v>
      </c>
      <c r="E1056">
        <v>41</v>
      </c>
      <c r="F1056" s="1">
        <v>29456</v>
      </c>
      <c r="G1056" s="1" t="str">
        <f>VLOOKUP(H1056,Table7[#All], 2, FALSE)</f>
        <v>Colorado</v>
      </c>
      <c r="H1056" s="2" t="s">
        <v>50</v>
      </c>
      <c r="I1056" s="2" t="s">
        <v>22</v>
      </c>
      <c r="J1056" s="2" t="s">
        <v>34</v>
      </c>
      <c r="K1056" s="2" t="s">
        <v>24</v>
      </c>
      <c r="L1056" s="2" t="s">
        <v>9</v>
      </c>
      <c r="M1056" s="2" t="s">
        <v>25</v>
      </c>
      <c r="N1056" s="2" t="s">
        <v>26</v>
      </c>
      <c r="O1056" s="2" t="s">
        <v>27</v>
      </c>
      <c r="P1056" s="2" t="s">
        <v>32</v>
      </c>
      <c r="Q1056" s="2" t="s">
        <v>23</v>
      </c>
      <c r="R1056" s="2" t="s">
        <v>18</v>
      </c>
      <c r="S1056">
        <v>4</v>
      </c>
    </row>
    <row r="1057" spans="1:19" x14ac:dyDescent="0.3">
      <c r="A1057">
        <v>3439</v>
      </c>
      <c r="B1057">
        <f>YEAR(Cleaned_HR_Data_Analysis__2[[#This Row],[Joining_Date]])</f>
        <v>2022</v>
      </c>
      <c r="C1057" s="1">
        <v>44706</v>
      </c>
      <c r="D1057" s="1" t="str" cm="1">
        <f t="array" ref="D1057">_xlfn.IFS(E1057&lt;28, "17-27",
AND(E1057&gt;27, E1057&lt;38), "28-37",
AND(E1057&gt;37, E1057 &lt;48), "38-47",
AND(E1057&gt;47, E1057 &lt;58), "48-57",
AND(E1057&gt;57, E1057&lt;68), "58-67",
AND(E1057&gt;67, E1057&lt;78), "68-77",
E1057&gt;77,"Above than 77")</f>
        <v>38-47</v>
      </c>
      <c r="E1057">
        <v>41</v>
      </c>
      <c r="F1057" s="1">
        <v>29914</v>
      </c>
      <c r="G1057" s="1" t="str">
        <f>VLOOKUP(H1057,Table7[#All], 2, FALSE)</f>
        <v>Colorado</v>
      </c>
      <c r="H1057" s="2" t="s">
        <v>50</v>
      </c>
      <c r="I1057" s="2" t="s">
        <v>22</v>
      </c>
      <c r="J1057" s="2" t="s">
        <v>31</v>
      </c>
      <c r="K1057" s="2" t="s">
        <v>24</v>
      </c>
      <c r="L1057" s="2" t="s">
        <v>9</v>
      </c>
      <c r="M1057" s="2" t="s">
        <v>25</v>
      </c>
      <c r="N1057" s="2" t="s">
        <v>19</v>
      </c>
      <c r="O1057" s="2" t="s">
        <v>27</v>
      </c>
      <c r="P1057" s="2" t="s">
        <v>49</v>
      </c>
      <c r="Q1057" s="2" t="s">
        <v>30</v>
      </c>
      <c r="R1057" s="2" t="s">
        <v>18</v>
      </c>
      <c r="S1057">
        <v>2</v>
      </c>
    </row>
    <row r="1058" spans="1:19" x14ac:dyDescent="0.3">
      <c r="A1058">
        <v>2722</v>
      </c>
      <c r="B1058">
        <f>YEAR(Cleaned_HR_Data_Analysis__2[[#This Row],[Joining_Date]])</f>
        <v>2020</v>
      </c>
      <c r="C1058" s="1">
        <v>44109</v>
      </c>
      <c r="D1058" s="1" t="str" cm="1">
        <f t="array" ref="D1058">_xlfn.IFS(E1058&lt;28, "17-27",
AND(E1058&gt;27, E1058&lt;38), "28-37",
AND(E1058&gt;37, E1058 &lt;48), "38-47",
AND(E1058&gt;47, E1058 &lt;58), "48-57",
AND(E1058&gt;57, E1058&lt;68), "58-67",
AND(E1058&gt;67, E1058&lt;78), "68-77",
E1058&gt;77,"Above than 77")</f>
        <v>38-47</v>
      </c>
      <c r="E1058">
        <v>41</v>
      </c>
      <c r="F1058" s="1">
        <v>29191</v>
      </c>
      <c r="G1058" s="1" t="str">
        <f>VLOOKUP(H1058,Table7[#All], 2, FALSE)</f>
        <v>Alabama</v>
      </c>
      <c r="H1058" s="2" t="s">
        <v>116</v>
      </c>
      <c r="I1058" s="2" t="s">
        <v>22</v>
      </c>
      <c r="J1058" s="2" t="s">
        <v>31</v>
      </c>
      <c r="K1058" s="2" t="s">
        <v>24</v>
      </c>
      <c r="L1058" s="2" t="s">
        <v>9</v>
      </c>
      <c r="M1058" s="2" t="s">
        <v>10</v>
      </c>
      <c r="N1058" s="2" t="s">
        <v>11</v>
      </c>
      <c r="O1058" s="2" t="s">
        <v>27</v>
      </c>
      <c r="P1058" s="2" t="s">
        <v>32</v>
      </c>
      <c r="Q1058" s="2" t="s">
        <v>16</v>
      </c>
      <c r="R1058" s="2" t="s">
        <v>18</v>
      </c>
      <c r="S1058">
        <v>4</v>
      </c>
    </row>
    <row r="1059" spans="1:19" x14ac:dyDescent="0.3">
      <c r="A1059">
        <v>1363</v>
      </c>
      <c r="B1059">
        <f>YEAR(Cleaned_HR_Data_Analysis__2[[#This Row],[Joining_Date]])</f>
        <v>2023</v>
      </c>
      <c r="C1059" s="1">
        <v>45135</v>
      </c>
      <c r="D1059" s="1" t="str" cm="1">
        <f t="array" ref="D1059">_xlfn.IFS(E1059&lt;28, "17-27",
AND(E1059&gt;27, E1059&lt;38), "28-37",
AND(E1059&gt;37, E1059 &lt;48), "38-47",
AND(E1059&gt;47, E1059 &lt;58), "48-57",
AND(E1059&gt;57, E1059&lt;68), "58-67",
AND(E1059&gt;67, E1059&lt;78), "68-77",
E1059&gt;77,"Above than 77")</f>
        <v>38-47</v>
      </c>
      <c r="E1059">
        <v>41</v>
      </c>
      <c r="F1059" s="1">
        <v>30062</v>
      </c>
      <c r="G1059" s="1" t="str">
        <f>VLOOKUP(H1059,Table7[#All], 2, FALSE)</f>
        <v>Massachusetts</v>
      </c>
      <c r="H1059" s="2" t="s">
        <v>14</v>
      </c>
      <c r="I1059" s="2" t="s">
        <v>15</v>
      </c>
      <c r="J1059" s="2" t="s">
        <v>40</v>
      </c>
      <c r="K1059" s="2" t="s">
        <v>96</v>
      </c>
      <c r="L1059" s="2" t="s">
        <v>9</v>
      </c>
      <c r="M1059" s="2" t="s">
        <v>25</v>
      </c>
      <c r="N1059" s="2" t="s">
        <v>19</v>
      </c>
      <c r="O1059" s="2" t="s">
        <v>90</v>
      </c>
      <c r="P1059" s="2" t="s">
        <v>32</v>
      </c>
      <c r="Q1059" s="2" t="s">
        <v>46</v>
      </c>
      <c r="R1059" s="2" t="s">
        <v>65</v>
      </c>
      <c r="S1059">
        <v>2</v>
      </c>
    </row>
    <row r="1060" spans="1:19" x14ac:dyDescent="0.3">
      <c r="A1060">
        <v>1341</v>
      </c>
      <c r="B1060">
        <f>YEAR(Cleaned_HR_Data_Analysis__2[[#This Row],[Joining_Date]])</f>
        <v>2021</v>
      </c>
      <c r="C1060" s="1">
        <v>44503</v>
      </c>
      <c r="D1060" s="1" t="str" cm="1">
        <f t="array" ref="D1060">_xlfn.IFS(E1060&lt;28, "17-27",
AND(E1060&gt;27, E1060&lt;38), "28-37",
AND(E1060&gt;37, E1060 &lt;48), "38-47",
AND(E1060&gt;47, E1060 &lt;58), "48-57",
AND(E1060&gt;57, E1060&lt;68), "58-67",
AND(E1060&gt;67, E1060&lt;78), "68-77",
E1060&gt;77,"Above than 77")</f>
        <v>38-47</v>
      </c>
      <c r="E1060">
        <v>42</v>
      </c>
      <c r="F1060" s="1">
        <v>28908</v>
      </c>
      <c r="G1060" s="1" t="str">
        <f>VLOOKUP(H1060,Table7[#All], 2, FALSE)</f>
        <v>Massachusetts</v>
      </c>
      <c r="H1060" s="2" t="s">
        <v>14</v>
      </c>
      <c r="I1060" s="2" t="s">
        <v>15</v>
      </c>
      <c r="J1060" s="2" t="s">
        <v>31</v>
      </c>
      <c r="K1060" s="2" t="s">
        <v>85</v>
      </c>
      <c r="L1060" s="2" t="s">
        <v>9</v>
      </c>
      <c r="M1060" s="2" t="s">
        <v>20</v>
      </c>
      <c r="N1060" s="2" t="s">
        <v>11</v>
      </c>
      <c r="O1060" s="2" t="s">
        <v>87</v>
      </c>
      <c r="P1060" s="2" t="s">
        <v>42</v>
      </c>
      <c r="Q1060" s="2" t="s">
        <v>23</v>
      </c>
      <c r="R1060" s="2" t="s">
        <v>18</v>
      </c>
      <c r="S1060">
        <v>3</v>
      </c>
    </row>
    <row r="1061" spans="1:19" x14ac:dyDescent="0.3">
      <c r="A1061">
        <v>2530</v>
      </c>
      <c r="B1061">
        <f>YEAR(Cleaned_HR_Data_Analysis__2[[#This Row],[Joining_Date]])</f>
        <v>2022</v>
      </c>
      <c r="C1061" s="1">
        <v>44854</v>
      </c>
      <c r="D1061" s="1" t="str" cm="1">
        <f t="array" ref="D1061">_xlfn.IFS(E1061&lt;28, "17-27",
AND(E1061&gt;27, E1061&lt;38), "28-37",
AND(E1061&gt;37, E1061 &lt;48), "38-47",
AND(E1061&gt;47, E1061 &lt;58), "48-57",
AND(E1061&gt;57, E1061&lt;68), "58-67",
AND(E1061&gt;67, E1061&lt;78), "68-77",
E1061&gt;77,"Above than 77")</f>
        <v>38-47</v>
      </c>
      <c r="E1061">
        <v>42</v>
      </c>
      <c r="F1061" s="1">
        <v>29322</v>
      </c>
      <c r="G1061" s="1" t="str">
        <f>VLOOKUP(H1061,Table7[#All], 2, FALSE)</f>
        <v>Massachusetts</v>
      </c>
      <c r="H1061" s="2" t="s">
        <v>14</v>
      </c>
      <c r="I1061" s="2" t="s">
        <v>22</v>
      </c>
      <c r="J1061" s="2" t="s">
        <v>40</v>
      </c>
      <c r="K1061" s="2" t="s">
        <v>86</v>
      </c>
      <c r="L1061" s="2" t="s">
        <v>9</v>
      </c>
      <c r="M1061" s="2" t="s">
        <v>20</v>
      </c>
      <c r="N1061" s="2" t="s">
        <v>11</v>
      </c>
      <c r="O1061" s="2" t="s">
        <v>87</v>
      </c>
      <c r="P1061" s="2" t="s">
        <v>63</v>
      </c>
      <c r="Q1061" s="2" t="s">
        <v>16</v>
      </c>
      <c r="R1061" s="2" t="s">
        <v>18</v>
      </c>
      <c r="S1061">
        <v>1</v>
      </c>
    </row>
    <row r="1062" spans="1:19" x14ac:dyDescent="0.3">
      <c r="A1062">
        <v>1012</v>
      </c>
      <c r="B1062">
        <f>YEAR(Cleaned_HR_Data_Analysis__2[[#This Row],[Joining_Date]])</f>
        <v>2020</v>
      </c>
      <c r="C1062" s="1">
        <v>44144</v>
      </c>
      <c r="D1062" s="1" t="str" cm="1">
        <f t="array" ref="D1062">_xlfn.IFS(E1062&lt;28, "17-27",
AND(E1062&gt;27, E1062&lt;38), "28-37",
AND(E1062&gt;37, E1062 &lt;48), "38-47",
AND(E1062&gt;47, E1062 &lt;58), "48-57",
AND(E1062&gt;57, E1062&lt;68), "58-67",
AND(E1062&gt;67, E1062&lt;78), "68-77",
E1062&gt;77,"Above than 77")</f>
        <v>38-47</v>
      </c>
      <c r="E1062">
        <v>42</v>
      </c>
      <c r="F1062" s="1">
        <v>28766</v>
      </c>
      <c r="G1062" s="1" t="str">
        <f>VLOOKUP(H1062,Table7[#All], 2, FALSE)</f>
        <v>Massachusetts</v>
      </c>
      <c r="H1062" s="2" t="s">
        <v>14</v>
      </c>
      <c r="I1062" s="2" t="s">
        <v>22</v>
      </c>
      <c r="J1062" s="2" t="s">
        <v>31</v>
      </c>
      <c r="K1062" s="2" t="s">
        <v>86</v>
      </c>
      <c r="L1062" s="2" t="s">
        <v>66</v>
      </c>
      <c r="M1062" s="2" t="s">
        <v>10</v>
      </c>
      <c r="N1062" s="2" t="s">
        <v>19</v>
      </c>
      <c r="O1062" s="2" t="s">
        <v>87</v>
      </c>
      <c r="P1062" s="2" t="s">
        <v>38</v>
      </c>
      <c r="Q1062" s="2" t="s">
        <v>16</v>
      </c>
      <c r="R1062" s="2" t="s">
        <v>18</v>
      </c>
      <c r="S1062">
        <v>5</v>
      </c>
    </row>
    <row r="1063" spans="1:19" x14ac:dyDescent="0.3">
      <c r="A1063">
        <v>2461</v>
      </c>
      <c r="B1063">
        <f>YEAR(Cleaned_HR_Data_Analysis__2[[#This Row],[Joining_Date]])</f>
        <v>2021</v>
      </c>
      <c r="C1063" s="1">
        <v>44466</v>
      </c>
      <c r="D1063" s="1" t="str" cm="1">
        <f t="array" ref="D1063">_xlfn.IFS(E1063&lt;28, "17-27",
AND(E1063&gt;27, E1063&lt;38), "28-37",
AND(E1063&gt;37, E1063 &lt;48), "38-47",
AND(E1063&gt;47, E1063 &lt;58), "48-57",
AND(E1063&gt;57, E1063&lt;68), "58-67",
AND(E1063&gt;67, E1063&lt;78), "68-77",
E1063&gt;77,"Above than 77")</f>
        <v>38-47</v>
      </c>
      <c r="E1063">
        <v>42</v>
      </c>
      <c r="F1063" s="1">
        <v>29011</v>
      </c>
      <c r="G1063" s="1" t="str">
        <f>VLOOKUP(H1063,Table7[#All], 2, FALSE)</f>
        <v>Massachusetts</v>
      </c>
      <c r="H1063" s="2" t="s">
        <v>14</v>
      </c>
      <c r="I1063" s="2" t="s">
        <v>22</v>
      </c>
      <c r="J1063" s="2" t="s">
        <v>40</v>
      </c>
      <c r="K1063" s="2" t="s">
        <v>88</v>
      </c>
      <c r="L1063" s="2" t="s">
        <v>9</v>
      </c>
      <c r="M1063" s="2" t="s">
        <v>20</v>
      </c>
      <c r="N1063" s="2" t="s">
        <v>19</v>
      </c>
      <c r="O1063" s="2" t="s">
        <v>90</v>
      </c>
      <c r="P1063" s="2" t="s">
        <v>49</v>
      </c>
      <c r="Q1063" s="2" t="s">
        <v>37</v>
      </c>
      <c r="R1063" s="2" t="s">
        <v>18</v>
      </c>
      <c r="S1063">
        <v>2</v>
      </c>
    </row>
    <row r="1064" spans="1:19" x14ac:dyDescent="0.3">
      <c r="A1064">
        <v>1060</v>
      </c>
      <c r="B1064">
        <f>YEAR(Cleaned_HR_Data_Analysis__2[[#This Row],[Joining_Date]])</f>
        <v>2018</v>
      </c>
      <c r="C1064" s="1">
        <v>43383</v>
      </c>
      <c r="D1064" s="1" t="str" cm="1">
        <f t="array" ref="D1064">_xlfn.IFS(E1064&lt;28, "17-27",
AND(E1064&gt;27, E1064&lt;38), "28-37",
AND(E1064&gt;37, E1064 &lt;48), "38-47",
AND(E1064&gt;47, E1064 &lt;58), "48-57",
AND(E1064&gt;57, E1064&lt;68), "58-67",
AND(E1064&gt;67, E1064&lt;78), "68-77",
E1064&gt;77,"Above than 77")</f>
        <v>38-47</v>
      </c>
      <c r="E1064">
        <v>42</v>
      </c>
      <c r="F1064" s="1">
        <v>27795</v>
      </c>
      <c r="G1064" s="1" t="str">
        <f>VLOOKUP(H1064,Table7[#All], 2, FALSE)</f>
        <v>Massachusetts</v>
      </c>
      <c r="H1064" s="2" t="s">
        <v>14</v>
      </c>
      <c r="I1064" s="2" t="s">
        <v>15</v>
      </c>
      <c r="J1064" s="2" t="s">
        <v>31</v>
      </c>
      <c r="K1064" s="2" t="s">
        <v>88</v>
      </c>
      <c r="L1064" s="2" t="s">
        <v>9</v>
      </c>
      <c r="M1064" s="2" t="s">
        <v>20</v>
      </c>
      <c r="N1064" s="2" t="s">
        <v>26</v>
      </c>
      <c r="O1064" s="2" t="s">
        <v>87</v>
      </c>
      <c r="P1064" s="2" t="s">
        <v>32</v>
      </c>
      <c r="Q1064" s="2" t="s">
        <v>37</v>
      </c>
      <c r="R1064" s="2" t="s">
        <v>18</v>
      </c>
      <c r="S1064">
        <v>5</v>
      </c>
    </row>
    <row r="1065" spans="1:19" x14ac:dyDescent="0.3">
      <c r="A1065">
        <v>1034</v>
      </c>
      <c r="B1065">
        <f>YEAR(Cleaned_HR_Data_Analysis__2[[#This Row],[Joining_Date]])</f>
        <v>2019</v>
      </c>
      <c r="C1065" s="1">
        <v>43591</v>
      </c>
      <c r="D1065" s="1" t="str" cm="1">
        <f t="array" ref="D1065">_xlfn.IFS(E1065&lt;28, "17-27",
AND(E1065&gt;27, E1065&lt;38), "28-37",
AND(E1065&gt;37, E1065 &lt;48), "38-47",
AND(E1065&gt;47, E1065 &lt;58), "48-57",
AND(E1065&gt;57, E1065&lt;68), "58-67",
AND(E1065&gt;67, E1065&lt;78), "68-77",
E1065&gt;77,"Above than 77")</f>
        <v>38-47</v>
      </c>
      <c r="E1065">
        <v>42</v>
      </c>
      <c r="F1065" s="1">
        <v>28467</v>
      </c>
      <c r="G1065" s="1" t="str">
        <f>VLOOKUP(H1065,Table7[#All], 2, FALSE)</f>
        <v>Massachusetts</v>
      </c>
      <c r="H1065" s="2" t="s">
        <v>14</v>
      </c>
      <c r="I1065" s="2" t="s">
        <v>15</v>
      </c>
      <c r="J1065" s="2" t="s">
        <v>31</v>
      </c>
      <c r="K1065" s="2" t="s">
        <v>88</v>
      </c>
      <c r="L1065" s="2" t="s">
        <v>9</v>
      </c>
      <c r="M1065" s="2" t="s">
        <v>25</v>
      </c>
      <c r="N1065" s="2" t="s">
        <v>11</v>
      </c>
      <c r="O1065" s="2" t="s">
        <v>87</v>
      </c>
      <c r="P1065" s="2" t="s">
        <v>54</v>
      </c>
      <c r="Q1065" s="2" t="s">
        <v>37</v>
      </c>
      <c r="R1065" s="2" t="s">
        <v>18</v>
      </c>
      <c r="S1065">
        <v>5</v>
      </c>
    </row>
    <row r="1066" spans="1:19" x14ac:dyDescent="0.3">
      <c r="A1066">
        <v>1945</v>
      </c>
      <c r="B1066">
        <f>YEAR(Cleaned_HR_Data_Analysis__2[[#This Row],[Joining_Date]])</f>
        <v>2019</v>
      </c>
      <c r="C1066" s="1">
        <v>43552</v>
      </c>
      <c r="D1066" s="1" t="str" cm="1">
        <f t="array" ref="D1066">_xlfn.IFS(E1066&lt;28, "17-27",
AND(E1066&gt;27, E1066&lt;38), "28-37",
AND(E1066&gt;37, E1066 &lt;48), "38-47",
AND(E1066&gt;47, E1066 &lt;58), "48-57",
AND(E1066&gt;57, E1066&lt;68), "58-67",
AND(E1066&gt;67, E1066&lt;78), "68-77",
E1066&gt;77,"Above than 77")</f>
        <v>38-47</v>
      </c>
      <c r="E1066">
        <v>42</v>
      </c>
      <c r="F1066" s="1">
        <v>28173</v>
      </c>
      <c r="G1066" s="1" t="str">
        <f>VLOOKUP(H1066,Table7[#All], 2, FALSE)</f>
        <v>Massachusetts</v>
      </c>
      <c r="H1066" s="2" t="s">
        <v>14</v>
      </c>
      <c r="I1066" s="2" t="s">
        <v>15</v>
      </c>
      <c r="J1066" s="2" t="s">
        <v>34</v>
      </c>
      <c r="K1066" s="2" t="s">
        <v>98</v>
      </c>
      <c r="L1066" s="2" t="s">
        <v>66</v>
      </c>
      <c r="M1066" s="2" t="s">
        <v>25</v>
      </c>
      <c r="N1066" s="2" t="s">
        <v>19</v>
      </c>
      <c r="O1066" s="2" t="s">
        <v>27</v>
      </c>
      <c r="P1066" s="2" t="s">
        <v>42</v>
      </c>
      <c r="Q1066" s="2" t="s">
        <v>16</v>
      </c>
      <c r="R1066" s="2" t="s">
        <v>18</v>
      </c>
      <c r="S1066">
        <v>3</v>
      </c>
    </row>
    <row r="1067" spans="1:19" x14ac:dyDescent="0.3">
      <c r="A1067">
        <v>1932</v>
      </c>
      <c r="B1067">
        <f>YEAR(Cleaned_HR_Data_Analysis__2[[#This Row],[Joining_Date]])</f>
        <v>2019</v>
      </c>
      <c r="C1067" s="1">
        <v>43823</v>
      </c>
      <c r="D1067" s="1" t="str" cm="1">
        <f t="array" ref="D1067">_xlfn.IFS(E1067&lt;28, "17-27",
AND(E1067&gt;27, E1067&lt;38), "28-37",
AND(E1067&gt;37, E1067 &lt;48), "38-47",
AND(E1067&gt;47, E1067 &lt;58), "48-57",
AND(E1067&gt;57, E1067&lt;68), "58-67",
AND(E1067&gt;67, E1067&lt;78), "68-77",
E1067&gt;77,"Above than 77")</f>
        <v>38-47</v>
      </c>
      <c r="E1067">
        <v>42</v>
      </c>
      <c r="F1067" s="1">
        <v>28353</v>
      </c>
      <c r="G1067" s="1" t="str">
        <f>VLOOKUP(H1067,Table7[#All], 2, FALSE)</f>
        <v>Massachusetts</v>
      </c>
      <c r="H1067" s="2" t="s">
        <v>14</v>
      </c>
      <c r="I1067" s="2" t="s">
        <v>22</v>
      </c>
      <c r="J1067" s="2" t="s">
        <v>17</v>
      </c>
      <c r="K1067" s="2" t="s">
        <v>98</v>
      </c>
      <c r="L1067" s="2" t="s">
        <v>9</v>
      </c>
      <c r="M1067" s="2" t="s">
        <v>25</v>
      </c>
      <c r="N1067" s="2" t="s">
        <v>19</v>
      </c>
      <c r="O1067" s="2" t="s">
        <v>27</v>
      </c>
      <c r="P1067" s="2" t="s">
        <v>28</v>
      </c>
      <c r="Q1067" s="2" t="s">
        <v>30</v>
      </c>
      <c r="R1067" s="2" t="s">
        <v>18</v>
      </c>
      <c r="S1067">
        <v>5</v>
      </c>
    </row>
    <row r="1068" spans="1:19" x14ac:dyDescent="0.3">
      <c r="A1068">
        <v>1659</v>
      </c>
      <c r="B1068">
        <f>YEAR(Cleaned_HR_Data_Analysis__2[[#This Row],[Joining_Date]])</f>
        <v>2019</v>
      </c>
      <c r="C1068" s="1">
        <v>43795</v>
      </c>
      <c r="D1068" s="1" t="str" cm="1">
        <f t="array" ref="D1068">_xlfn.IFS(E1068&lt;28, "17-27",
AND(E1068&gt;27, E1068&lt;38), "28-37",
AND(E1068&gt;37, E1068 &lt;48), "38-47",
AND(E1068&gt;47, E1068 &lt;58), "48-57",
AND(E1068&gt;57, E1068&lt;68), "58-67",
AND(E1068&gt;67, E1068&lt;78), "68-77",
E1068&gt;77,"Above than 77")</f>
        <v>38-47</v>
      </c>
      <c r="E1068">
        <v>42</v>
      </c>
      <c r="F1068" s="1">
        <v>28306</v>
      </c>
      <c r="G1068" s="1" t="str">
        <f>VLOOKUP(H1068,Table7[#All], 2, FALSE)</f>
        <v>Massachusetts</v>
      </c>
      <c r="H1068" s="2" t="s">
        <v>14</v>
      </c>
      <c r="I1068" s="2" t="s">
        <v>15</v>
      </c>
      <c r="J1068" s="2" t="s">
        <v>31</v>
      </c>
      <c r="K1068" s="2" t="s">
        <v>98</v>
      </c>
      <c r="L1068" s="2" t="s">
        <v>9</v>
      </c>
      <c r="M1068" s="2" t="s">
        <v>25</v>
      </c>
      <c r="N1068" s="2" t="s">
        <v>11</v>
      </c>
      <c r="O1068" s="2" t="s">
        <v>27</v>
      </c>
      <c r="P1068" s="2" t="s">
        <v>35</v>
      </c>
      <c r="Q1068" s="2" t="s">
        <v>16</v>
      </c>
      <c r="R1068" s="2" t="s">
        <v>18</v>
      </c>
      <c r="S1068">
        <v>5</v>
      </c>
    </row>
    <row r="1069" spans="1:19" x14ac:dyDescent="0.3">
      <c r="A1069">
        <v>3693</v>
      </c>
      <c r="B1069">
        <f>YEAR(Cleaned_HR_Data_Analysis__2[[#This Row],[Joining_Date]])</f>
        <v>2019</v>
      </c>
      <c r="C1069" s="1">
        <v>43605</v>
      </c>
      <c r="D1069" s="1" t="str" cm="1">
        <f t="array" ref="D1069">_xlfn.IFS(E1069&lt;28, "17-27",
AND(E1069&gt;27, E1069&lt;38), "28-37",
AND(E1069&gt;37, E1069 &lt;48), "38-47",
AND(E1069&gt;47, E1069 &lt;58), "48-57",
AND(E1069&gt;57, E1069&lt;68), "58-67",
AND(E1069&gt;67, E1069&lt;78), "68-77",
E1069&gt;77,"Above than 77")</f>
        <v>38-47</v>
      </c>
      <c r="E1069">
        <v>42</v>
      </c>
      <c r="F1069" s="1">
        <v>28338</v>
      </c>
      <c r="G1069" s="1" t="str">
        <f>VLOOKUP(H1069,Table7[#All], 2, FALSE)</f>
        <v>Massachusetts</v>
      </c>
      <c r="H1069" s="2" t="s">
        <v>14</v>
      </c>
      <c r="I1069" s="2" t="s">
        <v>15</v>
      </c>
      <c r="J1069" s="2" t="s">
        <v>34</v>
      </c>
      <c r="K1069" s="2" t="s">
        <v>64</v>
      </c>
      <c r="L1069" s="2" t="s">
        <v>9</v>
      </c>
      <c r="M1069" s="2" t="s">
        <v>20</v>
      </c>
      <c r="N1069" s="2" t="s">
        <v>26</v>
      </c>
      <c r="O1069" s="2" t="s">
        <v>12</v>
      </c>
      <c r="P1069" s="2" t="s">
        <v>54</v>
      </c>
      <c r="Q1069" s="2" t="s">
        <v>16</v>
      </c>
      <c r="R1069" s="2" t="s">
        <v>41</v>
      </c>
      <c r="S1069">
        <v>1</v>
      </c>
    </row>
    <row r="1070" spans="1:19" x14ac:dyDescent="0.3">
      <c r="A1070">
        <v>3303</v>
      </c>
      <c r="B1070">
        <f>YEAR(Cleaned_HR_Data_Analysis__2[[#This Row],[Joining_Date]])</f>
        <v>2023</v>
      </c>
      <c r="C1070" s="1">
        <v>44975</v>
      </c>
      <c r="D1070" s="1" t="str" cm="1">
        <f t="array" ref="D1070">_xlfn.IFS(E1070&lt;28, "17-27",
AND(E1070&gt;27, E1070&lt;38), "28-37",
AND(E1070&gt;37, E1070 &lt;48), "38-47",
AND(E1070&gt;47, E1070 &lt;58), "48-57",
AND(E1070&gt;57, E1070&lt;68), "58-67",
AND(E1070&gt;67, E1070&lt;78), "68-77",
E1070&gt;77,"Above than 77")</f>
        <v>38-47</v>
      </c>
      <c r="E1070">
        <v>42</v>
      </c>
      <c r="F1070" s="1">
        <v>29901</v>
      </c>
      <c r="G1070" s="1" t="str">
        <f>VLOOKUP(H1070,Table7[#All], 2, FALSE)</f>
        <v>Massachusetts</v>
      </c>
      <c r="H1070" s="2" t="s">
        <v>14</v>
      </c>
      <c r="I1070" s="2" t="s">
        <v>15</v>
      </c>
      <c r="J1070" s="2" t="s">
        <v>31</v>
      </c>
      <c r="K1070" s="2" t="s">
        <v>64</v>
      </c>
      <c r="L1070" s="2" t="s">
        <v>9</v>
      </c>
      <c r="M1070" s="2" t="s">
        <v>25</v>
      </c>
      <c r="N1070" s="2" t="s">
        <v>19</v>
      </c>
      <c r="O1070" s="2" t="s">
        <v>12</v>
      </c>
      <c r="P1070" s="2" t="s">
        <v>35</v>
      </c>
      <c r="Q1070" s="2" t="s">
        <v>37</v>
      </c>
      <c r="R1070" s="2" t="s">
        <v>18</v>
      </c>
      <c r="S1070">
        <v>2</v>
      </c>
    </row>
    <row r="1071" spans="1:19" x14ac:dyDescent="0.3">
      <c r="A1071">
        <v>3282</v>
      </c>
      <c r="B1071">
        <f>YEAR(Cleaned_HR_Data_Analysis__2[[#This Row],[Joining_Date]])</f>
        <v>2020</v>
      </c>
      <c r="C1071" s="1">
        <v>43986</v>
      </c>
      <c r="D1071" s="1" t="str" cm="1">
        <f t="array" ref="D1071">_xlfn.IFS(E1071&lt;28, "17-27",
AND(E1071&gt;27, E1071&lt;38), "28-37",
AND(E1071&gt;37, E1071 &lt;48), "38-47",
AND(E1071&gt;47, E1071 &lt;58), "48-57",
AND(E1071&gt;57, E1071&lt;68), "58-67",
AND(E1071&gt;67, E1071&lt;78), "68-77",
E1071&gt;77,"Above than 77")</f>
        <v>38-47</v>
      </c>
      <c r="E1071">
        <v>42</v>
      </c>
      <c r="F1071" s="1">
        <v>28664</v>
      </c>
      <c r="G1071" s="1" t="str">
        <f>VLOOKUP(H1071,Table7[#All], 2, FALSE)</f>
        <v>Massachusetts</v>
      </c>
      <c r="H1071" s="2" t="s">
        <v>14</v>
      </c>
      <c r="I1071" s="2" t="s">
        <v>15</v>
      </c>
      <c r="J1071" s="2" t="s">
        <v>34</v>
      </c>
      <c r="K1071" s="2" t="s">
        <v>64</v>
      </c>
      <c r="L1071" s="2" t="s">
        <v>9</v>
      </c>
      <c r="M1071" s="2" t="s">
        <v>25</v>
      </c>
      <c r="N1071" s="2" t="s">
        <v>26</v>
      </c>
      <c r="O1071" s="2" t="s">
        <v>12</v>
      </c>
      <c r="P1071" s="2" t="s">
        <v>59</v>
      </c>
      <c r="Q1071" s="2" t="s">
        <v>46</v>
      </c>
      <c r="R1071" s="2" t="s">
        <v>18</v>
      </c>
      <c r="S1071">
        <v>1</v>
      </c>
    </row>
    <row r="1072" spans="1:19" x14ac:dyDescent="0.3">
      <c r="A1072">
        <v>1834</v>
      </c>
      <c r="B1072">
        <f>YEAR(Cleaned_HR_Data_Analysis__2[[#This Row],[Joining_Date]])</f>
        <v>2020</v>
      </c>
      <c r="C1072" s="1">
        <v>44043</v>
      </c>
      <c r="D1072" s="1" t="str" cm="1">
        <f t="array" ref="D1072">_xlfn.IFS(E1072&lt;28, "17-27",
AND(E1072&gt;27, E1072&lt;38), "28-37",
AND(E1072&gt;37, E1072 &lt;48), "38-47",
AND(E1072&gt;47, E1072 &lt;58), "48-57",
AND(E1072&gt;57, E1072&lt;68), "58-67",
AND(E1072&gt;67, E1072&lt;78), "68-77",
E1072&gt;77,"Above than 77")</f>
        <v>38-47</v>
      </c>
      <c r="E1072">
        <v>42</v>
      </c>
      <c r="F1072" s="1">
        <v>28746</v>
      </c>
      <c r="G1072" s="1" t="str">
        <f>VLOOKUP(H1072,Table7[#All], 2, FALSE)</f>
        <v>Massachusetts</v>
      </c>
      <c r="H1072" s="2" t="s">
        <v>14</v>
      </c>
      <c r="I1072" s="2" t="s">
        <v>15</v>
      </c>
      <c r="J1072" s="2" t="s">
        <v>40</v>
      </c>
      <c r="K1072" s="2" t="s">
        <v>64</v>
      </c>
      <c r="L1072" s="2" t="s">
        <v>9</v>
      </c>
      <c r="M1072" s="2" t="s">
        <v>10</v>
      </c>
      <c r="N1072" s="2" t="s">
        <v>11</v>
      </c>
      <c r="O1072" s="2" t="s">
        <v>12</v>
      </c>
      <c r="P1072" s="2" t="s">
        <v>54</v>
      </c>
      <c r="Q1072" s="2" t="s">
        <v>16</v>
      </c>
      <c r="R1072" s="2" t="s">
        <v>56</v>
      </c>
      <c r="S1072">
        <v>5</v>
      </c>
    </row>
    <row r="1073" spans="1:19" x14ac:dyDescent="0.3">
      <c r="A1073">
        <v>1493</v>
      </c>
      <c r="B1073">
        <f>YEAR(Cleaned_HR_Data_Analysis__2[[#This Row],[Joining_Date]])</f>
        <v>2022</v>
      </c>
      <c r="C1073" s="1">
        <v>44776</v>
      </c>
      <c r="D1073" s="1" t="str" cm="1">
        <f t="array" ref="D1073">_xlfn.IFS(E1073&lt;28, "17-27",
AND(E1073&gt;27, E1073&lt;38), "28-37",
AND(E1073&gt;37, E1073 &lt;48), "38-47",
AND(E1073&gt;47, E1073 &lt;58), "48-57",
AND(E1073&gt;57, E1073&lt;68), "58-67",
AND(E1073&gt;67, E1073&lt;78), "68-77",
E1073&gt;77,"Above than 77")</f>
        <v>38-47</v>
      </c>
      <c r="E1073">
        <v>42</v>
      </c>
      <c r="F1073" s="1">
        <v>29421</v>
      </c>
      <c r="G1073" s="1" t="str">
        <f>VLOOKUP(H1073,Table7[#All], 2, FALSE)</f>
        <v>Massachusetts</v>
      </c>
      <c r="H1073" s="2" t="s">
        <v>14</v>
      </c>
      <c r="I1073" s="2" t="s">
        <v>22</v>
      </c>
      <c r="J1073" s="2" t="s">
        <v>34</v>
      </c>
      <c r="K1073" s="2" t="s">
        <v>64</v>
      </c>
      <c r="L1073" s="2" t="s">
        <v>9</v>
      </c>
      <c r="M1073" s="2" t="s">
        <v>25</v>
      </c>
      <c r="N1073" s="2" t="s">
        <v>26</v>
      </c>
      <c r="O1073" s="2" t="s">
        <v>12</v>
      </c>
      <c r="P1073" s="2" t="s">
        <v>35</v>
      </c>
      <c r="Q1073" s="2" t="s">
        <v>37</v>
      </c>
      <c r="R1073" s="2" t="s">
        <v>18</v>
      </c>
      <c r="S1073">
        <v>2</v>
      </c>
    </row>
    <row r="1074" spans="1:19" x14ac:dyDescent="0.3">
      <c r="A1074">
        <v>3791</v>
      </c>
      <c r="B1074">
        <f>YEAR(Cleaned_HR_Data_Analysis__2[[#This Row],[Joining_Date]])</f>
        <v>2020</v>
      </c>
      <c r="C1074" s="1">
        <v>43918</v>
      </c>
      <c r="D1074" s="1" t="str" cm="1">
        <f t="array" ref="D1074">_xlfn.IFS(E1074&lt;28, "17-27",
AND(E1074&gt;27, E1074&lt;38), "28-37",
AND(E1074&gt;37, E1074 &lt;48), "38-47",
AND(E1074&gt;47, E1074 &lt;58), "48-57",
AND(E1074&gt;57, E1074&lt;68), "58-67",
AND(E1074&gt;67, E1074&lt;78), "68-77",
E1074&gt;77,"Above than 77")</f>
        <v>38-47</v>
      </c>
      <c r="E1074">
        <v>42</v>
      </c>
      <c r="F1074" s="1">
        <v>28523</v>
      </c>
      <c r="G1074" s="1" t="str">
        <f>VLOOKUP(H1074,Table7[#All], 2, FALSE)</f>
        <v>Massachusetts</v>
      </c>
      <c r="H1074" s="2" t="s">
        <v>14</v>
      </c>
      <c r="I1074" s="2" t="s">
        <v>15</v>
      </c>
      <c r="J1074" s="2" t="s">
        <v>40</v>
      </c>
      <c r="K1074" s="2" t="s">
        <v>8</v>
      </c>
      <c r="L1074" s="2" t="s">
        <v>9</v>
      </c>
      <c r="M1074" s="2" t="s">
        <v>25</v>
      </c>
      <c r="N1074" s="2" t="s">
        <v>26</v>
      </c>
      <c r="O1074" s="2" t="s">
        <v>12</v>
      </c>
      <c r="P1074" s="2" t="s">
        <v>13</v>
      </c>
      <c r="Q1074" s="2" t="s">
        <v>46</v>
      </c>
      <c r="R1074" s="2" t="s">
        <v>18</v>
      </c>
      <c r="S1074">
        <v>1</v>
      </c>
    </row>
    <row r="1075" spans="1:19" x14ac:dyDescent="0.3">
      <c r="A1075">
        <v>3754</v>
      </c>
      <c r="B1075">
        <f>YEAR(Cleaned_HR_Data_Analysis__2[[#This Row],[Joining_Date]])</f>
        <v>2020</v>
      </c>
      <c r="C1075" s="1">
        <v>43984</v>
      </c>
      <c r="D1075" s="1" t="str" cm="1">
        <f t="array" ref="D1075">_xlfn.IFS(E1075&lt;28, "17-27",
AND(E1075&gt;27, E1075&lt;38), "28-37",
AND(E1075&gt;37, E1075 &lt;48), "38-47",
AND(E1075&gt;47, E1075 &lt;58), "48-57",
AND(E1075&gt;57, E1075&lt;68), "58-67",
AND(E1075&gt;67, E1075&lt;78), "68-77",
E1075&gt;77,"Above than 77")</f>
        <v>38-47</v>
      </c>
      <c r="E1075">
        <v>42</v>
      </c>
      <c r="F1075" s="1">
        <v>28641</v>
      </c>
      <c r="G1075" s="1" t="str">
        <f>VLOOKUP(H1075,Table7[#All], 2, FALSE)</f>
        <v>Massachusetts</v>
      </c>
      <c r="H1075" s="2" t="s">
        <v>14</v>
      </c>
      <c r="I1075" s="2" t="s">
        <v>22</v>
      </c>
      <c r="J1075" s="2" t="s">
        <v>34</v>
      </c>
      <c r="K1075" s="2" t="s">
        <v>8</v>
      </c>
      <c r="L1075" s="2" t="s">
        <v>9</v>
      </c>
      <c r="M1075" s="2" t="s">
        <v>25</v>
      </c>
      <c r="N1075" s="2" t="s">
        <v>11</v>
      </c>
      <c r="O1075" s="2" t="s">
        <v>12</v>
      </c>
      <c r="P1075" s="2" t="s">
        <v>54</v>
      </c>
      <c r="Q1075" s="2" t="s">
        <v>37</v>
      </c>
      <c r="R1075" s="2" t="s">
        <v>18</v>
      </c>
      <c r="S1075">
        <v>3</v>
      </c>
    </row>
    <row r="1076" spans="1:19" x14ac:dyDescent="0.3">
      <c r="A1076">
        <v>3645</v>
      </c>
      <c r="B1076">
        <f>YEAR(Cleaned_HR_Data_Analysis__2[[#This Row],[Joining_Date]])</f>
        <v>2019</v>
      </c>
      <c r="C1076" s="1">
        <v>43668</v>
      </c>
      <c r="D1076" s="1" t="str" cm="1">
        <f t="array" ref="D1076">_xlfn.IFS(E1076&lt;28, "17-27",
AND(E1076&gt;27, E1076&lt;38), "28-37",
AND(E1076&gt;37, E1076 &lt;48), "38-47",
AND(E1076&gt;47, E1076 &lt;58), "48-57",
AND(E1076&gt;57, E1076&lt;68), "58-67",
AND(E1076&gt;67, E1076&lt;78), "68-77",
E1076&gt;77,"Above than 77")</f>
        <v>38-47</v>
      </c>
      <c r="E1076">
        <v>42</v>
      </c>
      <c r="F1076" s="1">
        <v>28384</v>
      </c>
      <c r="G1076" s="1" t="str">
        <f>VLOOKUP(H1076,Table7[#All], 2, FALSE)</f>
        <v>Massachusetts</v>
      </c>
      <c r="H1076" s="2" t="s">
        <v>14</v>
      </c>
      <c r="I1076" s="2" t="s">
        <v>22</v>
      </c>
      <c r="J1076" s="2" t="s">
        <v>31</v>
      </c>
      <c r="K1076" s="2" t="s">
        <v>8</v>
      </c>
      <c r="L1076" s="2" t="s">
        <v>9</v>
      </c>
      <c r="M1076" s="2" t="s">
        <v>20</v>
      </c>
      <c r="N1076" s="2" t="s">
        <v>11</v>
      </c>
      <c r="O1076" s="2" t="s">
        <v>12</v>
      </c>
      <c r="P1076" s="2" t="s">
        <v>32</v>
      </c>
      <c r="Q1076" s="2" t="s">
        <v>46</v>
      </c>
      <c r="R1076" s="2" t="s">
        <v>18</v>
      </c>
      <c r="S1076">
        <v>3</v>
      </c>
    </row>
    <row r="1077" spans="1:19" x14ac:dyDescent="0.3">
      <c r="A1077">
        <v>3635</v>
      </c>
      <c r="B1077">
        <f>YEAR(Cleaned_HR_Data_Analysis__2[[#This Row],[Joining_Date]])</f>
        <v>2020</v>
      </c>
      <c r="C1077" s="1">
        <v>44130</v>
      </c>
      <c r="D1077" s="1" t="str" cm="1">
        <f t="array" ref="D1077">_xlfn.IFS(E1077&lt;28, "17-27",
AND(E1077&gt;27, E1077&lt;38), "28-37",
AND(E1077&gt;37, E1077 &lt;48), "38-47",
AND(E1077&gt;47, E1077 &lt;58), "48-57",
AND(E1077&gt;57, E1077&lt;68), "58-67",
AND(E1077&gt;67, E1077&lt;78), "68-77",
E1077&gt;77,"Above than 77")</f>
        <v>38-47</v>
      </c>
      <c r="E1077">
        <v>42</v>
      </c>
      <c r="F1077" s="1">
        <v>28561</v>
      </c>
      <c r="G1077" s="1" t="str">
        <f>VLOOKUP(H1077,Table7[#All], 2, FALSE)</f>
        <v>Massachusetts</v>
      </c>
      <c r="H1077" s="2" t="s">
        <v>14</v>
      </c>
      <c r="I1077" s="2" t="s">
        <v>15</v>
      </c>
      <c r="J1077" s="2" t="s">
        <v>31</v>
      </c>
      <c r="K1077" s="2" t="s">
        <v>8</v>
      </c>
      <c r="L1077" s="2" t="s">
        <v>9</v>
      </c>
      <c r="M1077" s="2" t="s">
        <v>20</v>
      </c>
      <c r="N1077" s="2" t="s">
        <v>11</v>
      </c>
      <c r="O1077" s="2" t="s">
        <v>12</v>
      </c>
      <c r="P1077" s="2" t="s">
        <v>63</v>
      </c>
      <c r="Q1077" s="2" t="s">
        <v>23</v>
      </c>
      <c r="R1077" s="2" t="s">
        <v>18</v>
      </c>
      <c r="S1077">
        <v>5</v>
      </c>
    </row>
    <row r="1078" spans="1:19" x14ac:dyDescent="0.3">
      <c r="A1078">
        <v>3353</v>
      </c>
      <c r="B1078">
        <f>YEAR(Cleaned_HR_Data_Analysis__2[[#This Row],[Joining_Date]])</f>
        <v>2020</v>
      </c>
      <c r="C1078" s="1">
        <v>43919</v>
      </c>
      <c r="D1078" s="1" t="str" cm="1">
        <f t="array" ref="D1078">_xlfn.IFS(E1078&lt;28, "17-27",
AND(E1078&gt;27, E1078&lt;38), "28-37",
AND(E1078&gt;37, E1078 &lt;48), "38-47",
AND(E1078&gt;47, E1078 &lt;58), "48-57",
AND(E1078&gt;57, E1078&lt;68), "58-67",
AND(E1078&gt;67, E1078&lt;78), "68-77",
E1078&gt;77,"Above than 77")</f>
        <v>38-47</v>
      </c>
      <c r="E1078">
        <v>42</v>
      </c>
      <c r="F1078" s="1">
        <v>28652</v>
      </c>
      <c r="G1078" s="1" t="str">
        <f>VLOOKUP(H1078,Table7[#All], 2, FALSE)</f>
        <v>Massachusetts</v>
      </c>
      <c r="H1078" s="2" t="s">
        <v>14</v>
      </c>
      <c r="I1078" s="2" t="s">
        <v>15</v>
      </c>
      <c r="J1078" s="2" t="s">
        <v>34</v>
      </c>
      <c r="K1078" s="2" t="s">
        <v>8</v>
      </c>
      <c r="L1078" s="2" t="s">
        <v>9</v>
      </c>
      <c r="M1078" s="2" t="s">
        <v>10</v>
      </c>
      <c r="N1078" s="2" t="s">
        <v>26</v>
      </c>
      <c r="O1078" s="2" t="s">
        <v>12</v>
      </c>
      <c r="P1078" s="2" t="s">
        <v>32</v>
      </c>
      <c r="Q1078" s="2" t="s">
        <v>23</v>
      </c>
      <c r="R1078" s="2" t="s">
        <v>18</v>
      </c>
      <c r="S1078">
        <v>3</v>
      </c>
    </row>
    <row r="1079" spans="1:19" x14ac:dyDescent="0.3">
      <c r="A1079">
        <v>3329</v>
      </c>
      <c r="B1079">
        <f>YEAR(Cleaned_HR_Data_Analysis__2[[#This Row],[Joining_Date]])</f>
        <v>2020</v>
      </c>
      <c r="C1079" s="1">
        <v>44128</v>
      </c>
      <c r="D1079" s="1" t="str" cm="1">
        <f t="array" ref="D1079">_xlfn.IFS(E1079&lt;28, "17-27",
AND(E1079&gt;27, E1079&lt;38), "28-37",
AND(E1079&gt;37, E1079 &lt;48), "38-47",
AND(E1079&gt;47, E1079 &lt;58), "48-57",
AND(E1079&gt;57, E1079&lt;68), "58-67",
AND(E1079&gt;67, E1079&lt;78), "68-77",
E1079&gt;77,"Above than 77")</f>
        <v>38-47</v>
      </c>
      <c r="E1079">
        <v>42</v>
      </c>
      <c r="F1079" s="1">
        <v>28771</v>
      </c>
      <c r="G1079" s="1" t="str">
        <f>VLOOKUP(H1079,Table7[#All], 2, FALSE)</f>
        <v>Massachusetts</v>
      </c>
      <c r="H1079" s="2" t="s">
        <v>14</v>
      </c>
      <c r="I1079" s="2" t="s">
        <v>22</v>
      </c>
      <c r="J1079" s="2" t="s">
        <v>40</v>
      </c>
      <c r="K1079" s="2" t="s">
        <v>8</v>
      </c>
      <c r="L1079" s="2" t="s">
        <v>9</v>
      </c>
      <c r="M1079" s="2" t="s">
        <v>20</v>
      </c>
      <c r="N1079" s="2" t="s">
        <v>26</v>
      </c>
      <c r="O1079" s="2" t="s">
        <v>12</v>
      </c>
      <c r="P1079" s="2" t="s">
        <v>28</v>
      </c>
      <c r="Q1079" s="2" t="s">
        <v>23</v>
      </c>
      <c r="R1079" s="2" t="s">
        <v>18</v>
      </c>
      <c r="S1079">
        <v>4</v>
      </c>
    </row>
    <row r="1080" spans="1:19" x14ac:dyDescent="0.3">
      <c r="A1080">
        <v>3287</v>
      </c>
      <c r="B1080">
        <f>YEAR(Cleaned_HR_Data_Analysis__2[[#This Row],[Joining_Date]])</f>
        <v>2021</v>
      </c>
      <c r="C1080" s="1">
        <v>44197</v>
      </c>
      <c r="D1080" s="1" t="str" cm="1">
        <f t="array" ref="D1080">_xlfn.IFS(E1080&lt;28, "17-27",
AND(E1080&gt;27, E1080&lt;38), "28-37",
AND(E1080&gt;37, E1080 &lt;48), "38-47",
AND(E1080&gt;47, E1080 &lt;58), "48-57",
AND(E1080&gt;57, E1080&lt;68), "58-67",
AND(E1080&gt;67, E1080&lt;78), "68-77",
E1080&gt;77,"Above than 77")</f>
        <v>38-47</v>
      </c>
      <c r="E1080">
        <v>42</v>
      </c>
      <c r="F1080" s="1">
        <v>29016</v>
      </c>
      <c r="G1080" s="1" t="str">
        <f>VLOOKUP(H1080,Table7[#All], 2, FALSE)</f>
        <v>Massachusetts</v>
      </c>
      <c r="H1080" s="2" t="s">
        <v>14</v>
      </c>
      <c r="I1080" s="2" t="s">
        <v>15</v>
      </c>
      <c r="J1080" s="2" t="s">
        <v>40</v>
      </c>
      <c r="K1080" s="2" t="s">
        <v>8</v>
      </c>
      <c r="L1080" s="2" t="s">
        <v>9</v>
      </c>
      <c r="M1080" s="2" t="s">
        <v>20</v>
      </c>
      <c r="N1080" s="2" t="s">
        <v>19</v>
      </c>
      <c r="O1080" s="2" t="s">
        <v>12</v>
      </c>
      <c r="P1080" s="2" t="s">
        <v>32</v>
      </c>
      <c r="Q1080" s="2" t="s">
        <v>46</v>
      </c>
      <c r="R1080" s="2" t="s">
        <v>18</v>
      </c>
      <c r="S1080">
        <v>1</v>
      </c>
    </row>
    <row r="1081" spans="1:19" x14ac:dyDescent="0.3">
      <c r="A1081">
        <v>3197</v>
      </c>
      <c r="B1081">
        <f>YEAR(Cleaned_HR_Data_Analysis__2[[#This Row],[Joining_Date]])</f>
        <v>2019</v>
      </c>
      <c r="C1081" s="1">
        <v>43643</v>
      </c>
      <c r="D1081" s="1" t="str" cm="1">
        <f t="array" ref="D1081">_xlfn.IFS(E1081&lt;28, "17-27",
AND(E1081&gt;27, E1081&lt;38), "28-37",
AND(E1081&gt;37, E1081 &lt;48), "38-47",
AND(E1081&gt;47, E1081 &lt;58), "48-57",
AND(E1081&gt;57, E1081&lt;68), "58-67",
AND(E1081&gt;67, E1081&lt;78), "68-77",
E1081&gt;77,"Above than 77")</f>
        <v>38-47</v>
      </c>
      <c r="E1081">
        <v>42</v>
      </c>
      <c r="F1081" s="1">
        <v>28215</v>
      </c>
      <c r="G1081" s="1" t="str">
        <f>VLOOKUP(H1081,Table7[#All], 2, FALSE)</f>
        <v>Massachusetts</v>
      </c>
      <c r="H1081" s="2" t="s">
        <v>14</v>
      </c>
      <c r="I1081" s="2" t="s">
        <v>15</v>
      </c>
      <c r="J1081" s="2" t="s">
        <v>40</v>
      </c>
      <c r="K1081" s="2" t="s">
        <v>8</v>
      </c>
      <c r="L1081" s="2" t="s">
        <v>9</v>
      </c>
      <c r="M1081" s="2" t="s">
        <v>10</v>
      </c>
      <c r="N1081" s="2" t="s">
        <v>19</v>
      </c>
      <c r="O1081" s="2" t="s">
        <v>12</v>
      </c>
      <c r="P1081" s="2" t="s">
        <v>32</v>
      </c>
      <c r="Q1081" s="2" t="s">
        <v>23</v>
      </c>
      <c r="R1081" s="2" t="s">
        <v>65</v>
      </c>
      <c r="S1081">
        <v>5</v>
      </c>
    </row>
    <row r="1082" spans="1:19" x14ac:dyDescent="0.3">
      <c r="A1082">
        <v>3022</v>
      </c>
      <c r="B1082">
        <f>YEAR(Cleaned_HR_Data_Analysis__2[[#This Row],[Joining_Date]])</f>
        <v>2018</v>
      </c>
      <c r="C1082" s="1">
        <v>43383</v>
      </c>
      <c r="D1082" s="1" t="str" cm="1">
        <f t="array" ref="D1082">_xlfn.IFS(E1082&lt;28, "17-27",
AND(E1082&gt;27, E1082&lt;38), "28-37",
AND(E1082&gt;37, E1082 &lt;48), "38-47",
AND(E1082&gt;47, E1082 &lt;58), "48-57",
AND(E1082&gt;57, E1082&lt;68), "58-67",
AND(E1082&gt;67, E1082&lt;78), "68-77",
E1082&gt;77,"Above than 77")</f>
        <v>38-47</v>
      </c>
      <c r="E1082">
        <v>42</v>
      </c>
      <c r="F1082" s="1">
        <v>27957</v>
      </c>
      <c r="G1082" s="1" t="str">
        <f>VLOOKUP(H1082,Table7[#All], 2, FALSE)</f>
        <v>Massachusetts</v>
      </c>
      <c r="H1082" s="2" t="s">
        <v>14</v>
      </c>
      <c r="I1082" s="2" t="s">
        <v>22</v>
      </c>
      <c r="J1082" s="2" t="s">
        <v>34</v>
      </c>
      <c r="K1082" s="2" t="s">
        <v>8</v>
      </c>
      <c r="L1082" s="2" t="s">
        <v>9</v>
      </c>
      <c r="M1082" s="2" t="s">
        <v>25</v>
      </c>
      <c r="N1082" s="2" t="s">
        <v>11</v>
      </c>
      <c r="O1082" s="2" t="s">
        <v>12</v>
      </c>
      <c r="P1082" s="2" t="s">
        <v>49</v>
      </c>
      <c r="Q1082" s="2" t="s">
        <v>30</v>
      </c>
      <c r="R1082" s="2" t="s">
        <v>65</v>
      </c>
      <c r="S1082">
        <v>2</v>
      </c>
    </row>
    <row r="1083" spans="1:19" x14ac:dyDescent="0.3">
      <c r="A1083">
        <v>2939</v>
      </c>
      <c r="B1083">
        <f>YEAR(Cleaned_HR_Data_Analysis__2[[#This Row],[Joining_Date]])</f>
        <v>2022</v>
      </c>
      <c r="C1083" s="1">
        <v>44768</v>
      </c>
      <c r="D1083" s="1" t="str" cm="1">
        <f t="array" ref="D1083">_xlfn.IFS(E1083&lt;28, "17-27",
AND(E1083&gt;27, E1083&lt;38), "28-37",
AND(E1083&gt;37, E1083 &lt;48), "38-47",
AND(E1083&gt;47, E1083 &lt;58), "48-57",
AND(E1083&gt;57, E1083&lt;68), "58-67",
AND(E1083&gt;67, E1083&lt;78), "68-77",
E1083&gt;77,"Above than 77")</f>
        <v>38-47</v>
      </c>
      <c r="E1083">
        <v>42</v>
      </c>
      <c r="F1083" s="1">
        <v>29425</v>
      </c>
      <c r="G1083" s="1" t="str">
        <f>VLOOKUP(H1083,Table7[#All], 2, FALSE)</f>
        <v>Massachusetts</v>
      </c>
      <c r="H1083" s="2" t="s">
        <v>14</v>
      </c>
      <c r="I1083" s="2" t="s">
        <v>15</v>
      </c>
      <c r="J1083" s="2" t="s">
        <v>31</v>
      </c>
      <c r="K1083" s="2" t="s">
        <v>8</v>
      </c>
      <c r="L1083" s="2" t="s">
        <v>9</v>
      </c>
      <c r="M1083" s="2" t="s">
        <v>10</v>
      </c>
      <c r="N1083" s="2" t="s">
        <v>26</v>
      </c>
      <c r="O1083" s="2" t="s">
        <v>12</v>
      </c>
      <c r="P1083" s="2" t="s">
        <v>38</v>
      </c>
      <c r="Q1083" s="2" t="s">
        <v>23</v>
      </c>
      <c r="R1083" s="2" t="s">
        <v>56</v>
      </c>
      <c r="S1083">
        <v>3</v>
      </c>
    </row>
    <row r="1084" spans="1:19" x14ac:dyDescent="0.3">
      <c r="A1084">
        <v>2924</v>
      </c>
      <c r="B1084">
        <f>YEAR(Cleaned_HR_Data_Analysis__2[[#This Row],[Joining_Date]])</f>
        <v>2021</v>
      </c>
      <c r="C1084" s="1">
        <v>44278</v>
      </c>
      <c r="D1084" s="1" t="str" cm="1">
        <f t="array" ref="D1084">_xlfn.IFS(E1084&lt;28, "17-27",
AND(E1084&gt;27, E1084&lt;38), "28-37",
AND(E1084&gt;37, E1084 &lt;48), "38-47",
AND(E1084&gt;47, E1084 &lt;58), "48-57",
AND(E1084&gt;57, E1084&lt;68), "58-67",
AND(E1084&gt;67, E1084&lt;78), "68-77",
E1084&gt;77,"Above than 77")</f>
        <v>38-47</v>
      </c>
      <c r="E1084">
        <v>42</v>
      </c>
      <c r="F1084" s="1">
        <v>28990</v>
      </c>
      <c r="G1084" s="1" t="str">
        <f>VLOOKUP(H1084,Table7[#All], 2, FALSE)</f>
        <v>Massachusetts</v>
      </c>
      <c r="H1084" s="2" t="s">
        <v>14</v>
      </c>
      <c r="I1084" s="2" t="s">
        <v>22</v>
      </c>
      <c r="J1084" s="2" t="s">
        <v>34</v>
      </c>
      <c r="K1084" s="2" t="s">
        <v>8</v>
      </c>
      <c r="L1084" s="2" t="s">
        <v>66</v>
      </c>
      <c r="M1084" s="2" t="s">
        <v>10</v>
      </c>
      <c r="N1084" s="2" t="s">
        <v>26</v>
      </c>
      <c r="O1084" s="2" t="s">
        <v>12</v>
      </c>
      <c r="P1084" s="2" t="s">
        <v>35</v>
      </c>
      <c r="Q1084" s="2" t="s">
        <v>46</v>
      </c>
      <c r="R1084" s="2" t="s">
        <v>41</v>
      </c>
      <c r="S1084">
        <v>4</v>
      </c>
    </row>
    <row r="1085" spans="1:19" x14ac:dyDescent="0.3">
      <c r="A1085">
        <v>2923</v>
      </c>
      <c r="B1085">
        <f>YEAR(Cleaned_HR_Data_Analysis__2[[#This Row],[Joining_Date]])</f>
        <v>2022</v>
      </c>
      <c r="C1085" s="1">
        <v>44604</v>
      </c>
      <c r="D1085" s="1" t="str" cm="1">
        <f t="array" ref="D1085">_xlfn.IFS(E1085&lt;28, "17-27",
AND(E1085&gt;27, E1085&lt;38), "28-37",
AND(E1085&gt;37, E1085 &lt;48), "38-47",
AND(E1085&gt;47, E1085 &lt;58), "48-57",
AND(E1085&gt;57, E1085&lt;68), "58-67",
AND(E1085&gt;67, E1085&lt;78), "68-77",
E1085&gt;77,"Above than 77")</f>
        <v>38-47</v>
      </c>
      <c r="E1085">
        <v>42</v>
      </c>
      <c r="F1085" s="1">
        <v>29403</v>
      </c>
      <c r="G1085" s="1" t="str">
        <f>VLOOKUP(H1085,Table7[#All], 2, FALSE)</f>
        <v>Massachusetts</v>
      </c>
      <c r="H1085" s="2" t="s">
        <v>14</v>
      </c>
      <c r="I1085" s="2" t="s">
        <v>15</v>
      </c>
      <c r="J1085" s="2" t="s">
        <v>34</v>
      </c>
      <c r="K1085" s="2" t="s">
        <v>8</v>
      </c>
      <c r="L1085" s="2" t="s">
        <v>9</v>
      </c>
      <c r="M1085" s="2" t="s">
        <v>20</v>
      </c>
      <c r="N1085" s="2" t="s">
        <v>19</v>
      </c>
      <c r="O1085" s="2" t="s">
        <v>12</v>
      </c>
      <c r="P1085" s="2" t="s">
        <v>35</v>
      </c>
      <c r="Q1085" s="2" t="s">
        <v>16</v>
      </c>
      <c r="R1085" s="2" t="s">
        <v>56</v>
      </c>
      <c r="S1085">
        <v>1</v>
      </c>
    </row>
    <row r="1086" spans="1:19" x14ac:dyDescent="0.3">
      <c r="A1086">
        <v>2896</v>
      </c>
      <c r="B1086">
        <f>YEAR(Cleaned_HR_Data_Analysis__2[[#This Row],[Joining_Date]])</f>
        <v>2021</v>
      </c>
      <c r="C1086" s="1">
        <v>44494</v>
      </c>
      <c r="D1086" s="1" t="str" cm="1">
        <f t="array" ref="D1086">_xlfn.IFS(E1086&lt;28, "17-27",
AND(E1086&gt;27, E1086&lt;38), "28-37",
AND(E1086&gt;37, E1086 &lt;48), "38-47",
AND(E1086&gt;47, E1086 &lt;58), "48-57",
AND(E1086&gt;57, E1086&lt;68), "58-67",
AND(E1086&gt;67, E1086&lt;78), "68-77",
E1086&gt;77,"Above than 77")</f>
        <v>38-47</v>
      </c>
      <c r="E1086">
        <v>42</v>
      </c>
      <c r="F1086" s="1">
        <v>29187</v>
      </c>
      <c r="G1086" s="1" t="str">
        <f>VLOOKUP(H1086,Table7[#All], 2, FALSE)</f>
        <v>Massachusetts</v>
      </c>
      <c r="H1086" s="2" t="s">
        <v>14</v>
      </c>
      <c r="I1086" s="2" t="s">
        <v>22</v>
      </c>
      <c r="J1086" s="2" t="s">
        <v>40</v>
      </c>
      <c r="K1086" s="2" t="s">
        <v>8</v>
      </c>
      <c r="L1086" s="2" t="s">
        <v>9</v>
      </c>
      <c r="M1086" s="2" t="s">
        <v>25</v>
      </c>
      <c r="N1086" s="2" t="s">
        <v>26</v>
      </c>
      <c r="O1086" s="2" t="s">
        <v>12</v>
      </c>
      <c r="P1086" s="2" t="s">
        <v>35</v>
      </c>
      <c r="Q1086" s="2" t="s">
        <v>30</v>
      </c>
      <c r="R1086" s="2" t="s">
        <v>18</v>
      </c>
      <c r="S1086">
        <v>4</v>
      </c>
    </row>
    <row r="1087" spans="1:19" x14ac:dyDescent="0.3">
      <c r="A1087">
        <v>2123</v>
      </c>
      <c r="B1087">
        <f>YEAR(Cleaned_HR_Data_Analysis__2[[#This Row],[Joining_Date]])</f>
        <v>2021</v>
      </c>
      <c r="C1087" s="1">
        <v>44449</v>
      </c>
      <c r="D1087" s="1" t="str" cm="1">
        <f t="array" ref="D1087">_xlfn.IFS(E1087&lt;28, "17-27",
AND(E1087&gt;27, E1087&lt;38), "28-37",
AND(E1087&gt;37, E1087 &lt;48), "38-47",
AND(E1087&gt;47, E1087 &lt;58), "48-57",
AND(E1087&gt;57, E1087&lt;68), "58-67",
AND(E1087&gt;67, E1087&lt;78), "68-77",
E1087&gt;77,"Above than 77")</f>
        <v>38-47</v>
      </c>
      <c r="E1087">
        <v>42</v>
      </c>
      <c r="F1087" s="1">
        <v>28898</v>
      </c>
      <c r="G1087" s="1" t="str">
        <f>VLOOKUP(H1087,Table7[#All], 2, FALSE)</f>
        <v>Massachusetts</v>
      </c>
      <c r="H1087" s="2" t="s">
        <v>14</v>
      </c>
      <c r="I1087" s="2" t="s">
        <v>15</v>
      </c>
      <c r="J1087" s="2" t="s">
        <v>17</v>
      </c>
      <c r="K1087" s="2" t="s">
        <v>8</v>
      </c>
      <c r="L1087" s="2" t="s">
        <v>9</v>
      </c>
      <c r="M1087" s="2" t="s">
        <v>10</v>
      </c>
      <c r="N1087" s="2" t="s">
        <v>26</v>
      </c>
      <c r="O1087" s="2" t="s">
        <v>12</v>
      </c>
      <c r="P1087" s="2" t="s">
        <v>60</v>
      </c>
      <c r="Q1087" s="2" t="s">
        <v>16</v>
      </c>
      <c r="R1087" s="2" t="s">
        <v>41</v>
      </c>
      <c r="S1087">
        <v>5</v>
      </c>
    </row>
    <row r="1088" spans="1:19" x14ac:dyDescent="0.3">
      <c r="A1088">
        <v>2075</v>
      </c>
      <c r="B1088">
        <f>YEAR(Cleaned_HR_Data_Analysis__2[[#This Row],[Joining_Date]])</f>
        <v>2018</v>
      </c>
      <c r="C1088" s="1">
        <v>43403</v>
      </c>
      <c r="D1088" s="1" t="str" cm="1">
        <f t="array" ref="D1088">_xlfn.IFS(E1088&lt;28, "17-27",
AND(E1088&gt;27, E1088&lt;38), "28-37",
AND(E1088&gt;37, E1088 &lt;48), "38-47",
AND(E1088&gt;47, E1088 &lt;58), "48-57",
AND(E1088&gt;57, E1088&lt;68), "58-67",
AND(E1088&gt;67, E1088&lt;78), "68-77",
E1088&gt;77,"Above than 77")</f>
        <v>38-47</v>
      </c>
      <c r="E1088">
        <v>42</v>
      </c>
      <c r="F1088" s="1">
        <v>28046</v>
      </c>
      <c r="G1088" s="1" t="str">
        <f>VLOOKUP(H1088,Table7[#All], 2, FALSE)</f>
        <v>Massachusetts</v>
      </c>
      <c r="H1088" s="2" t="s">
        <v>14</v>
      </c>
      <c r="I1088" s="2" t="s">
        <v>15</v>
      </c>
      <c r="J1088" s="2" t="s">
        <v>34</v>
      </c>
      <c r="K1088" s="2" t="s">
        <v>8</v>
      </c>
      <c r="L1088" s="2" t="s">
        <v>9</v>
      </c>
      <c r="M1088" s="2" t="s">
        <v>10</v>
      </c>
      <c r="N1088" s="2" t="s">
        <v>19</v>
      </c>
      <c r="O1088" s="2" t="s">
        <v>12</v>
      </c>
      <c r="P1088" s="2" t="s">
        <v>54</v>
      </c>
      <c r="Q1088" s="2" t="s">
        <v>30</v>
      </c>
      <c r="R1088" s="2" t="s">
        <v>18</v>
      </c>
      <c r="S1088">
        <v>5</v>
      </c>
    </row>
    <row r="1089" spans="1:19" x14ac:dyDescent="0.3">
      <c r="A1089">
        <v>2001</v>
      </c>
      <c r="B1089">
        <f>YEAR(Cleaned_HR_Data_Analysis__2[[#This Row],[Joining_Date]])</f>
        <v>2019</v>
      </c>
      <c r="C1089" s="1">
        <v>43747</v>
      </c>
      <c r="D1089" s="1" t="str" cm="1">
        <f t="array" ref="D1089">_xlfn.IFS(E1089&lt;28, "17-27",
AND(E1089&gt;27, E1089&lt;38), "28-37",
AND(E1089&gt;37, E1089 &lt;48), "38-47",
AND(E1089&gt;47, E1089 &lt;58), "48-57",
AND(E1089&gt;57, E1089&lt;68), "58-67",
AND(E1089&gt;67, E1089&lt;78), "68-77",
E1089&gt;77,"Above than 77")</f>
        <v>38-47</v>
      </c>
      <c r="E1089">
        <v>42</v>
      </c>
      <c r="F1089" s="1">
        <v>28354</v>
      </c>
      <c r="G1089" s="1" t="str">
        <f>VLOOKUP(H1089,Table7[#All], 2, FALSE)</f>
        <v>Massachusetts</v>
      </c>
      <c r="H1089" s="2" t="s">
        <v>14</v>
      </c>
      <c r="I1089" s="2" t="s">
        <v>15</v>
      </c>
      <c r="J1089" s="2" t="s">
        <v>17</v>
      </c>
      <c r="K1089" s="2" t="s">
        <v>8</v>
      </c>
      <c r="L1089" s="2" t="s">
        <v>66</v>
      </c>
      <c r="M1089" s="2" t="s">
        <v>10</v>
      </c>
      <c r="N1089" s="2" t="s">
        <v>26</v>
      </c>
      <c r="O1089" s="2" t="s">
        <v>12</v>
      </c>
      <c r="P1089" s="2" t="s">
        <v>63</v>
      </c>
      <c r="Q1089" s="2" t="s">
        <v>16</v>
      </c>
      <c r="R1089" s="2" t="s">
        <v>18</v>
      </c>
      <c r="S1089">
        <v>3</v>
      </c>
    </row>
    <row r="1090" spans="1:19" x14ac:dyDescent="0.3">
      <c r="A1090">
        <v>1821</v>
      </c>
      <c r="B1090">
        <f>YEAR(Cleaned_HR_Data_Analysis__2[[#This Row],[Joining_Date]])</f>
        <v>2022</v>
      </c>
      <c r="C1090" s="1">
        <v>44914</v>
      </c>
      <c r="D1090" s="1" t="str" cm="1">
        <f t="array" ref="D1090">_xlfn.IFS(E1090&lt;28, "17-27",
AND(E1090&gt;27, E1090&lt;38), "28-37",
AND(E1090&gt;37, E1090 &lt;48), "38-47",
AND(E1090&gt;47, E1090 &lt;58), "48-57",
AND(E1090&gt;57, E1090&lt;68), "58-67",
AND(E1090&gt;67, E1090&lt;78), "68-77",
E1090&gt;77,"Above than 77")</f>
        <v>38-47</v>
      </c>
      <c r="E1090">
        <v>42</v>
      </c>
      <c r="F1090" s="1">
        <v>29421</v>
      </c>
      <c r="G1090" s="1" t="str">
        <f>VLOOKUP(H1090,Table7[#All], 2, FALSE)</f>
        <v>Massachusetts</v>
      </c>
      <c r="H1090" s="2" t="s">
        <v>14</v>
      </c>
      <c r="I1090" s="2" t="s">
        <v>15</v>
      </c>
      <c r="J1090" s="2" t="s">
        <v>17</v>
      </c>
      <c r="K1090" s="2" t="s">
        <v>8</v>
      </c>
      <c r="L1090" s="2" t="s">
        <v>9</v>
      </c>
      <c r="M1090" s="2" t="s">
        <v>25</v>
      </c>
      <c r="N1090" s="2" t="s">
        <v>26</v>
      </c>
      <c r="O1090" s="2" t="s">
        <v>12</v>
      </c>
      <c r="P1090" s="2" t="s">
        <v>28</v>
      </c>
      <c r="Q1090" s="2" t="s">
        <v>23</v>
      </c>
      <c r="R1090" s="2" t="s">
        <v>18</v>
      </c>
      <c r="S1090">
        <v>2</v>
      </c>
    </row>
    <row r="1091" spans="1:19" x14ac:dyDescent="0.3">
      <c r="A1091">
        <v>1814</v>
      </c>
      <c r="B1091">
        <f>YEAR(Cleaned_HR_Data_Analysis__2[[#This Row],[Joining_Date]])</f>
        <v>2022</v>
      </c>
      <c r="C1091" s="1">
        <v>44603</v>
      </c>
      <c r="D1091" s="1" t="str" cm="1">
        <f t="array" ref="D1091">_xlfn.IFS(E1091&lt;28, "17-27",
AND(E1091&gt;27, E1091&lt;38), "28-37",
AND(E1091&gt;37, E1091 &lt;48), "38-47",
AND(E1091&gt;47, E1091 &lt;58), "48-57",
AND(E1091&gt;57, E1091&lt;68), "58-67",
AND(E1091&gt;67, E1091&lt;78), "68-77",
E1091&gt;77,"Above than 77")</f>
        <v>38-47</v>
      </c>
      <c r="E1091">
        <v>42</v>
      </c>
      <c r="F1091" s="1">
        <v>29288</v>
      </c>
      <c r="G1091" s="1" t="str">
        <f>VLOOKUP(H1091,Table7[#All], 2, FALSE)</f>
        <v>Massachusetts</v>
      </c>
      <c r="H1091" s="2" t="s">
        <v>14</v>
      </c>
      <c r="I1091" s="2" t="s">
        <v>15</v>
      </c>
      <c r="J1091" s="2" t="s">
        <v>17</v>
      </c>
      <c r="K1091" s="2" t="s">
        <v>8</v>
      </c>
      <c r="L1091" s="2" t="s">
        <v>9</v>
      </c>
      <c r="M1091" s="2" t="s">
        <v>25</v>
      </c>
      <c r="N1091" s="2" t="s">
        <v>19</v>
      </c>
      <c r="O1091" s="2" t="s">
        <v>12</v>
      </c>
      <c r="P1091" s="2" t="s">
        <v>59</v>
      </c>
      <c r="Q1091" s="2" t="s">
        <v>37</v>
      </c>
      <c r="R1091" s="2" t="s">
        <v>18</v>
      </c>
      <c r="S1091">
        <v>3</v>
      </c>
    </row>
    <row r="1092" spans="1:19" x14ac:dyDescent="0.3">
      <c r="A1092">
        <v>1527</v>
      </c>
      <c r="B1092">
        <f>YEAR(Cleaned_HR_Data_Analysis__2[[#This Row],[Joining_Date]])</f>
        <v>2022</v>
      </c>
      <c r="C1092" s="1">
        <v>44717</v>
      </c>
      <c r="D1092" s="1" t="str" cm="1">
        <f t="array" ref="D1092">_xlfn.IFS(E1092&lt;28, "17-27",
AND(E1092&gt;27, E1092&lt;38), "28-37",
AND(E1092&gt;37, E1092 &lt;48), "38-47",
AND(E1092&gt;47, E1092 &lt;58), "48-57",
AND(E1092&gt;57, E1092&lt;68), "58-67",
AND(E1092&gt;67, E1092&lt;78), "68-77",
E1092&gt;77,"Above than 77")</f>
        <v>38-47</v>
      </c>
      <c r="E1092">
        <v>42</v>
      </c>
      <c r="F1092" s="1">
        <v>29293</v>
      </c>
      <c r="G1092" s="1" t="str">
        <f>VLOOKUP(H1092,Table7[#All], 2, FALSE)</f>
        <v>Massachusetts</v>
      </c>
      <c r="H1092" s="2" t="s">
        <v>14</v>
      </c>
      <c r="I1092" s="2" t="s">
        <v>15</v>
      </c>
      <c r="J1092" s="2" t="s">
        <v>17</v>
      </c>
      <c r="K1092" s="2" t="s">
        <v>8</v>
      </c>
      <c r="L1092" s="2" t="s">
        <v>9</v>
      </c>
      <c r="M1092" s="2" t="s">
        <v>20</v>
      </c>
      <c r="N1092" s="2" t="s">
        <v>19</v>
      </c>
      <c r="O1092" s="2" t="s">
        <v>12</v>
      </c>
      <c r="P1092" s="2" t="s">
        <v>42</v>
      </c>
      <c r="Q1092" s="2" t="s">
        <v>46</v>
      </c>
      <c r="R1092" s="2" t="s">
        <v>18</v>
      </c>
      <c r="S1092">
        <v>1</v>
      </c>
    </row>
    <row r="1093" spans="1:19" x14ac:dyDescent="0.3">
      <c r="A1093">
        <v>1308</v>
      </c>
      <c r="B1093">
        <f>YEAR(Cleaned_HR_Data_Analysis__2[[#This Row],[Joining_Date]])</f>
        <v>2022</v>
      </c>
      <c r="C1093" s="1">
        <v>44740</v>
      </c>
      <c r="D1093" s="1" t="str" cm="1">
        <f t="array" ref="D1093">_xlfn.IFS(E1093&lt;28, "17-27",
AND(E1093&gt;27, E1093&lt;38), "28-37",
AND(E1093&gt;37, E1093 &lt;48), "38-47",
AND(E1093&gt;47, E1093 &lt;58), "48-57",
AND(E1093&gt;57, E1093&lt;68), "58-67",
AND(E1093&gt;67, E1093&lt;78), "68-77",
E1093&gt;77,"Above than 77")</f>
        <v>38-47</v>
      </c>
      <c r="E1093">
        <v>42</v>
      </c>
      <c r="F1093" s="1">
        <v>29497</v>
      </c>
      <c r="G1093" s="1" t="str">
        <f>VLOOKUP(H1093,Table7[#All], 2, FALSE)</f>
        <v>Massachusetts</v>
      </c>
      <c r="H1093" s="2" t="s">
        <v>14</v>
      </c>
      <c r="I1093" s="2" t="s">
        <v>15</v>
      </c>
      <c r="J1093" s="2" t="s">
        <v>40</v>
      </c>
      <c r="K1093" s="2" t="s">
        <v>8</v>
      </c>
      <c r="L1093" s="2" t="s">
        <v>9</v>
      </c>
      <c r="M1093" s="2" t="s">
        <v>25</v>
      </c>
      <c r="N1093" s="2" t="s">
        <v>11</v>
      </c>
      <c r="O1093" s="2" t="s">
        <v>12</v>
      </c>
      <c r="P1093" s="2" t="s">
        <v>54</v>
      </c>
      <c r="Q1093" s="2" t="s">
        <v>46</v>
      </c>
      <c r="R1093" s="2" t="s">
        <v>18</v>
      </c>
      <c r="S1093">
        <v>5</v>
      </c>
    </row>
    <row r="1094" spans="1:19" x14ac:dyDescent="0.3">
      <c r="A1094">
        <v>2394</v>
      </c>
      <c r="B1094">
        <f>YEAR(Cleaned_HR_Data_Analysis__2[[#This Row],[Joining_Date]])</f>
        <v>2022</v>
      </c>
      <c r="C1094" s="1">
        <v>44676</v>
      </c>
      <c r="D1094" s="1" t="str" cm="1">
        <f t="array" ref="D1094">_xlfn.IFS(E1094&lt;28, "17-27",
AND(E1094&gt;27, E1094&lt;38), "28-37",
AND(E1094&gt;37, E1094 &lt;48), "38-47",
AND(E1094&gt;47, E1094 &lt;58), "48-57",
AND(E1094&gt;57, E1094&lt;68), "58-67",
AND(E1094&gt;67, E1094&lt;78), "68-77",
E1094&gt;77,"Above than 77")</f>
        <v>38-47</v>
      </c>
      <c r="E1094">
        <v>42</v>
      </c>
      <c r="F1094" s="1">
        <v>29481</v>
      </c>
      <c r="G1094" s="1" t="str">
        <f>VLOOKUP(H1094,Table7[#All], 2, FALSE)</f>
        <v>Massachusetts</v>
      </c>
      <c r="H1094" s="2" t="s">
        <v>14</v>
      </c>
      <c r="I1094" s="2" t="s">
        <v>22</v>
      </c>
      <c r="J1094" s="2" t="s">
        <v>31</v>
      </c>
      <c r="K1094" s="2" t="s">
        <v>91</v>
      </c>
      <c r="L1094" s="2" t="s">
        <v>9</v>
      </c>
      <c r="M1094" s="2" t="s">
        <v>25</v>
      </c>
      <c r="N1094" s="2" t="s">
        <v>11</v>
      </c>
      <c r="O1094" s="2" t="s">
        <v>12</v>
      </c>
      <c r="P1094" s="2" t="s">
        <v>35</v>
      </c>
      <c r="Q1094" s="2" t="s">
        <v>16</v>
      </c>
      <c r="R1094" s="2" t="s">
        <v>18</v>
      </c>
      <c r="S1094">
        <v>1</v>
      </c>
    </row>
    <row r="1095" spans="1:19" x14ac:dyDescent="0.3">
      <c r="A1095">
        <v>2384</v>
      </c>
      <c r="B1095">
        <f>YEAR(Cleaned_HR_Data_Analysis__2[[#This Row],[Joining_Date]])</f>
        <v>2021</v>
      </c>
      <c r="C1095" s="1">
        <v>44483</v>
      </c>
      <c r="D1095" s="1" t="str" cm="1">
        <f t="array" ref="D1095">_xlfn.IFS(E1095&lt;28, "17-27",
AND(E1095&gt;27, E1095&lt;38), "28-37",
AND(E1095&gt;37, E1095 &lt;48), "38-47",
AND(E1095&gt;47, E1095 &lt;58), "48-57",
AND(E1095&gt;57, E1095&lt;68), "58-67",
AND(E1095&gt;67, E1095&lt;78), "68-77",
E1095&gt;77,"Above than 77")</f>
        <v>38-47</v>
      </c>
      <c r="E1095">
        <v>42</v>
      </c>
      <c r="F1095" s="1">
        <v>29109</v>
      </c>
      <c r="G1095" s="1" t="str">
        <f>VLOOKUP(H1095,Table7[#All], 2, FALSE)</f>
        <v>Massachusetts</v>
      </c>
      <c r="H1095" s="2" t="s">
        <v>14</v>
      </c>
      <c r="I1095" s="2" t="s">
        <v>15</v>
      </c>
      <c r="J1095" s="2" t="s">
        <v>34</v>
      </c>
      <c r="K1095" s="2" t="s">
        <v>91</v>
      </c>
      <c r="L1095" s="2" t="s">
        <v>66</v>
      </c>
      <c r="M1095" s="2" t="s">
        <v>25</v>
      </c>
      <c r="N1095" s="2" t="s">
        <v>19</v>
      </c>
      <c r="O1095" s="2" t="s">
        <v>12</v>
      </c>
      <c r="P1095" s="2" t="s">
        <v>35</v>
      </c>
      <c r="Q1095" s="2" t="s">
        <v>23</v>
      </c>
      <c r="R1095" s="2" t="s">
        <v>18</v>
      </c>
      <c r="S1095">
        <v>2</v>
      </c>
    </row>
    <row r="1096" spans="1:19" x14ac:dyDescent="0.3">
      <c r="A1096">
        <v>2347</v>
      </c>
      <c r="B1096">
        <f>YEAR(Cleaned_HR_Data_Analysis__2[[#This Row],[Joining_Date]])</f>
        <v>2019</v>
      </c>
      <c r="C1096" s="1">
        <v>43763</v>
      </c>
      <c r="D1096" s="1" t="str" cm="1">
        <f t="array" ref="D1096">_xlfn.IFS(E1096&lt;28, "17-27",
AND(E1096&gt;27, E1096&lt;38), "28-37",
AND(E1096&gt;37, E1096 &lt;48), "38-47",
AND(E1096&gt;47, E1096 &lt;58), "48-57",
AND(E1096&gt;57, E1096&lt;68), "58-67",
AND(E1096&gt;67, E1096&lt;78), "68-77",
E1096&gt;77,"Above than 77")</f>
        <v>38-47</v>
      </c>
      <c r="E1096">
        <v>42</v>
      </c>
      <c r="F1096" s="1">
        <v>28436</v>
      </c>
      <c r="G1096" s="1" t="str">
        <f>VLOOKUP(H1096,Table7[#All], 2, FALSE)</f>
        <v>Massachusetts</v>
      </c>
      <c r="H1096" s="2" t="s">
        <v>14</v>
      </c>
      <c r="I1096" s="2" t="s">
        <v>15</v>
      </c>
      <c r="J1096" s="2" t="s">
        <v>31</v>
      </c>
      <c r="K1096" s="2" t="s">
        <v>94</v>
      </c>
      <c r="L1096" s="2" t="s">
        <v>9</v>
      </c>
      <c r="M1096" s="2" t="s">
        <v>25</v>
      </c>
      <c r="N1096" s="2" t="s">
        <v>19</v>
      </c>
      <c r="O1096" s="2" t="s">
        <v>12</v>
      </c>
      <c r="P1096" s="2" t="s">
        <v>35</v>
      </c>
      <c r="Q1096" s="2" t="s">
        <v>16</v>
      </c>
      <c r="R1096" s="2" t="s">
        <v>18</v>
      </c>
      <c r="S1096">
        <v>3</v>
      </c>
    </row>
    <row r="1097" spans="1:19" x14ac:dyDescent="0.3">
      <c r="A1097">
        <v>3877</v>
      </c>
      <c r="B1097">
        <f>YEAR(Cleaned_HR_Data_Analysis__2[[#This Row],[Joining_Date]])</f>
        <v>2018</v>
      </c>
      <c r="C1097" s="1">
        <v>43395</v>
      </c>
      <c r="D1097" s="1" t="str" cm="1">
        <f t="array" ref="D1097">_xlfn.IFS(E1097&lt;28, "17-27",
AND(E1097&gt;27, E1097&lt;38), "28-37",
AND(E1097&gt;37, E1097 &lt;48), "38-47",
AND(E1097&gt;47, E1097 &lt;58), "48-57",
AND(E1097&gt;57, E1097&lt;68), "58-67",
AND(E1097&gt;67, E1097&lt;78), "68-77",
E1097&gt;77,"Above than 77")</f>
        <v>38-47</v>
      </c>
      <c r="E1097">
        <v>42</v>
      </c>
      <c r="F1097" s="1">
        <v>27780</v>
      </c>
      <c r="G1097" s="1" t="str">
        <f>VLOOKUP(H1097,Table7[#All], 2, FALSE)</f>
        <v>Massachusetts</v>
      </c>
      <c r="H1097" s="2" t="s">
        <v>14</v>
      </c>
      <c r="I1097" s="2" t="s">
        <v>22</v>
      </c>
      <c r="J1097" s="2" t="s">
        <v>31</v>
      </c>
      <c r="K1097" s="2" t="s">
        <v>71</v>
      </c>
      <c r="L1097" s="2" t="s">
        <v>9</v>
      </c>
      <c r="M1097" s="2" t="s">
        <v>20</v>
      </c>
      <c r="N1097" s="2" t="s">
        <v>19</v>
      </c>
      <c r="O1097" s="2" t="s">
        <v>73</v>
      </c>
      <c r="P1097" s="2" t="s">
        <v>32</v>
      </c>
      <c r="Q1097" s="2" t="s">
        <v>46</v>
      </c>
      <c r="R1097" s="2" t="s">
        <v>65</v>
      </c>
      <c r="S1097">
        <v>3</v>
      </c>
    </row>
    <row r="1098" spans="1:19" x14ac:dyDescent="0.3">
      <c r="A1098">
        <v>3820</v>
      </c>
      <c r="B1098">
        <f>YEAR(Cleaned_HR_Data_Analysis__2[[#This Row],[Joining_Date]])</f>
        <v>2018</v>
      </c>
      <c r="C1098" s="1">
        <v>43323</v>
      </c>
      <c r="D1098" s="1" t="str" cm="1">
        <f t="array" ref="D1098">_xlfn.IFS(E1098&lt;28, "17-27",
AND(E1098&gt;27, E1098&lt;38), "28-37",
AND(E1098&gt;37, E1098 &lt;48), "38-47",
AND(E1098&gt;47, E1098 &lt;58), "48-57",
AND(E1098&gt;57, E1098&lt;68), "58-67",
AND(E1098&gt;67, E1098&lt;78), "68-77",
E1098&gt;77,"Above than 77")</f>
        <v>38-47</v>
      </c>
      <c r="E1098">
        <v>42</v>
      </c>
      <c r="F1098" s="1">
        <v>28032</v>
      </c>
      <c r="G1098" s="1" t="str">
        <f>VLOOKUP(H1098,Table7[#All], 2, FALSE)</f>
        <v>Massachusetts</v>
      </c>
      <c r="H1098" s="2" t="s">
        <v>14</v>
      </c>
      <c r="I1098" s="2" t="s">
        <v>15</v>
      </c>
      <c r="J1098" s="2" t="s">
        <v>40</v>
      </c>
      <c r="K1098" s="2" t="s">
        <v>71</v>
      </c>
      <c r="L1098" s="2" t="s">
        <v>9</v>
      </c>
      <c r="M1098" s="2" t="s">
        <v>10</v>
      </c>
      <c r="N1098" s="2" t="s">
        <v>11</v>
      </c>
      <c r="O1098" s="2" t="s">
        <v>53</v>
      </c>
      <c r="P1098" s="2" t="s">
        <v>32</v>
      </c>
      <c r="Q1098" s="2" t="s">
        <v>30</v>
      </c>
      <c r="R1098" s="2" t="s">
        <v>18</v>
      </c>
      <c r="S1098">
        <v>3</v>
      </c>
    </row>
    <row r="1099" spans="1:19" x14ac:dyDescent="0.3">
      <c r="A1099">
        <v>3869</v>
      </c>
      <c r="B1099">
        <f>YEAR(Cleaned_HR_Data_Analysis__2[[#This Row],[Joining_Date]])</f>
        <v>2019</v>
      </c>
      <c r="C1099" s="1">
        <v>43733</v>
      </c>
      <c r="D1099" s="1" t="str" cm="1">
        <f t="array" ref="D1099">_xlfn.IFS(E1099&lt;28, "17-27",
AND(E1099&gt;27, E1099&lt;38), "28-37",
AND(E1099&gt;37, E1099 &lt;48), "38-47",
AND(E1099&gt;47, E1099 &lt;58), "48-57",
AND(E1099&gt;57, E1099&lt;68), "58-67",
AND(E1099&gt;67, E1099&lt;78), "68-77",
E1099&gt;77,"Above than 77")</f>
        <v>38-47</v>
      </c>
      <c r="E1099">
        <v>42</v>
      </c>
      <c r="F1099" s="1">
        <v>28286</v>
      </c>
      <c r="G1099" s="1" t="str">
        <f>VLOOKUP(H1099,Table7[#All], 2, FALSE)</f>
        <v>Massachusetts</v>
      </c>
      <c r="H1099" s="2" t="s">
        <v>14</v>
      </c>
      <c r="I1099" s="2" t="s">
        <v>22</v>
      </c>
      <c r="J1099" s="2" t="s">
        <v>40</v>
      </c>
      <c r="K1099" s="2" t="s">
        <v>70</v>
      </c>
      <c r="L1099" s="2" t="s">
        <v>9</v>
      </c>
      <c r="M1099" s="2" t="s">
        <v>25</v>
      </c>
      <c r="N1099" s="2" t="s">
        <v>19</v>
      </c>
      <c r="O1099" s="2" t="s">
        <v>53</v>
      </c>
      <c r="P1099" s="2" t="s">
        <v>35</v>
      </c>
      <c r="Q1099" s="2" t="s">
        <v>23</v>
      </c>
      <c r="R1099" s="2" t="s">
        <v>18</v>
      </c>
      <c r="S1099">
        <v>4</v>
      </c>
    </row>
    <row r="1100" spans="1:19" x14ac:dyDescent="0.3">
      <c r="A1100">
        <v>3849</v>
      </c>
      <c r="B1100">
        <f>YEAR(Cleaned_HR_Data_Analysis__2[[#This Row],[Joining_Date]])</f>
        <v>2021</v>
      </c>
      <c r="C1100" s="1">
        <v>44240</v>
      </c>
      <c r="D1100" s="1" t="str" cm="1">
        <f t="array" ref="D1100">_xlfn.IFS(E1100&lt;28, "17-27",
AND(E1100&gt;27, E1100&lt;38), "28-37",
AND(E1100&gt;37, E1100 &lt;48), "38-47",
AND(E1100&gt;47, E1100 &lt;58), "48-57",
AND(E1100&gt;57, E1100&lt;68), "58-67",
AND(E1100&gt;67, E1100&lt;78), "68-77",
E1100&gt;77,"Above than 77")</f>
        <v>38-47</v>
      </c>
      <c r="E1100">
        <v>42</v>
      </c>
      <c r="F1100" s="1">
        <v>28876</v>
      </c>
      <c r="G1100" s="1" t="str">
        <f>VLOOKUP(H1100,Table7[#All], 2, FALSE)</f>
        <v>Massachusetts</v>
      </c>
      <c r="H1100" s="2" t="s">
        <v>14</v>
      </c>
      <c r="I1100" s="2" t="s">
        <v>15</v>
      </c>
      <c r="J1100" s="2" t="s">
        <v>17</v>
      </c>
      <c r="K1100" s="2" t="s">
        <v>70</v>
      </c>
      <c r="L1100" s="2" t="s">
        <v>9</v>
      </c>
      <c r="M1100" s="2" t="s">
        <v>10</v>
      </c>
      <c r="N1100" s="2" t="s">
        <v>19</v>
      </c>
      <c r="O1100" s="2" t="s">
        <v>53</v>
      </c>
      <c r="P1100" s="2" t="s">
        <v>32</v>
      </c>
      <c r="Q1100" s="2" t="s">
        <v>16</v>
      </c>
      <c r="R1100" s="2" t="s">
        <v>18</v>
      </c>
      <c r="S1100">
        <v>3</v>
      </c>
    </row>
    <row r="1101" spans="1:19" x14ac:dyDescent="0.3">
      <c r="A1101">
        <v>2233</v>
      </c>
      <c r="B1101">
        <f>YEAR(Cleaned_HR_Data_Analysis__2[[#This Row],[Joining_Date]])</f>
        <v>2019</v>
      </c>
      <c r="C1101" s="1">
        <v>43735</v>
      </c>
      <c r="D1101" s="1" t="str" cm="1">
        <f t="array" ref="D1101">_xlfn.IFS(E1101&lt;28, "17-27",
AND(E1101&gt;27, E1101&lt;38), "28-37",
AND(E1101&gt;37, E1101 &lt;48), "38-47",
AND(E1101&gt;47, E1101 &lt;58), "48-57",
AND(E1101&gt;57, E1101&lt;68), "58-67",
AND(E1101&gt;67, E1101&lt;78), "68-77",
E1101&gt;77,"Above than 77")</f>
        <v>38-47</v>
      </c>
      <c r="E1101">
        <v>42</v>
      </c>
      <c r="F1101" s="1">
        <v>28237</v>
      </c>
      <c r="G1101" s="1" t="str">
        <f>VLOOKUP(H1101,Table7[#All], 2, FALSE)</f>
        <v>Massachusetts</v>
      </c>
      <c r="H1101" s="2" t="s">
        <v>14</v>
      </c>
      <c r="I1101" s="2" t="s">
        <v>15</v>
      </c>
      <c r="J1101" s="2" t="s">
        <v>31</v>
      </c>
      <c r="K1101" s="2" t="s">
        <v>70</v>
      </c>
      <c r="L1101" s="2" t="s">
        <v>9</v>
      </c>
      <c r="M1101" s="2" t="s">
        <v>10</v>
      </c>
      <c r="N1101" s="2" t="s">
        <v>26</v>
      </c>
      <c r="O1101" s="2" t="s">
        <v>53</v>
      </c>
      <c r="P1101" s="2" t="s">
        <v>49</v>
      </c>
      <c r="Q1101" s="2" t="s">
        <v>46</v>
      </c>
      <c r="R1101" s="2" t="s">
        <v>18</v>
      </c>
      <c r="S1101">
        <v>1</v>
      </c>
    </row>
    <row r="1102" spans="1:19" x14ac:dyDescent="0.3">
      <c r="A1102">
        <v>2264</v>
      </c>
      <c r="B1102">
        <f>YEAR(Cleaned_HR_Data_Analysis__2[[#This Row],[Joining_Date]])</f>
        <v>2021</v>
      </c>
      <c r="C1102" s="1">
        <v>44251</v>
      </c>
      <c r="D1102" s="1" t="str" cm="1">
        <f t="array" ref="D1102">_xlfn.IFS(E1102&lt;28, "17-27",
AND(E1102&gt;27, E1102&lt;38), "28-37",
AND(E1102&gt;37, E1102 &lt;48), "38-47",
AND(E1102&gt;47, E1102 &lt;58), "48-57",
AND(E1102&gt;57, E1102&lt;68), "58-67",
AND(E1102&gt;67, E1102&lt;78), "68-77",
E1102&gt;77,"Above than 77")</f>
        <v>38-47</v>
      </c>
      <c r="E1102">
        <v>42</v>
      </c>
      <c r="F1102" s="1">
        <v>28919</v>
      </c>
      <c r="G1102" s="1" t="str">
        <f>VLOOKUP(H1102,Table7[#All], 2, FALSE)</f>
        <v>Massachusetts</v>
      </c>
      <c r="H1102" s="2" t="s">
        <v>14</v>
      </c>
      <c r="I1102" s="2" t="s">
        <v>22</v>
      </c>
      <c r="J1102" s="2" t="s">
        <v>31</v>
      </c>
      <c r="K1102" s="2" t="s">
        <v>102</v>
      </c>
      <c r="L1102" s="2" t="s">
        <v>9</v>
      </c>
      <c r="M1102" s="2" t="s">
        <v>20</v>
      </c>
      <c r="N1102" s="2" t="s">
        <v>19</v>
      </c>
      <c r="O1102" s="2" t="s">
        <v>53</v>
      </c>
      <c r="P1102" s="2" t="s">
        <v>44</v>
      </c>
      <c r="Q1102" s="2" t="s">
        <v>16</v>
      </c>
      <c r="R1102" s="2" t="s">
        <v>18</v>
      </c>
      <c r="S1102">
        <v>2</v>
      </c>
    </row>
    <row r="1103" spans="1:19" x14ac:dyDescent="0.3">
      <c r="A1103">
        <v>2494</v>
      </c>
      <c r="B1103">
        <f>YEAR(Cleaned_HR_Data_Analysis__2[[#This Row],[Joining_Date]])</f>
        <v>2020</v>
      </c>
      <c r="C1103" s="1">
        <v>43925</v>
      </c>
      <c r="D1103" s="1" t="str" cm="1">
        <f t="array" ref="D1103">_xlfn.IFS(E1103&lt;28, "17-27",
AND(E1103&gt;27, E1103&lt;38), "28-37",
AND(E1103&gt;37, E1103 &lt;48), "38-47",
AND(E1103&gt;47, E1103 &lt;58), "48-57",
AND(E1103&gt;57, E1103&lt;68), "58-67",
AND(E1103&gt;67, E1103&lt;78), "68-77",
E1103&gt;77,"Above than 77")</f>
        <v>38-47</v>
      </c>
      <c r="E1103">
        <v>42</v>
      </c>
      <c r="F1103" s="1">
        <v>28706</v>
      </c>
      <c r="G1103" s="1" t="str">
        <f>VLOOKUP(H1103,Table7[#All], 2, FALSE)</f>
        <v>Massachusetts</v>
      </c>
      <c r="H1103" s="2" t="s">
        <v>14</v>
      </c>
      <c r="I1103" s="2" t="s">
        <v>22</v>
      </c>
      <c r="J1103" s="2" t="s">
        <v>34</v>
      </c>
      <c r="K1103" s="2" t="s">
        <v>103</v>
      </c>
      <c r="L1103" s="2" t="s">
        <v>9</v>
      </c>
      <c r="M1103" s="2" t="s">
        <v>10</v>
      </c>
      <c r="N1103" s="2" t="s">
        <v>19</v>
      </c>
      <c r="O1103" s="2" t="s">
        <v>53</v>
      </c>
      <c r="P1103" s="2" t="s">
        <v>35</v>
      </c>
      <c r="Q1103" s="2" t="s">
        <v>46</v>
      </c>
      <c r="R1103" s="2" t="s">
        <v>18</v>
      </c>
      <c r="S1103">
        <v>1</v>
      </c>
    </row>
    <row r="1104" spans="1:19" x14ac:dyDescent="0.3">
      <c r="A1104">
        <v>2535</v>
      </c>
      <c r="B1104">
        <f>YEAR(Cleaned_HR_Data_Analysis__2[[#This Row],[Joining_Date]])</f>
        <v>2020</v>
      </c>
      <c r="C1104" s="1">
        <v>44067</v>
      </c>
      <c r="D1104" s="1" t="str" cm="1">
        <f t="array" ref="D1104">_xlfn.IFS(E1104&lt;28, "17-27",
AND(E1104&gt;27, E1104&lt;38), "28-37",
AND(E1104&gt;37, E1104 &lt;48), "38-47",
AND(E1104&gt;47, E1104 &lt;58), "48-57",
AND(E1104&gt;57, E1104&lt;68), "58-67",
AND(E1104&gt;67, E1104&lt;78), "68-77",
E1104&gt;77,"Above than 77")</f>
        <v>38-47</v>
      </c>
      <c r="E1104">
        <v>42</v>
      </c>
      <c r="F1104" s="1">
        <v>28755</v>
      </c>
      <c r="G1104" s="1" t="str">
        <f>VLOOKUP(H1104,Table7[#All], 2, FALSE)</f>
        <v>Massachusetts</v>
      </c>
      <c r="H1104" s="2" t="s">
        <v>14</v>
      </c>
      <c r="I1104" s="2" t="s">
        <v>22</v>
      </c>
      <c r="J1104" s="2" t="s">
        <v>31</v>
      </c>
      <c r="K1104" s="2" t="s">
        <v>104</v>
      </c>
      <c r="L1104" s="2" t="s">
        <v>9</v>
      </c>
      <c r="M1104" s="2" t="s">
        <v>10</v>
      </c>
      <c r="N1104" s="2" t="s">
        <v>26</v>
      </c>
      <c r="O1104" s="2" t="s">
        <v>27</v>
      </c>
      <c r="P1104" s="2" t="s">
        <v>35</v>
      </c>
      <c r="Q1104" s="2" t="s">
        <v>30</v>
      </c>
      <c r="R1104" s="2" t="s">
        <v>18</v>
      </c>
      <c r="S1104">
        <v>5</v>
      </c>
    </row>
    <row r="1105" spans="1:19" x14ac:dyDescent="0.3">
      <c r="A1105">
        <v>1344</v>
      </c>
      <c r="B1105">
        <f>YEAR(Cleaned_HR_Data_Analysis__2[[#This Row],[Joining_Date]])</f>
        <v>2022</v>
      </c>
      <c r="C1105" s="1">
        <v>44824</v>
      </c>
      <c r="D1105" s="1" t="str" cm="1">
        <f t="array" ref="D1105">_xlfn.IFS(E1105&lt;28, "17-27",
AND(E1105&gt;27, E1105&lt;38), "28-37",
AND(E1105&gt;37, E1105 &lt;48), "38-47",
AND(E1105&gt;47, E1105 &lt;58), "48-57",
AND(E1105&gt;57, E1105&lt;68), "58-67",
AND(E1105&gt;67, E1105&lt;78), "68-77",
E1105&gt;77,"Above than 77")</f>
        <v>38-47</v>
      </c>
      <c r="E1105">
        <v>42</v>
      </c>
      <c r="F1105" s="1">
        <v>29576</v>
      </c>
      <c r="G1105" s="1" t="str">
        <f>VLOOKUP(H1105,Table7[#All], 2, FALSE)</f>
        <v>Massachusetts</v>
      </c>
      <c r="H1105" s="2" t="s">
        <v>14</v>
      </c>
      <c r="I1105" s="2" t="s">
        <v>22</v>
      </c>
      <c r="J1105" s="2" t="s">
        <v>31</v>
      </c>
      <c r="K1105" s="2" t="s">
        <v>96</v>
      </c>
      <c r="L1105" s="2" t="s">
        <v>9</v>
      </c>
      <c r="M1105" s="2" t="s">
        <v>20</v>
      </c>
      <c r="N1105" s="2" t="s">
        <v>19</v>
      </c>
      <c r="O1105" s="2" t="s">
        <v>90</v>
      </c>
      <c r="P1105" s="2" t="s">
        <v>32</v>
      </c>
      <c r="Q1105" s="2" t="s">
        <v>16</v>
      </c>
      <c r="R1105" s="2" t="s">
        <v>18</v>
      </c>
      <c r="S1105">
        <v>4</v>
      </c>
    </row>
    <row r="1106" spans="1:19" x14ac:dyDescent="0.3">
      <c r="A1106">
        <v>1326</v>
      </c>
      <c r="B1106">
        <f>YEAR(Cleaned_HR_Data_Analysis__2[[#This Row],[Joining_Date]])</f>
        <v>2020</v>
      </c>
      <c r="C1106" s="1">
        <v>43898</v>
      </c>
      <c r="D1106" s="1" t="str" cm="1">
        <f t="array" ref="D1106">_xlfn.IFS(E1106&lt;28, "17-27",
AND(E1106&gt;27, E1106&lt;38), "28-37",
AND(E1106&gt;37, E1106 &lt;48), "38-47",
AND(E1106&gt;47, E1106 &lt;58), "48-57",
AND(E1106&gt;57, E1106&lt;68), "58-67",
AND(E1106&gt;67, E1106&lt;78), "68-77",
E1106&gt;77,"Above than 77")</f>
        <v>38-47</v>
      </c>
      <c r="E1106">
        <v>43</v>
      </c>
      <c r="F1106" s="1">
        <v>28446</v>
      </c>
      <c r="G1106" s="1" t="str">
        <f>VLOOKUP(H1106,Table7[#All], 2, FALSE)</f>
        <v>Massachusetts</v>
      </c>
      <c r="H1106" s="2" t="s">
        <v>14</v>
      </c>
      <c r="I1106" s="2" t="s">
        <v>22</v>
      </c>
      <c r="J1106" s="2" t="s">
        <v>17</v>
      </c>
      <c r="K1106" s="2" t="s">
        <v>72</v>
      </c>
      <c r="L1106" s="2" t="s">
        <v>9</v>
      </c>
      <c r="M1106" s="2" t="s">
        <v>25</v>
      </c>
      <c r="N1106" s="2" t="s">
        <v>19</v>
      </c>
      <c r="O1106" s="2" t="s">
        <v>90</v>
      </c>
      <c r="P1106" s="2" t="s">
        <v>38</v>
      </c>
      <c r="Q1106" s="2" t="s">
        <v>16</v>
      </c>
      <c r="R1106" s="2" t="s">
        <v>18</v>
      </c>
      <c r="S1106">
        <v>3</v>
      </c>
    </row>
    <row r="1107" spans="1:19" x14ac:dyDescent="0.3">
      <c r="A1107">
        <v>1041</v>
      </c>
      <c r="B1107">
        <f>YEAR(Cleaned_HR_Data_Analysis__2[[#This Row],[Joining_Date]])</f>
        <v>2019</v>
      </c>
      <c r="C1107" s="1">
        <v>43780</v>
      </c>
      <c r="D1107" s="1" t="str" cm="1">
        <f t="array" ref="D1107">_xlfn.IFS(E1107&lt;28, "17-27",
AND(E1107&gt;27, E1107&lt;38), "28-37",
AND(E1107&gt;37, E1107 &lt;48), "38-47",
AND(E1107&gt;47, E1107 &lt;58), "48-57",
AND(E1107&gt;57, E1107&lt;68), "58-67",
AND(E1107&gt;67, E1107&lt;78), "68-77",
E1107&gt;77,"Above than 77")</f>
        <v>38-47</v>
      </c>
      <c r="E1107">
        <v>43</v>
      </c>
      <c r="F1107" s="1">
        <v>28068</v>
      </c>
      <c r="G1107" s="1" t="str">
        <f>VLOOKUP(H1107,Table7[#All], 2, FALSE)</f>
        <v>Massachusetts</v>
      </c>
      <c r="H1107" s="2" t="s">
        <v>14</v>
      </c>
      <c r="I1107" s="2" t="s">
        <v>22</v>
      </c>
      <c r="J1107" s="2" t="s">
        <v>31</v>
      </c>
      <c r="K1107" s="2" t="s">
        <v>86</v>
      </c>
      <c r="L1107" s="2" t="s">
        <v>66</v>
      </c>
      <c r="M1107" s="2" t="s">
        <v>25</v>
      </c>
      <c r="N1107" s="2" t="s">
        <v>19</v>
      </c>
      <c r="O1107" s="2" t="s">
        <v>87</v>
      </c>
      <c r="P1107" s="2" t="s">
        <v>42</v>
      </c>
      <c r="Q1107" s="2" t="s">
        <v>16</v>
      </c>
      <c r="R1107" s="2" t="s">
        <v>18</v>
      </c>
      <c r="S1107">
        <v>1</v>
      </c>
    </row>
    <row r="1108" spans="1:19" x14ac:dyDescent="0.3">
      <c r="A1108">
        <v>1069</v>
      </c>
      <c r="B1108">
        <f>YEAR(Cleaned_HR_Data_Analysis__2[[#This Row],[Joining_Date]])</f>
        <v>2018</v>
      </c>
      <c r="C1108" s="1">
        <v>43386</v>
      </c>
      <c r="D1108" s="1" t="str" cm="1">
        <f t="array" ref="D1108">_xlfn.IFS(E1108&lt;28, "17-27",
AND(E1108&gt;27, E1108&lt;38), "28-37",
AND(E1108&gt;37, E1108 &lt;48), "38-47",
AND(E1108&gt;47, E1108 &lt;58), "48-57",
AND(E1108&gt;57, E1108&lt;68), "58-67",
AND(E1108&gt;67, E1108&lt;78), "68-77",
E1108&gt;77,"Above than 77")</f>
        <v>38-47</v>
      </c>
      <c r="E1108">
        <v>43</v>
      </c>
      <c r="F1108" s="1">
        <v>27650</v>
      </c>
      <c r="G1108" s="1" t="str">
        <f>VLOOKUP(H1108,Table7[#All], 2, FALSE)</f>
        <v>Massachusetts</v>
      </c>
      <c r="H1108" s="2" t="s">
        <v>14</v>
      </c>
      <c r="I1108" s="2" t="s">
        <v>15</v>
      </c>
      <c r="J1108" s="2" t="s">
        <v>17</v>
      </c>
      <c r="K1108" s="2" t="s">
        <v>88</v>
      </c>
      <c r="L1108" s="2" t="s">
        <v>9</v>
      </c>
      <c r="M1108" s="2" t="s">
        <v>25</v>
      </c>
      <c r="N1108" s="2" t="s">
        <v>26</v>
      </c>
      <c r="O1108" s="2" t="s">
        <v>87</v>
      </c>
      <c r="P1108" s="2" t="s">
        <v>32</v>
      </c>
      <c r="Q1108" s="2" t="s">
        <v>30</v>
      </c>
      <c r="R1108" s="2" t="s">
        <v>18</v>
      </c>
      <c r="S1108">
        <v>1</v>
      </c>
    </row>
    <row r="1109" spans="1:19" x14ac:dyDescent="0.3">
      <c r="A1109">
        <v>1680</v>
      </c>
      <c r="B1109">
        <f>YEAR(Cleaned_HR_Data_Analysis__2[[#This Row],[Joining_Date]])</f>
        <v>2019</v>
      </c>
      <c r="C1109" s="1">
        <v>43763</v>
      </c>
      <c r="D1109" s="1" t="str" cm="1">
        <f t="array" ref="D1109">_xlfn.IFS(E1109&lt;28, "17-27",
AND(E1109&gt;27, E1109&lt;38), "28-37",
AND(E1109&gt;37, E1109 &lt;48), "38-47",
AND(E1109&gt;47, E1109 &lt;58), "48-57",
AND(E1109&gt;57, E1109&lt;68), "58-67",
AND(E1109&gt;67, E1109&lt;78), "68-77",
E1109&gt;77,"Above than 77")</f>
        <v>38-47</v>
      </c>
      <c r="E1109">
        <v>43</v>
      </c>
      <c r="F1109" s="1">
        <v>28004</v>
      </c>
      <c r="G1109" s="1" t="str">
        <f>VLOOKUP(H1109,Table7[#All], 2, FALSE)</f>
        <v>Massachusetts</v>
      </c>
      <c r="H1109" s="2" t="s">
        <v>14</v>
      </c>
      <c r="I1109" s="2" t="s">
        <v>22</v>
      </c>
      <c r="J1109" s="2" t="s">
        <v>40</v>
      </c>
      <c r="K1109" s="2" t="s">
        <v>89</v>
      </c>
      <c r="L1109" s="2" t="s">
        <v>9</v>
      </c>
      <c r="M1109" s="2" t="s">
        <v>25</v>
      </c>
      <c r="N1109" s="2" t="s">
        <v>11</v>
      </c>
      <c r="O1109" s="2" t="s">
        <v>53</v>
      </c>
      <c r="P1109" s="2" t="s">
        <v>32</v>
      </c>
      <c r="Q1109" s="2" t="s">
        <v>30</v>
      </c>
      <c r="R1109" s="2" t="s">
        <v>18</v>
      </c>
      <c r="S1109">
        <v>4</v>
      </c>
    </row>
    <row r="1110" spans="1:19" x14ac:dyDescent="0.3">
      <c r="A1110">
        <v>3789</v>
      </c>
      <c r="B1110">
        <f>YEAR(Cleaned_HR_Data_Analysis__2[[#This Row],[Joining_Date]])</f>
        <v>2020</v>
      </c>
      <c r="C1110" s="1">
        <v>43989</v>
      </c>
      <c r="D1110" s="1" t="str" cm="1">
        <f t="array" ref="D1110">_xlfn.IFS(E1110&lt;28, "17-27",
AND(E1110&gt;27, E1110&lt;38), "28-37",
AND(E1110&gt;37, E1110 &lt;48), "38-47",
AND(E1110&gt;47, E1110 &lt;58), "48-57",
AND(E1110&gt;57, E1110&lt;68), "58-67",
AND(E1110&gt;67, E1110&lt;78), "68-77",
E1110&gt;77,"Above than 77")</f>
        <v>38-47</v>
      </c>
      <c r="E1110">
        <v>43</v>
      </c>
      <c r="F1110" s="1">
        <v>28270</v>
      </c>
      <c r="G1110" s="1" t="str">
        <f>VLOOKUP(H1110,Table7[#All], 2, FALSE)</f>
        <v>Massachusetts</v>
      </c>
      <c r="H1110" s="2" t="s">
        <v>14</v>
      </c>
      <c r="I1110" s="2" t="s">
        <v>15</v>
      </c>
      <c r="J1110" s="2" t="s">
        <v>17</v>
      </c>
      <c r="K1110" s="2" t="s">
        <v>64</v>
      </c>
      <c r="L1110" s="2" t="s">
        <v>9</v>
      </c>
      <c r="M1110" s="2" t="s">
        <v>10</v>
      </c>
      <c r="N1110" s="2" t="s">
        <v>19</v>
      </c>
      <c r="O1110" s="2" t="s">
        <v>12</v>
      </c>
      <c r="P1110" s="2" t="s">
        <v>59</v>
      </c>
      <c r="Q1110" s="2" t="s">
        <v>30</v>
      </c>
      <c r="R1110" s="2" t="s">
        <v>18</v>
      </c>
      <c r="S1110">
        <v>1</v>
      </c>
    </row>
    <row r="1111" spans="1:19" x14ac:dyDescent="0.3">
      <c r="A1111">
        <v>3366</v>
      </c>
      <c r="B1111">
        <f>YEAR(Cleaned_HR_Data_Analysis__2[[#This Row],[Joining_Date]])</f>
        <v>2019</v>
      </c>
      <c r="C1111" s="1">
        <v>43485</v>
      </c>
      <c r="D1111" s="1" t="str" cm="1">
        <f t="array" ref="D1111">_xlfn.IFS(E1111&lt;28, "17-27",
AND(E1111&gt;27, E1111&lt;38), "28-37",
AND(E1111&gt;37, E1111 &lt;48), "38-47",
AND(E1111&gt;47, E1111 &lt;58), "48-57",
AND(E1111&gt;57, E1111&lt;68), "58-67",
AND(E1111&gt;67, E1111&lt;78), "68-77",
E1111&gt;77,"Above than 77")</f>
        <v>38-47</v>
      </c>
      <c r="E1111">
        <v>43</v>
      </c>
      <c r="F1111" s="1">
        <v>27894</v>
      </c>
      <c r="G1111" s="1" t="str">
        <f>VLOOKUP(H1111,Table7[#All], 2, FALSE)</f>
        <v>Massachusetts</v>
      </c>
      <c r="H1111" s="2" t="s">
        <v>14</v>
      </c>
      <c r="I1111" s="2" t="s">
        <v>22</v>
      </c>
      <c r="J1111" s="2" t="s">
        <v>17</v>
      </c>
      <c r="K1111" s="2" t="s">
        <v>64</v>
      </c>
      <c r="L1111" s="2" t="s">
        <v>66</v>
      </c>
      <c r="M1111" s="2" t="s">
        <v>10</v>
      </c>
      <c r="N1111" s="2" t="s">
        <v>11</v>
      </c>
      <c r="O1111" s="2" t="s">
        <v>12</v>
      </c>
      <c r="P1111" s="2" t="s">
        <v>32</v>
      </c>
      <c r="Q1111" s="2" t="s">
        <v>37</v>
      </c>
      <c r="R1111" s="2" t="s">
        <v>41</v>
      </c>
      <c r="S1111">
        <v>5</v>
      </c>
    </row>
    <row r="1112" spans="1:19" x14ac:dyDescent="0.3">
      <c r="A1112">
        <v>3277</v>
      </c>
      <c r="B1112">
        <f>YEAR(Cleaned_HR_Data_Analysis__2[[#This Row],[Joining_Date]])</f>
        <v>2023</v>
      </c>
      <c r="C1112" s="1">
        <v>45093</v>
      </c>
      <c r="D1112" s="1" t="str" cm="1">
        <f t="array" ref="D1112">_xlfn.IFS(E1112&lt;28, "17-27",
AND(E1112&gt;27, E1112&lt;38), "28-37",
AND(E1112&gt;37, E1112 &lt;48), "38-47",
AND(E1112&gt;47, E1112 &lt;58), "48-57",
AND(E1112&gt;57, E1112&lt;68), "58-67",
AND(E1112&gt;67, E1112&lt;78), "68-77",
E1112&gt;77,"Above than 77")</f>
        <v>38-47</v>
      </c>
      <c r="E1112">
        <v>43</v>
      </c>
      <c r="F1112" s="1">
        <v>29362</v>
      </c>
      <c r="G1112" s="1" t="str">
        <f>VLOOKUP(H1112,Table7[#All], 2, FALSE)</f>
        <v>Massachusetts</v>
      </c>
      <c r="H1112" s="2" t="s">
        <v>14</v>
      </c>
      <c r="I1112" s="2" t="s">
        <v>15</v>
      </c>
      <c r="J1112" s="2" t="s">
        <v>34</v>
      </c>
      <c r="K1112" s="2" t="s">
        <v>64</v>
      </c>
      <c r="L1112" s="2" t="s">
        <v>9</v>
      </c>
      <c r="M1112" s="2" t="s">
        <v>20</v>
      </c>
      <c r="N1112" s="2" t="s">
        <v>26</v>
      </c>
      <c r="O1112" s="2" t="s">
        <v>12</v>
      </c>
      <c r="P1112" s="2" t="s">
        <v>21</v>
      </c>
      <c r="Q1112" s="2" t="s">
        <v>23</v>
      </c>
      <c r="R1112" s="2" t="s">
        <v>18</v>
      </c>
      <c r="S1112">
        <v>2</v>
      </c>
    </row>
    <row r="1113" spans="1:19" x14ac:dyDescent="0.3">
      <c r="A1113">
        <v>3236</v>
      </c>
      <c r="B1113">
        <f>YEAR(Cleaned_HR_Data_Analysis__2[[#This Row],[Joining_Date]])</f>
        <v>2022</v>
      </c>
      <c r="C1113" s="1">
        <v>44585</v>
      </c>
      <c r="D1113" s="1" t="str" cm="1">
        <f t="array" ref="D1113">_xlfn.IFS(E1113&lt;28, "17-27",
AND(E1113&gt;27, E1113&lt;38), "28-37",
AND(E1113&gt;37, E1113 &lt;48), "38-47",
AND(E1113&gt;47, E1113 &lt;58), "48-57",
AND(E1113&gt;57, E1113&lt;68), "58-67",
AND(E1113&gt;67, E1113&lt;78), "68-77",
E1113&gt;77,"Above than 77")</f>
        <v>38-47</v>
      </c>
      <c r="E1113">
        <v>43</v>
      </c>
      <c r="F1113" s="1">
        <v>29010</v>
      </c>
      <c r="G1113" s="1" t="str">
        <f>VLOOKUP(H1113,Table7[#All], 2, FALSE)</f>
        <v>Massachusetts</v>
      </c>
      <c r="H1113" s="2" t="s">
        <v>14</v>
      </c>
      <c r="I1113" s="2" t="s">
        <v>15</v>
      </c>
      <c r="J1113" s="2" t="s">
        <v>34</v>
      </c>
      <c r="K1113" s="2" t="s">
        <v>64</v>
      </c>
      <c r="L1113" s="2" t="s">
        <v>9</v>
      </c>
      <c r="M1113" s="2" t="s">
        <v>10</v>
      </c>
      <c r="N1113" s="2" t="s">
        <v>11</v>
      </c>
      <c r="O1113" s="2" t="s">
        <v>12</v>
      </c>
      <c r="P1113" s="2" t="s">
        <v>62</v>
      </c>
      <c r="Q1113" s="2" t="s">
        <v>46</v>
      </c>
      <c r="R1113" s="2" t="s">
        <v>18</v>
      </c>
      <c r="S1113">
        <v>4</v>
      </c>
    </row>
    <row r="1114" spans="1:19" x14ac:dyDescent="0.3">
      <c r="A1114">
        <v>3093</v>
      </c>
      <c r="B1114">
        <f>YEAR(Cleaned_HR_Data_Analysis__2[[#This Row],[Joining_Date]])</f>
        <v>2019</v>
      </c>
      <c r="C1114" s="1">
        <v>43645</v>
      </c>
      <c r="D1114" s="1" t="str" cm="1">
        <f t="array" ref="D1114">_xlfn.IFS(E1114&lt;28, "17-27",
AND(E1114&gt;27, E1114&lt;38), "28-37",
AND(E1114&gt;37, E1114 &lt;48), "38-47",
AND(E1114&gt;47, E1114 &lt;58), "48-57",
AND(E1114&gt;57, E1114&lt;68), "58-67",
AND(E1114&gt;67, E1114&lt;78), "68-77",
E1114&gt;77,"Above than 77")</f>
        <v>38-47</v>
      </c>
      <c r="E1114">
        <v>43</v>
      </c>
      <c r="F1114" s="1">
        <v>28024</v>
      </c>
      <c r="G1114" s="1" t="str">
        <f>VLOOKUP(H1114,Table7[#All], 2, FALSE)</f>
        <v>Massachusetts</v>
      </c>
      <c r="H1114" s="2" t="s">
        <v>14</v>
      </c>
      <c r="I1114" s="2" t="s">
        <v>15</v>
      </c>
      <c r="J1114" s="2" t="s">
        <v>40</v>
      </c>
      <c r="K1114" s="2" t="s">
        <v>64</v>
      </c>
      <c r="L1114" s="2" t="s">
        <v>9</v>
      </c>
      <c r="M1114" s="2" t="s">
        <v>25</v>
      </c>
      <c r="N1114" s="2" t="s">
        <v>26</v>
      </c>
      <c r="O1114" s="2" t="s">
        <v>12</v>
      </c>
      <c r="P1114" s="2" t="s">
        <v>49</v>
      </c>
      <c r="Q1114" s="2" t="s">
        <v>46</v>
      </c>
      <c r="R1114" s="2" t="s">
        <v>18</v>
      </c>
      <c r="S1114">
        <v>4</v>
      </c>
    </row>
    <row r="1115" spans="1:19" x14ac:dyDescent="0.3">
      <c r="A1115">
        <v>3008</v>
      </c>
      <c r="B1115">
        <f>YEAR(Cleaned_HR_Data_Analysis__2[[#This Row],[Joining_Date]])</f>
        <v>2020</v>
      </c>
      <c r="C1115" s="1">
        <v>43924</v>
      </c>
      <c r="D1115" s="1" t="str" cm="1">
        <f t="array" ref="D1115">_xlfn.IFS(E1115&lt;28, "17-27",
AND(E1115&gt;27, E1115&lt;38), "28-37",
AND(E1115&gt;37, E1115 &lt;48), "38-47",
AND(E1115&gt;47, E1115 &lt;58), "48-57",
AND(E1115&gt;57, E1115&lt;68), "58-67",
AND(E1115&gt;67, E1115&lt;78), "68-77",
E1115&gt;77,"Above than 77")</f>
        <v>38-47</v>
      </c>
      <c r="E1115">
        <v>43</v>
      </c>
      <c r="F1115" s="1">
        <v>28190</v>
      </c>
      <c r="G1115" s="1" t="str">
        <f>VLOOKUP(H1115,Table7[#All], 2, FALSE)</f>
        <v>Massachusetts</v>
      </c>
      <c r="H1115" s="2" t="s">
        <v>14</v>
      </c>
      <c r="I1115" s="2" t="s">
        <v>15</v>
      </c>
      <c r="J1115" s="2" t="s">
        <v>17</v>
      </c>
      <c r="K1115" s="2" t="s">
        <v>64</v>
      </c>
      <c r="L1115" s="2" t="s">
        <v>9</v>
      </c>
      <c r="M1115" s="2" t="s">
        <v>25</v>
      </c>
      <c r="N1115" s="2" t="s">
        <v>19</v>
      </c>
      <c r="O1115" s="2" t="s">
        <v>12</v>
      </c>
      <c r="P1115" s="2" t="s">
        <v>28</v>
      </c>
      <c r="Q1115" s="2" t="s">
        <v>37</v>
      </c>
      <c r="R1115" s="2" t="s">
        <v>18</v>
      </c>
      <c r="S1115">
        <v>1</v>
      </c>
    </row>
    <row r="1116" spans="1:19" x14ac:dyDescent="0.3">
      <c r="A1116">
        <v>2884</v>
      </c>
      <c r="B1116">
        <f>YEAR(Cleaned_HR_Data_Analysis__2[[#This Row],[Joining_Date]])</f>
        <v>2022</v>
      </c>
      <c r="C1116" s="1">
        <v>44618</v>
      </c>
      <c r="D1116" s="1" t="str" cm="1">
        <f t="array" ref="D1116">_xlfn.IFS(E1116&lt;28, "17-27",
AND(E1116&gt;27, E1116&lt;38), "28-37",
AND(E1116&gt;37, E1116 &lt;48), "38-47",
AND(E1116&gt;47, E1116 &lt;58), "48-57",
AND(E1116&gt;57, E1116&lt;68), "58-67",
AND(E1116&gt;67, E1116&lt;78), "68-77",
E1116&gt;77,"Above than 77")</f>
        <v>38-47</v>
      </c>
      <c r="E1116">
        <v>43</v>
      </c>
      <c r="F1116" s="1">
        <v>29112</v>
      </c>
      <c r="G1116" s="1" t="str">
        <f>VLOOKUP(H1116,Table7[#All], 2, FALSE)</f>
        <v>Massachusetts</v>
      </c>
      <c r="H1116" s="2" t="s">
        <v>14</v>
      </c>
      <c r="I1116" s="2" t="s">
        <v>22</v>
      </c>
      <c r="J1116" s="2" t="s">
        <v>34</v>
      </c>
      <c r="K1116" s="2" t="s">
        <v>64</v>
      </c>
      <c r="L1116" s="2" t="s">
        <v>9</v>
      </c>
      <c r="M1116" s="2" t="s">
        <v>20</v>
      </c>
      <c r="N1116" s="2" t="s">
        <v>19</v>
      </c>
      <c r="O1116" s="2" t="s">
        <v>12</v>
      </c>
      <c r="P1116" s="2" t="s">
        <v>59</v>
      </c>
      <c r="Q1116" s="2" t="s">
        <v>30</v>
      </c>
      <c r="R1116" s="2" t="s">
        <v>18</v>
      </c>
      <c r="S1116">
        <v>2</v>
      </c>
    </row>
    <row r="1117" spans="1:19" x14ac:dyDescent="0.3">
      <c r="A1117">
        <v>2072</v>
      </c>
      <c r="B1117">
        <f>YEAR(Cleaned_HR_Data_Analysis__2[[#This Row],[Joining_Date]])</f>
        <v>2023</v>
      </c>
      <c r="C1117" s="1">
        <v>45115</v>
      </c>
      <c r="D1117" s="1" t="str" cm="1">
        <f t="array" ref="D1117">_xlfn.IFS(E1117&lt;28, "17-27",
AND(E1117&gt;27, E1117&lt;38), "28-37",
AND(E1117&gt;37, E1117 &lt;48), "38-47",
AND(E1117&gt;47, E1117 &lt;58), "48-57",
AND(E1117&gt;57, E1117&lt;68), "58-67",
AND(E1117&gt;67, E1117&lt;78), "68-77",
E1117&gt;77,"Above than 77")</f>
        <v>38-47</v>
      </c>
      <c r="E1117">
        <v>43</v>
      </c>
      <c r="F1117" s="1">
        <v>29471</v>
      </c>
      <c r="G1117" s="1" t="str">
        <f>VLOOKUP(H1117,Table7[#All], 2, FALSE)</f>
        <v>Massachusetts</v>
      </c>
      <c r="H1117" s="2" t="s">
        <v>14</v>
      </c>
      <c r="I1117" s="2" t="s">
        <v>15</v>
      </c>
      <c r="J1117" s="2" t="s">
        <v>31</v>
      </c>
      <c r="K1117" s="2" t="s">
        <v>64</v>
      </c>
      <c r="L1117" s="2" t="s">
        <v>9</v>
      </c>
      <c r="M1117" s="2" t="s">
        <v>10</v>
      </c>
      <c r="N1117" s="2" t="s">
        <v>19</v>
      </c>
      <c r="O1117" s="2" t="s">
        <v>12</v>
      </c>
      <c r="P1117" s="2" t="s">
        <v>54</v>
      </c>
      <c r="Q1117" s="2" t="s">
        <v>16</v>
      </c>
      <c r="R1117" s="2" t="s">
        <v>18</v>
      </c>
      <c r="S1117">
        <v>4</v>
      </c>
    </row>
    <row r="1118" spans="1:19" x14ac:dyDescent="0.3">
      <c r="A1118">
        <v>1257</v>
      </c>
      <c r="B1118">
        <f>YEAR(Cleaned_HR_Data_Analysis__2[[#This Row],[Joining_Date]])</f>
        <v>2021</v>
      </c>
      <c r="C1118" s="1">
        <v>44485</v>
      </c>
      <c r="D1118" s="1" t="str" cm="1">
        <f t="array" ref="D1118">_xlfn.IFS(E1118&lt;28, "17-27",
AND(E1118&gt;27, E1118&lt;38), "28-37",
AND(E1118&gt;37, E1118 &lt;48), "38-47",
AND(E1118&gt;47, E1118 &lt;58), "48-57",
AND(E1118&gt;57, E1118&lt;68), "58-67",
AND(E1118&gt;67, E1118&lt;78), "68-77",
E1118&gt;77,"Above than 77")</f>
        <v>38-47</v>
      </c>
      <c r="E1118">
        <v>43</v>
      </c>
      <c r="F1118" s="1">
        <v>28801</v>
      </c>
      <c r="G1118" s="1" t="str">
        <f>VLOOKUP(H1118,Table7[#All], 2, FALSE)</f>
        <v>Massachusetts</v>
      </c>
      <c r="H1118" s="2" t="s">
        <v>14</v>
      </c>
      <c r="I1118" s="2" t="s">
        <v>15</v>
      </c>
      <c r="J1118" s="2" t="s">
        <v>40</v>
      </c>
      <c r="K1118" s="2" t="s">
        <v>64</v>
      </c>
      <c r="L1118" s="2" t="s">
        <v>9</v>
      </c>
      <c r="M1118" s="2" t="s">
        <v>25</v>
      </c>
      <c r="N1118" s="2" t="s">
        <v>26</v>
      </c>
      <c r="O1118" s="2" t="s">
        <v>12</v>
      </c>
      <c r="P1118" s="2" t="s">
        <v>42</v>
      </c>
      <c r="Q1118" s="2" t="s">
        <v>46</v>
      </c>
      <c r="R1118" s="2" t="s">
        <v>18</v>
      </c>
      <c r="S1118">
        <v>1</v>
      </c>
    </row>
    <row r="1119" spans="1:19" x14ac:dyDescent="0.3">
      <c r="A1119">
        <v>3704</v>
      </c>
      <c r="B1119">
        <f>YEAR(Cleaned_HR_Data_Analysis__2[[#This Row],[Joining_Date]])</f>
        <v>2019</v>
      </c>
      <c r="C1119" s="1">
        <v>43490</v>
      </c>
      <c r="D1119" s="1" t="str" cm="1">
        <f t="array" ref="D1119">_xlfn.IFS(E1119&lt;28, "17-27",
AND(E1119&gt;27, E1119&lt;38), "28-37",
AND(E1119&gt;37, E1119 &lt;48), "38-47",
AND(E1119&gt;47, E1119 &lt;58), "48-57",
AND(E1119&gt;57, E1119&lt;68), "58-67",
AND(E1119&gt;67, E1119&lt;78), "68-77",
E1119&gt;77,"Above than 77")</f>
        <v>38-47</v>
      </c>
      <c r="E1119">
        <v>43</v>
      </c>
      <c r="F1119" s="1">
        <v>27795</v>
      </c>
      <c r="G1119" s="1" t="str">
        <f>VLOOKUP(H1119,Table7[#All], 2, FALSE)</f>
        <v>Massachusetts</v>
      </c>
      <c r="H1119" s="2" t="s">
        <v>14</v>
      </c>
      <c r="I1119" s="2" t="s">
        <v>15</v>
      </c>
      <c r="J1119" s="2" t="s">
        <v>34</v>
      </c>
      <c r="K1119" s="2" t="s">
        <v>8</v>
      </c>
      <c r="L1119" s="2" t="s">
        <v>9</v>
      </c>
      <c r="M1119" s="2" t="s">
        <v>25</v>
      </c>
      <c r="N1119" s="2" t="s">
        <v>11</v>
      </c>
      <c r="O1119" s="2" t="s">
        <v>12</v>
      </c>
      <c r="P1119" s="2" t="s">
        <v>35</v>
      </c>
      <c r="Q1119" s="2" t="s">
        <v>46</v>
      </c>
      <c r="R1119" s="2" t="s">
        <v>41</v>
      </c>
      <c r="S1119">
        <v>4</v>
      </c>
    </row>
    <row r="1120" spans="1:19" x14ac:dyDescent="0.3">
      <c r="A1120">
        <v>3702</v>
      </c>
      <c r="B1120">
        <f>YEAR(Cleaned_HR_Data_Analysis__2[[#This Row],[Joining_Date]])</f>
        <v>2019</v>
      </c>
      <c r="C1120" s="1">
        <v>43659</v>
      </c>
      <c r="D1120" s="1" t="str" cm="1">
        <f t="array" ref="D1120">_xlfn.IFS(E1120&lt;28, "17-27",
AND(E1120&gt;27, E1120&lt;38), "28-37",
AND(E1120&gt;37, E1120 &lt;48), "38-47",
AND(E1120&gt;47, E1120 &lt;58), "48-57",
AND(E1120&gt;57, E1120&lt;68), "58-67",
AND(E1120&gt;67, E1120&lt;78), "68-77",
E1120&gt;77,"Above than 77")</f>
        <v>38-47</v>
      </c>
      <c r="E1120">
        <v>43</v>
      </c>
      <c r="F1120" s="1">
        <v>27872</v>
      </c>
      <c r="G1120" s="1" t="str">
        <f>VLOOKUP(H1120,Table7[#All], 2, FALSE)</f>
        <v>Massachusetts</v>
      </c>
      <c r="H1120" s="2" t="s">
        <v>14</v>
      </c>
      <c r="I1120" s="2" t="s">
        <v>22</v>
      </c>
      <c r="J1120" s="2" t="s">
        <v>31</v>
      </c>
      <c r="K1120" s="2" t="s">
        <v>8</v>
      </c>
      <c r="L1120" s="2" t="s">
        <v>9</v>
      </c>
      <c r="M1120" s="2" t="s">
        <v>20</v>
      </c>
      <c r="N1120" s="2" t="s">
        <v>11</v>
      </c>
      <c r="O1120" s="2" t="s">
        <v>12</v>
      </c>
      <c r="P1120" s="2" t="s">
        <v>21</v>
      </c>
      <c r="Q1120" s="2" t="s">
        <v>46</v>
      </c>
      <c r="R1120" s="2" t="s">
        <v>41</v>
      </c>
      <c r="S1120">
        <v>4</v>
      </c>
    </row>
    <row r="1121" spans="1:19" x14ac:dyDescent="0.3">
      <c r="A1121">
        <v>3607</v>
      </c>
      <c r="B1121">
        <f>YEAR(Cleaned_HR_Data_Analysis__2[[#This Row],[Joining_Date]])</f>
        <v>2019</v>
      </c>
      <c r="C1121" s="1">
        <v>43634</v>
      </c>
      <c r="D1121" s="1" t="str" cm="1">
        <f t="array" ref="D1121">_xlfn.IFS(E1121&lt;28, "17-27",
AND(E1121&gt;27, E1121&lt;38), "28-37",
AND(E1121&gt;37, E1121 &lt;48), "38-47",
AND(E1121&gt;47, E1121 &lt;58), "48-57",
AND(E1121&gt;57, E1121&lt;68), "58-67",
AND(E1121&gt;67, E1121&lt;78), "68-77",
E1121&gt;77,"Above than 77")</f>
        <v>38-47</v>
      </c>
      <c r="E1121">
        <v>43</v>
      </c>
      <c r="F1121" s="1">
        <v>27975</v>
      </c>
      <c r="G1121" s="1" t="str">
        <f>VLOOKUP(H1121,Table7[#All], 2, FALSE)</f>
        <v>Massachusetts</v>
      </c>
      <c r="H1121" s="2" t="s">
        <v>14</v>
      </c>
      <c r="I1121" s="2" t="s">
        <v>22</v>
      </c>
      <c r="J1121" s="2" t="s">
        <v>34</v>
      </c>
      <c r="K1121" s="2" t="s">
        <v>8</v>
      </c>
      <c r="L1121" s="2" t="s">
        <v>9</v>
      </c>
      <c r="M1121" s="2" t="s">
        <v>25</v>
      </c>
      <c r="N1121" s="2" t="s">
        <v>19</v>
      </c>
      <c r="O1121" s="2" t="s">
        <v>12</v>
      </c>
      <c r="P1121" s="2" t="s">
        <v>54</v>
      </c>
      <c r="Q1121" s="2" t="s">
        <v>30</v>
      </c>
      <c r="R1121" s="2" t="s">
        <v>18</v>
      </c>
      <c r="S1121">
        <v>4</v>
      </c>
    </row>
    <row r="1122" spans="1:19" x14ac:dyDescent="0.3">
      <c r="A1122">
        <v>3220</v>
      </c>
      <c r="B1122">
        <f>YEAR(Cleaned_HR_Data_Analysis__2[[#This Row],[Joining_Date]])</f>
        <v>2023</v>
      </c>
      <c r="C1122" s="1">
        <v>45131</v>
      </c>
      <c r="D1122" s="1" t="str" cm="1">
        <f t="array" ref="D1122">_xlfn.IFS(E1122&lt;28, "17-27",
AND(E1122&gt;27, E1122&lt;38), "28-37",
AND(E1122&gt;37, E1122 &lt;48), "38-47",
AND(E1122&gt;47, E1122 &lt;58), "48-57",
AND(E1122&gt;57, E1122&lt;68), "58-67",
AND(E1122&gt;67, E1122&lt;78), "68-77",
E1122&gt;77,"Above than 77")</f>
        <v>38-47</v>
      </c>
      <c r="E1122">
        <v>43</v>
      </c>
      <c r="F1122" s="1">
        <v>29505</v>
      </c>
      <c r="G1122" s="1" t="str">
        <f>VLOOKUP(H1122,Table7[#All], 2, FALSE)</f>
        <v>Massachusetts</v>
      </c>
      <c r="H1122" s="2" t="s">
        <v>14</v>
      </c>
      <c r="I1122" s="2" t="s">
        <v>15</v>
      </c>
      <c r="J1122" s="2" t="s">
        <v>40</v>
      </c>
      <c r="K1122" s="2" t="s">
        <v>8</v>
      </c>
      <c r="L1122" s="2" t="s">
        <v>9</v>
      </c>
      <c r="M1122" s="2" t="s">
        <v>20</v>
      </c>
      <c r="N1122" s="2" t="s">
        <v>19</v>
      </c>
      <c r="O1122" s="2" t="s">
        <v>12</v>
      </c>
      <c r="P1122" s="2" t="s">
        <v>35</v>
      </c>
      <c r="Q1122" s="2" t="s">
        <v>30</v>
      </c>
      <c r="R1122" s="2" t="s">
        <v>18</v>
      </c>
      <c r="S1122">
        <v>4</v>
      </c>
    </row>
    <row r="1123" spans="1:19" x14ac:dyDescent="0.3">
      <c r="A1123">
        <v>3019</v>
      </c>
      <c r="B1123">
        <f>YEAR(Cleaned_HR_Data_Analysis__2[[#This Row],[Joining_Date]])</f>
        <v>2022</v>
      </c>
      <c r="C1123" s="1">
        <v>44666</v>
      </c>
      <c r="D1123" s="1" t="str" cm="1">
        <f t="array" ref="D1123">_xlfn.IFS(E1123&lt;28, "17-27",
AND(E1123&gt;27, E1123&lt;38), "28-37",
AND(E1123&gt;37, E1123 &lt;48), "38-47",
AND(E1123&gt;47, E1123 &lt;58), "48-57",
AND(E1123&gt;57, E1123&lt;68), "58-67",
AND(E1123&gt;67, E1123&lt;78), "68-77",
E1123&gt;77,"Above than 77")</f>
        <v>38-47</v>
      </c>
      <c r="E1123">
        <v>43</v>
      </c>
      <c r="F1123" s="1">
        <v>29119</v>
      </c>
      <c r="G1123" s="1" t="str">
        <f>VLOOKUP(H1123,Table7[#All], 2, FALSE)</f>
        <v>Massachusetts</v>
      </c>
      <c r="H1123" s="2" t="s">
        <v>14</v>
      </c>
      <c r="I1123" s="2" t="s">
        <v>15</v>
      </c>
      <c r="J1123" s="2" t="s">
        <v>34</v>
      </c>
      <c r="K1123" s="2" t="s">
        <v>8</v>
      </c>
      <c r="L1123" s="2" t="s">
        <v>9</v>
      </c>
      <c r="M1123" s="2" t="s">
        <v>10</v>
      </c>
      <c r="N1123" s="2" t="s">
        <v>26</v>
      </c>
      <c r="O1123" s="2" t="s">
        <v>12</v>
      </c>
      <c r="P1123" s="2" t="s">
        <v>13</v>
      </c>
      <c r="Q1123" s="2" t="s">
        <v>46</v>
      </c>
      <c r="R1123" s="2" t="s">
        <v>65</v>
      </c>
      <c r="S1123">
        <v>4</v>
      </c>
    </row>
    <row r="1124" spans="1:19" x14ac:dyDescent="0.3">
      <c r="A1124">
        <v>2981</v>
      </c>
      <c r="B1124">
        <f>YEAR(Cleaned_HR_Data_Analysis__2[[#This Row],[Joining_Date]])</f>
        <v>2022</v>
      </c>
      <c r="C1124" s="1">
        <v>44765</v>
      </c>
      <c r="D1124" s="1" t="str" cm="1">
        <f t="array" ref="D1124">_xlfn.IFS(E1124&lt;28, "17-27",
AND(E1124&gt;27, E1124&lt;38), "28-37",
AND(E1124&gt;37, E1124 &lt;48), "38-47",
AND(E1124&gt;47, E1124 &lt;58), "48-57",
AND(E1124&gt;57, E1124&lt;68), "58-67",
AND(E1124&gt;67, E1124&lt;78), "68-77",
E1124&gt;77,"Above than 77")</f>
        <v>38-47</v>
      </c>
      <c r="E1124">
        <v>43</v>
      </c>
      <c r="F1124" s="1">
        <v>29214</v>
      </c>
      <c r="G1124" s="1" t="str">
        <f>VLOOKUP(H1124,Table7[#All], 2, FALSE)</f>
        <v>Massachusetts</v>
      </c>
      <c r="H1124" s="2" t="s">
        <v>14</v>
      </c>
      <c r="I1124" s="2" t="s">
        <v>15</v>
      </c>
      <c r="J1124" s="2" t="s">
        <v>31</v>
      </c>
      <c r="K1124" s="2" t="s">
        <v>8</v>
      </c>
      <c r="L1124" s="2" t="s">
        <v>9</v>
      </c>
      <c r="M1124" s="2" t="s">
        <v>20</v>
      </c>
      <c r="N1124" s="2" t="s">
        <v>26</v>
      </c>
      <c r="O1124" s="2" t="s">
        <v>12</v>
      </c>
      <c r="P1124" s="2" t="s">
        <v>21</v>
      </c>
      <c r="Q1124" s="2" t="s">
        <v>37</v>
      </c>
      <c r="R1124" s="2" t="s">
        <v>18</v>
      </c>
      <c r="S1124">
        <v>3</v>
      </c>
    </row>
    <row r="1125" spans="1:19" x14ac:dyDescent="0.3">
      <c r="A1125">
        <v>2960</v>
      </c>
      <c r="B1125">
        <f>YEAR(Cleaned_HR_Data_Analysis__2[[#This Row],[Joining_Date]])</f>
        <v>2019</v>
      </c>
      <c r="C1125" s="1">
        <v>43508</v>
      </c>
      <c r="D1125" s="1" t="str" cm="1">
        <f t="array" ref="D1125">_xlfn.IFS(E1125&lt;28, "17-27",
AND(E1125&gt;27, E1125&lt;38), "28-37",
AND(E1125&gt;37, E1125 &lt;48), "38-47",
AND(E1125&gt;47, E1125 &lt;58), "48-57",
AND(E1125&gt;57, E1125&lt;68), "58-67",
AND(E1125&gt;67, E1125&lt;78), "68-77",
E1125&gt;77,"Above than 77")</f>
        <v>38-47</v>
      </c>
      <c r="E1125">
        <v>43</v>
      </c>
      <c r="F1125" s="1">
        <v>28024</v>
      </c>
      <c r="G1125" s="1" t="str">
        <f>VLOOKUP(H1125,Table7[#All], 2, FALSE)</f>
        <v>Massachusetts</v>
      </c>
      <c r="H1125" s="2" t="s">
        <v>14</v>
      </c>
      <c r="I1125" s="2" t="s">
        <v>15</v>
      </c>
      <c r="J1125" s="2" t="s">
        <v>40</v>
      </c>
      <c r="K1125" s="2" t="s">
        <v>8</v>
      </c>
      <c r="L1125" s="2" t="s">
        <v>9</v>
      </c>
      <c r="M1125" s="2" t="s">
        <v>25</v>
      </c>
      <c r="N1125" s="2" t="s">
        <v>11</v>
      </c>
      <c r="O1125" s="2" t="s">
        <v>12</v>
      </c>
      <c r="P1125" s="2" t="s">
        <v>32</v>
      </c>
      <c r="Q1125" s="2" t="s">
        <v>16</v>
      </c>
      <c r="R1125" s="2" t="s">
        <v>18</v>
      </c>
      <c r="S1125">
        <v>4</v>
      </c>
    </row>
    <row r="1126" spans="1:19" x14ac:dyDescent="0.3">
      <c r="A1126">
        <v>2945</v>
      </c>
      <c r="B1126">
        <f>YEAR(Cleaned_HR_Data_Analysis__2[[#This Row],[Joining_Date]])</f>
        <v>2019</v>
      </c>
      <c r="C1126" s="1">
        <v>43711</v>
      </c>
      <c r="D1126" s="1" t="str" cm="1">
        <f t="array" ref="D1126">_xlfn.IFS(E1126&lt;28, "17-27",
AND(E1126&gt;27, E1126&lt;38), "28-37",
AND(E1126&gt;37, E1126 &lt;48), "38-47",
AND(E1126&gt;47, E1126 &lt;58), "48-57",
AND(E1126&gt;57, E1126&lt;68), "58-67",
AND(E1126&gt;67, E1126&lt;78), "68-77",
E1126&gt;77,"Above than 77")</f>
        <v>38-47</v>
      </c>
      <c r="E1126">
        <v>43</v>
      </c>
      <c r="F1126" s="1">
        <v>27993</v>
      </c>
      <c r="G1126" s="1" t="str">
        <f>VLOOKUP(H1126,Table7[#All], 2, FALSE)</f>
        <v>Massachusetts</v>
      </c>
      <c r="H1126" s="2" t="s">
        <v>14</v>
      </c>
      <c r="I1126" s="2" t="s">
        <v>22</v>
      </c>
      <c r="J1126" s="2" t="s">
        <v>17</v>
      </c>
      <c r="K1126" s="2" t="s">
        <v>8</v>
      </c>
      <c r="L1126" s="2" t="s">
        <v>66</v>
      </c>
      <c r="M1126" s="2" t="s">
        <v>25</v>
      </c>
      <c r="N1126" s="2" t="s">
        <v>26</v>
      </c>
      <c r="O1126" s="2" t="s">
        <v>12</v>
      </c>
      <c r="P1126" s="2" t="s">
        <v>21</v>
      </c>
      <c r="Q1126" s="2" t="s">
        <v>16</v>
      </c>
      <c r="R1126" s="2" t="s">
        <v>56</v>
      </c>
      <c r="S1126">
        <v>2</v>
      </c>
    </row>
    <row r="1127" spans="1:19" x14ac:dyDescent="0.3">
      <c r="A1127">
        <v>2855</v>
      </c>
      <c r="B1127">
        <f>YEAR(Cleaned_HR_Data_Analysis__2[[#This Row],[Joining_Date]])</f>
        <v>2022</v>
      </c>
      <c r="C1127" s="1">
        <v>44580</v>
      </c>
      <c r="D1127" s="1" t="str" cm="1">
        <f t="array" ref="D1127">_xlfn.IFS(E1127&lt;28, "17-27",
AND(E1127&gt;27, E1127&lt;38), "28-37",
AND(E1127&gt;37, E1127 &lt;48), "38-47",
AND(E1127&gt;47, E1127 &lt;58), "48-57",
AND(E1127&gt;57, E1127&lt;68), "58-67",
AND(E1127&gt;67, E1127&lt;78), "68-77",
E1127&gt;77,"Above than 77")</f>
        <v>38-47</v>
      </c>
      <c r="E1127">
        <v>43</v>
      </c>
      <c r="F1127" s="1">
        <v>28904</v>
      </c>
      <c r="G1127" s="1" t="str">
        <f>VLOOKUP(H1127,Table7[#All], 2, FALSE)</f>
        <v>Massachusetts</v>
      </c>
      <c r="H1127" s="2" t="s">
        <v>14</v>
      </c>
      <c r="I1127" s="2" t="s">
        <v>15</v>
      </c>
      <c r="J1127" s="2" t="s">
        <v>31</v>
      </c>
      <c r="K1127" s="2" t="s">
        <v>8</v>
      </c>
      <c r="L1127" s="2" t="s">
        <v>9</v>
      </c>
      <c r="M1127" s="2" t="s">
        <v>20</v>
      </c>
      <c r="N1127" s="2" t="s">
        <v>11</v>
      </c>
      <c r="O1127" s="2" t="s">
        <v>12</v>
      </c>
      <c r="P1127" s="2" t="s">
        <v>35</v>
      </c>
      <c r="Q1127" s="2" t="s">
        <v>37</v>
      </c>
      <c r="R1127" s="2" t="s">
        <v>56</v>
      </c>
      <c r="S1127">
        <v>5</v>
      </c>
    </row>
    <row r="1128" spans="1:19" x14ac:dyDescent="0.3">
      <c r="A1128">
        <v>2820</v>
      </c>
      <c r="B1128">
        <f>YEAR(Cleaned_HR_Data_Analysis__2[[#This Row],[Joining_Date]])</f>
        <v>2022</v>
      </c>
      <c r="C1128" s="1">
        <v>44822</v>
      </c>
      <c r="D1128" s="1" t="str" cm="1">
        <f t="array" ref="D1128">_xlfn.IFS(E1128&lt;28, "17-27",
AND(E1128&gt;27, E1128&lt;38), "28-37",
AND(E1128&gt;37, E1128 &lt;48), "38-47",
AND(E1128&gt;47, E1128 &lt;58), "48-57",
AND(E1128&gt;57, E1128&lt;68), "58-67",
AND(E1128&gt;67, E1128&lt;78), "68-77",
E1128&gt;77,"Above than 77")</f>
        <v>38-47</v>
      </c>
      <c r="E1128">
        <v>43</v>
      </c>
      <c r="F1128" s="1">
        <v>29045</v>
      </c>
      <c r="G1128" s="1" t="str">
        <f>VLOOKUP(H1128,Table7[#All], 2, FALSE)</f>
        <v>Massachusetts</v>
      </c>
      <c r="H1128" s="2" t="s">
        <v>14</v>
      </c>
      <c r="I1128" s="2" t="s">
        <v>22</v>
      </c>
      <c r="J1128" s="2" t="s">
        <v>40</v>
      </c>
      <c r="K1128" s="2" t="s">
        <v>8</v>
      </c>
      <c r="L1128" s="2" t="s">
        <v>9</v>
      </c>
      <c r="M1128" s="2" t="s">
        <v>25</v>
      </c>
      <c r="N1128" s="2" t="s">
        <v>11</v>
      </c>
      <c r="O1128" s="2" t="s">
        <v>12</v>
      </c>
      <c r="P1128" s="2" t="s">
        <v>59</v>
      </c>
      <c r="Q1128" s="2" t="s">
        <v>23</v>
      </c>
      <c r="R1128" s="2" t="s">
        <v>18</v>
      </c>
      <c r="S1128">
        <v>1</v>
      </c>
    </row>
    <row r="1129" spans="1:19" x14ac:dyDescent="0.3">
      <c r="A1129">
        <v>2802</v>
      </c>
      <c r="B1129">
        <f>YEAR(Cleaned_HR_Data_Analysis__2[[#This Row],[Joining_Date]])</f>
        <v>2020</v>
      </c>
      <c r="C1129" s="1">
        <v>44150</v>
      </c>
      <c r="D1129" s="1" t="str" cm="1">
        <f t="array" ref="D1129">_xlfn.IFS(E1129&lt;28, "17-27",
AND(E1129&gt;27, E1129&lt;38), "28-37",
AND(E1129&gt;37, E1129 &lt;48), "38-47",
AND(E1129&gt;47, E1129 &lt;58), "48-57",
AND(E1129&gt;57, E1129&lt;68), "58-67",
AND(E1129&gt;67, E1129&lt;78), "68-77",
E1129&gt;77,"Above than 77")</f>
        <v>38-47</v>
      </c>
      <c r="E1129">
        <v>43</v>
      </c>
      <c r="F1129" s="1">
        <v>28348</v>
      </c>
      <c r="G1129" s="1" t="str">
        <f>VLOOKUP(H1129,Table7[#All], 2, FALSE)</f>
        <v>Massachusetts</v>
      </c>
      <c r="H1129" s="2" t="s">
        <v>14</v>
      </c>
      <c r="I1129" s="2" t="s">
        <v>15</v>
      </c>
      <c r="J1129" s="2" t="s">
        <v>34</v>
      </c>
      <c r="K1129" s="2" t="s">
        <v>8</v>
      </c>
      <c r="L1129" s="2" t="s">
        <v>9</v>
      </c>
      <c r="M1129" s="2" t="s">
        <v>10</v>
      </c>
      <c r="N1129" s="2" t="s">
        <v>11</v>
      </c>
      <c r="O1129" s="2" t="s">
        <v>12</v>
      </c>
      <c r="P1129" s="2" t="s">
        <v>32</v>
      </c>
      <c r="Q1129" s="2" t="s">
        <v>16</v>
      </c>
      <c r="R1129" s="2" t="s">
        <v>18</v>
      </c>
      <c r="S1129">
        <v>3</v>
      </c>
    </row>
    <row r="1130" spans="1:19" x14ac:dyDescent="0.3">
      <c r="A1130">
        <v>2754</v>
      </c>
      <c r="B1130">
        <f>YEAR(Cleaned_HR_Data_Analysis__2[[#This Row],[Joining_Date]])</f>
        <v>2020</v>
      </c>
      <c r="C1130" s="1">
        <v>43926</v>
      </c>
      <c r="D1130" s="1" t="str" cm="1">
        <f t="array" ref="D1130">_xlfn.IFS(E1130&lt;28, "17-27",
AND(E1130&gt;27, E1130&lt;38), "28-37",
AND(E1130&gt;37, E1130 &lt;48), "38-47",
AND(E1130&gt;47, E1130 &lt;58), "48-57",
AND(E1130&gt;57, E1130&lt;68), "58-67",
AND(E1130&gt;67, E1130&lt;78), "68-77",
E1130&gt;77,"Above than 77")</f>
        <v>38-47</v>
      </c>
      <c r="E1130">
        <v>43</v>
      </c>
      <c r="F1130" s="1">
        <v>28250</v>
      </c>
      <c r="G1130" s="1" t="str">
        <f>VLOOKUP(H1130,Table7[#All], 2, FALSE)</f>
        <v>Massachusetts</v>
      </c>
      <c r="H1130" s="2" t="s">
        <v>14</v>
      </c>
      <c r="I1130" s="2" t="s">
        <v>22</v>
      </c>
      <c r="J1130" s="2" t="s">
        <v>34</v>
      </c>
      <c r="K1130" s="2" t="s">
        <v>8</v>
      </c>
      <c r="L1130" s="2" t="s">
        <v>9</v>
      </c>
      <c r="M1130" s="2" t="s">
        <v>25</v>
      </c>
      <c r="N1130" s="2" t="s">
        <v>11</v>
      </c>
      <c r="O1130" s="2" t="s">
        <v>12</v>
      </c>
      <c r="P1130" s="2" t="s">
        <v>42</v>
      </c>
      <c r="Q1130" s="2" t="s">
        <v>30</v>
      </c>
      <c r="R1130" s="2" t="s">
        <v>18</v>
      </c>
      <c r="S1130">
        <v>5</v>
      </c>
    </row>
    <row r="1131" spans="1:19" x14ac:dyDescent="0.3">
      <c r="A1131">
        <v>2199</v>
      </c>
      <c r="B1131">
        <f>YEAR(Cleaned_HR_Data_Analysis__2[[#This Row],[Joining_Date]])</f>
        <v>2020</v>
      </c>
      <c r="C1131" s="1">
        <v>43982</v>
      </c>
      <c r="D1131" s="1" t="str" cm="1">
        <f t="array" ref="D1131">_xlfn.IFS(E1131&lt;28, "17-27",
AND(E1131&gt;27, E1131&lt;38), "28-37",
AND(E1131&gt;37, E1131 &lt;48), "38-47",
AND(E1131&gt;47, E1131 &lt;58), "48-57",
AND(E1131&gt;57, E1131&lt;68), "58-67",
AND(E1131&gt;67, E1131&lt;78), "68-77",
E1131&gt;77,"Above than 77")</f>
        <v>38-47</v>
      </c>
      <c r="E1131">
        <v>43</v>
      </c>
      <c r="F1131" s="1">
        <v>28316</v>
      </c>
      <c r="G1131" s="1" t="str">
        <f>VLOOKUP(H1131,Table7[#All], 2, FALSE)</f>
        <v>Massachusetts</v>
      </c>
      <c r="H1131" s="2" t="s">
        <v>14</v>
      </c>
      <c r="I1131" s="2" t="s">
        <v>15</v>
      </c>
      <c r="J1131" s="2" t="s">
        <v>40</v>
      </c>
      <c r="K1131" s="2" t="s">
        <v>8</v>
      </c>
      <c r="L1131" s="2" t="s">
        <v>9</v>
      </c>
      <c r="M1131" s="2" t="s">
        <v>25</v>
      </c>
      <c r="N1131" s="2" t="s">
        <v>11</v>
      </c>
      <c r="O1131" s="2" t="s">
        <v>12</v>
      </c>
      <c r="P1131" s="2" t="s">
        <v>32</v>
      </c>
      <c r="Q1131" s="2" t="s">
        <v>16</v>
      </c>
      <c r="R1131" s="2" t="s">
        <v>41</v>
      </c>
      <c r="S1131">
        <v>3</v>
      </c>
    </row>
    <row r="1132" spans="1:19" x14ac:dyDescent="0.3">
      <c r="A1132">
        <v>2086</v>
      </c>
      <c r="B1132">
        <f>YEAR(Cleaned_HR_Data_Analysis__2[[#This Row],[Joining_Date]])</f>
        <v>2021</v>
      </c>
      <c r="C1132" s="1">
        <v>44347</v>
      </c>
      <c r="D1132" s="1" t="str" cm="1">
        <f t="array" ref="D1132">_xlfn.IFS(E1132&lt;28, "17-27",
AND(E1132&gt;27, E1132&lt;38), "28-37",
AND(E1132&gt;37, E1132 &lt;48), "38-47",
AND(E1132&gt;47, E1132 &lt;58), "48-57",
AND(E1132&gt;57, E1132&lt;68), "58-67",
AND(E1132&gt;67, E1132&lt;78), "68-77",
E1132&gt;77,"Above than 77")</f>
        <v>38-47</v>
      </c>
      <c r="E1132">
        <v>43</v>
      </c>
      <c r="F1132" s="1">
        <v>28808</v>
      </c>
      <c r="G1132" s="1" t="str">
        <f>VLOOKUP(H1132,Table7[#All], 2, FALSE)</f>
        <v>Massachusetts</v>
      </c>
      <c r="H1132" s="2" t="s">
        <v>14</v>
      </c>
      <c r="I1132" s="2" t="s">
        <v>15</v>
      </c>
      <c r="J1132" s="2" t="s">
        <v>40</v>
      </c>
      <c r="K1132" s="2" t="s">
        <v>8</v>
      </c>
      <c r="L1132" s="2" t="s">
        <v>9</v>
      </c>
      <c r="M1132" s="2" t="s">
        <v>10</v>
      </c>
      <c r="N1132" s="2" t="s">
        <v>19</v>
      </c>
      <c r="O1132" s="2" t="s">
        <v>12</v>
      </c>
      <c r="P1132" s="2" t="s">
        <v>32</v>
      </c>
      <c r="Q1132" s="2" t="s">
        <v>46</v>
      </c>
      <c r="R1132" s="2" t="s">
        <v>18</v>
      </c>
      <c r="S1132">
        <v>4</v>
      </c>
    </row>
    <row r="1133" spans="1:19" x14ac:dyDescent="0.3">
      <c r="A1133">
        <v>1925</v>
      </c>
      <c r="B1133">
        <f>YEAR(Cleaned_HR_Data_Analysis__2[[#This Row],[Joining_Date]])</f>
        <v>2023</v>
      </c>
      <c r="C1133" s="1">
        <v>45045</v>
      </c>
      <c r="D1133" s="1" t="str" cm="1">
        <f t="array" ref="D1133">_xlfn.IFS(E1133&lt;28, "17-27",
AND(E1133&gt;27, E1133&lt;38), "28-37",
AND(E1133&gt;37, E1133 &lt;48), "38-47",
AND(E1133&gt;47, E1133 &lt;58), "48-57",
AND(E1133&gt;57, E1133&lt;68), "58-67",
AND(E1133&gt;67, E1133&lt;78), "68-77",
E1133&gt;77,"Above than 77")</f>
        <v>38-47</v>
      </c>
      <c r="E1133">
        <v>43</v>
      </c>
      <c r="F1133" s="1">
        <v>29264</v>
      </c>
      <c r="G1133" s="1" t="str">
        <f>VLOOKUP(H1133,Table7[#All], 2, FALSE)</f>
        <v>Massachusetts</v>
      </c>
      <c r="H1133" s="2" t="s">
        <v>14</v>
      </c>
      <c r="I1133" s="2" t="s">
        <v>22</v>
      </c>
      <c r="J1133" s="2" t="s">
        <v>40</v>
      </c>
      <c r="K1133" s="2" t="s">
        <v>8</v>
      </c>
      <c r="L1133" s="2" t="s">
        <v>9</v>
      </c>
      <c r="M1133" s="2" t="s">
        <v>10</v>
      </c>
      <c r="N1133" s="2" t="s">
        <v>26</v>
      </c>
      <c r="O1133" s="2" t="s">
        <v>12</v>
      </c>
      <c r="P1133" s="2" t="s">
        <v>49</v>
      </c>
      <c r="Q1133" s="2" t="s">
        <v>30</v>
      </c>
      <c r="R1133" s="2" t="s">
        <v>18</v>
      </c>
      <c r="S1133">
        <v>5</v>
      </c>
    </row>
    <row r="1134" spans="1:19" x14ac:dyDescent="0.3">
      <c r="A1134">
        <v>1866</v>
      </c>
      <c r="B1134">
        <f>YEAR(Cleaned_HR_Data_Analysis__2[[#This Row],[Joining_Date]])</f>
        <v>2023</v>
      </c>
      <c r="C1134" s="1">
        <v>44985</v>
      </c>
      <c r="D1134" s="1" t="str" cm="1">
        <f t="array" ref="D1134">_xlfn.IFS(E1134&lt;28, "17-27",
AND(E1134&gt;27, E1134&lt;38), "28-37",
AND(E1134&gt;37, E1134 &lt;48), "38-47",
AND(E1134&gt;47, E1134 &lt;58), "48-57",
AND(E1134&gt;57, E1134&lt;68), "58-67",
AND(E1134&gt;67, E1134&lt;78), "68-77",
E1134&gt;77,"Above than 77")</f>
        <v>38-47</v>
      </c>
      <c r="E1134">
        <v>43</v>
      </c>
      <c r="F1134" s="1">
        <v>29363</v>
      </c>
      <c r="G1134" s="1" t="str">
        <f>VLOOKUP(H1134,Table7[#All], 2, FALSE)</f>
        <v>Massachusetts</v>
      </c>
      <c r="H1134" s="2" t="s">
        <v>14</v>
      </c>
      <c r="I1134" s="2" t="s">
        <v>22</v>
      </c>
      <c r="J1134" s="2" t="s">
        <v>40</v>
      </c>
      <c r="K1134" s="2" t="s">
        <v>8</v>
      </c>
      <c r="L1134" s="2" t="s">
        <v>9</v>
      </c>
      <c r="M1134" s="2" t="s">
        <v>10</v>
      </c>
      <c r="N1134" s="2" t="s">
        <v>19</v>
      </c>
      <c r="O1134" s="2" t="s">
        <v>12</v>
      </c>
      <c r="P1134" s="2" t="s">
        <v>35</v>
      </c>
      <c r="Q1134" s="2" t="s">
        <v>46</v>
      </c>
      <c r="R1134" s="2" t="s">
        <v>41</v>
      </c>
      <c r="S1134">
        <v>5</v>
      </c>
    </row>
    <row r="1135" spans="1:19" x14ac:dyDescent="0.3">
      <c r="A1135">
        <v>1820</v>
      </c>
      <c r="B1135">
        <f>YEAR(Cleaned_HR_Data_Analysis__2[[#This Row],[Joining_Date]])</f>
        <v>2023</v>
      </c>
      <c r="C1135" s="1">
        <v>45050</v>
      </c>
      <c r="D1135" s="1" t="str" cm="1">
        <f t="array" ref="D1135">_xlfn.IFS(E1135&lt;28, "17-27",
AND(E1135&gt;27, E1135&lt;38), "28-37",
AND(E1135&gt;37, E1135 &lt;48), "38-47",
AND(E1135&gt;47, E1135 &lt;58), "48-57",
AND(E1135&gt;57, E1135&lt;68), "58-67",
AND(E1135&gt;67, E1135&lt;78), "68-77",
E1135&gt;77,"Above than 77")</f>
        <v>38-47</v>
      </c>
      <c r="E1135">
        <v>43</v>
      </c>
      <c r="F1135" s="1">
        <v>29252</v>
      </c>
      <c r="G1135" s="1" t="str">
        <f>VLOOKUP(H1135,Table7[#All], 2, FALSE)</f>
        <v>Massachusetts</v>
      </c>
      <c r="H1135" s="2" t="s">
        <v>14</v>
      </c>
      <c r="I1135" s="2" t="s">
        <v>15</v>
      </c>
      <c r="J1135" s="2" t="s">
        <v>40</v>
      </c>
      <c r="K1135" s="2" t="s">
        <v>8</v>
      </c>
      <c r="L1135" s="2" t="s">
        <v>9</v>
      </c>
      <c r="M1135" s="2" t="s">
        <v>25</v>
      </c>
      <c r="N1135" s="2" t="s">
        <v>11</v>
      </c>
      <c r="O1135" s="2" t="s">
        <v>12</v>
      </c>
      <c r="P1135" s="2" t="s">
        <v>58</v>
      </c>
      <c r="Q1135" s="2" t="s">
        <v>37</v>
      </c>
      <c r="R1135" s="2" t="s">
        <v>18</v>
      </c>
      <c r="S1135">
        <v>4</v>
      </c>
    </row>
    <row r="1136" spans="1:19" x14ac:dyDescent="0.3">
      <c r="A1136">
        <v>1812</v>
      </c>
      <c r="B1136">
        <f>YEAR(Cleaned_HR_Data_Analysis__2[[#This Row],[Joining_Date]])</f>
        <v>2021</v>
      </c>
      <c r="C1136" s="1">
        <v>44470</v>
      </c>
      <c r="D1136" s="1" t="str" cm="1">
        <f t="array" ref="D1136">_xlfn.IFS(E1136&lt;28, "17-27",
AND(E1136&gt;27, E1136&lt;38), "28-37",
AND(E1136&gt;37, E1136 &lt;48), "38-47",
AND(E1136&gt;47, E1136 &lt;58), "48-57",
AND(E1136&gt;57, E1136&lt;68), "58-67",
AND(E1136&gt;67, E1136&lt;78), "68-77",
E1136&gt;77,"Above than 77")</f>
        <v>38-47</v>
      </c>
      <c r="E1136">
        <v>43</v>
      </c>
      <c r="F1136" s="1">
        <v>28609</v>
      </c>
      <c r="G1136" s="1" t="str">
        <f>VLOOKUP(H1136,Table7[#All], 2, FALSE)</f>
        <v>Massachusetts</v>
      </c>
      <c r="H1136" s="2" t="s">
        <v>14</v>
      </c>
      <c r="I1136" s="2" t="s">
        <v>15</v>
      </c>
      <c r="J1136" s="2" t="s">
        <v>17</v>
      </c>
      <c r="K1136" s="2" t="s">
        <v>8</v>
      </c>
      <c r="L1136" s="2" t="s">
        <v>66</v>
      </c>
      <c r="M1136" s="2" t="s">
        <v>10</v>
      </c>
      <c r="N1136" s="2" t="s">
        <v>19</v>
      </c>
      <c r="O1136" s="2" t="s">
        <v>12</v>
      </c>
      <c r="P1136" s="2" t="s">
        <v>32</v>
      </c>
      <c r="Q1136" s="2" t="s">
        <v>37</v>
      </c>
      <c r="R1136" s="2" t="s">
        <v>18</v>
      </c>
      <c r="S1136">
        <v>2</v>
      </c>
    </row>
    <row r="1137" spans="1:19" x14ac:dyDescent="0.3">
      <c r="A1137">
        <v>1800</v>
      </c>
      <c r="B1137">
        <f>YEAR(Cleaned_HR_Data_Analysis__2[[#This Row],[Joining_Date]])</f>
        <v>2019</v>
      </c>
      <c r="C1137" s="1">
        <v>43756</v>
      </c>
      <c r="D1137" s="1" t="str" cm="1">
        <f t="array" ref="D1137">_xlfn.IFS(E1137&lt;28, "17-27",
AND(E1137&gt;27, E1137&lt;38), "28-37",
AND(E1137&gt;37, E1137 &lt;48), "38-47",
AND(E1137&gt;47, E1137 &lt;58), "48-57",
AND(E1137&gt;57, E1137&lt;68), "58-67",
AND(E1137&gt;67, E1137&lt;78), "68-77",
E1137&gt;77,"Above than 77")</f>
        <v>38-47</v>
      </c>
      <c r="E1137">
        <v>43</v>
      </c>
      <c r="F1137" s="1">
        <v>27855</v>
      </c>
      <c r="G1137" s="1" t="str">
        <f>VLOOKUP(H1137,Table7[#All], 2, FALSE)</f>
        <v>Massachusetts</v>
      </c>
      <c r="H1137" s="2" t="s">
        <v>14</v>
      </c>
      <c r="I1137" s="2" t="s">
        <v>15</v>
      </c>
      <c r="J1137" s="2" t="s">
        <v>40</v>
      </c>
      <c r="K1137" s="2" t="s">
        <v>8</v>
      </c>
      <c r="L1137" s="2" t="s">
        <v>9</v>
      </c>
      <c r="M1137" s="2" t="s">
        <v>20</v>
      </c>
      <c r="N1137" s="2" t="s">
        <v>11</v>
      </c>
      <c r="O1137" s="2" t="s">
        <v>12</v>
      </c>
      <c r="P1137" s="2" t="s">
        <v>59</v>
      </c>
      <c r="Q1137" s="2" t="s">
        <v>37</v>
      </c>
      <c r="R1137" s="2" t="s">
        <v>18</v>
      </c>
      <c r="S1137">
        <v>3</v>
      </c>
    </row>
    <row r="1138" spans="1:19" x14ac:dyDescent="0.3">
      <c r="A1138">
        <v>1786</v>
      </c>
      <c r="B1138">
        <f>YEAR(Cleaned_HR_Data_Analysis__2[[#This Row],[Joining_Date]])</f>
        <v>2022</v>
      </c>
      <c r="C1138" s="1">
        <v>44651</v>
      </c>
      <c r="D1138" s="1" t="str" cm="1">
        <f t="array" ref="D1138">_xlfn.IFS(E1138&lt;28, "17-27",
AND(E1138&gt;27, E1138&lt;38), "28-37",
AND(E1138&gt;37, E1138 &lt;48), "38-47",
AND(E1138&gt;47, E1138 &lt;58), "48-57",
AND(E1138&gt;57, E1138&lt;68), "58-67",
AND(E1138&gt;67, E1138&lt;78), "68-77",
E1138&gt;77,"Above than 77")</f>
        <v>38-47</v>
      </c>
      <c r="E1138">
        <v>43</v>
      </c>
      <c r="F1138" s="1">
        <v>29169</v>
      </c>
      <c r="G1138" s="1" t="str">
        <f>VLOOKUP(H1138,Table7[#All], 2, FALSE)</f>
        <v>Massachusetts</v>
      </c>
      <c r="H1138" s="2" t="s">
        <v>14</v>
      </c>
      <c r="I1138" s="2" t="s">
        <v>22</v>
      </c>
      <c r="J1138" s="2" t="s">
        <v>17</v>
      </c>
      <c r="K1138" s="2" t="s">
        <v>8</v>
      </c>
      <c r="L1138" s="2" t="s">
        <v>9</v>
      </c>
      <c r="M1138" s="2" t="s">
        <v>25</v>
      </c>
      <c r="N1138" s="2" t="s">
        <v>19</v>
      </c>
      <c r="O1138" s="2" t="s">
        <v>12</v>
      </c>
      <c r="P1138" s="2" t="s">
        <v>35</v>
      </c>
      <c r="Q1138" s="2" t="s">
        <v>23</v>
      </c>
      <c r="R1138" s="2" t="s">
        <v>18</v>
      </c>
      <c r="S1138">
        <v>2</v>
      </c>
    </row>
    <row r="1139" spans="1:19" x14ac:dyDescent="0.3">
      <c r="A1139">
        <v>1415</v>
      </c>
      <c r="B1139">
        <f>YEAR(Cleaned_HR_Data_Analysis__2[[#This Row],[Joining_Date]])</f>
        <v>2020</v>
      </c>
      <c r="C1139" s="1">
        <v>44065</v>
      </c>
      <c r="D1139" s="1" t="str" cm="1">
        <f t="array" ref="D1139">_xlfn.IFS(E1139&lt;28, "17-27",
AND(E1139&gt;27, E1139&lt;38), "28-37",
AND(E1139&gt;37, E1139 &lt;48), "38-47",
AND(E1139&gt;47, E1139 &lt;58), "48-57",
AND(E1139&gt;57, E1139&lt;68), "58-67",
AND(E1139&gt;67, E1139&lt;78), "68-77",
E1139&gt;77,"Above than 77")</f>
        <v>38-47</v>
      </c>
      <c r="E1139">
        <v>43</v>
      </c>
      <c r="F1139" s="1">
        <v>28351</v>
      </c>
      <c r="G1139" s="1" t="str">
        <f>VLOOKUP(H1139,Table7[#All], 2, FALSE)</f>
        <v>Massachusetts</v>
      </c>
      <c r="H1139" s="2" t="s">
        <v>14</v>
      </c>
      <c r="I1139" s="2" t="s">
        <v>22</v>
      </c>
      <c r="J1139" s="2" t="s">
        <v>40</v>
      </c>
      <c r="K1139" s="2" t="s">
        <v>8</v>
      </c>
      <c r="L1139" s="2" t="s">
        <v>9</v>
      </c>
      <c r="M1139" s="2" t="s">
        <v>20</v>
      </c>
      <c r="N1139" s="2" t="s">
        <v>19</v>
      </c>
      <c r="O1139" s="2" t="s">
        <v>12</v>
      </c>
      <c r="P1139" s="2" t="s">
        <v>35</v>
      </c>
      <c r="Q1139" s="2" t="s">
        <v>46</v>
      </c>
      <c r="R1139" s="2" t="s">
        <v>41</v>
      </c>
      <c r="S1139">
        <v>2</v>
      </c>
    </row>
    <row r="1140" spans="1:19" x14ac:dyDescent="0.3">
      <c r="A1140">
        <v>1118</v>
      </c>
      <c r="B1140">
        <f>YEAR(Cleaned_HR_Data_Analysis__2[[#This Row],[Joining_Date]])</f>
        <v>2019</v>
      </c>
      <c r="C1140" s="1">
        <v>43742</v>
      </c>
      <c r="D1140" s="1" t="str" cm="1">
        <f t="array" ref="D1140">_xlfn.IFS(E1140&lt;28, "17-27",
AND(E1140&gt;27, E1140&lt;38), "28-37",
AND(E1140&gt;37, E1140 &lt;48), "38-47",
AND(E1140&gt;47, E1140 &lt;58), "48-57",
AND(E1140&gt;57, E1140&lt;68), "58-67",
AND(E1140&gt;67, E1140&lt;78), "68-77",
E1140&gt;77,"Above than 77")</f>
        <v>38-47</v>
      </c>
      <c r="E1140">
        <v>43</v>
      </c>
      <c r="F1140" s="1">
        <v>27819</v>
      </c>
      <c r="G1140" s="1" t="str">
        <f>VLOOKUP(H1140,Table7[#All], 2, FALSE)</f>
        <v>Massachusetts</v>
      </c>
      <c r="H1140" s="2" t="s">
        <v>14</v>
      </c>
      <c r="I1140" s="2" t="s">
        <v>22</v>
      </c>
      <c r="J1140" s="2" t="s">
        <v>40</v>
      </c>
      <c r="K1140" s="2" t="s">
        <v>8</v>
      </c>
      <c r="L1140" s="2" t="s">
        <v>9</v>
      </c>
      <c r="M1140" s="2" t="s">
        <v>25</v>
      </c>
      <c r="N1140" s="2" t="s">
        <v>26</v>
      </c>
      <c r="O1140" s="2" t="s">
        <v>12</v>
      </c>
      <c r="P1140" s="2" t="s">
        <v>42</v>
      </c>
      <c r="Q1140" s="2" t="s">
        <v>46</v>
      </c>
      <c r="R1140" s="2" t="s">
        <v>18</v>
      </c>
      <c r="S1140">
        <v>5</v>
      </c>
    </row>
    <row r="1141" spans="1:19" x14ac:dyDescent="0.3">
      <c r="A1141">
        <v>1093</v>
      </c>
      <c r="B1141">
        <f>YEAR(Cleaned_HR_Data_Analysis__2[[#This Row],[Joining_Date]])</f>
        <v>2022</v>
      </c>
      <c r="C1141" s="1">
        <v>44911</v>
      </c>
      <c r="D1141" s="1" t="str" cm="1">
        <f t="array" ref="D1141">_xlfn.IFS(E1141&lt;28, "17-27",
AND(E1141&gt;27, E1141&lt;38), "28-37",
AND(E1141&gt;37, E1141 &lt;48), "38-47",
AND(E1141&gt;47, E1141 &lt;58), "48-57",
AND(E1141&gt;57, E1141&lt;68), "58-67",
AND(E1141&gt;67, E1141&lt;78), "68-77",
E1141&gt;77,"Above than 77")</f>
        <v>38-47</v>
      </c>
      <c r="E1141">
        <v>43</v>
      </c>
      <c r="F1141" s="1">
        <v>28971</v>
      </c>
      <c r="G1141" s="1" t="str">
        <f>VLOOKUP(H1141,Table7[#All], 2, FALSE)</f>
        <v>Massachusetts</v>
      </c>
      <c r="H1141" s="2" t="s">
        <v>14</v>
      </c>
      <c r="I1141" s="2" t="s">
        <v>15</v>
      </c>
      <c r="J1141" s="2" t="s">
        <v>17</v>
      </c>
      <c r="K1141" s="2" t="s">
        <v>8</v>
      </c>
      <c r="L1141" s="2" t="s">
        <v>9</v>
      </c>
      <c r="M1141" s="2" t="s">
        <v>10</v>
      </c>
      <c r="N1141" s="2" t="s">
        <v>26</v>
      </c>
      <c r="O1141" s="2" t="s">
        <v>12</v>
      </c>
      <c r="P1141" s="2" t="s">
        <v>42</v>
      </c>
      <c r="Q1141" s="2" t="s">
        <v>46</v>
      </c>
      <c r="R1141" s="2" t="s">
        <v>18</v>
      </c>
      <c r="S1141">
        <v>1</v>
      </c>
    </row>
    <row r="1142" spans="1:19" x14ac:dyDescent="0.3">
      <c r="A1142">
        <v>2467</v>
      </c>
      <c r="B1142">
        <f>YEAR(Cleaned_HR_Data_Analysis__2[[#This Row],[Joining_Date]])</f>
        <v>2022</v>
      </c>
      <c r="C1142" s="1">
        <v>44637</v>
      </c>
      <c r="D1142" s="1" t="str" cm="1">
        <f t="array" ref="D1142">_xlfn.IFS(E1142&lt;28, "17-27",
AND(E1142&gt;27, E1142&lt;38), "28-37",
AND(E1142&gt;37, E1142 &lt;48), "38-47",
AND(E1142&gt;47, E1142 &lt;58), "48-57",
AND(E1142&gt;57, E1142&lt;68), "58-67",
AND(E1142&gt;67, E1142&lt;78), "68-77",
E1142&gt;77,"Above than 77")</f>
        <v>38-47</v>
      </c>
      <c r="E1142">
        <v>43</v>
      </c>
      <c r="F1142" s="1">
        <v>28857</v>
      </c>
      <c r="G1142" s="1" t="str">
        <f>VLOOKUP(H1142,Table7[#All], 2, FALSE)</f>
        <v>Massachusetts</v>
      </c>
      <c r="H1142" s="2" t="s">
        <v>14</v>
      </c>
      <c r="I1142" s="2" t="s">
        <v>15</v>
      </c>
      <c r="J1142" s="2" t="s">
        <v>34</v>
      </c>
      <c r="K1142" s="2" t="s">
        <v>91</v>
      </c>
      <c r="L1142" s="2" t="s">
        <v>66</v>
      </c>
      <c r="M1142" s="2" t="s">
        <v>25</v>
      </c>
      <c r="N1142" s="2" t="s">
        <v>26</v>
      </c>
      <c r="O1142" s="2" t="s">
        <v>12</v>
      </c>
      <c r="P1142" s="2" t="s">
        <v>42</v>
      </c>
      <c r="Q1142" s="2" t="s">
        <v>30</v>
      </c>
      <c r="R1142" s="2" t="s">
        <v>18</v>
      </c>
      <c r="S1142">
        <v>1</v>
      </c>
    </row>
    <row r="1143" spans="1:19" x14ac:dyDescent="0.3">
      <c r="A1143">
        <v>2437</v>
      </c>
      <c r="B1143">
        <f>YEAR(Cleaned_HR_Data_Analysis__2[[#This Row],[Joining_Date]])</f>
        <v>2020</v>
      </c>
      <c r="C1143" s="1">
        <v>43986</v>
      </c>
      <c r="D1143" s="1" t="str" cm="1">
        <f t="array" ref="D1143">_xlfn.IFS(E1143&lt;28, "17-27",
AND(E1143&gt;27, E1143&lt;38), "28-37",
AND(E1143&gt;37, E1143 &lt;48), "38-47",
AND(E1143&gt;47, E1143 &lt;58), "48-57",
AND(E1143&gt;57, E1143&lt;68), "58-67",
AND(E1143&gt;67, E1143&lt;78), "68-77",
E1143&gt;77,"Above than 77")</f>
        <v>38-47</v>
      </c>
      <c r="E1143">
        <v>43</v>
      </c>
      <c r="F1143" s="1">
        <v>28275</v>
      </c>
      <c r="G1143" s="1" t="str">
        <f>VLOOKUP(H1143,Table7[#All], 2, FALSE)</f>
        <v>Massachusetts</v>
      </c>
      <c r="H1143" s="2" t="s">
        <v>14</v>
      </c>
      <c r="I1143" s="2" t="s">
        <v>15</v>
      </c>
      <c r="J1143" s="2" t="s">
        <v>31</v>
      </c>
      <c r="K1143" s="2" t="s">
        <v>91</v>
      </c>
      <c r="L1143" s="2" t="s">
        <v>66</v>
      </c>
      <c r="M1143" s="2" t="s">
        <v>25</v>
      </c>
      <c r="N1143" s="2" t="s">
        <v>19</v>
      </c>
      <c r="O1143" s="2" t="s">
        <v>12</v>
      </c>
      <c r="P1143" s="2" t="s">
        <v>58</v>
      </c>
      <c r="Q1143" s="2" t="s">
        <v>30</v>
      </c>
      <c r="R1143" s="2" t="s">
        <v>18</v>
      </c>
      <c r="S1143">
        <v>5</v>
      </c>
    </row>
    <row r="1144" spans="1:19" x14ac:dyDescent="0.3">
      <c r="A1144">
        <v>2386</v>
      </c>
      <c r="B1144">
        <f>YEAR(Cleaned_HR_Data_Analysis__2[[#This Row],[Joining_Date]])</f>
        <v>2018</v>
      </c>
      <c r="C1144" s="1">
        <v>43448</v>
      </c>
      <c r="D1144" s="1" t="str" cm="1">
        <f t="array" ref="D1144">_xlfn.IFS(E1144&lt;28, "17-27",
AND(E1144&gt;27, E1144&lt;38), "28-37",
AND(E1144&gt;37, E1144 &lt;48), "38-47",
AND(E1144&gt;47, E1144 &lt;58), "48-57",
AND(E1144&gt;57, E1144&lt;68), "58-67",
AND(E1144&gt;67, E1144&lt;78), "68-77",
E1144&gt;77,"Above than 77")</f>
        <v>38-47</v>
      </c>
      <c r="E1144">
        <v>43</v>
      </c>
      <c r="F1144" s="1">
        <v>27753</v>
      </c>
      <c r="G1144" s="1" t="str">
        <f>VLOOKUP(H1144,Table7[#All], 2, FALSE)</f>
        <v>Massachusetts</v>
      </c>
      <c r="H1144" s="2" t="s">
        <v>14</v>
      </c>
      <c r="I1144" s="2" t="s">
        <v>15</v>
      </c>
      <c r="J1144" s="2" t="s">
        <v>17</v>
      </c>
      <c r="K1144" s="2" t="s">
        <v>91</v>
      </c>
      <c r="L1144" s="2" t="s">
        <v>9</v>
      </c>
      <c r="M1144" s="2" t="s">
        <v>20</v>
      </c>
      <c r="N1144" s="2" t="s">
        <v>26</v>
      </c>
      <c r="O1144" s="2" t="s">
        <v>12</v>
      </c>
      <c r="P1144" s="2" t="s">
        <v>13</v>
      </c>
      <c r="Q1144" s="2" t="s">
        <v>37</v>
      </c>
      <c r="R1144" s="2" t="s">
        <v>18</v>
      </c>
      <c r="S1144">
        <v>4</v>
      </c>
    </row>
    <row r="1145" spans="1:19" x14ac:dyDescent="0.3">
      <c r="A1145">
        <v>3817</v>
      </c>
      <c r="B1145">
        <f>YEAR(Cleaned_HR_Data_Analysis__2[[#This Row],[Joining_Date]])</f>
        <v>2021</v>
      </c>
      <c r="C1145" s="1">
        <v>44479</v>
      </c>
      <c r="D1145" s="1" t="str" cm="1">
        <f t="array" ref="D1145">_xlfn.IFS(E1145&lt;28, "17-27",
AND(E1145&gt;27, E1145&lt;38), "28-37",
AND(E1145&gt;37, E1145 &lt;48), "38-47",
AND(E1145&gt;47, E1145 &lt;58), "48-57",
AND(E1145&gt;57, E1145&lt;68), "58-67",
AND(E1145&gt;67, E1145&lt;78), "68-77",
E1145&gt;77,"Above than 77")</f>
        <v>38-47</v>
      </c>
      <c r="E1145">
        <v>43</v>
      </c>
      <c r="F1145" s="1">
        <v>28491</v>
      </c>
      <c r="G1145" s="1" t="str">
        <f>VLOOKUP(H1145,Table7[#All], 2, FALSE)</f>
        <v>Massachusetts</v>
      </c>
      <c r="H1145" s="2" t="s">
        <v>14</v>
      </c>
      <c r="I1145" s="2" t="s">
        <v>15</v>
      </c>
      <c r="J1145" s="2" t="s">
        <v>31</v>
      </c>
      <c r="K1145" s="2" t="s">
        <v>70</v>
      </c>
      <c r="L1145" s="2" t="s">
        <v>9</v>
      </c>
      <c r="M1145" s="2" t="s">
        <v>20</v>
      </c>
      <c r="N1145" s="2" t="s">
        <v>19</v>
      </c>
      <c r="O1145" s="2" t="s">
        <v>53</v>
      </c>
      <c r="P1145" s="2" t="s">
        <v>32</v>
      </c>
      <c r="Q1145" s="2" t="s">
        <v>37</v>
      </c>
      <c r="R1145" s="2" t="s">
        <v>56</v>
      </c>
      <c r="S1145">
        <v>3</v>
      </c>
    </row>
    <row r="1146" spans="1:19" x14ac:dyDescent="0.3">
      <c r="A1146">
        <v>2480</v>
      </c>
      <c r="B1146">
        <f>YEAR(Cleaned_HR_Data_Analysis__2[[#This Row],[Joining_Date]])</f>
        <v>2020</v>
      </c>
      <c r="C1146" s="1">
        <v>44037</v>
      </c>
      <c r="D1146" s="1" t="str" cm="1">
        <f t="array" ref="D1146">_xlfn.IFS(E1146&lt;28, "17-27",
AND(E1146&gt;27, E1146&lt;38), "28-37",
AND(E1146&gt;37, E1146 &lt;48), "38-47",
AND(E1146&gt;47, E1146 &lt;58), "48-57",
AND(E1146&gt;57, E1146&lt;68), "58-67",
AND(E1146&gt;67, E1146&lt;78), "68-77",
E1146&gt;77,"Above than 77")</f>
        <v>38-47</v>
      </c>
      <c r="E1146">
        <v>43</v>
      </c>
      <c r="F1146" s="1">
        <v>28210</v>
      </c>
      <c r="G1146" s="1" t="str">
        <f>VLOOKUP(H1146,Table7[#All], 2, FALSE)</f>
        <v>Massachusetts</v>
      </c>
      <c r="H1146" s="2" t="s">
        <v>14</v>
      </c>
      <c r="I1146" s="2" t="s">
        <v>22</v>
      </c>
      <c r="J1146" s="2" t="s">
        <v>17</v>
      </c>
      <c r="K1146" s="2" t="s">
        <v>108</v>
      </c>
      <c r="L1146" s="2" t="s">
        <v>9</v>
      </c>
      <c r="M1146" s="2" t="s">
        <v>20</v>
      </c>
      <c r="N1146" s="2" t="s">
        <v>11</v>
      </c>
      <c r="O1146" s="2" t="s">
        <v>53</v>
      </c>
      <c r="P1146" s="2" t="s">
        <v>49</v>
      </c>
      <c r="Q1146" s="2" t="s">
        <v>16</v>
      </c>
      <c r="R1146" s="2" t="s">
        <v>18</v>
      </c>
      <c r="S1146">
        <v>2</v>
      </c>
    </row>
    <row r="1147" spans="1:19" x14ac:dyDescent="0.3">
      <c r="A1147">
        <v>2389</v>
      </c>
      <c r="B1147">
        <f>YEAR(Cleaned_HR_Data_Analysis__2[[#This Row],[Joining_Date]])</f>
        <v>2019</v>
      </c>
      <c r="C1147" s="1">
        <v>43772</v>
      </c>
      <c r="D1147" s="1" t="str" cm="1">
        <f t="array" ref="D1147">_xlfn.IFS(E1147&lt;28, "17-27",
AND(E1147&gt;27, E1147&lt;38), "28-37",
AND(E1147&gt;37, E1147 &lt;48), "38-47",
AND(E1147&gt;47, E1147 &lt;58), "48-57",
AND(E1147&gt;57, E1147&lt;68), "58-67",
AND(E1147&gt;67, E1147&lt;78), "68-77",
E1147&gt;77,"Above than 77")</f>
        <v>38-47</v>
      </c>
      <c r="E1147">
        <v>43</v>
      </c>
      <c r="F1147" s="1">
        <v>27902</v>
      </c>
      <c r="G1147" s="1" t="str">
        <f>VLOOKUP(H1147,Table7[#All], 2, FALSE)</f>
        <v>Massachusetts</v>
      </c>
      <c r="H1147" s="2" t="s">
        <v>14</v>
      </c>
      <c r="I1147" s="2" t="s">
        <v>22</v>
      </c>
      <c r="J1147" s="2" t="s">
        <v>17</v>
      </c>
      <c r="K1147" s="2" t="s">
        <v>78</v>
      </c>
      <c r="L1147" s="2" t="s">
        <v>9</v>
      </c>
      <c r="M1147" s="2" t="s">
        <v>10</v>
      </c>
      <c r="N1147" s="2" t="s">
        <v>11</v>
      </c>
      <c r="O1147" s="2" t="s">
        <v>12</v>
      </c>
      <c r="P1147" s="2" t="s">
        <v>38</v>
      </c>
      <c r="Q1147" s="2" t="s">
        <v>16</v>
      </c>
      <c r="R1147" s="2" t="s">
        <v>18</v>
      </c>
      <c r="S1147">
        <v>4</v>
      </c>
    </row>
    <row r="1148" spans="1:19" x14ac:dyDescent="0.3">
      <c r="A1148">
        <v>3502</v>
      </c>
      <c r="B1148">
        <f>YEAR(Cleaned_HR_Data_Analysis__2[[#This Row],[Joining_Date]])</f>
        <v>2019</v>
      </c>
      <c r="C1148" s="1">
        <v>43739</v>
      </c>
      <c r="D1148" s="1" t="str" cm="1">
        <f t="array" ref="D1148">_xlfn.IFS(E1148&lt;28, "17-27",
AND(E1148&gt;27, E1148&lt;38), "28-37",
AND(E1148&gt;37, E1148 &lt;48), "38-47",
AND(E1148&gt;47, E1148 &lt;58), "48-57",
AND(E1148&gt;57, E1148&lt;68), "58-67",
AND(E1148&gt;67, E1148&lt;78), "68-77",
E1148&gt;77,"Above than 77")</f>
        <v>38-47</v>
      </c>
      <c r="E1148">
        <v>43</v>
      </c>
      <c r="F1148" s="1">
        <v>27940</v>
      </c>
      <c r="G1148" s="1" t="str">
        <f>VLOOKUP(H1148,Table7[#All], 2, FALSE)</f>
        <v>Texas</v>
      </c>
      <c r="H1148" s="2" t="s">
        <v>45</v>
      </c>
      <c r="I1148" s="2" t="s">
        <v>22</v>
      </c>
      <c r="J1148" s="2" t="s">
        <v>34</v>
      </c>
      <c r="K1148" s="2" t="s">
        <v>24</v>
      </c>
      <c r="L1148" s="2" t="s">
        <v>9</v>
      </c>
      <c r="M1148" s="2" t="s">
        <v>25</v>
      </c>
      <c r="N1148" s="2" t="s">
        <v>11</v>
      </c>
      <c r="O1148" s="2" t="s">
        <v>27</v>
      </c>
      <c r="P1148" s="2" t="s">
        <v>49</v>
      </c>
      <c r="Q1148" s="2" t="s">
        <v>16</v>
      </c>
      <c r="R1148" s="2" t="s">
        <v>18</v>
      </c>
      <c r="S1148">
        <v>3</v>
      </c>
    </row>
    <row r="1149" spans="1:19" x14ac:dyDescent="0.3">
      <c r="A1149">
        <v>2608</v>
      </c>
      <c r="B1149">
        <f>YEAR(Cleaned_HR_Data_Analysis__2[[#This Row],[Joining_Date]])</f>
        <v>2020</v>
      </c>
      <c r="C1149" s="1">
        <v>44129</v>
      </c>
      <c r="D1149" s="1" t="str" cm="1">
        <f t="array" ref="D1149">_xlfn.IFS(E1149&lt;28, "17-27",
AND(E1149&gt;27, E1149&lt;38), "28-37",
AND(E1149&gt;37, E1149 &lt;48), "38-47",
AND(E1149&gt;47, E1149 &lt;58), "48-57",
AND(E1149&gt;57, E1149&lt;68), "58-67",
AND(E1149&gt;67, E1149&lt;78), "68-77",
E1149&gt;77,"Above than 77")</f>
        <v>38-47</v>
      </c>
      <c r="E1149">
        <v>43</v>
      </c>
      <c r="F1149" s="1">
        <v>28460</v>
      </c>
      <c r="G1149" s="1" t="str">
        <f>VLOOKUP(H1149,Table7[#All], 2, FALSE)</f>
        <v>Tennessee</v>
      </c>
      <c r="H1149" s="2" t="s">
        <v>120</v>
      </c>
      <c r="I1149" s="2" t="s">
        <v>22</v>
      </c>
      <c r="J1149" s="2" t="s">
        <v>34</v>
      </c>
      <c r="K1149" s="2" t="s">
        <v>24</v>
      </c>
      <c r="L1149" s="2" t="s">
        <v>9</v>
      </c>
      <c r="M1149" s="2" t="s">
        <v>10</v>
      </c>
      <c r="N1149" s="2" t="s">
        <v>19</v>
      </c>
      <c r="O1149" s="2" t="s">
        <v>27</v>
      </c>
      <c r="P1149" s="2" t="s">
        <v>35</v>
      </c>
      <c r="Q1149" s="2" t="s">
        <v>46</v>
      </c>
      <c r="R1149" s="2" t="s">
        <v>18</v>
      </c>
      <c r="S1149">
        <v>4</v>
      </c>
    </row>
    <row r="1150" spans="1:19" x14ac:dyDescent="0.3">
      <c r="A1150">
        <v>1666</v>
      </c>
      <c r="B1150">
        <f>YEAR(Cleaned_HR_Data_Analysis__2[[#This Row],[Joining_Date]])</f>
        <v>2021</v>
      </c>
      <c r="C1150" s="1">
        <v>44422</v>
      </c>
      <c r="D1150" s="1" t="str" cm="1">
        <f t="array" ref="D1150">_xlfn.IFS(E1150&lt;28, "17-27",
AND(E1150&gt;27, E1150&lt;38), "28-37",
AND(E1150&gt;37, E1150 &lt;48), "38-47",
AND(E1150&gt;47, E1150 &lt;58), "48-57",
AND(E1150&gt;57, E1150&lt;68), "58-67",
AND(E1150&gt;67, E1150&lt;78), "68-77",
E1150&gt;77,"Above than 77")</f>
        <v>38-47</v>
      </c>
      <c r="E1150">
        <v>43</v>
      </c>
      <c r="F1150" s="1">
        <v>28693</v>
      </c>
      <c r="G1150" s="1" t="str">
        <f>VLOOKUP(H1150,Table7[#All], 2, FALSE)</f>
        <v>Oregon</v>
      </c>
      <c r="H1150" s="2" t="s">
        <v>43</v>
      </c>
      <c r="I1150" s="2" t="s">
        <v>22</v>
      </c>
      <c r="J1150" s="2" t="s">
        <v>40</v>
      </c>
      <c r="K1150" s="2" t="s">
        <v>24</v>
      </c>
      <c r="L1150" s="2" t="s">
        <v>9</v>
      </c>
      <c r="M1150" s="2" t="s">
        <v>25</v>
      </c>
      <c r="N1150" s="2" t="s">
        <v>19</v>
      </c>
      <c r="O1150" s="2" t="s">
        <v>53</v>
      </c>
      <c r="P1150" s="2" t="s">
        <v>32</v>
      </c>
      <c r="Q1150" s="2" t="s">
        <v>37</v>
      </c>
      <c r="R1150" s="2" t="s">
        <v>18</v>
      </c>
      <c r="S1150">
        <v>3</v>
      </c>
    </row>
    <row r="1151" spans="1:19" x14ac:dyDescent="0.3">
      <c r="A1151">
        <v>2706</v>
      </c>
      <c r="B1151">
        <f>YEAR(Cleaned_HR_Data_Analysis__2[[#This Row],[Joining_Date]])</f>
        <v>2018</v>
      </c>
      <c r="C1151" s="1">
        <v>43447</v>
      </c>
      <c r="D1151" s="1" t="str" cm="1">
        <f t="array" ref="D1151">_xlfn.IFS(E1151&lt;28, "17-27",
AND(E1151&gt;27, E1151&lt;38), "28-37",
AND(E1151&gt;37, E1151 &lt;48), "38-47",
AND(E1151&gt;47, E1151 &lt;58), "48-57",
AND(E1151&gt;57, E1151&lt;68), "58-67",
AND(E1151&gt;67, E1151&lt;78), "68-77",
E1151&gt;77,"Above than 77")</f>
        <v>38-47</v>
      </c>
      <c r="E1151">
        <v>43</v>
      </c>
      <c r="F1151" s="1">
        <v>27661</v>
      </c>
      <c r="G1151" s="1" t="str">
        <f>VLOOKUP(H1151,Table7[#All], 2, FALSE)</f>
        <v>North Carolina</v>
      </c>
      <c r="H1151" s="2" t="s">
        <v>121</v>
      </c>
      <c r="I1151" s="2" t="s">
        <v>22</v>
      </c>
      <c r="J1151" s="2" t="s">
        <v>17</v>
      </c>
      <c r="K1151" s="2" t="s">
        <v>24</v>
      </c>
      <c r="L1151" s="2" t="s">
        <v>9</v>
      </c>
      <c r="M1151" s="2" t="s">
        <v>20</v>
      </c>
      <c r="N1151" s="2" t="s">
        <v>19</v>
      </c>
      <c r="O1151" s="2" t="s">
        <v>27</v>
      </c>
      <c r="P1151" s="2" t="s">
        <v>35</v>
      </c>
      <c r="Q1151" s="2" t="s">
        <v>46</v>
      </c>
      <c r="R1151" s="2" t="s">
        <v>18</v>
      </c>
      <c r="S1151">
        <v>2</v>
      </c>
    </row>
    <row r="1152" spans="1:19" x14ac:dyDescent="0.3">
      <c r="A1152">
        <v>3523</v>
      </c>
      <c r="B1152">
        <f>YEAR(Cleaned_HR_Data_Analysis__2[[#This Row],[Joining_Date]])</f>
        <v>2021</v>
      </c>
      <c r="C1152" s="1">
        <v>44372</v>
      </c>
      <c r="D1152" s="1" t="str" cm="1">
        <f t="array" ref="D1152">_xlfn.IFS(E1152&lt;28, "17-27",
AND(E1152&gt;27, E1152&lt;38), "28-37",
AND(E1152&gt;37, E1152 &lt;48), "38-47",
AND(E1152&gt;47, E1152 &lt;58), "48-57",
AND(E1152&gt;57, E1152&lt;68), "58-67",
AND(E1152&gt;67, E1152&lt;78), "68-77",
E1152&gt;77,"Above than 77")</f>
        <v>38-47</v>
      </c>
      <c r="E1152">
        <v>43</v>
      </c>
      <c r="F1152" s="1">
        <v>28843</v>
      </c>
      <c r="G1152" s="1" t="str">
        <f>VLOOKUP(H1152,Table7[#All], 2, FALSE)</f>
        <v>Kentucky</v>
      </c>
      <c r="H1152" s="2" t="s">
        <v>51</v>
      </c>
      <c r="I1152" s="2" t="s">
        <v>15</v>
      </c>
      <c r="J1152" s="2" t="s">
        <v>31</v>
      </c>
      <c r="K1152" s="2" t="s">
        <v>24</v>
      </c>
      <c r="L1152" s="2" t="s">
        <v>9</v>
      </c>
      <c r="M1152" s="2" t="s">
        <v>25</v>
      </c>
      <c r="N1152" s="2" t="s">
        <v>19</v>
      </c>
      <c r="O1152" s="2" t="s">
        <v>27</v>
      </c>
      <c r="P1152" s="2" t="s">
        <v>32</v>
      </c>
      <c r="Q1152" s="2" t="s">
        <v>30</v>
      </c>
      <c r="R1152" s="2" t="s">
        <v>18</v>
      </c>
      <c r="S1152">
        <v>2</v>
      </c>
    </row>
    <row r="1153" spans="1:19" x14ac:dyDescent="0.3">
      <c r="A1153">
        <v>3466</v>
      </c>
      <c r="B1153">
        <f>YEAR(Cleaned_HR_Data_Analysis__2[[#This Row],[Joining_Date]])</f>
        <v>2022</v>
      </c>
      <c r="C1153" s="1">
        <v>44664</v>
      </c>
      <c r="D1153" s="1" t="str" cm="1">
        <f t="array" ref="D1153">_xlfn.IFS(E1153&lt;28, "17-27",
AND(E1153&gt;27, E1153&lt;38), "28-37",
AND(E1153&gt;37, E1153 &lt;48), "38-47",
AND(E1153&gt;47, E1153 &lt;58), "48-57",
AND(E1153&gt;57, E1153&lt;68), "58-67",
AND(E1153&gt;67, E1153&lt;78), "68-77",
E1153&gt;77,"Above than 77")</f>
        <v>38-47</v>
      </c>
      <c r="E1153">
        <v>43</v>
      </c>
      <c r="F1153" s="1">
        <v>28881</v>
      </c>
      <c r="G1153" s="1" t="str">
        <f>VLOOKUP(H1153,Table7[#All], 2, FALSE)</f>
        <v>Kentucky</v>
      </c>
      <c r="H1153" s="2" t="s">
        <v>51</v>
      </c>
      <c r="I1153" s="2" t="s">
        <v>22</v>
      </c>
      <c r="J1153" s="2" t="s">
        <v>34</v>
      </c>
      <c r="K1153" s="2" t="s">
        <v>24</v>
      </c>
      <c r="L1153" s="2" t="s">
        <v>9</v>
      </c>
      <c r="M1153" s="2" t="s">
        <v>20</v>
      </c>
      <c r="N1153" s="2" t="s">
        <v>11</v>
      </c>
      <c r="O1153" s="2" t="s">
        <v>53</v>
      </c>
      <c r="P1153" s="2" t="s">
        <v>21</v>
      </c>
      <c r="Q1153" s="2" t="s">
        <v>30</v>
      </c>
      <c r="R1153" s="2" t="s">
        <v>41</v>
      </c>
      <c r="S1153">
        <v>3</v>
      </c>
    </row>
    <row r="1154" spans="1:19" x14ac:dyDescent="0.3">
      <c r="A1154">
        <v>2694</v>
      </c>
      <c r="B1154">
        <f>YEAR(Cleaned_HR_Data_Analysis__2[[#This Row],[Joining_Date]])</f>
        <v>2023</v>
      </c>
      <c r="C1154" s="1">
        <v>45072</v>
      </c>
      <c r="D1154" s="1" t="str" cm="1">
        <f t="array" ref="D1154">_xlfn.IFS(E1154&lt;28, "17-27",
AND(E1154&gt;27, E1154&lt;38), "28-37",
AND(E1154&gt;37, E1154 &lt;48), "38-47",
AND(E1154&gt;47, E1154 &lt;58), "48-57",
AND(E1154&gt;57, E1154&lt;68), "58-67",
AND(E1154&gt;67, E1154&lt;78), "68-77",
E1154&gt;77,"Above than 77")</f>
        <v>38-47</v>
      </c>
      <c r="E1154">
        <v>43</v>
      </c>
      <c r="F1154" s="1">
        <v>29570</v>
      </c>
      <c r="G1154" s="1" t="str">
        <f>VLOOKUP(H1154,Table7[#All], 2, FALSE)</f>
        <v>Idaho</v>
      </c>
      <c r="H1154" s="2" t="s">
        <v>111</v>
      </c>
      <c r="I1154" s="2" t="s">
        <v>22</v>
      </c>
      <c r="J1154" s="2" t="s">
        <v>17</v>
      </c>
      <c r="K1154" s="2" t="s">
        <v>24</v>
      </c>
      <c r="L1154" s="2" t="s">
        <v>9</v>
      </c>
      <c r="M1154" s="2" t="s">
        <v>25</v>
      </c>
      <c r="N1154" s="2" t="s">
        <v>11</v>
      </c>
      <c r="O1154" s="2" t="s">
        <v>27</v>
      </c>
      <c r="P1154" s="2" t="s">
        <v>42</v>
      </c>
      <c r="Q1154" s="2" t="s">
        <v>37</v>
      </c>
      <c r="R1154" s="2" t="s">
        <v>18</v>
      </c>
      <c r="S1154">
        <v>4</v>
      </c>
    </row>
    <row r="1155" spans="1:19" x14ac:dyDescent="0.3">
      <c r="A1155">
        <v>2607</v>
      </c>
      <c r="B1155">
        <f>YEAR(Cleaned_HR_Data_Analysis__2[[#This Row],[Joining_Date]])</f>
        <v>2019</v>
      </c>
      <c r="C1155" s="1">
        <v>43553</v>
      </c>
      <c r="D1155" s="1" t="str" cm="1">
        <f t="array" ref="D1155">_xlfn.IFS(E1155&lt;28, "17-27",
AND(E1155&gt;27, E1155&lt;38), "28-37",
AND(E1155&gt;37, E1155 &lt;48), "38-47",
AND(E1155&gt;47, E1155 &lt;58), "48-57",
AND(E1155&gt;57, E1155&lt;68), "58-67",
AND(E1155&gt;67, E1155&lt;78), "68-77",
E1155&gt;77,"Above than 77")</f>
        <v>38-47</v>
      </c>
      <c r="E1155">
        <v>43</v>
      </c>
      <c r="F1155" s="1">
        <v>28047</v>
      </c>
      <c r="G1155" s="1" t="str">
        <f>VLOOKUP(H1155,Table7[#All], 2, FALSE)</f>
        <v>Alabama</v>
      </c>
      <c r="H1155" s="2" t="s">
        <v>116</v>
      </c>
      <c r="I1155" s="2" t="s">
        <v>22</v>
      </c>
      <c r="J1155" s="2" t="s">
        <v>34</v>
      </c>
      <c r="K1155" s="2" t="s">
        <v>24</v>
      </c>
      <c r="L1155" s="2" t="s">
        <v>9</v>
      </c>
      <c r="M1155" s="2" t="s">
        <v>10</v>
      </c>
      <c r="N1155" s="2" t="s">
        <v>26</v>
      </c>
      <c r="O1155" s="2" t="s">
        <v>27</v>
      </c>
      <c r="P1155" s="2" t="s">
        <v>55</v>
      </c>
      <c r="Q1155" s="2" t="s">
        <v>16</v>
      </c>
      <c r="R1155" s="2" t="s">
        <v>18</v>
      </c>
      <c r="S1155">
        <v>1</v>
      </c>
    </row>
    <row r="1156" spans="1:19" x14ac:dyDescent="0.3">
      <c r="A1156">
        <v>2746</v>
      </c>
      <c r="B1156">
        <f>YEAR(Cleaned_HR_Data_Analysis__2[[#This Row],[Joining_Date]])</f>
        <v>2020</v>
      </c>
      <c r="C1156" s="1">
        <v>44128</v>
      </c>
      <c r="D1156" s="1" t="str" cm="1">
        <f t="array" ref="D1156">_xlfn.IFS(E1156&lt;28, "17-27",
AND(E1156&gt;27, E1156&lt;38), "28-37",
AND(E1156&gt;37, E1156 &lt;48), "38-47",
AND(E1156&gt;47, E1156 &lt;58), "48-57",
AND(E1156&gt;57, E1156&lt;68), "58-67",
AND(E1156&gt;67, E1156&lt;78), "68-77",
E1156&gt;77,"Above than 77")</f>
        <v>38-47</v>
      </c>
      <c r="E1156">
        <v>43</v>
      </c>
      <c r="F1156" s="1">
        <v>28262</v>
      </c>
      <c r="G1156" s="1" t="str">
        <f>VLOOKUP(H1156,Table7[#All], 2, FALSE)</f>
        <v>Massachusetts</v>
      </c>
      <c r="H1156" s="2" t="s">
        <v>14</v>
      </c>
      <c r="I1156" s="2" t="s">
        <v>15</v>
      </c>
      <c r="J1156" s="2" t="s">
        <v>17</v>
      </c>
      <c r="K1156" s="2" t="s">
        <v>95</v>
      </c>
      <c r="L1156" s="2" t="s">
        <v>66</v>
      </c>
      <c r="M1156" s="2" t="s">
        <v>25</v>
      </c>
      <c r="N1156" s="2" t="s">
        <v>19</v>
      </c>
      <c r="O1156" s="2" t="s">
        <v>27</v>
      </c>
      <c r="P1156" s="2" t="s">
        <v>54</v>
      </c>
      <c r="Q1156" s="2" t="s">
        <v>23</v>
      </c>
      <c r="R1156" s="2" t="s">
        <v>18</v>
      </c>
      <c r="S1156">
        <v>4</v>
      </c>
    </row>
    <row r="1157" spans="1:19" x14ac:dyDescent="0.3">
      <c r="A1157">
        <v>1386</v>
      </c>
      <c r="B1157">
        <f>YEAR(Cleaned_HR_Data_Analysis__2[[#This Row],[Joining_Date]])</f>
        <v>2019</v>
      </c>
      <c r="C1157" s="1">
        <v>43743</v>
      </c>
      <c r="D1157" s="1" t="str" cm="1">
        <f t="array" ref="D1157">_xlfn.IFS(E1157&lt;28, "17-27",
AND(E1157&gt;27, E1157&lt;38), "28-37",
AND(E1157&gt;37, E1157 &lt;48), "38-47",
AND(E1157&gt;47, E1157 &lt;58), "48-57",
AND(E1157&gt;57, E1157&lt;68), "58-67",
AND(E1157&gt;67, E1157&lt;78), "68-77",
E1157&gt;77,"Above than 77")</f>
        <v>38-47</v>
      </c>
      <c r="E1157">
        <v>43</v>
      </c>
      <c r="F1157" s="1">
        <v>27991</v>
      </c>
      <c r="G1157" s="1" t="str">
        <f>VLOOKUP(H1157,Table7[#All], 2, FALSE)</f>
        <v>Massachusetts</v>
      </c>
      <c r="H1157" s="2" t="s">
        <v>14</v>
      </c>
      <c r="I1157" s="2" t="s">
        <v>15</v>
      </c>
      <c r="J1157" s="2" t="s">
        <v>34</v>
      </c>
      <c r="K1157" s="2" t="s">
        <v>96</v>
      </c>
      <c r="L1157" s="2" t="s">
        <v>9</v>
      </c>
      <c r="M1157" s="2" t="s">
        <v>10</v>
      </c>
      <c r="N1157" s="2" t="s">
        <v>11</v>
      </c>
      <c r="O1157" s="2" t="s">
        <v>90</v>
      </c>
      <c r="P1157" s="2" t="s">
        <v>32</v>
      </c>
      <c r="Q1157" s="2" t="s">
        <v>16</v>
      </c>
      <c r="R1157" s="2" t="s">
        <v>41</v>
      </c>
      <c r="S1157">
        <v>4</v>
      </c>
    </row>
    <row r="1158" spans="1:19" x14ac:dyDescent="0.3">
      <c r="A1158">
        <v>1352</v>
      </c>
      <c r="B1158">
        <f>YEAR(Cleaned_HR_Data_Analysis__2[[#This Row],[Joining_Date]])</f>
        <v>2018</v>
      </c>
      <c r="C1158" s="1">
        <v>43320</v>
      </c>
      <c r="D1158" s="1" t="str" cm="1">
        <f t="array" ref="D1158">_xlfn.IFS(E1158&lt;28, "17-27",
AND(E1158&gt;27, E1158&lt;38), "28-37",
AND(E1158&gt;37, E1158 &lt;48), "38-47",
AND(E1158&gt;47, E1158 &lt;58), "48-57",
AND(E1158&gt;57, E1158&lt;68), "58-67",
AND(E1158&gt;67, E1158&lt;78), "68-77",
E1158&gt;77,"Above than 77")</f>
        <v>38-47</v>
      </c>
      <c r="E1158">
        <v>44</v>
      </c>
      <c r="F1158" s="1">
        <v>27198</v>
      </c>
      <c r="G1158" s="1" t="str">
        <f>VLOOKUP(H1158,Table7[#All], 2, FALSE)</f>
        <v>Massachusetts</v>
      </c>
      <c r="H1158" s="2" t="s">
        <v>14</v>
      </c>
      <c r="I1158" s="2" t="s">
        <v>22</v>
      </c>
      <c r="J1158" s="2" t="s">
        <v>40</v>
      </c>
      <c r="K1158" s="2" t="s">
        <v>72</v>
      </c>
      <c r="L1158" s="2" t="s">
        <v>9</v>
      </c>
      <c r="M1158" s="2" t="s">
        <v>10</v>
      </c>
      <c r="N1158" s="2" t="s">
        <v>26</v>
      </c>
      <c r="O1158" s="2" t="s">
        <v>90</v>
      </c>
      <c r="P1158" s="2" t="s">
        <v>35</v>
      </c>
      <c r="Q1158" s="2" t="s">
        <v>30</v>
      </c>
      <c r="R1158" s="2" t="s">
        <v>18</v>
      </c>
      <c r="S1158">
        <v>2</v>
      </c>
    </row>
    <row r="1159" spans="1:19" x14ac:dyDescent="0.3">
      <c r="A1159">
        <v>1333</v>
      </c>
      <c r="B1159">
        <f>YEAR(Cleaned_HR_Data_Analysis__2[[#This Row],[Joining_Date]])</f>
        <v>2022</v>
      </c>
      <c r="C1159" s="1">
        <v>44634</v>
      </c>
      <c r="D1159" s="1" t="str" cm="1">
        <f t="array" ref="D1159">_xlfn.IFS(E1159&lt;28, "17-27",
AND(E1159&gt;27, E1159&lt;38), "28-37",
AND(E1159&gt;37, E1159 &lt;48), "38-47",
AND(E1159&gt;47, E1159 &lt;58), "48-57",
AND(E1159&gt;57, E1159&lt;68), "58-67",
AND(E1159&gt;67, E1159&lt;78), "68-77",
E1159&gt;77,"Above than 77")</f>
        <v>38-47</v>
      </c>
      <c r="E1159">
        <v>44</v>
      </c>
      <c r="F1159" s="1">
        <v>28595</v>
      </c>
      <c r="G1159" s="1" t="str">
        <f>VLOOKUP(H1159,Table7[#All], 2, FALSE)</f>
        <v>Massachusetts</v>
      </c>
      <c r="H1159" s="2" t="s">
        <v>14</v>
      </c>
      <c r="I1159" s="2" t="s">
        <v>22</v>
      </c>
      <c r="J1159" s="2" t="s">
        <v>40</v>
      </c>
      <c r="K1159" s="2" t="s">
        <v>72</v>
      </c>
      <c r="L1159" s="2" t="s">
        <v>9</v>
      </c>
      <c r="M1159" s="2" t="s">
        <v>20</v>
      </c>
      <c r="N1159" s="2" t="s">
        <v>19</v>
      </c>
      <c r="O1159" s="2" t="s">
        <v>53</v>
      </c>
      <c r="P1159" s="2" t="s">
        <v>35</v>
      </c>
      <c r="Q1159" s="2" t="s">
        <v>37</v>
      </c>
      <c r="R1159" s="2" t="s">
        <v>18</v>
      </c>
      <c r="S1159">
        <v>4</v>
      </c>
    </row>
    <row r="1160" spans="1:19" x14ac:dyDescent="0.3">
      <c r="A1160">
        <v>1019</v>
      </c>
      <c r="B1160">
        <f>YEAR(Cleaned_HR_Data_Analysis__2[[#This Row],[Joining_Date]])</f>
        <v>2022</v>
      </c>
      <c r="C1160" s="1">
        <v>44848</v>
      </c>
      <c r="D1160" s="1" t="str" cm="1">
        <f t="array" ref="D1160">_xlfn.IFS(E1160&lt;28, "17-27",
AND(E1160&gt;27, E1160&lt;38), "28-37",
AND(E1160&gt;37, E1160 &lt;48), "38-47",
AND(E1160&gt;47, E1160 &lt;58), "48-57",
AND(E1160&gt;57, E1160&lt;68), "58-67",
AND(E1160&gt;67, E1160&lt;78), "68-77",
E1160&gt;77,"Above than 77")</f>
        <v>38-47</v>
      </c>
      <c r="E1160">
        <v>44</v>
      </c>
      <c r="F1160" s="1">
        <v>28822</v>
      </c>
      <c r="G1160" s="1" t="str">
        <f>VLOOKUP(H1160,Table7[#All], 2, FALSE)</f>
        <v>Massachusetts</v>
      </c>
      <c r="H1160" s="2" t="s">
        <v>14</v>
      </c>
      <c r="I1160" s="2" t="s">
        <v>22</v>
      </c>
      <c r="J1160" s="2" t="s">
        <v>17</v>
      </c>
      <c r="K1160" s="2" t="s">
        <v>86</v>
      </c>
      <c r="L1160" s="2" t="s">
        <v>66</v>
      </c>
      <c r="M1160" s="2" t="s">
        <v>25</v>
      </c>
      <c r="N1160" s="2" t="s">
        <v>19</v>
      </c>
      <c r="O1160" s="2" t="s">
        <v>87</v>
      </c>
      <c r="P1160" s="2" t="s">
        <v>55</v>
      </c>
      <c r="Q1160" s="2" t="s">
        <v>23</v>
      </c>
      <c r="R1160" s="2" t="s">
        <v>18</v>
      </c>
      <c r="S1160">
        <v>3</v>
      </c>
    </row>
    <row r="1161" spans="1:19" x14ac:dyDescent="0.3">
      <c r="A1161">
        <v>1628</v>
      </c>
      <c r="B1161">
        <f>YEAR(Cleaned_HR_Data_Analysis__2[[#This Row],[Joining_Date]])</f>
        <v>2018</v>
      </c>
      <c r="C1161" s="1">
        <v>43449</v>
      </c>
      <c r="D1161" s="1" t="str" cm="1">
        <f t="array" ref="D1161">_xlfn.IFS(E1161&lt;28, "17-27",
AND(E1161&gt;27, E1161&lt;38), "28-37",
AND(E1161&gt;37, E1161 &lt;48), "38-47",
AND(E1161&gt;47, E1161 &lt;58), "48-57",
AND(E1161&gt;57, E1161&lt;68), "58-67",
AND(E1161&gt;67, E1161&lt;78), "68-77",
E1161&gt;77,"Above than 77")</f>
        <v>38-47</v>
      </c>
      <c r="E1161">
        <v>44</v>
      </c>
      <c r="F1161" s="1">
        <v>27131</v>
      </c>
      <c r="G1161" s="1" t="str">
        <f>VLOOKUP(H1161,Table7[#All], 2, FALSE)</f>
        <v>Massachusetts</v>
      </c>
      <c r="H1161" s="2" t="s">
        <v>14</v>
      </c>
      <c r="I1161" s="2" t="s">
        <v>15</v>
      </c>
      <c r="J1161" s="2" t="s">
        <v>31</v>
      </c>
      <c r="K1161" s="2" t="s">
        <v>89</v>
      </c>
      <c r="L1161" s="2" t="s">
        <v>9</v>
      </c>
      <c r="M1161" s="2" t="s">
        <v>20</v>
      </c>
      <c r="N1161" s="2" t="s">
        <v>19</v>
      </c>
      <c r="O1161" s="2" t="s">
        <v>53</v>
      </c>
      <c r="P1161" s="2" t="s">
        <v>60</v>
      </c>
      <c r="Q1161" s="2" t="s">
        <v>46</v>
      </c>
      <c r="R1161" s="2" t="s">
        <v>56</v>
      </c>
      <c r="S1161">
        <v>4</v>
      </c>
    </row>
    <row r="1162" spans="1:19" x14ac:dyDescent="0.3">
      <c r="A1162">
        <v>1658</v>
      </c>
      <c r="B1162">
        <f>YEAR(Cleaned_HR_Data_Analysis__2[[#This Row],[Joining_Date]])</f>
        <v>2019</v>
      </c>
      <c r="C1162" s="1">
        <v>43772</v>
      </c>
      <c r="D1162" s="1" t="str" cm="1">
        <f t="array" ref="D1162">_xlfn.IFS(E1162&lt;28, "17-27",
AND(E1162&gt;27, E1162&lt;38), "28-37",
AND(E1162&gt;37, E1162 &lt;48), "38-47",
AND(E1162&gt;47, E1162 &lt;58), "48-57",
AND(E1162&gt;57, E1162&lt;68), "58-67",
AND(E1162&gt;67, E1162&lt;78), "68-77",
E1162&gt;77,"Above than 77")</f>
        <v>38-47</v>
      </c>
      <c r="E1162">
        <v>44</v>
      </c>
      <c r="F1162" s="1">
        <v>27757</v>
      </c>
      <c r="G1162" s="1" t="str">
        <f>VLOOKUP(H1162,Table7[#All], 2, FALSE)</f>
        <v>Massachusetts</v>
      </c>
      <c r="H1162" s="2" t="s">
        <v>14</v>
      </c>
      <c r="I1162" s="2" t="s">
        <v>22</v>
      </c>
      <c r="J1162" s="2" t="s">
        <v>17</v>
      </c>
      <c r="K1162" s="2" t="s">
        <v>98</v>
      </c>
      <c r="L1162" s="2" t="s">
        <v>9</v>
      </c>
      <c r="M1162" s="2" t="s">
        <v>10</v>
      </c>
      <c r="N1162" s="2" t="s">
        <v>26</v>
      </c>
      <c r="O1162" s="2" t="s">
        <v>53</v>
      </c>
      <c r="P1162" s="2" t="s">
        <v>35</v>
      </c>
      <c r="Q1162" s="2" t="s">
        <v>30</v>
      </c>
      <c r="R1162" s="2" t="s">
        <v>18</v>
      </c>
      <c r="S1162">
        <v>1</v>
      </c>
    </row>
    <row r="1163" spans="1:19" x14ac:dyDescent="0.3">
      <c r="A1163">
        <v>1648</v>
      </c>
      <c r="B1163">
        <f>YEAR(Cleaned_HR_Data_Analysis__2[[#This Row],[Joining_Date]])</f>
        <v>2021</v>
      </c>
      <c r="C1163" s="1">
        <v>44330</v>
      </c>
      <c r="D1163" s="1" t="str" cm="1">
        <f t="array" ref="D1163">_xlfn.IFS(E1163&lt;28, "17-27",
AND(E1163&gt;27, E1163&lt;38), "28-37",
AND(E1163&gt;37, E1163 &lt;48), "38-47",
AND(E1163&gt;47, E1163 &lt;58), "48-57",
AND(E1163&gt;57, E1163&lt;68), "58-67",
AND(E1163&gt;67, E1163&lt;78), "68-77",
E1163&gt;77,"Above than 77")</f>
        <v>38-47</v>
      </c>
      <c r="E1163">
        <v>44</v>
      </c>
      <c r="F1163" s="1">
        <v>28356</v>
      </c>
      <c r="G1163" s="1" t="str">
        <f>VLOOKUP(H1163,Table7[#All], 2, FALSE)</f>
        <v>Massachusetts</v>
      </c>
      <c r="H1163" s="2" t="s">
        <v>14</v>
      </c>
      <c r="I1163" s="2" t="s">
        <v>22</v>
      </c>
      <c r="J1163" s="2" t="s">
        <v>31</v>
      </c>
      <c r="K1163" s="2" t="s">
        <v>98</v>
      </c>
      <c r="L1163" s="2" t="s">
        <v>9</v>
      </c>
      <c r="M1163" s="2" t="s">
        <v>20</v>
      </c>
      <c r="N1163" s="2" t="s">
        <v>11</v>
      </c>
      <c r="O1163" s="2" t="s">
        <v>27</v>
      </c>
      <c r="P1163" s="2" t="s">
        <v>21</v>
      </c>
      <c r="Q1163" s="2" t="s">
        <v>16</v>
      </c>
      <c r="R1163" s="2" t="s">
        <v>18</v>
      </c>
      <c r="S1163">
        <v>4</v>
      </c>
    </row>
    <row r="1164" spans="1:19" x14ac:dyDescent="0.3">
      <c r="A1164">
        <v>2807</v>
      </c>
      <c r="B1164">
        <f>YEAR(Cleaned_HR_Data_Analysis__2[[#This Row],[Joining_Date]])</f>
        <v>2021</v>
      </c>
      <c r="C1164" s="1">
        <v>44383</v>
      </c>
      <c r="D1164" s="1" t="str" cm="1">
        <f t="array" ref="D1164">_xlfn.IFS(E1164&lt;28, "17-27",
AND(E1164&gt;27, E1164&lt;38), "28-37",
AND(E1164&gt;37, E1164 &lt;48), "38-47",
AND(E1164&gt;47, E1164 &lt;58), "48-57",
AND(E1164&gt;57, E1164&lt;68), "58-67",
AND(E1164&gt;67, E1164&lt;78), "68-77",
E1164&gt;77,"Above than 77")</f>
        <v>38-47</v>
      </c>
      <c r="E1164">
        <v>44</v>
      </c>
      <c r="F1164" s="1">
        <v>28232</v>
      </c>
      <c r="G1164" s="1" t="str">
        <f>VLOOKUP(H1164,Table7[#All], 2, FALSE)</f>
        <v>Massachusetts</v>
      </c>
      <c r="H1164" s="2" t="s">
        <v>14</v>
      </c>
      <c r="I1164" s="2" t="s">
        <v>15</v>
      </c>
      <c r="J1164" s="2" t="s">
        <v>34</v>
      </c>
      <c r="K1164" s="2" t="s">
        <v>64</v>
      </c>
      <c r="L1164" s="2" t="s">
        <v>66</v>
      </c>
      <c r="M1164" s="2" t="s">
        <v>20</v>
      </c>
      <c r="N1164" s="2" t="s">
        <v>19</v>
      </c>
      <c r="O1164" s="2" t="s">
        <v>12</v>
      </c>
      <c r="P1164" s="2" t="s">
        <v>59</v>
      </c>
      <c r="Q1164" s="2" t="s">
        <v>16</v>
      </c>
      <c r="R1164" s="2" t="s">
        <v>18</v>
      </c>
      <c r="S1164">
        <v>2</v>
      </c>
    </row>
    <row r="1165" spans="1:19" x14ac:dyDescent="0.3">
      <c r="A1165">
        <v>1995</v>
      </c>
      <c r="B1165">
        <f>YEAR(Cleaned_HR_Data_Analysis__2[[#This Row],[Joining_Date]])</f>
        <v>2022</v>
      </c>
      <c r="C1165" s="1">
        <v>44912</v>
      </c>
      <c r="D1165" s="1" t="str" cm="1">
        <f t="array" ref="D1165">_xlfn.IFS(E1165&lt;28, "17-27",
AND(E1165&gt;27, E1165&lt;38), "28-37",
AND(E1165&gt;37, E1165 &lt;48), "38-47",
AND(E1165&gt;47, E1165 &lt;58), "48-57",
AND(E1165&gt;57, E1165&lt;68), "58-67",
AND(E1165&gt;67, E1165&lt;78), "68-77",
E1165&gt;77,"Above than 77")</f>
        <v>38-47</v>
      </c>
      <c r="E1165">
        <v>44</v>
      </c>
      <c r="F1165" s="1">
        <v>28708</v>
      </c>
      <c r="G1165" s="1" t="str">
        <f>VLOOKUP(H1165,Table7[#All], 2, FALSE)</f>
        <v>Massachusetts</v>
      </c>
      <c r="H1165" s="2" t="s">
        <v>14</v>
      </c>
      <c r="I1165" s="2" t="s">
        <v>15</v>
      </c>
      <c r="J1165" s="2" t="s">
        <v>34</v>
      </c>
      <c r="K1165" s="2" t="s">
        <v>64</v>
      </c>
      <c r="L1165" s="2" t="s">
        <v>9</v>
      </c>
      <c r="M1165" s="2" t="s">
        <v>10</v>
      </c>
      <c r="N1165" s="2" t="s">
        <v>19</v>
      </c>
      <c r="O1165" s="2" t="s">
        <v>12</v>
      </c>
      <c r="P1165" s="2" t="s">
        <v>35</v>
      </c>
      <c r="Q1165" s="2" t="s">
        <v>30</v>
      </c>
      <c r="R1165" s="2" t="s">
        <v>18</v>
      </c>
      <c r="S1165">
        <v>3</v>
      </c>
    </row>
    <row r="1166" spans="1:19" x14ac:dyDescent="0.3">
      <c r="A1166">
        <v>1893</v>
      </c>
      <c r="B1166">
        <f>YEAR(Cleaned_HR_Data_Analysis__2[[#This Row],[Joining_Date]])</f>
        <v>2020</v>
      </c>
      <c r="C1166" s="1">
        <v>43872</v>
      </c>
      <c r="D1166" s="1" t="str" cm="1">
        <f t="array" ref="D1166">_xlfn.IFS(E1166&lt;28, "17-27",
AND(E1166&gt;27, E1166&lt;38), "28-37",
AND(E1166&gt;37, E1166 &lt;48), "38-47",
AND(E1166&gt;47, E1166 &lt;58), "48-57",
AND(E1166&gt;57, E1166&lt;68), "58-67",
AND(E1166&gt;67, E1166&lt;78), "68-77",
E1166&gt;77,"Above than 77")</f>
        <v>38-47</v>
      </c>
      <c r="E1166">
        <v>44</v>
      </c>
      <c r="F1166" s="1">
        <v>27787</v>
      </c>
      <c r="G1166" s="1" t="str">
        <f>VLOOKUP(H1166,Table7[#All], 2, FALSE)</f>
        <v>Massachusetts</v>
      </c>
      <c r="H1166" s="2" t="s">
        <v>14</v>
      </c>
      <c r="I1166" s="2" t="s">
        <v>22</v>
      </c>
      <c r="J1166" s="2" t="s">
        <v>40</v>
      </c>
      <c r="K1166" s="2" t="s">
        <v>64</v>
      </c>
      <c r="L1166" s="2" t="s">
        <v>9</v>
      </c>
      <c r="M1166" s="2" t="s">
        <v>10</v>
      </c>
      <c r="N1166" s="2" t="s">
        <v>19</v>
      </c>
      <c r="O1166" s="2" t="s">
        <v>12</v>
      </c>
      <c r="P1166" s="2" t="s">
        <v>32</v>
      </c>
      <c r="Q1166" s="2" t="s">
        <v>16</v>
      </c>
      <c r="R1166" s="2" t="s">
        <v>18</v>
      </c>
      <c r="S1166">
        <v>3</v>
      </c>
    </row>
    <row r="1167" spans="1:19" x14ac:dyDescent="0.3">
      <c r="A1167">
        <v>1604</v>
      </c>
      <c r="B1167">
        <f>YEAR(Cleaned_HR_Data_Analysis__2[[#This Row],[Joining_Date]])</f>
        <v>2020</v>
      </c>
      <c r="C1167" s="1">
        <v>43898</v>
      </c>
      <c r="D1167" s="1" t="str" cm="1">
        <f t="array" ref="D1167">_xlfn.IFS(E1167&lt;28, "17-27",
AND(E1167&gt;27, E1167&lt;38), "28-37",
AND(E1167&gt;37, E1167 &lt;48), "38-47",
AND(E1167&gt;47, E1167 &lt;58), "48-57",
AND(E1167&gt;57, E1167&lt;68), "58-67",
AND(E1167&gt;67, E1167&lt;78), "68-77",
E1167&gt;77,"Above than 77")</f>
        <v>38-47</v>
      </c>
      <c r="E1167">
        <v>44</v>
      </c>
      <c r="F1167" s="1">
        <v>28052</v>
      </c>
      <c r="G1167" s="1" t="str">
        <f>VLOOKUP(H1167,Table7[#All], 2, FALSE)</f>
        <v>Massachusetts</v>
      </c>
      <c r="H1167" s="2" t="s">
        <v>14</v>
      </c>
      <c r="I1167" s="2" t="s">
        <v>22</v>
      </c>
      <c r="J1167" s="2" t="s">
        <v>34</v>
      </c>
      <c r="K1167" s="2" t="s">
        <v>64</v>
      </c>
      <c r="L1167" s="2" t="s">
        <v>9</v>
      </c>
      <c r="M1167" s="2" t="s">
        <v>25</v>
      </c>
      <c r="N1167" s="2" t="s">
        <v>26</v>
      </c>
      <c r="O1167" s="2" t="s">
        <v>12</v>
      </c>
      <c r="P1167" s="2" t="s">
        <v>32</v>
      </c>
      <c r="Q1167" s="2" t="s">
        <v>46</v>
      </c>
      <c r="R1167" s="2" t="s">
        <v>41</v>
      </c>
      <c r="S1167">
        <v>5</v>
      </c>
    </row>
    <row r="1168" spans="1:19" x14ac:dyDescent="0.3">
      <c r="A1168">
        <v>1518</v>
      </c>
      <c r="B1168">
        <f>YEAR(Cleaned_HR_Data_Analysis__2[[#This Row],[Joining_Date]])</f>
        <v>2019</v>
      </c>
      <c r="C1168" s="1">
        <v>43531</v>
      </c>
      <c r="D1168" s="1" t="str" cm="1">
        <f t="array" ref="D1168">_xlfn.IFS(E1168&lt;28, "17-27",
AND(E1168&gt;27, E1168&lt;38), "28-37",
AND(E1168&gt;37, E1168 &lt;48), "38-47",
AND(E1168&gt;47, E1168 &lt;58), "48-57",
AND(E1168&gt;57, E1168&lt;68), "58-67",
AND(E1168&gt;67, E1168&lt;78), "68-77",
E1168&gt;77,"Above than 77")</f>
        <v>38-47</v>
      </c>
      <c r="E1168">
        <v>44</v>
      </c>
      <c r="F1168" s="1">
        <v>27724</v>
      </c>
      <c r="G1168" s="1" t="str">
        <f>VLOOKUP(H1168,Table7[#All], 2, FALSE)</f>
        <v>Massachusetts</v>
      </c>
      <c r="H1168" s="2" t="s">
        <v>14</v>
      </c>
      <c r="I1168" s="2" t="s">
        <v>22</v>
      </c>
      <c r="J1168" s="2" t="s">
        <v>40</v>
      </c>
      <c r="K1168" s="2" t="s">
        <v>64</v>
      </c>
      <c r="L1168" s="2" t="s">
        <v>66</v>
      </c>
      <c r="M1168" s="2" t="s">
        <v>25</v>
      </c>
      <c r="N1168" s="2" t="s">
        <v>26</v>
      </c>
      <c r="O1168" s="2" t="s">
        <v>12</v>
      </c>
      <c r="P1168" s="2" t="s">
        <v>55</v>
      </c>
      <c r="Q1168" s="2" t="s">
        <v>16</v>
      </c>
      <c r="R1168" s="2" t="s">
        <v>18</v>
      </c>
      <c r="S1168">
        <v>4</v>
      </c>
    </row>
    <row r="1169" spans="1:19" x14ac:dyDescent="0.3">
      <c r="A1169">
        <v>3736</v>
      </c>
      <c r="B1169">
        <f>YEAR(Cleaned_HR_Data_Analysis__2[[#This Row],[Joining_Date]])</f>
        <v>2020</v>
      </c>
      <c r="C1169" s="1">
        <v>44122</v>
      </c>
      <c r="D1169" s="1" t="str" cm="1">
        <f t="array" ref="D1169">_xlfn.IFS(E1169&lt;28, "17-27",
AND(E1169&gt;27, E1169&lt;38), "28-37",
AND(E1169&gt;37, E1169 &lt;48), "38-47",
AND(E1169&gt;47, E1169 &lt;58), "48-57",
AND(E1169&gt;57, E1169&lt;68), "58-67",
AND(E1169&gt;67, E1169&lt;78), "68-77",
E1169&gt;77,"Above than 77")</f>
        <v>38-47</v>
      </c>
      <c r="E1169">
        <v>44</v>
      </c>
      <c r="F1169" s="1">
        <v>27943</v>
      </c>
      <c r="G1169" s="1" t="str">
        <f>VLOOKUP(H1169,Table7[#All], 2, FALSE)</f>
        <v>Massachusetts</v>
      </c>
      <c r="H1169" s="2" t="s">
        <v>14</v>
      </c>
      <c r="I1169" s="2" t="s">
        <v>22</v>
      </c>
      <c r="J1169" s="2" t="s">
        <v>34</v>
      </c>
      <c r="K1169" s="2" t="s">
        <v>8</v>
      </c>
      <c r="L1169" s="2" t="s">
        <v>9</v>
      </c>
      <c r="M1169" s="2" t="s">
        <v>25</v>
      </c>
      <c r="N1169" s="2" t="s">
        <v>19</v>
      </c>
      <c r="O1169" s="2" t="s">
        <v>12</v>
      </c>
      <c r="P1169" s="2" t="s">
        <v>59</v>
      </c>
      <c r="Q1169" s="2" t="s">
        <v>30</v>
      </c>
      <c r="R1169" s="2" t="s">
        <v>18</v>
      </c>
      <c r="S1169">
        <v>1</v>
      </c>
    </row>
    <row r="1170" spans="1:19" x14ac:dyDescent="0.3">
      <c r="A1170">
        <v>3587</v>
      </c>
      <c r="B1170">
        <f>YEAR(Cleaned_HR_Data_Analysis__2[[#This Row],[Joining_Date]])</f>
        <v>2021</v>
      </c>
      <c r="C1170" s="1">
        <v>44326</v>
      </c>
      <c r="D1170" s="1" t="str" cm="1">
        <f t="array" ref="D1170">_xlfn.IFS(E1170&lt;28, "17-27",
AND(E1170&gt;27, E1170&lt;38), "28-37",
AND(E1170&gt;37, E1170 &lt;48), "38-47",
AND(E1170&gt;47, E1170 &lt;58), "48-57",
AND(E1170&gt;57, E1170&lt;68), "58-67",
AND(E1170&gt;67, E1170&lt;78), "68-77",
E1170&gt;77,"Above than 77")</f>
        <v>38-47</v>
      </c>
      <c r="E1170">
        <v>44</v>
      </c>
      <c r="F1170" s="1">
        <v>28484</v>
      </c>
      <c r="G1170" s="1" t="str">
        <f>VLOOKUP(H1170,Table7[#All], 2, FALSE)</f>
        <v>Massachusetts</v>
      </c>
      <c r="H1170" s="2" t="s">
        <v>14</v>
      </c>
      <c r="I1170" s="2" t="s">
        <v>22</v>
      </c>
      <c r="J1170" s="2" t="s">
        <v>40</v>
      </c>
      <c r="K1170" s="2" t="s">
        <v>8</v>
      </c>
      <c r="L1170" s="2" t="s">
        <v>9</v>
      </c>
      <c r="M1170" s="2" t="s">
        <v>25</v>
      </c>
      <c r="N1170" s="2" t="s">
        <v>26</v>
      </c>
      <c r="O1170" s="2" t="s">
        <v>12</v>
      </c>
      <c r="P1170" s="2" t="s">
        <v>38</v>
      </c>
      <c r="Q1170" s="2" t="s">
        <v>30</v>
      </c>
      <c r="R1170" s="2" t="s">
        <v>18</v>
      </c>
      <c r="S1170">
        <v>2</v>
      </c>
    </row>
    <row r="1171" spans="1:19" x14ac:dyDescent="0.3">
      <c r="A1171">
        <v>3385</v>
      </c>
      <c r="B1171">
        <f>YEAR(Cleaned_HR_Data_Analysis__2[[#This Row],[Joining_Date]])</f>
        <v>2022</v>
      </c>
      <c r="C1171" s="1">
        <v>44633</v>
      </c>
      <c r="D1171" s="1" t="str" cm="1">
        <f t="array" ref="D1171">_xlfn.IFS(E1171&lt;28, "17-27",
AND(E1171&gt;27, E1171&lt;38), "28-37",
AND(E1171&gt;37, E1171 &lt;48), "38-47",
AND(E1171&gt;47, E1171 &lt;58), "48-57",
AND(E1171&gt;57, E1171&lt;68), "58-67",
AND(E1171&gt;67, E1171&lt;78), "68-77",
E1171&gt;77,"Above than 77")</f>
        <v>38-47</v>
      </c>
      <c r="E1171">
        <v>44</v>
      </c>
      <c r="F1171" s="1">
        <v>28681</v>
      </c>
      <c r="G1171" s="1" t="str">
        <f>VLOOKUP(H1171,Table7[#All], 2, FALSE)</f>
        <v>Massachusetts</v>
      </c>
      <c r="H1171" s="2" t="s">
        <v>14</v>
      </c>
      <c r="I1171" s="2" t="s">
        <v>15</v>
      </c>
      <c r="J1171" s="2" t="s">
        <v>40</v>
      </c>
      <c r="K1171" s="2" t="s">
        <v>8</v>
      </c>
      <c r="L1171" s="2" t="s">
        <v>9</v>
      </c>
      <c r="M1171" s="2" t="s">
        <v>20</v>
      </c>
      <c r="N1171" s="2" t="s">
        <v>19</v>
      </c>
      <c r="O1171" s="2" t="s">
        <v>12</v>
      </c>
      <c r="P1171" s="2" t="s">
        <v>32</v>
      </c>
      <c r="Q1171" s="2" t="s">
        <v>30</v>
      </c>
      <c r="R1171" s="2" t="s">
        <v>18</v>
      </c>
      <c r="S1171">
        <v>1</v>
      </c>
    </row>
    <row r="1172" spans="1:19" x14ac:dyDescent="0.3">
      <c r="A1172">
        <v>3336</v>
      </c>
      <c r="B1172">
        <f>YEAR(Cleaned_HR_Data_Analysis__2[[#This Row],[Joining_Date]])</f>
        <v>2023</v>
      </c>
      <c r="C1172" s="1">
        <v>45010</v>
      </c>
      <c r="D1172" s="1" t="str" cm="1">
        <f t="array" ref="D1172">_xlfn.IFS(E1172&lt;28, "17-27",
AND(E1172&gt;27, E1172&lt;38), "28-37",
AND(E1172&gt;37, E1172 &lt;48), "38-47",
AND(E1172&gt;47, E1172 &lt;58), "48-57",
AND(E1172&gt;57, E1172&lt;68), "58-67",
AND(E1172&gt;67, E1172&lt;78), "68-77",
E1172&gt;77,"Above than 77")</f>
        <v>38-47</v>
      </c>
      <c r="E1172">
        <v>44</v>
      </c>
      <c r="F1172" s="1">
        <v>29027</v>
      </c>
      <c r="G1172" s="1" t="str">
        <f>VLOOKUP(H1172,Table7[#All], 2, FALSE)</f>
        <v>Massachusetts</v>
      </c>
      <c r="H1172" s="2" t="s">
        <v>14</v>
      </c>
      <c r="I1172" s="2" t="s">
        <v>22</v>
      </c>
      <c r="J1172" s="2" t="s">
        <v>40</v>
      </c>
      <c r="K1172" s="2" t="s">
        <v>8</v>
      </c>
      <c r="L1172" s="2" t="s">
        <v>66</v>
      </c>
      <c r="M1172" s="2" t="s">
        <v>10</v>
      </c>
      <c r="N1172" s="2" t="s">
        <v>19</v>
      </c>
      <c r="O1172" s="2" t="s">
        <v>12</v>
      </c>
      <c r="P1172" s="2" t="s">
        <v>32</v>
      </c>
      <c r="Q1172" s="2" t="s">
        <v>46</v>
      </c>
      <c r="R1172" s="2" t="s">
        <v>18</v>
      </c>
      <c r="S1172">
        <v>4</v>
      </c>
    </row>
    <row r="1173" spans="1:19" x14ac:dyDescent="0.3">
      <c r="A1173">
        <v>3330</v>
      </c>
      <c r="B1173">
        <f>YEAR(Cleaned_HR_Data_Analysis__2[[#This Row],[Joining_Date]])</f>
        <v>2020</v>
      </c>
      <c r="C1173" s="1">
        <v>44052</v>
      </c>
      <c r="D1173" s="1" t="str" cm="1">
        <f t="array" ref="D1173">_xlfn.IFS(E1173&lt;28, "17-27",
AND(E1173&gt;27, E1173&lt;38), "28-37",
AND(E1173&gt;37, E1173 &lt;48), "38-47",
AND(E1173&gt;47, E1173 &lt;58), "48-57",
AND(E1173&gt;57, E1173&lt;68), "58-67",
AND(E1173&gt;67, E1173&lt;78), "68-77",
E1173&gt;77,"Above than 77")</f>
        <v>38-47</v>
      </c>
      <c r="E1173">
        <v>44</v>
      </c>
      <c r="F1173" s="1">
        <v>27838</v>
      </c>
      <c r="G1173" s="1" t="str">
        <f>VLOOKUP(H1173,Table7[#All], 2, FALSE)</f>
        <v>Massachusetts</v>
      </c>
      <c r="H1173" s="2" t="s">
        <v>14</v>
      </c>
      <c r="I1173" s="2" t="s">
        <v>15</v>
      </c>
      <c r="J1173" s="2" t="s">
        <v>40</v>
      </c>
      <c r="K1173" s="2" t="s">
        <v>8</v>
      </c>
      <c r="L1173" s="2" t="s">
        <v>9</v>
      </c>
      <c r="M1173" s="2" t="s">
        <v>20</v>
      </c>
      <c r="N1173" s="2" t="s">
        <v>11</v>
      </c>
      <c r="O1173" s="2" t="s">
        <v>12</v>
      </c>
      <c r="P1173" s="2" t="s">
        <v>55</v>
      </c>
      <c r="Q1173" s="2" t="s">
        <v>16</v>
      </c>
      <c r="R1173" s="2" t="s">
        <v>18</v>
      </c>
      <c r="S1173">
        <v>3</v>
      </c>
    </row>
    <row r="1174" spans="1:19" x14ac:dyDescent="0.3">
      <c r="A1174">
        <v>3225</v>
      </c>
      <c r="B1174">
        <f>YEAR(Cleaned_HR_Data_Analysis__2[[#This Row],[Joining_Date]])</f>
        <v>2021</v>
      </c>
      <c r="C1174" s="1">
        <v>44354</v>
      </c>
      <c r="D1174" s="1" t="str" cm="1">
        <f t="array" ref="D1174">_xlfn.IFS(E1174&lt;28, "17-27",
AND(E1174&gt;27, E1174&lt;38), "28-37",
AND(E1174&gt;37, E1174 &lt;48), "38-47",
AND(E1174&gt;47, E1174 &lt;58), "48-57",
AND(E1174&gt;57, E1174&lt;68), "58-67",
AND(E1174&gt;67, E1174&lt;78), "68-77",
E1174&gt;77,"Above than 77")</f>
        <v>38-47</v>
      </c>
      <c r="E1174">
        <v>44</v>
      </c>
      <c r="F1174" s="1">
        <v>28335</v>
      </c>
      <c r="G1174" s="1" t="str">
        <f>VLOOKUP(H1174,Table7[#All], 2, FALSE)</f>
        <v>Massachusetts</v>
      </c>
      <c r="H1174" s="2" t="s">
        <v>14</v>
      </c>
      <c r="I1174" s="2" t="s">
        <v>15</v>
      </c>
      <c r="J1174" s="2" t="s">
        <v>40</v>
      </c>
      <c r="K1174" s="2" t="s">
        <v>8</v>
      </c>
      <c r="L1174" s="2" t="s">
        <v>9</v>
      </c>
      <c r="M1174" s="2" t="s">
        <v>10</v>
      </c>
      <c r="N1174" s="2" t="s">
        <v>26</v>
      </c>
      <c r="O1174" s="2" t="s">
        <v>12</v>
      </c>
      <c r="P1174" s="2" t="s">
        <v>32</v>
      </c>
      <c r="Q1174" s="2" t="s">
        <v>16</v>
      </c>
      <c r="R1174" s="2" t="s">
        <v>18</v>
      </c>
      <c r="S1174">
        <v>1</v>
      </c>
    </row>
    <row r="1175" spans="1:19" x14ac:dyDescent="0.3">
      <c r="A1175">
        <v>3198</v>
      </c>
      <c r="B1175">
        <f>YEAR(Cleaned_HR_Data_Analysis__2[[#This Row],[Joining_Date]])</f>
        <v>2023</v>
      </c>
      <c r="C1175" s="1">
        <v>44930</v>
      </c>
      <c r="D1175" s="1" t="str" cm="1">
        <f t="array" ref="D1175">_xlfn.IFS(E1175&lt;28, "17-27",
AND(E1175&gt;27, E1175&lt;38), "28-37",
AND(E1175&gt;37, E1175 &lt;48), "38-47",
AND(E1175&gt;47, E1175 &lt;58), "48-57",
AND(E1175&gt;57, E1175&lt;68), "58-67",
AND(E1175&gt;67, E1175&lt;78), "68-77",
E1175&gt;77,"Above than 77")</f>
        <v>38-47</v>
      </c>
      <c r="E1175">
        <v>44</v>
      </c>
      <c r="F1175" s="1">
        <v>29122</v>
      </c>
      <c r="G1175" s="1" t="str">
        <f>VLOOKUP(H1175,Table7[#All], 2, FALSE)</f>
        <v>Massachusetts</v>
      </c>
      <c r="H1175" s="2" t="s">
        <v>14</v>
      </c>
      <c r="I1175" s="2" t="s">
        <v>15</v>
      </c>
      <c r="J1175" s="2" t="s">
        <v>34</v>
      </c>
      <c r="K1175" s="2" t="s">
        <v>8</v>
      </c>
      <c r="L1175" s="2" t="s">
        <v>9</v>
      </c>
      <c r="M1175" s="2" t="s">
        <v>10</v>
      </c>
      <c r="N1175" s="2" t="s">
        <v>19</v>
      </c>
      <c r="O1175" s="2" t="s">
        <v>12</v>
      </c>
      <c r="P1175" s="2" t="s">
        <v>32</v>
      </c>
      <c r="Q1175" s="2" t="s">
        <v>46</v>
      </c>
      <c r="R1175" s="2" t="s">
        <v>18</v>
      </c>
      <c r="S1175">
        <v>3</v>
      </c>
    </row>
    <row r="1176" spans="1:19" x14ac:dyDescent="0.3">
      <c r="A1176">
        <v>3196</v>
      </c>
      <c r="B1176">
        <f>YEAR(Cleaned_HR_Data_Analysis__2[[#This Row],[Joining_Date]])</f>
        <v>2018</v>
      </c>
      <c r="C1176" s="1">
        <v>43432</v>
      </c>
      <c r="D1176" s="1" t="str" cm="1">
        <f t="array" ref="D1176">_xlfn.IFS(E1176&lt;28, "17-27",
AND(E1176&gt;27, E1176&lt;38), "28-37",
AND(E1176&gt;37, E1176 &lt;48), "38-47",
AND(E1176&gt;47, E1176 &lt;58), "48-57",
AND(E1176&gt;57, E1176&lt;68), "58-67",
AND(E1176&gt;67, E1176&lt;78), "68-77",
E1176&gt;77,"Above than 77")</f>
        <v>38-47</v>
      </c>
      <c r="E1176">
        <v>44</v>
      </c>
      <c r="F1176" s="1">
        <v>27345</v>
      </c>
      <c r="G1176" s="1" t="str">
        <f>VLOOKUP(H1176,Table7[#All], 2, FALSE)</f>
        <v>Massachusetts</v>
      </c>
      <c r="H1176" s="2" t="s">
        <v>14</v>
      </c>
      <c r="I1176" s="2" t="s">
        <v>15</v>
      </c>
      <c r="J1176" s="2" t="s">
        <v>40</v>
      </c>
      <c r="K1176" s="2" t="s">
        <v>8</v>
      </c>
      <c r="L1176" s="2" t="s">
        <v>9</v>
      </c>
      <c r="M1176" s="2" t="s">
        <v>25</v>
      </c>
      <c r="N1176" s="2" t="s">
        <v>26</v>
      </c>
      <c r="O1176" s="2" t="s">
        <v>12</v>
      </c>
      <c r="P1176" s="2" t="s">
        <v>42</v>
      </c>
      <c r="Q1176" s="2" t="s">
        <v>30</v>
      </c>
      <c r="R1176" s="2" t="s">
        <v>18</v>
      </c>
      <c r="S1176">
        <v>3</v>
      </c>
    </row>
    <row r="1177" spans="1:19" x14ac:dyDescent="0.3">
      <c r="A1177">
        <v>3188</v>
      </c>
      <c r="B1177">
        <f>YEAR(Cleaned_HR_Data_Analysis__2[[#This Row],[Joining_Date]])</f>
        <v>2022</v>
      </c>
      <c r="C1177" s="1">
        <v>44871</v>
      </c>
      <c r="D1177" s="1" t="str" cm="1">
        <f t="array" ref="D1177">_xlfn.IFS(E1177&lt;28, "17-27",
AND(E1177&gt;27, E1177&lt;38), "28-37",
AND(E1177&gt;37, E1177 &lt;48), "38-47",
AND(E1177&gt;47, E1177 &lt;58), "48-57",
AND(E1177&gt;57, E1177&lt;68), "58-67",
AND(E1177&gt;67, E1177&lt;78), "68-77",
E1177&gt;77,"Above than 77")</f>
        <v>38-47</v>
      </c>
      <c r="E1177">
        <v>44</v>
      </c>
      <c r="F1177" s="1">
        <v>28798</v>
      </c>
      <c r="G1177" s="1" t="str">
        <f>VLOOKUP(H1177,Table7[#All], 2, FALSE)</f>
        <v>Massachusetts</v>
      </c>
      <c r="H1177" s="2" t="s">
        <v>14</v>
      </c>
      <c r="I1177" s="2" t="s">
        <v>22</v>
      </c>
      <c r="J1177" s="2" t="s">
        <v>40</v>
      </c>
      <c r="K1177" s="2" t="s">
        <v>8</v>
      </c>
      <c r="L1177" s="2" t="s">
        <v>9</v>
      </c>
      <c r="M1177" s="2" t="s">
        <v>20</v>
      </c>
      <c r="N1177" s="2" t="s">
        <v>11</v>
      </c>
      <c r="O1177" s="2" t="s">
        <v>12</v>
      </c>
      <c r="P1177" s="2" t="s">
        <v>35</v>
      </c>
      <c r="Q1177" s="2" t="s">
        <v>23</v>
      </c>
      <c r="R1177" s="2" t="s">
        <v>18</v>
      </c>
      <c r="S1177">
        <v>2</v>
      </c>
    </row>
    <row r="1178" spans="1:19" x14ac:dyDescent="0.3">
      <c r="A1178">
        <v>3126</v>
      </c>
      <c r="B1178">
        <f>YEAR(Cleaned_HR_Data_Analysis__2[[#This Row],[Joining_Date]])</f>
        <v>2022</v>
      </c>
      <c r="C1178" s="1">
        <v>44678</v>
      </c>
      <c r="D1178" s="1" t="str" cm="1">
        <f t="array" ref="D1178">_xlfn.IFS(E1178&lt;28, "17-27",
AND(E1178&gt;27, E1178&lt;38), "28-37",
AND(E1178&gt;37, E1178 &lt;48), "38-47",
AND(E1178&gt;47, E1178 &lt;58), "48-57",
AND(E1178&gt;57, E1178&lt;68), "58-67",
AND(E1178&gt;67, E1178&lt;78), "68-77",
E1178&gt;77,"Above than 77")</f>
        <v>38-47</v>
      </c>
      <c r="E1178">
        <v>44</v>
      </c>
      <c r="F1178" s="1">
        <v>28673</v>
      </c>
      <c r="G1178" s="1" t="str">
        <f>VLOOKUP(H1178,Table7[#All], 2, FALSE)</f>
        <v>Massachusetts</v>
      </c>
      <c r="H1178" s="2" t="s">
        <v>14</v>
      </c>
      <c r="I1178" s="2" t="s">
        <v>22</v>
      </c>
      <c r="J1178" s="2" t="s">
        <v>40</v>
      </c>
      <c r="K1178" s="2" t="s">
        <v>8</v>
      </c>
      <c r="L1178" s="2" t="s">
        <v>9</v>
      </c>
      <c r="M1178" s="2" t="s">
        <v>10</v>
      </c>
      <c r="N1178" s="2" t="s">
        <v>11</v>
      </c>
      <c r="O1178" s="2" t="s">
        <v>12</v>
      </c>
      <c r="P1178" s="2" t="s">
        <v>54</v>
      </c>
      <c r="Q1178" s="2" t="s">
        <v>37</v>
      </c>
      <c r="R1178" s="2" t="s">
        <v>18</v>
      </c>
      <c r="S1178">
        <v>5</v>
      </c>
    </row>
    <row r="1179" spans="1:19" x14ac:dyDescent="0.3">
      <c r="A1179">
        <v>3015</v>
      </c>
      <c r="B1179">
        <f>YEAR(Cleaned_HR_Data_Analysis__2[[#This Row],[Joining_Date]])</f>
        <v>2020</v>
      </c>
      <c r="C1179" s="1">
        <v>44167</v>
      </c>
      <c r="D1179" s="1" t="str" cm="1">
        <f t="array" ref="D1179">_xlfn.IFS(E1179&lt;28, "17-27",
AND(E1179&gt;27, E1179&lt;38), "28-37",
AND(E1179&gt;37, E1179 &lt;48), "38-47",
AND(E1179&gt;47, E1179 &lt;58), "48-57",
AND(E1179&gt;57, E1179&lt;68), "58-67",
AND(E1179&gt;67, E1179&lt;78), "68-77",
E1179&gt;77,"Above than 77")</f>
        <v>38-47</v>
      </c>
      <c r="E1179">
        <v>44</v>
      </c>
      <c r="F1179" s="1">
        <v>27925</v>
      </c>
      <c r="G1179" s="1" t="str">
        <f>VLOOKUP(H1179,Table7[#All], 2, FALSE)</f>
        <v>Massachusetts</v>
      </c>
      <c r="H1179" s="2" t="s">
        <v>14</v>
      </c>
      <c r="I1179" s="2" t="s">
        <v>22</v>
      </c>
      <c r="J1179" s="2" t="s">
        <v>31</v>
      </c>
      <c r="K1179" s="2" t="s">
        <v>8</v>
      </c>
      <c r="L1179" s="2" t="s">
        <v>9</v>
      </c>
      <c r="M1179" s="2" t="s">
        <v>20</v>
      </c>
      <c r="N1179" s="2" t="s">
        <v>11</v>
      </c>
      <c r="O1179" s="2" t="s">
        <v>12</v>
      </c>
      <c r="P1179" s="2" t="s">
        <v>28</v>
      </c>
      <c r="Q1179" s="2" t="s">
        <v>23</v>
      </c>
      <c r="R1179" s="2" t="s">
        <v>65</v>
      </c>
      <c r="S1179">
        <v>5</v>
      </c>
    </row>
    <row r="1180" spans="1:19" x14ac:dyDescent="0.3">
      <c r="A1180">
        <v>2814</v>
      </c>
      <c r="B1180">
        <f>YEAR(Cleaned_HR_Data_Analysis__2[[#This Row],[Joining_Date]])</f>
        <v>2019</v>
      </c>
      <c r="C1180" s="1">
        <v>43490</v>
      </c>
      <c r="D1180" s="1" t="str" cm="1">
        <f t="array" ref="D1180">_xlfn.IFS(E1180&lt;28, "17-27",
AND(E1180&gt;27, E1180&lt;38), "28-37",
AND(E1180&gt;37, E1180 &lt;48), "38-47",
AND(E1180&gt;47, E1180 &lt;58), "48-57",
AND(E1180&gt;57, E1180&lt;68), "58-67",
AND(E1180&gt;67, E1180&lt;78), "68-77",
E1180&gt;77,"Above than 77")</f>
        <v>38-47</v>
      </c>
      <c r="E1180">
        <v>44</v>
      </c>
      <c r="F1180" s="1">
        <v>27665</v>
      </c>
      <c r="G1180" s="1" t="str">
        <f>VLOOKUP(H1180,Table7[#All], 2, FALSE)</f>
        <v>Massachusetts</v>
      </c>
      <c r="H1180" s="2" t="s">
        <v>14</v>
      </c>
      <c r="I1180" s="2" t="s">
        <v>22</v>
      </c>
      <c r="J1180" s="2" t="s">
        <v>31</v>
      </c>
      <c r="K1180" s="2" t="s">
        <v>8</v>
      </c>
      <c r="L1180" s="2" t="s">
        <v>9</v>
      </c>
      <c r="M1180" s="2" t="s">
        <v>20</v>
      </c>
      <c r="N1180" s="2" t="s">
        <v>19</v>
      </c>
      <c r="O1180" s="2" t="s">
        <v>12</v>
      </c>
      <c r="P1180" s="2" t="s">
        <v>35</v>
      </c>
      <c r="Q1180" s="2" t="s">
        <v>23</v>
      </c>
      <c r="R1180" s="2" t="s">
        <v>18</v>
      </c>
      <c r="S1180">
        <v>1</v>
      </c>
    </row>
    <row r="1181" spans="1:19" x14ac:dyDescent="0.3">
      <c r="A1181">
        <v>2108</v>
      </c>
      <c r="B1181">
        <f>YEAR(Cleaned_HR_Data_Analysis__2[[#This Row],[Joining_Date]])</f>
        <v>2022</v>
      </c>
      <c r="C1181" s="1">
        <v>44690</v>
      </c>
      <c r="D1181" s="1" t="str" cm="1">
        <f t="array" ref="D1181">_xlfn.IFS(E1181&lt;28, "17-27",
AND(E1181&gt;27, E1181&lt;38), "28-37",
AND(E1181&gt;37, E1181 &lt;48), "38-47",
AND(E1181&gt;47, E1181 &lt;58), "48-57",
AND(E1181&gt;57, E1181&lt;68), "58-67",
AND(E1181&gt;67, E1181&lt;78), "68-77",
E1181&gt;77,"Above than 77")</f>
        <v>38-47</v>
      </c>
      <c r="E1181">
        <v>44</v>
      </c>
      <c r="F1181" s="1">
        <v>28752</v>
      </c>
      <c r="G1181" s="1" t="str">
        <f>VLOOKUP(H1181,Table7[#All], 2, FALSE)</f>
        <v>Massachusetts</v>
      </c>
      <c r="H1181" s="2" t="s">
        <v>14</v>
      </c>
      <c r="I1181" s="2" t="s">
        <v>15</v>
      </c>
      <c r="J1181" s="2" t="s">
        <v>17</v>
      </c>
      <c r="K1181" s="2" t="s">
        <v>8</v>
      </c>
      <c r="L1181" s="2" t="s">
        <v>66</v>
      </c>
      <c r="M1181" s="2" t="s">
        <v>20</v>
      </c>
      <c r="N1181" s="2" t="s">
        <v>19</v>
      </c>
      <c r="O1181" s="2" t="s">
        <v>12</v>
      </c>
      <c r="P1181" s="2" t="s">
        <v>35</v>
      </c>
      <c r="Q1181" s="2" t="s">
        <v>16</v>
      </c>
      <c r="R1181" s="2" t="s">
        <v>56</v>
      </c>
      <c r="S1181">
        <v>2</v>
      </c>
    </row>
    <row r="1182" spans="1:19" x14ac:dyDescent="0.3">
      <c r="A1182">
        <v>1957</v>
      </c>
      <c r="B1182">
        <f>YEAR(Cleaned_HR_Data_Analysis__2[[#This Row],[Joining_Date]])</f>
        <v>2019</v>
      </c>
      <c r="C1182" s="1">
        <v>43598</v>
      </c>
      <c r="D1182" s="1" t="str" cm="1">
        <f t="array" ref="D1182">_xlfn.IFS(E1182&lt;28, "17-27",
AND(E1182&gt;27, E1182&lt;38), "28-37",
AND(E1182&gt;37, E1182 &lt;48), "38-47",
AND(E1182&gt;47, E1182 &lt;58), "48-57",
AND(E1182&gt;57, E1182&lt;68), "58-67",
AND(E1182&gt;67, E1182&lt;78), "68-77",
E1182&gt;77,"Above than 77")</f>
        <v>38-47</v>
      </c>
      <c r="E1182">
        <v>44</v>
      </c>
      <c r="F1182" s="1">
        <v>27440</v>
      </c>
      <c r="G1182" s="1" t="str">
        <f>VLOOKUP(H1182,Table7[#All], 2, FALSE)</f>
        <v>Massachusetts</v>
      </c>
      <c r="H1182" s="2" t="s">
        <v>14</v>
      </c>
      <c r="I1182" s="2" t="s">
        <v>15</v>
      </c>
      <c r="J1182" s="2" t="s">
        <v>17</v>
      </c>
      <c r="K1182" s="2" t="s">
        <v>8</v>
      </c>
      <c r="L1182" s="2" t="s">
        <v>66</v>
      </c>
      <c r="M1182" s="2" t="s">
        <v>20</v>
      </c>
      <c r="N1182" s="2" t="s">
        <v>11</v>
      </c>
      <c r="O1182" s="2" t="s">
        <v>12</v>
      </c>
      <c r="P1182" s="2" t="s">
        <v>35</v>
      </c>
      <c r="Q1182" s="2" t="s">
        <v>46</v>
      </c>
      <c r="R1182" s="2" t="s">
        <v>18</v>
      </c>
      <c r="S1182">
        <v>2</v>
      </c>
    </row>
    <row r="1183" spans="1:19" x14ac:dyDescent="0.3">
      <c r="A1183">
        <v>1788</v>
      </c>
      <c r="B1183">
        <f>YEAR(Cleaned_HR_Data_Analysis__2[[#This Row],[Joining_Date]])</f>
        <v>2020</v>
      </c>
      <c r="C1183" s="1">
        <v>44023</v>
      </c>
      <c r="D1183" s="1" t="str" cm="1">
        <f t="array" ref="D1183">_xlfn.IFS(E1183&lt;28, "17-27",
AND(E1183&gt;27, E1183&lt;38), "28-37",
AND(E1183&gt;37, E1183 &lt;48), "38-47",
AND(E1183&gt;47, E1183 &lt;58), "48-57",
AND(E1183&gt;57, E1183&lt;68), "58-67",
AND(E1183&gt;67, E1183&lt;78), "68-77",
E1183&gt;77,"Above than 77")</f>
        <v>38-47</v>
      </c>
      <c r="E1183">
        <v>44</v>
      </c>
      <c r="F1183" s="1">
        <v>27798</v>
      </c>
      <c r="G1183" s="1" t="str">
        <f>VLOOKUP(H1183,Table7[#All], 2, FALSE)</f>
        <v>Massachusetts</v>
      </c>
      <c r="H1183" s="2" t="s">
        <v>14</v>
      </c>
      <c r="I1183" s="2" t="s">
        <v>22</v>
      </c>
      <c r="J1183" s="2" t="s">
        <v>40</v>
      </c>
      <c r="K1183" s="2" t="s">
        <v>8</v>
      </c>
      <c r="L1183" s="2" t="s">
        <v>9</v>
      </c>
      <c r="M1183" s="2" t="s">
        <v>10</v>
      </c>
      <c r="N1183" s="2" t="s">
        <v>11</v>
      </c>
      <c r="O1183" s="2" t="s">
        <v>12</v>
      </c>
      <c r="P1183" s="2" t="s">
        <v>35</v>
      </c>
      <c r="Q1183" s="2" t="s">
        <v>30</v>
      </c>
      <c r="R1183" s="2" t="s">
        <v>18</v>
      </c>
      <c r="S1183">
        <v>5</v>
      </c>
    </row>
    <row r="1184" spans="1:19" x14ac:dyDescent="0.3">
      <c r="A1184">
        <v>1618</v>
      </c>
      <c r="B1184">
        <f>YEAR(Cleaned_HR_Data_Analysis__2[[#This Row],[Joining_Date]])</f>
        <v>2021</v>
      </c>
      <c r="C1184" s="1">
        <v>44539</v>
      </c>
      <c r="D1184" s="1" t="str" cm="1">
        <f t="array" ref="D1184">_xlfn.IFS(E1184&lt;28, "17-27",
AND(E1184&gt;27, E1184&lt;38), "28-37",
AND(E1184&gt;37, E1184 &lt;48), "38-47",
AND(E1184&gt;47, E1184 &lt;58), "48-57",
AND(E1184&gt;57, E1184&lt;68), "58-67",
AND(E1184&gt;67, E1184&lt;78), "68-77",
E1184&gt;77,"Above than 77")</f>
        <v>38-47</v>
      </c>
      <c r="E1184">
        <v>44</v>
      </c>
      <c r="F1184" s="1">
        <v>28292</v>
      </c>
      <c r="G1184" s="1" t="str">
        <f>VLOOKUP(H1184,Table7[#All], 2, FALSE)</f>
        <v>Massachusetts</v>
      </c>
      <c r="H1184" s="2" t="s">
        <v>14</v>
      </c>
      <c r="I1184" s="2" t="s">
        <v>22</v>
      </c>
      <c r="J1184" s="2" t="s">
        <v>17</v>
      </c>
      <c r="K1184" s="2" t="s">
        <v>8</v>
      </c>
      <c r="L1184" s="2" t="s">
        <v>9</v>
      </c>
      <c r="M1184" s="2" t="s">
        <v>25</v>
      </c>
      <c r="N1184" s="2" t="s">
        <v>26</v>
      </c>
      <c r="O1184" s="2" t="s">
        <v>12</v>
      </c>
      <c r="P1184" s="2" t="s">
        <v>35</v>
      </c>
      <c r="Q1184" s="2" t="s">
        <v>16</v>
      </c>
      <c r="R1184" s="2" t="s">
        <v>56</v>
      </c>
      <c r="S1184">
        <v>5</v>
      </c>
    </row>
    <row r="1185" spans="1:19" x14ac:dyDescent="0.3">
      <c r="A1185">
        <v>1567</v>
      </c>
      <c r="B1185">
        <f>YEAR(Cleaned_HR_Data_Analysis__2[[#This Row],[Joining_Date]])</f>
        <v>2022</v>
      </c>
      <c r="C1185" s="1">
        <v>44624</v>
      </c>
      <c r="D1185" s="1" t="str" cm="1">
        <f t="array" ref="D1185">_xlfn.IFS(E1185&lt;28, "17-27",
AND(E1185&gt;27, E1185&lt;38), "28-37",
AND(E1185&gt;37, E1185 &lt;48), "38-47",
AND(E1185&gt;47, E1185 &lt;58), "48-57",
AND(E1185&gt;57, E1185&lt;68), "58-67",
AND(E1185&gt;67, E1185&lt;78), "68-77",
E1185&gt;77,"Above than 77")</f>
        <v>38-47</v>
      </c>
      <c r="E1185">
        <v>44</v>
      </c>
      <c r="F1185" s="1">
        <v>28823</v>
      </c>
      <c r="G1185" s="1" t="str">
        <f>VLOOKUP(H1185,Table7[#All], 2, FALSE)</f>
        <v>Massachusetts</v>
      </c>
      <c r="H1185" s="2" t="s">
        <v>14</v>
      </c>
      <c r="I1185" s="2" t="s">
        <v>15</v>
      </c>
      <c r="J1185" s="2" t="s">
        <v>31</v>
      </c>
      <c r="K1185" s="2" t="s">
        <v>8</v>
      </c>
      <c r="L1185" s="2" t="s">
        <v>9</v>
      </c>
      <c r="M1185" s="2" t="s">
        <v>10</v>
      </c>
      <c r="N1185" s="2" t="s">
        <v>11</v>
      </c>
      <c r="O1185" s="2" t="s">
        <v>12</v>
      </c>
      <c r="P1185" s="2" t="s">
        <v>35</v>
      </c>
      <c r="Q1185" s="2" t="s">
        <v>46</v>
      </c>
      <c r="R1185" s="2" t="s">
        <v>18</v>
      </c>
      <c r="S1185">
        <v>2</v>
      </c>
    </row>
    <row r="1186" spans="1:19" x14ac:dyDescent="0.3">
      <c r="A1186">
        <v>1520</v>
      </c>
      <c r="B1186">
        <f>YEAR(Cleaned_HR_Data_Analysis__2[[#This Row],[Joining_Date]])</f>
        <v>2020</v>
      </c>
      <c r="C1186" s="1">
        <v>44067</v>
      </c>
      <c r="D1186" s="1" t="str" cm="1">
        <f t="array" ref="D1186">_xlfn.IFS(E1186&lt;28, "17-27",
AND(E1186&gt;27, E1186&lt;38), "28-37",
AND(E1186&gt;37, E1186 &lt;48), "38-47",
AND(E1186&gt;47, E1186 &lt;58), "48-57",
AND(E1186&gt;57, E1186&lt;68), "58-67",
AND(E1186&gt;67, E1186&lt;78), "68-77",
E1186&gt;77,"Above than 77")</f>
        <v>38-47</v>
      </c>
      <c r="E1186">
        <v>44</v>
      </c>
      <c r="F1186" s="1">
        <v>27945</v>
      </c>
      <c r="G1186" s="1" t="str">
        <f>VLOOKUP(H1186,Table7[#All], 2, FALSE)</f>
        <v>Massachusetts</v>
      </c>
      <c r="H1186" s="2" t="s">
        <v>14</v>
      </c>
      <c r="I1186" s="2" t="s">
        <v>15</v>
      </c>
      <c r="J1186" s="2" t="s">
        <v>40</v>
      </c>
      <c r="K1186" s="2" t="s">
        <v>8</v>
      </c>
      <c r="L1186" s="2" t="s">
        <v>9</v>
      </c>
      <c r="M1186" s="2" t="s">
        <v>25</v>
      </c>
      <c r="N1186" s="2" t="s">
        <v>19</v>
      </c>
      <c r="O1186" s="2" t="s">
        <v>12</v>
      </c>
      <c r="P1186" s="2" t="s">
        <v>76</v>
      </c>
      <c r="Q1186" s="2" t="s">
        <v>16</v>
      </c>
      <c r="R1186" s="2" t="s">
        <v>18</v>
      </c>
      <c r="S1186">
        <v>2</v>
      </c>
    </row>
    <row r="1187" spans="1:19" x14ac:dyDescent="0.3">
      <c r="A1187">
        <v>1448</v>
      </c>
      <c r="B1187">
        <f>YEAR(Cleaned_HR_Data_Analysis__2[[#This Row],[Joining_Date]])</f>
        <v>2020</v>
      </c>
      <c r="C1187" s="1">
        <v>44087</v>
      </c>
      <c r="D1187" s="1" t="str" cm="1">
        <f t="array" ref="D1187">_xlfn.IFS(E1187&lt;28, "17-27",
AND(E1187&gt;27, E1187&lt;38), "28-37",
AND(E1187&gt;37, E1187 &lt;48), "38-47",
AND(E1187&gt;47, E1187 &lt;58), "48-57",
AND(E1187&gt;57, E1187&lt;68), "58-67",
AND(E1187&gt;67, E1187&lt;78), "68-77",
E1187&gt;77,"Above than 77")</f>
        <v>38-47</v>
      </c>
      <c r="E1187">
        <v>44</v>
      </c>
      <c r="F1187" s="1">
        <v>27985</v>
      </c>
      <c r="G1187" s="1" t="str">
        <f>VLOOKUP(H1187,Table7[#All], 2, FALSE)</f>
        <v>Massachusetts</v>
      </c>
      <c r="H1187" s="2" t="s">
        <v>14</v>
      </c>
      <c r="I1187" s="2" t="s">
        <v>15</v>
      </c>
      <c r="J1187" s="2" t="s">
        <v>31</v>
      </c>
      <c r="K1187" s="2" t="s">
        <v>8</v>
      </c>
      <c r="L1187" s="2" t="s">
        <v>9</v>
      </c>
      <c r="M1187" s="2" t="s">
        <v>20</v>
      </c>
      <c r="N1187" s="2" t="s">
        <v>19</v>
      </c>
      <c r="O1187" s="2" t="s">
        <v>12</v>
      </c>
      <c r="P1187" s="2" t="s">
        <v>32</v>
      </c>
      <c r="Q1187" s="2" t="s">
        <v>30</v>
      </c>
      <c r="R1187" s="2" t="s">
        <v>56</v>
      </c>
      <c r="S1187">
        <v>1</v>
      </c>
    </row>
    <row r="1188" spans="1:19" x14ac:dyDescent="0.3">
      <c r="A1188">
        <v>1262</v>
      </c>
      <c r="B1188">
        <f>YEAR(Cleaned_HR_Data_Analysis__2[[#This Row],[Joining_Date]])</f>
        <v>2021</v>
      </c>
      <c r="C1188" s="1">
        <v>44378</v>
      </c>
      <c r="D1188" s="1" t="str" cm="1">
        <f t="array" ref="D1188">_xlfn.IFS(E1188&lt;28, "17-27",
AND(E1188&gt;27, E1188&lt;38), "28-37",
AND(E1188&gt;37, E1188 &lt;48), "38-47",
AND(E1188&gt;47, E1188 &lt;58), "48-57",
AND(E1188&gt;57, E1188&lt;68), "58-67",
AND(E1188&gt;67, E1188&lt;78), "68-77",
E1188&gt;77,"Above than 77")</f>
        <v>38-47</v>
      </c>
      <c r="E1188">
        <v>44</v>
      </c>
      <c r="F1188" s="1">
        <v>28200</v>
      </c>
      <c r="G1188" s="1" t="str">
        <f>VLOOKUP(H1188,Table7[#All], 2, FALSE)</f>
        <v>Massachusetts</v>
      </c>
      <c r="H1188" s="2" t="s">
        <v>14</v>
      </c>
      <c r="I1188" s="2" t="s">
        <v>15</v>
      </c>
      <c r="J1188" s="2" t="s">
        <v>17</v>
      </c>
      <c r="K1188" s="2" t="s">
        <v>8</v>
      </c>
      <c r="L1188" s="2" t="s">
        <v>66</v>
      </c>
      <c r="M1188" s="2" t="s">
        <v>20</v>
      </c>
      <c r="N1188" s="2" t="s">
        <v>19</v>
      </c>
      <c r="O1188" s="2" t="s">
        <v>12</v>
      </c>
      <c r="P1188" s="2" t="s">
        <v>42</v>
      </c>
      <c r="Q1188" s="2" t="s">
        <v>23</v>
      </c>
      <c r="R1188" s="2" t="s">
        <v>18</v>
      </c>
      <c r="S1188">
        <v>4</v>
      </c>
    </row>
    <row r="1189" spans="1:19" x14ac:dyDescent="0.3">
      <c r="A1189">
        <v>1218</v>
      </c>
      <c r="B1189">
        <f>YEAR(Cleaned_HR_Data_Analysis__2[[#This Row],[Joining_Date]])</f>
        <v>2018</v>
      </c>
      <c r="C1189" s="1">
        <v>43465</v>
      </c>
      <c r="D1189" s="1" t="str" cm="1">
        <f t="array" ref="D1189">_xlfn.IFS(E1189&lt;28, "17-27",
AND(E1189&gt;27, E1189&lt;38), "28-37",
AND(E1189&gt;37, E1189 &lt;48), "38-47",
AND(E1189&gt;47, E1189 &lt;58), "48-57",
AND(E1189&gt;57, E1189&lt;68), "58-67",
AND(E1189&gt;67, E1189&lt;78), "68-77",
E1189&gt;77,"Above than 77")</f>
        <v>38-47</v>
      </c>
      <c r="E1189">
        <v>44</v>
      </c>
      <c r="F1189" s="1">
        <v>27317</v>
      </c>
      <c r="G1189" s="1" t="str">
        <f>VLOOKUP(H1189,Table7[#All], 2, FALSE)</f>
        <v>Massachusetts</v>
      </c>
      <c r="H1189" s="2" t="s">
        <v>14</v>
      </c>
      <c r="I1189" s="2" t="s">
        <v>15</v>
      </c>
      <c r="J1189" s="2" t="s">
        <v>34</v>
      </c>
      <c r="K1189" s="2" t="s">
        <v>8</v>
      </c>
      <c r="L1189" s="2" t="s">
        <v>9</v>
      </c>
      <c r="M1189" s="2" t="s">
        <v>25</v>
      </c>
      <c r="N1189" s="2" t="s">
        <v>26</v>
      </c>
      <c r="O1189" s="2" t="s">
        <v>12</v>
      </c>
      <c r="P1189" s="2" t="s">
        <v>32</v>
      </c>
      <c r="Q1189" s="2" t="s">
        <v>37</v>
      </c>
      <c r="R1189" s="2" t="s">
        <v>18</v>
      </c>
      <c r="S1189">
        <v>3</v>
      </c>
    </row>
    <row r="1190" spans="1:19" x14ac:dyDescent="0.3">
      <c r="A1190">
        <v>1159</v>
      </c>
      <c r="B1190">
        <f>YEAR(Cleaned_HR_Data_Analysis__2[[#This Row],[Joining_Date]])</f>
        <v>2023</v>
      </c>
      <c r="C1190" s="1">
        <v>45039</v>
      </c>
      <c r="D1190" s="1" t="str" cm="1">
        <f t="array" ref="D1190">_xlfn.IFS(E1190&lt;28, "17-27",
AND(E1190&gt;27, E1190&lt;38), "28-37",
AND(E1190&gt;37, E1190 &lt;48), "38-47",
AND(E1190&gt;47, E1190 &lt;58), "48-57",
AND(E1190&gt;57, E1190&lt;68), "58-67",
AND(E1190&gt;67, E1190&lt;78), "68-77",
E1190&gt;77,"Above than 77")</f>
        <v>38-47</v>
      </c>
      <c r="E1190">
        <v>44</v>
      </c>
      <c r="F1190" s="1">
        <v>29009</v>
      </c>
      <c r="G1190" s="1" t="str">
        <f>VLOOKUP(H1190,Table7[#All], 2, FALSE)</f>
        <v>Massachusetts</v>
      </c>
      <c r="H1190" s="2" t="s">
        <v>14</v>
      </c>
      <c r="I1190" s="2" t="s">
        <v>22</v>
      </c>
      <c r="J1190" s="2" t="s">
        <v>40</v>
      </c>
      <c r="K1190" s="2" t="s">
        <v>8</v>
      </c>
      <c r="L1190" s="2" t="s">
        <v>9</v>
      </c>
      <c r="M1190" s="2" t="s">
        <v>20</v>
      </c>
      <c r="N1190" s="2" t="s">
        <v>19</v>
      </c>
      <c r="O1190" s="2" t="s">
        <v>12</v>
      </c>
      <c r="P1190" s="2" t="s">
        <v>49</v>
      </c>
      <c r="Q1190" s="2" t="s">
        <v>30</v>
      </c>
      <c r="R1190" s="2" t="s">
        <v>18</v>
      </c>
      <c r="S1190">
        <v>2</v>
      </c>
    </row>
    <row r="1191" spans="1:19" x14ac:dyDescent="0.3">
      <c r="A1191">
        <v>1151</v>
      </c>
      <c r="B1191">
        <f>YEAR(Cleaned_HR_Data_Analysis__2[[#This Row],[Joining_Date]])</f>
        <v>2022</v>
      </c>
      <c r="C1191" s="1">
        <v>44796</v>
      </c>
      <c r="D1191" s="1" t="str" cm="1">
        <f t="array" ref="D1191">_xlfn.IFS(E1191&lt;28, "17-27",
AND(E1191&gt;27, E1191&lt;38), "28-37",
AND(E1191&gt;37, E1191 &lt;48), "38-47",
AND(E1191&gt;47, E1191 &lt;58), "48-57",
AND(E1191&gt;57, E1191&lt;68), "58-67",
AND(E1191&gt;67, E1191&lt;78), "68-77",
E1191&gt;77,"Above than 77")</f>
        <v>38-47</v>
      </c>
      <c r="E1191">
        <v>44</v>
      </c>
      <c r="F1191" s="1">
        <v>28670</v>
      </c>
      <c r="G1191" s="1" t="str">
        <f>VLOOKUP(H1191,Table7[#All], 2, FALSE)</f>
        <v>Massachusetts</v>
      </c>
      <c r="H1191" s="2" t="s">
        <v>14</v>
      </c>
      <c r="I1191" s="2" t="s">
        <v>22</v>
      </c>
      <c r="J1191" s="2" t="s">
        <v>17</v>
      </c>
      <c r="K1191" s="2" t="s">
        <v>8</v>
      </c>
      <c r="L1191" s="2" t="s">
        <v>9</v>
      </c>
      <c r="M1191" s="2" t="s">
        <v>20</v>
      </c>
      <c r="N1191" s="2" t="s">
        <v>19</v>
      </c>
      <c r="O1191" s="2" t="s">
        <v>12</v>
      </c>
      <c r="P1191" s="2" t="s">
        <v>35</v>
      </c>
      <c r="Q1191" s="2" t="s">
        <v>46</v>
      </c>
      <c r="R1191" s="2" t="s">
        <v>18</v>
      </c>
      <c r="S1191">
        <v>3</v>
      </c>
    </row>
    <row r="1192" spans="1:19" x14ac:dyDescent="0.3">
      <c r="A1192">
        <v>2433</v>
      </c>
      <c r="B1192">
        <f>YEAR(Cleaned_HR_Data_Analysis__2[[#This Row],[Joining_Date]])</f>
        <v>2020</v>
      </c>
      <c r="C1192" s="1">
        <v>43943</v>
      </c>
      <c r="D1192" s="1" t="str" cm="1">
        <f t="array" ref="D1192">_xlfn.IFS(E1192&lt;28, "17-27",
AND(E1192&gt;27, E1192&lt;38), "28-37",
AND(E1192&gt;37, E1192 &lt;48), "38-47",
AND(E1192&gt;47, E1192 &lt;58), "48-57",
AND(E1192&gt;57, E1192&lt;68), "58-67",
AND(E1192&gt;67, E1192&lt;78), "68-77",
E1192&gt;77,"Above than 77")</f>
        <v>38-47</v>
      </c>
      <c r="E1192">
        <v>44</v>
      </c>
      <c r="F1192" s="1">
        <v>28002</v>
      </c>
      <c r="G1192" s="1" t="str">
        <f>VLOOKUP(H1192,Table7[#All], 2, FALSE)</f>
        <v>Massachusetts</v>
      </c>
      <c r="H1192" s="2" t="s">
        <v>14</v>
      </c>
      <c r="I1192" s="2" t="s">
        <v>22</v>
      </c>
      <c r="J1192" s="2" t="s">
        <v>17</v>
      </c>
      <c r="K1192" s="2" t="s">
        <v>91</v>
      </c>
      <c r="L1192" s="2" t="s">
        <v>9</v>
      </c>
      <c r="M1192" s="2" t="s">
        <v>10</v>
      </c>
      <c r="N1192" s="2" t="s">
        <v>11</v>
      </c>
      <c r="O1192" s="2" t="s">
        <v>12</v>
      </c>
      <c r="P1192" s="2" t="s">
        <v>42</v>
      </c>
      <c r="Q1192" s="2" t="s">
        <v>16</v>
      </c>
      <c r="R1192" s="2" t="s">
        <v>18</v>
      </c>
      <c r="S1192">
        <v>5</v>
      </c>
    </row>
    <row r="1193" spans="1:19" x14ac:dyDescent="0.3">
      <c r="A1193">
        <v>3892</v>
      </c>
      <c r="B1193">
        <f>YEAR(Cleaned_HR_Data_Analysis__2[[#This Row],[Joining_Date]])</f>
        <v>2022</v>
      </c>
      <c r="C1193" s="1">
        <v>44865</v>
      </c>
      <c r="D1193" s="1" t="str" cm="1">
        <f t="array" ref="D1193">_xlfn.IFS(E1193&lt;28, "17-27",
AND(E1193&gt;27, E1193&lt;38), "28-37",
AND(E1193&gt;37, E1193 &lt;48), "38-47",
AND(E1193&gt;47, E1193 &lt;58), "48-57",
AND(E1193&gt;57, E1193&lt;68), "58-67",
AND(E1193&gt;67, E1193&lt;78), "68-77",
E1193&gt;77,"Above than 77")</f>
        <v>38-47</v>
      </c>
      <c r="E1193">
        <v>44</v>
      </c>
      <c r="F1193" s="1">
        <v>28581</v>
      </c>
      <c r="G1193" s="1" t="str">
        <f>VLOOKUP(H1193,Table7[#All], 2, FALSE)</f>
        <v>Massachusetts</v>
      </c>
      <c r="H1193" s="2" t="s">
        <v>14</v>
      </c>
      <c r="I1193" s="2" t="s">
        <v>22</v>
      </c>
      <c r="J1193" s="2" t="s">
        <v>40</v>
      </c>
      <c r="K1193" s="2" t="s">
        <v>71</v>
      </c>
      <c r="L1193" s="2" t="s">
        <v>9</v>
      </c>
      <c r="M1193" s="2" t="s">
        <v>25</v>
      </c>
      <c r="N1193" s="2" t="s">
        <v>19</v>
      </c>
      <c r="O1193" s="2" t="s">
        <v>53</v>
      </c>
      <c r="P1193" s="2" t="s">
        <v>42</v>
      </c>
      <c r="Q1193" s="2" t="s">
        <v>23</v>
      </c>
      <c r="R1193" s="2" t="s">
        <v>18</v>
      </c>
      <c r="S1193">
        <v>4</v>
      </c>
    </row>
    <row r="1194" spans="1:19" x14ac:dyDescent="0.3">
      <c r="A1194">
        <v>3822</v>
      </c>
      <c r="B1194">
        <f>YEAR(Cleaned_HR_Data_Analysis__2[[#This Row],[Joining_Date]])</f>
        <v>2019</v>
      </c>
      <c r="C1194" s="1">
        <v>43732</v>
      </c>
      <c r="D1194" s="1" t="str" cm="1">
        <f t="array" ref="D1194">_xlfn.IFS(E1194&lt;28, "17-27",
AND(E1194&gt;27, E1194&lt;38), "28-37",
AND(E1194&gt;37, E1194 &lt;48), "38-47",
AND(E1194&gt;47, E1194 &lt;58), "48-57",
AND(E1194&gt;57, E1194&lt;68), "58-67",
AND(E1194&gt;67, E1194&lt;78), "68-77",
E1194&gt;77,"Above than 77")</f>
        <v>38-47</v>
      </c>
      <c r="E1194">
        <v>44</v>
      </c>
      <c r="F1194" s="1">
        <v>27655</v>
      </c>
      <c r="G1194" s="1" t="str">
        <f>VLOOKUP(H1194,Table7[#All], 2, FALSE)</f>
        <v>Massachusetts</v>
      </c>
      <c r="H1194" s="2" t="s">
        <v>14</v>
      </c>
      <c r="I1194" s="2" t="s">
        <v>22</v>
      </c>
      <c r="J1194" s="2" t="s">
        <v>40</v>
      </c>
      <c r="K1194" s="2" t="s">
        <v>71</v>
      </c>
      <c r="L1194" s="2" t="s">
        <v>9</v>
      </c>
      <c r="M1194" s="2" t="s">
        <v>25</v>
      </c>
      <c r="N1194" s="2" t="s">
        <v>26</v>
      </c>
      <c r="O1194" s="2" t="s">
        <v>73</v>
      </c>
      <c r="P1194" s="2" t="s">
        <v>32</v>
      </c>
      <c r="Q1194" s="2" t="s">
        <v>23</v>
      </c>
      <c r="R1194" s="2" t="s">
        <v>18</v>
      </c>
      <c r="S1194">
        <v>4</v>
      </c>
    </row>
    <row r="1195" spans="1:19" x14ac:dyDescent="0.3">
      <c r="A1195">
        <v>2251</v>
      </c>
      <c r="B1195">
        <f>YEAR(Cleaned_HR_Data_Analysis__2[[#This Row],[Joining_Date]])</f>
        <v>2022</v>
      </c>
      <c r="C1195" s="1">
        <v>44573</v>
      </c>
      <c r="D1195" s="1" t="str" cm="1">
        <f t="array" ref="D1195">_xlfn.IFS(E1195&lt;28, "17-27",
AND(E1195&gt;27, E1195&lt;38), "28-37",
AND(E1195&gt;37, E1195 &lt;48), "38-47",
AND(E1195&gt;47, E1195 &lt;58), "48-57",
AND(E1195&gt;57, E1195&lt;68), "58-67",
AND(E1195&gt;67, E1195&lt;78), "68-77",
E1195&gt;77,"Above than 77")</f>
        <v>38-47</v>
      </c>
      <c r="E1195">
        <v>44</v>
      </c>
      <c r="F1195" s="1">
        <v>28766</v>
      </c>
      <c r="G1195" s="1" t="str">
        <f>VLOOKUP(H1195,Table7[#All], 2, FALSE)</f>
        <v>Massachusetts</v>
      </c>
      <c r="H1195" s="2" t="s">
        <v>14</v>
      </c>
      <c r="I1195" s="2" t="s">
        <v>15</v>
      </c>
      <c r="J1195" s="2" t="s">
        <v>40</v>
      </c>
      <c r="K1195" s="2" t="s">
        <v>101</v>
      </c>
      <c r="L1195" s="2" t="s">
        <v>9</v>
      </c>
      <c r="M1195" s="2" t="s">
        <v>20</v>
      </c>
      <c r="N1195" s="2" t="s">
        <v>26</v>
      </c>
      <c r="O1195" s="2" t="s">
        <v>53</v>
      </c>
      <c r="P1195" s="2" t="s">
        <v>54</v>
      </c>
      <c r="Q1195" s="2" t="s">
        <v>23</v>
      </c>
      <c r="R1195" s="2" t="s">
        <v>18</v>
      </c>
      <c r="S1195">
        <v>4</v>
      </c>
    </row>
    <row r="1196" spans="1:19" x14ac:dyDescent="0.3">
      <c r="A1196">
        <v>2560</v>
      </c>
      <c r="B1196">
        <f>YEAR(Cleaned_HR_Data_Analysis__2[[#This Row],[Joining_Date]])</f>
        <v>2021</v>
      </c>
      <c r="C1196" s="1">
        <v>44377</v>
      </c>
      <c r="D1196" s="1" t="str" cm="1">
        <f t="array" ref="D1196">_xlfn.IFS(E1196&lt;28, "17-27",
AND(E1196&gt;27, E1196&lt;38), "28-37",
AND(E1196&gt;37, E1196 &lt;48), "38-47",
AND(E1196&gt;47, E1196 &lt;58), "48-57",
AND(E1196&gt;57, E1196&lt;68), "58-67",
AND(E1196&gt;67, E1196&lt;78), "68-77",
E1196&gt;77,"Above than 77")</f>
        <v>38-47</v>
      </c>
      <c r="E1196">
        <v>44</v>
      </c>
      <c r="F1196" s="1">
        <v>28130</v>
      </c>
      <c r="G1196" s="1" t="str">
        <f>VLOOKUP(H1196,Table7[#All], 2, FALSE)</f>
        <v>Massachusetts</v>
      </c>
      <c r="H1196" s="2" t="s">
        <v>14</v>
      </c>
      <c r="I1196" s="2" t="s">
        <v>22</v>
      </c>
      <c r="J1196" s="2" t="s">
        <v>17</v>
      </c>
      <c r="K1196" s="2" t="s">
        <v>102</v>
      </c>
      <c r="L1196" s="2" t="s">
        <v>9</v>
      </c>
      <c r="M1196" s="2" t="s">
        <v>20</v>
      </c>
      <c r="N1196" s="2" t="s">
        <v>19</v>
      </c>
      <c r="O1196" s="2" t="s">
        <v>53</v>
      </c>
      <c r="P1196" s="2" t="s">
        <v>35</v>
      </c>
      <c r="Q1196" s="2" t="s">
        <v>37</v>
      </c>
      <c r="R1196" s="2" t="s">
        <v>18</v>
      </c>
      <c r="S1196">
        <v>1</v>
      </c>
    </row>
    <row r="1197" spans="1:19" x14ac:dyDescent="0.3">
      <c r="A1197">
        <v>2443</v>
      </c>
      <c r="B1197">
        <f>YEAR(Cleaned_HR_Data_Analysis__2[[#This Row],[Joining_Date]])</f>
        <v>2020</v>
      </c>
      <c r="C1197" s="1">
        <v>44039</v>
      </c>
      <c r="D1197" s="1" t="str" cm="1">
        <f t="array" ref="D1197">_xlfn.IFS(E1197&lt;28, "17-27",
AND(E1197&gt;27, E1197&lt;38), "28-37",
AND(E1197&gt;37, E1197 &lt;48), "38-47",
AND(E1197&gt;47, E1197 &lt;58), "48-57",
AND(E1197&gt;57, E1197&lt;68), "58-67",
AND(E1197&gt;67, E1197&lt;78), "68-77",
E1197&gt;77,"Above than 77")</f>
        <v>38-47</v>
      </c>
      <c r="E1197">
        <v>44</v>
      </c>
      <c r="F1197" s="1">
        <v>27847</v>
      </c>
      <c r="G1197" s="1" t="str">
        <f>VLOOKUP(H1197,Table7[#All], 2, FALSE)</f>
        <v>Massachusetts</v>
      </c>
      <c r="H1197" s="2" t="s">
        <v>14</v>
      </c>
      <c r="I1197" s="2" t="s">
        <v>15</v>
      </c>
      <c r="J1197" s="2" t="s">
        <v>17</v>
      </c>
      <c r="K1197" s="2" t="s">
        <v>78</v>
      </c>
      <c r="L1197" s="2" t="s">
        <v>9</v>
      </c>
      <c r="M1197" s="2" t="s">
        <v>20</v>
      </c>
      <c r="N1197" s="2" t="s">
        <v>26</v>
      </c>
      <c r="O1197" s="2" t="s">
        <v>12</v>
      </c>
      <c r="P1197" s="2" t="s">
        <v>59</v>
      </c>
      <c r="Q1197" s="2" t="s">
        <v>16</v>
      </c>
      <c r="R1197" s="2" t="s">
        <v>18</v>
      </c>
      <c r="S1197">
        <v>3</v>
      </c>
    </row>
    <row r="1198" spans="1:19" x14ac:dyDescent="0.3">
      <c r="A1198">
        <v>3435</v>
      </c>
      <c r="B1198">
        <f>YEAR(Cleaned_HR_Data_Analysis__2[[#This Row],[Joining_Date]])</f>
        <v>2018</v>
      </c>
      <c r="C1198" s="1">
        <v>43330</v>
      </c>
      <c r="D1198" s="1" t="str" cm="1">
        <f t="array" ref="D1198">_xlfn.IFS(E1198&lt;28, "17-27",
AND(E1198&gt;27, E1198&lt;38), "28-37",
AND(E1198&gt;37, E1198 &lt;48), "38-47",
AND(E1198&gt;47, E1198 &lt;58), "48-57",
AND(E1198&gt;57, E1198&lt;68), "58-67",
AND(E1198&gt;67, E1198&lt;78), "68-77",
E1198&gt;77,"Above than 77")</f>
        <v>38-47</v>
      </c>
      <c r="E1198">
        <v>44</v>
      </c>
      <c r="F1198" s="1">
        <v>27164</v>
      </c>
      <c r="G1198" s="1" t="str">
        <f>VLOOKUP(H1198,Table7[#All], 2, FALSE)</f>
        <v>Texas</v>
      </c>
      <c r="H1198" s="2" t="s">
        <v>45</v>
      </c>
      <c r="I1198" s="2" t="s">
        <v>22</v>
      </c>
      <c r="J1198" s="2" t="s">
        <v>17</v>
      </c>
      <c r="K1198" s="2" t="s">
        <v>24</v>
      </c>
      <c r="L1198" s="2" t="s">
        <v>9</v>
      </c>
      <c r="M1198" s="2" t="s">
        <v>10</v>
      </c>
      <c r="N1198" s="2" t="s">
        <v>26</v>
      </c>
      <c r="O1198" s="2" t="s">
        <v>27</v>
      </c>
      <c r="P1198" s="2" t="s">
        <v>44</v>
      </c>
      <c r="Q1198" s="2" t="s">
        <v>37</v>
      </c>
      <c r="R1198" s="2" t="s">
        <v>41</v>
      </c>
      <c r="S1198">
        <v>3</v>
      </c>
    </row>
    <row r="1199" spans="1:19" x14ac:dyDescent="0.3">
      <c r="A1199">
        <v>2626</v>
      </c>
      <c r="B1199">
        <f>YEAR(Cleaned_HR_Data_Analysis__2[[#This Row],[Joining_Date]])</f>
        <v>2020</v>
      </c>
      <c r="C1199" s="1">
        <v>43892</v>
      </c>
      <c r="D1199" s="1" t="str" cm="1">
        <f t="array" ref="D1199">_xlfn.IFS(E1199&lt;28, "17-27",
AND(E1199&gt;27, E1199&lt;38), "28-37",
AND(E1199&gt;37, E1199 &lt;48), "38-47",
AND(E1199&gt;47, E1199 &lt;58), "48-57",
AND(E1199&gt;57, E1199&lt;68), "58-67",
AND(E1199&gt;67, E1199&lt;78), "68-77",
E1199&gt;77,"Above than 77")</f>
        <v>38-47</v>
      </c>
      <c r="E1199">
        <v>44</v>
      </c>
      <c r="F1199" s="1">
        <v>28007</v>
      </c>
      <c r="G1199" s="1" t="str">
        <f>VLOOKUP(H1199,Table7[#All], 2, FALSE)</f>
        <v>Tennessee</v>
      </c>
      <c r="H1199" s="2" t="s">
        <v>120</v>
      </c>
      <c r="I1199" s="2" t="s">
        <v>22</v>
      </c>
      <c r="J1199" s="2" t="s">
        <v>17</v>
      </c>
      <c r="K1199" s="2" t="s">
        <v>24</v>
      </c>
      <c r="L1199" s="2" t="s">
        <v>9</v>
      </c>
      <c r="M1199" s="2" t="s">
        <v>25</v>
      </c>
      <c r="N1199" s="2" t="s">
        <v>11</v>
      </c>
      <c r="O1199" s="2" t="s">
        <v>27</v>
      </c>
      <c r="P1199" s="2" t="s">
        <v>54</v>
      </c>
      <c r="Q1199" s="2" t="s">
        <v>46</v>
      </c>
      <c r="R1199" s="2" t="s">
        <v>18</v>
      </c>
      <c r="S1199">
        <v>4</v>
      </c>
    </row>
    <row r="1200" spans="1:19" x14ac:dyDescent="0.3">
      <c r="A1200">
        <v>2682</v>
      </c>
      <c r="B1200">
        <f>YEAR(Cleaned_HR_Data_Analysis__2[[#This Row],[Joining_Date]])</f>
        <v>2020</v>
      </c>
      <c r="C1200" s="1">
        <v>44040</v>
      </c>
      <c r="D1200" s="1" t="str" cm="1">
        <f t="array" ref="D1200">_xlfn.IFS(E1200&lt;28, "17-27",
AND(E1200&gt;27, E1200&lt;38), "28-37",
AND(E1200&gt;37, E1200 &lt;48), "38-47",
AND(E1200&gt;47, E1200 &lt;58), "48-57",
AND(E1200&gt;57, E1200&lt;68), "58-67",
AND(E1200&gt;67, E1200&lt;78), "68-77",
E1200&gt;77,"Above than 77")</f>
        <v>38-47</v>
      </c>
      <c r="E1200">
        <v>44</v>
      </c>
      <c r="F1200" s="1">
        <v>27916</v>
      </c>
      <c r="G1200" s="1" t="str">
        <f>VLOOKUP(H1200,Table7[#All], 2, FALSE)</f>
        <v>New York</v>
      </c>
      <c r="H1200" s="2" t="s">
        <v>118</v>
      </c>
      <c r="I1200" s="2" t="s">
        <v>22</v>
      </c>
      <c r="J1200" s="2" t="s">
        <v>17</v>
      </c>
      <c r="K1200" s="2" t="s">
        <v>24</v>
      </c>
      <c r="L1200" s="2" t="s">
        <v>9</v>
      </c>
      <c r="M1200" s="2" t="s">
        <v>10</v>
      </c>
      <c r="N1200" s="2" t="s">
        <v>19</v>
      </c>
      <c r="O1200" s="2" t="s">
        <v>27</v>
      </c>
      <c r="P1200" s="2" t="s">
        <v>35</v>
      </c>
      <c r="Q1200" s="2" t="s">
        <v>46</v>
      </c>
      <c r="R1200" s="2" t="s">
        <v>18</v>
      </c>
      <c r="S1200">
        <v>2</v>
      </c>
    </row>
    <row r="1201" spans="1:19" x14ac:dyDescent="0.3">
      <c r="A1201">
        <v>3509</v>
      </c>
      <c r="B1201">
        <f>YEAR(Cleaned_HR_Data_Analysis__2[[#This Row],[Joining_Date]])</f>
        <v>2021</v>
      </c>
      <c r="C1201" s="1">
        <v>44300</v>
      </c>
      <c r="D1201" s="1" t="str" cm="1">
        <f t="array" ref="D1201">_xlfn.IFS(E1201&lt;28, "17-27",
AND(E1201&gt;27, E1201&lt;38), "28-37",
AND(E1201&gt;37, E1201 &lt;48), "38-47",
AND(E1201&gt;47, E1201 &lt;58), "48-57",
AND(E1201&gt;57, E1201&lt;68), "58-67",
AND(E1201&gt;67, E1201&lt;78), "68-77",
E1201&gt;77,"Above than 77")</f>
        <v>38-47</v>
      </c>
      <c r="E1201">
        <v>44</v>
      </c>
      <c r="F1201" s="1">
        <v>28433</v>
      </c>
      <c r="G1201" s="1" t="str">
        <f>VLOOKUP(H1201,Table7[#All], 2, FALSE)</f>
        <v>Kentucky</v>
      </c>
      <c r="H1201" s="2" t="s">
        <v>51</v>
      </c>
      <c r="I1201" s="2" t="s">
        <v>15</v>
      </c>
      <c r="J1201" s="2" t="s">
        <v>34</v>
      </c>
      <c r="K1201" s="2" t="s">
        <v>24</v>
      </c>
      <c r="L1201" s="2" t="s">
        <v>9</v>
      </c>
      <c r="M1201" s="2" t="s">
        <v>20</v>
      </c>
      <c r="N1201" s="2" t="s">
        <v>11</v>
      </c>
      <c r="O1201" s="2" t="s">
        <v>27</v>
      </c>
      <c r="P1201" s="2" t="s">
        <v>28</v>
      </c>
      <c r="Q1201" s="2" t="s">
        <v>37</v>
      </c>
      <c r="R1201" s="2" t="s">
        <v>18</v>
      </c>
      <c r="S1201">
        <v>5</v>
      </c>
    </row>
    <row r="1202" spans="1:19" x14ac:dyDescent="0.3">
      <c r="A1202">
        <v>2596</v>
      </c>
      <c r="B1202">
        <f>YEAR(Cleaned_HR_Data_Analysis__2[[#This Row],[Joining_Date]])</f>
        <v>2021</v>
      </c>
      <c r="C1202" s="1">
        <v>44485</v>
      </c>
      <c r="D1202" s="1" t="str" cm="1">
        <f t="array" ref="D1202">_xlfn.IFS(E1202&lt;28, "17-27",
AND(E1202&gt;27, E1202&lt;38), "28-37",
AND(E1202&gt;37, E1202 &lt;48), "38-47",
AND(E1202&gt;47, E1202 &lt;58), "48-57",
AND(E1202&gt;57, E1202&lt;68), "58-67",
AND(E1202&gt;67, E1202&lt;78), "68-77",
E1202&gt;77,"Above than 77")</f>
        <v>38-47</v>
      </c>
      <c r="E1202">
        <v>44</v>
      </c>
      <c r="F1202" s="1">
        <v>28265</v>
      </c>
      <c r="G1202" s="1" t="str">
        <f>VLOOKUP(H1202,Table7[#All], 2, FALSE)</f>
        <v>Idaho</v>
      </c>
      <c r="H1202" s="2" t="s">
        <v>111</v>
      </c>
      <c r="I1202" s="2" t="s">
        <v>22</v>
      </c>
      <c r="J1202" s="2" t="s">
        <v>40</v>
      </c>
      <c r="K1202" s="2" t="s">
        <v>24</v>
      </c>
      <c r="L1202" s="2" t="s">
        <v>9</v>
      </c>
      <c r="M1202" s="2" t="s">
        <v>10</v>
      </c>
      <c r="N1202" s="2" t="s">
        <v>19</v>
      </c>
      <c r="O1202" s="2" t="s">
        <v>27</v>
      </c>
      <c r="P1202" s="2" t="s">
        <v>107</v>
      </c>
      <c r="Q1202" s="2" t="s">
        <v>37</v>
      </c>
      <c r="R1202" s="2" t="s">
        <v>18</v>
      </c>
      <c r="S1202">
        <v>1</v>
      </c>
    </row>
    <row r="1203" spans="1:19" x14ac:dyDescent="0.3">
      <c r="A1203">
        <v>2579</v>
      </c>
      <c r="B1203">
        <f>YEAR(Cleaned_HR_Data_Analysis__2[[#This Row],[Joining_Date]])</f>
        <v>2021</v>
      </c>
      <c r="C1203" s="1">
        <v>44210</v>
      </c>
      <c r="D1203" s="1" t="str" cm="1">
        <f t="array" ref="D1203">_xlfn.IFS(E1203&lt;28, "17-27",
AND(E1203&gt;27, E1203&lt;38), "28-37",
AND(E1203&gt;37, E1203 &lt;48), "38-47",
AND(E1203&gt;47, E1203 &lt;58), "48-57",
AND(E1203&gt;57, E1203&lt;68), "58-67",
AND(E1203&gt;67, E1203&lt;78), "68-77",
E1203&gt;77,"Above than 77")</f>
        <v>38-47</v>
      </c>
      <c r="E1203">
        <v>44</v>
      </c>
      <c r="F1203" s="1">
        <v>28305</v>
      </c>
      <c r="G1203" s="1" t="str">
        <f>VLOOKUP(H1203,Table7[#All], 2, FALSE)</f>
        <v>Arizona</v>
      </c>
      <c r="H1203" s="2" t="s">
        <v>114</v>
      </c>
      <c r="I1203" s="2" t="s">
        <v>15</v>
      </c>
      <c r="J1203" s="2" t="s">
        <v>34</v>
      </c>
      <c r="K1203" s="2" t="s">
        <v>24</v>
      </c>
      <c r="L1203" s="2" t="s">
        <v>9</v>
      </c>
      <c r="M1203" s="2" t="s">
        <v>25</v>
      </c>
      <c r="N1203" s="2" t="s">
        <v>11</v>
      </c>
      <c r="O1203" s="2" t="s">
        <v>27</v>
      </c>
      <c r="P1203" s="2" t="s">
        <v>38</v>
      </c>
      <c r="Q1203" s="2" t="s">
        <v>16</v>
      </c>
      <c r="R1203" s="2" t="s">
        <v>18</v>
      </c>
      <c r="S1203">
        <v>4</v>
      </c>
    </row>
    <row r="1204" spans="1:19" x14ac:dyDescent="0.3">
      <c r="A1204">
        <v>2668</v>
      </c>
      <c r="B1204">
        <f>YEAR(Cleaned_HR_Data_Analysis__2[[#This Row],[Joining_Date]])</f>
        <v>2022</v>
      </c>
      <c r="C1204" s="1">
        <v>44785</v>
      </c>
      <c r="D1204" s="1" t="str" cm="1">
        <f t="array" ref="D1204">_xlfn.IFS(E1204&lt;28, "17-27",
AND(E1204&gt;27, E1204&lt;38), "28-37",
AND(E1204&gt;37, E1204 &lt;48), "38-47",
AND(E1204&gt;47, E1204 &lt;58), "48-57",
AND(E1204&gt;57, E1204&lt;68), "58-67",
AND(E1204&gt;67, E1204&lt;78), "68-77",
E1204&gt;77,"Above than 77")</f>
        <v>38-47</v>
      </c>
      <c r="E1204">
        <v>44</v>
      </c>
      <c r="F1204" s="1">
        <v>28806</v>
      </c>
      <c r="G1204" s="1" t="str">
        <f>VLOOKUP(H1204,Table7[#All], 2, FALSE)</f>
        <v>Massachusetts</v>
      </c>
      <c r="H1204" s="2" t="s">
        <v>14</v>
      </c>
      <c r="I1204" s="2" t="s">
        <v>15</v>
      </c>
      <c r="J1204" s="2" t="s">
        <v>34</v>
      </c>
      <c r="K1204" s="2" t="s">
        <v>95</v>
      </c>
      <c r="L1204" s="2" t="s">
        <v>9</v>
      </c>
      <c r="M1204" s="2" t="s">
        <v>10</v>
      </c>
      <c r="N1204" s="2" t="s">
        <v>11</v>
      </c>
      <c r="O1204" s="2" t="s">
        <v>27</v>
      </c>
      <c r="P1204" s="2" t="s">
        <v>32</v>
      </c>
      <c r="Q1204" s="2" t="s">
        <v>46</v>
      </c>
      <c r="R1204" s="2" t="s">
        <v>18</v>
      </c>
      <c r="S1204">
        <v>4</v>
      </c>
    </row>
    <row r="1205" spans="1:19" x14ac:dyDescent="0.3">
      <c r="A1205">
        <v>1345</v>
      </c>
      <c r="B1205">
        <f>YEAR(Cleaned_HR_Data_Analysis__2[[#This Row],[Joining_Date]])</f>
        <v>2023</v>
      </c>
      <c r="C1205" s="1">
        <v>44953</v>
      </c>
      <c r="D1205" s="1" t="str" cm="1">
        <f t="array" ref="D1205">_xlfn.IFS(E1205&lt;28, "17-27",
AND(E1205&gt;27, E1205&lt;38), "28-37",
AND(E1205&gt;37, E1205 &lt;48), "38-47",
AND(E1205&gt;47, E1205 &lt;58), "48-57",
AND(E1205&gt;57, E1205&lt;68), "58-67",
AND(E1205&gt;67, E1205&lt;78), "68-77",
E1205&gt;77,"Above than 77")</f>
        <v>38-47</v>
      </c>
      <c r="E1205">
        <v>45</v>
      </c>
      <c r="F1205" s="1">
        <v>28623</v>
      </c>
      <c r="G1205" s="1" t="str">
        <f>VLOOKUP(H1205,Table7[#All], 2, FALSE)</f>
        <v>Massachusetts</v>
      </c>
      <c r="H1205" s="2" t="s">
        <v>14</v>
      </c>
      <c r="I1205" s="2" t="s">
        <v>22</v>
      </c>
      <c r="J1205" s="2" t="s">
        <v>31</v>
      </c>
      <c r="K1205" s="2" t="s">
        <v>72</v>
      </c>
      <c r="L1205" s="2" t="s">
        <v>9</v>
      </c>
      <c r="M1205" s="2" t="s">
        <v>25</v>
      </c>
      <c r="N1205" s="2" t="s">
        <v>19</v>
      </c>
      <c r="O1205" s="2" t="s">
        <v>90</v>
      </c>
      <c r="P1205" s="2" t="s">
        <v>55</v>
      </c>
      <c r="Q1205" s="2" t="s">
        <v>30</v>
      </c>
      <c r="R1205" s="2" t="s">
        <v>18</v>
      </c>
      <c r="S1205">
        <v>4</v>
      </c>
    </row>
    <row r="1206" spans="1:19" x14ac:dyDescent="0.3">
      <c r="A1206">
        <v>1328</v>
      </c>
      <c r="B1206">
        <f>YEAR(Cleaned_HR_Data_Analysis__2[[#This Row],[Joining_Date]])</f>
        <v>2020</v>
      </c>
      <c r="C1206" s="1">
        <v>43890</v>
      </c>
      <c r="D1206" s="1" t="str" cm="1">
        <f t="array" ref="D1206">_xlfn.IFS(E1206&lt;28, "17-27",
AND(E1206&gt;27, E1206&lt;38), "28-37",
AND(E1206&gt;37, E1206 &lt;48), "38-47",
AND(E1206&gt;47, E1206 &lt;58), "48-57",
AND(E1206&gt;57, E1206&lt;68), "58-67",
AND(E1206&gt;67, E1206&lt;78), "68-77",
E1206&gt;77,"Above than 77")</f>
        <v>38-47</v>
      </c>
      <c r="E1206">
        <v>45</v>
      </c>
      <c r="F1206" s="1">
        <v>27752</v>
      </c>
      <c r="G1206" s="1" t="str">
        <f>VLOOKUP(H1206,Table7[#All], 2, FALSE)</f>
        <v>Massachusetts</v>
      </c>
      <c r="H1206" s="2" t="s">
        <v>14</v>
      </c>
      <c r="I1206" s="2" t="s">
        <v>22</v>
      </c>
      <c r="J1206" s="2" t="s">
        <v>31</v>
      </c>
      <c r="K1206" s="2" t="s">
        <v>72</v>
      </c>
      <c r="L1206" s="2" t="s">
        <v>9</v>
      </c>
      <c r="M1206" s="2" t="s">
        <v>20</v>
      </c>
      <c r="N1206" s="2" t="s">
        <v>11</v>
      </c>
      <c r="O1206" s="2" t="s">
        <v>53</v>
      </c>
      <c r="P1206" s="2" t="s">
        <v>44</v>
      </c>
      <c r="Q1206" s="2" t="s">
        <v>46</v>
      </c>
      <c r="R1206" s="2" t="s">
        <v>18</v>
      </c>
      <c r="S1206">
        <v>4</v>
      </c>
    </row>
    <row r="1207" spans="1:19" x14ac:dyDescent="0.3">
      <c r="A1207">
        <v>1082</v>
      </c>
      <c r="B1207">
        <f>YEAR(Cleaned_HR_Data_Analysis__2[[#This Row],[Joining_Date]])</f>
        <v>2021</v>
      </c>
      <c r="C1207" s="1">
        <v>44441</v>
      </c>
      <c r="D1207" s="1" t="str" cm="1">
        <f t="array" ref="D1207">_xlfn.IFS(E1207&lt;28, "17-27",
AND(E1207&gt;27, E1207&lt;38), "28-37",
AND(E1207&gt;37, E1207 &lt;48), "38-47",
AND(E1207&gt;47, E1207 &lt;58), "48-57",
AND(E1207&gt;57, E1207&lt;68), "58-67",
AND(E1207&gt;67, E1207&lt;78), "68-77",
E1207&gt;77,"Above than 77")</f>
        <v>38-47</v>
      </c>
      <c r="E1207">
        <v>45</v>
      </c>
      <c r="F1207" s="1">
        <v>27822</v>
      </c>
      <c r="G1207" s="1" t="str">
        <f>VLOOKUP(H1207,Table7[#All], 2, FALSE)</f>
        <v>Massachusetts</v>
      </c>
      <c r="H1207" s="2" t="s">
        <v>14</v>
      </c>
      <c r="I1207" s="2" t="s">
        <v>22</v>
      </c>
      <c r="J1207" s="2" t="s">
        <v>34</v>
      </c>
      <c r="K1207" s="2" t="s">
        <v>86</v>
      </c>
      <c r="L1207" s="2" t="s">
        <v>9</v>
      </c>
      <c r="M1207" s="2" t="s">
        <v>20</v>
      </c>
      <c r="N1207" s="2" t="s">
        <v>26</v>
      </c>
      <c r="O1207" s="2" t="s">
        <v>87</v>
      </c>
      <c r="P1207" s="2" t="s">
        <v>32</v>
      </c>
      <c r="Q1207" s="2" t="s">
        <v>30</v>
      </c>
      <c r="R1207" s="2" t="s">
        <v>18</v>
      </c>
      <c r="S1207">
        <v>4</v>
      </c>
    </row>
    <row r="1208" spans="1:19" x14ac:dyDescent="0.3">
      <c r="A1208">
        <v>1625</v>
      </c>
      <c r="B1208">
        <f>YEAR(Cleaned_HR_Data_Analysis__2[[#This Row],[Joining_Date]])</f>
        <v>2022</v>
      </c>
      <c r="C1208" s="1">
        <v>44717</v>
      </c>
      <c r="D1208" s="1" t="str" cm="1">
        <f t="array" ref="D1208">_xlfn.IFS(E1208&lt;28, "17-27",
AND(E1208&gt;27, E1208&lt;38), "28-37",
AND(E1208&gt;37, E1208 &lt;48), "38-47",
AND(E1208&gt;47, E1208 &lt;58), "48-57",
AND(E1208&gt;57, E1208&lt;68), "58-67",
AND(E1208&gt;67, E1208&lt;78), "68-77",
E1208&gt;77,"Above than 77")</f>
        <v>38-47</v>
      </c>
      <c r="E1208">
        <v>45</v>
      </c>
      <c r="F1208" s="1">
        <v>28384</v>
      </c>
      <c r="G1208" s="1" t="str">
        <f>VLOOKUP(H1208,Table7[#All], 2, FALSE)</f>
        <v>Massachusetts</v>
      </c>
      <c r="H1208" s="2" t="s">
        <v>14</v>
      </c>
      <c r="I1208" s="2" t="s">
        <v>22</v>
      </c>
      <c r="J1208" s="2" t="s">
        <v>31</v>
      </c>
      <c r="K1208" s="2" t="s">
        <v>89</v>
      </c>
      <c r="L1208" s="2" t="s">
        <v>9</v>
      </c>
      <c r="M1208" s="2" t="s">
        <v>20</v>
      </c>
      <c r="N1208" s="2" t="s">
        <v>26</v>
      </c>
      <c r="O1208" s="2" t="s">
        <v>53</v>
      </c>
      <c r="P1208" s="2" t="s">
        <v>58</v>
      </c>
      <c r="Q1208" s="2" t="s">
        <v>30</v>
      </c>
      <c r="R1208" s="2" t="s">
        <v>41</v>
      </c>
      <c r="S1208">
        <v>2</v>
      </c>
    </row>
    <row r="1209" spans="1:19" x14ac:dyDescent="0.3">
      <c r="A1209">
        <v>3785</v>
      </c>
      <c r="B1209">
        <f>YEAR(Cleaned_HR_Data_Analysis__2[[#This Row],[Joining_Date]])</f>
        <v>2022</v>
      </c>
      <c r="C1209" s="1">
        <v>44579</v>
      </c>
      <c r="D1209" s="1" t="str" cm="1">
        <f t="array" ref="D1209">_xlfn.IFS(E1209&lt;28, "17-27",
AND(E1209&gt;27, E1209&lt;38), "28-37",
AND(E1209&gt;37, E1209 &lt;48), "38-47",
AND(E1209&gt;47, E1209 &lt;58), "48-57",
AND(E1209&gt;57, E1209&lt;68), "58-67",
AND(E1209&gt;67, E1209&lt;78), "68-77",
E1209&gt;77,"Above than 77")</f>
        <v>38-47</v>
      </c>
      <c r="E1209">
        <v>45</v>
      </c>
      <c r="F1209" s="1">
        <v>28418</v>
      </c>
      <c r="G1209" s="1" t="str">
        <f>VLOOKUP(H1209,Table7[#All], 2, FALSE)</f>
        <v>Massachusetts</v>
      </c>
      <c r="H1209" s="2" t="s">
        <v>14</v>
      </c>
      <c r="I1209" s="2" t="s">
        <v>15</v>
      </c>
      <c r="J1209" s="2" t="s">
        <v>40</v>
      </c>
      <c r="K1209" s="2" t="s">
        <v>64</v>
      </c>
      <c r="L1209" s="2" t="s">
        <v>9</v>
      </c>
      <c r="M1209" s="2" t="s">
        <v>10</v>
      </c>
      <c r="N1209" s="2" t="s">
        <v>11</v>
      </c>
      <c r="O1209" s="2" t="s">
        <v>12</v>
      </c>
      <c r="P1209" s="2" t="s">
        <v>54</v>
      </c>
      <c r="Q1209" s="2" t="s">
        <v>37</v>
      </c>
      <c r="R1209" s="2" t="s">
        <v>18</v>
      </c>
      <c r="S1209">
        <v>2</v>
      </c>
    </row>
    <row r="1210" spans="1:19" x14ac:dyDescent="0.3">
      <c r="A1210">
        <v>3570</v>
      </c>
      <c r="B1210">
        <f>YEAR(Cleaned_HR_Data_Analysis__2[[#This Row],[Joining_Date]])</f>
        <v>2019</v>
      </c>
      <c r="C1210" s="1">
        <v>43574</v>
      </c>
      <c r="D1210" s="1" t="str" cm="1">
        <f t="array" ref="D1210">_xlfn.IFS(E1210&lt;28, "17-27",
AND(E1210&gt;27, E1210&lt;38), "28-37",
AND(E1210&gt;37, E1210 &lt;48), "38-47",
AND(E1210&gt;47, E1210 &lt;58), "48-57",
AND(E1210&gt;57, E1210&lt;68), "58-67",
AND(E1210&gt;67, E1210&lt;78), "68-77",
E1210&gt;77,"Above than 77")</f>
        <v>38-47</v>
      </c>
      <c r="E1210">
        <v>45</v>
      </c>
      <c r="F1210" s="1">
        <v>27356</v>
      </c>
      <c r="G1210" s="1" t="str">
        <f>VLOOKUP(H1210,Table7[#All], 2, FALSE)</f>
        <v>Massachusetts</v>
      </c>
      <c r="H1210" s="2" t="s">
        <v>14</v>
      </c>
      <c r="I1210" s="2" t="s">
        <v>15</v>
      </c>
      <c r="J1210" s="2" t="s">
        <v>34</v>
      </c>
      <c r="K1210" s="2" t="s">
        <v>64</v>
      </c>
      <c r="L1210" s="2" t="s">
        <v>66</v>
      </c>
      <c r="M1210" s="2" t="s">
        <v>25</v>
      </c>
      <c r="N1210" s="2" t="s">
        <v>26</v>
      </c>
      <c r="O1210" s="2" t="s">
        <v>12</v>
      </c>
      <c r="P1210" s="2" t="s">
        <v>55</v>
      </c>
      <c r="Q1210" s="2" t="s">
        <v>46</v>
      </c>
      <c r="R1210" s="2" t="s">
        <v>18</v>
      </c>
      <c r="S1210">
        <v>5</v>
      </c>
    </row>
    <row r="1211" spans="1:19" x14ac:dyDescent="0.3">
      <c r="A1211">
        <v>3096</v>
      </c>
      <c r="B1211">
        <f>YEAR(Cleaned_HR_Data_Analysis__2[[#This Row],[Joining_Date]])</f>
        <v>2019</v>
      </c>
      <c r="C1211" s="1">
        <v>43731</v>
      </c>
      <c r="D1211" s="1" t="str" cm="1">
        <f t="array" ref="D1211">_xlfn.IFS(E1211&lt;28, "17-27",
AND(E1211&gt;27, E1211&lt;38), "28-37",
AND(E1211&gt;37, E1211 &lt;48), "38-47",
AND(E1211&gt;47, E1211 &lt;58), "48-57",
AND(E1211&gt;57, E1211&lt;68), "58-67",
AND(E1211&gt;67, E1211&lt;78), "68-77",
E1211&gt;77,"Above than 77")</f>
        <v>38-47</v>
      </c>
      <c r="E1211">
        <v>45</v>
      </c>
      <c r="F1211" s="1">
        <v>27279</v>
      </c>
      <c r="G1211" s="1" t="str">
        <f>VLOOKUP(H1211,Table7[#All], 2, FALSE)</f>
        <v>Massachusetts</v>
      </c>
      <c r="H1211" s="2" t="s">
        <v>14</v>
      </c>
      <c r="I1211" s="2" t="s">
        <v>15</v>
      </c>
      <c r="J1211" s="2" t="s">
        <v>31</v>
      </c>
      <c r="K1211" s="2" t="s">
        <v>64</v>
      </c>
      <c r="L1211" s="2" t="s">
        <v>66</v>
      </c>
      <c r="M1211" s="2" t="s">
        <v>10</v>
      </c>
      <c r="N1211" s="2" t="s">
        <v>26</v>
      </c>
      <c r="O1211" s="2" t="s">
        <v>12</v>
      </c>
      <c r="P1211" s="2" t="s">
        <v>42</v>
      </c>
      <c r="Q1211" s="2" t="s">
        <v>23</v>
      </c>
      <c r="R1211" s="2" t="s">
        <v>18</v>
      </c>
      <c r="S1211">
        <v>3</v>
      </c>
    </row>
    <row r="1212" spans="1:19" x14ac:dyDescent="0.3">
      <c r="A1212">
        <v>3048</v>
      </c>
      <c r="B1212">
        <f>YEAR(Cleaned_HR_Data_Analysis__2[[#This Row],[Joining_Date]])</f>
        <v>2023</v>
      </c>
      <c r="C1212" s="1">
        <v>45122</v>
      </c>
      <c r="D1212" s="1" t="str" cm="1">
        <f t="array" ref="D1212">_xlfn.IFS(E1212&lt;28, "17-27",
AND(E1212&gt;27, E1212&lt;38), "28-37",
AND(E1212&gt;37, E1212 &lt;48), "38-47",
AND(E1212&gt;47, E1212 &lt;58), "48-57",
AND(E1212&gt;57, E1212&lt;68), "58-67",
AND(E1212&gt;67, E1212&lt;78), "68-77",
E1212&gt;77,"Above than 77")</f>
        <v>38-47</v>
      </c>
      <c r="E1212">
        <v>45</v>
      </c>
      <c r="F1212" s="1">
        <v>28562</v>
      </c>
      <c r="G1212" s="1" t="str">
        <f>VLOOKUP(H1212,Table7[#All], 2, FALSE)</f>
        <v>Massachusetts</v>
      </c>
      <c r="H1212" s="2" t="s">
        <v>14</v>
      </c>
      <c r="I1212" s="2" t="s">
        <v>15</v>
      </c>
      <c r="J1212" s="2" t="s">
        <v>34</v>
      </c>
      <c r="K1212" s="2" t="s">
        <v>64</v>
      </c>
      <c r="L1212" s="2" t="s">
        <v>9</v>
      </c>
      <c r="M1212" s="2" t="s">
        <v>10</v>
      </c>
      <c r="N1212" s="2" t="s">
        <v>26</v>
      </c>
      <c r="O1212" s="2" t="s">
        <v>12</v>
      </c>
      <c r="P1212" s="2" t="s">
        <v>92</v>
      </c>
      <c r="Q1212" s="2" t="s">
        <v>16</v>
      </c>
      <c r="R1212" s="2" t="s">
        <v>18</v>
      </c>
      <c r="S1212">
        <v>2</v>
      </c>
    </row>
    <row r="1213" spans="1:19" x14ac:dyDescent="0.3">
      <c r="A1213">
        <v>2984</v>
      </c>
      <c r="B1213">
        <f>YEAR(Cleaned_HR_Data_Analysis__2[[#This Row],[Joining_Date]])</f>
        <v>2020</v>
      </c>
      <c r="C1213" s="1">
        <v>43918</v>
      </c>
      <c r="D1213" s="1" t="str" cm="1">
        <f t="array" ref="D1213">_xlfn.IFS(E1213&lt;28, "17-27",
AND(E1213&gt;27, E1213&lt;38), "28-37",
AND(E1213&gt;37, E1213 &lt;48), "38-47",
AND(E1213&gt;47, E1213 &lt;58), "48-57",
AND(E1213&gt;57, E1213&lt;68), "58-67",
AND(E1213&gt;67, E1213&lt;78), "68-77",
E1213&gt;77,"Above than 77")</f>
        <v>38-47</v>
      </c>
      <c r="E1213">
        <v>45</v>
      </c>
      <c r="F1213" s="1">
        <v>27487</v>
      </c>
      <c r="G1213" s="1" t="str">
        <f>VLOOKUP(H1213,Table7[#All], 2, FALSE)</f>
        <v>Massachusetts</v>
      </c>
      <c r="H1213" s="2" t="s">
        <v>14</v>
      </c>
      <c r="I1213" s="2" t="s">
        <v>15</v>
      </c>
      <c r="J1213" s="2" t="s">
        <v>40</v>
      </c>
      <c r="K1213" s="2" t="s">
        <v>64</v>
      </c>
      <c r="L1213" s="2" t="s">
        <v>9</v>
      </c>
      <c r="M1213" s="2" t="s">
        <v>10</v>
      </c>
      <c r="N1213" s="2" t="s">
        <v>26</v>
      </c>
      <c r="O1213" s="2" t="s">
        <v>12</v>
      </c>
      <c r="P1213" s="2" t="s">
        <v>42</v>
      </c>
      <c r="Q1213" s="2" t="s">
        <v>37</v>
      </c>
      <c r="R1213" s="2" t="s">
        <v>18</v>
      </c>
      <c r="S1213">
        <v>1</v>
      </c>
    </row>
    <row r="1214" spans="1:19" x14ac:dyDescent="0.3">
      <c r="A1214">
        <v>2045</v>
      </c>
      <c r="B1214">
        <f>YEAR(Cleaned_HR_Data_Analysis__2[[#This Row],[Joining_Date]])</f>
        <v>2021</v>
      </c>
      <c r="C1214" s="1">
        <v>44460</v>
      </c>
      <c r="D1214" s="1" t="str" cm="1">
        <f t="array" ref="D1214">_xlfn.IFS(E1214&lt;28, "17-27",
AND(E1214&gt;27, E1214&lt;38), "28-37",
AND(E1214&gt;37, E1214 &lt;48), "38-47",
AND(E1214&gt;47, E1214 &lt;58), "48-57",
AND(E1214&gt;57, E1214&lt;68), "58-67",
AND(E1214&gt;67, E1214&lt;78), "68-77",
E1214&gt;77,"Above than 77")</f>
        <v>38-47</v>
      </c>
      <c r="E1214">
        <v>45</v>
      </c>
      <c r="F1214" s="1">
        <v>28083</v>
      </c>
      <c r="G1214" s="1" t="str">
        <f>VLOOKUP(H1214,Table7[#All], 2, FALSE)</f>
        <v>Massachusetts</v>
      </c>
      <c r="H1214" s="2" t="s">
        <v>14</v>
      </c>
      <c r="I1214" s="2" t="s">
        <v>15</v>
      </c>
      <c r="J1214" s="2" t="s">
        <v>40</v>
      </c>
      <c r="K1214" s="2" t="s">
        <v>64</v>
      </c>
      <c r="L1214" s="2" t="s">
        <v>9</v>
      </c>
      <c r="M1214" s="2" t="s">
        <v>20</v>
      </c>
      <c r="N1214" s="2" t="s">
        <v>19</v>
      </c>
      <c r="O1214" s="2" t="s">
        <v>12</v>
      </c>
      <c r="P1214" s="2" t="s">
        <v>55</v>
      </c>
      <c r="Q1214" s="2" t="s">
        <v>30</v>
      </c>
      <c r="R1214" s="2" t="s">
        <v>18</v>
      </c>
      <c r="S1214">
        <v>1</v>
      </c>
    </row>
    <row r="1215" spans="1:19" x14ac:dyDescent="0.3">
      <c r="A1215">
        <v>2019</v>
      </c>
      <c r="B1215">
        <f>YEAR(Cleaned_HR_Data_Analysis__2[[#This Row],[Joining_Date]])</f>
        <v>2022</v>
      </c>
      <c r="C1215" s="1">
        <v>44646</v>
      </c>
      <c r="D1215" s="1" t="str" cm="1">
        <f t="array" ref="D1215">_xlfn.IFS(E1215&lt;28, "17-27",
AND(E1215&gt;27, E1215&lt;38), "28-37",
AND(E1215&gt;37, E1215 &lt;48), "38-47",
AND(E1215&gt;47, E1215 &lt;58), "48-57",
AND(E1215&gt;57, E1215&lt;68), "58-67",
AND(E1215&gt;67, E1215&lt;78), "68-77",
E1215&gt;77,"Above than 77")</f>
        <v>38-47</v>
      </c>
      <c r="E1215">
        <v>45</v>
      </c>
      <c r="F1215" s="1">
        <v>28133</v>
      </c>
      <c r="G1215" s="1" t="str">
        <f>VLOOKUP(H1215,Table7[#All], 2, FALSE)</f>
        <v>Massachusetts</v>
      </c>
      <c r="H1215" s="2" t="s">
        <v>14</v>
      </c>
      <c r="I1215" s="2" t="s">
        <v>15</v>
      </c>
      <c r="J1215" s="2" t="s">
        <v>17</v>
      </c>
      <c r="K1215" s="2" t="s">
        <v>64</v>
      </c>
      <c r="L1215" s="2" t="s">
        <v>9</v>
      </c>
      <c r="M1215" s="2" t="s">
        <v>25</v>
      </c>
      <c r="N1215" s="2" t="s">
        <v>11</v>
      </c>
      <c r="O1215" s="2" t="s">
        <v>12</v>
      </c>
      <c r="P1215" s="2" t="s">
        <v>35</v>
      </c>
      <c r="Q1215" s="2" t="s">
        <v>16</v>
      </c>
      <c r="R1215" s="2" t="s">
        <v>18</v>
      </c>
      <c r="S1215">
        <v>1</v>
      </c>
    </row>
    <row r="1216" spans="1:19" x14ac:dyDescent="0.3">
      <c r="A1216">
        <v>1935</v>
      </c>
      <c r="B1216">
        <f>YEAR(Cleaned_HR_Data_Analysis__2[[#This Row],[Joining_Date]])</f>
        <v>2019</v>
      </c>
      <c r="C1216" s="1">
        <v>43468</v>
      </c>
      <c r="D1216" s="1" t="str" cm="1">
        <f t="array" ref="D1216">_xlfn.IFS(E1216&lt;28, "17-27",
AND(E1216&gt;27, E1216&lt;38), "28-37",
AND(E1216&gt;37, E1216 &lt;48), "38-47",
AND(E1216&gt;47, E1216 &lt;58), "48-57",
AND(E1216&gt;57, E1216&lt;68), "58-67",
AND(E1216&gt;67, E1216&lt;78), "68-77",
E1216&gt;77,"Above than 77")</f>
        <v>38-47</v>
      </c>
      <c r="E1216">
        <v>45</v>
      </c>
      <c r="F1216" s="1">
        <v>27364</v>
      </c>
      <c r="G1216" s="1" t="str">
        <f>VLOOKUP(H1216,Table7[#All], 2, FALSE)</f>
        <v>Massachusetts</v>
      </c>
      <c r="H1216" s="2" t="s">
        <v>14</v>
      </c>
      <c r="I1216" s="2" t="s">
        <v>22</v>
      </c>
      <c r="J1216" s="2" t="s">
        <v>40</v>
      </c>
      <c r="K1216" s="2" t="s">
        <v>64</v>
      </c>
      <c r="L1216" s="2" t="s">
        <v>9</v>
      </c>
      <c r="M1216" s="2" t="s">
        <v>20</v>
      </c>
      <c r="N1216" s="2" t="s">
        <v>19</v>
      </c>
      <c r="O1216" s="2" t="s">
        <v>27</v>
      </c>
      <c r="P1216" s="2" t="s">
        <v>63</v>
      </c>
      <c r="Q1216" s="2" t="s">
        <v>23</v>
      </c>
      <c r="R1216" s="2" t="s">
        <v>18</v>
      </c>
      <c r="S1216">
        <v>1</v>
      </c>
    </row>
    <row r="1217" spans="1:19" x14ac:dyDescent="0.3">
      <c r="A1217">
        <v>1454</v>
      </c>
      <c r="B1217">
        <f>YEAR(Cleaned_HR_Data_Analysis__2[[#This Row],[Joining_Date]])</f>
        <v>2022</v>
      </c>
      <c r="C1217" s="1">
        <v>44918</v>
      </c>
      <c r="D1217" s="1" t="str" cm="1">
        <f t="array" ref="D1217">_xlfn.IFS(E1217&lt;28, "17-27",
AND(E1217&gt;27, E1217&lt;38), "28-37",
AND(E1217&gt;37, E1217 &lt;48), "38-47",
AND(E1217&gt;47, E1217 &lt;58), "48-57",
AND(E1217&gt;57, E1217&lt;68), "58-67",
AND(E1217&gt;67, E1217&lt;78), "68-77",
E1217&gt;77,"Above than 77")</f>
        <v>38-47</v>
      </c>
      <c r="E1217">
        <v>45</v>
      </c>
      <c r="F1217" s="1">
        <v>28196</v>
      </c>
      <c r="G1217" s="1" t="str">
        <f>VLOOKUP(H1217,Table7[#All], 2, FALSE)</f>
        <v>Massachusetts</v>
      </c>
      <c r="H1217" s="2" t="s">
        <v>14</v>
      </c>
      <c r="I1217" s="2" t="s">
        <v>22</v>
      </c>
      <c r="J1217" s="2" t="s">
        <v>34</v>
      </c>
      <c r="K1217" s="2" t="s">
        <v>64</v>
      </c>
      <c r="L1217" s="2" t="s">
        <v>66</v>
      </c>
      <c r="M1217" s="2" t="s">
        <v>25</v>
      </c>
      <c r="N1217" s="2" t="s">
        <v>11</v>
      </c>
      <c r="O1217" s="2" t="s">
        <v>12</v>
      </c>
      <c r="P1217" s="2" t="s">
        <v>32</v>
      </c>
      <c r="Q1217" s="2" t="s">
        <v>23</v>
      </c>
      <c r="R1217" s="2" t="s">
        <v>56</v>
      </c>
      <c r="S1217">
        <v>2</v>
      </c>
    </row>
    <row r="1218" spans="1:19" x14ac:dyDescent="0.3">
      <c r="A1218">
        <v>1258</v>
      </c>
      <c r="B1218">
        <f>YEAR(Cleaned_HR_Data_Analysis__2[[#This Row],[Joining_Date]])</f>
        <v>2022</v>
      </c>
      <c r="C1218" s="1">
        <v>44741</v>
      </c>
      <c r="D1218" s="1" t="str" cm="1">
        <f t="array" ref="D1218">_xlfn.IFS(E1218&lt;28, "17-27",
AND(E1218&gt;27, E1218&lt;38), "28-37",
AND(E1218&gt;37, E1218 &lt;48), "38-47",
AND(E1218&gt;47, E1218 &lt;58), "48-57",
AND(E1218&gt;57, E1218&lt;68), "58-67",
AND(E1218&gt;67, E1218&lt;78), "68-77",
E1218&gt;77,"Above than 77")</f>
        <v>38-47</v>
      </c>
      <c r="E1218">
        <v>45</v>
      </c>
      <c r="F1218" s="1">
        <v>28414</v>
      </c>
      <c r="G1218" s="1" t="str">
        <f>VLOOKUP(H1218,Table7[#All], 2, FALSE)</f>
        <v>Massachusetts</v>
      </c>
      <c r="H1218" s="2" t="s">
        <v>14</v>
      </c>
      <c r="I1218" s="2" t="s">
        <v>15</v>
      </c>
      <c r="J1218" s="2" t="s">
        <v>17</v>
      </c>
      <c r="K1218" s="2" t="s">
        <v>64</v>
      </c>
      <c r="L1218" s="2" t="s">
        <v>9</v>
      </c>
      <c r="M1218" s="2" t="s">
        <v>25</v>
      </c>
      <c r="N1218" s="2" t="s">
        <v>11</v>
      </c>
      <c r="O1218" s="2" t="s">
        <v>12</v>
      </c>
      <c r="P1218" s="2" t="s">
        <v>21</v>
      </c>
      <c r="Q1218" s="2" t="s">
        <v>30</v>
      </c>
      <c r="R1218" s="2" t="s">
        <v>18</v>
      </c>
      <c r="S1218">
        <v>5</v>
      </c>
    </row>
    <row r="1219" spans="1:19" x14ac:dyDescent="0.3">
      <c r="A1219">
        <v>3797</v>
      </c>
      <c r="B1219">
        <f>YEAR(Cleaned_HR_Data_Analysis__2[[#This Row],[Joining_Date]])</f>
        <v>2020</v>
      </c>
      <c r="C1219" s="1">
        <v>43966</v>
      </c>
      <c r="D1219" s="1" t="str" cm="1">
        <f t="array" ref="D1219">_xlfn.IFS(E1219&lt;28, "17-27",
AND(E1219&gt;27, E1219&lt;38), "28-37",
AND(E1219&gt;37, E1219 &lt;48), "38-47",
AND(E1219&gt;47, E1219 &lt;58), "48-57",
AND(E1219&gt;57, E1219&lt;68), "58-67",
AND(E1219&gt;67, E1219&lt;78), "68-77",
E1219&gt;77,"Above than 77")</f>
        <v>38-47</v>
      </c>
      <c r="E1219">
        <v>45</v>
      </c>
      <c r="F1219" s="1">
        <v>27571</v>
      </c>
      <c r="G1219" s="1" t="str">
        <f>VLOOKUP(H1219,Table7[#All], 2, FALSE)</f>
        <v>Massachusetts</v>
      </c>
      <c r="H1219" s="2" t="s">
        <v>14</v>
      </c>
      <c r="I1219" s="2" t="s">
        <v>15</v>
      </c>
      <c r="J1219" s="2" t="s">
        <v>34</v>
      </c>
      <c r="K1219" s="2" t="s">
        <v>8</v>
      </c>
      <c r="L1219" s="2" t="s">
        <v>9</v>
      </c>
      <c r="M1219" s="2" t="s">
        <v>10</v>
      </c>
      <c r="N1219" s="2" t="s">
        <v>19</v>
      </c>
      <c r="O1219" s="2" t="s">
        <v>12</v>
      </c>
      <c r="P1219" s="2" t="s">
        <v>60</v>
      </c>
      <c r="Q1219" s="2" t="s">
        <v>37</v>
      </c>
      <c r="R1219" s="2" t="s">
        <v>18</v>
      </c>
      <c r="S1219">
        <v>4</v>
      </c>
    </row>
    <row r="1220" spans="1:19" x14ac:dyDescent="0.3">
      <c r="A1220">
        <v>3715</v>
      </c>
      <c r="B1220">
        <f>YEAR(Cleaned_HR_Data_Analysis__2[[#This Row],[Joining_Date]])</f>
        <v>2021</v>
      </c>
      <c r="C1220" s="1">
        <v>44451</v>
      </c>
      <c r="D1220" s="1" t="str" cm="1">
        <f t="array" ref="D1220">_xlfn.IFS(E1220&lt;28, "17-27",
AND(E1220&gt;27, E1220&lt;38), "28-37",
AND(E1220&gt;37, E1220 &lt;48), "38-47",
AND(E1220&gt;47, E1220 &lt;58), "48-57",
AND(E1220&gt;57, E1220&lt;68), "58-67",
AND(E1220&gt;67, E1220&lt;78), "68-77",
E1220&gt;77,"Above than 77")</f>
        <v>38-47</v>
      </c>
      <c r="E1220">
        <v>45</v>
      </c>
      <c r="F1220" s="1">
        <v>27824</v>
      </c>
      <c r="G1220" s="1" t="str">
        <f>VLOOKUP(H1220,Table7[#All], 2, FALSE)</f>
        <v>Massachusetts</v>
      </c>
      <c r="H1220" s="2" t="s">
        <v>14</v>
      </c>
      <c r="I1220" s="2" t="s">
        <v>22</v>
      </c>
      <c r="J1220" s="2" t="s">
        <v>17</v>
      </c>
      <c r="K1220" s="2" t="s">
        <v>8</v>
      </c>
      <c r="L1220" s="2" t="s">
        <v>9</v>
      </c>
      <c r="M1220" s="2" t="s">
        <v>10</v>
      </c>
      <c r="N1220" s="2" t="s">
        <v>19</v>
      </c>
      <c r="O1220" s="2" t="s">
        <v>12</v>
      </c>
      <c r="P1220" s="2" t="s">
        <v>54</v>
      </c>
      <c r="Q1220" s="2" t="s">
        <v>37</v>
      </c>
      <c r="R1220" s="2" t="s">
        <v>18</v>
      </c>
      <c r="S1220">
        <v>1</v>
      </c>
    </row>
    <row r="1221" spans="1:19" x14ac:dyDescent="0.3">
      <c r="A1221">
        <v>3706</v>
      </c>
      <c r="B1221">
        <f>YEAR(Cleaned_HR_Data_Analysis__2[[#This Row],[Joining_Date]])</f>
        <v>2019</v>
      </c>
      <c r="C1221" s="1">
        <v>43731</v>
      </c>
      <c r="D1221" s="1" t="str" cm="1">
        <f t="array" ref="D1221">_xlfn.IFS(E1221&lt;28, "17-27",
AND(E1221&gt;27, E1221&lt;38), "28-37",
AND(E1221&gt;37, E1221 &lt;48), "38-47",
AND(E1221&gt;47, E1221 &lt;58), "48-57",
AND(E1221&gt;57, E1221&lt;68), "58-67",
AND(E1221&gt;67, E1221&lt;78), "68-77",
E1221&gt;77,"Above than 77")</f>
        <v>38-47</v>
      </c>
      <c r="E1221">
        <v>45</v>
      </c>
      <c r="F1221" s="1">
        <v>27341</v>
      </c>
      <c r="G1221" s="1" t="str">
        <f>VLOOKUP(H1221,Table7[#All], 2, FALSE)</f>
        <v>Massachusetts</v>
      </c>
      <c r="H1221" s="2" t="s">
        <v>14</v>
      </c>
      <c r="I1221" s="2" t="s">
        <v>22</v>
      </c>
      <c r="J1221" s="2" t="s">
        <v>40</v>
      </c>
      <c r="K1221" s="2" t="s">
        <v>8</v>
      </c>
      <c r="L1221" s="2" t="s">
        <v>9</v>
      </c>
      <c r="M1221" s="2" t="s">
        <v>25</v>
      </c>
      <c r="N1221" s="2" t="s">
        <v>26</v>
      </c>
      <c r="O1221" s="2" t="s">
        <v>12</v>
      </c>
      <c r="P1221" s="2" t="s">
        <v>35</v>
      </c>
      <c r="Q1221" s="2" t="s">
        <v>16</v>
      </c>
      <c r="R1221" s="2" t="s">
        <v>41</v>
      </c>
      <c r="S1221">
        <v>1</v>
      </c>
    </row>
    <row r="1222" spans="1:19" x14ac:dyDescent="0.3">
      <c r="A1222">
        <v>3699</v>
      </c>
      <c r="B1222">
        <f>YEAR(Cleaned_HR_Data_Analysis__2[[#This Row],[Joining_Date]])</f>
        <v>2022</v>
      </c>
      <c r="C1222" s="1">
        <v>44803</v>
      </c>
      <c r="D1222" s="1" t="str" cm="1">
        <f t="array" ref="D1222">_xlfn.IFS(E1222&lt;28, "17-27",
AND(E1222&gt;27, E1222&lt;38), "28-37",
AND(E1222&gt;37, E1222 &lt;48), "38-47",
AND(E1222&gt;47, E1222 &lt;58), "48-57",
AND(E1222&gt;57, E1222&lt;68), "58-67",
AND(E1222&gt;67, E1222&lt;78), "68-77",
E1222&gt;77,"Above than 77")</f>
        <v>38-47</v>
      </c>
      <c r="E1222">
        <v>45</v>
      </c>
      <c r="F1222" s="1">
        <v>28156</v>
      </c>
      <c r="G1222" s="1" t="str">
        <f>VLOOKUP(H1222,Table7[#All], 2, FALSE)</f>
        <v>Massachusetts</v>
      </c>
      <c r="H1222" s="2" t="s">
        <v>14</v>
      </c>
      <c r="I1222" s="2" t="s">
        <v>22</v>
      </c>
      <c r="J1222" s="2" t="s">
        <v>40</v>
      </c>
      <c r="K1222" s="2" t="s">
        <v>8</v>
      </c>
      <c r="L1222" s="2" t="s">
        <v>66</v>
      </c>
      <c r="M1222" s="2" t="s">
        <v>20</v>
      </c>
      <c r="N1222" s="2" t="s">
        <v>26</v>
      </c>
      <c r="O1222" s="2" t="s">
        <v>12</v>
      </c>
      <c r="P1222" s="2" t="s">
        <v>42</v>
      </c>
      <c r="Q1222" s="2" t="s">
        <v>46</v>
      </c>
      <c r="R1222" s="2" t="s">
        <v>65</v>
      </c>
      <c r="S1222">
        <v>4</v>
      </c>
    </row>
    <row r="1223" spans="1:19" x14ac:dyDescent="0.3">
      <c r="A1223">
        <v>3681</v>
      </c>
      <c r="B1223">
        <f>YEAR(Cleaned_HR_Data_Analysis__2[[#This Row],[Joining_Date]])</f>
        <v>2021</v>
      </c>
      <c r="C1223" s="1">
        <v>44525</v>
      </c>
      <c r="D1223" s="1" t="str" cm="1">
        <f t="array" ref="D1223">_xlfn.IFS(E1223&lt;28, "17-27",
AND(E1223&gt;27, E1223&lt;38), "28-37",
AND(E1223&gt;37, E1223 &lt;48), "38-47",
AND(E1223&gt;47, E1223 &lt;58), "48-57",
AND(E1223&gt;57, E1223&lt;68), "58-67",
AND(E1223&gt;67, E1223&lt;78), "68-77",
E1223&gt;77,"Above than 77")</f>
        <v>38-47</v>
      </c>
      <c r="E1223">
        <v>45</v>
      </c>
      <c r="F1223" s="1">
        <v>27836</v>
      </c>
      <c r="G1223" s="1" t="str">
        <f>VLOOKUP(H1223,Table7[#All], 2, FALSE)</f>
        <v>Massachusetts</v>
      </c>
      <c r="H1223" s="2" t="s">
        <v>14</v>
      </c>
      <c r="I1223" s="2" t="s">
        <v>15</v>
      </c>
      <c r="J1223" s="2" t="s">
        <v>17</v>
      </c>
      <c r="K1223" s="2" t="s">
        <v>8</v>
      </c>
      <c r="L1223" s="2" t="s">
        <v>9</v>
      </c>
      <c r="M1223" s="2" t="s">
        <v>20</v>
      </c>
      <c r="N1223" s="2" t="s">
        <v>26</v>
      </c>
      <c r="O1223" s="2" t="s">
        <v>12</v>
      </c>
      <c r="P1223" s="2" t="s">
        <v>42</v>
      </c>
      <c r="Q1223" s="2" t="s">
        <v>37</v>
      </c>
      <c r="R1223" s="2" t="s">
        <v>18</v>
      </c>
      <c r="S1223">
        <v>2</v>
      </c>
    </row>
    <row r="1224" spans="1:19" x14ac:dyDescent="0.3">
      <c r="A1224">
        <v>3660</v>
      </c>
      <c r="B1224">
        <f>YEAR(Cleaned_HR_Data_Analysis__2[[#This Row],[Joining_Date]])</f>
        <v>2019</v>
      </c>
      <c r="C1224" s="1">
        <v>43609</v>
      </c>
      <c r="D1224" s="1" t="str" cm="1">
        <f t="array" ref="D1224">_xlfn.IFS(E1224&lt;28, "17-27",
AND(E1224&gt;27, E1224&lt;38), "28-37",
AND(E1224&gt;37, E1224 &lt;48), "38-47",
AND(E1224&gt;47, E1224 &lt;58), "48-57",
AND(E1224&gt;57, E1224&lt;68), "58-67",
AND(E1224&gt;67, E1224&lt;78), "68-77",
E1224&gt;77,"Above than 77")</f>
        <v>38-47</v>
      </c>
      <c r="E1224">
        <v>45</v>
      </c>
      <c r="F1224" s="1">
        <v>27201</v>
      </c>
      <c r="G1224" s="1" t="str">
        <f>VLOOKUP(H1224,Table7[#All], 2, FALSE)</f>
        <v>Massachusetts</v>
      </c>
      <c r="H1224" s="2" t="s">
        <v>14</v>
      </c>
      <c r="I1224" s="2" t="s">
        <v>22</v>
      </c>
      <c r="J1224" s="2" t="s">
        <v>31</v>
      </c>
      <c r="K1224" s="2" t="s">
        <v>8</v>
      </c>
      <c r="L1224" s="2" t="s">
        <v>9</v>
      </c>
      <c r="M1224" s="2" t="s">
        <v>25</v>
      </c>
      <c r="N1224" s="2" t="s">
        <v>19</v>
      </c>
      <c r="O1224" s="2" t="s">
        <v>12</v>
      </c>
      <c r="P1224" s="2" t="s">
        <v>35</v>
      </c>
      <c r="Q1224" s="2" t="s">
        <v>23</v>
      </c>
      <c r="R1224" s="2" t="s">
        <v>41</v>
      </c>
      <c r="S1224">
        <v>2</v>
      </c>
    </row>
    <row r="1225" spans="1:19" x14ac:dyDescent="0.3">
      <c r="A1225">
        <v>3638</v>
      </c>
      <c r="B1225">
        <f>YEAR(Cleaned_HR_Data_Analysis__2[[#This Row],[Joining_Date]])</f>
        <v>2023</v>
      </c>
      <c r="C1225" s="1">
        <v>45092</v>
      </c>
      <c r="D1225" s="1" t="str" cm="1">
        <f t="array" ref="D1225">_xlfn.IFS(E1225&lt;28, "17-27",
AND(E1225&gt;27, E1225&lt;38), "28-37",
AND(E1225&gt;37, E1225 &lt;48), "38-47",
AND(E1225&gt;47, E1225 &lt;58), "48-57",
AND(E1225&gt;57, E1225&lt;68), "58-67",
AND(E1225&gt;67, E1225&lt;78), "68-77",
E1225&gt;77,"Above than 77")</f>
        <v>38-47</v>
      </c>
      <c r="E1225">
        <v>45</v>
      </c>
      <c r="F1225" s="1">
        <v>28834</v>
      </c>
      <c r="G1225" s="1" t="str">
        <f>VLOOKUP(H1225,Table7[#All], 2, FALSE)</f>
        <v>Massachusetts</v>
      </c>
      <c r="H1225" s="2" t="s">
        <v>14</v>
      </c>
      <c r="I1225" s="2" t="s">
        <v>22</v>
      </c>
      <c r="J1225" s="2" t="s">
        <v>31</v>
      </c>
      <c r="K1225" s="2" t="s">
        <v>8</v>
      </c>
      <c r="L1225" s="2" t="s">
        <v>9</v>
      </c>
      <c r="M1225" s="2" t="s">
        <v>25</v>
      </c>
      <c r="N1225" s="2" t="s">
        <v>11</v>
      </c>
      <c r="O1225" s="2" t="s">
        <v>12</v>
      </c>
      <c r="P1225" s="2" t="s">
        <v>35</v>
      </c>
      <c r="Q1225" s="2" t="s">
        <v>23</v>
      </c>
      <c r="R1225" s="2" t="s">
        <v>18</v>
      </c>
      <c r="S1225">
        <v>5</v>
      </c>
    </row>
    <row r="1226" spans="1:19" x14ac:dyDescent="0.3">
      <c r="A1226">
        <v>3610</v>
      </c>
      <c r="B1226">
        <f>YEAR(Cleaned_HR_Data_Analysis__2[[#This Row],[Joining_Date]])</f>
        <v>2018</v>
      </c>
      <c r="C1226" s="1">
        <v>43384</v>
      </c>
      <c r="D1226" s="1" t="str" cm="1">
        <f t="array" ref="D1226">_xlfn.IFS(E1226&lt;28, "17-27",
AND(E1226&gt;27, E1226&lt;38), "28-37",
AND(E1226&gt;37, E1226 &lt;48), "38-47",
AND(E1226&gt;47, E1226 &lt;58), "48-57",
AND(E1226&gt;57, E1226&lt;68), "58-67",
AND(E1226&gt;67, E1226&lt;78), "68-77",
E1226&gt;77,"Above than 77")</f>
        <v>38-47</v>
      </c>
      <c r="E1226">
        <v>45</v>
      </c>
      <c r="F1226" s="1">
        <v>26761</v>
      </c>
      <c r="G1226" s="1" t="str">
        <f>VLOOKUP(H1226,Table7[#All], 2, FALSE)</f>
        <v>Massachusetts</v>
      </c>
      <c r="H1226" s="2" t="s">
        <v>14</v>
      </c>
      <c r="I1226" s="2" t="s">
        <v>15</v>
      </c>
      <c r="J1226" s="2" t="s">
        <v>31</v>
      </c>
      <c r="K1226" s="2" t="s">
        <v>8</v>
      </c>
      <c r="L1226" s="2" t="s">
        <v>9</v>
      </c>
      <c r="M1226" s="2" t="s">
        <v>20</v>
      </c>
      <c r="N1226" s="2" t="s">
        <v>11</v>
      </c>
      <c r="O1226" s="2" t="s">
        <v>12</v>
      </c>
      <c r="P1226" s="2" t="s">
        <v>35</v>
      </c>
      <c r="Q1226" s="2" t="s">
        <v>30</v>
      </c>
      <c r="R1226" s="2" t="s">
        <v>18</v>
      </c>
      <c r="S1226">
        <v>5</v>
      </c>
    </row>
    <row r="1227" spans="1:19" x14ac:dyDescent="0.3">
      <c r="A1227">
        <v>3313</v>
      </c>
      <c r="B1227">
        <f>YEAR(Cleaned_HR_Data_Analysis__2[[#This Row],[Joining_Date]])</f>
        <v>2021</v>
      </c>
      <c r="C1227" s="1">
        <v>44325</v>
      </c>
      <c r="D1227" s="1" t="str" cm="1">
        <f t="array" ref="D1227">_xlfn.IFS(E1227&lt;28, "17-27",
AND(E1227&gt;27, E1227&lt;38), "28-37",
AND(E1227&gt;37, E1227 &lt;48), "38-47",
AND(E1227&gt;47, E1227 &lt;58), "48-57",
AND(E1227&gt;57, E1227&lt;68), "58-67",
AND(E1227&gt;67, E1227&lt;78), "68-77",
E1227&gt;77,"Above than 77")</f>
        <v>38-47</v>
      </c>
      <c r="E1227">
        <v>45</v>
      </c>
      <c r="F1227" s="1">
        <v>27806</v>
      </c>
      <c r="G1227" s="1" t="str">
        <f>VLOOKUP(H1227,Table7[#All], 2, FALSE)</f>
        <v>Massachusetts</v>
      </c>
      <c r="H1227" s="2" t="s">
        <v>14</v>
      </c>
      <c r="I1227" s="2" t="s">
        <v>22</v>
      </c>
      <c r="J1227" s="2" t="s">
        <v>34</v>
      </c>
      <c r="K1227" s="2" t="s">
        <v>8</v>
      </c>
      <c r="L1227" s="2" t="s">
        <v>9</v>
      </c>
      <c r="M1227" s="2" t="s">
        <v>25</v>
      </c>
      <c r="N1227" s="2" t="s">
        <v>26</v>
      </c>
      <c r="O1227" s="2" t="s">
        <v>12</v>
      </c>
      <c r="P1227" s="2" t="s">
        <v>59</v>
      </c>
      <c r="Q1227" s="2" t="s">
        <v>23</v>
      </c>
      <c r="R1227" s="2" t="s">
        <v>18</v>
      </c>
      <c r="S1227">
        <v>2</v>
      </c>
    </row>
    <row r="1228" spans="1:19" x14ac:dyDescent="0.3">
      <c r="A1228">
        <v>3128</v>
      </c>
      <c r="B1228">
        <f>YEAR(Cleaned_HR_Data_Analysis__2[[#This Row],[Joining_Date]])</f>
        <v>2019</v>
      </c>
      <c r="C1228" s="1">
        <v>43478</v>
      </c>
      <c r="D1228" s="1" t="str" cm="1">
        <f t="array" ref="D1228">_xlfn.IFS(E1228&lt;28, "17-27",
AND(E1228&gt;27, E1228&lt;38), "28-37",
AND(E1228&gt;37, E1228 &lt;48), "38-47",
AND(E1228&gt;47, E1228 &lt;58), "48-57",
AND(E1228&gt;57, E1228&lt;68), "58-67",
AND(E1228&gt;67, E1228&lt;78), "68-77",
E1228&gt;77,"Above than 77")</f>
        <v>38-47</v>
      </c>
      <c r="E1228">
        <v>45</v>
      </c>
      <c r="F1228" s="1">
        <v>27134</v>
      </c>
      <c r="G1228" s="1" t="str">
        <f>VLOOKUP(H1228,Table7[#All], 2, FALSE)</f>
        <v>Massachusetts</v>
      </c>
      <c r="H1228" s="2" t="s">
        <v>14</v>
      </c>
      <c r="I1228" s="2" t="s">
        <v>15</v>
      </c>
      <c r="J1228" s="2" t="s">
        <v>17</v>
      </c>
      <c r="K1228" s="2" t="s">
        <v>8</v>
      </c>
      <c r="L1228" s="2" t="s">
        <v>9</v>
      </c>
      <c r="M1228" s="2" t="s">
        <v>20</v>
      </c>
      <c r="N1228" s="2" t="s">
        <v>19</v>
      </c>
      <c r="O1228" s="2" t="s">
        <v>12</v>
      </c>
      <c r="P1228" s="2" t="s">
        <v>35</v>
      </c>
      <c r="Q1228" s="2" t="s">
        <v>37</v>
      </c>
      <c r="R1228" s="2" t="s">
        <v>18</v>
      </c>
      <c r="S1228">
        <v>5</v>
      </c>
    </row>
    <row r="1229" spans="1:19" x14ac:dyDescent="0.3">
      <c r="A1229">
        <v>3065</v>
      </c>
      <c r="B1229">
        <f>YEAR(Cleaned_HR_Data_Analysis__2[[#This Row],[Joining_Date]])</f>
        <v>2021</v>
      </c>
      <c r="C1229" s="1">
        <v>44307</v>
      </c>
      <c r="D1229" s="1" t="str" cm="1">
        <f t="array" ref="D1229">_xlfn.IFS(E1229&lt;28, "17-27",
AND(E1229&gt;27, E1229&lt;38), "28-37",
AND(E1229&gt;37, E1229 &lt;48), "38-47",
AND(E1229&gt;47, E1229 &lt;58), "48-57",
AND(E1229&gt;57, E1229&lt;68), "58-67",
AND(E1229&gt;67, E1229&lt;78), "68-77",
E1229&gt;77,"Above than 77")</f>
        <v>38-47</v>
      </c>
      <c r="E1229">
        <v>45</v>
      </c>
      <c r="F1229" s="1">
        <v>28040</v>
      </c>
      <c r="G1229" s="1" t="str">
        <f>VLOOKUP(H1229,Table7[#All], 2, FALSE)</f>
        <v>Massachusetts</v>
      </c>
      <c r="H1229" s="2" t="s">
        <v>14</v>
      </c>
      <c r="I1229" s="2" t="s">
        <v>15</v>
      </c>
      <c r="J1229" s="2" t="s">
        <v>40</v>
      </c>
      <c r="K1229" s="2" t="s">
        <v>8</v>
      </c>
      <c r="L1229" s="2" t="s">
        <v>9</v>
      </c>
      <c r="M1229" s="2" t="s">
        <v>20</v>
      </c>
      <c r="N1229" s="2" t="s">
        <v>19</v>
      </c>
      <c r="O1229" s="2" t="s">
        <v>12</v>
      </c>
      <c r="P1229" s="2" t="s">
        <v>35</v>
      </c>
      <c r="Q1229" s="2" t="s">
        <v>37</v>
      </c>
      <c r="R1229" s="2" t="s">
        <v>18</v>
      </c>
      <c r="S1229">
        <v>1</v>
      </c>
    </row>
    <row r="1230" spans="1:19" x14ac:dyDescent="0.3">
      <c r="A1230">
        <v>2961</v>
      </c>
      <c r="B1230">
        <f>YEAR(Cleaned_HR_Data_Analysis__2[[#This Row],[Joining_Date]])</f>
        <v>2022</v>
      </c>
      <c r="C1230" s="1">
        <v>44853</v>
      </c>
      <c r="D1230" s="1" t="str" cm="1">
        <f t="array" ref="D1230">_xlfn.IFS(E1230&lt;28, "17-27",
AND(E1230&gt;27, E1230&lt;38), "28-37",
AND(E1230&gt;37, E1230 &lt;48), "38-47",
AND(E1230&gt;47, E1230 &lt;58), "48-57",
AND(E1230&gt;57, E1230&lt;68), "58-67",
AND(E1230&gt;67, E1230&lt;78), "68-77",
E1230&gt;77,"Above than 77")</f>
        <v>38-47</v>
      </c>
      <c r="E1230">
        <v>45</v>
      </c>
      <c r="F1230" s="1">
        <v>28479</v>
      </c>
      <c r="G1230" s="1" t="str">
        <f>VLOOKUP(H1230,Table7[#All], 2, FALSE)</f>
        <v>Massachusetts</v>
      </c>
      <c r="H1230" s="2" t="s">
        <v>14</v>
      </c>
      <c r="I1230" s="2" t="s">
        <v>15</v>
      </c>
      <c r="J1230" s="2" t="s">
        <v>40</v>
      </c>
      <c r="K1230" s="2" t="s">
        <v>8</v>
      </c>
      <c r="L1230" s="2" t="s">
        <v>9</v>
      </c>
      <c r="M1230" s="2" t="s">
        <v>25</v>
      </c>
      <c r="N1230" s="2" t="s">
        <v>19</v>
      </c>
      <c r="O1230" s="2" t="s">
        <v>12</v>
      </c>
      <c r="P1230" s="2" t="s">
        <v>35</v>
      </c>
      <c r="Q1230" s="2" t="s">
        <v>46</v>
      </c>
      <c r="R1230" s="2" t="s">
        <v>18</v>
      </c>
      <c r="S1230">
        <v>2</v>
      </c>
    </row>
    <row r="1231" spans="1:19" x14ac:dyDescent="0.3">
      <c r="A1231">
        <v>2857</v>
      </c>
      <c r="B1231">
        <f>YEAR(Cleaned_HR_Data_Analysis__2[[#This Row],[Joining_Date]])</f>
        <v>2019</v>
      </c>
      <c r="C1231" s="1">
        <v>43665</v>
      </c>
      <c r="D1231" s="1" t="str" cm="1">
        <f t="array" ref="D1231">_xlfn.IFS(E1231&lt;28, "17-27",
AND(E1231&gt;27, E1231&lt;38), "28-37",
AND(E1231&gt;37, E1231 &lt;48), "38-47",
AND(E1231&gt;47, E1231 &lt;58), "48-57",
AND(E1231&gt;57, E1231&lt;68), "58-67",
AND(E1231&gt;67, E1231&lt;78), "68-77",
E1231&gt;77,"Above than 77")</f>
        <v>38-47</v>
      </c>
      <c r="E1231">
        <v>45</v>
      </c>
      <c r="F1231" s="1">
        <v>27334</v>
      </c>
      <c r="G1231" s="1" t="str">
        <f>VLOOKUP(H1231,Table7[#All], 2, FALSE)</f>
        <v>Massachusetts</v>
      </c>
      <c r="H1231" s="2" t="s">
        <v>14</v>
      </c>
      <c r="I1231" s="2" t="s">
        <v>22</v>
      </c>
      <c r="J1231" s="2" t="s">
        <v>31</v>
      </c>
      <c r="K1231" s="2" t="s">
        <v>8</v>
      </c>
      <c r="L1231" s="2" t="s">
        <v>9</v>
      </c>
      <c r="M1231" s="2" t="s">
        <v>25</v>
      </c>
      <c r="N1231" s="2" t="s">
        <v>19</v>
      </c>
      <c r="O1231" s="2" t="s">
        <v>12</v>
      </c>
      <c r="P1231" s="2" t="s">
        <v>32</v>
      </c>
      <c r="Q1231" s="2" t="s">
        <v>16</v>
      </c>
      <c r="R1231" s="2" t="s">
        <v>18</v>
      </c>
      <c r="S1231">
        <v>2</v>
      </c>
    </row>
    <row r="1232" spans="1:19" x14ac:dyDescent="0.3">
      <c r="A1232">
        <v>2815</v>
      </c>
      <c r="B1232">
        <f>YEAR(Cleaned_HR_Data_Analysis__2[[#This Row],[Joining_Date]])</f>
        <v>2023</v>
      </c>
      <c r="C1232" s="1">
        <v>45130</v>
      </c>
      <c r="D1232" s="1" t="str" cm="1">
        <f t="array" ref="D1232">_xlfn.IFS(E1232&lt;28, "17-27",
AND(E1232&gt;27, E1232&lt;38), "28-37",
AND(E1232&gt;37, E1232 &lt;48), "38-47",
AND(E1232&gt;47, E1232 &lt;58), "48-57",
AND(E1232&gt;57, E1232&lt;68), "58-67",
AND(E1232&gt;67, E1232&lt;78), "68-77",
E1232&gt;77,"Above than 77")</f>
        <v>38-47</v>
      </c>
      <c r="E1232">
        <v>45</v>
      </c>
      <c r="F1232" s="1">
        <v>28700</v>
      </c>
      <c r="G1232" s="1" t="str">
        <f>VLOOKUP(H1232,Table7[#All], 2, FALSE)</f>
        <v>Massachusetts</v>
      </c>
      <c r="H1232" s="2" t="s">
        <v>14</v>
      </c>
      <c r="I1232" s="2" t="s">
        <v>15</v>
      </c>
      <c r="J1232" s="2" t="s">
        <v>31</v>
      </c>
      <c r="K1232" s="2" t="s">
        <v>8</v>
      </c>
      <c r="L1232" s="2" t="s">
        <v>9</v>
      </c>
      <c r="M1232" s="2" t="s">
        <v>10</v>
      </c>
      <c r="N1232" s="2" t="s">
        <v>11</v>
      </c>
      <c r="O1232" s="2" t="s">
        <v>12</v>
      </c>
      <c r="P1232" s="2" t="s">
        <v>54</v>
      </c>
      <c r="Q1232" s="2" t="s">
        <v>46</v>
      </c>
      <c r="R1232" s="2" t="s">
        <v>18</v>
      </c>
      <c r="S1232">
        <v>5</v>
      </c>
    </row>
    <row r="1233" spans="1:19" x14ac:dyDescent="0.3">
      <c r="A1233">
        <v>2794</v>
      </c>
      <c r="B1233">
        <f>YEAR(Cleaned_HR_Data_Analysis__2[[#This Row],[Joining_Date]])</f>
        <v>2021</v>
      </c>
      <c r="C1233" s="1">
        <v>44557</v>
      </c>
      <c r="D1233" s="1" t="str" cm="1">
        <f t="array" ref="D1233">_xlfn.IFS(E1233&lt;28, "17-27",
AND(E1233&gt;27, E1233&lt;38), "28-37",
AND(E1233&gt;37, E1233 &lt;48), "38-47",
AND(E1233&gt;47, E1233 &lt;58), "48-57",
AND(E1233&gt;57, E1233&lt;68), "58-67",
AND(E1233&gt;67, E1233&lt;78), "68-77",
E1233&gt;77,"Above than 77")</f>
        <v>38-47</v>
      </c>
      <c r="E1233">
        <v>45</v>
      </c>
      <c r="F1233" s="1">
        <v>27896</v>
      </c>
      <c r="G1233" s="1" t="str">
        <f>VLOOKUP(H1233,Table7[#All], 2, FALSE)</f>
        <v>Massachusetts</v>
      </c>
      <c r="H1233" s="2" t="s">
        <v>14</v>
      </c>
      <c r="I1233" s="2" t="s">
        <v>22</v>
      </c>
      <c r="J1233" s="2" t="s">
        <v>31</v>
      </c>
      <c r="K1233" s="2" t="s">
        <v>8</v>
      </c>
      <c r="L1233" s="2" t="s">
        <v>9</v>
      </c>
      <c r="M1233" s="2" t="s">
        <v>10</v>
      </c>
      <c r="N1233" s="2" t="s">
        <v>26</v>
      </c>
      <c r="O1233" s="2" t="s">
        <v>12</v>
      </c>
      <c r="P1233" s="2" t="s">
        <v>35</v>
      </c>
      <c r="Q1233" s="2" t="s">
        <v>23</v>
      </c>
      <c r="R1233" s="2" t="s">
        <v>18</v>
      </c>
      <c r="S1233">
        <v>4</v>
      </c>
    </row>
    <row r="1234" spans="1:19" x14ac:dyDescent="0.3">
      <c r="A1234">
        <v>2031</v>
      </c>
      <c r="B1234">
        <f>YEAR(Cleaned_HR_Data_Analysis__2[[#This Row],[Joining_Date]])</f>
        <v>2022</v>
      </c>
      <c r="C1234" s="1">
        <v>44611</v>
      </c>
      <c r="D1234" s="1" t="str" cm="1">
        <f t="array" ref="D1234">_xlfn.IFS(E1234&lt;28, "17-27",
AND(E1234&gt;27, E1234&lt;38), "28-37",
AND(E1234&gt;37, E1234 &lt;48), "38-47",
AND(E1234&gt;47, E1234 &lt;58), "48-57",
AND(E1234&gt;57, E1234&lt;68), "58-67",
AND(E1234&gt;67, E1234&lt;78), "68-77",
E1234&gt;77,"Above than 77")</f>
        <v>38-47</v>
      </c>
      <c r="E1234">
        <v>45</v>
      </c>
      <c r="F1234" s="1">
        <v>28292</v>
      </c>
      <c r="G1234" s="1" t="str">
        <f>VLOOKUP(H1234,Table7[#All], 2, FALSE)</f>
        <v>Massachusetts</v>
      </c>
      <c r="H1234" s="2" t="s">
        <v>14</v>
      </c>
      <c r="I1234" s="2" t="s">
        <v>22</v>
      </c>
      <c r="J1234" s="2" t="s">
        <v>34</v>
      </c>
      <c r="K1234" s="2" t="s">
        <v>8</v>
      </c>
      <c r="L1234" s="2" t="s">
        <v>9</v>
      </c>
      <c r="M1234" s="2" t="s">
        <v>25</v>
      </c>
      <c r="N1234" s="2" t="s">
        <v>11</v>
      </c>
      <c r="O1234" s="2" t="s">
        <v>12</v>
      </c>
      <c r="P1234" s="2" t="s">
        <v>54</v>
      </c>
      <c r="Q1234" s="2" t="s">
        <v>46</v>
      </c>
      <c r="R1234" s="2" t="s">
        <v>18</v>
      </c>
      <c r="S1234">
        <v>3</v>
      </c>
    </row>
    <row r="1235" spans="1:19" x14ac:dyDescent="0.3">
      <c r="A1235">
        <v>2027</v>
      </c>
      <c r="B1235">
        <f>YEAR(Cleaned_HR_Data_Analysis__2[[#This Row],[Joining_Date]])</f>
        <v>2019</v>
      </c>
      <c r="C1235" s="1">
        <v>43607</v>
      </c>
      <c r="D1235" s="1" t="str" cm="1">
        <f t="array" ref="D1235">_xlfn.IFS(E1235&lt;28, "17-27",
AND(E1235&gt;27, E1235&lt;38), "28-37",
AND(E1235&gt;37, E1235 &lt;48), "38-47",
AND(E1235&gt;47, E1235 &lt;58), "48-57",
AND(E1235&gt;57, E1235&lt;68), "58-67",
AND(E1235&gt;67, E1235&lt;78), "68-77",
E1235&gt;77,"Above than 77")</f>
        <v>38-47</v>
      </c>
      <c r="E1235">
        <v>45</v>
      </c>
      <c r="F1235" s="1">
        <v>27245</v>
      </c>
      <c r="G1235" s="1" t="str">
        <f>VLOOKUP(H1235,Table7[#All], 2, FALSE)</f>
        <v>Massachusetts</v>
      </c>
      <c r="H1235" s="2" t="s">
        <v>14</v>
      </c>
      <c r="I1235" s="2" t="s">
        <v>15</v>
      </c>
      <c r="J1235" s="2" t="s">
        <v>31</v>
      </c>
      <c r="K1235" s="2" t="s">
        <v>8</v>
      </c>
      <c r="L1235" s="2" t="s">
        <v>9</v>
      </c>
      <c r="M1235" s="2" t="s">
        <v>20</v>
      </c>
      <c r="N1235" s="2" t="s">
        <v>19</v>
      </c>
      <c r="O1235" s="2" t="s">
        <v>12</v>
      </c>
      <c r="P1235" s="2" t="s">
        <v>55</v>
      </c>
      <c r="Q1235" s="2" t="s">
        <v>37</v>
      </c>
      <c r="R1235" s="2" t="s">
        <v>18</v>
      </c>
      <c r="S1235">
        <v>1</v>
      </c>
    </row>
    <row r="1236" spans="1:19" x14ac:dyDescent="0.3">
      <c r="A1236">
        <v>1978</v>
      </c>
      <c r="B1236">
        <f>YEAR(Cleaned_HR_Data_Analysis__2[[#This Row],[Joining_Date]])</f>
        <v>2021</v>
      </c>
      <c r="C1236" s="1">
        <v>44474</v>
      </c>
      <c r="D1236" s="1" t="str" cm="1">
        <f t="array" ref="D1236">_xlfn.IFS(E1236&lt;28, "17-27",
AND(E1236&gt;27, E1236&lt;38), "28-37",
AND(E1236&gt;37, E1236 &lt;48), "38-47",
AND(E1236&gt;47, E1236 &lt;58), "48-57",
AND(E1236&gt;57, E1236&lt;68), "58-67",
AND(E1236&gt;67, E1236&lt;78), "68-77",
E1236&gt;77,"Above than 77")</f>
        <v>38-47</v>
      </c>
      <c r="E1236">
        <v>45</v>
      </c>
      <c r="F1236" s="1">
        <v>28116</v>
      </c>
      <c r="G1236" s="1" t="str">
        <f>VLOOKUP(H1236,Table7[#All], 2, FALSE)</f>
        <v>Massachusetts</v>
      </c>
      <c r="H1236" s="2" t="s">
        <v>14</v>
      </c>
      <c r="I1236" s="2" t="s">
        <v>15</v>
      </c>
      <c r="J1236" s="2" t="s">
        <v>40</v>
      </c>
      <c r="K1236" s="2" t="s">
        <v>8</v>
      </c>
      <c r="L1236" s="2" t="s">
        <v>66</v>
      </c>
      <c r="M1236" s="2" t="s">
        <v>25</v>
      </c>
      <c r="N1236" s="2" t="s">
        <v>26</v>
      </c>
      <c r="O1236" s="2" t="s">
        <v>12</v>
      </c>
      <c r="P1236" s="2" t="s">
        <v>13</v>
      </c>
      <c r="Q1236" s="2" t="s">
        <v>30</v>
      </c>
      <c r="R1236" s="2" t="s">
        <v>18</v>
      </c>
      <c r="S1236">
        <v>5</v>
      </c>
    </row>
    <row r="1237" spans="1:19" x14ac:dyDescent="0.3">
      <c r="A1237">
        <v>1811</v>
      </c>
      <c r="B1237">
        <f>YEAR(Cleaned_HR_Data_Analysis__2[[#This Row],[Joining_Date]])</f>
        <v>2022</v>
      </c>
      <c r="C1237" s="1">
        <v>44723</v>
      </c>
      <c r="D1237" s="1" t="str" cm="1">
        <f t="array" ref="D1237">_xlfn.IFS(E1237&lt;28, "17-27",
AND(E1237&gt;27, E1237&lt;38), "28-37",
AND(E1237&gt;37, E1237 &lt;48), "38-47",
AND(E1237&gt;47, E1237 &lt;58), "48-57",
AND(E1237&gt;57, E1237&lt;68), "58-67",
AND(E1237&gt;67, E1237&lt;78), "68-77",
E1237&gt;77,"Above than 77")</f>
        <v>38-47</v>
      </c>
      <c r="E1237">
        <v>45</v>
      </c>
      <c r="F1237" s="1">
        <v>28470</v>
      </c>
      <c r="G1237" s="1" t="str">
        <f>VLOOKUP(H1237,Table7[#All], 2, FALSE)</f>
        <v>Massachusetts</v>
      </c>
      <c r="H1237" s="2" t="s">
        <v>14</v>
      </c>
      <c r="I1237" s="2" t="s">
        <v>15</v>
      </c>
      <c r="J1237" s="2" t="s">
        <v>40</v>
      </c>
      <c r="K1237" s="2" t="s">
        <v>8</v>
      </c>
      <c r="L1237" s="2" t="s">
        <v>9</v>
      </c>
      <c r="M1237" s="2" t="s">
        <v>10</v>
      </c>
      <c r="N1237" s="2" t="s">
        <v>19</v>
      </c>
      <c r="O1237" s="2" t="s">
        <v>12</v>
      </c>
      <c r="P1237" s="2" t="s">
        <v>68</v>
      </c>
      <c r="Q1237" s="2" t="s">
        <v>37</v>
      </c>
      <c r="R1237" s="2" t="s">
        <v>18</v>
      </c>
      <c r="S1237">
        <v>5</v>
      </c>
    </row>
    <row r="1238" spans="1:19" x14ac:dyDescent="0.3">
      <c r="A1238">
        <v>1796</v>
      </c>
      <c r="B1238">
        <f>YEAR(Cleaned_HR_Data_Analysis__2[[#This Row],[Joining_Date]])</f>
        <v>2021</v>
      </c>
      <c r="C1238" s="1">
        <v>44354</v>
      </c>
      <c r="D1238" s="1" t="str" cm="1">
        <f t="array" ref="D1238">_xlfn.IFS(E1238&lt;28, "17-27",
AND(E1238&gt;27, E1238&lt;38), "28-37",
AND(E1238&gt;37, E1238 &lt;48), "38-47",
AND(E1238&gt;47, E1238 &lt;58), "48-57",
AND(E1238&gt;57, E1238&lt;68), "58-67",
AND(E1238&gt;67, E1238&lt;78), "68-77",
E1238&gt;77,"Above than 77")</f>
        <v>38-47</v>
      </c>
      <c r="E1238">
        <v>45</v>
      </c>
      <c r="F1238" s="1">
        <v>27937</v>
      </c>
      <c r="G1238" s="1" t="str">
        <f>VLOOKUP(H1238,Table7[#All], 2, FALSE)</f>
        <v>Massachusetts</v>
      </c>
      <c r="H1238" s="2" t="s">
        <v>14</v>
      </c>
      <c r="I1238" s="2" t="s">
        <v>15</v>
      </c>
      <c r="J1238" s="2" t="s">
        <v>40</v>
      </c>
      <c r="K1238" s="2" t="s">
        <v>8</v>
      </c>
      <c r="L1238" s="2" t="s">
        <v>66</v>
      </c>
      <c r="M1238" s="2" t="s">
        <v>10</v>
      </c>
      <c r="N1238" s="2" t="s">
        <v>19</v>
      </c>
      <c r="O1238" s="2" t="s">
        <v>12</v>
      </c>
      <c r="P1238" s="2" t="s">
        <v>61</v>
      </c>
      <c r="Q1238" s="2" t="s">
        <v>23</v>
      </c>
      <c r="R1238" s="2" t="s">
        <v>18</v>
      </c>
      <c r="S1238">
        <v>5</v>
      </c>
    </row>
    <row r="1239" spans="1:19" x14ac:dyDescent="0.3">
      <c r="A1239">
        <v>1768</v>
      </c>
      <c r="B1239">
        <f>YEAR(Cleaned_HR_Data_Analysis__2[[#This Row],[Joining_Date]])</f>
        <v>2022</v>
      </c>
      <c r="C1239" s="1">
        <v>44847</v>
      </c>
      <c r="D1239" s="1" t="str" cm="1">
        <f t="array" ref="D1239">_xlfn.IFS(E1239&lt;28, "17-27",
AND(E1239&gt;27, E1239&lt;38), "28-37",
AND(E1239&gt;37, E1239 &lt;48), "38-47",
AND(E1239&gt;47, E1239 &lt;58), "48-57",
AND(E1239&gt;57, E1239&lt;68), "58-67",
AND(E1239&gt;67, E1239&lt;78), "68-77",
E1239&gt;77,"Above than 77")</f>
        <v>38-47</v>
      </c>
      <c r="E1239">
        <v>45</v>
      </c>
      <c r="F1239" s="1">
        <v>28182</v>
      </c>
      <c r="G1239" s="1" t="str">
        <f>VLOOKUP(H1239,Table7[#All], 2, FALSE)</f>
        <v>Massachusetts</v>
      </c>
      <c r="H1239" s="2" t="s">
        <v>14</v>
      </c>
      <c r="I1239" s="2" t="s">
        <v>15</v>
      </c>
      <c r="J1239" s="2" t="s">
        <v>34</v>
      </c>
      <c r="K1239" s="2" t="s">
        <v>8</v>
      </c>
      <c r="L1239" s="2" t="s">
        <v>9</v>
      </c>
      <c r="M1239" s="2" t="s">
        <v>10</v>
      </c>
      <c r="N1239" s="2" t="s">
        <v>11</v>
      </c>
      <c r="O1239" s="2" t="s">
        <v>12</v>
      </c>
      <c r="P1239" s="2" t="s">
        <v>21</v>
      </c>
      <c r="Q1239" s="2" t="s">
        <v>37</v>
      </c>
      <c r="R1239" s="2" t="s">
        <v>18</v>
      </c>
      <c r="S1239">
        <v>3</v>
      </c>
    </row>
    <row r="1240" spans="1:19" x14ac:dyDescent="0.3">
      <c r="A1240">
        <v>1469</v>
      </c>
      <c r="B1240">
        <f>YEAR(Cleaned_HR_Data_Analysis__2[[#This Row],[Joining_Date]])</f>
        <v>2021</v>
      </c>
      <c r="C1240" s="1">
        <v>44459</v>
      </c>
      <c r="D1240" s="1" t="str" cm="1">
        <f t="array" ref="D1240">_xlfn.IFS(E1240&lt;28, "17-27",
AND(E1240&gt;27, E1240&lt;38), "28-37",
AND(E1240&gt;37, E1240 &lt;48), "38-47",
AND(E1240&gt;47, E1240 &lt;58), "48-57",
AND(E1240&gt;57, E1240&lt;68), "58-67",
AND(E1240&gt;67, E1240&lt;78), "68-77",
E1240&gt;77,"Above than 77")</f>
        <v>38-47</v>
      </c>
      <c r="E1240">
        <v>45</v>
      </c>
      <c r="F1240" s="1">
        <v>27989</v>
      </c>
      <c r="G1240" s="1" t="str">
        <f>VLOOKUP(H1240,Table7[#All], 2, FALSE)</f>
        <v>Massachusetts</v>
      </c>
      <c r="H1240" s="2" t="s">
        <v>14</v>
      </c>
      <c r="I1240" s="2" t="s">
        <v>15</v>
      </c>
      <c r="J1240" s="2" t="s">
        <v>34</v>
      </c>
      <c r="K1240" s="2" t="s">
        <v>8</v>
      </c>
      <c r="L1240" s="2" t="s">
        <v>9</v>
      </c>
      <c r="M1240" s="2" t="s">
        <v>25</v>
      </c>
      <c r="N1240" s="2" t="s">
        <v>26</v>
      </c>
      <c r="O1240" s="2" t="s">
        <v>12</v>
      </c>
      <c r="P1240" s="2" t="s">
        <v>35</v>
      </c>
      <c r="Q1240" s="2" t="s">
        <v>46</v>
      </c>
      <c r="R1240" s="2" t="s">
        <v>41</v>
      </c>
      <c r="S1240">
        <v>2</v>
      </c>
    </row>
    <row r="1241" spans="1:19" x14ac:dyDescent="0.3">
      <c r="A1241">
        <v>1463</v>
      </c>
      <c r="B1241">
        <f>YEAR(Cleaned_HR_Data_Analysis__2[[#This Row],[Joining_Date]])</f>
        <v>2020</v>
      </c>
      <c r="C1241" s="1">
        <v>44109</v>
      </c>
      <c r="D1241" s="1" t="str" cm="1">
        <f t="array" ref="D1241">_xlfn.IFS(E1241&lt;28, "17-27",
AND(E1241&gt;27, E1241&lt;38), "28-37",
AND(E1241&gt;37, E1241 &lt;48), "38-47",
AND(E1241&gt;47, E1241 &lt;58), "48-57",
AND(E1241&gt;57, E1241&lt;68), "58-67",
AND(E1241&gt;67, E1241&lt;78), "68-77",
E1241&gt;77,"Above than 77")</f>
        <v>38-47</v>
      </c>
      <c r="E1241">
        <v>45</v>
      </c>
      <c r="F1241" s="1">
        <v>27726</v>
      </c>
      <c r="G1241" s="1" t="str">
        <f>VLOOKUP(H1241,Table7[#All], 2, FALSE)</f>
        <v>Massachusetts</v>
      </c>
      <c r="H1241" s="2" t="s">
        <v>14</v>
      </c>
      <c r="I1241" s="2" t="s">
        <v>15</v>
      </c>
      <c r="J1241" s="2" t="s">
        <v>40</v>
      </c>
      <c r="K1241" s="2" t="s">
        <v>8</v>
      </c>
      <c r="L1241" s="2" t="s">
        <v>9</v>
      </c>
      <c r="M1241" s="2" t="s">
        <v>10</v>
      </c>
      <c r="N1241" s="2" t="s">
        <v>11</v>
      </c>
      <c r="O1241" s="2" t="s">
        <v>12</v>
      </c>
      <c r="P1241" s="2" t="s">
        <v>35</v>
      </c>
      <c r="Q1241" s="2" t="s">
        <v>23</v>
      </c>
      <c r="R1241" s="2" t="s">
        <v>41</v>
      </c>
      <c r="S1241">
        <v>4</v>
      </c>
    </row>
    <row r="1242" spans="1:19" x14ac:dyDescent="0.3">
      <c r="A1242">
        <v>1200</v>
      </c>
      <c r="B1242">
        <f>YEAR(Cleaned_HR_Data_Analysis__2[[#This Row],[Joining_Date]])</f>
        <v>2022</v>
      </c>
      <c r="C1242" s="1">
        <v>44678</v>
      </c>
      <c r="D1242" s="1" t="str" cm="1">
        <f t="array" ref="D1242">_xlfn.IFS(E1242&lt;28, "17-27",
AND(E1242&gt;27, E1242&lt;38), "28-37",
AND(E1242&gt;37, E1242 &lt;48), "38-47",
AND(E1242&gt;47, E1242 &lt;58), "48-57",
AND(E1242&gt;57, E1242&lt;68), "58-67",
AND(E1242&gt;67, E1242&lt;78), "68-77",
E1242&gt;77,"Above than 77")</f>
        <v>38-47</v>
      </c>
      <c r="E1242">
        <v>45</v>
      </c>
      <c r="F1242" s="1">
        <v>28406</v>
      </c>
      <c r="G1242" s="1" t="str">
        <f>VLOOKUP(H1242,Table7[#All], 2, FALSE)</f>
        <v>Massachusetts</v>
      </c>
      <c r="H1242" s="2" t="s">
        <v>14</v>
      </c>
      <c r="I1242" s="2" t="s">
        <v>15</v>
      </c>
      <c r="J1242" s="2" t="s">
        <v>34</v>
      </c>
      <c r="K1242" s="2" t="s">
        <v>8</v>
      </c>
      <c r="L1242" s="2" t="s">
        <v>9</v>
      </c>
      <c r="M1242" s="2" t="s">
        <v>20</v>
      </c>
      <c r="N1242" s="2" t="s">
        <v>19</v>
      </c>
      <c r="O1242" s="2" t="s">
        <v>12</v>
      </c>
      <c r="P1242" s="2" t="s">
        <v>32</v>
      </c>
      <c r="Q1242" s="2" t="s">
        <v>30</v>
      </c>
      <c r="R1242" s="2" t="s">
        <v>18</v>
      </c>
      <c r="S1242">
        <v>5</v>
      </c>
    </row>
    <row r="1243" spans="1:19" x14ac:dyDescent="0.3">
      <c r="A1243">
        <v>2294</v>
      </c>
      <c r="B1243">
        <f>YEAR(Cleaned_HR_Data_Analysis__2[[#This Row],[Joining_Date]])</f>
        <v>2020</v>
      </c>
      <c r="C1243" s="1">
        <v>44114</v>
      </c>
      <c r="D1243" s="1" t="str" cm="1">
        <f t="array" ref="D1243">_xlfn.IFS(E1243&lt;28, "17-27",
AND(E1243&gt;27, E1243&lt;38), "28-37",
AND(E1243&gt;37, E1243 &lt;48), "38-47",
AND(E1243&gt;47, E1243 &lt;58), "48-57",
AND(E1243&gt;57, E1243&lt;68), "58-67",
AND(E1243&gt;67, E1243&lt;78), "68-77",
E1243&gt;77,"Above than 77")</f>
        <v>38-47</v>
      </c>
      <c r="E1243">
        <v>45</v>
      </c>
      <c r="F1243" s="1">
        <v>27731</v>
      </c>
      <c r="G1243" s="1" t="str">
        <f>VLOOKUP(H1243,Table7[#All], 2, FALSE)</f>
        <v>Massachusetts</v>
      </c>
      <c r="H1243" s="2" t="s">
        <v>14</v>
      </c>
      <c r="I1243" s="2" t="s">
        <v>22</v>
      </c>
      <c r="J1243" s="2" t="s">
        <v>31</v>
      </c>
      <c r="K1243" s="2" t="s">
        <v>91</v>
      </c>
      <c r="L1243" s="2" t="s">
        <v>9</v>
      </c>
      <c r="M1243" s="2" t="s">
        <v>10</v>
      </c>
      <c r="N1243" s="2" t="s">
        <v>19</v>
      </c>
      <c r="O1243" s="2" t="s">
        <v>12</v>
      </c>
      <c r="P1243" s="2" t="s">
        <v>35</v>
      </c>
      <c r="Q1243" s="2" t="s">
        <v>37</v>
      </c>
      <c r="R1243" s="2" t="s">
        <v>18</v>
      </c>
      <c r="S1243">
        <v>4</v>
      </c>
    </row>
    <row r="1244" spans="1:19" x14ac:dyDescent="0.3">
      <c r="A1244">
        <v>2279</v>
      </c>
      <c r="B1244">
        <f>YEAR(Cleaned_HR_Data_Analysis__2[[#This Row],[Joining_Date]])</f>
        <v>2022</v>
      </c>
      <c r="C1244" s="1">
        <v>44739</v>
      </c>
      <c r="D1244" s="1" t="str" cm="1">
        <f t="array" ref="D1244">_xlfn.IFS(E1244&lt;28, "17-27",
AND(E1244&gt;27, E1244&lt;38), "28-37",
AND(E1244&gt;37, E1244 &lt;48), "38-47",
AND(E1244&gt;47, E1244 &lt;58), "48-57",
AND(E1244&gt;57, E1244&lt;68), "58-67",
AND(E1244&gt;67, E1244&lt;78), "68-77",
E1244&gt;77,"Above than 77")</f>
        <v>38-47</v>
      </c>
      <c r="E1244">
        <v>45</v>
      </c>
      <c r="F1244" s="1">
        <v>28168</v>
      </c>
      <c r="G1244" s="1" t="str">
        <f>VLOOKUP(H1244,Table7[#All], 2, FALSE)</f>
        <v>Massachusetts</v>
      </c>
      <c r="H1244" s="2" t="s">
        <v>14</v>
      </c>
      <c r="I1244" s="2" t="s">
        <v>22</v>
      </c>
      <c r="J1244" s="2" t="s">
        <v>40</v>
      </c>
      <c r="K1244" s="2" t="s">
        <v>91</v>
      </c>
      <c r="L1244" s="2" t="s">
        <v>9</v>
      </c>
      <c r="M1244" s="2" t="s">
        <v>10</v>
      </c>
      <c r="N1244" s="2" t="s">
        <v>11</v>
      </c>
      <c r="O1244" s="2" t="s">
        <v>12</v>
      </c>
      <c r="P1244" s="2" t="s">
        <v>93</v>
      </c>
      <c r="Q1244" s="2" t="s">
        <v>30</v>
      </c>
      <c r="R1244" s="2" t="s">
        <v>18</v>
      </c>
      <c r="S1244">
        <v>5</v>
      </c>
    </row>
    <row r="1245" spans="1:19" x14ac:dyDescent="0.3">
      <c r="A1245">
        <v>1185</v>
      </c>
      <c r="B1245">
        <f>YEAR(Cleaned_HR_Data_Analysis__2[[#This Row],[Joining_Date]])</f>
        <v>2018</v>
      </c>
      <c r="C1245" s="1">
        <v>43447</v>
      </c>
      <c r="D1245" s="1" t="str" cm="1">
        <f t="array" ref="D1245">_xlfn.IFS(E1245&lt;28, "17-27",
AND(E1245&gt;27, E1245&lt;38), "28-37",
AND(E1245&gt;37, E1245 &lt;48), "38-47",
AND(E1245&gt;47, E1245 &lt;58), "48-57",
AND(E1245&gt;57, E1245&lt;68), "58-67",
AND(E1245&gt;67, E1245&lt;78), "68-77",
E1245&gt;77,"Above than 77")</f>
        <v>38-47</v>
      </c>
      <c r="E1245">
        <v>45</v>
      </c>
      <c r="F1245" s="1">
        <v>26717</v>
      </c>
      <c r="G1245" s="1" t="str">
        <f>VLOOKUP(H1245,Table7[#All], 2, FALSE)</f>
        <v>Massachusetts</v>
      </c>
      <c r="H1245" s="2" t="s">
        <v>14</v>
      </c>
      <c r="I1245" s="2" t="s">
        <v>15</v>
      </c>
      <c r="J1245" s="2" t="s">
        <v>17</v>
      </c>
      <c r="K1245" s="2" t="s">
        <v>91</v>
      </c>
      <c r="L1245" s="2" t="s">
        <v>9</v>
      </c>
      <c r="M1245" s="2" t="s">
        <v>20</v>
      </c>
      <c r="N1245" s="2" t="s">
        <v>19</v>
      </c>
      <c r="O1245" s="2" t="s">
        <v>12</v>
      </c>
      <c r="P1245" s="2" t="s">
        <v>55</v>
      </c>
      <c r="Q1245" s="2" t="s">
        <v>30</v>
      </c>
      <c r="R1245" s="2" t="s">
        <v>18</v>
      </c>
      <c r="S1245">
        <v>2</v>
      </c>
    </row>
    <row r="1246" spans="1:19" x14ac:dyDescent="0.3">
      <c r="A1246">
        <v>2424</v>
      </c>
      <c r="B1246">
        <f>YEAR(Cleaned_HR_Data_Analysis__2[[#This Row],[Joining_Date]])</f>
        <v>2019</v>
      </c>
      <c r="C1246" s="1">
        <v>43522</v>
      </c>
      <c r="D1246" s="1" t="str" cm="1">
        <f t="array" ref="D1246">_xlfn.IFS(E1246&lt;28, "17-27",
AND(E1246&gt;27, E1246&lt;38), "28-37",
AND(E1246&gt;37, E1246 &lt;48), "38-47",
AND(E1246&gt;47, E1246 &lt;58), "48-57",
AND(E1246&gt;57, E1246&lt;68), "58-67",
AND(E1246&gt;67, E1246&lt;78), "68-77",
E1246&gt;77,"Above than 77")</f>
        <v>38-47</v>
      </c>
      <c r="E1246">
        <v>45</v>
      </c>
      <c r="F1246" s="1">
        <v>27259</v>
      </c>
      <c r="G1246" s="1" t="str">
        <f>VLOOKUP(H1246,Table7[#All], 2, FALSE)</f>
        <v>Massachusetts</v>
      </c>
      <c r="H1246" s="2" t="s">
        <v>14</v>
      </c>
      <c r="I1246" s="2" t="s">
        <v>22</v>
      </c>
      <c r="J1246" s="2" t="s">
        <v>40</v>
      </c>
      <c r="K1246" s="2" t="s">
        <v>71</v>
      </c>
      <c r="L1246" s="2" t="s">
        <v>9</v>
      </c>
      <c r="M1246" s="2" t="s">
        <v>25</v>
      </c>
      <c r="N1246" s="2" t="s">
        <v>11</v>
      </c>
      <c r="O1246" s="2" t="s">
        <v>73</v>
      </c>
      <c r="P1246" s="2" t="s">
        <v>42</v>
      </c>
      <c r="Q1246" s="2" t="s">
        <v>23</v>
      </c>
      <c r="R1246" s="2" t="s">
        <v>18</v>
      </c>
      <c r="S1246">
        <v>1</v>
      </c>
    </row>
    <row r="1247" spans="1:19" x14ac:dyDescent="0.3">
      <c r="A1247">
        <v>3906</v>
      </c>
      <c r="B1247">
        <f>YEAR(Cleaned_HR_Data_Analysis__2[[#This Row],[Joining_Date]])</f>
        <v>2020</v>
      </c>
      <c r="C1247" s="1">
        <v>44068</v>
      </c>
      <c r="D1247" s="1" t="str" cm="1">
        <f t="array" ref="D1247">_xlfn.IFS(E1247&lt;28, "17-27",
AND(E1247&gt;27, E1247&lt;38), "28-37",
AND(E1247&gt;37, E1247 &lt;48), "38-47",
AND(E1247&gt;47, E1247 &lt;58), "48-57",
AND(E1247&gt;57, E1247&lt;68), "58-67",
AND(E1247&gt;67, E1247&lt;78), "68-77",
E1247&gt;77,"Above than 77")</f>
        <v>38-47</v>
      </c>
      <c r="E1247">
        <v>45</v>
      </c>
      <c r="F1247" s="1">
        <v>27642</v>
      </c>
      <c r="G1247" s="1" t="str">
        <f>VLOOKUP(H1247,Table7[#All], 2, FALSE)</f>
        <v>Massachusetts</v>
      </c>
      <c r="H1247" s="2" t="s">
        <v>14</v>
      </c>
      <c r="I1247" s="2" t="s">
        <v>15</v>
      </c>
      <c r="J1247" s="2" t="s">
        <v>34</v>
      </c>
      <c r="K1247" s="2" t="s">
        <v>70</v>
      </c>
      <c r="L1247" s="2" t="s">
        <v>9</v>
      </c>
      <c r="M1247" s="2" t="s">
        <v>10</v>
      </c>
      <c r="N1247" s="2" t="s">
        <v>11</v>
      </c>
      <c r="O1247" s="2" t="s">
        <v>53</v>
      </c>
      <c r="P1247" s="2" t="s">
        <v>59</v>
      </c>
      <c r="Q1247" s="2" t="s">
        <v>30</v>
      </c>
      <c r="R1247" s="2" t="s">
        <v>18</v>
      </c>
      <c r="S1247">
        <v>2</v>
      </c>
    </row>
    <row r="1248" spans="1:19" x14ac:dyDescent="0.3">
      <c r="A1248">
        <v>3846</v>
      </c>
      <c r="B1248">
        <f>YEAR(Cleaned_HR_Data_Analysis__2[[#This Row],[Joining_Date]])</f>
        <v>2020</v>
      </c>
      <c r="C1248" s="1">
        <v>43955</v>
      </c>
      <c r="D1248" s="1" t="str" cm="1">
        <f t="array" ref="D1248">_xlfn.IFS(E1248&lt;28, "17-27",
AND(E1248&gt;27, E1248&lt;38), "28-37",
AND(E1248&gt;37, E1248 &lt;48), "38-47",
AND(E1248&gt;47, E1248 &lt;58), "48-57",
AND(E1248&gt;57, E1248&lt;68), "58-67",
AND(E1248&gt;67, E1248&lt;78), "68-77",
E1248&gt;77,"Above than 77")</f>
        <v>38-47</v>
      </c>
      <c r="E1248">
        <v>45</v>
      </c>
      <c r="F1248" s="1">
        <v>27616</v>
      </c>
      <c r="G1248" s="1" t="str">
        <f>VLOOKUP(H1248,Table7[#All], 2, FALSE)</f>
        <v>Massachusetts</v>
      </c>
      <c r="H1248" s="2" t="s">
        <v>14</v>
      </c>
      <c r="I1248" s="2" t="s">
        <v>22</v>
      </c>
      <c r="J1248" s="2" t="s">
        <v>31</v>
      </c>
      <c r="K1248" s="2" t="s">
        <v>70</v>
      </c>
      <c r="L1248" s="2" t="s">
        <v>9</v>
      </c>
      <c r="M1248" s="2" t="s">
        <v>10</v>
      </c>
      <c r="N1248" s="2" t="s">
        <v>11</v>
      </c>
      <c r="O1248" s="2" t="s">
        <v>53</v>
      </c>
      <c r="P1248" s="2" t="s">
        <v>59</v>
      </c>
      <c r="Q1248" s="2" t="s">
        <v>46</v>
      </c>
      <c r="R1248" s="2" t="s">
        <v>18</v>
      </c>
      <c r="S1248">
        <v>5</v>
      </c>
    </row>
    <row r="1249" spans="1:19" x14ac:dyDescent="0.3">
      <c r="A1249">
        <v>2266</v>
      </c>
      <c r="B1249">
        <f>YEAR(Cleaned_HR_Data_Analysis__2[[#This Row],[Joining_Date]])</f>
        <v>2020</v>
      </c>
      <c r="C1249" s="1">
        <v>43963</v>
      </c>
      <c r="D1249" s="1" t="str" cm="1">
        <f t="array" ref="D1249">_xlfn.IFS(E1249&lt;28, "17-27",
AND(E1249&gt;27, E1249&lt;38), "28-37",
AND(E1249&gt;37, E1249 &lt;48), "38-47",
AND(E1249&gt;47, E1249 &lt;58), "48-57",
AND(E1249&gt;57, E1249&lt;68), "58-67",
AND(E1249&gt;67, E1249&lt;78), "68-77",
E1249&gt;77,"Above than 77")</f>
        <v>38-47</v>
      </c>
      <c r="E1249">
        <v>45</v>
      </c>
      <c r="F1249" s="1">
        <v>27435</v>
      </c>
      <c r="G1249" s="1" t="str">
        <f>VLOOKUP(H1249,Table7[#All], 2, FALSE)</f>
        <v>Massachusetts</v>
      </c>
      <c r="H1249" s="2" t="s">
        <v>14</v>
      </c>
      <c r="I1249" s="2" t="s">
        <v>15</v>
      </c>
      <c r="J1249" s="2" t="s">
        <v>31</v>
      </c>
      <c r="K1249" s="2" t="s">
        <v>70</v>
      </c>
      <c r="L1249" s="2" t="s">
        <v>9</v>
      </c>
      <c r="M1249" s="2" t="s">
        <v>25</v>
      </c>
      <c r="N1249" s="2" t="s">
        <v>26</v>
      </c>
      <c r="O1249" s="2" t="s">
        <v>53</v>
      </c>
      <c r="P1249" s="2" t="s">
        <v>35</v>
      </c>
      <c r="Q1249" s="2" t="s">
        <v>30</v>
      </c>
      <c r="R1249" s="2" t="s">
        <v>18</v>
      </c>
      <c r="S1249">
        <v>3</v>
      </c>
    </row>
    <row r="1250" spans="1:19" x14ac:dyDescent="0.3">
      <c r="A1250">
        <v>2229</v>
      </c>
      <c r="B1250">
        <f>YEAR(Cleaned_HR_Data_Analysis__2[[#This Row],[Joining_Date]])</f>
        <v>2022</v>
      </c>
      <c r="C1250" s="1">
        <v>44923</v>
      </c>
      <c r="D1250" s="1" t="str" cm="1">
        <f t="array" ref="D1250">_xlfn.IFS(E1250&lt;28, "17-27",
AND(E1250&gt;27, E1250&lt;38), "28-37",
AND(E1250&gt;37, E1250 &lt;48), "38-47",
AND(E1250&gt;47, E1250 &lt;58), "48-57",
AND(E1250&gt;57, E1250&lt;68), "58-67",
AND(E1250&gt;67, E1250&lt;78), "68-77",
E1250&gt;77,"Above than 77")</f>
        <v>38-47</v>
      </c>
      <c r="E1250">
        <v>45</v>
      </c>
      <c r="F1250" s="1">
        <v>28399</v>
      </c>
      <c r="G1250" s="1" t="str">
        <f>VLOOKUP(H1250,Table7[#All], 2, FALSE)</f>
        <v>Massachusetts</v>
      </c>
      <c r="H1250" s="2" t="s">
        <v>14</v>
      </c>
      <c r="I1250" s="2" t="s">
        <v>15</v>
      </c>
      <c r="J1250" s="2" t="s">
        <v>40</v>
      </c>
      <c r="K1250" s="2" t="s">
        <v>70</v>
      </c>
      <c r="L1250" s="2" t="s">
        <v>9</v>
      </c>
      <c r="M1250" s="2" t="s">
        <v>20</v>
      </c>
      <c r="N1250" s="2" t="s">
        <v>19</v>
      </c>
      <c r="O1250" s="2" t="s">
        <v>53</v>
      </c>
      <c r="P1250" s="2" t="s">
        <v>69</v>
      </c>
      <c r="Q1250" s="2" t="s">
        <v>46</v>
      </c>
      <c r="R1250" s="2" t="s">
        <v>65</v>
      </c>
      <c r="S1250">
        <v>1</v>
      </c>
    </row>
    <row r="1251" spans="1:19" x14ac:dyDescent="0.3">
      <c r="A1251">
        <v>3973</v>
      </c>
      <c r="B1251">
        <f>YEAR(Cleaned_HR_Data_Analysis__2[[#This Row],[Joining_Date]])</f>
        <v>2018</v>
      </c>
      <c r="C1251" s="1">
        <v>43364</v>
      </c>
      <c r="D1251" s="1" t="str" cm="1">
        <f t="array" ref="D1251">_xlfn.IFS(E1251&lt;28, "17-27",
AND(E1251&gt;27, E1251&lt;38), "28-37",
AND(E1251&gt;37, E1251 &lt;48), "38-47",
AND(E1251&gt;47, E1251 &lt;58), "48-57",
AND(E1251&gt;57, E1251&lt;68), "58-67",
AND(E1251&gt;67, E1251&lt;78), "68-77",
E1251&gt;77,"Above than 77")</f>
        <v>38-47</v>
      </c>
      <c r="E1251">
        <v>45</v>
      </c>
      <c r="F1251" s="1">
        <v>26806</v>
      </c>
      <c r="G1251" s="1" t="str">
        <f>VLOOKUP(H1251,Table7[#All], 2, FALSE)</f>
        <v>Texas</v>
      </c>
      <c r="H1251" s="2" t="s">
        <v>45</v>
      </c>
      <c r="I1251" s="2" t="s">
        <v>15</v>
      </c>
      <c r="J1251" s="2" t="s">
        <v>31</v>
      </c>
      <c r="K1251" s="2" t="s">
        <v>77</v>
      </c>
      <c r="L1251" s="2" t="s">
        <v>66</v>
      </c>
      <c r="M1251" s="2" t="s">
        <v>20</v>
      </c>
      <c r="N1251" s="2" t="s">
        <v>11</v>
      </c>
      <c r="O1251" s="2" t="s">
        <v>53</v>
      </c>
      <c r="P1251" s="2" t="s">
        <v>35</v>
      </c>
      <c r="Q1251" s="2" t="s">
        <v>23</v>
      </c>
      <c r="R1251" s="2" t="s">
        <v>41</v>
      </c>
      <c r="S1251">
        <v>2</v>
      </c>
    </row>
    <row r="1252" spans="1:19" x14ac:dyDescent="0.3">
      <c r="A1252">
        <v>3980</v>
      </c>
      <c r="B1252">
        <f>YEAR(Cleaned_HR_Data_Analysis__2[[#This Row],[Joining_Date]])</f>
        <v>2020</v>
      </c>
      <c r="C1252" s="1">
        <v>43962</v>
      </c>
      <c r="D1252" s="1" t="str" cm="1">
        <f t="array" ref="D1252">_xlfn.IFS(E1252&lt;28, "17-27",
AND(E1252&gt;27, E1252&lt;38), "28-37",
AND(E1252&gt;37, E1252 &lt;48), "38-47",
AND(E1252&gt;47, E1252 &lt;58), "48-57",
AND(E1252&gt;57, E1252&lt;68), "58-67",
AND(E1252&gt;67, E1252&lt;78), "68-77",
E1252&gt;77,"Above than 77")</f>
        <v>38-47</v>
      </c>
      <c r="E1252">
        <v>45</v>
      </c>
      <c r="F1252" s="1">
        <v>27730</v>
      </c>
      <c r="G1252" s="1" t="str">
        <f>VLOOKUP(H1252,Table7[#All], 2, FALSE)</f>
        <v>Massachusetts</v>
      </c>
      <c r="H1252" s="2" t="s">
        <v>14</v>
      </c>
      <c r="I1252" s="2" t="s">
        <v>15</v>
      </c>
      <c r="J1252" s="2" t="s">
        <v>34</v>
      </c>
      <c r="K1252" s="2" t="s">
        <v>78</v>
      </c>
      <c r="L1252" s="2" t="s">
        <v>9</v>
      </c>
      <c r="M1252" s="2" t="s">
        <v>25</v>
      </c>
      <c r="N1252" s="2" t="s">
        <v>11</v>
      </c>
      <c r="O1252" s="2" t="s">
        <v>53</v>
      </c>
      <c r="P1252" s="2" t="s">
        <v>54</v>
      </c>
      <c r="Q1252" s="2" t="s">
        <v>16</v>
      </c>
      <c r="R1252" s="2" t="s">
        <v>41</v>
      </c>
      <c r="S1252">
        <v>2</v>
      </c>
    </row>
    <row r="1253" spans="1:19" x14ac:dyDescent="0.3">
      <c r="A1253">
        <v>3961</v>
      </c>
      <c r="B1253">
        <f>YEAR(Cleaned_HR_Data_Analysis__2[[#This Row],[Joining_Date]])</f>
        <v>2023</v>
      </c>
      <c r="C1253" s="1">
        <v>45016</v>
      </c>
      <c r="D1253" s="1" t="str" cm="1">
        <f t="array" ref="D1253">_xlfn.IFS(E1253&lt;28, "17-27",
AND(E1253&gt;27, E1253&lt;38), "28-37",
AND(E1253&gt;37, E1253 &lt;48), "38-47",
AND(E1253&gt;47, E1253 &lt;58), "48-57",
AND(E1253&gt;57, E1253&lt;68), "58-67",
AND(E1253&gt;67, E1253&lt;78), "68-77",
E1253&gt;77,"Above than 77")</f>
        <v>38-47</v>
      </c>
      <c r="E1253">
        <v>45</v>
      </c>
      <c r="F1253" s="1">
        <v>28660</v>
      </c>
      <c r="G1253" s="1" t="str">
        <f>VLOOKUP(H1253,Table7[#All], 2, FALSE)</f>
        <v>Massachusetts</v>
      </c>
      <c r="H1253" s="2" t="s">
        <v>14</v>
      </c>
      <c r="I1253" s="2" t="s">
        <v>22</v>
      </c>
      <c r="J1253" s="2" t="s">
        <v>40</v>
      </c>
      <c r="K1253" s="2" t="s">
        <v>83</v>
      </c>
      <c r="L1253" s="2" t="s">
        <v>9</v>
      </c>
      <c r="M1253" s="2" t="s">
        <v>25</v>
      </c>
      <c r="N1253" s="2" t="s">
        <v>19</v>
      </c>
      <c r="O1253" s="2" t="s">
        <v>53</v>
      </c>
      <c r="P1253" s="2" t="s">
        <v>21</v>
      </c>
      <c r="Q1253" s="2" t="s">
        <v>37</v>
      </c>
      <c r="R1253" s="2" t="s">
        <v>18</v>
      </c>
      <c r="S1253">
        <v>5</v>
      </c>
    </row>
    <row r="1254" spans="1:19" x14ac:dyDescent="0.3">
      <c r="A1254">
        <v>2639</v>
      </c>
      <c r="B1254">
        <f>YEAR(Cleaned_HR_Data_Analysis__2[[#This Row],[Joining_Date]])</f>
        <v>2020</v>
      </c>
      <c r="C1254" s="1">
        <v>44103</v>
      </c>
      <c r="D1254" s="1" t="str" cm="1">
        <f t="array" ref="D1254">_xlfn.IFS(E1254&lt;28, "17-27",
AND(E1254&gt;27, E1254&lt;38), "28-37",
AND(E1254&gt;37, E1254 &lt;48), "38-47",
AND(E1254&gt;47, E1254 &lt;58), "48-57",
AND(E1254&gt;57, E1254&lt;68), "58-67",
AND(E1254&gt;67, E1254&lt;78), "68-77",
E1254&gt;77,"Above than 77")</f>
        <v>38-47</v>
      </c>
      <c r="E1254">
        <v>45</v>
      </c>
      <c r="F1254" s="1">
        <v>27659</v>
      </c>
      <c r="G1254" s="1" t="str">
        <f>VLOOKUP(H1254,Table7[#All], 2, FALSE)</f>
        <v>Arizona</v>
      </c>
      <c r="H1254" s="2" t="s">
        <v>114</v>
      </c>
      <c r="I1254" s="2" t="s">
        <v>22</v>
      </c>
      <c r="J1254" s="2" t="s">
        <v>34</v>
      </c>
      <c r="K1254" s="2" t="s">
        <v>24</v>
      </c>
      <c r="L1254" s="2" t="s">
        <v>9</v>
      </c>
      <c r="M1254" s="2" t="s">
        <v>20</v>
      </c>
      <c r="N1254" s="2" t="s">
        <v>11</v>
      </c>
      <c r="O1254" s="2" t="s">
        <v>27</v>
      </c>
      <c r="P1254" s="2" t="s">
        <v>54</v>
      </c>
      <c r="Q1254" s="2" t="s">
        <v>46</v>
      </c>
      <c r="R1254" s="2" t="s">
        <v>18</v>
      </c>
      <c r="S1254">
        <v>3</v>
      </c>
    </row>
    <row r="1255" spans="1:19" x14ac:dyDescent="0.3">
      <c r="A1255">
        <v>1013</v>
      </c>
      <c r="B1255">
        <f>YEAR(Cleaned_HR_Data_Analysis__2[[#This Row],[Joining_Date]])</f>
        <v>2020</v>
      </c>
      <c r="C1255" s="1">
        <v>43964</v>
      </c>
      <c r="D1255" s="1" t="str" cm="1">
        <f t="array" ref="D1255">_xlfn.IFS(E1255&lt;28, "17-27",
AND(E1255&gt;27, E1255&lt;38), "28-37",
AND(E1255&gt;37, E1255 &lt;48), "38-47",
AND(E1255&gt;47, E1255 &lt;58), "48-57",
AND(E1255&gt;57, E1255&lt;68), "58-67",
AND(E1255&gt;67, E1255&lt;78), "68-77",
E1255&gt;77,"Above than 77")</f>
        <v>38-47</v>
      </c>
      <c r="E1255">
        <v>46</v>
      </c>
      <c r="F1255" s="1">
        <v>27352</v>
      </c>
      <c r="G1255" s="1" t="str">
        <f>VLOOKUP(H1255,Table7[#All], 2, FALSE)</f>
        <v>Massachusetts</v>
      </c>
      <c r="H1255" s="2" t="s">
        <v>14</v>
      </c>
      <c r="I1255" s="2" t="s">
        <v>22</v>
      </c>
      <c r="J1255" s="2" t="s">
        <v>31</v>
      </c>
      <c r="K1255" s="2" t="s">
        <v>86</v>
      </c>
      <c r="L1255" s="2" t="s">
        <v>9</v>
      </c>
      <c r="M1255" s="2" t="s">
        <v>20</v>
      </c>
      <c r="N1255" s="2" t="s">
        <v>26</v>
      </c>
      <c r="O1255" s="2" t="s">
        <v>87</v>
      </c>
      <c r="P1255" s="2" t="s">
        <v>42</v>
      </c>
      <c r="Q1255" s="2" t="s">
        <v>46</v>
      </c>
      <c r="R1255" s="2" t="s">
        <v>18</v>
      </c>
      <c r="S1255">
        <v>4</v>
      </c>
    </row>
    <row r="1256" spans="1:19" x14ac:dyDescent="0.3">
      <c r="A1256">
        <v>1712</v>
      </c>
      <c r="B1256">
        <f>YEAR(Cleaned_HR_Data_Analysis__2[[#This Row],[Joining_Date]])</f>
        <v>2018</v>
      </c>
      <c r="C1256" s="1">
        <v>43446</v>
      </c>
      <c r="D1256" s="1" t="str" cm="1">
        <f t="array" ref="D1256">_xlfn.IFS(E1256&lt;28, "17-27",
AND(E1256&gt;27, E1256&lt;38), "28-37",
AND(E1256&gt;37, E1256 &lt;48), "38-47",
AND(E1256&gt;47, E1256 &lt;58), "48-57",
AND(E1256&gt;57, E1256&lt;68), "58-67",
AND(E1256&gt;67, E1256&lt;78), "68-77",
E1256&gt;77,"Above than 77")</f>
        <v>38-47</v>
      </c>
      <c r="E1256">
        <v>46</v>
      </c>
      <c r="F1256" s="1">
        <v>26358</v>
      </c>
      <c r="G1256" s="1" t="str">
        <f>VLOOKUP(H1256,Table7[#All], 2, FALSE)</f>
        <v>Massachusetts</v>
      </c>
      <c r="H1256" s="2" t="s">
        <v>14</v>
      </c>
      <c r="I1256" s="2" t="s">
        <v>15</v>
      </c>
      <c r="J1256" s="2" t="s">
        <v>31</v>
      </c>
      <c r="K1256" s="2" t="s">
        <v>89</v>
      </c>
      <c r="L1256" s="2" t="s">
        <v>9</v>
      </c>
      <c r="M1256" s="2" t="s">
        <v>25</v>
      </c>
      <c r="N1256" s="2" t="s">
        <v>19</v>
      </c>
      <c r="O1256" s="2" t="s">
        <v>53</v>
      </c>
      <c r="P1256" s="2" t="s">
        <v>42</v>
      </c>
      <c r="Q1256" s="2" t="s">
        <v>37</v>
      </c>
      <c r="R1256" s="2" t="s">
        <v>18</v>
      </c>
      <c r="S1256">
        <v>2</v>
      </c>
    </row>
    <row r="1257" spans="1:19" x14ac:dyDescent="0.3">
      <c r="A1257">
        <v>1667</v>
      </c>
      <c r="B1257">
        <f>YEAR(Cleaned_HR_Data_Analysis__2[[#This Row],[Joining_Date]])</f>
        <v>2018</v>
      </c>
      <c r="C1257" s="1">
        <v>43340</v>
      </c>
      <c r="D1257" s="1" t="str" cm="1">
        <f t="array" ref="D1257">_xlfn.IFS(E1257&lt;28, "17-27",
AND(E1257&gt;27, E1257&lt;38), "28-37",
AND(E1257&gt;37, E1257 &lt;48), "38-47",
AND(E1257&gt;47, E1257 &lt;58), "48-57",
AND(E1257&gt;57, E1257&lt;68), "58-67",
AND(E1257&gt;67, E1257&lt;78), "68-77",
E1257&gt;77,"Above than 77")</f>
        <v>38-47</v>
      </c>
      <c r="E1257">
        <v>46</v>
      </c>
      <c r="F1257" s="1">
        <v>26377</v>
      </c>
      <c r="G1257" s="1" t="str">
        <f>VLOOKUP(H1257,Table7[#All], 2, FALSE)</f>
        <v>Massachusetts</v>
      </c>
      <c r="H1257" s="2" t="s">
        <v>14</v>
      </c>
      <c r="I1257" s="2" t="s">
        <v>22</v>
      </c>
      <c r="J1257" s="2" t="s">
        <v>17</v>
      </c>
      <c r="K1257" s="2" t="s">
        <v>89</v>
      </c>
      <c r="L1257" s="2" t="s">
        <v>9</v>
      </c>
      <c r="M1257" s="2" t="s">
        <v>25</v>
      </c>
      <c r="N1257" s="2" t="s">
        <v>19</v>
      </c>
      <c r="O1257" s="2" t="s">
        <v>90</v>
      </c>
      <c r="P1257" s="2" t="s">
        <v>49</v>
      </c>
      <c r="Q1257" s="2" t="s">
        <v>37</v>
      </c>
      <c r="R1257" s="2" t="s">
        <v>18</v>
      </c>
      <c r="S1257">
        <v>3</v>
      </c>
    </row>
    <row r="1258" spans="1:19" x14ac:dyDescent="0.3">
      <c r="A1258">
        <v>3625</v>
      </c>
      <c r="B1258">
        <f>YEAR(Cleaned_HR_Data_Analysis__2[[#This Row],[Joining_Date]])</f>
        <v>2021</v>
      </c>
      <c r="C1258" s="1">
        <v>44511</v>
      </c>
      <c r="D1258" s="1" t="str" cm="1">
        <f t="array" ref="D1258">_xlfn.IFS(E1258&lt;28, "17-27",
AND(E1258&gt;27, E1258&lt;38), "28-37",
AND(E1258&gt;37, E1258 &lt;48), "38-47",
AND(E1258&gt;47, E1258 &lt;58), "48-57",
AND(E1258&gt;57, E1258&lt;68), "58-67",
AND(E1258&gt;67, E1258&lt;78), "68-77",
E1258&gt;77,"Above than 77")</f>
        <v>38-47</v>
      </c>
      <c r="E1258">
        <v>46</v>
      </c>
      <c r="F1258" s="1">
        <v>27742</v>
      </c>
      <c r="G1258" s="1" t="str">
        <f>VLOOKUP(H1258,Table7[#All], 2, FALSE)</f>
        <v>Massachusetts</v>
      </c>
      <c r="H1258" s="2" t="s">
        <v>14</v>
      </c>
      <c r="I1258" s="2" t="s">
        <v>15</v>
      </c>
      <c r="J1258" s="2" t="s">
        <v>31</v>
      </c>
      <c r="K1258" s="2" t="s">
        <v>64</v>
      </c>
      <c r="L1258" s="2" t="s">
        <v>66</v>
      </c>
      <c r="M1258" s="2" t="s">
        <v>10</v>
      </c>
      <c r="N1258" s="2" t="s">
        <v>26</v>
      </c>
      <c r="O1258" s="2" t="s">
        <v>12</v>
      </c>
      <c r="P1258" s="2" t="s">
        <v>42</v>
      </c>
      <c r="Q1258" s="2" t="s">
        <v>46</v>
      </c>
      <c r="R1258" s="2" t="s">
        <v>18</v>
      </c>
      <c r="S1258">
        <v>2</v>
      </c>
    </row>
    <row r="1259" spans="1:19" x14ac:dyDescent="0.3">
      <c r="A1259">
        <v>3200</v>
      </c>
      <c r="B1259">
        <f>YEAR(Cleaned_HR_Data_Analysis__2[[#This Row],[Joining_Date]])</f>
        <v>2021</v>
      </c>
      <c r="C1259" s="1">
        <v>44204</v>
      </c>
      <c r="D1259" s="1" t="str" cm="1">
        <f t="array" ref="D1259">_xlfn.IFS(E1259&lt;28, "17-27",
AND(E1259&gt;27, E1259&lt;38), "28-37",
AND(E1259&gt;37, E1259 &lt;48), "38-47",
AND(E1259&gt;47, E1259 &lt;58), "48-57",
AND(E1259&gt;57, E1259&lt;68), "58-67",
AND(E1259&gt;67, E1259&lt;78), "68-77",
E1259&gt;77,"Above than 77")</f>
        <v>38-47</v>
      </c>
      <c r="E1259">
        <v>46</v>
      </c>
      <c r="F1259" s="1">
        <v>27601</v>
      </c>
      <c r="G1259" s="1" t="str">
        <f>VLOOKUP(H1259,Table7[#All], 2, FALSE)</f>
        <v>Massachusetts</v>
      </c>
      <c r="H1259" s="2" t="s">
        <v>14</v>
      </c>
      <c r="I1259" s="2" t="s">
        <v>22</v>
      </c>
      <c r="J1259" s="2" t="s">
        <v>34</v>
      </c>
      <c r="K1259" s="2" t="s">
        <v>64</v>
      </c>
      <c r="L1259" s="2" t="s">
        <v>9</v>
      </c>
      <c r="M1259" s="2" t="s">
        <v>20</v>
      </c>
      <c r="N1259" s="2" t="s">
        <v>26</v>
      </c>
      <c r="O1259" s="2" t="s">
        <v>12</v>
      </c>
      <c r="P1259" s="2" t="s">
        <v>67</v>
      </c>
      <c r="Q1259" s="2" t="s">
        <v>46</v>
      </c>
      <c r="R1259" s="2" t="s">
        <v>18</v>
      </c>
      <c r="S1259">
        <v>1</v>
      </c>
    </row>
    <row r="1260" spans="1:19" x14ac:dyDescent="0.3">
      <c r="A1260">
        <v>2925</v>
      </c>
      <c r="B1260">
        <f>YEAR(Cleaned_HR_Data_Analysis__2[[#This Row],[Joining_Date]])</f>
        <v>2018</v>
      </c>
      <c r="C1260" s="1">
        <v>43342</v>
      </c>
      <c r="D1260" s="1" t="str" cm="1">
        <f t="array" ref="D1260">_xlfn.IFS(E1260&lt;28, "17-27",
AND(E1260&gt;27, E1260&lt;38), "28-37",
AND(E1260&gt;37, E1260 &lt;48), "38-47",
AND(E1260&gt;47, E1260 &lt;58), "48-57",
AND(E1260&gt;57, E1260&lt;68), "58-67",
AND(E1260&gt;67, E1260&lt;78), "68-77",
E1260&gt;77,"Above than 77")</f>
        <v>38-47</v>
      </c>
      <c r="E1260">
        <v>46</v>
      </c>
      <c r="F1260" s="1">
        <v>26560</v>
      </c>
      <c r="G1260" s="1" t="str">
        <f>VLOOKUP(H1260,Table7[#All], 2, FALSE)</f>
        <v>Massachusetts</v>
      </c>
      <c r="H1260" s="2" t="s">
        <v>14</v>
      </c>
      <c r="I1260" s="2" t="s">
        <v>22</v>
      </c>
      <c r="J1260" s="2" t="s">
        <v>40</v>
      </c>
      <c r="K1260" s="2" t="s">
        <v>64</v>
      </c>
      <c r="L1260" s="2" t="s">
        <v>9</v>
      </c>
      <c r="M1260" s="2" t="s">
        <v>20</v>
      </c>
      <c r="N1260" s="2" t="s">
        <v>26</v>
      </c>
      <c r="O1260" s="2" t="s">
        <v>12</v>
      </c>
      <c r="P1260" s="2" t="s">
        <v>28</v>
      </c>
      <c r="Q1260" s="2" t="s">
        <v>30</v>
      </c>
      <c r="R1260" s="2" t="s">
        <v>41</v>
      </c>
      <c r="S1260">
        <v>3</v>
      </c>
    </row>
    <row r="1261" spans="1:19" x14ac:dyDescent="0.3">
      <c r="A1261">
        <v>2783</v>
      </c>
      <c r="B1261">
        <f>YEAR(Cleaned_HR_Data_Analysis__2[[#This Row],[Joining_Date]])</f>
        <v>2023</v>
      </c>
      <c r="C1261" s="1">
        <v>45088</v>
      </c>
      <c r="D1261" s="1" t="str" cm="1">
        <f t="array" ref="D1261">_xlfn.IFS(E1261&lt;28, "17-27",
AND(E1261&gt;27, E1261&lt;38), "28-37",
AND(E1261&gt;37, E1261 &lt;48), "38-47",
AND(E1261&gt;47, E1261 &lt;58), "48-57",
AND(E1261&gt;57, E1261&lt;68), "58-67",
AND(E1261&gt;67, E1261&lt;78), "68-77",
E1261&gt;77,"Above than 77")</f>
        <v>38-47</v>
      </c>
      <c r="E1261">
        <v>46</v>
      </c>
      <c r="F1261" s="1">
        <v>28419</v>
      </c>
      <c r="G1261" s="1" t="str">
        <f>VLOOKUP(H1261,Table7[#All], 2, FALSE)</f>
        <v>Massachusetts</v>
      </c>
      <c r="H1261" s="2" t="s">
        <v>14</v>
      </c>
      <c r="I1261" s="2" t="s">
        <v>22</v>
      </c>
      <c r="J1261" s="2" t="s">
        <v>34</v>
      </c>
      <c r="K1261" s="2" t="s">
        <v>64</v>
      </c>
      <c r="L1261" s="2" t="s">
        <v>9</v>
      </c>
      <c r="M1261" s="2" t="s">
        <v>20</v>
      </c>
      <c r="N1261" s="2" t="s">
        <v>19</v>
      </c>
      <c r="O1261" s="2" t="s">
        <v>12</v>
      </c>
      <c r="P1261" s="2" t="s">
        <v>59</v>
      </c>
      <c r="Q1261" s="2" t="s">
        <v>16</v>
      </c>
      <c r="R1261" s="2" t="s">
        <v>18</v>
      </c>
      <c r="S1261">
        <v>1</v>
      </c>
    </row>
    <row r="1262" spans="1:19" x14ac:dyDescent="0.3">
      <c r="A1262">
        <v>2071</v>
      </c>
      <c r="B1262">
        <f>YEAR(Cleaned_HR_Data_Analysis__2[[#This Row],[Joining_Date]])</f>
        <v>2023</v>
      </c>
      <c r="C1262" s="1">
        <v>44930</v>
      </c>
      <c r="D1262" s="1" t="str" cm="1">
        <f t="array" ref="D1262">_xlfn.IFS(E1262&lt;28, "17-27",
AND(E1262&gt;27, E1262&lt;38), "28-37",
AND(E1262&gt;37, E1262 &lt;48), "38-47",
AND(E1262&gt;47, E1262 &lt;58), "48-57",
AND(E1262&gt;57, E1262&lt;68), "58-67",
AND(E1262&gt;67, E1262&lt;78), "68-77",
E1262&gt;77,"Above than 77")</f>
        <v>38-47</v>
      </c>
      <c r="E1262">
        <v>46</v>
      </c>
      <c r="F1262" s="1">
        <v>28259</v>
      </c>
      <c r="G1262" s="1" t="str">
        <f>VLOOKUP(H1262,Table7[#All], 2, FALSE)</f>
        <v>Massachusetts</v>
      </c>
      <c r="H1262" s="2" t="s">
        <v>14</v>
      </c>
      <c r="I1262" s="2" t="s">
        <v>15</v>
      </c>
      <c r="J1262" s="2" t="s">
        <v>17</v>
      </c>
      <c r="K1262" s="2" t="s">
        <v>64</v>
      </c>
      <c r="L1262" s="2" t="s">
        <v>9</v>
      </c>
      <c r="M1262" s="2" t="s">
        <v>10</v>
      </c>
      <c r="N1262" s="2" t="s">
        <v>19</v>
      </c>
      <c r="O1262" s="2" t="s">
        <v>12</v>
      </c>
      <c r="P1262" s="2" t="s">
        <v>59</v>
      </c>
      <c r="Q1262" s="2" t="s">
        <v>16</v>
      </c>
      <c r="R1262" s="2" t="s">
        <v>18</v>
      </c>
      <c r="S1262">
        <v>1</v>
      </c>
    </row>
    <row r="1263" spans="1:19" x14ac:dyDescent="0.3">
      <c r="A1263">
        <v>2025</v>
      </c>
      <c r="B1263">
        <f>YEAR(Cleaned_HR_Data_Analysis__2[[#This Row],[Joining_Date]])</f>
        <v>2021</v>
      </c>
      <c r="C1263" s="1">
        <v>44225</v>
      </c>
      <c r="D1263" s="1" t="str" cm="1">
        <f t="array" ref="D1263">_xlfn.IFS(E1263&lt;28, "17-27",
AND(E1263&gt;27, E1263&lt;38), "28-37",
AND(E1263&gt;37, E1263 &lt;48), "38-47",
AND(E1263&gt;47, E1263 &lt;58), "48-57",
AND(E1263&gt;57, E1263&lt;68), "58-67",
AND(E1263&gt;67, E1263&lt;78), "68-77",
E1263&gt;77,"Above than 77")</f>
        <v>38-47</v>
      </c>
      <c r="E1263">
        <v>46</v>
      </c>
      <c r="F1263" s="1">
        <v>27495</v>
      </c>
      <c r="G1263" s="1" t="str">
        <f>VLOOKUP(H1263,Table7[#All], 2, FALSE)</f>
        <v>Massachusetts</v>
      </c>
      <c r="H1263" s="2" t="s">
        <v>14</v>
      </c>
      <c r="I1263" s="2" t="s">
        <v>15</v>
      </c>
      <c r="J1263" s="2" t="s">
        <v>31</v>
      </c>
      <c r="K1263" s="2" t="s">
        <v>64</v>
      </c>
      <c r="L1263" s="2" t="s">
        <v>9</v>
      </c>
      <c r="M1263" s="2" t="s">
        <v>20</v>
      </c>
      <c r="N1263" s="2" t="s">
        <v>11</v>
      </c>
      <c r="O1263" s="2" t="s">
        <v>12</v>
      </c>
      <c r="P1263" s="2" t="s">
        <v>35</v>
      </c>
      <c r="Q1263" s="2" t="s">
        <v>46</v>
      </c>
      <c r="R1263" s="2" t="s">
        <v>18</v>
      </c>
      <c r="S1263">
        <v>2</v>
      </c>
    </row>
    <row r="1264" spans="1:19" x14ac:dyDescent="0.3">
      <c r="A1264">
        <v>1837</v>
      </c>
      <c r="B1264">
        <f>YEAR(Cleaned_HR_Data_Analysis__2[[#This Row],[Joining_Date]])</f>
        <v>2021</v>
      </c>
      <c r="C1264" s="1">
        <v>44424</v>
      </c>
      <c r="D1264" s="1" t="str" cm="1">
        <f t="array" ref="D1264">_xlfn.IFS(E1264&lt;28, "17-27",
AND(E1264&gt;27, E1264&lt;38), "28-37",
AND(E1264&gt;37, E1264 &lt;48), "38-47",
AND(E1264&gt;47, E1264 &lt;58), "48-57",
AND(E1264&gt;57, E1264&lt;68), "58-67",
AND(E1264&gt;67, E1264&lt;78), "68-77",
E1264&gt;77,"Above than 77")</f>
        <v>38-47</v>
      </c>
      <c r="E1264">
        <v>46</v>
      </c>
      <c r="F1264" s="1">
        <v>27562</v>
      </c>
      <c r="G1264" s="1" t="str">
        <f>VLOOKUP(H1264,Table7[#All], 2, FALSE)</f>
        <v>Massachusetts</v>
      </c>
      <c r="H1264" s="2" t="s">
        <v>14</v>
      </c>
      <c r="I1264" s="2" t="s">
        <v>15</v>
      </c>
      <c r="J1264" s="2" t="s">
        <v>40</v>
      </c>
      <c r="K1264" s="2" t="s">
        <v>64</v>
      </c>
      <c r="L1264" s="2" t="s">
        <v>9</v>
      </c>
      <c r="M1264" s="2" t="s">
        <v>20</v>
      </c>
      <c r="N1264" s="2" t="s">
        <v>26</v>
      </c>
      <c r="O1264" s="2" t="s">
        <v>12</v>
      </c>
      <c r="P1264" s="2" t="s">
        <v>54</v>
      </c>
      <c r="Q1264" s="2" t="s">
        <v>46</v>
      </c>
      <c r="R1264" s="2" t="s">
        <v>56</v>
      </c>
      <c r="S1264">
        <v>3</v>
      </c>
    </row>
    <row r="1265" spans="1:19" x14ac:dyDescent="0.3">
      <c r="A1265">
        <v>1237</v>
      </c>
      <c r="B1265">
        <f>YEAR(Cleaned_HR_Data_Analysis__2[[#This Row],[Joining_Date]])</f>
        <v>2021</v>
      </c>
      <c r="C1265" s="1">
        <v>44278</v>
      </c>
      <c r="D1265" s="1" t="str" cm="1">
        <f t="array" ref="D1265">_xlfn.IFS(E1265&lt;28, "17-27",
AND(E1265&gt;27, E1265&lt;38), "28-37",
AND(E1265&gt;37, E1265 &lt;48), "38-47",
AND(E1265&gt;47, E1265 &lt;58), "48-57",
AND(E1265&gt;57, E1265&lt;68), "58-67",
AND(E1265&gt;67, E1265&lt;78), "68-77",
E1265&gt;77,"Above than 77")</f>
        <v>38-47</v>
      </c>
      <c r="E1265">
        <v>46</v>
      </c>
      <c r="F1265" s="1">
        <v>27745</v>
      </c>
      <c r="G1265" s="1" t="str">
        <f>VLOOKUP(H1265,Table7[#All], 2, FALSE)</f>
        <v>Massachusetts</v>
      </c>
      <c r="H1265" s="2" t="s">
        <v>14</v>
      </c>
      <c r="I1265" s="2" t="s">
        <v>15</v>
      </c>
      <c r="J1265" s="2" t="s">
        <v>40</v>
      </c>
      <c r="K1265" s="2" t="s">
        <v>64</v>
      </c>
      <c r="L1265" s="2" t="s">
        <v>66</v>
      </c>
      <c r="M1265" s="2" t="s">
        <v>20</v>
      </c>
      <c r="N1265" s="2" t="s">
        <v>19</v>
      </c>
      <c r="O1265" s="2" t="s">
        <v>12</v>
      </c>
      <c r="P1265" s="2" t="s">
        <v>63</v>
      </c>
      <c r="Q1265" s="2" t="s">
        <v>37</v>
      </c>
      <c r="R1265" s="2" t="s">
        <v>18</v>
      </c>
      <c r="S1265">
        <v>3</v>
      </c>
    </row>
    <row r="1266" spans="1:19" x14ac:dyDescent="0.3">
      <c r="A1266">
        <v>3708</v>
      </c>
      <c r="B1266">
        <f>YEAR(Cleaned_HR_Data_Analysis__2[[#This Row],[Joining_Date]])</f>
        <v>2020</v>
      </c>
      <c r="C1266" s="1">
        <v>44064</v>
      </c>
      <c r="D1266" s="1" t="str" cm="1">
        <f t="array" ref="D1266">_xlfn.IFS(E1266&lt;28, "17-27",
AND(E1266&gt;27, E1266&lt;38), "28-37",
AND(E1266&gt;37, E1266 &lt;48), "38-47",
AND(E1266&gt;47, E1266 &lt;58), "48-57",
AND(E1266&gt;57, E1266&lt;68), "58-67",
AND(E1266&gt;67, E1266&lt;78), "68-77",
E1266&gt;77,"Above than 77")</f>
        <v>38-47</v>
      </c>
      <c r="E1266">
        <v>46</v>
      </c>
      <c r="F1266" s="1">
        <v>27079</v>
      </c>
      <c r="G1266" s="1" t="str">
        <f>VLOOKUP(H1266,Table7[#All], 2, FALSE)</f>
        <v>Massachusetts</v>
      </c>
      <c r="H1266" s="2" t="s">
        <v>14</v>
      </c>
      <c r="I1266" s="2" t="s">
        <v>22</v>
      </c>
      <c r="J1266" s="2" t="s">
        <v>34</v>
      </c>
      <c r="K1266" s="2" t="s">
        <v>8</v>
      </c>
      <c r="L1266" s="2" t="s">
        <v>9</v>
      </c>
      <c r="M1266" s="2" t="s">
        <v>25</v>
      </c>
      <c r="N1266" s="2" t="s">
        <v>11</v>
      </c>
      <c r="O1266" s="2" t="s">
        <v>12</v>
      </c>
      <c r="P1266" s="2" t="s">
        <v>55</v>
      </c>
      <c r="Q1266" s="2" t="s">
        <v>37</v>
      </c>
      <c r="R1266" s="2" t="s">
        <v>41</v>
      </c>
      <c r="S1266">
        <v>5</v>
      </c>
    </row>
    <row r="1267" spans="1:19" x14ac:dyDescent="0.3">
      <c r="A1267">
        <v>3613</v>
      </c>
      <c r="B1267">
        <f>YEAR(Cleaned_HR_Data_Analysis__2[[#This Row],[Joining_Date]])</f>
        <v>2019</v>
      </c>
      <c r="C1267" s="1">
        <v>43520</v>
      </c>
      <c r="D1267" s="1" t="str" cm="1">
        <f t="array" ref="D1267">_xlfn.IFS(E1267&lt;28, "17-27",
AND(E1267&gt;27, E1267&lt;38), "28-37",
AND(E1267&gt;37, E1267 &lt;48), "38-47",
AND(E1267&gt;47, E1267 &lt;58), "48-57",
AND(E1267&gt;57, E1267&lt;68), "58-67",
AND(E1267&gt;67, E1267&lt;78), "68-77",
E1267&gt;77,"Above than 77")</f>
        <v>38-47</v>
      </c>
      <c r="E1267">
        <v>46</v>
      </c>
      <c r="F1267" s="1">
        <v>26829</v>
      </c>
      <c r="G1267" s="1" t="str">
        <f>VLOOKUP(H1267,Table7[#All], 2, FALSE)</f>
        <v>Massachusetts</v>
      </c>
      <c r="H1267" s="2" t="s">
        <v>14</v>
      </c>
      <c r="I1267" s="2" t="s">
        <v>22</v>
      </c>
      <c r="J1267" s="2" t="s">
        <v>34</v>
      </c>
      <c r="K1267" s="2" t="s">
        <v>8</v>
      </c>
      <c r="L1267" s="2" t="s">
        <v>9</v>
      </c>
      <c r="M1267" s="2" t="s">
        <v>10</v>
      </c>
      <c r="N1267" s="2" t="s">
        <v>26</v>
      </c>
      <c r="O1267" s="2" t="s">
        <v>12</v>
      </c>
      <c r="P1267" s="2" t="s">
        <v>35</v>
      </c>
      <c r="Q1267" s="2" t="s">
        <v>46</v>
      </c>
      <c r="R1267" s="2" t="s">
        <v>41</v>
      </c>
      <c r="S1267">
        <v>5</v>
      </c>
    </row>
    <row r="1268" spans="1:19" x14ac:dyDescent="0.3">
      <c r="A1268">
        <v>3403</v>
      </c>
      <c r="B1268">
        <f>YEAR(Cleaned_HR_Data_Analysis__2[[#This Row],[Joining_Date]])</f>
        <v>2021</v>
      </c>
      <c r="C1268" s="1">
        <v>44246</v>
      </c>
      <c r="D1268" s="1" t="str" cm="1">
        <f t="array" ref="D1268">_xlfn.IFS(E1268&lt;28, "17-27",
AND(E1268&gt;27, E1268&lt;38), "28-37",
AND(E1268&gt;37, E1268 &lt;48), "38-47",
AND(E1268&gt;47, E1268 &lt;58), "48-57",
AND(E1268&gt;57, E1268&lt;68), "58-67",
AND(E1268&gt;67, E1268&lt;78), "68-77",
E1268&gt;77,"Above than 77")</f>
        <v>38-47</v>
      </c>
      <c r="E1268">
        <v>46</v>
      </c>
      <c r="F1268" s="1">
        <v>27640</v>
      </c>
      <c r="G1268" s="1" t="str">
        <f>VLOOKUP(H1268,Table7[#All], 2, FALSE)</f>
        <v>Massachusetts</v>
      </c>
      <c r="H1268" s="2" t="s">
        <v>14</v>
      </c>
      <c r="I1268" s="2" t="s">
        <v>15</v>
      </c>
      <c r="J1268" s="2" t="s">
        <v>34</v>
      </c>
      <c r="K1268" s="2" t="s">
        <v>8</v>
      </c>
      <c r="L1268" s="2" t="s">
        <v>66</v>
      </c>
      <c r="M1268" s="2" t="s">
        <v>10</v>
      </c>
      <c r="N1268" s="2" t="s">
        <v>19</v>
      </c>
      <c r="O1268" s="2" t="s">
        <v>12</v>
      </c>
      <c r="P1268" s="2" t="s">
        <v>35</v>
      </c>
      <c r="Q1268" s="2" t="s">
        <v>46</v>
      </c>
      <c r="R1268" s="2" t="s">
        <v>41</v>
      </c>
      <c r="S1268">
        <v>4</v>
      </c>
    </row>
    <row r="1269" spans="1:19" x14ac:dyDescent="0.3">
      <c r="A1269">
        <v>3395</v>
      </c>
      <c r="B1269">
        <f>YEAR(Cleaned_HR_Data_Analysis__2[[#This Row],[Joining_Date]])</f>
        <v>2021</v>
      </c>
      <c r="C1269" s="1">
        <v>44356</v>
      </c>
      <c r="D1269" s="1" t="str" cm="1">
        <f t="array" ref="D1269">_xlfn.IFS(E1269&lt;28, "17-27",
AND(E1269&gt;27, E1269&lt;38), "28-37",
AND(E1269&gt;37, E1269 &lt;48), "38-47",
AND(E1269&gt;47, E1269 &lt;58), "48-57",
AND(E1269&gt;57, E1269&lt;68), "58-67",
AND(E1269&gt;67, E1269&lt;78), "68-77",
E1269&gt;77,"Above than 77")</f>
        <v>38-47</v>
      </c>
      <c r="E1269">
        <v>46</v>
      </c>
      <c r="F1269" s="1">
        <v>27434</v>
      </c>
      <c r="G1269" s="1" t="str">
        <f>VLOOKUP(H1269,Table7[#All], 2, FALSE)</f>
        <v>Massachusetts</v>
      </c>
      <c r="H1269" s="2" t="s">
        <v>14</v>
      </c>
      <c r="I1269" s="2" t="s">
        <v>15</v>
      </c>
      <c r="J1269" s="2" t="s">
        <v>17</v>
      </c>
      <c r="K1269" s="2" t="s">
        <v>8</v>
      </c>
      <c r="L1269" s="2" t="s">
        <v>66</v>
      </c>
      <c r="M1269" s="2" t="s">
        <v>20</v>
      </c>
      <c r="N1269" s="2" t="s">
        <v>19</v>
      </c>
      <c r="O1269" s="2" t="s">
        <v>12</v>
      </c>
      <c r="P1269" s="2" t="s">
        <v>35</v>
      </c>
      <c r="Q1269" s="2" t="s">
        <v>30</v>
      </c>
      <c r="R1269" s="2" t="s">
        <v>56</v>
      </c>
      <c r="S1269">
        <v>4</v>
      </c>
    </row>
    <row r="1270" spans="1:19" x14ac:dyDescent="0.3">
      <c r="A1270">
        <v>3018</v>
      </c>
      <c r="B1270">
        <f>YEAR(Cleaned_HR_Data_Analysis__2[[#This Row],[Joining_Date]])</f>
        <v>2020</v>
      </c>
      <c r="C1270" s="1">
        <v>44114</v>
      </c>
      <c r="D1270" s="1" t="str" cm="1">
        <f t="array" ref="D1270">_xlfn.IFS(E1270&lt;28, "17-27",
AND(E1270&gt;27, E1270&lt;38), "28-37",
AND(E1270&gt;37, E1270 &lt;48), "38-47",
AND(E1270&gt;47, E1270 &lt;58), "48-57",
AND(E1270&gt;57, E1270&lt;68), "58-67",
AND(E1270&gt;67, E1270&lt;78), "68-77",
E1270&gt;77,"Above than 77")</f>
        <v>38-47</v>
      </c>
      <c r="E1270">
        <v>46</v>
      </c>
      <c r="F1270" s="1">
        <v>27193</v>
      </c>
      <c r="G1270" s="1" t="str">
        <f>VLOOKUP(H1270,Table7[#All], 2, FALSE)</f>
        <v>Massachusetts</v>
      </c>
      <c r="H1270" s="2" t="s">
        <v>14</v>
      </c>
      <c r="I1270" s="2" t="s">
        <v>15</v>
      </c>
      <c r="J1270" s="2" t="s">
        <v>17</v>
      </c>
      <c r="K1270" s="2" t="s">
        <v>8</v>
      </c>
      <c r="L1270" s="2" t="s">
        <v>9</v>
      </c>
      <c r="M1270" s="2" t="s">
        <v>10</v>
      </c>
      <c r="N1270" s="2" t="s">
        <v>11</v>
      </c>
      <c r="O1270" s="2" t="s">
        <v>12</v>
      </c>
      <c r="P1270" s="2" t="s">
        <v>54</v>
      </c>
      <c r="Q1270" s="2" t="s">
        <v>37</v>
      </c>
      <c r="R1270" s="2" t="s">
        <v>65</v>
      </c>
      <c r="S1270">
        <v>1</v>
      </c>
    </row>
    <row r="1271" spans="1:19" x14ac:dyDescent="0.3">
      <c r="A1271">
        <v>2963</v>
      </c>
      <c r="B1271">
        <f>YEAR(Cleaned_HR_Data_Analysis__2[[#This Row],[Joining_Date]])</f>
        <v>2021</v>
      </c>
      <c r="C1271" s="1">
        <v>44529</v>
      </c>
      <c r="D1271" s="1" t="str" cm="1">
        <f t="array" ref="D1271">_xlfn.IFS(E1271&lt;28, "17-27",
AND(E1271&gt;27, E1271&lt;38), "28-37",
AND(E1271&gt;37, E1271 &lt;48), "38-47",
AND(E1271&gt;47, E1271 &lt;58), "48-57",
AND(E1271&gt;57, E1271&lt;68), "58-67",
AND(E1271&gt;67, E1271&lt;78), "68-77",
E1271&gt;77,"Above than 77")</f>
        <v>38-47</v>
      </c>
      <c r="E1271">
        <v>46</v>
      </c>
      <c r="F1271" s="1">
        <v>27641</v>
      </c>
      <c r="G1271" s="1" t="str">
        <f>VLOOKUP(H1271,Table7[#All], 2, FALSE)</f>
        <v>Massachusetts</v>
      </c>
      <c r="H1271" s="2" t="s">
        <v>14</v>
      </c>
      <c r="I1271" s="2" t="s">
        <v>22</v>
      </c>
      <c r="J1271" s="2" t="s">
        <v>34</v>
      </c>
      <c r="K1271" s="2" t="s">
        <v>8</v>
      </c>
      <c r="L1271" s="2" t="s">
        <v>9</v>
      </c>
      <c r="M1271" s="2" t="s">
        <v>25</v>
      </c>
      <c r="N1271" s="2" t="s">
        <v>26</v>
      </c>
      <c r="O1271" s="2" t="s">
        <v>12</v>
      </c>
      <c r="P1271" s="2" t="s">
        <v>35</v>
      </c>
      <c r="Q1271" s="2" t="s">
        <v>30</v>
      </c>
      <c r="R1271" s="2" t="s">
        <v>18</v>
      </c>
      <c r="S1271">
        <v>3</v>
      </c>
    </row>
    <row r="1272" spans="1:19" x14ac:dyDescent="0.3">
      <c r="A1272">
        <v>2832</v>
      </c>
      <c r="B1272">
        <f>YEAR(Cleaned_HR_Data_Analysis__2[[#This Row],[Joining_Date]])</f>
        <v>2021</v>
      </c>
      <c r="C1272" s="1">
        <v>44521</v>
      </c>
      <c r="D1272" s="1" t="str" cm="1">
        <f t="array" ref="D1272">_xlfn.IFS(E1272&lt;28, "17-27",
AND(E1272&gt;27, E1272&lt;38), "28-37",
AND(E1272&gt;37, E1272 &lt;48), "38-47",
AND(E1272&gt;47, E1272 &lt;58), "48-57",
AND(E1272&gt;57, E1272&lt;68), "58-67",
AND(E1272&gt;67, E1272&lt;78), "68-77",
E1272&gt;77,"Above than 77")</f>
        <v>38-47</v>
      </c>
      <c r="E1272">
        <v>46</v>
      </c>
      <c r="F1272" s="1">
        <v>27397</v>
      </c>
      <c r="G1272" s="1" t="str">
        <f>VLOOKUP(H1272,Table7[#All], 2, FALSE)</f>
        <v>Massachusetts</v>
      </c>
      <c r="H1272" s="2" t="s">
        <v>14</v>
      </c>
      <c r="I1272" s="2" t="s">
        <v>22</v>
      </c>
      <c r="J1272" s="2" t="s">
        <v>34</v>
      </c>
      <c r="K1272" s="2" t="s">
        <v>8</v>
      </c>
      <c r="L1272" s="2" t="s">
        <v>9</v>
      </c>
      <c r="M1272" s="2" t="s">
        <v>10</v>
      </c>
      <c r="N1272" s="2" t="s">
        <v>11</v>
      </c>
      <c r="O1272" s="2" t="s">
        <v>12</v>
      </c>
      <c r="P1272" s="2" t="s">
        <v>35</v>
      </c>
      <c r="Q1272" s="2" t="s">
        <v>16</v>
      </c>
      <c r="R1272" s="2" t="s">
        <v>18</v>
      </c>
      <c r="S1272">
        <v>5</v>
      </c>
    </row>
    <row r="1273" spans="1:19" x14ac:dyDescent="0.3">
      <c r="A1273">
        <v>2776</v>
      </c>
      <c r="B1273">
        <f>YEAR(Cleaned_HR_Data_Analysis__2[[#This Row],[Joining_Date]])</f>
        <v>2021</v>
      </c>
      <c r="C1273" s="1">
        <v>44552</v>
      </c>
      <c r="D1273" s="1" t="str" cm="1">
        <f t="array" ref="D1273">_xlfn.IFS(E1273&lt;28, "17-27",
AND(E1273&gt;27, E1273&lt;38), "28-37",
AND(E1273&gt;37, E1273 &lt;48), "38-47",
AND(E1273&gt;47, E1273 &lt;58), "48-57",
AND(E1273&gt;57, E1273&lt;68), "58-67",
AND(E1273&gt;67, E1273&lt;78), "68-77",
E1273&gt;77,"Above than 77")</f>
        <v>38-47</v>
      </c>
      <c r="E1273">
        <v>46</v>
      </c>
      <c r="F1273" s="1">
        <v>27431</v>
      </c>
      <c r="G1273" s="1" t="str">
        <f>VLOOKUP(H1273,Table7[#All], 2, FALSE)</f>
        <v>Massachusetts</v>
      </c>
      <c r="H1273" s="2" t="s">
        <v>14</v>
      </c>
      <c r="I1273" s="2" t="s">
        <v>22</v>
      </c>
      <c r="J1273" s="2" t="s">
        <v>31</v>
      </c>
      <c r="K1273" s="2" t="s">
        <v>8</v>
      </c>
      <c r="L1273" s="2" t="s">
        <v>9</v>
      </c>
      <c r="M1273" s="2" t="s">
        <v>25</v>
      </c>
      <c r="N1273" s="2" t="s">
        <v>26</v>
      </c>
      <c r="O1273" s="2" t="s">
        <v>12</v>
      </c>
      <c r="P1273" s="2" t="s">
        <v>38</v>
      </c>
      <c r="Q1273" s="2" t="s">
        <v>16</v>
      </c>
      <c r="R1273" s="2" t="s">
        <v>18</v>
      </c>
      <c r="S1273">
        <v>3</v>
      </c>
    </row>
    <row r="1274" spans="1:19" x14ac:dyDescent="0.3">
      <c r="A1274">
        <v>2752</v>
      </c>
      <c r="B1274">
        <f>YEAR(Cleaned_HR_Data_Analysis__2[[#This Row],[Joining_Date]])</f>
        <v>2022</v>
      </c>
      <c r="C1274" s="1">
        <v>44855</v>
      </c>
      <c r="D1274" s="1" t="str" cm="1">
        <f t="array" ref="D1274">_xlfn.IFS(E1274&lt;28, "17-27",
AND(E1274&gt;27, E1274&lt;38), "28-37",
AND(E1274&gt;37, E1274 &lt;48), "38-47",
AND(E1274&gt;47, E1274 &lt;58), "48-57",
AND(E1274&gt;57, E1274&lt;68), "58-67",
AND(E1274&gt;67, E1274&lt;78), "68-77",
E1274&gt;77,"Above than 77")</f>
        <v>38-47</v>
      </c>
      <c r="E1274">
        <v>46</v>
      </c>
      <c r="F1274" s="1">
        <v>27908</v>
      </c>
      <c r="G1274" s="1" t="str">
        <f>VLOOKUP(H1274,Table7[#All], 2, FALSE)</f>
        <v>Massachusetts</v>
      </c>
      <c r="H1274" s="2" t="s">
        <v>14</v>
      </c>
      <c r="I1274" s="2" t="s">
        <v>22</v>
      </c>
      <c r="J1274" s="2" t="s">
        <v>40</v>
      </c>
      <c r="K1274" s="2" t="s">
        <v>8</v>
      </c>
      <c r="L1274" s="2" t="s">
        <v>9</v>
      </c>
      <c r="M1274" s="2" t="s">
        <v>20</v>
      </c>
      <c r="N1274" s="2" t="s">
        <v>19</v>
      </c>
      <c r="O1274" s="2" t="s">
        <v>12</v>
      </c>
      <c r="P1274" s="2" t="s">
        <v>32</v>
      </c>
      <c r="Q1274" s="2" t="s">
        <v>23</v>
      </c>
      <c r="R1274" s="2" t="s">
        <v>18</v>
      </c>
      <c r="S1274">
        <v>5</v>
      </c>
    </row>
    <row r="1275" spans="1:19" x14ac:dyDescent="0.3">
      <c r="A1275">
        <v>2133</v>
      </c>
      <c r="B1275">
        <f>YEAR(Cleaned_HR_Data_Analysis__2[[#This Row],[Joining_Date]])</f>
        <v>2020</v>
      </c>
      <c r="C1275" s="1">
        <v>44040</v>
      </c>
      <c r="D1275" s="1" t="str" cm="1">
        <f t="array" ref="D1275">_xlfn.IFS(E1275&lt;28, "17-27",
AND(E1275&gt;27, E1275&lt;38), "28-37",
AND(E1275&gt;37, E1275 &lt;48), "38-47",
AND(E1275&gt;47, E1275 &lt;58), "48-57",
AND(E1275&gt;57, E1275&lt;68), "58-67",
AND(E1275&gt;67, E1275&lt;78), "68-77",
E1275&gt;77,"Above than 77")</f>
        <v>38-47</v>
      </c>
      <c r="E1275">
        <v>46</v>
      </c>
      <c r="F1275" s="1">
        <v>27261</v>
      </c>
      <c r="G1275" s="1" t="str">
        <f>VLOOKUP(H1275,Table7[#All], 2, FALSE)</f>
        <v>Massachusetts</v>
      </c>
      <c r="H1275" s="2" t="s">
        <v>14</v>
      </c>
      <c r="I1275" s="2" t="s">
        <v>15</v>
      </c>
      <c r="J1275" s="2" t="s">
        <v>31</v>
      </c>
      <c r="K1275" s="2" t="s">
        <v>8</v>
      </c>
      <c r="L1275" s="2" t="s">
        <v>9</v>
      </c>
      <c r="M1275" s="2" t="s">
        <v>10</v>
      </c>
      <c r="N1275" s="2" t="s">
        <v>19</v>
      </c>
      <c r="O1275" s="2" t="s">
        <v>12</v>
      </c>
      <c r="P1275" s="2" t="s">
        <v>35</v>
      </c>
      <c r="Q1275" s="2" t="s">
        <v>37</v>
      </c>
      <c r="R1275" s="2" t="s">
        <v>65</v>
      </c>
      <c r="S1275">
        <v>3</v>
      </c>
    </row>
    <row r="1276" spans="1:19" x14ac:dyDescent="0.3">
      <c r="A1276">
        <v>2122</v>
      </c>
      <c r="B1276">
        <f>YEAR(Cleaned_HR_Data_Analysis__2[[#This Row],[Joining_Date]])</f>
        <v>2021</v>
      </c>
      <c r="C1276" s="1">
        <v>44358</v>
      </c>
      <c r="D1276" s="1" t="str" cm="1">
        <f t="array" ref="D1276">_xlfn.IFS(E1276&lt;28, "17-27",
AND(E1276&gt;27, E1276&lt;38), "28-37",
AND(E1276&gt;37, E1276 &lt;48), "38-47",
AND(E1276&gt;47, E1276 &lt;58), "48-57",
AND(E1276&gt;57, E1276&lt;68), "58-67",
AND(E1276&gt;67, E1276&lt;78), "68-77",
E1276&gt;77,"Above than 77")</f>
        <v>38-47</v>
      </c>
      <c r="E1276">
        <v>46</v>
      </c>
      <c r="F1276" s="1">
        <v>27688</v>
      </c>
      <c r="G1276" s="1" t="str">
        <f>VLOOKUP(H1276,Table7[#All], 2, FALSE)</f>
        <v>Massachusetts</v>
      </c>
      <c r="H1276" s="2" t="s">
        <v>14</v>
      </c>
      <c r="I1276" s="2" t="s">
        <v>15</v>
      </c>
      <c r="J1276" s="2" t="s">
        <v>34</v>
      </c>
      <c r="K1276" s="2" t="s">
        <v>8</v>
      </c>
      <c r="L1276" s="2" t="s">
        <v>9</v>
      </c>
      <c r="M1276" s="2" t="s">
        <v>25</v>
      </c>
      <c r="N1276" s="2" t="s">
        <v>11</v>
      </c>
      <c r="O1276" s="2" t="s">
        <v>12</v>
      </c>
      <c r="P1276" s="2" t="s">
        <v>32</v>
      </c>
      <c r="Q1276" s="2" t="s">
        <v>46</v>
      </c>
      <c r="R1276" s="2" t="s">
        <v>56</v>
      </c>
      <c r="S1276">
        <v>3</v>
      </c>
    </row>
    <row r="1277" spans="1:19" x14ac:dyDescent="0.3">
      <c r="A1277">
        <v>1927</v>
      </c>
      <c r="B1277">
        <f>YEAR(Cleaned_HR_Data_Analysis__2[[#This Row],[Joining_Date]])</f>
        <v>2022</v>
      </c>
      <c r="C1277" s="1">
        <v>44868</v>
      </c>
      <c r="D1277" s="1" t="str" cm="1">
        <f t="array" ref="D1277">_xlfn.IFS(E1277&lt;28, "17-27",
AND(E1277&gt;27, E1277&lt;38), "28-37",
AND(E1277&gt;37, E1277 &lt;48), "38-47",
AND(E1277&gt;47, E1277 &lt;58), "48-57",
AND(E1277&gt;57, E1277&lt;68), "58-67",
AND(E1277&gt;67, E1277&lt;78), "68-77",
E1277&gt;77,"Above than 77")</f>
        <v>38-47</v>
      </c>
      <c r="E1277">
        <v>46</v>
      </c>
      <c r="F1277" s="1">
        <v>27856</v>
      </c>
      <c r="G1277" s="1" t="str">
        <f>VLOOKUP(H1277,Table7[#All], 2, FALSE)</f>
        <v>Massachusetts</v>
      </c>
      <c r="H1277" s="2" t="s">
        <v>14</v>
      </c>
      <c r="I1277" s="2" t="s">
        <v>22</v>
      </c>
      <c r="J1277" s="2" t="s">
        <v>34</v>
      </c>
      <c r="K1277" s="2" t="s">
        <v>8</v>
      </c>
      <c r="L1277" s="2" t="s">
        <v>9</v>
      </c>
      <c r="M1277" s="2" t="s">
        <v>25</v>
      </c>
      <c r="N1277" s="2" t="s">
        <v>11</v>
      </c>
      <c r="O1277" s="2" t="s">
        <v>12</v>
      </c>
      <c r="P1277" s="2" t="s">
        <v>35</v>
      </c>
      <c r="Q1277" s="2" t="s">
        <v>23</v>
      </c>
      <c r="R1277" s="2" t="s">
        <v>18</v>
      </c>
      <c r="S1277">
        <v>2</v>
      </c>
    </row>
    <row r="1278" spans="1:19" x14ac:dyDescent="0.3">
      <c r="A1278">
        <v>1569</v>
      </c>
      <c r="B1278">
        <f>YEAR(Cleaned_HR_Data_Analysis__2[[#This Row],[Joining_Date]])</f>
        <v>2021</v>
      </c>
      <c r="C1278" s="1">
        <v>44232</v>
      </c>
      <c r="D1278" s="1" t="str" cm="1">
        <f t="array" ref="D1278">_xlfn.IFS(E1278&lt;28, "17-27",
AND(E1278&gt;27, E1278&lt;38), "28-37",
AND(E1278&gt;37, E1278 &lt;48), "38-47",
AND(E1278&gt;47, E1278 &lt;58), "48-57",
AND(E1278&gt;57, E1278&lt;68), "58-67",
AND(E1278&gt;67, E1278&lt;78), "68-77",
E1278&gt;77,"Above than 77")</f>
        <v>38-47</v>
      </c>
      <c r="E1278">
        <v>46</v>
      </c>
      <c r="F1278" s="1">
        <v>27449</v>
      </c>
      <c r="G1278" s="1" t="str">
        <f>VLOOKUP(H1278,Table7[#All], 2, FALSE)</f>
        <v>Massachusetts</v>
      </c>
      <c r="H1278" s="2" t="s">
        <v>14</v>
      </c>
      <c r="I1278" s="2" t="s">
        <v>22</v>
      </c>
      <c r="J1278" s="2" t="s">
        <v>17</v>
      </c>
      <c r="K1278" s="2" t="s">
        <v>8</v>
      </c>
      <c r="L1278" s="2" t="s">
        <v>9</v>
      </c>
      <c r="M1278" s="2" t="s">
        <v>20</v>
      </c>
      <c r="N1278" s="2" t="s">
        <v>11</v>
      </c>
      <c r="O1278" s="2" t="s">
        <v>12</v>
      </c>
      <c r="P1278" s="2" t="s">
        <v>42</v>
      </c>
      <c r="Q1278" s="2" t="s">
        <v>37</v>
      </c>
      <c r="R1278" s="2" t="s">
        <v>18</v>
      </c>
      <c r="S1278">
        <v>3</v>
      </c>
    </row>
    <row r="1279" spans="1:19" x14ac:dyDescent="0.3">
      <c r="A1279">
        <v>1506</v>
      </c>
      <c r="B1279">
        <f>YEAR(Cleaned_HR_Data_Analysis__2[[#This Row],[Joining_Date]])</f>
        <v>2018</v>
      </c>
      <c r="C1279" s="1">
        <v>43348</v>
      </c>
      <c r="D1279" s="1" t="str" cm="1">
        <f t="array" ref="D1279">_xlfn.IFS(E1279&lt;28, "17-27",
AND(E1279&gt;27, E1279&lt;38), "28-37",
AND(E1279&gt;37, E1279 &lt;48), "38-47",
AND(E1279&gt;47, E1279 &lt;58), "48-57",
AND(E1279&gt;57, E1279&lt;68), "58-67",
AND(E1279&gt;67, E1279&lt;78), "68-77",
E1279&gt;77,"Above than 77")</f>
        <v>38-47</v>
      </c>
      <c r="E1279">
        <v>46</v>
      </c>
      <c r="F1279" s="1">
        <v>26468</v>
      </c>
      <c r="G1279" s="1" t="str">
        <f>VLOOKUP(H1279,Table7[#All], 2, FALSE)</f>
        <v>Massachusetts</v>
      </c>
      <c r="H1279" s="2" t="s">
        <v>14</v>
      </c>
      <c r="I1279" s="2" t="s">
        <v>15</v>
      </c>
      <c r="J1279" s="2" t="s">
        <v>31</v>
      </c>
      <c r="K1279" s="2" t="s">
        <v>8</v>
      </c>
      <c r="L1279" s="2" t="s">
        <v>9</v>
      </c>
      <c r="M1279" s="2" t="s">
        <v>20</v>
      </c>
      <c r="N1279" s="2" t="s">
        <v>26</v>
      </c>
      <c r="O1279" s="2" t="s">
        <v>12</v>
      </c>
      <c r="P1279" s="2" t="s">
        <v>42</v>
      </c>
      <c r="Q1279" s="2" t="s">
        <v>23</v>
      </c>
      <c r="R1279" s="2" t="s">
        <v>41</v>
      </c>
      <c r="S1279">
        <v>3</v>
      </c>
    </row>
    <row r="1280" spans="1:19" x14ac:dyDescent="0.3">
      <c r="A1280">
        <v>1438</v>
      </c>
      <c r="B1280">
        <f>YEAR(Cleaned_HR_Data_Analysis__2[[#This Row],[Joining_Date]])</f>
        <v>2023</v>
      </c>
      <c r="C1280" s="1">
        <v>45002</v>
      </c>
      <c r="D1280" s="1" t="str" cm="1">
        <f t="array" ref="D1280">_xlfn.IFS(E1280&lt;28, "17-27",
AND(E1280&gt;27, E1280&lt;38), "28-37",
AND(E1280&gt;37, E1280 &lt;48), "38-47",
AND(E1280&gt;47, E1280 &lt;58), "48-57",
AND(E1280&gt;57, E1280&lt;68), "58-67",
AND(E1280&gt;67, E1280&lt;78), "68-77",
E1280&gt;77,"Above than 77")</f>
        <v>38-47</v>
      </c>
      <c r="E1280">
        <v>46</v>
      </c>
      <c r="F1280" s="1">
        <v>28475</v>
      </c>
      <c r="G1280" s="1" t="str">
        <f>VLOOKUP(H1280,Table7[#All], 2, FALSE)</f>
        <v>Massachusetts</v>
      </c>
      <c r="H1280" s="2" t="s">
        <v>14</v>
      </c>
      <c r="I1280" s="2" t="s">
        <v>22</v>
      </c>
      <c r="J1280" s="2" t="s">
        <v>34</v>
      </c>
      <c r="K1280" s="2" t="s">
        <v>8</v>
      </c>
      <c r="L1280" s="2" t="s">
        <v>9</v>
      </c>
      <c r="M1280" s="2" t="s">
        <v>10</v>
      </c>
      <c r="N1280" s="2" t="s">
        <v>26</v>
      </c>
      <c r="O1280" s="2" t="s">
        <v>12</v>
      </c>
      <c r="P1280" s="2" t="s">
        <v>35</v>
      </c>
      <c r="Q1280" s="2" t="s">
        <v>46</v>
      </c>
      <c r="R1280" s="2" t="s">
        <v>41</v>
      </c>
      <c r="S1280">
        <v>4</v>
      </c>
    </row>
    <row r="1281" spans="1:19" x14ac:dyDescent="0.3">
      <c r="A1281">
        <v>1399</v>
      </c>
      <c r="B1281">
        <f>YEAR(Cleaned_HR_Data_Analysis__2[[#This Row],[Joining_Date]])</f>
        <v>2023</v>
      </c>
      <c r="C1281" s="1">
        <v>45092</v>
      </c>
      <c r="D1281" s="1" t="str" cm="1">
        <f t="array" ref="D1281">_xlfn.IFS(E1281&lt;28, "17-27",
AND(E1281&gt;27, E1281&lt;38), "28-37",
AND(E1281&gt;37, E1281 &lt;48), "38-47",
AND(E1281&gt;47, E1281 &lt;58), "48-57",
AND(E1281&gt;57, E1281&lt;68), "58-67",
AND(E1281&gt;67, E1281&lt;78), "68-77",
E1281&gt;77,"Above than 77")</f>
        <v>38-47</v>
      </c>
      <c r="E1281">
        <v>46</v>
      </c>
      <c r="F1281" s="1">
        <v>28474</v>
      </c>
      <c r="G1281" s="1" t="str">
        <f>VLOOKUP(H1281,Table7[#All], 2, FALSE)</f>
        <v>Massachusetts</v>
      </c>
      <c r="H1281" s="2" t="s">
        <v>14</v>
      </c>
      <c r="I1281" s="2" t="s">
        <v>15</v>
      </c>
      <c r="J1281" s="2" t="s">
        <v>17</v>
      </c>
      <c r="K1281" s="2" t="s">
        <v>8</v>
      </c>
      <c r="L1281" s="2" t="s">
        <v>9</v>
      </c>
      <c r="M1281" s="2" t="s">
        <v>20</v>
      </c>
      <c r="N1281" s="2" t="s">
        <v>11</v>
      </c>
      <c r="O1281" s="2" t="s">
        <v>12</v>
      </c>
      <c r="P1281" s="2" t="s">
        <v>32</v>
      </c>
      <c r="Q1281" s="2" t="s">
        <v>30</v>
      </c>
      <c r="R1281" s="2" t="s">
        <v>56</v>
      </c>
      <c r="S1281">
        <v>4</v>
      </c>
    </row>
    <row r="1282" spans="1:19" x14ac:dyDescent="0.3">
      <c r="A1282">
        <v>1265</v>
      </c>
      <c r="B1282">
        <f>YEAR(Cleaned_HR_Data_Analysis__2[[#This Row],[Joining_Date]])</f>
        <v>2022</v>
      </c>
      <c r="C1282" s="1">
        <v>44578</v>
      </c>
      <c r="D1282" s="1" t="str" cm="1">
        <f t="array" ref="D1282">_xlfn.IFS(E1282&lt;28, "17-27",
AND(E1282&gt;27, E1282&lt;38), "28-37",
AND(E1282&gt;37, E1282 &lt;48), "38-47",
AND(E1282&gt;47, E1282 &lt;58), "48-57",
AND(E1282&gt;57, E1282&lt;68), "58-67",
AND(E1282&gt;67, E1282&lt;78), "68-77",
E1282&gt;77,"Above than 77")</f>
        <v>38-47</v>
      </c>
      <c r="E1282">
        <v>46</v>
      </c>
      <c r="F1282" s="1">
        <v>27908</v>
      </c>
      <c r="G1282" s="1" t="str">
        <f>VLOOKUP(H1282,Table7[#All], 2, FALSE)</f>
        <v>Massachusetts</v>
      </c>
      <c r="H1282" s="2" t="s">
        <v>14</v>
      </c>
      <c r="I1282" s="2" t="s">
        <v>22</v>
      </c>
      <c r="J1282" s="2" t="s">
        <v>17</v>
      </c>
      <c r="K1282" s="2" t="s">
        <v>8</v>
      </c>
      <c r="L1282" s="2" t="s">
        <v>66</v>
      </c>
      <c r="M1282" s="2" t="s">
        <v>20</v>
      </c>
      <c r="N1282" s="2" t="s">
        <v>11</v>
      </c>
      <c r="O1282" s="2" t="s">
        <v>12</v>
      </c>
      <c r="P1282" s="2" t="s">
        <v>35</v>
      </c>
      <c r="Q1282" s="2" t="s">
        <v>37</v>
      </c>
      <c r="R1282" s="2" t="s">
        <v>18</v>
      </c>
      <c r="S1282">
        <v>2</v>
      </c>
    </row>
    <row r="1283" spans="1:19" x14ac:dyDescent="0.3">
      <c r="A1283">
        <v>1219</v>
      </c>
      <c r="B1283">
        <f>YEAR(Cleaned_HR_Data_Analysis__2[[#This Row],[Joining_Date]])</f>
        <v>2020</v>
      </c>
      <c r="C1283" s="1">
        <v>43846</v>
      </c>
      <c r="D1283" s="1" t="str" cm="1">
        <f t="array" ref="D1283">_xlfn.IFS(E1283&lt;28, "17-27",
AND(E1283&gt;27, E1283&lt;38), "28-37",
AND(E1283&gt;37, E1283 &lt;48), "38-47",
AND(E1283&gt;47, E1283 &lt;58), "48-57",
AND(E1283&gt;57, E1283&lt;68), "58-67",
AND(E1283&gt;67, E1283&lt;78), "68-77",
E1283&gt;77,"Above than 77")</f>
        <v>38-47</v>
      </c>
      <c r="E1283">
        <v>46</v>
      </c>
      <c r="F1283" s="1">
        <v>27069</v>
      </c>
      <c r="G1283" s="1" t="str">
        <f>VLOOKUP(H1283,Table7[#All], 2, FALSE)</f>
        <v>Massachusetts</v>
      </c>
      <c r="H1283" s="2" t="s">
        <v>14</v>
      </c>
      <c r="I1283" s="2" t="s">
        <v>15</v>
      </c>
      <c r="J1283" s="2" t="s">
        <v>34</v>
      </c>
      <c r="K1283" s="2" t="s">
        <v>8</v>
      </c>
      <c r="L1283" s="2" t="s">
        <v>66</v>
      </c>
      <c r="M1283" s="2" t="s">
        <v>20</v>
      </c>
      <c r="N1283" s="2" t="s">
        <v>26</v>
      </c>
      <c r="O1283" s="2" t="s">
        <v>12</v>
      </c>
      <c r="P1283" s="2" t="s">
        <v>42</v>
      </c>
      <c r="Q1283" s="2" t="s">
        <v>23</v>
      </c>
      <c r="R1283" s="2" t="s">
        <v>18</v>
      </c>
      <c r="S1283">
        <v>2</v>
      </c>
    </row>
    <row r="1284" spans="1:19" x14ac:dyDescent="0.3">
      <c r="A1284">
        <v>1160</v>
      </c>
      <c r="B1284">
        <f>YEAR(Cleaned_HR_Data_Analysis__2[[#This Row],[Joining_Date]])</f>
        <v>2022</v>
      </c>
      <c r="C1284" s="1">
        <v>44921</v>
      </c>
      <c r="D1284" s="1" t="str" cm="1">
        <f t="array" ref="D1284">_xlfn.IFS(E1284&lt;28, "17-27",
AND(E1284&gt;27, E1284&lt;38), "28-37",
AND(E1284&gt;37, E1284 &lt;48), "38-47",
AND(E1284&gt;47, E1284 &lt;58), "48-57",
AND(E1284&gt;57, E1284&lt;68), "58-67",
AND(E1284&gt;67, E1284&lt;78), "68-77",
E1284&gt;77,"Above than 77")</f>
        <v>38-47</v>
      </c>
      <c r="E1284">
        <v>46</v>
      </c>
      <c r="F1284" s="1">
        <v>28013</v>
      </c>
      <c r="G1284" s="1" t="str">
        <f>VLOOKUP(H1284,Table7[#All], 2, FALSE)</f>
        <v>Massachusetts</v>
      </c>
      <c r="H1284" s="2" t="s">
        <v>14</v>
      </c>
      <c r="I1284" s="2" t="s">
        <v>15</v>
      </c>
      <c r="J1284" s="2" t="s">
        <v>31</v>
      </c>
      <c r="K1284" s="2" t="s">
        <v>8</v>
      </c>
      <c r="L1284" s="2" t="s">
        <v>9</v>
      </c>
      <c r="M1284" s="2" t="s">
        <v>20</v>
      </c>
      <c r="N1284" s="2" t="s">
        <v>26</v>
      </c>
      <c r="O1284" s="2" t="s">
        <v>12</v>
      </c>
      <c r="P1284" s="2" t="s">
        <v>32</v>
      </c>
      <c r="Q1284" s="2" t="s">
        <v>46</v>
      </c>
      <c r="R1284" s="2" t="s">
        <v>18</v>
      </c>
      <c r="S1284">
        <v>2</v>
      </c>
    </row>
    <row r="1285" spans="1:19" x14ac:dyDescent="0.3">
      <c r="A1285">
        <v>1113</v>
      </c>
      <c r="B1285">
        <f>YEAR(Cleaned_HR_Data_Analysis__2[[#This Row],[Joining_Date]])</f>
        <v>2022</v>
      </c>
      <c r="C1285" s="1">
        <v>44675</v>
      </c>
      <c r="D1285" s="1" t="str" cm="1">
        <f t="array" ref="D1285">_xlfn.IFS(E1285&lt;28, "17-27",
AND(E1285&gt;27, E1285&lt;38), "28-37",
AND(E1285&gt;37, E1285 &lt;48), "38-47",
AND(E1285&gt;47, E1285 &lt;58), "48-57",
AND(E1285&gt;57, E1285&lt;68), "58-67",
AND(E1285&gt;67, E1285&lt;78), "68-77",
E1285&gt;77,"Above than 77")</f>
        <v>38-47</v>
      </c>
      <c r="E1285">
        <v>46</v>
      </c>
      <c r="F1285" s="1">
        <v>28006</v>
      </c>
      <c r="G1285" s="1" t="str">
        <f>VLOOKUP(H1285,Table7[#All], 2, FALSE)</f>
        <v>Massachusetts</v>
      </c>
      <c r="H1285" s="2" t="s">
        <v>14</v>
      </c>
      <c r="I1285" s="2" t="s">
        <v>15</v>
      </c>
      <c r="J1285" s="2" t="s">
        <v>40</v>
      </c>
      <c r="K1285" s="2" t="s">
        <v>8</v>
      </c>
      <c r="L1285" s="2" t="s">
        <v>9</v>
      </c>
      <c r="M1285" s="2" t="s">
        <v>10</v>
      </c>
      <c r="N1285" s="2" t="s">
        <v>26</v>
      </c>
      <c r="O1285" s="2" t="s">
        <v>12</v>
      </c>
      <c r="P1285" s="2" t="s">
        <v>32</v>
      </c>
      <c r="Q1285" s="2" t="s">
        <v>46</v>
      </c>
      <c r="R1285" s="2" t="s">
        <v>18</v>
      </c>
      <c r="S1285">
        <v>3</v>
      </c>
    </row>
    <row r="1286" spans="1:19" x14ac:dyDescent="0.3">
      <c r="A1286">
        <v>2362</v>
      </c>
      <c r="B1286">
        <f>YEAR(Cleaned_HR_Data_Analysis__2[[#This Row],[Joining_Date]])</f>
        <v>2020</v>
      </c>
      <c r="C1286" s="1">
        <v>44134</v>
      </c>
      <c r="D1286" s="1" t="str" cm="1">
        <f t="array" ref="D1286">_xlfn.IFS(E1286&lt;28, "17-27",
AND(E1286&gt;27, E1286&lt;38), "28-37",
AND(E1286&gt;37, E1286 &lt;48), "38-47",
AND(E1286&gt;47, E1286 &lt;58), "48-57",
AND(E1286&gt;57, E1286&lt;68), "58-67",
AND(E1286&gt;67, E1286&lt;78), "68-77",
E1286&gt;77,"Above than 77")</f>
        <v>38-47</v>
      </c>
      <c r="E1286">
        <v>46</v>
      </c>
      <c r="F1286" s="1">
        <v>27155</v>
      </c>
      <c r="G1286" s="1" t="str">
        <f>VLOOKUP(H1286,Table7[#All], 2, FALSE)</f>
        <v>Massachusetts</v>
      </c>
      <c r="H1286" s="2" t="s">
        <v>14</v>
      </c>
      <c r="I1286" s="2" t="s">
        <v>15</v>
      </c>
      <c r="J1286" s="2" t="s">
        <v>34</v>
      </c>
      <c r="K1286" s="2" t="s">
        <v>91</v>
      </c>
      <c r="L1286" s="2" t="s">
        <v>9</v>
      </c>
      <c r="M1286" s="2" t="s">
        <v>25</v>
      </c>
      <c r="N1286" s="2" t="s">
        <v>11</v>
      </c>
      <c r="O1286" s="2" t="s">
        <v>12</v>
      </c>
      <c r="P1286" s="2" t="s">
        <v>35</v>
      </c>
      <c r="Q1286" s="2" t="s">
        <v>46</v>
      </c>
      <c r="R1286" s="2" t="s">
        <v>18</v>
      </c>
      <c r="S1286">
        <v>4</v>
      </c>
    </row>
    <row r="1287" spans="1:19" x14ac:dyDescent="0.3">
      <c r="A1287">
        <v>1122</v>
      </c>
      <c r="B1287">
        <f>YEAR(Cleaned_HR_Data_Analysis__2[[#This Row],[Joining_Date]])</f>
        <v>2021</v>
      </c>
      <c r="C1287" s="1">
        <v>44516</v>
      </c>
      <c r="D1287" s="1" t="str" cm="1">
        <f t="array" ref="D1287">_xlfn.IFS(E1287&lt;28, "17-27",
AND(E1287&gt;27, E1287&lt;38), "28-37",
AND(E1287&gt;37, E1287 &lt;48), "38-47",
AND(E1287&gt;47, E1287 &lt;58), "48-57",
AND(E1287&gt;57, E1287&lt;68), "58-67",
AND(E1287&gt;67, E1287&lt;78), "68-77",
E1287&gt;77,"Above than 77")</f>
        <v>38-47</v>
      </c>
      <c r="E1287">
        <v>46</v>
      </c>
      <c r="F1287" s="1">
        <v>27711</v>
      </c>
      <c r="G1287" s="1" t="str">
        <f>VLOOKUP(H1287,Table7[#All], 2, FALSE)</f>
        <v>Massachusetts</v>
      </c>
      <c r="H1287" s="2" t="s">
        <v>14</v>
      </c>
      <c r="I1287" s="2" t="s">
        <v>15</v>
      </c>
      <c r="J1287" s="2" t="s">
        <v>34</v>
      </c>
      <c r="K1287" s="2" t="s">
        <v>91</v>
      </c>
      <c r="L1287" s="2" t="s">
        <v>9</v>
      </c>
      <c r="M1287" s="2" t="s">
        <v>10</v>
      </c>
      <c r="N1287" s="2" t="s">
        <v>11</v>
      </c>
      <c r="O1287" s="2" t="s">
        <v>12</v>
      </c>
      <c r="P1287" s="2" t="s">
        <v>32</v>
      </c>
      <c r="Q1287" s="2" t="s">
        <v>16</v>
      </c>
      <c r="R1287" s="2" t="s">
        <v>18</v>
      </c>
      <c r="S1287">
        <v>1</v>
      </c>
    </row>
    <row r="1288" spans="1:19" x14ac:dyDescent="0.3">
      <c r="A1288">
        <v>3929</v>
      </c>
      <c r="B1288">
        <f>YEAR(Cleaned_HR_Data_Analysis__2[[#This Row],[Joining_Date]])</f>
        <v>2023</v>
      </c>
      <c r="C1288" s="1">
        <v>45095</v>
      </c>
      <c r="D1288" s="1" t="str" cm="1">
        <f t="array" ref="D1288">_xlfn.IFS(E1288&lt;28, "17-27",
AND(E1288&gt;27, E1288&lt;38), "28-37",
AND(E1288&gt;37, E1288 &lt;48), "38-47",
AND(E1288&gt;47, E1288 &lt;58), "48-57",
AND(E1288&gt;57, E1288&lt;68), "58-67",
AND(E1288&gt;67, E1288&lt;78), "68-77",
E1288&gt;77,"Above than 77")</f>
        <v>38-47</v>
      </c>
      <c r="E1288">
        <v>46</v>
      </c>
      <c r="F1288" s="1">
        <v>28235</v>
      </c>
      <c r="G1288" s="1" t="str">
        <f>VLOOKUP(H1288,Table7[#All], 2, FALSE)</f>
        <v>Massachusetts</v>
      </c>
      <c r="H1288" s="2" t="s">
        <v>14</v>
      </c>
      <c r="I1288" s="2" t="s">
        <v>15</v>
      </c>
      <c r="J1288" s="2" t="s">
        <v>34</v>
      </c>
      <c r="K1288" s="2" t="s">
        <v>71</v>
      </c>
      <c r="L1288" s="2" t="s">
        <v>9</v>
      </c>
      <c r="M1288" s="2" t="s">
        <v>10</v>
      </c>
      <c r="N1288" s="2" t="s">
        <v>11</v>
      </c>
      <c r="O1288" s="2" t="s">
        <v>53</v>
      </c>
      <c r="P1288" s="2" t="s">
        <v>59</v>
      </c>
      <c r="Q1288" s="2" t="s">
        <v>46</v>
      </c>
      <c r="R1288" s="2" t="s">
        <v>18</v>
      </c>
      <c r="S1288">
        <v>5</v>
      </c>
    </row>
    <row r="1289" spans="1:19" x14ac:dyDescent="0.3">
      <c r="A1289">
        <v>2348</v>
      </c>
      <c r="B1289">
        <f>YEAR(Cleaned_HR_Data_Analysis__2[[#This Row],[Joining_Date]])</f>
        <v>2022</v>
      </c>
      <c r="C1289" s="1">
        <v>44737</v>
      </c>
      <c r="D1289" s="1" t="str" cm="1">
        <f t="array" ref="D1289">_xlfn.IFS(E1289&lt;28, "17-27",
AND(E1289&gt;27, E1289&lt;38), "28-37",
AND(E1289&gt;37, E1289 &lt;48), "38-47",
AND(E1289&gt;47, E1289 &lt;58), "48-57",
AND(E1289&gt;57, E1289&lt;68), "58-67",
AND(E1289&gt;67, E1289&lt;78), "68-77",
E1289&gt;77,"Above than 77")</f>
        <v>38-47</v>
      </c>
      <c r="E1289">
        <v>46</v>
      </c>
      <c r="F1289" s="1">
        <v>27811</v>
      </c>
      <c r="G1289" s="1" t="str">
        <f>VLOOKUP(H1289,Table7[#All], 2, FALSE)</f>
        <v>Massachusetts</v>
      </c>
      <c r="H1289" s="2" t="s">
        <v>14</v>
      </c>
      <c r="I1289" s="2" t="s">
        <v>22</v>
      </c>
      <c r="J1289" s="2" t="s">
        <v>31</v>
      </c>
      <c r="K1289" s="2" t="s">
        <v>71</v>
      </c>
      <c r="L1289" s="2" t="s">
        <v>9</v>
      </c>
      <c r="M1289" s="2" t="s">
        <v>20</v>
      </c>
      <c r="N1289" s="2" t="s">
        <v>11</v>
      </c>
      <c r="O1289" s="2" t="s">
        <v>12</v>
      </c>
      <c r="P1289" s="2" t="s">
        <v>35</v>
      </c>
      <c r="Q1289" s="2" t="s">
        <v>46</v>
      </c>
      <c r="R1289" s="2" t="s">
        <v>18</v>
      </c>
      <c r="S1289">
        <v>4</v>
      </c>
    </row>
    <row r="1290" spans="1:19" x14ac:dyDescent="0.3">
      <c r="A1290">
        <v>2234</v>
      </c>
      <c r="B1290">
        <f>YEAR(Cleaned_HR_Data_Analysis__2[[#This Row],[Joining_Date]])</f>
        <v>2021</v>
      </c>
      <c r="C1290" s="1">
        <v>44247</v>
      </c>
      <c r="D1290" s="1" t="str" cm="1">
        <f t="array" ref="D1290">_xlfn.IFS(E1290&lt;28, "17-27",
AND(E1290&gt;27, E1290&lt;38), "28-37",
AND(E1290&gt;37, E1290 &lt;48), "38-47",
AND(E1290&gt;47, E1290 &lt;58), "48-57",
AND(E1290&gt;57, E1290&lt;68), "58-67",
AND(E1290&gt;67, E1290&lt;78), "68-77",
E1290&gt;77,"Above than 77")</f>
        <v>38-47</v>
      </c>
      <c r="E1290">
        <v>46</v>
      </c>
      <c r="F1290" s="1">
        <v>27451</v>
      </c>
      <c r="G1290" s="1" t="str">
        <f>VLOOKUP(H1290,Table7[#All], 2, FALSE)</f>
        <v>Massachusetts</v>
      </c>
      <c r="H1290" s="2" t="s">
        <v>14</v>
      </c>
      <c r="I1290" s="2" t="s">
        <v>15</v>
      </c>
      <c r="J1290" s="2" t="s">
        <v>34</v>
      </c>
      <c r="K1290" s="2" t="s">
        <v>70</v>
      </c>
      <c r="L1290" s="2" t="s">
        <v>9</v>
      </c>
      <c r="M1290" s="2" t="s">
        <v>20</v>
      </c>
      <c r="N1290" s="2" t="s">
        <v>11</v>
      </c>
      <c r="O1290" s="2" t="s">
        <v>53</v>
      </c>
      <c r="P1290" s="2" t="s">
        <v>59</v>
      </c>
      <c r="Q1290" s="2" t="s">
        <v>37</v>
      </c>
      <c r="R1290" s="2" t="s">
        <v>18</v>
      </c>
      <c r="S1290">
        <v>1</v>
      </c>
    </row>
    <row r="1291" spans="1:19" x14ac:dyDescent="0.3">
      <c r="A1291">
        <v>2269</v>
      </c>
      <c r="B1291">
        <f>YEAR(Cleaned_HR_Data_Analysis__2[[#This Row],[Joining_Date]])</f>
        <v>2020</v>
      </c>
      <c r="C1291" s="1">
        <v>43949</v>
      </c>
      <c r="D1291" s="1" t="str" cm="1">
        <f t="array" ref="D1291">_xlfn.IFS(E1291&lt;28, "17-27",
AND(E1291&gt;27, E1291&lt;38), "28-37",
AND(E1291&gt;37, E1291 &lt;48), "38-47",
AND(E1291&gt;47, E1291 &lt;58), "48-57",
AND(E1291&gt;57, E1291&lt;68), "58-67",
AND(E1291&gt;67, E1291&lt;78), "68-77",
E1291&gt;77,"Above than 77")</f>
        <v>38-47</v>
      </c>
      <c r="E1291">
        <v>46</v>
      </c>
      <c r="F1291" s="1">
        <v>27044</v>
      </c>
      <c r="G1291" s="1" t="str">
        <f>VLOOKUP(H1291,Table7[#All], 2, FALSE)</f>
        <v>Massachusetts</v>
      </c>
      <c r="H1291" s="2" t="s">
        <v>14</v>
      </c>
      <c r="I1291" s="2" t="s">
        <v>22</v>
      </c>
      <c r="J1291" s="2" t="s">
        <v>40</v>
      </c>
      <c r="K1291" s="2" t="s">
        <v>101</v>
      </c>
      <c r="L1291" s="2" t="s">
        <v>9</v>
      </c>
      <c r="M1291" s="2" t="s">
        <v>25</v>
      </c>
      <c r="N1291" s="2" t="s">
        <v>11</v>
      </c>
      <c r="O1291" s="2" t="s">
        <v>53</v>
      </c>
      <c r="P1291" s="2" t="s">
        <v>44</v>
      </c>
      <c r="Q1291" s="2" t="s">
        <v>23</v>
      </c>
      <c r="R1291" s="2" t="s">
        <v>18</v>
      </c>
      <c r="S1291">
        <v>5</v>
      </c>
    </row>
    <row r="1292" spans="1:19" x14ac:dyDescent="0.3">
      <c r="A1292">
        <v>2230</v>
      </c>
      <c r="B1292">
        <f>YEAR(Cleaned_HR_Data_Analysis__2[[#This Row],[Joining_Date]])</f>
        <v>2018</v>
      </c>
      <c r="C1292" s="1">
        <v>43429</v>
      </c>
      <c r="D1292" s="1" t="str" cm="1">
        <f t="array" ref="D1292">_xlfn.IFS(E1292&lt;28, "17-27",
AND(E1292&gt;27, E1292&lt;38), "28-37",
AND(E1292&gt;37, E1292 &lt;48), "38-47",
AND(E1292&gt;47, E1292 &lt;58), "48-57",
AND(E1292&gt;57, E1292&lt;68), "58-67",
AND(E1292&gt;67, E1292&lt;78), "68-77",
E1292&gt;77,"Above than 77")</f>
        <v>38-47</v>
      </c>
      <c r="E1292">
        <v>46</v>
      </c>
      <c r="F1292" s="1">
        <v>26531</v>
      </c>
      <c r="G1292" s="1" t="str">
        <f>VLOOKUP(H1292,Table7[#All], 2, FALSE)</f>
        <v>Connecticut</v>
      </c>
      <c r="H1292" s="2" t="s">
        <v>36</v>
      </c>
      <c r="I1292" s="2" t="s">
        <v>15</v>
      </c>
      <c r="J1292" s="2" t="s">
        <v>34</v>
      </c>
      <c r="K1292" s="2" t="s">
        <v>101</v>
      </c>
      <c r="L1292" s="2" t="s">
        <v>9</v>
      </c>
      <c r="M1292" s="2" t="s">
        <v>20</v>
      </c>
      <c r="N1292" s="2" t="s">
        <v>19</v>
      </c>
      <c r="O1292" s="2" t="s">
        <v>53</v>
      </c>
      <c r="P1292" s="2" t="s">
        <v>32</v>
      </c>
      <c r="Q1292" s="2" t="s">
        <v>23</v>
      </c>
      <c r="R1292" s="2" t="s">
        <v>18</v>
      </c>
      <c r="S1292">
        <v>5</v>
      </c>
    </row>
    <row r="1293" spans="1:19" x14ac:dyDescent="0.3">
      <c r="A1293">
        <v>3958</v>
      </c>
      <c r="B1293">
        <f>YEAR(Cleaned_HR_Data_Analysis__2[[#This Row],[Joining_Date]])</f>
        <v>2020</v>
      </c>
      <c r="C1293" s="1">
        <v>44096</v>
      </c>
      <c r="D1293" s="1" t="str" cm="1">
        <f t="array" ref="D1293">_xlfn.IFS(E1293&lt;28, "17-27",
AND(E1293&gt;27, E1293&lt;38), "28-37",
AND(E1293&gt;37, E1293 &lt;48), "38-47",
AND(E1293&gt;47, E1293 &lt;58), "48-57",
AND(E1293&gt;57, E1293&lt;68), "58-67",
AND(E1293&gt;67, E1293&lt;78), "68-77",
E1293&gt;77,"Above than 77")</f>
        <v>38-47</v>
      </c>
      <c r="E1293">
        <v>46</v>
      </c>
      <c r="F1293" s="1">
        <v>27290</v>
      </c>
      <c r="G1293" s="1" t="str">
        <f>VLOOKUP(H1293,Table7[#All], 2, FALSE)</f>
        <v>Texas</v>
      </c>
      <c r="H1293" s="2" t="s">
        <v>45</v>
      </c>
      <c r="I1293" s="2" t="s">
        <v>15</v>
      </c>
      <c r="J1293" s="2" t="s">
        <v>34</v>
      </c>
      <c r="K1293" s="2" t="s">
        <v>77</v>
      </c>
      <c r="L1293" s="2" t="s">
        <v>9</v>
      </c>
      <c r="M1293" s="2" t="s">
        <v>20</v>
      </c>
      <c r="N1293" s="2" t="s">
        <v>11</v>
      </c>
      <c r="O1293" s="2" t="s">
        <v>53</v>
      </c>
      <c r="P1293" s="2" t="s">
        <v>35</v>
      </c>
      <c r="Q1293" s="2" t="s">
        <v>23</v>
      </c>
      <c r="R1293" s="2" t="s">
        <v>65</v>
      </c>
      <c r="S1293">
        <v>3</v>
      </c>
    </row>
    <row r="1294" spans="1:19" x14ac:dyDescent="0.3">
      <c r="A1294">
        <v>2508</v>
      </c>
      <c r="B1294">
        <f>YEAR(Cleaned_HR_Data_Analysis__2[[#This Row],[Joining_Date]])</f>
        <v>2018</v>
      </c>
      <c r="C1294" s="1">
        <v>43422</v>
      </c>
      <c r="D1294" s="1" t="str" cm="1">
        <f t="array" ref="D1294">_xlfn.IFS(E1294&lt;28, "17-27",
AND(E1294&gt;27, E1294&lt;38), "28-37",
AND(E1294&gt;37, E1294 &lt;48), "38-47",
AND(E1294&gt;47, E1294 &lt;58), "48-57",
AND(E1294&gt;57, E1294&lt;68), "58-67",
AND(E1294&gt;67, E1294&lt;78), "68-77",
E1294&gt;77,"Above than 77")</f>
        <v>38-47</v>
      </c>
      <c r="E1294">
        <v>46</v>
      </c>
      <c r="F1294" s="1">
        <v>26470</v>
      </c>
      <c r="G1294" s="1" t="str">
        <f>VLOOKUP(H1294,Table7[#All], 2, FALSE)</f>
        <v>Massachusetts</v>
      </c>
      <c r="H1294" s="2" t="s">
        <v>14</v>
      </c>
      <c r="I1294" s="2" t="s">
        <v>22</v>
      </c>
      <c r="J1294" s="2" t="s">
        <v>31</v>
      </c>
      <c r="K1294" s="2" t="s">
        <v>97</v>
      </c>
      <c r="L1294" s="2" t="s">
        <v>9</v>
      </c>
      <c r="M1294" s="2" t="s">
        <v>25</v>
      </c>
      <c r="N1294" s="2" t="s">
        <v>19</v>
      </c>
      <c r="O1294" s="2" t="s">
        <v>53</v>
      </c>
      <c r="P1294" s="2" t="s">
        <v>35</v>
      </c>
      <c r="Q1294" s="2" t="s">
        <v>30</v>
      </c>
      <c r="R1294" s="2" t="s">
        <v>18</v>
      </c>
      <c r="S1294">
        <v>4</v>
      </c>
    </row>
    <row r="1295" spans="1:19" x14ac:dyDescent="0.3">
      <c r="A1295">
        <v>1621</v>
      </c>
      <c r="B1295">
        <f>YEAR(Cleaned_HR_Data_Analysis__2[[#This Row],[Joining_Date]])</f>
        <v>2021</v>
      </c>
      <c r="C1295" s="1">
        <v>44460</v>
      </c>
      <c r="D1295" s="1" t="str" cm="1">
        <f t="array" ref="D1295">_xlfn.IFS(E1295&lt;28, "17-27",
AND(E1295&gt;27, E1295&lt;38), "28-37",
AND(E1295&gt;37, E1295 &lt;48), "38-47",
AND(E1295&gt;47, E1295 &lt;58), "48-57",
AND(E1295&gt;57, E1295&lt;68), "58-67",
AND(E1295&gt;67, E1295&lt;78), "68-77",
E1295&gt;77,"Above than 77")</f>
        <v>38-47</v>
      </c>
      <c r="E1295">
        <v>46</v>
      </c>
      <c r="F1295" s="1">
        <v>27737</v>
      </c>
      <c r="G1295" s="1" t="str">
        <f>VLOOKUP(H1295,Table7[#All], 2, FALSE)</f>
        <v>Massachusetts</v>
      </c>
      <c r="H1295" s="2" t="s">
        <v>14</v>
      </c>
      <c r="I1295" s="2" t="s">
        <v>22</v>
      </c>
      <c r="J1295" s="2" t="s">
        <v>40</v>
      </c>
      <c r="K1295" s="2" t="s">
        <v>97</v>
      </c>
      <c r="L1295" s="2" t="s">
        <v>9</v>
      </c>
      <c r="M1295" s="2" t="s">
        <v>25</v>
      </c>
      <c r="N1295" s="2" t="s">
        <v>26</v>
      </c>
      <c r="O1295" s="2" t="s">
        <v>53</v>
      </c>
      <c r="P1295" s="2" t="s">
        <v>35</v>
      </c>
      <c r="Q1295" s="2" t="s">
        <v>30</v>
      </c>
      <c r="R1295" s="2" t="s">
        <v>56</v>
      </c>
      <c r="S1295">
        <v>1</v>
      </c>
    </row>
    <row r="1296" spans="1:19" x14ac:dyDescent="0.3">
      <c r="A1296">
        <v>2723</v>
      </c>
      <c r="B1296">
        <f>YEAR(Cleaned_HR_Data_Analysis__2[[#This Row],[Joining_Date]])</f>
        <v>2021</v>
      </c>
      <c r="C1296" s="1">
        <v>44328</v>
      </c>
      <c r="D1296" s="1" t="str" cm="1">
        <f t="array" ref="D1296">_xlfn.IFS(E1296&lt;28, "17-27",
AND(E1296&gt;27, E1296&lt;38), "28-37",
AND(E1296&gt;37, E1296 &lt;48), "38-47",
AND(E1296&gt;47, E1296 &lt;58), "48-57",
AND(E1296&gt;57, E1296&lt;68), "58-67",
AND(E1296&gt;67, E1296&lt;78), "68-77",
E1296&gt;77,"Above than 77")</f>
        <v>38-47</v>
      </c>
      <c r="E1296">
        <v>46</v>
      </c>
      <c r="F1296" s="1">
        <v>27470</v>
      </c>
      <c r="G1296" s="1" t="str">
        <f>VLOOKUP(H1296,Table7[#All], 2, FALSE)</f>
        <v>Tennessee</v>
      </c>
      <c r="H1296" s="2" t="s">
        <v>120</v>
      </c>
      <c r="I1296" s="2" t="s">
        <v>22</v>
      </c>
      <c r="J1296" s="2" t="s">
        <v>17</v>
      </c>
      <c r="K1296" s="2" t="s">
        <v>24</v>
      </c>
      <c r="L1296" s="2" t="s">
        <v>9</v>
      </c>
      <c r="M1296" s="2" t="s">
        <v>20</v>
      </c>
      <c r="N1296" s="2" t="s">
        <v>11</v>
      </c>
      <c r="O1296" s="2" t="s">
        <v>27</v>
      </c>
      <c r="P1296" s="2" t="s">
        <v>35</v>
      </c>
      <c r="Q1296" s="2" t="s">
        <v>16</v>
      </c>
      <c r="R1296" s="2" t="s">
        <v>18</v>
      </c>
      <c r="S1296">
        <v>1</v>
      </c>
    </row>
    <row r="1297" spans="1:19" x14ac:dyDescent="0.3">
      <c r="A1297">
        <v>2593</v>
      </c>
      <c r="B1297">
        <f>YEAR(Cleaned_HR_Data_Analysis__2[[#This Row],[Joining_Date]])</f>
        <v>2018</v>
      </c>
      <c r="C1297" s="1">
        <v>43435</v>
      </c>
      <c r="D1297" s="1" t="str" cm="1">
        <f t="array" ref="D1297">_xlfn.IFS(E1297&lt;28, "17-27",
AND(E1297&gt;27, E1297&lt;38), "28-37",
AND(E1297&gt;37, E1297 &lt;48), "38-47",
AND(E1297&gt;47, E1297 &lt;58), "48-57",
AND(E1297&gt;57, E1297&lt;68), "58-67",
AND(E1297&gt;67, E1297&lt;78), "68-77",
E1297&gt;77,"Above than 77")</f>
        <v>38-47</v>
      </c>
      <c r="E1297">
        <v>46</v>
      </c>
      <c r="F1297" s="1">
        <v>26337</v>
      </c>
      <c r="G1297" s="1" t="str">
        <f>VLOOKUP(H1297,Table7[#All], 2, FALSE)</f>
        <v>Tennessee</v>
      </c>
      <c r="H1297" s="2" t="s">
        <v>120</v>
      </c>
      <c r="I1297" s="2" t="s">
        <v>22</v>
      </c>
      <c r="J1297" s="2" t="s">
        <v>17</v>
      </c>
      <c r="K1297" s="2" t="s">
        <v>24</v>
      </c>
      <c r="L1297" s="2" t="s">
        <v>9</v>
      </c>
      <c r="M1297" s="2" t="s">
        <v>10</v>
      </c>
      <c r="N1297" s="2" t="s">
        <v>19</v>
      </c>
      <c r="O1297" s="2" t="s">
        <v>27</v>
      </c>
      <c r="P1297" s="2" t="s">
        <v>32</v>
      </c>
      <c r="Q1297" s="2" t="s">
        <v>30</v>
      </c>
      <c r="R1297" s="2" t="s">
        <v>18</v>
      </c>
      <c r="S1297">
        <v>1</v>
      </c>
    </row>
    <row r="1298" spans="1:19" x14ac:dyDescent="0.3">
      <c r="A1298">
        <v>1645</v>
      </c>
      <c r="B1298">
        <f>YEAR(Cleaned_HR_Data_Analysis__2[[#This Row],[Joining_Date]])</f>
        <v>2021</v>
      </c>
      <c r="C1298" s="1">
        <v>44245</v>
      </c>
      <c r="D1298" s="1" t="str" cm="1">
        <f t="array" ref="D1298">_xlfn.IFS(E1298&lt;28, "17-27",
AND(E1298&gt;27, E1298&lt;38), "28-37",
AND(E1298&gt;37, E1298 &lt;48), "38-47",
AND(E1298&gt;47, E1298 &lt;58), "48-57",
AND(E1298&gt;57, E1298&lt;68), "58-67",
AND(E1298&gt;67, E1298&lt;78), "68-77",
E1298&gt;77,"Above than 77")</f>
        <v>38-47</v>
      </c>
      <c r="E1298">
        <v>46</v>
      </c>
      <c r="F1298" s="1">
        <v>27747</v>
      </c>
      <c r="G1298" s="1" t="str">
        <f>VLOOKUP(H1298,Table7[#All], 2, FALSE)</f>
        <v>Massachusetts</v>
      </c>
      <c r="H1298" s="2" t="s">
        <v>14</v>
      </c>
      <c r="I1298" s="2" t="s">
        <v>22</v>
      </c>
      <c r="J1298" s="2" t="s">
        <v>17</v>
      </c>
      <c r="K1298" s="2" t="s">
        <v>24</v>
      </c>
      <c r="L1298" s="2" t="s">
        <v>9</v>
      </c>
      <c r="M1298" s="2" t="s">
        <v>20</v>
      </c>
      <c r="N1298" s="2" t="s">
        <v>19</v>
      </c>
      <c r="O1298" s="2" t="s">
        <v>53</v>
      </c>
      <c r="P1298" s="2" t="s">
        <v>55</v>
      </c>
      <c r="Q1298" s="2" t="s">
        <v>23</v>
      </c>
      <c r="R1298" s="2" t="s">
        <v>18</v>
      </c>
      <c r="S1298">
        <v>5</v>
      </c>
    </row>
    <row r="1299" spans="1:19" x14ac:dyDescent="0.3">
      <c r="A1299">
        <v>3527</v>
      </c>
      <c r="B1299">
        <f>YEAR(Cleaned_HR_Data_Analysis__2[[#This Row],[Joining_Date]])</f>
        <v>2020</v>
      </c>
      <c r="C1299" s="1">
        <v>43952</v>
      </c>
      <c r="D1299" s="1" t="str" cm="1">
        <f t="array" ref="D1299">_xlfn.IFS(E1299&lt;28, "17-27",
AND(E1299&gt;27, E1299&lt;38), "28-37",
AND(E1299&gt;37, E1299 &lt;48), "38-47",
AND(E1299&gt;47, E1299 &lt;58), "48-57",
AND(E1299&gt;57, E1299&lt;68), "58-67",
AND(E1299&gt;67, E1299&lt;78), "68-77",
E1299&gt;77,"Above than 77")</f>
        <v>38-47</v>
      </c>
      <c r="E1299">
        <v>46</v>
      </c>
      <c r="F1299" s="1">
        <v>27317</v>
      </c>
      <c r="G1299" s="1" t="str">
        <f>VLOOKUP(H1299,Table7[#All], 2, FALSE)</f>
        <v>Colorado</v>
      </c>
      <c r="H1299" s="2" t="s">
        <v>50</v>
      </c>
      <c r="I1299" s="2" t="s">
        <v>22</v>
      </c>
      <c r="J1299" s="2" t="s">
        <v>34</v>
      </c>
      <c r="K1299" s="2" t="s">
        <v>24</v>
      </c>
      <c r="L1299" s="2" t="s">
        <v>9</v>
      </c>
      <c r="M1299" s="2" t="s">
        <v>25</v>
      </c>
      <c r="N1299" s="2" t="s">
        <v>26</v>
      </c>
      <c r="O1299" s="2" t="s">
        <v>27</v>
      </c>
      <c r="P1299" s="2" t="s">
        <v>21</v>
      </c>
      <c r="Q1299" s="2" t="s">
        <v>37</v>
      </c>
      <c r="R1299" s="2" t="s">
        <v>18</v>
      </c>
      <c r="S1299">
        <v>3</v>
      </c>
    </row>
    <row r="1300" spans="1:19" x14ac:dyDescent="0.3">
      <c r="A1300">
        <v>2641</v>
      </c>
      <c r="B1300">
        <f>YEAR(Cleaned_HR_Data_Analysis__2[[#This Row],[Joining_Date]])</f>
        <v>2021</v>
      </c>
      <c r="C1300" s="1">
        <v>44314</v>
      </c>
      <c r="D1300" s="1" t="str" cm="1">
        <f t="array" ref="D1300">_xlfn.IFS(E1300&lt;28, "17-27",
AND(E1300&gt;27, E1300&lt;38), "28-37",
AND(E1300&gt;37, E1300 &lt;48), "38-47",
AND(E1300&gt;47, E1300 &lt;58), "48-57",
AND(E1300&gt;57, E1300&lt;68), "58-67",
AND(E1300&gt;67, E1300&lt;78), "68-77",
E1300&gt;77,"Above than 77")</f>
        <v>38-47</v>
      </c>
      <c r="E1300">
        <v>46</v>
      </c>
      <c r="F1300" s="1">
        <v>27595</v>
      </c>
      <c r="G1300" s="1" t="str">
        <f>VLOOKUP(H1300,Table7[#All], 2, FALSE)</f>
        <v>Arizona</v>
      </c>
      <c r="H1300" s="2" t="s">
        <v>114</v>
      </c>
      <c r="I1300" s="2" t="s">
        <v>22</v>
      </c>
      <c r="J1300" s="2" t="s">
        <v>34</v>
      </c>
      <c r="K1300" s="2" t="s">
        <v>24</v>
      </c>
      <c r="L1300" s="2" t="s">
        <v>9</v>
      </c>
      <c r="M1300" s="2" t="s">
        <v>25</v>
      </c>
      <c r="N1300" s="2" t="s">
        <v>19</v>
      </c>
      <c r="O1300" s="2" t="s">
        <v>27</v>
      </c>
      <c r="P1300" s="2" t="s">
        <v>21</v>
      </c>
      <c r="Q1300" s="2" t="s">
        <v>46</v>
      </c>
      <c r="R1300" s="2" t="s">
        <v>18</v>
      </c>
      <c r="S1300">
        <v>3</v>
      </c>
    </row>
    <row r="1301" spans="1:19" x14ac:dyDescent="0.3">
      <c r="A1301">
        <v>1364</v>
      </c>
      <c r="B1301">
        <f>YEAR(Cleaned_HR_Data_Analysis__2[[#This Row],[Joining_Date]])</f>
        <v>2019</v>
      </c>
      <c r="C1301" s="1">
        <v>43558</v>
      </c>
      <c r="D1301" s="1" t="str" cm="1">
        <f t="array" ref="D1301">_xlfn.IFS(E1301&lt;28, "17-27",
AND(E1301&gt;27, E1301&lt;38), "28-37",
AND(E1301&gt;37, E1301 &lt;48), "38-47",
AND(E1301&gt;47, E1301 &lt;58), "48-57",
AND(E1301&gt;57, E1301&lt;68), "58-67",
AND(E1301&gt;67, E1301&lt;78), "68-77",
E1301&gt;77,"Above than 77")</f>
        <v>38-47</v>
      </c>
      <c r="E1301">
        <v>46</v>
      </c>
      <c r="F1301" s="1">
        <v>26684</v>
      </c>
      <c r="G1301" s="1" t="str">
        <f>VLOOKUP(H1301,Table7[#All], 2, FALSE)</f>
        <v>Massachusetts</v>
      </c>
      <c r="H1301" s="2" t="s">
        <v>14</v>
      </c>
      <c r="I1301" s="2" t="s">
        <v>22</v>
      </c>
      <c r="J1301" s="2" t="s">
        <v>40</v>
      </c>
      <c r="K1301" s="2" t="s">
        <v>96</v>
      </c>
      <c r="L1301" s="2" t="s">
        <v>9</v>
      </c>
      <c r="M1301" s="2" t="s">
        <v>10</v>
      </c>
      <c r="N1301" s="2" t="s">
        <v>11</v>
      </c>
      <c r="O1301" s="2" t="s">
        <v>90</v>
      </c>
      <c r="P1301" s="2" t="s">
        <v>13</v>
      </c>
      <c r="Q1301" s="2" t="s">
        <v>16</v>
      </c>
      <c r="R1301" s="2" t="s">
        <v>41</v>
      </c>
      <c r="S1301">
        <v>2</v>
      </c>
    </row>
    <row r="1302" spans="1:19" x14ac:dyDescent="0.3">
      <c r="A1302">
        <v>1357</v>
      </c>
      <c r="B1302">
        <f>YEAR(Cleaned_HR_Data_Analysis__2[[#This Row],[Joining_Date]])</f>
        <v>2018</v>
      </c>
      <c r="C1302" s="1">
        <v>43350</v>
      </c>
      <c r="D1302" s="1" t="str" cm="1">
        <f t="array" ref="D1302">_xlfn.IFS(E1302&lt;28, "17-27",
AND(E1302&gt;27, E1302&lt;38), "28-37",
AND(E1302&gt;37, E1302 &lt;48), "38-47",
AND(E1302&gt;47, E1302 &lt;58), "48-57",
AND(E1302&gt;57, E1302&lt;68), "58-67",
AND(E1302&gt;67, E1302&lt;78), "68-77",
E1302&gt;77,"Above than 77")</f>
        <v>38-47</v>
      </c>
      <c r="E1302">
        <v>46</v>
      </c>
      <c r="F1302" s="1">
        <v>26484</v>
      </c>
      <c r="G1302" s="1" t="str">
        <f>VLOOKUP(H1302,Table7[#All], 2, FALSE)</f>
        <v>Massachusetts</v>
      </c>
      <c r="H1302" s="2" t="s">
        <v>14</v>
      </c>
      <c r="I1302" s="2" t="s">
        <v>22</v>
      </c>
      <c r="J1302" s="2" t="s">
        <v>40</v>
      </c>
      <c r="K1302" s="2" t="s">
        <v>96</v>
      </c>
      <c r="L1302" s="2" t="s">
        <v>9</v>
      </c>
      <c r="M1302" s="2" t="s">
        <v>25</v>
      </c>
      <c r="N1302" s="2" t="s">
        <v>11</v>
      </c>
      <c r="O1302" s="2" t="s">
        <v>90</v>
      </c>
      <c r="P1302" s="2" t="s">
        <v>42</v>
      </c>
      <c r="Q1302" s="2" t="s">
        <v>37</v>
      </c>
      <c r="R1302" s="2" t="s">
        <v>18</v>
      </c>
      <c r="S1302">
        <v>4</v>
      </c>
    </row>
    <row r="1303" spans="1:19" x14ac:dyDescent="0.3">
      <c r="A1303">
        <v>1040</v>
      </c>
      <c r="B1303">
        <f>YEAR(Cleaned_HR_Data_Analysis__2[[#This Row],[Joining_Date]])</f>
        <v>2019</v>
      </c>
      <c r="C1303" s="1">
        <v>43671</v>
      </c>
      <c r="D1303" s="1" t="str" cm="1">
        <f t="array" ref="D1303">_xlfn.IFS(E1303&lt;28, "17-27",
AND(E1303&gt;27, E1303&lt;38), "28-37",
AND(E1303&gt;37, E1303 &lt;48), "38-47",
AND(E1303&gt;47, E1303 &lt;58), "48-57",
AND(E1303&gt;57, E1303&lt;68), "58-67",
AND(E1303&gt;67, E1303&lt;78), "68-77",
E1303&gt;77,"Above than 77")</f>
        <v>38-47</v>
      </c>
      <c r="E1303">
        <v>47</v>
      </c>
      <c r="F1303" s="1">
        <v>26414</v>
      </c>
      <c r="G1303" s="1" t="str">
        <f>VLOOKUP(H1303,Table7[#All], 2, FALSE)</f>
        <v>Massachusetts</v>
      </c>
      <c r="H1303" s="2" t="s">
        <v>14</v>
      </c>
      <c r="I1303" s="2" t="s">
        <v>22</v>
      </c>
      <c r="J1303" s="2" t="s">
        <v>40</v>
      </c>
      <c r="K1303" s="2" t="s">
        <v>86</v>
      </c>
      <c r="L1303" s="2" t="s">
        <v>66</v>
      </c>
      <c r="M1303" s="2" t="s">
        <v>10</v>
      </c>
      <c r="N1303" s="2" t="s">
        <v>19</v>
      </c>
      <c r="O1303" s="2" t="s">
        <v>87</v>
      </c>
      <c r="P1303" s="2" t="s">
        <v>35</v>
      </c>
      <c r="Q1303" s="2" t="s">
        <v>16</v>
      </c>
      <c r="R1303" s="2" t="s">
        <v>18</v>
      </c>
      <c r="S1303">
        <v>3</v>
      </c>
    </row>
    <row r="1304" spans="1:19" x14ac:dyDescent="0.3">
      <c r="A1304">
        <v>3788</v>
      </c>
      <c r="B1304">
        <f>YEAR(Cleaned_HR_Data_Analysis__2[[#This Row],[Joining_Date]])</f>
        <v>2023</v>
      </c>
      <c r="C1304" s="1">
        <v>45063</v>
      </c>
      <c r="D1304" s="1" t="str" cm="1">
        <f t="array" ref="D1304">_xlfn.IFS(E1304&lt;28, "17-27",
AND(E1304&gt;27, E1304&lt;38), "28-37",
AND(E1304&gt;37, E1304 &lt;48), "38-47",
AND(E1304&gt;47, E1304 &lt;58), "48-57",
AND(E1304&gt;57, E1304&lt;68), "58-67",
AND(E1304&gt;67, E1304&lt;78), "68-77",
E1304&gt;77,"Above than 77")</f>
        <v>38-47</v>
      </c>
      <c r="E1304">
        <v>47</v>
      </c>
      <c r="F1304" s="1">
        <v>28009</v>
      </c>
      <c r="G1304" s="1" t="str">
        <f>VLOOKUP(H1304,Table7[#All], 2, FALSE)</f>
        <v>Massachusetts</v>
      </c>
      <c r="H1304" s="2" t="s">
        <v>14</v>
      </c>
      <c r="I1304" s="2" t="s">
        <v>15</v>
      </c>
      <c r="J1304" s="2" t="s">
        <v>34</v>
      </c>
      <c r="K1304" s="2" t="s">
        <v>64</v>
      </c>
      <c r="L1304" s="2" t="s">
        <v>66</v>
      </c>
      <c r="M1304" s="2" t="s">
        <v>20</v>
      </c>
      <c r="N1304" s="2" t="s">
        <v>19</v>
      </c>
      <c r="O1304" s="2" t="s">
        <v>12</v>
      </c>
      <c r="P1304" s="2" t="s">
        <v>35</v>
      </c>
      <c r="Q1304" s="2" t="s">
        <v>37</v>
      </c>
      <c r="R1304" s="2" t="s">
        <v>18</v>
      </c>
      <c r="S1304">
        <v>4</v>
      </c>
    </row>
    <row r="1305" spans="1:19" x14ac:dyDescent="0.3">
      <c r="A1305">
        <v>3299</v>
      </c>
      <c r="B1305">
        <f>YEAR(Cleaned_HR_Data_Analysis__2[[#This Row],[Joining_Date]])</f>
        <v>2022</v>
      </c>
      <c r="C1305" s="1">
        <v>44875</v>
      </c>
      <c r="D1305" s="1" t="str" cm="1">
        <f t="array" ref="D1305">_xlfn.IFS(E1305&lt;28, "17-27",
AND(E1305&gt;27, E1305&lt;38), "28-37",
AND(E1305&gt;37, E1305 &lt;48), "38-47",
AND(E1305&gt;47, E1305 &lt;58), "48-57",
AND(E1305&gt;57, E1305&lt;68), "58-67",
AND(E1305&gt;67, E1305&lt;78), "68-77",
E1305&gt;77,"Above than 77")</f>
        <v>38-47</v>
      </c>
      <c r="E1305">
        <v>47</v>
      </c>
      <c r="F1305" s="1">
        <v>27555</v>
      </c>
      <c r="G1305" s="1" t="str">
        <f>VLOOKUP(H1305,Table7[#All], 2, FALSE)</f>
        <v>Massachusetts</v>
      </c>
      <c r="H1305" s="2" t="s">
        <v>14</v>
      </c>
      <c r="I1305" s="2" t="s">
        <v>22</v>
      </c>
      <c r="J1305" s="2" t="s">
        <v>17</v>
      </c>
      <c r="K1305" s="2" t="s">
        <v>64</v>
      </c>
      <c r="L1305" s="2" t="s">
        <v>9</v>
      </c>
      <c r="M1305" s="2" t="s">
        <v>20</v>
      </c>
      <c r="N1305" s="2" t="s">
        <v>19</v>
      </c>
      <c r="O1305" s="2" t="s">
        <v>12</v>
      </c>
      <c r="P1305" s="2" t="s">
        <v>59</v>
      </c>
      <c r="Q1305" s="2" t="s">
        <v>16</v>
      </c>
      <c r="R1305" s="2" t="s">
        <v>18</v>
      </c>
      <c r="S1305">
        <v>1</v>
      </c>
    </row>
    <row r="1306" spans="1:19" x14ac:dyDescent="0.3">
      <c r="A1306">
        <v>3215</v>
      </c>
      <c r="B1306">
        <f>YEAR(Cleaned_HR_Data_Analysis__2[[#This Row],[Joining_Date]])</f>
        <v>2020</v>
      </c>
      <c r="C1306" s="1">
        <v>43855</v>
      </c>
      <c r="D1306" s="1" t="str" cm="1">
        <f t="array" ref="D1306">_xlfn.IFS(E1306&lt;28, "17-27",
AND(E1306&gt;27, E1306&lt;38), "28-37",
AND(E1306&gt;37, E1306 &lt;48), "38-47",
AND(E1306&gt;47, E1306 &lt;58), "48-57",
AND(E1306&gt;57, E1306&lt;68), "58-67",
AND(E1306&gt;67, E1306&lt;78), "68-77",
E1306&gt;77,"Above than 77")</f>
        <v>38-47</v>
      </c>
      <c r="E1306">
        <v>47</v>
      </c>
      <c r="F1306" s="1">
        <v>26818</v>
      </c>
      <c r="G1306" s="1" t="str">
        <f>VLOOKUP(H1306,Table7[#All], 2, FALSE)</f>
        <v>Massachusetts</v>
      </c>
      <c r="H1306" s="2" t="s">
        <v>14</v>
      </c>
      <c r="I1306" s="2" t="s">
        <v>22</v>
      </c>
      <c r="J1306" s="2" t="s">
        <v>40</v>
      </c>
      <c r="K1306" s="2" t="s">
        <v>64</v>
      </c>
      <c r="L1306" s="2" t="s">
        <v>9</v>
      </c>
      <c r="M1306" s="2" t="s">
        <v>10</v>
      </c>
      <c r="N1306" s="2" t="s">
        <v>19</v>
      </c>
      <c r="O1306" s="2" t="s">
        <v>12</v>
      </c>
      <c r="P1306" s="2" t="s">
        <v>28</v>
      </c>
      <c r="Q1306" s="2" t="s">
        <v>16</v>
      </c>
      <c r="R1306" s="2" t="s">
        <v>18</v>
      </c>
      <c r="S1306">
        <v>3</v>
      </c>
    </row>
    <row r="1307" spans="1:19" x14ac:dyDescent="0.3">
      <c r="A1307">
        <v>3158</v>
      </c>
      <c r="B1307">
        <f>YEAR(Cleaned_HR_Data_Analysis__2[[#This Row],[Joining_Date]])</f>
        <v>2023</v>
      </c>
      <c r="C1307" s="1">
        <v>45076</v>
      </c>
      <c r="D1307" s="1" t="str" cm="1">
        <f t="array" ref="D1307">_xlfn.IFS(E1307&lt;28, "17-27",
AND(E1307&gt;27, E1307&lt;38), "28-37",
AND(E1307&gt;37, E1307 &lt;48), "38-47",
AND(E1307&gt;47, E1307 &lt;58), "48-57",
AND(E1307&gt;57, E1307&lt;68), "58-67",
AND(E1307&gt;67, E1307&lt;78), "68-77",
E1307&gt;77,"Above than 77")</f>
        <v>38-47</v>
      </c>
      <c r="E1307">
        <v>47</v>
      </c>
      <c r="F1307" s="1">
        <v>27780</v>
      </c>
      <c r="G1307" s="1" t="str">
        <f>VLOOKUP(H1307,Table7[#All], 2, FALSE)</f>
        <v>Massachusetts</v>
      </c>
      <c r="H1307" s="2" t="s">
        <v>14</v>
      </c>
      <c r="I1307" s="2" t="s">
        <v>15</v>
      </c>
      <c r="J1307" s="2" t="s">
        <v>40</v>
      </c>
      <c r="K1307" s="2" t="s">
        <v>64</v>
      </c>
      <c r="L1307" s="2" t="s">
        <v>9</v>
      </c>
      <c r="M1307" s="2" t="s">
        <v>20</v>
      </c>
      <c r="N1307" s="2" t="s">
        <v>19</v>
      </c>
      <c r="O1307" s="2" t="s">
        <v>12</v>
      </c>
      <c r="P1307" s="2" t="s">
        <v>28</v>
      </c>
      <c r="Q1307" s="2" t="s">
        <v>23</v>
      </c>
      <c r="R1307" s="2" t="s">
        <v>41</v>
      </c>
      <c r="S1307">
        <v>1</v>
      </c>
    </row>
    <row r="1308" spans="1:19" x14ac:dyDescent="0.3">
      <c r="A1308">
        <v>3070</v>
      </c>
      <c r="B1308">
        <f>YEAR(Cleaned_HR_Data_Analysis__2[[#This Row],[Joining_Date]])</f>
        <v>2019</v>
      </c>
      <c r="C1308" s="1">
        <v>43824</v>
      </c>
      <c r="D1308" s="1" t="str" cm="1">
        <f t="array" ref="D1308">_xlfn.IFS(E1308&lt;28, "17-27",
AND(E1308&gt;27, E1308&lt;38), "28-37",
AND(E1308&gt;37, E1308 &lt;48), "38-47",
AND(E1308&gt;47, E1308 &lt;58), "48-57",
AND(E1308&gt;57, E1308&lt;68), "58-67",
AND(E1308&gt;67, E1308&lt;78), "68-77",
E1308&gt;77,"Above than 77")</f>
        <v>38-47</v>
      </c>
      <c r="E1308">
        <v>47</v>
      </c>
      <c r="F1308" s="1">
        <v>26424</v>
      </c>
      <c r="G1308" s="1" t="str">
        <f>VLOOKUP(H1308,Table7[#All], 2, FALSE)</f>
        <v>Massachusetts</v>
      </c>
      <c r="H1308" s="2" t="s">
        <v>14</v>
      </c>
      <c r="I1308" s="2" t="s">
        <v>15</v>
      </c>
      <c r="J1308" s="2" t="s">
        <v>40</v>
      </c>
      <c r="K1308" s="2" t="s">
        <v>64</v>
      </c>
      <c r="L1308" s="2" t="s">
        <v>9</v>
      </c>
      <c r="M1308" s="2" t="s">
        <v>25</v>
      </c>
      <c r="N1308" s="2" t="s">
        <v>11</v>
      </c>
      <c r="O1308" s="2" t="s">
        <v>12</v>
      </c>
      <c r="P1308" s="2" t="s">
        <v>59</v>
      </c>
      <c r="Q1308" s="2" t="s">
        <v>16</v>
      </c>
      <c r="R1308" s="2" t="s">
        <v>18</v>
      </c>
      <c r="S1308">
        <v>5</v>
      </c>
    </row>
    <row r="1309" spans="1:19" x14ac:dyDescent="0.3">
      <c r="A1309">
        <v>1599</v>
      </c>
      <c r="B1309">
        <f>YEAR(Cleaned_HR_Data_Analysis__2[[#This Row],[Joining_Date]])</f>
        <v>2022</v>
      </c>
      <c r="C1309" s="1">
        <v>44699</v>
      </c>
      <c r="D1309" s="1" t="str" cm="1">
        <f t="array" ref="D1309">_xlfn.IFS(E1309&lt;28, "17-27",
AND(E1309&gt;27, E1309&lt;38), "28-37",
AND(E1309&gt;37, E1309 &lt;48), "38-47",
AND(E1309&gt;47, E1309 &lt;58), "48-57",
AND(E1309&gt;57, E1309&lt;68), "58-67",
AND(E1309&gt;67, E1309&lt;78), "68-77",
E1309&gt;77,"Above than 77")</f>
        <v>38-47</v>
      </c>
      <c r="E1309">
        <v>47</v>
      </c>
      <c r="F1309" s="1">
        <v>27711</v>
      </c>
      <c r="G1309" s="1" t="str">
        <f>VLOOKUP(H1309,Table7[#All], 2, FALSE)</f>
        <v>Massachusetts</v>
      </c>
      <c r="H1309" s="2" t="s">
        <v>14</v>
      </c>
      <c r="I1309" s="2" t="s">
        <v>22</v>
      </c>
      <c r="J1309" s="2" t="s">
        <v>40</v>
      </c>
      <c r="K1309" s="2" t="s">
        <v>64</v>
      </c>
      <c r="L1309" s="2" t="s">
        <v>66</v>
      </c>
      <c r="M1309" s="2" t="s">
        <v>25</v>
      </c>
      <c r="N1309" s="2" t="s">
        <v>11</v>
      </c>
      <c r="O1309" s="2" t="s">
        <v>12</v>
      </c>
      <c r="P1309" s="2" t="s">
        <v>35</v>
      </c>
      <c r="Q1309" s="2" t="s">
        <v>16</v>
      </c>
      <c r="R1309" s="2" t="s">
        <v>41</v>
      </c>
      <c r="S1309">
        <v>5</v>
      </c>
    </row>
    <row r="1310" spans="1:19" x14ac:dyDescent="0.3">
      <c r="A1310">
        <v>3806</v>
      </c>
      <c r="B1310">
        <f>YEAR(Cleaned_HR_Data_Analysis__2[[#This Row],[Joining_Date]])</f>
        <v>2021</v>
      </c>
      <c r="C1310" s="1">
        <v>44462</v>
      </c>
      <c r="D1310" s="1" t="str" cm="1">
        <f t="array" ref="D1310">_xlfn.IFS(E1310&lt;28, "17-27",
AND(E1310&gt;27, E1310&lt;38), "28-37",
AND(E1310&gt;37, E1310 &lt;48), "38-47",
AND(E1310&gt;47, E1310 &lt;58), "48-57",
AND(E1310&gt;57, E1310&lt;68), "58-67",
AND(E1310&gt;67, E1310&lt;78), "68-77",
E1310&gt;77,"Above than 77")</f>
        <v>38-47</v>
      </c>
      <c r="E1310">
        <v>47</v>
      </c>
      <c r="F1310" s="1">
        <v>27273</v>
      </c>
      <c r="G1310" s="1" t="str">
        <f>VLOOKUP(H1310,Table7[#All], 2, FALSE)</f>
        <v>Massachusetts</v>
      </c>
      <c r="H1310" s="2" t="s">
        <v>14</v>
      </c>
      <c r="I1310" s="2" t="s">
        <v>22</v>
      </c>
      <c r="J1310" s="2" t="s">
        <v>34</v>
      </c>
      <c r="K1310" s="2" t="s">
        <v>8</v>
      </c>
      <c r="L1310" s="2" t="s">
        <v>9</v>
      </c>
      <c r="M1310" s="2" t="s">
        <v>10</v>
      </c>
      <c r="N1310" s="2" t="s">
        <v>11</v>
      </c>
      <c r="O1310" s="2" t="s">
        <v>12</v>
      </c>
      <c r="P1310" s="2" t="s">
        <v>35</v>
      </c>
      <c r="Q1310" s="2" t="s">
        <v>30</v>
      </c>
      <c r="R1310" s="2" t="s">
        <v>18</v>
      </c>
      <c r="S1310">
        <v>1</v>
      </c>
    </row>
    <row r="1311" spans="1:19" x14ac:dyDescent="0.3">
      <c r="A1311">
        <v>3614</v>
      </c>
      <c r="B1311">
        <f>YEAR(Cleaned_HR_Data_Analysis__2[[#This Row],[Joining_Date]])</f>
        <v>2020</v>
      </c>
      <c r="C1311" s="1">
        <v>43838</v>
      </c>
      <c r="D1311" s="1" t="str" cm="1">
        <f t="array" ref="D1311">_xlfn.IFS(E1311&lt;28, "17-27",
AND(E1311&gt;27, E1311&lt;38), "28-37",
AND(E1311&gt;37, E1311 &lt;48), "38-47",
AND(E1311&gt;47, E1311 &lt;58), "48-57",
AND(E1311&gt;57, E1311&lt;68), "58-67",
AND(E1311&gt;67, E1311&lt;78), "68-77",
E1311&gt;77,"Above than 77")</f>
        <v>38-47</v>
      </c>
      <c r="E1311">
        <v>47</v>
      </c>
      <c r="F1311" s="1">
        <v>26907</v>
      </c>
      <c r="G1311" s="1" t="str">
        <f>VLOOKUP(H1311,Table7[#All], 2, FALSE)</f>
        <v>Massachusetts</v>
      </c>
      <c r="H1311" s="2" t="s">
        <v>14</v>
      </c>
      <c r="I1311" s="2" t="s">
        <v>22</v>
      </c>
      <c r="J1311" s="2" t="s">
        <v>34</v>
      </c>
      <c r="K1311" s="2" t="s">
        <v>8</v>
      </c>
      <c r="L1311" s="2" t="s">
        <v>9</v>
      </c>
      <c r="M1311" s="2" t="s">
        <v>10</v>
      </c>
      <c r="N1311" s="2" t="s">
        <v>26</v>
      </c>
      <c r="O1311" s="2" t="s">
        <v>12</v>
      </c>
      <c r="P1311" s="2" t="s">
        <v>54</v>
      </c>
      <c r="Q1311" s="2" t="s">
        <v>16</v>
      </c>
      <c r="R1311" s="2" t="s">
        <v>18</v>
      </c>
      <c r="S1311">
        <v>5</v>
      </c>
    </row>
    <row r="1312" spans="1:19" x14ac:dyDescent="0.3">
      <c r="A1312">
        <v>3588</v>
      </c>
      <c r="B1312">
        <f>YEAR(Cleaned_HR_Data_Analysis__2[[#This Row],[Joining_Date]])</f>
        <v>2019</v>
      </c>
      <c r="C1312" s="1">
        <v>43641</v>
      </c>
      <c r="D1312" s="1" t="str" cm="1">
        <f t="array" ref="D1312">_xlfn.IFS(E1312&lt;28, "17-27",
AND(E1312&gt;27, E1312&lt;38), "28-37",
AND(E1312&gt;37, E1312 &lt;48), "38-47",
AND(E1312&gt;47, E1312 &lt;58), "48-57",
AND(E1312&gt;57, E1312&lt;68), "58-67",
AND(E1312&gt;67, E1312&lt;78), "68-77",
E1312&gt;77,"Above than 77")</f>
        <v>38-47</v>
      </c>
      <c r="E1312">
        <v>47</v>
      </c>
      <c r="F1312" s="1">
        <v>26366</v>
      </c>
      <c r="G1312" s="1" t="str">
        <f>VLOOKUP(H1312,Table7[#All], 2, FALSE)</f>
        <v>Massachusetts</v>
      </c>
      <c r="H1312" s="2" t="s">
        <v>14</v>
      </c>
      <c r="I1312" s="2" t="s">
        <v>22</v>
      </c>
      <c r="J1312" s="2" t="s">
        <v>17</v>
      </c>
      <c r="K1312" s="2" t="s">
        <v>8</v>
      </c>
      <c r="L1312" s="2" t="s">
        <v>9</v>
      </c>
      <c r="M1312" s="2" t="s">
        <v>25</v>
      </c>
      <c r="N1312" s="2" t="s">
        <v>11</v>
      </c>
      <c r="O1312" s="2" t="s">
        <v>12</v>
      </c>
      <c r="P1312" s="2" t="s">
        <v>58</v>
      </c>
      <c r="Q1312" s="2" t="s">
        <v>37</v>
      </c>
      <c r="R1312" s="2" t="s">
        <v>18</v>
      </c>
      <c r="S1312">
        <v>2</v>
      </c>
    </row>
    <row r="1313" spans="1:19" x14ac:dyDescent="0.3">
      <c r="A1313">
        <v>3360</v>
      </c>
      <c r="B1313">
        <f>YEAR(Cleaned_HR_Data_Analysis__2[[#This Row],[Joining_Date]])</f>
        <v>2021</v>
      </c>
      <c r="C1313" s="1">
        <v>44279</v>
      </c>
      <c r="D1313" s="1" t="str" cm="1">
        <f t="array" ref="D1313">_xlfn.IFS(E1313&lt;28, "17-27",
AND(E1313&gt;27, E1313&lt;38), "28-37",
AND(E1313&gt;37, E1313 &lt;48), "38-47",
AND(E1313&gt;47, E1313 &lt;58), "48-57",
AND(E1313&gt;57, E1313&lt;68), "58-67",
AND(E1313&gt;67, E1313&lt;78), "68-77",
E1313&gt;77,"Above than 77")</f>
        <v>38-47</v>
      </c>
      <c r="E1313">
        <v>47</v>
      </c>
      <c r="F1313" s="1">
        <v>27169</v>
      </c>
      <c r="G1313" s="1" t="str">
        <f>VLOOKUP(H1313,Table7[#All], 2, FALSE)</f>
        <v>Massachusetts</v>
      </c>
      <c r="H1313" s="2" t="s">
        <v>14</v>
      </c>
      <c r="I1313" s="2" t="s">
        <v>15</v>
      </c>
      <c r="J1313" s="2" t="s">
        <v>34</v>
      </c>
      <c r="K1313" s="2" t="s">
        <v>8</v>
      </c>
      <c r="L1313" s="2" t="s">
        <v>9</v>
      </c>
      <c r="M1313" s="2" t="s">
        <v>20</v>
      </c>
      <c r="N1313" s="2" t="s">
        <v>19</v>
      </c>
      <c r="O1313" s="2" t="s">
        <v>12</v>
      </c>
      <c r="P1313" s="2" t="s">
        <v>32</v>
      </c>
      <c r="Q1313" s="2" t="s">
        <v>46</v>
      </c>
      <c r="R1313" s="2" t="s">
        <v>41</v>
      </c>
      <c r="S1313">
        <v>4</v>
      </c>
    </row>
    <row r="1314" spans="1:19" x14ac:dyDescent="0.3">
      <c r="A1314">
        <v>3351</v>
      </c>
      <c r="B1314">
        <f>YEAR(Cleaned_HR_Data_Analysis__2[[#This Row],[Joining_Date]])</f>
        <v>2021</v>
      </c>
      <c r="C1314" s="1">
        <v>44545</v>
      </c>
      <c r="D1314" s="1" t="str" cm="1">
        <f t="array" ref="D1314">_xlfn.IFS(E1314&lt;28, "17-27",
AND(E1314&gt;27, E1314&lt;38), "28-37",
AND(E1314&gt;37, E1314 &lt;48), "38-47",
AND(E1314&gt;47, E1314 &lt;58), "48-57",
AND(E1314&gt;57, E1314&lt;68), "58-67",
AND(E1314&gt;67, E1314&lt;78), "68-77",
E1314&gt;77,"Above than 77")</f>
        <v>38-47</v>
      </c>
      <c r="E1314">
        <v>47</v>
      </c>
      <c r="F1314" s="1">
        <v>27280</v>
      </c>
      <c r="G1314" s="1" t="str">
        <f>VLOOKUP(H1314,Table7[#All], 2, FALSE)</f>
        <v>Massachusetts</v>
      </c>
      <c r="H1314" s="2" t="s">
        <v>14</v>
      </c>
      <c r="I1314" s="2" t="s">
        <v>22</v>
      </c>
      <c r="J1314" s="2" t="s">
        <v>34</v>
      </c>
      <c r="K1314" s="2" t="s">
        <v>8</v>
      </c>
      <c r="L1314" s="2" t="s">
        <v>66</v>
      </c>
      <c r="M1314" s="2" t="s">
        <v>10</v>
      </c>
      <c r="N1314" s="2" t="s">
        <v>11</v>
      </c>
      <c r="O1314" s="2" t="s">
        <v>12</v>
      </c>
      <c r="P1314" s="2" t="s">
        <v>58</v>
      </c>
      <c r="Q1314" s="2" t="s">
        <v>23</v>
      </c>
      <c r="R1314" s="2" t="s">
        <v>18</v>
      </c>
      <c r="S1314">
        <v>2</v>
      </c>
    </row>
    <row r="1315" spans="1:19" x14ac:dyDescent="0.3">
      <c r="A1315">
        <v>3311</v>
      </c>
      <c r="B1315">
        <f>YEAR(Cleaned_HR_Data_Analysis__2[[#This Row],[Joining_Date]])</f>
        <v>2021</v>
      </c>
      <c r="C1315" s="1">
        <v>44364</v>
      </c>
      <c r="D1315" s="1" t="str" cm="1">
        <f t="array" ref="D1315">_xlfn.IFS(E1315&lt;28, "17-27",
AND(E1315&gt;27, E1315&lt;38), "28-37",
AND(E1315&gt;37, E1315 &lt;48), "38-47",
AND(E1315&gt;47, E1315 &lt;58), "48-57",
AND(E1315&gt;57, E1315&lt;68), "58-67",
AND(E1315&gt;67, E1315&lt;78), "68-77",
E1315&gt;77,"Above than 77")</f>
        <v>38-47</v>
      </c>
      <c r="E1315">
        <v>47</v>
      </c>
      <c r="F1315" s="1">
        <v>27100</v>
      </c>
      <c r="G1315" s="1" t="str">
        <f>VLOOKUP(H1315,Table7[#All], 2, FALSE)</f>
        <v>Massachusetts</v>
      </c>
      <c r="H1315" s="2" t="s">
        <v>14</v>
      </c>
      <c r="I1315" s="2" t="s">
        <v>15</v>
      </c>
      <c r="J1315" s="2" t="s">
        <v>17</v>
      </c>
      <c r="K1315" s="2" t="s">
        <v>8</v>
      </c>
      <c r="L1315" s="2" t="s">
        <v>9</v>
      </c>
      <c r="M1315" s="2" t="s">
        <v>10</v>
      </c>
      <c r="N1315" s="2" t="s">
        <v>19</v>
      </c>
      <c r="O1315" s="2" t="s">
        <v>12</v>
      </c>
      <c r="P1315" s="2" t="s">
        <v>35</v>
      </c>
      <c r="Q1315" s="2" t="s">
        <v>37</v>
      </c>
      <c r="R1315" s="2" t="s">
        <v>18</v>
      </c>
      <c r="S1315">
        <v>2</v>
      </c>
    </row>
    <row r="1316" spans="1:19" x14ac:dyDescent="0.3">
      <c r="A1316">
        <v>3310</v>
      </c>
      <c r="B1316">
        <f>YEAR(Cleaned_HR_Data_Analysis__2[[#This Row],[Joining_Date]])</f>
        <v>2022</v>
      </c>
      <c r="C1316" s="1">
        <v>44594</v>
      </c>
      <c r="D1316" s="1" t="str" cm="1">
        <f t="array" ref="D1316">_xlfn.IFS(E1316&lt;28, "17-27",
AND(E1316&gt;27, E1316&lt;38), "28-37",
AND(E1316&gt;37, E1316 &lt;48), "38-47",
AND(E1316&gt;47, E1316 &lt;58), "48-57",
AND(E1316&gt;57, E1316&lt;68), "58-67",
AND(E1316&gt;67, E1316&lt;78), "68-77",
E1316&gt;77,"Above than 77")</f>
        <v>38-47</v>
      </c>
      <c r="E1316">
        <v>47</v>
      </c>
      <c r="F1316" s="1">
        <v>27600</v>
      </c>
      <c r="G1316" s="1" t="str">
        <f>VLOOKUP(H1316,Table7[#All], 2, FALSE)</f>
        <v>Massachusetts</v>
      </c>
      <c r="H1316" s="2" t="s">
        <v>14</v>
      </c>
      <c r="I1316" s="2" t="s">
        <v>15</v>
      </c>
      <c r="J1316" s="2" t="s">
        <v>34</v>
      </c>
      <c r="K1316" s="2" t="s">
        <v>8</v>
      </c>
      <c r="L1316" s="2" t="s">
        <v>9</v>
      </c>
      <c r="M1316" s="2" t="s">
        <v>20</v>
      </c>
      <c r="N1316" s="2" t="s">
        <v>26</v>
      </c>
      <c r="O1316" s="2" t="s">
        <v>12</v>
      </c>
      <c r="P1316" s="2" t="s">
        <v>44</v>
      </c>
      <c r="Q1316" s="2" t="s">
        <v>46</v>
      </c>
      <c r="R1316" s="2" t="s">
        <v>18</v>
      </c>
      <c r="S1316">
        <v>5</v>
      </c>
    </row>
    <row r="1317" spans="1:19" x14ac:dyDescent="0.3">
      <c r="A1317">
        <v>3218</v>
      </c>
      <c r="B1317">
        <f>YEAR(Cleaned_HR_Data_Analysis__2[[#This Row],[Joining_Date]])</f>
        <v>2018</v>
      </c>
      <c r="C1317" s="1">
        <v>43347</v>
      </c>
      <c r="D1317" s="1" t="str" cm="1">
        <f t="array" ref="D1317">_xlfn.IFS(E1317&lt;28, "17-27",
AND(E1317&gt;27, E1317&lt;38), "28-37",
AND(E1317&gt;37, E1317 &lt;48), "38-47",
AND(E1317&gt;47, E1317 &lt;58), "48-57",
AND(E1317&gt;57, E1317&lt;68), "58-67",
AND(E1317&gt;67, E1317&lt;78), "68-77",
E1317&gt;77,"Above than 77")</f>
        <v>38-47</v>
      </c>
      <c r="E1317">
        <v>47</v>
      </c>
      <c r="F1317" s="1">
        <v>26127</v>
      </c>
      <c r="G1317" s="1" t="str">
        <f>VLOOKUP(H1317,Table7[#All], 2, FALSE)</f>
        <v>Massachusetts</v>
      </c>
      <c r="H1317" s="2" t="s">
        <v>14</v>
      </c>
      <c r="I1317" s="2" t="s">
        <v>22</v>
      </c>
      <c r="J1317" s="2" t="s">
        <v>17</v>
      </c>
      <c r="K1317" s="2" t="s">
        <v>8</v>
      </c>
      <c r="L1317" s="2" t="s">
        <v>9</v>
      </c>
      <c r="M1317" s="2" t="s">
        <v>25</v>
      </c>
      <c r="N1317" s="2" t="s">
        <v>11</v>
      </c>
      <c r="O1317" s="2" t="s">
        <v>12</v>
      </c>
      <c r="P1317" s="2" t="s">
        <v>35</v>
      </c>
      <c r="Q1317" s="2" t="s">
        <v>30</v>
      </c>
      <c r="R1317" s="2" t="s">
        <v>18</v>
      </c>
      <c r="S1317">
        <v>2</v>
      </c>
    </row>
    <row r="1318" spans="1:19" x14ac:dyDescent="0.3">
      <c r="A1318">
        <v>3214</v>
      </c>
      <c r="B1318">
        <f>YEAR(Cleaned_HR_Data_Analysis__2[[#This Row],[Joining_Date]])</f>
        <v>2019</v>
      </c>
      <c r="C1318" s="1">
        <v>43662</v>
      </c>
      <c r="D1318" s="1" t="str" cm="1">
        <f t="array" ref="D1318">_xlfn.IFS(E1318&lt;28, "17-27",
AND(E1318&gt;27, E1318&lt;38), "28-37",
AND(E1318&gt;37, E1318 &lt;48), "38-47",
AND(E1318&gt;47, E1318 &lt;58), "48-57",
AND(E1318&gt;57, E1318&lt;68), "58-67",
AND(E1318&gt;67, E1318&lt;78), "68-77",
E1318&gt;77,"Above than 77")</f>
        <v>38-47</v>
      </c>
      <c r="E1318">
        <v>47</v>
      </c>
      <c r="F1318" s="1">
        <v>26655</v>
      </c>
      <c r="G1318" s="1" t="str">
        <f>VLOOKUP(H1318,Table7[#All], 2, FALSE)</f>
        <v>Massachusetts</v>
      </c>
      <c r="H1318" s="2" t="s">
        <v>14</v>
      </c>
      <c r="I1318" s="2" t="s">
        <v>15</v>
      </c>
      <c r="J1318" s="2" t="s">
        <v>17</v>
      </c>
      <c r="K1318" s="2" t="s">
        <v>8</v>
      </c>
      <c r="L1318" s="2" t="s">
        <v>9</v>
      </c>
      <c r="M1318" s="2" t="s">
        <v>20</v>
      </c>
      <c r="N1318" s="2" t="s">
        <v>26</v>
      </c>
      <c r="O1318" s="2" t="s">
        <v>12</v>
      </c>
      <c r="P1318" s="2" t="s">
        <v>32</v>
      </c>
      <c r="Q1318" s="2" t="s">
        <v>46</v>
      </c>
      <c r="R1318" s="2" t="s">
        <v>18</v>
      </c>
      <c r="S1318">
        <v>1</v>
      </c>
    </row>
    <row r="1319" spans="1:19" x14ac:dyDescent="0.3">
      <c r="A1319">
        <v>3208</v>
      </c>
      <c r="B1319">
        <f>YEAR(Cleaned_HR_Data_Analysis__2[[#This Row],[Joining_Date]])</f>
        <v>2020</v>
      </c>
      <c r="C1319" s="1">
        <v>44190</v>
      </c>
      <c r="D1319" s="1" t="str" cm="1">
        <f t="array" ref="D1319">_xlfn.IFS(E1319&lt;28, "17-27",
AND(E1319&gt;27, E1319&lt;38), "28-37",
AND(E1319&gt;37, E1319 &lt;48), "38-47",
AND(E1319&gt;47, E1319 &lt;58), "48-57",
AND(E1319&gt;57, E1319&lt;68), "58-67",
AND(E1319&gt;67, E1319&lt;78), "68-77",
E1319&gt;77,"Above than 77")</f>
        <v>38-47</v>
      </c>
      <c r="E1319">
        <v>47</v>
      </c>
      <c r="F1319" s="1">
        <v>26911</v>
      </c>
      <c r="G1319" s="1" t="str">
        <f>VLOOKUP(H1319,Table7[#All], 2, FALSE)</f>
        <v>Massachusetts</v>
      </c>
      <c r="H1319" s="2" t="s">
        <v>14</v>
      </c>
      <c r="I1319" s="2" t="s">
        <v>22</v>
      </c>
      <c r="J1319" s="2" t="s">
        <v>40</v>
      </c>
      <c r="K1319" s="2" t="s">
        <v>8</v>
      </c>
      <c r="L1319" s="2" t="s">
        <v>66</v>
      </c>
      <c r="M1319" s="2" t="s">
        <v>10</v>
      </c>
      <c r="N1319" s="2" t="s">
        <v>19</v>
      </c>
      <c r="O1319" s="2" t="s">
        <v>12</v>
      </c>
      <c r="P1319" s="2" t="s">
        <v>35</v>
      </c>
      <c r="Q1319" s="2" t="s">
        <v>23</v>
      </c>
      <c r="R1319" s="2" t="s">
        <v>18</v>
      </c>
      <c r="S1319">
        <v>1</v>
      </c>
    </row>
    <row r="1320" spans="1:19" x14ac:dyDescent="0.3">
      <c r="A1320">
        <v>2858</v>
      </c>
      <c r="B1320">
        <f>YEAR(Cleaned_HR_Data_Analysis__2[[#This Row],[Joining_Date]])</f>
        <v>2021</v>
      </c>
      <c r="C1320" s="1">
        <v>44441</v>
      </c>
      <c r="D1320" s="1" t="str" cm="1">
        <f t="array" ref="D1320">_xlfn.IFS(E1320&lt;28, "17-27",
AND(E1320&gt;27, E1320&lt;38), "28-37",
AND(E1320&gt;37, E1320 &lt;48), "38-47",
AND(E1320&gt;47, E1320 &lt;58), "48-57",
AND(E1320&gt;57, E1320&lt;68), "58-67",
AND(E1320&gt;67, E1320&lt;78), "68-77",
E1320&gt;77,"Above than 77")</f>
        <v>38-47</v>
      </c>
      <c r="E1320">
        <v>47</v>
      </c>
      <c r="F1320" s="1">
        <v>27043</v>
      </c>
      <c r="G1320" s="1" t="str">
        <f>VLOOKUP(H1320,Table7[#All], 2, FALSE)</f>
        <v>Massachusetts</v>
      </c>
      <c r="H1320" s="2" t="s">
        <v>14</v>
      </c>
      <c r="I1320" s="2" t="s">
        <v>22</v>
      </c>
      <c r="J1320" s="2" t="s">
        <v>34</v>
      </c>
      <c r="K1320" s="2" t="s">
        <v>8</v>
      </c>
      <c r="L1320" s="2" t="s">
        <v>9</v>
      </c>
      <c r="M1320" s="2" t="s">
        <v>25</v>
      </c>
      <c r="N1320" s="2" t="s">
        <v>11</v>
      </c>
      <c r="O1320" s="2" t="s">
        <v>12</v>
      </c>
      <c r="P1320" s="2" t="s">
        <v>42</v>
      </c>
      <c r="Q1320" s="2" t="s">
        <v>30</v>
      </c>
      <c r="R1320" s="2" t="s">
        <v>18</v>
      </c>
      <c r="S1320">
        <v>2</v>
      </c>
    </row>
    <row r="1321" spans="1:19" x14ac:dyDescent="0.3">
      <c r="A1321">
        <v>2772</v>
      </c>
      <c r="B1321">
        <f>YEAR(Cleaned_HR_Data_Analysis__2[[#This Row],[Joining_Date]])</f>
        <v>2020</v>
      </c>
      <c r="C1321" s="1">
        <v>43903</v>
      </c>
      <c r="D1321" s="1" t="str" cm="1">
        <f t="array" ref="D1321">_xlfn.IFS(E1321&lt;28, "17-27",
AND(E1321&gt;27, E1321&lt;38), "28-37",
AND(E1321&gt;37, E1321 &lt;48), "38-47",
AND(E1321&gt;47, E1321 &lt;58), "48-57",
AND(E1321&gt;57, E1321&lt;68), "58-67",
AND(E1321&gt;67, E1321&lt;78), "68-77",
E1321&gt;77,"Above than 77")</f>
        <v>38-47</v>
      </c>
      <c r="E1321">
        <v>47</v>
      </c>
      <c r="F1321" s="1">
        <v>26769</v>
      </c>
      <c r="G1321" s="1" t="str">
        <f>VLOOKUP(H1321,Table7[#All], 2, FALSE)</f>
        <v>Massachusetts</v>
      </c>
      <c r="H1321" s="2" t="s">
        <v>14</v>
      </c>
      <c r="I1321" s="2" t="s">
        <v>22</v>
      </c>
      <c r="J1321" s="2" t="s">
        <v>34</v>
      </c>
      <c r="K1321" s="2" t="s">
        <v>8</v>
      </c>
      <c r="L1321" s="2" t="s">
        <v>9</v>
      </c>
      <c r="M1321" s="2" t="s">
        <v>25</v>
      </c>
      <c r="N1321" s="2" t="s">
        <v>19</v>
      </c>
      <c r="O1321" s="2" t="s">
        <v>12</v>
      </c>
      <c r="P1321" s="2" t="s">
        <v>59</v>
      </c>
      <c r="Q1321" s="2" t="s">
        <v>30</v>
      </c>
      <c r="R1321" s="2" t="s">
        <v>18</v>
      </c>
      <c r="S1321">
        <v>4</v>
      </c>
    </row>
    <row r="1322" spans="1:19" x14ac:dyDescent="0.3">
      <c r="A1322">
        <v>2154</v>
      </c>
      <c r="B1322">
        <f>YEAR(Cleaned_HR_Data_Analysis__2[[#This Row],[Joining_Date]])</f>
        <v>2022</v>
      </c>
      <c r="C1322" s="1">
        <v>44679</v>
      </c>
      <c r="D1322" s="1" t="str" cm="1">
        <f t="array" ref="D1322">_xlfn.IFS(E1322&lt;28, "17-27",
AND(E1322&gt;27, E1322&lt;38), "28-37",
AND(E1322&gt;37, E1322 &lt;48), "38-47",
AND(E1322&gt;47, E1322 &lt;58), "48-57",
AND(E1322&gt;57, E1322&lt;68), "58-67",
AND(E1322&gt;67, E1322&lt;78), "68-77",
E1322&gt;77,"Above than 77")</f>
        <v>38-47</v>
      </c>
      <c r="E1322">
        <v>47</v>
      </c>
      <c r="F1322" s="1">
        <v>27645</v>
      </c>
      <c r="G1322" s="1" t="str">
        <f>VLOOKUP(H1322,Table7[#All], 2, FALSE)</f>
        <v>Massachusetts</v>
      </c>
      <c r="H1322" s="2" t="s">
        <v>14</v>
      </c>
      <c r="I1322" s="2" t="s">
        <v>22</v>
      </c>
      <c r="J1322" s="2" t="s">
        <v>34</v>
      </c>
      <c r="K1322" s="2" t="s">
        <v>8</v>
      </c>
      <c r="L1322" s="2" t="s">
        <v>9</v>
      </c>
      <c r="M1322" s="2" t="s">
        <v>20</v>
      </c>
      <c r="N1322" s="2" t="s">
        <v>19</v>
      </c>
      <c r="O1322" s="2" t="s">
        <v>12</v>
      </c>
      <c r="P1322" s="2" t="s">
        <v>35</v>
      </c>
      <c r="Q1322" s="2" t="s">
        <v>30</v>
      </c>
      <c r="R1322" s="2" t="s">
        <v>41</v>
      </c>
      <c r="S1322">
        <v>3</v>
      </c>
    </row>
    <row r="1323" spans="1:19" x14ac:dyDescent="0.3">
      <c r="A1323">
        <v>1953</v>
      </c>
      <c r="B1323">
        <f>YEAR(Cleaned_HR_Data_Analysis__2[[#This Row],[Joining_Date]])</f>
        <v>2023</v>
      </c>
      <c r="C1323" s="1">
        <v>45022</v>
      </c>
      <c r="D1323" s="1" t="str" cm="1">
        <f t="array" ref="D1323">_xlfn.IFS(E1323&lt;28, "17-27",
AND(E1323&gt;27, E1323&lt;38), "28-37",
AND(E1323&gt;37, E1323 &lt;48), "38-47",
AND(E1323&gt;47, E1323 &lt;58), "48-57",
AND(E1323&gt;57, E1323&lt;68), "58-67",
AND(E1323&gt;67, E1323&lt;78), "68-77",
E1323&gt;77,"Above than 77")</f>
        <v>38-47</v>
      </c>
      <c r="E1323">
        <v>47</v>
      </c>
      <c r="F1323" s="1">
        <v>27810</v>
      </c>
      <c r="G1323" s="1" t="str">
        <f>VLOOKUP(H1323,Table7[#All], 2, FALSE)</f>
        <v>Massachusetts</v>
      </c>
      <c r="H1323" s="2" t="s">
        <v>14</v>
      </c>
      <c r="I1323" s="2" t="s">
        <v>15</v>
      </c>
      <c r="J1323" s="2" t="s">
        <v>40</v>
      </c>
      <c r="K1323" s="2" t="s">
        <v>8</v>
      </c>
      <c r="L1323" s="2" t="s">
        <v>9</v>
      </c>
      <c r="M1323" s="2" t="s">
        <v>25</v>
      </c>
      <c r="N1323" s="2" t="s">
        <v>26</v>
      </c>
      <c r="O1323" s="2" t="s">
        <v>12</v>
      </c>
      <c r="P1323" s="2" t="s">
        <v>13</v>
      </c>
      <c r="Q1323" s="2" t="s">
        <v>46</v>
      </c>
      <c r="R1323" s="2" t="s">
        <v>18</v>
      </c>
      <c r="S1323">
        <v>5</v>
      </c>
    </row>
    <row r="1324" spans="1:19" x14ac:dyDescent="0.3">
      <c r="A1324">
        <v>1770</v>
      </c>
      <c r="B1324">
        <f>YEAR(Cleaned_HR_Data_Analysis__2[[#This Row],[Joining_Date]])</f>
        <v>2018</v>
      </c>
      <c r="C1324" s="1">
        <v>43355</v>
      </c>
      <c r="D1324" s="1" t="str" cm="1">
        <f t="array" ref="D1324">_xlfn.IFS(E1324&lt;28, "17-27",
AND(E1324&gt;27, E1324&lt;38), "28-37",
AND(E1324&gt;37, E1324 &lt;48), "38-47",
AND(E1324&gt;47, E1324 &lt;58), "48-57",
AND(E1324&gt;57, E1324&lt;68), "58-67",
AND(E1324&gt;67, E1324&lt;78), "68-77",
E1324&gt;77,"Above than 77")</f>
        <v>38-47</v>
      </c>
      <c r="E1324">
        <v>47</v>
      </c>
      <c r="F1324" s="1">
        <v>25997</v>
      </c>
      <c r="G1324" s="1" t="str">
        <f>VLOOKUP(H1324,Table7[#All], 2, FALSE)</f>
        <v>Massachusetts</v>
      </c>
      <c r="H1324" s="2" t="s">
        <v>14</v>
      </c>
      <c r="I1324" s="2" t="s">
        <v>22</v>
      </c>
      <c r="J1324" s="2" t="s">
        <v>31</v>
      </c>
      <c r="K1324" s="2" t="s">
        <v>8</v>
      </c>
      <c r="L1324" s="2" t="s">
        <v>9</v>
      </c>
      <c r="M1324" s="2" t="s">
        <v>20</v>
      </c>
      <c r="N1324" s="2" t="s">
        <v>19</v>
      </c>
      <c r="O1324" s="2" t="s">
        <v>12</v>
      </c>
      <c r="P1324" s="2" t="s">
        <v>28</v>
      </c>
      <c r="Q1324" s="2" t="s">
        <v>23</v>
      </c>
      <c r="R1324" s="2" t="s">
        <v>18</v>
      </c>
      <c r="S1324">
        <v>3</v>
      </c>
    </row>
    <row r="1325" spans="1:19" x14ac:dyDescent="0.3">
      <c r="A1325">
        <v>1730</v>
      </c>
      <c r="B1325">
        <f>YEAR(Cleaned_HR_Data_Analysis__2[[#This Row],[Joining_Date]])</f>
        <v>2023</v>
      </c>
      <c r="C1325" s="1">
        <v>45046</v>
      </c>
      <c r="D1325" s="1" t="str" cm="1">
        <f t="array" ref="D1325">_xlfn.IFS(E1325&lt;28, "17-27",
AND(E1325&gt;27, E1325&lt;38), "28-37",
AND(E1325&gt;37, E1325 &lt;48), "38-47",
AND(E1325&gt;47, E1325 &lt;58), "48-57",
AND(E1325&gt;57, E1325&lt;68), "58-67",
AND(E1325&gt;67, E1325&lt;78), "68-77",
E1325&gt;77,"Above than 77")</f>
        <v>38-47</v>
      </c>
      <c r="E1325">
        <v>47</v>
      </c>
      <c r="F1325" s="1">
        <v>27921</v>
      </c>
      <c r="G1325" s="1" t="str">
        <f>VLOOKUP(H1325,Table7[#All], 2, FALSE)</f>
        <v>Massachusetts</v>
      </c>
      <c r="H1325" s="2" t="s">
        <v>14</v>
      </c>
      <c r="I1325" s="2" t="s">
        <v>15</v>
      </c>
      <c r="J1325" s="2" t="s">
        <v>40</v>
      </c>
      <c r="K1325" s="2" t="s">
        <v>8</v>
      </c>
      <c r="L1325" s="2" t="s">
        <v>9</v>
      </c>
      <c r="M1325" s="2" t="s">
        <v>25</v>
      </c>
      <c r="N1325" s="2" t="s">
        <v>26</v>
      </c>
      <c r="O1325" s="2" t="s">
        <v>12</v>
      </c>
      <c r="P1325" s="2" t="s">
        <v>38</v>
      </c>
      <c r="Q1325" s="2" t="s">
        <v>16</v>
      </c>
      <c r="R1325" s="2" t="s">
        <v>18</v>
      </c>
      <c r="S1325">
        <v>4</v>
      </c>
    </row>
    <row r="1326" spans="1:19" x14ac:dyDescent="0.3">
      <c r="A1326">
        <v>1499</v>
      </c>
      <c r="B1326">
        <f>YEAR(Cleaned_HR_Data_Analysis__2[[#This Row],[Joining_Date]])</f>
        <v>2022</v>
      </c>
      <c r="C1326" s="1">
        <v>44618</v>
      </c>
      <c r="D1326" s="1" t="str" cm="1">
        <f t="array" ref="D1326">_xlfn.IFS(E1326&lt;28, "17-27",
AND(E1326&gt;27, E1326&lt;38), "28-37",
AND(E1326&gt;37, E1326 &lt;48), "38-47",
AND(E1326&gt;47, E1326 &lt;58), "48-57",
AND(E1326&gt;57, E1326&lt;68), "58-67",
AND(E1326&gt;67, E1326&lt;78), "68-77",
E1326&gt;77,"Above than 77")</f>
        <v>38-47</v>
      </c>
      <c r="E1326">
        <v>47</v>
      </c>
      <c r="F1326" s="1">
        <v>27511</v>
      </c>
      <c r="G1326" s="1" t="str">
        <f>VLOOKUP(H1326,Table7[#All], 2, FALSE)</f>
        <v>Massachusetts</v>
      </c>
      <c r="H1326" s="2" t="s">
        <v>14</v>
      </c>
      <c r="I1326" s="2" t="s">
        <v>15</v>
      </c>
      <c r="J1326" s="2" t="s">
        <v>34</v>
      </c>
      <c r="K1326" s="2" t="s">
        <v>8</v>
      </c>
      <c r="L1326" s="2" t="s">
        <v>9</v>
      </c>
      <c r="M1326" s="2" t="s">
        <v>10</v>
      </c>
      <c r="N1326" s="2" t="s">
        <v>19</v>
      </c>
      <c r="O1326" s="2" t="s">
        <v>12</v>
      </c>
      <c r="P1326" s="2" t="s">
        <v>32</v>
      </c>
      <c r="Q1326" s="2" t="s">
        <v>30</v>
      </c>
      <c r="R1326" s="2" t="s">
        <v>18</v>
      </c>
      <c r="S1326">
        <v>2</v>
      </c>
    </row>
    <row r="1327" spans="1:19" x14ac:dyDescent="0.3">
      <c r="A1327">
        <v>1444</v>
      </c>
      <c r="B1327">
        <f>YEAR(Cleaned_HR_Data_Analysis__2[[#This Row],[Joining_Date]])</f>
        <v>2019</v>
      </c>
      <c r="C1327" s="1">
        <v>43741</v>
      </c>
      <c r="D1327" s="1" t="str" cm="1">
        <f t="array" ref="D1327">_xlfn.IFS(E1327&lt;28, "17-27",
AND(E1327&gt;27, E1327&lt;38), "28-37",
AND(E1327&gt;37, E1327 &lt;48), "38-47",
AND(E1327&gt;47, E1327 &lt;58), "48-57",
AND(E1327&gt;57, E1327&lt;68), "58-67",
AND(E1327&gt;67, E1327&lt;78), "68-77",
E1327&gt;77,"Above than 77")</f>
        <v>38-47</v>
      </c>
      <c r="E1327">
        <v>47</v>
      </c>
      <c r="F1327" s="1">
        <v>26350</v>
      </c>
      <c r="G1327" s="1" t="str">
        <f>VLOOKUP(H1327,Table7[#All], 2, FALSE)</f>
        <v>Massachusetts</v>
      </c>
      <c r="H1327" s="2" t="s">
        <v>14</v>
      </c>
      <c r="I1327" s="2" t="s">
        <v>15</v>
      </c>
      <c r="J1327" s="2" t="s">
        <v>40</v>
      </c>
      <c r="K1327" s="2" t="s">
        <v>8</v>
      </c>
      <c r="L1327" s="2" t="s">
        <v>9</v>
      </c>
      <c r="M1327" s="2" t="s">
        <v>10</v>
      </c>
      <c r="N1327" s="2" t="s">
        <v>11</v>
      </c>
      <c r="O1327" s="2" t="s">
        <v>12</v>
      </c>
      <c r="P1327" s="2" t="s">
        <v>32</v>
      </c>
      <c r="Q1327" s="2" t="s">
        <v>16</v>
      </c>
      <c r="R1327" s="2" t="s">
        <v>56</v>
      </c>
      <c r="S1327">
        <v>5</v>
      </c>
    </row>
    <row r="1328" spans="1:19" x14ac:dyDescent="0.3">
      <c r="A1328">
        <v>1247</v>
      </c>
      <c r="B1328">
        <f>YEAR(Cleaned_HR_Data_Analysis__2[[#This Row],[Joining_Date]])</f>
        <v>2019</v>
      </c>
      <c r="C1328" s="1">
        <v>43528</v>
      </c>
      <c r="D1328" s="1" t="str" cm="1">
        <f t="array" ref="D1328">_xlfn.IFS(E1328&lt;28, "17-27",
AND(E1328&gt;27, E1328&lt;38), "28-37",
AND(E1328&gt;37, E1328 &lt;48), "38-47",
AND(E1328&gt;47, E1328 &lt;58), "48-57",
AND(E1328&gt;57, E1328&lt;68), "58-67",
AND(E1328&gt;67, E1328&lt;78), "68-77",
E1328&gt;77,"Above than 77")</f>
        <v>38-47</v>
      </c>
      <c r="E1328">
        <v>47</v>
      </c>
      <c r="F1328" s="1">
        <v>26384</v>
      </c>
      <c r="G1328" s="1" t="str">
        <f>VLOOKUP(H1328,Table7[#All], 2, FALSE)</f>
        <v>Massachusetts</v>
      </c>
      <c r="H1328" s="2" t="s">
        <v>14</v>
      </c>
      <c r="I1328" s="2" t="s">
        <v>15</v>
      </c>
      <c r="J1328" s="2" t="s">
        <v>31</v>
      </c>
      <c r="K1328" s="2" t="s">
        <v>8</v>
      </c>
      <c r="L1328" s="2" t="s">
        <v>9</v>
      </c>
      <c r="M1328" s="2" t="s">
        <v>20</v>
      </c>
      <c r="N1328" s="2" t="s">
        <v>11</v>
      </c>
      <c r="O1328" s="2" t="s">
        <v>12</v>
      </c>
      <c r="P1328" s="2" t="s">
        <v>61</v>
      </c>
      <c r="Q1328" s="2" t="s">
        <v>30</v>
      </c>
      <c r="R1328" s="2" t="s">
        <v>18</v>
      </c>
      <c r="S1328">
        <v>4</v>
      </c>
    </row>
    <row r="1329" spans="1:19" x14ac:dyDescent="0.3">
      <c r="A1329">
        <v>1182</v>
      </c>
      <c r="B1329">
        <f>YEAR(Cleaned_HR_Data_Analysis__2[[#This Row],[Joining_Date]])</f>
        <v>2020</v>
      </c>
      <c r="C1329" s="1">
        <v>44194</v>
      </c>
      <c r="D1329" s="1" t="str" cm="1">
        <f t="array" ref="D1329">_xlfn.IFS(E1329&lt;28, "17-27",
AND(E1329&gt;27, E1329&lt;38), "28-37",
AND(E1329&gt;37, E1329 &lt;48), "38-47",
AND(E1329&gt;47, E1329 &lt;58), "48-57",
AND(E1329&gt;57, E1329&lt;68), "58-67",
AND(E1329&gt;67, E1329&lt;78), "68-77",
E1329&gt;77,"Above than 77")</f>
        <v>38-47</v>
      </c>
      <c r="E1329">
        <v>47</v>
      </c>
      <c r="F1329" s="1">
        <v>27007</v>
      </c>
      <c r="G1329" s="1" t="str">
        <f>VLOOKUP(H1329,Table7[#All], 2, FALSE)</f>
        <v>Massachusetts</v>
      </c>
      <c r="H1329" s="2" t="s">
        <v>14</v>
      </c>
      <c r="I1329" s="2" t="s">
        <v>15</v>
      </c>
      <c r="J1329" s="2" t="s">
        <v>40</v>
      </c>
      <c r="K1329" s="2" t="s">
        <v>8</v>
      </c>
      <c r="L1329" s="2" t="s">
        <v>9</v>
      </c>
      <c r="M1329" s="2" t="s">
        <v>25</v>
      </c>
      <c r="N1329" s="2" t="s">
        <v>11</v>
      </c>
      <c r="O1329" s="2" t="s">
        <v>12</v>
      </c>
      <c r="P1329" s="2" t="s">
        <v>49</v>
      </c>
      <c r="Q1329" s="2" t="s">
        <v>37</v>
      </c>
      <c r="R1329" s="2" t="s">
        <v>18</v>
      </c>
      <c r="S1329">
        <v>4</v>
      </c>
    </row>
    <row r="1330" spans="1:19" x14ac:dyDescent="0.3">
      <c r="A1330">
        <v>1174</v>
      </c>
      <c r="B1330">
        <f>YEAR(Cleaned_HR_Data_Analysis__2[[#This Row],[Joining_Date]])</f>
        <v>2020</v>
      </c>
      <c r="C1330" s="1">
        <v>43998</v>
      </c>
      <c r="D1330" s="1" t="str" cm="1">
        <f t="array" ref="D1330">_xlfn.IFS(E1330&lt;28, "17-27",
AND(E1330&gt;27, E1330&lt;38), "28-37",
AND(E1330&gt;37, E1330 &lt;48), "38-47",
AND(E1330&gt;47, E1330 &lt;58), "48-57",
AND(E1330&gt;57, E1330&lt;68), "58-67",
AND(E1330&gt;67, E1330&lt;78), "68-77",
E1330&gt;77,"Above than 77")</f>
        <v>38-47</v>
      </c>
      <c r="E1330">
        <v>47</v>
      </c>
      <c r="F1330" s="1">
        <v>27008</v>
      </c>
      <c r="G1330" s="1" t="str">
        <f>VLOOKUP(H1330,Table7[#All], 2, FALSE)</f>
        <v>Massachusetts</v>
      </c>
      <c r="H1330" s="2" t="s">
        <v>14</v>
      </c>
      <c r="I1330" s="2" t="s">
        <v>15</v>
      </c>
      <c r="J1330" s="2" t="s">
        <v>17</v>
      </c>
      <c r="K1330" s="2" t="s">
        <v>8</v>
      </c>
      <c r="L1330" s="2" t="s">
        <v>66</v>
      </c>
      <c r="M1330" s="2" t="s">
        <v>25</v>
      </c>
      <c r="N1330" s="2" t="s">
        <v>11</v>
      </c>
      <c r="O1330" s="2" t="s">
        <v>12</v>
      </c>
      <c r="P1330" s="2" t="s">
        <v>35</v>
      </c>
      <c r="Q1330" s="2" t="s">
        <v>30</v>
      </c>
      <c r="R1330" s="2" t="s">
        <v>18</v>
      </c>
      <c r="S1330">
        <v>1</v>
      </c>
    </row>
    <row r="1331" spans="1:19" x14ac:dyDescent="0.3">
      <c r="A1331">
        <v>1112</v>
      </c>
      <c r="B1331">
        <f>YEAR(Cleaned_HR_Data_Analysis__2[[#This Row],[Joining_Date]])</f>
        <v>2022</v>
      </c>
      <c r="C1331" s="1">
        <v>44752</v>
      </c>
      <c r="D1331" s="1" t="str" cm="1">
        <f t="array" ref="D1331">_xlfn.IFS(E1331&lt;28, "17-27",
AND(E1331&gt;27, E1331&lt;38), "28-37",
AND(E1331&gt;37, E1331 &lt;48), "38-47",
AND(E1331&gt;47, E1331 &lt;58), "48-57",
AND(E1331&gt;57, E1331&lt;68), "58-67",
AND(E1331&gt;67, E1331&lt;78), "68-77",
E1331&gt;77,"Above than 77")</f>
        <v>38-47</v>
      </c>
      <c r="E1331">
        <v>47</v>
      </c>
      <c r="F1331" s="1">
        <v>27590</v>
      </c>
      <c r="G1331" s="1" t="str">
        <f>VLOOKUP(H1331,Table7[#All], 2, FALSE)</f>
        <v>Massachusetts</v>
      </c>
      <c r="H1331" s="2" t="s">
        <v>14</v>
      </c>
      <c r="I1331" s="2" t="s">
        <v>15</v>
      </c>
      <c r="J1331" s="2" t="s">
        <v>31</v>
      </c>
      <c r="K1331" s="2" t="s">
        <v>8</v>
      </c>
      <c r="L1331" s="2" t="s">
        <v>9</v>
      </c>
      <c r="M1331" s="2" t="s">
        <v>25</v>
      </c>
      <c r="N1331" s="2" t="s">
        <v>19</v>
      </c>
      <c r="O1331" s="2" t="s">
        <v>12</v>
      </c>
      <c r="P1331" s="2" t="s">
        <v>42</v>
      </c>
      <c r="Q1331" s="2" t="s">
        <v>16</v>
      </c>
      <c r="R1331" s="2" t="s">
        <v>18</v>
      </c>
      <c r="S1331">
        <v>1</v>
      </c>
    </row>
    <row r="1332" spans="1:19" x14ac:dyDescent="0.3">
      <c r="A1332">
        <v>2383</v>
      </c>
      <c r="B1332">
        <f>YEAR(Cleaned_HR_Data_Analysis__2[[#This Row],[Joining_Date]])</f>
        <v>2020</v>
      </c>
      <c r="C1332" s="1">
        <v>43863</v>
      </c>
      <c r="D1332" s="1" t="str" cm="1">
        <f t="array" ref="D1332">_xlfn.IFS(E1332&lt;28, "17-27",
AND(E1332&gt;27, E1332&lt;38), "28-37",
AND(E1332&gt;37, E1332 &lt;48), "38-47",
AND(E1332&gt;47, E1332 &lt;58), "48-57",
AND(E1332&gt;57, E1332&lt;68), "58-67",
AND(E1332&gt;67, E1332&lt;78), "68-77",
E1332&gt;77,"Above than 77")</f>
        <v>38-47</v>
      </c>
      <c r="E1332">
        <v>47</v>
      </c>
      <c r="F1332" s="1">
        <v>26762</v>
      </c>
      <c r="G1332" s="1" t="str">
        <f>VLOOKUP(H1332,Table7[#All], 2, FALSE)</f>
        <v>Massachusetts</v>
      </c>
      <c r="H1332" s="2" t="s">
        <v>14</v>
      </c>
      <c r="I1332" s="2" t="s">
        <v>22</v>
      </c>
      <c r="J1332" s="2" t="s">
        <v>17</v>
      </c>
      <c r="K1332" s="2" t="s">
        <v>91</v>
      </c>
      <c r="L1332" s="2" t="s">
        <v>9</v>
      </c>
      <c r="M1332" s="2" t="s">
        <v>25</v>
      </c>
      <c r="N1332" s="2" t="s">
        <v>19</v>
      </c>
      <c r="O1332" s="2" t="s">
        <v>12</v>
      </c>
      <c r="P1332" s="2" t="s">
        <v>35</v>
      </c>
      <c r="Q1332" s="2" t="s">
        <v>46</v>
      </c>
      <c r="R1332" s="2" t="s">
        <v>18</v>
      </c>
      <c r="S1332">
        <v>3</v>
      </c>
    </row>
    <row r="1333" spans="1:19" x14ac:dyDescent="0.3">
      <c r="A1333">
        <v>2338</v>
      </c>
      <c r="B1333">
        <f>YEAR(Cleaned_HR_Data_Analysis__2[[#This Row],[Joining_Date]])</f>
        <v>2018</v>
      </c>
      <c r="C1333" s="1">
        <v>43383</v>
      </c>
      <c r="D1333" s="1" t="str" cm="1">
        <f t="array" ref="D1333">_xlfn.IFS(E1333&lt;28, "17-27",
AND(E1333&gt;27, E1333&lt;38), "28-37",
AND(E1333&gt;37, E1333 &lt;48), "38-47",
AND(E1333&gt;47, E1333 &lt;58), "48-57",
AND(E1333&gt;57, E1333&lt;68), "58-67",
AND(E1333&gt;67, E1333&lt;78), "68-77",
E1333&gt;77,"Above than 77")</f>
        <v>38-47</v>
      </c>
      <c r="E1333">
        <v>47</v>
      </c>
      <c r="F1333" s="1">
        <v>26151</v>
      </c>
      <c r="G1333" s="1" t="str">
        <f>VLOOKUP(H1333,Table7[#All], 2, FALSE)</f>
        <v>Massachusetts</v>
      </c>
      <c r="H1333" s="2" t="s">
        <v>14</v>
      </c>
      <c r="I1333" s="2" t="s">
        <v>15</v>
      </c>
      <c r="J1333" s="2" t="s">
        <v>34</v>
      </c>
      <c r="K1333" s="2" t="s">
        <v>91</v>
      </c>
      <c r="L1333" s="2" t="s">
        <v>9</v>
      </c>
      <c r="M1333" s="2" t="s">
        <v>20</v>
      </c>
      <c r="N1333" s="2" t="s">
        <v>11</v>
      </c>
      <c r="O1333" s="2" t="s">
        <v>12</v>
      </c>
      <c r="P1333" s="2" t="s">
        <v>54</v>
      </c>
      <c r="Q1333" s="2" t="s">
        <v>30</v>
      </c>
      <c r="R1333" s="2" t="s">
        <v>18</v>
      </c>
      <c r="S1333">
        <v>3</v>
      </c>
    </row>
    <row r="1334" spans="1:19" x14ac:dyDescent="0.3">
      <c r="A1334">
        <v>1274</v>
      </c>
      <c r="B1334">
        <f>YEAR(Cleaned_HR_Data_Analysis__2[[#This Row],[Joining_Date]])</f>
        <v>2022</v>
      </c>
      <c r="C1334" s="1">
        <v>44887</v>
      </c>
      <c r="D1334" s="1" t="str" cm="1">
        <f t="array" ref="D1334">_xlfn.IFS(E1334&lt;28, "17-27",
AND(E1334&gt;27, E1334&lt;38), "28-37",
AND(E1334&gt;37, E1334 &lt;48), "38-47",
AND(E1334&gt;47, E1334 &lt;58), "48-57",
AND(E1334&gt;57, E1334&lt;68), "58-67",
AND(E1334&gt;67, E1334&lt;78), "68-77",
E1334&gt;77,"Above than 77")</f>
        <v>38-47</v>
      </c>
      <c r="E1334">
        <v>47</v>
      </c>
      <c r="F1334" s="1">
        <v>27704</v>
      </c>
      <c r="G1334" s="1" t="str">
        <f>VLOOKUP(H1334,Table7[#All], 2, FALSE)</f>
        <v>Massachusetts</v>
      </c>
      <c r="H1334" s="2" t="s">
        <v>14</v>
      </c>
      <c r="I1334" s="2" t="s">
        <v>15</v>
      </c>
      <c r="J1334" s="2" t="s">
        <v>31</v>
      </c>
      <c r="K1334" s="2" t="s">
        <v>91</v>
      </c>
      <c r="L1334" s="2" t="s">
        <v>9</v>
      </c>
      <c r="M1334" s="2" t="s">
        <v>10</v>
      </c>
      <c r="N1334" s="2" t="s">
        <v>19</v>
      </c>
      <c r="O1334" s="2" t="s">
        <v>12</v>
      </c>
      <c r="P1334" s="2" t="s">
        <v>42</v>
      </c>
      <c r="Q1334" s="2" t="s">
        <v>37</v>
      </c>
      <c r="R1334" s="2" t="s">
        <v>18</v>
      </c>
      <c r="S1334">
        <v>1</v>
      </c>
    </row>
    <row r="1335" spans="1:19" x14ac:dyDescent="0.3">
      <c r="A1335">
        <v>3863</v>
      </c>
      <c r="B1335">
        <f>YEAR(Cleaned_HR_Data_Analysis__2[[#This Row],[Joining_Date]])</f>
        <v>2019</v>
      </c>
      <c r="C1335" s="1">
        <v>43623</v>
      </c>
      <c r="D1335" s="1" t="str" cm="1">
        <f t="array" ref="D1335">_xlfn.IFS(E1335&lt;28, "17-27",
AND(E1335&gt;27, E1335&lt;38), "28-37",
AND(E1335&gt;37, E1335 &lt;48), "38-47",
AND(E1335&gt;47, E1335 &lt;58), "48-57",
AND(E1335&gt;57, E1335&lt;68), "58-67",
AND(E1335&gt;67, E1335&lt;78), "68-77",
E1335&gt;77,"Above than 77")</f>
        <v>38-47</v>
      </c>
      <c r="E1335">
        <v>47</v>
      </c>
      <c r="F1335" s="1">
        <v>26377</v>
      </c>
      <c r="G1335" s="1" t="str">
        <f>VLOOKUP(H1335,Table7[#All], 2, FALSE)</f>
        <v>Massachusetts</v>
      </c>
      <c r="H1335" s="2" t="s">
        <v>14</v>
      </c>
      <c r="I1335" s="2" t="s">
        <v>15</v>
      </c>
      <c r="J1335" s="2" t="s">
        <v>31</v>
      </c>
      <c r="K1335" s="2" t="s">
        <v>74</v>
      </c>
      <c r="L1335" s="2" t="s">
        <v>9</v>
      </c>
      <c r="M1335" s="2" t="s">
        <v>10</v>
      </c>
      <c r="N1335" s="2" t="s">
        <v>19</v>
      </c>
      <c r="O1335" s="2" t="s">
        <v>53</v>
      </c>
      <c r="P1335" s="2" t="s">
        <v>21</v>
      </c>
      <c r="Q1335" s="2" t="s">
        <v>30</v>
      </c>
      <c r="R1335" s="2" t="s">
        <v>65</v>
      </c>
      <c r="S1335">
        <v>2</v>
      </c>
    </row>
    <row r="1336" spans="1:19" x14ac:dyDescent="0.3">
      <c r="A1336">
        <v>2406</v>
      </c>
      <c r="B1336">
        <f>YEAR(Cleaned_HR_Data_Analysis__2[[#This Row],[Joining_Date]])</f>
        <v>2018</v>
      </c>
      <c r="C1336" s="1">
        <v>43417</v>
      </c>
      <c r="D1336" s="1" t="str" cm="1">
        <f t="array" ref="D1336">_xlfn.IFS(E1336&lt;28, "17-27",
AND(E1336&gt;27, E1336&lt;38), "28-37",
AND(E1336&gt;37, E1336 &lt;48), "38-47",
AND(E1336&gt;47, E1336 &lt;58), "48-57",
AND(E1336&gt;57, E1336&lt;68), "58-67",
AND(E1336&gt;67, E1336&lt;78), "68-77",
E1336&gt;77,"Above than 77")</f>
        <v>38-47</v>
      </c>
      <c r="E1336">
        <v>47</v>
      </c>
      <c r="F1336" s="1">
        <v>26017</v>
      </c>
      <c r="G1336" s="1" t="str">
        <f>VLOOKUP(H1336,Table7[#All], 2, FALSE)</f>
        <v>Massachusetts</v>
      </c>
      <c r="H1336" s="2" t="s">
        <v>14</v>
      </c>
      <c r="I1336" s="2" t="s">
        <v>22</v>
      </c>
      <c r="J1336" s="2" t="s">
        <v>17</v>
      </c>
      <c r="K1336" s="2" t="s">
        <v>71</v>
      </c>
      <c r="L1336" s="2" t="s">
        <v>9</v>
      </c>
      <c r="M1336" s="2" t="s">
        <v>20</v>
      </c>
      <c r="N1336" s="2" t="s">
        <v>26</v>
      </c>
      <c r="O1336" s="2" t="s">
        <v>12</v>
      </c>
      <c r="P1336" s="2" t="s">
        <v>42</v>
      </c>
      <c r="Q1336" s="2" t="s">
        <v>37</v>
      </c>
      <c r="R1336" s="2" t="s">
        <v>18</v>
      </c>
      <c r="S1336">
        <v>4</v>
      </c>
    </row>
    <row r="1337" spans="1:19" x14ac:dyDescent="0.3">
      <c r="A1337">
        <v>2350</v>
      </c>
      <c r="B1337">
        <f>YEAR(Cleaned_HR_Data_Analysis__2[[#This Row],[Joining_Date]])</f>
        <v>2020</v>
      </c>
      <c r="C1337" s="1">
        <v>43880</v>
      </c>
      <c r="D1337" s="1" t="str" cm="1">
        <f t="array" ref="D1337">_xlfn.IFS(E1337&lt;28, "17-27",
AND(E1337&gt;27, E1337&lt;38), "28-37",
AND(E1337&gt;37, E1337 &lt;48), "38-47",
AND(E1337&gt;47, E1337 &lt;58), "48-57",
AND(E1337&gt;57, E1337&lt;68), "58-67",
AND(E1337&gt;67, E1337&lt;78), "68-77",
E1337&gt;77,"Above than 77")</f>
        <v>38-47</v>
      </c>
      <c r="E1337">
        <v>47</v>
      </c>
      <c r="F1337" s="1">
        <v>26778</v>
      </c>
      <c r="G1337" s="1" t="str">
        <f>VLOOKUP(H1337,Table7[#All], 2, FALSE)</f>
        <v>Massachusetts</v>
      </c>
      <c r="H1337" s="2" t="s">
        <v>14</v>
      </c>
      <c r="I1337" s="2" t="s">
        <v>22</v>
      </c>
      <c r="J1337" s="2" t="s">
        <v>40</v>
      </c>
      <c r="K1337" s="2" t="s">
        <v>71</v>
      </c>
      <c r="L1337" s="2" t="s">
        <v>9</v>
      </c>
      <c r="M1337" s="2" t="s">
        <v>20</v>
      </c>
      <c r="N1337" s="2" t="s">
        <v>19</v>
      </c>
      <c r="O1337" s="2" t="s">
        <v>73</v>
      </c>
      <c r="P1337" s="2" t="s">
        <v>59</v>
      </c>
      <c r="Q1337" s="2" t="s">
        <v>37</v>
      </c>
      <c r="R1337" s="2" t="s">
        <v>18</v>
      </c>
      <c r="S1337">
        <v>4</v>
      </c>
    </row>
    <row r="1338" spans="1:19" x14ac:dyDescent="0.3">
      <c r="A1338">
        <v>2237</v>
      </c>
      <c r="B1338">
        <f>YEAR(Cleaned_HR_Data_Analysis__2[[#This Row],[Joining_Date]])</f>
        <v>2022</v>
      </c>
      <c r="C1338" s="1">
        <v>44571</v>
      </c>
      <c r="D1338" s="1" t="str" cm="1">
        <f t="array" ref="D1338">_xlfn.IFS(E1338&lt;28, "17-27",
AND(E1338&gt;27, E1338&lt;38), "28-37",
AND(E1338&gt;37, E1338 &lt;48), "38-47",
AND(E1338&gt;47, E1338 &lt;58), "48-57",
AND(E1338&gt;57, E1338&lt;68), "58-67",
AND(E1338&gt;67, E1338&lt;78), "68-77",
E1338&gt;77,"Above than 77")</f>
        <v>38-47</v>
      </c>
      <c r="E1338">
        <v>47</v>
      </c>
      <c r="F1338" s="1">
        <v>27506</v>
      </c>
      <c r="G1338" s="1" t="str">
        <f>VLOOKUP(H1338,Table7[#All], 2, FALSE)</f>
        <v>Connecticut</v>
      </c>
      <c r="H1338" s="2" t="s">
        <v>36</v>
      </c>
      <c r="I1338" s="2" t="s">
        <v>15</v>
      </c>
      <c r="J1338" s="2" t="s">
        <v>31</v>
      </c>
      <c r="K1338" s="2" t="s">
        <v>101</v>
      </c>
      <c r="L1338" s="2" t="s">
        <v>9</v>
      </c>
      <c r="M1338" s="2" t="s">
        <v>25</v>
      </c>
      <c r="N1338" s="2" t="s">
        <v>26</v>
      </c>
      <c r="O1338" s="2" t="s">
        <v>53</v>
      </c>
      <c r="P1338" s="2" t="s">
        <v>69</v>
      </c>
      <c r="Q1338" s="2" t="s">
        <v>30</v>
      </c>
      <c r="R1338" s="2" t="s">
        <v>18</v>
      </c>
      <c r="S1338">
        <v>5</v>
      </c>
    </row>
    <row r="1339" spans="1:19" x14ac:dyDescent="0.3">
      <c r="A1339">
        <v>2252</v>
      </c>
      <c r="B1339">
        <f>YEAR(Cleaned_HR_Data_Analysis__2[[#This Row],[Joining_Date]])</f>
        <v>2020</v>
      </c>
      <c r="C1339" s="1">
        <v>44173</v>
      </c>
      <c r="D1339" s="1" t="str" cm="1">
        <f t="array" ref="D1339">_xlfn.IFS(E1339&lt;28, "17-27",
AND(E1339&gt;27, E1339&lt;38), "28-37",
AND(E1339&gt;37, E1339 &lt;48), "38-47",
AND(E1339&gt;47, E1339 &lt;58), "48-57",
AND(E1339&gt;57, E1339&lt;68), "58-67",
AND(E1339&gt;67, E1339&lt;78), "68-77",
E1339&gt;77,"Above than 77")</f>
        <v>38-47</v>
      </c>
      <c r="E1339">
        <v>47</v>
      </c>
      <c r="F1339" s="1">
        <v>26980</v>
      </c>
      <c r="G1339" s="1" t="str">
        <f>VLOOKUP(H1339,Table7[#All], 2, FALSE)</f>
        <v>Massachusetts</v>
      </c>
      <c r="H1339" s="2" t="s">
        <v>14</v>
      </c>
      <c r="I1339" s="2" t="s">
        <v>22</v>
      </c>
      <c r="J1339" s="2" t="s">
        <v>17</v>
      </c>
      <c r="K1339" s="2" t="s">
        <v>102</v>
      </c>
      <c r="L1339" s="2" t="s">
        <v>9</v>
      </c>
      <c r="M1339" s="2" t="s">
        <v>10</v>
      </c>
      <c r="N1339" s="2" t="s">
        <v>26</v>
      </c>
      <c r="O1339" s="2" t="s">
        <v>53</v>
      </c>
      <c r="P1339" s="2" t="s">
        <v>35</v>
      </c>
      <c r="Q1339" s="2" t="s">
        <v>16</v>
      </c>
      <c r="R1339" s="2" t="s">
        <v>18</v>
      </c>
      <c r="S1339">
        <v>3</v>
      </c>
    </row>
    <row r="1340" spans="1:19" x14ac:dyDescent="0.3">
      <c r="A1340">
        <v>2246</v>
      </c>
      <c r="B1340">
        <f>YEAR(Cleaned_HR_Data_Analysis__2[[#This Row],[Joining_Date]])</f>
        <v>2020</v>
      </c>
      <c r="C1340" s="1">
        <v>44118</v>
      </c>
      <c r="D1340" s="1" t="str" cm="1">
        <f t="array" ref="D1340">_xlfn.IFS(E1340&lt;28, "17-27",
AND(E1340&gt;27, E1340&lt;38), "28-37",
AND(E1340&gt;37, E1340 &lt;48), "38-47",
AND(E1340&gt;47, E1340 &lt;58), "48-57",
AND(E1340&gt;57, E1340&lt;68), "58-67",
AND(E1340&gt;67, E1340&lt;78), "68-77",
E1340&gt;77,"Above than 77")</f>
        <v>38-47</v>
      </c>
      <c r="E1340">
        <v>47</v>
      </c>
      <c r="F1340" s="1">
        <v>26990</v>
      </c>
      <c r="G1340" s="1" t="str">
        <f>VLOOKUP(H1340,Table7[#All], 2, FALSE)</f>
        <v>Massachusetts</v>
      </c>
      <c r="H1340" s="2" t="s">
        <v>14</v>
      </c>
      <c r="I1340" s="2" t="s">
        <v>22</v>
      </c>
      <c r="J1340" s="2" t="s">
        <v>40</v>
      </c>
      <c r="K1340" s="2" t="s">
        <v>103</v>
      </c>
      <c r="L1340" s="2" t="s">
        <v>9</v>
      </c>
      <c r="M1340" s="2" t="s">
        <v>10</v>
      </c>
      <c r="N1340" s="2" t="s">
        <v>26</v>
      </c>
      <c r="O1340" s="2" t="s">
        <v>53</v>
      </c>
      <c r="P1340" s="2" t="s">
        <v>35</v>
      </c>
      <c r="Q1340" s="2" t="s">
        <v>16</v>
      </c>
      <c r="R1340" s="2" t="s">
        <v>18</v>
      </c>
      <c r="S1340">
        <v>4</v>
      </c>
    </row>
    <row r="1341" spans="1:19" x14ac:dyDescent="0.3">
      <c r="A1341">
        <v>2504</v>
      </c>
      <c r="B1341">
        <f>YEAR(Cleaned_HR_Data_Analysis__2[[#This Row],[Joining_Date]])</f>
        <v>2023</v>
      </c>
      <c r="C1341" s="1">
        <v>44938</v>
      </c>
      <c r="D1341" s="1" t="str" cm="1">
        <f t="array" ref="D1341">_xlfn.IFS(E1341&lt;28, "17-27",
AND(E1341&gt;27, E1341&lt;38), "28-37",
AND(E1341&gt;37, E1341 &lt;48), "38-47",
AND(E1341&gt;47, E1341 &lt;58), "48-57",
AND(E1341&gt;57, E1341&lt;68), "58-67",
AND(E1341&gt;67, E1341&lt;78), "68-77",
E1341&gt;77,"Above than 77")</f>
        <v>38-47</v>
      </c>
      <c r="E1341">
        <v>47</v>
      </c>
      <c r="F1341" s="1">
        <v>27806</v>
      </c>
      <c r="G1341" s="1" t="str">
        <f>VLOOKUP(H1341,Table7[#All], 2, FALSE)</f>
        <v>Massachusetts</v>
      </c>
      <c r="H1341" s="2" t="s">
        <v>14</v>
      </c>
      <c r="I1341" s="2" t="s">
        <v>22</v>
      </c>
      <c r="J1341" s="2" t="s">
        <v>31</v>
      </c>
      <c r="K1341" s="2" t="s">
        <v>108</v>
      </c>
      <c r="L1341" s="2" t="s">
        <v>9</v>
      </c>
      <c r="M1341" s="2" t="s">
        <v>25</v>
      </c>
      <c r="N1341" s="2" t="s">
        <v>19</v>
      </c>
      <c r="O1341" s="2" t="s">
        <v>53</v>
      </c>
      <c r="P1341" s="2" t="s">
        <v>42</v>
      </c>
      <c r="Q1341" s="2" t="s">
        <v>37</v>
      </c>
      <c r="R1341" s="2" t="s">
        <v>18</v>
      </c>
      <c r="S1341">
        <v>5</v>
      </c>
    </row>
    <row r="1342" spans="1:19" x14ac:dyDescent="0.3">
      <c r="A1342">
        <v>2741</v>
      </c>
      <c r="B1342">
        <f>YEAR(Cleaned_HR_Data_Analysis__2[[#This Row],[Joining_Date]])</f>
        <v>2021</v>
      </c>
      <c r="C1342" s="1">
        <v>44406</v>
      </c>
      <c r="D1342" s="1" t="str" cm="1">
        <f t="array" ref="D1342">_xlfn.IFS(E1342&lt;28, "17-27",
AND(E1342&gt;27, E1342&lt;38), "28-37",
AND(E1342&gt;37, E1342 &lt;48), "38-47",
AND(E1342&gt;47, E1342 &lt;58), "48-57",
AND(E1342&gt;57, E1342&lt;68), "58-67",
AND(E1342&gt;67, E1342&lt;78), "68-77",
E1342&gt;77,"Above than 77")</f>
        <v>38-47</v>
      </c>
      <c r="E1342">
        <v>47</v>
      </c>
      <c r="F1342" s="1">
        <v>27329</v>
      </c>
      <c r="G1342" s="1" t="str">
        <f>VLOOKUP(H1342,Table7[#All], 2, FALSE)</f>
        <v>New York</v>
      </c>
      <c r="H1342" s="2" t="s">
        <v>118</v>
      </c>
      <c r="I1342" s="2" t="s">
        <v>22</v>
      </c>
      <c r="J1342" s="2" t="s">
        <v>40</v>
      </c>
      <c r="K1342" s="2" t="s">
        <v>24</v>
      </c>
      <c r="L1342" s="2" t="s">
        <v>9</v>
      </c>
      <c r="M1342" s="2" t="s">
        <v>25</v>
      </c>
      <c r="N1342" s="2" t="s">
        <v>19</v>
      </c>
      <c r="O1342" s="2" t="s">
        <v>27</v>
      </c>
      <c r="P1342" s="2" t="s">
        <v>59</v>
      </c>
      <c r="Q1342" s="2" t="s">
        <v>46</v>
      </c>
      <c r="R1342" s="2" t="s">
        <v>18</v>
      </c>
      <c r="S1342">
        <v>3</v>
      </c>
    </row>
    <row r="1343" spans="1:19" x14ac:dyDescent="0.3">
      <c r="A1343">
        <v>2649</v>
      </c>
      <c r="B1343">
        <f>YEAR(Cleaned_HR_Data_Analysis__2[[#This Row],[Joining_Date]])</f>
        <v>2020</v>
      </c>
      <c r="C1343" s="1">
        <v>44102</v>
      </c>
      <c r="D1343" s="1" t="str" cm="1">
        <f t="array" ref="D1343">_xlfn.IFS(E1343&lt;28, "17-27",
AND(E1343&gt;27, E1343&lt;38), "28-37",
AND(E1343&gt;37, E1343 &lt;48), "38-47",
AND(E1343&gt;47, E1343 &lt;58), "48-57",
AND(E1343&gt;57, E1343&lt;68), "58-67",
AND(E1343&gt;67, E1343&lt;78), "68-77",
E1343&gt;77,"Above than 77")</f>
        <v>38-47</v>
      </c>
      <c r="E1343">
        <v>47</v>
      </c>
      <c r="F1343" s="1">
        <v>26744</v>
      </c>
      <c r="G1343" s="1" t="str">
        <f>VLOOKUP(H1343,Table7[#All], 2, FALSE)</f>
        <v>New York</v>
      </c>
      <c r="H1343" s="2" t="s">
        <v>118</v>
      </c>
      <c r="I1343" s="2" t="s">
        <v>15</v>
      </c>
      <c r="J1343" s="2" t="s">
        <v>17</v>
      </c>
      <c r="K1343" s="2" t="s">
        <v>24</v>
      </c>
      <c r="L1343" s="2" t="s">
        <v>9</v>
      </c>
      <c r="M1343" s="2" t="s">
        <v>20</v>
      </c>
      <c r="N1343" s="2" t="s">
        <v>19</v>
      </c>
      <c r="O1343" s="2" t="s">
        <v>27</v>
      </c>
      <c r="P1343" s="2" t="s">
        <v>54</v>
      </c>
      <c r="Q1343" s="2" t="s">
        <v>16</v>
      </c>
      <c r="R1343" s="2" t="s">
        <v>18</v>
      </c>
      <c r="S1343">
        <v>4</v>
      </c>
    </row>
    <row r="1344" spans="1:19" x14ac:dyDescent="0.3">
      <c r="A1344">
        <v>1634</v>
      </c>
      <c r="B1344">
        <f>YEAR(Cleaned_HR_Data_Analysis__2[[#This Row],[Joining_Date]])</f>
        <v>2021</v>
      </c>
      <c r="C1344" s="1">
        <v>44486</v>
      </c>
      <c r="D1344" s="1" t="str" cm="1">
        <f t="array" ref="D1344">_xlfn.IFS(E1344&lt;28, "17-27",
AND(E1344&gt;27, E1344&lt;38), "28-37",
AND(E1344&gt;37, E1344 &lt;48), "38-47",
AND(E1344&gt;47, E1344 &lt;58), "48-57",
AND(E1344&gt;57, E1344&lt;68), "58-67",
AND(E1344&gt;67, E1344&lt;78), "68-77",
E1344&gt;77,"Above than 77")</f>
        <v>38-47</v>
      </c>
      <c r="E1344">
        <v>47</v>
      </c>
      <c r="F1344" s="1">
        <v>27232</v>
      </c>
      <c r="G1344" s="1" t="str">
        <f>VLOOKUP(H1344,Table7[#All], 2, FALSE)</f>
        <v>Massachusetts</v>
      </c>
      <c r="H1344" s="2" t="s">
        <v>14</v>
      </c>
      <c r="I1344" s="2" t="s">
        <v>22</v>
      </c>
      <c r="J1344" s="2" t="s">
        <v>40</v>
      </c>
      <c r="K1344" s="2" t="s">
        <v>24</v>
      </c>
      <c r="L1344" s="2" t="s">
        <v>9</v>
      </c>
      <c r="M1344" s="2" t="s">
        <v>10</v>
      </c>
      <c r="N1344" s="2" t="s">
        <v>11</v>
      </c>
      <c r="O1344" s="2" t="s">
        <v>53</v>
      </c>
      <c r="P1344" s="2" t="s">
        <v>13</v>
      </c>
      <c r="Q1344" s="2" t="s">
        <v>37</v>
      </c>
      <c r="R1344" s="2" t="s">
        <v>18</v>
      </c>
      <c r="S1344">
        <v>3</v>
      </c>
    </row>
    <row r="1345" spans="1:19" x14ac:dyDescent="0.3">
      <c r="A1345">
        <v>3499</v>
      </c>
      <c r="B1345">
        <f>YEAR(Cleaned_HR_Data_Analysis__2[[#This Row],[Joining_Date]])</f>
        <v>2018</v>
      </c>
      <c r="C1345" s="1">
        <v>43368</v>
      </c>
      <c r="D1345" s="1" t="str" cm="1">
        <f t="array" ref="D1345">_xlfn.IFS(E1345&lt;28, "17-27",
AND(E1345&gt;27, E1345&lt;38), "28-37",
AND(E1345&gt;37, E1345 &lt;48), "38-47",
AND(E1345&gt;47, E1345 &lt;58), "48-57",
AND(E1345&gt;57, E1345&lt;68), "58-67",
AND(E1345&gt;67, E1345&lt;78), "68-77",
E1345&gt;77,"Above than 77")</f>
        <v>38-47</v>
      </c>
      <c r="E1345">
        <v>47</v>
      </c>
      <c r="F1345" s="1">
        <v>25949</v>
      </c>
      <c r="G1345" s="1" t="str">
        <f>VLOOKUP(H1345,Table7[#All], 2, FALSE)</f>
        <v>Kentucky</v>
      </c>
      <c r="H1345" s="2" t="s">
        <v>51</v>
      </c>
      <c r="I1345" s="2" t="s">
        <v>15</v>
      </c>
      <c r="J1345" s="2" t="s">
        <v>17</v>
      </c>
      <c r="K1345" s="2" t="s">
        <v>24</v>
      </c>
      <c r="L1345" s="2" t="s">
        <v>9</v>
      </c>
      <c r="M1345" s="2" t="s">
        <v>20</v>
      </c>
      <c r="N1345" s="2" t="s">
        <v>11</v>
      </c>
      <c r="O1345" s="2" t="s">
        <v>27</v>
      </c>
      <c r="P1345" s="2" t="s">
        <v>35</v>
      </c>
      <c r="Q1345" s="2" t="s">
        <v>46</v>
      </c>
      <c r="R1345" s="2" t="s">
        <v>18</v>
      </c>
      <c r="S1345">
        <v>3</v>
      </c>
    </row>
    <row r="1346" spans="1:19" x14ac:dyDescent="0.3">
      <c r="A1346">
        <v>2691</v>
      </c>
      <c r="B1346">
        <f>YEAR(Cleaned_HR_Data_Analysis__2[[#This Row],[Joining_Date]])</f>
        <v>2019</v>
      </c>
      <c r="C1346" s="1">
        <v>43467</v>
      </c>
      <c r="D1346" s="1" t="str" cm="1">
        <f t="array" ref="D1346">_xlfn.IFS(E1346&lt;28, "17-27",
AND(E1346&gt;27, E1346&lt;38), "28-37",
AND(E1346&gt;37, E1346 &lt;48), "38-47",
AND(E1346&gt;47, E1346 &lt;58), "48-57",
AND(E1346&gt;57, E1346&lt;68), "58-67",
AND(E1346&gt;67, E1346&lt;78), "68-77",
E1346&gt;77,"Above than 77")</f>
        <v>38-47</v>
      </c>
      <c r="E1346">
        <v>47</v>
      </c>
      <c r="F1346" s="1">
        <v>26632</v>
      </c>
      <c r="G1346" s="1" t="str">
        <f>VLOOKUP(H1346,Table7[#All], 2, FALSE)</f>
        <v>Alabama</v>
      </c>
      <c r="H1346" s="2" t="s">
        <v>116</v>
      </c>
      <c r="I1346" s="2" t="s">
        <v>22</v>
      </c>
      <c r="J1346" s="2" t="s">
        <v>17</v>
      </c>
      <c r="K1346" s="2" t="s">
        <v>24</v>
      </c>
      <c r="L1346" s="2" t="s">
        <v>9</v>
      </c>
      <c r="M1346" s="2" t="s">
        <v>20</v>
      </c>
      <c r="N1346" s="2" t="s">
        <v>11</v>
      </c>
      <c r="O1346" s="2" t="s">
        <v>27</v>
      </c>
      <c r="P1346" s="2" t="s">
        <v>28</v>
      </c>
      <c r="Q1346" s="2" t="s">
        <v>37</v>
      </c>
      <c r="R1346" s="2" t="s">
        <v>18</v>
      </c>
      <c r="S1346">
        <v>1</v>
      </c>
    </row>
    <row r="1347" spans="1:19" x14ac:dyDescent="0.3">
      <c r="A1347">
        <v>2676</v>
      </c>
      <c r="B1347">
        <f>YEAR(Cleaned_HR_Data_Analysis__2[[#This Row],[Joining_Date]])</f>
        <v>2019</v>
      </c>
      <c r="C1347" s="1">
        <v>43544</v>
      </c>
      <c r="D1347" s="1" t="str" cm="1">
        <f t="array" ref="D1347">_xlfn.IFS(E1347&lt;28, "17-27",
AND(E1347&gt;27, E1347&lt;38), "28-37",
AND(E1347&gt;37, E1347 &lt;48), "38-47",
AND(E1347&gt;47, E1347 &lt;58), "48-57",
AND(E1347&gt;57, E1347&lt;68), "58-67",
AND(E1347&gt;67, E1347&lt;78), "68-77",
E1347&gt;77,"Above than 77")</f>
        <v>38-47</v>
      </c>
      <c r="E1347">
        <v>47</v>
      </c>
      <c r="F1347" s="1">
        <v>26512</v>
      </c>
      <c r="G1347" s="1" t="str">
        <f>VLOOKUP(H1347,Table7[#All], 2, FALSE)</f>
        <v>Alabama</v>
      </c>
      <c r="H1347" s="2" t="s">
        <v>116</v>
      </c>
      <c r="I1347" s="2" t="s">
        <v>22</v>
      </c>
      <c r="J1347" s="2" t="s">
        <v>31</v>
      </c>
      <c r="K1347" s="2" t="s">
        <v>24</v>
      </c>
      <c r="L1347" s="2" t="s">
        <v>9</v>
      </c>
      <c r="M1347" s="2" t="s">
        <v>20</v>
      </c>
      <c r="N1347" s="2" t="s">
        <v>11</v>
      </c>
      <c r="O1347" s="2" t="s">
        <v>27</v>
      </c>
      <c r="P1347" s="2" t="s">
        <v>42</v>
      </c>
      <c r="Q1347" s="2" t="s">
        <v>46</v>
      </c>
      <c r="R1347" s="2" t="s">
        <v>18</v>
      </c>
      <c r="S1347">
        <v>3</v>
      </c>
    </row>
    <row r="1348" spans="1:19" x14ac:dyDescent="0.3">
      <c r="A1348">
        <v>2632</v>
      </c>
      <c r="B1348">
        <f>YEAR(Cleaned_HR_Data_Analysis__2[[#This Row],[Joining_Date]])</f>
        <v>2022</v>
      </c>
      <c r="C1348" s="1">
        <v>44626</v>
      </c>
      <c r="D1348" s="1" t="str" cm="1">
        <f t="array" ref="D1348">_xlfn.IFS(E1348&lt;28, "17-27",
AND(E1348&gt;27, E1348&lt;38), "28-37",
AND(E1348&gt;37, E1348 &lt;48), "38-47",
AND(E1348&gt;47, E1348 &lt;58), "48-57",
AND(E1348&gt;57, E1348&lt;68), "58-67",
AND(E1348&gt;67, E1348&lt;78), "68-77",
E1348&gt;77,"Above than 77")</f>
        <v>38-47</v>
      </c>
      <c r="E1348">
        <v>47</v>
      </c>
      <c r="F1348" s="1">
        <v>27687</v>
      </c>
      <c r="G1348" s="1" t="str">
        <f>VLOOKUP(H1348,Table7[#All], 2, FALSE)</f>
        <v>Washington</v>
      </c>
      <c r="H1348" s="2" t="s">
        <v>113</v>
      </c>
      <c r="I1348" s="2" t="s">
        <v>15</v>
      </c>
      <c r="J1348" s="2" t="s">
        <v>40</v>
      </c>
      <c r="K1348" s="2" t="s">
        <v>95</v>
      </c>
      <c r="L1348" s="2" t="s">
        <v>9</v>
      </c>
      <c r="M1348" s="2" t="s">
        <v>10</v>
      </c>
      <c r="N1348" s="2" t="s">
        <v>11</v>
      </c>
      <c r="O1348" s="2" t="s">
        <v>27</v>
      </c>
      <c r="P1348" s="2" t="s">
        <v>35</v>
      </c>
      <c r="Q1348" s="2" t="s">
        <v>23</v>
      </c>
      <c r="R1348" s="2" t="s">
        <v>18</v>
      </c>
      <c r="S1348">
        <v>4</v>
      </c>
    </row>
    <row r="1349" spans="1:19" x14ac:dyDescent="0.3">
      <c r="A1349">
        <v>2616</v>
      </c>
      <c r="B1349">
        <f>YEAR(Cleaned_HR_Data_Analysis__2[[#This Row],[Joining_Date]])</f>
        <v>2019</v>
      </c>
      <c r="C1349" s="1">
        <v>43691</v>
      </c>
      <c r="D1349" s="1" t="str" cm="1">
        <f t="array" ref="D1349">_xlfn.IFS(E1349&lt;28, "17-27",
AND(E1349&gt;27, E1349&lt;38), "28-37",
AND(E1349&gt;37, E1349 &lt;48), "38-47",
AND(E1349&gt;47, E1349 &lt;58), "48-57",
AND(E1349&gt;57, E1349&lt;68), "58-67",
AND(E1349&gt;67, E1349&lt;78), "68-77",
E1349&gt;77,"Above than 77")</f>
        <v>38-47</v>
      </c>
      <c r="E1349">
        <v>47</v>
      </c>
      <c r="F1349" s="1">
        <v>26651</v>
      </c>
      <c r="G1349" s="1" t="str">
        <f>VLOOKUP(H1349,Table7[#All], 2, FALSE)</f>
        <v>Washington</v>
      </c>
      <c r="H1349" s="2" t="s">
        <v>113</v>
      </c>
      <c r="I1349" s="2" t="s">
        <v>15</v>
      </c>
      <c r="J1349" s="2" t="s">
        <v>34</v>
      </c>
      <c r="K1349" s="2" t="s">
        <v>95</v>
      </c>
      <c r="L1349" s="2" t="s">
        <v>9</v>
      </c>
      <c r="M1349" s="2" t="s">
        <v>25</v>
      </c>
      <c r="N1349" s="2" t="s">
        <v>19</v>
      </c>
      <c r="O1349" s="2" t="s">
        <v>27</v>
      </c>
      <c r="P1349" s="2" t="s">
        <v>42</v>
      </c>
      <c r="Q1349" s="2" t="s">
        <v>37</v>
      </c>
      <c r="R1349" s="2" t="s">
        <v>18</v>
      </c>
      <c r="S1349">
        <v>1</v>
      </c>
    </row>
    <row r="1350" spans="1:19" x14ac:dyDescent="0.3">
      <c r="A1350">
        <v>1369</v>
      </c>
      <c r="B1350">
        <f>YEAR(Cleaned_HR_Data_Analysis__2[[#This Row],[Joining_Date]])</f>
        <v>2021</v>
      </c>
      <c r="C1350" s="1">
        <v>44281</v>
      </c>
      <c r="D1350" s="1" t="str" cm="1">
        <f t="array" ref="D1350">_xlfn.IFS(E1350&lt;28, "17-27",
AND(E1350&gt;27, E1350&lt;38), "28-37",
AND(E1350&gt;37, E1350 &lt;48), "38-47",
AND(E1350&gt;47, E1350 &lt;58), "48-57",
AND(E1350&gt;57, E1350&lt;68), "58-67",
AND(E1350&gt;67, E1350&lt;78), "68-77",
E1350&gt;77,"Above than 77")</f>
        <v>38-47</v>
      </c>
      <c r="E1350">
        <v>47</v>
      </c>
      <c r="F1350" s="1">
        <v>27112</v>
      </c>
      <c r="G1350" s="1" t="str">
        <f>VLOOKUP(H1350,Table7[#All], 2, FALSE)</f>
        <v>Massachusetts</v>
      </c>
      <c r="H1350" s="2" t="s">
        <v>14</v>
      </c>
      <c r="I1350" s="2" t="s">
        <v>15</v>
      </c>
      <c r="J1350" s="2" t="s">
        <v>34</v>
      </c>
      <c r="K1350" s="2" t="s">
        <v>95</v>
      </c>
      <c r="L1350" s="2" t="s">
        <v>9</v>
      </c>
      <c r="M1350" s="2" t="s">
        <v>10</v>
      </c>
      <c r="N1350" s="2" t="s">
        <v>11</v>
      </c>
      <c r="O1350" s="2" t="s">
        <v>27</v>
      </c>
      <c r="P1350" s="2" t="s">
        <v>21</v>
      </c>
      <c r="Q1350" s="2" t="s">
        <v>37</v>
      </c>
      <c r="R1350" s="2" t="s">
        <v>41</v>
      </c>
      <c r="S1350">
        <v>4</v>
      </c>
    </row>
    <row r="1351" spans="1:19" x14ac:dyDescent="0.3">
      <c r="A1351">
        <v>1378</v>
      </c>
      <c r="B1351">
        <f>YEAR(Cleaned_HR_Data_Analysis__2[[#This Row],[Joining_Date]])</f>
        <v>2022</v>
      </c>
      <c r="C1351" s="1">
        <v>44725</v>
      </c>
      <c r="D1351" s="1" t="str" cm="1">
        <f t="array" ref="D1351">_xlfn.IFS(E1351&lt;28, "17-27",
AND(E1351&gt;27, E1351&lt;38), "28-37",
AND(E1351&gt;37, E1351 &lt;48), "38-47",
AND(E1351&gt;47, E1351 &lt;58), "48-57",
AND(E1351&gt;57, E1351&lt;68), "58-67",
AND(E1351&gt;67, E1351&lt;78), "68-77",
E1351&gt;77,"Above than 77")</f>
        <v>38-47</v>
      </c>
      <c r="E1351">
        <v>47</v>
      </c>
      <c r="F1351" s="1">
        <v>27459</v>
      </c>
      <c r="G1351" s="1" t="str">
        <f>VLOOKUP(H1351,Table7[#All], 2, FALSE)</f>
        <v>Massachusetts</v>
      </c>
      <c r="H1351" s="2" t="s">
        <v>14</v>
      </c>
      <c r="I1351" s="2" t="s">
        <v>15</v>
      </c>
      <c r="J1351" s="2" t="s">
        <v>34</v>
      </c>
      <c r="K1351" s="2" t="s">
        <v>96</v>
      </c>
      <c r="L1351" s="2" t="s">
        <v>9</v>
      </c>
      <c r="M1351" s="2" t="s">
        <v>25</v>
      </c>
      <c r="N1351" s="2" t="s">
        <v>11</v>
      </c>
      <c r="O1351" s="2" t="s">
        <v>90</v>
      </c>
      <c r="P1351" s="2" t="s">
        <v>55</v>
      </c>
      <c r="Q1351" s="2" t="s">
        <v>16</v>
      </c>
      <c r="R1351" s="2" t="s">
        <v>65</v>
      </c>
      <c r="S1351">
        <v>4</v>
      </c>
    </row>
    <row r="1352" spans="1:19" x14ac:dyDescent="0.3">
      <c r="A1352">
        <v>1087</v>
      </c>
      <c r="B1352">
        <f>YEAR(Cleaned_HR_Data_Analysis__2[[#This Row],[Joining_Date]])</f>
        <v>2022</v>
      </c>
      <c r="C1352" s="1">
        <v>44750</v>
      </c>
      <c r="D1352" s="1" t="str" cm="1">
        <f t="array" ref="D1352">_xlfn.IFS(E1352&lt;28, "17-27",
AND(E1352&gt;27, E1352&lt;38), "28-37",
AND(E1352&gt;37, E1352 &lt;48), "38-47",
AND(E1352&gt;47, E1352 &lt;58), "48-57",
AND(E1352&gt;57, E1352&lt;68), "58-67",
AND(E1352&gt;67, E1352&lt;78), "68-77",
E1352&gt;77,"Above than 77")</f>
        <v>48-57</v>
      </c>
      <c r="E1352">
        <v>48</v>
      </c>
      <c r="F1352" s="1">
        <v>27246</v>
      </c>
      <c r="G1352" s="1" t="str">
        <f>VLOOKUP(H1352,Table7[#All], 2, FALSE)</f>
        <v>Massachusetts</v>
      </c>
      <c r="H1352" s="2" t="s">
        <v>14</v>
      </c>
      <c r="I1352" s="2" t="s">
        <v>15</v>
      </c>
      <c r="J1352" s="2" t="s">
        <v>34</v>
      </c>
      <c r="K1352" s="2" t="s">
        <v>86</v>
      </c>
      <c r="L1352" s="2" t="s">
        <v>9</v>
      </c>
      <c r="M1352" s="2" t="s">
        <v>20</v>
      </c>
      <c r="N1352" s="2" t="s">
        <v>19</v>
      </c>
      <c r="O1352" s="2" t="s">
        <v>87</v>
      </c>
      <c r="P1352" s="2" t="s">
        <v>35</v>
      </c>
      <c r="Q1352" s="2" t="s">
        <v>30</v>
      </c>
      <c r="R1352" s="2" t="s">
        <v>18</v>
      </c>
      <c r="S1352">
        <v>5</v>
      </c>
    </row>
    <row r="1353" spans="1:19" x14ac:dyDescent="0.3">
      <c r="A1353">
        <v>1710</v>
      </c>
      <c r="B1353">
        <f>YEAR(Cleaned_HR_Data_Analysis__2[[#This Row],[Joining_Date]])</f>
        <v>2019</v>
      </c>
      <c r="C1353" s="1">
        <v>43511</v>
      </c>
      <c r="D1353" s="1" t="str" cm="1">
        <f t="array" ref="D1353">_xlfn.IFS(E1353&lt;28, "17-27",
AND(E1353&gt;27, E1353&lt;38), "28-37",
AND(E1353&gt;37, E1353 &lt;48), "38-47",
AND(E1353&gt;47, E1353 &lt;58), "48-57",
AND(E1353&gt;57, E1353&lt;68), "58-67",
AND(E1353&gt;67, E1353&lt;78), "68-77",
E1353&gt;77,"Above than 77")</f>
        <v>48-57</v>
      </c>
      <c r="E1353">
        <v>48</v>
      </c>
      <c r="F1353" s="1">
        <v>26077</v>
      </c>
      <c r="G1353" s="1" t="str">
        <f>VLOOKUP(H1353,Table7[#All], 2, FALSE)</f>
        <v>Massachusetts</v>
      </c>
      <c r="H1353" s="2" t="s">
        <v>14</v>
      </c>
      <c r="I1353" s="2" t="s">
        <v>22</v>
      </c>
      <c r="J1353" s="2" t="s">
        <v>40</v>
      </c>
      <c r="K1353" s="2" t="s">
        <v>89</v>
      </c>
      <c r="L1353" s="2" t="s">
        <v>9</v>
      </c>
      <c r="M1353" s="2" t="s">
        <v>20</v>
      </c>
      <c r="N1353" s="2" t="s">
        <v>19</v>
      </c>
      <c r="O1353" s="2" t="s">
        <v>90</v>
      </c>
      <c r="P1353" s="2" t="s">
        <v>35</v>
      </c>
      <c r="Q1353" s="2" t="s">
        <v>37</v>
      </c>
      <c r="R1353" s="2" t="s">
        <v>18</v>
      </c>
      <c r="S1353">
        <v>2</v>
      </c>
    </row>
    <row r="1354" spans="1:19" x14ac:dyDescent="0.3">
      <c r="A1354">
        <v>3212</v>
      </c>
      <c r="B1354">
        <f>YEAR(Cleaned_HR_Data_Analysis__2[[#This Row],[Joining_Date]])</f>
        <v>2020</v>
      </c>
      <c r="C1354" s="1">
        <v>44192</v>
      </c>
      <c r="D1354" s="1" t="str" cm="1">
        <f t="array" ref="D1354">_xlfn.IFS(E1354&lt;28, "17-27",
AND(E1354&gt;27, E1354&lt;38), "28-37",
AND(E1354&gt;37, E1354 &lt;48), "38-47",
AND(E1354&gt;47, E1354 &lt;58), "48-57",
AND(E1354&gt;57, E1354&lt;68), "58-67",
AND(E1354&gt;67, E1354&lt;78), "68-77",
E1354&gt;77,"Above than 77")</f>
        <v>48-57</v>
      </c>
      <c r="E1354">
        <v>48</v>
      </c>
      <c r="F1354" s="1">
        <v>26480</v>
      </c>
      <c r="G1354" s="1" t="str">
        <f>VLOOKUP(H1354,Table7[#All], 2, FALSE)</f>
        <v>Massachusetts</v>
      </c>
      <c r="H1354" s="2" t="s">
        <v>14</v>
      </c>
      <c r="I1354" s="2" t="s">
        <v>22</v>
      </c>
      <c r="J1354" s="2" t="s">
        <v>34</v>
      </c>
      <c r="K1354" s="2" t="s">
        <v>64</v>
      </c>
      <c r="L1354" s="2" t="s">
        <v>66</v>
      </c>
      <c r="M1354" s="2" t="s">
        <v>25</v>
      </c>
      <c r="N1354" s="2" t="s">
        <v>11</v>
      </c>
      <c r="O1354" s="2" t="s">
        <v>12</v>
      </c>
      <c r="P1354" s="2" t="s">
        <v>35</v>
      </c>
      <c r="Q1354" s="2" t="s">
        <v>46</v>
      </c>
      <c r="R1354" s="2" t="s">
        <v>18</v>
      </c>
      <c r="S1354">
        <v>5</v>
      </c>
    </row>
    <row r="1355" spans="1:19" x14ac:dyDescent="0.3">
      <c r="A1355">
        <v>2065</v>
      </c>
      <c r="B1355">
        <f>YEAR(Cleaned_HR_Data_Analysis__2[[#This Row],[Joining_Date]])</f>
        <v>2020</v>
      </c>
      <c r="C1355" s="1">
        <v>43961</v>
      </c>
      <c r="D1355" s="1" t="str" cm="1">
        <f t="array" ref="D1355">_xlfn.IFS(E1355&lt;28, "17-27",
AND(E1355&gt;27, E1355&lt;38), "28-37",
AND(E1355&gt;37, E1355 &lt;48), "38-47",
AND(E1355&gt;47, E1355 &lt;58), "48-57",
AND(E1355&gt;57, E1355&lt;68), "58-67",
AND(E1355&gt;67, E1355&lt;78), "68-77",
E1355&gt;77,"Above than 77")</f>
        <v>48-57</v>
      </c>
      <c r="E1355">
        <v>48</v>
      </c>
      <c r="F1355" s="1">
        <v>26358</v>
      </c>
      <c r="G1355" s="1" t="str">
        <f>VLOOKUP(H1355,Table7[#All], 2, FALSE)</f>
        <v>Massachusetts</v>
      </c>
      <c r="H1355" s="2" t="s">
        <v>14</v>
      </c>
      <c r="I1355" s="2" t="s">
        <v>15</v>
      </c>
      <c r="J1355" s="2" t="s">
        <v>31</v>
      </c>
      <c r="K1355" s="2" t="s">
        <v>64</v>
      </c>
      <c r="L1355" s="2" t="s">
        <v>9</v>
      </c>
      <c r="M1355" s="2" t="s">
        <v>10</v>
      </c>
      <c r="N1355" s="2" t="s">
        <v>11</v>
      </c>
      <c r="O1355" s="2" t="s">
        <v>12</v>
      </c>
      <c r="P1355" s="2" t="s">
        <v>35</v>
      </c>
      <c r="Q1355" s="2" t="s">
        <v>30</v>
      </c>
      <c r="R1355" s="2" t="s">
        <v>18</v>
      </c>
      <c r="S1355">
        <v>4</v>
      </c>
    </row>
    <row r="1356" spans="1:19" x14ac:dyDescent="0.3">
      <c r="A1356">
        <v>2017</v>
      </c>
      <c r="B1356">
        <f>YEAR(Cleaned_HR_Data_Analysis__2[[#This Row],[Joining_Date]])</f>
        <v>2019</v>
      </c>
      <c r="C1356" s="1">
        <v>43801</v>
      </c>
      <c r="D1356" s="1" t="str" cm="1">
        <f t="array" ref="D1356">_xlfn.IFS(E1356&lt;28, "17-27",
AND(E1356&gt;27, E1356&lt;38), "28-37",
AND(E1356&gt;37, E1356 &lt;48), "38-47",
AND(E1356&gt;47, E1356 &lt;58), "48-57",
AND(E1356&gt;57, E1356&lt;68), "58-67",
AND(E1356&gt;67, E1356&lt;78), "68-77",
E1356&gt;77,"Above than 77")</f>
        <v>48-57</v>
      </c>
      <c r="E1356">
        <v>48</v>
      </c>
      <c r="F1356" s="1">
        <v>26040</v>
      </c>
      <c r="G1356" s="1" t="str">
        <f>VLOOKUP(H1356,Table7[#All], 2, FALSE)</f>
        <v>Massachusetts</v>
      </c>
      <c r="H1356" s="2" t="s">
        <v>14</v>
      </c>
      <c r="I1356" s="2" t="s">
        <v>15</v>
      </c>
      <c r="J1356" s="2" t="s">
        <v>31</v>
      </c>
      <c r="K1356" s="2" t="s">
        <v>64</v>
      </c>
      <c r="L1356" s="2" t="s">
        <v>9</v>
      </c>
      <c r="M1356" s="2" t="s">
        <v>25</v>
      </c>
      <c r="N1356" s="2" t="s">
        <v>26</v>
      </c>
      <c r="O1356" s="2" t="s">
        <v>12</v>
      </c>
      <c r="P1356" s="2" t="s">
        <v>21</v>
      </c>
      <c r="Q1356" s="2" t="s">
        <v>37</v>
      </c>
      <c r="R1356" s="2" t="s">
        <v>18</v>
      </c>
      <c r="S1356">
        <v>5</v>
      </c>
    </row>
    <row r="1357" spans="1:19" x14ac:dyDescent="0.3">
      <c r="A1357">
        <v>1993</v>
      </c>
      <c r="B1357">
        <f>YEAR(Cleaned_HR_Data_Analysis__2[[#This Row],[Joining_Date]])</f>
        <v>2020</v>
      </c>
      <c r="C1357" s="1">
        <v>44120</v>
      </c>
      <c r="D1357" s="1" t="str" cm="1">
        <f t="array" ref="D1357">_xlfn.IFS(E1357&lt;28, "17-27",
AND(E1357&gt;27, E1357&lt;38), "28-37",
AND(E1357&gt;37, E1357 &lt;48), "38-47",
AND(E1357&gt;47, E1357 &lt;58), "48-57",
AND(E1357&gt;57, E1357&lt;68), "58-67",
AND(E1357&gt;67, E1357&lt;78), "68-77",
E1357&gt;77,"Above than 77")</f>
        <v>48-57</v>
      </c>
      <c r="E1357">
        <v>48</v>
      </c>
      <c r="F1357" s="1">
        <v>26501</v>
      </c>
      <c r="G1357" s="1" t="str">
        <f>VLOOKUP(H1357,Table7[#All], 2, FALSE)</f>
        <v>Massachusetts</v>
      </c>
      <c r="H1357" s="2" t="s">
        <v>14</v>
      </c>
      <c r="I1357" s="2" t="s">
        <v>15</v>
      </c>
      <c r="J1357" s="2" t="s">
        <v>40</v>
      </c>
      <c r="K1357" s="2" t="s">
        <v>64</v>
      </c>
      <c r="L1357" s="2" t="s">
        <v>9</v>
      </c>
      <c r="M1357" s="2" t="s">
        <v>25</v>
      </c>
      <c r="N1357" s="2" t="s">
        <v>19</v>
      </c>
      <c r="O1357" s="2" t="s">
        <v>12</v>
      </c>
      <c r="P1357" s="2" t="s">
        <v>35</v>
      </c>
      <c r="Q1357" s="2" t="s">
        <v>23</v>
      </c>
      <c r="R1357" s="2" t="s">
        <v>18</v>
      </c>
      <c r="S1357">
        <v>2</v>
      </c>
    </row>
    <row r="1358" spans="1:19" x14ac:dyDescent="0.3">
      <c r="A1358">
        <v>1966</v>
      </c>
      <c r="B1358">
        <f>YEAR(Cleaned_HR_Data_Analysis__2[[#This Row],[Joining_Date]])</f>
        <v>2019</v>
      </c>
      <c r="C1358" s="1">
        <v>43616</v>
      </c>
      <c r="D1358" s="1" t="str" cm="1">
        <f t="array" ref="D1358">_xlfn.IFS(E1358&lt;28, "17-27",
AND(E1358&gt;27, E1358&lt;38), "28-37",
AND(E1358&gt;37, E1358 &lt;48), "38-47",
AND(E1358&gt;47, E1358 &lt;58), "48-57",
AND(E1358&gt;57, E1358&lt;68), "58-67",
AND(E1358&gt;67, E1358&lt;78), "68-77",
E1358&gt;77,"Above than 77")</f>
        <v>48-57</v>
      </c>
      <c r="E1358">
        <v>48</v>
      </c>
      <c r="F1358" s="1">
        <v>25996</v>
      </c>
      <c r="G1358" s="1" t="str">
        <f>VLOOKUP(H1358,Table7[#All], 2, FALSE)</f>
        <v>Massachusetts</v>
      </c>
      <c r="H1358" s="2" t="s">
        <v>14</v>
      </c>
      <c r="I1358" s="2" t="s">
        <v>15</v>
      </c>
      <c r="J1358" s="2" t="s">
        <v>17</v>
      </c>
      <c r="K1358" s="2" t="s">
        <v>64</v>
      </c>
      <c r="L1358" s="2" t="s">
        <v>9</v>
      </c>
      <c r="M1358" s="2" t="s">
        <v>25</v>
      </c>
      <c r="N1358" s="2" t="s">
        <v>11</v>
      </c>
      <c r="O1358" s="2" t="s">
        <v>12</v>
      </c>
      <c r="P1358" s="2" t="s">
        <v>32</v>
      </c>
      <c r="Q1358" s="2" t="s">
        <v>30</v>
      </c>
      <c r="R1358" s="2" t="s">
        <v>18</v>
      </c>
      <c r="S1358">
        <v>3</v>
      </c>
    </row>
    <row r="1359" spans="1:19" x14ac:dyDescent="0.3">
      <c r="A1359">
        <v>1836</v>
      </c>
      <c r="B1359">
        <f>YEAR(Cleaned_HR_Data_Analysis__2[[#This Row],[Joining_Date]])</f>
        <v>2019</v>
      </c>
      <c r="C1359" s="1">
        <v>43635</v>
      </c>
      <c r="D1359" s="1" t="str" cm="1">
        <f t="array" ref="D1359">_xlfn.IFS(E1359&lt;28, "17-27",
AND(E1359&gt;27, E1359&lt;38), "28-37",
AND(E1359&gt;37, E1359 &lt;48), "38-47",
AND(E1359&gt;47, E1359 &lt;58), "48-57",
AND(E1359&gt;57, E1359&lt;68), "58-67",
AND(E1359&gt;67, E1359&lt;78), "68-77",
E1359&gt;77,"Above than 77")</f>
        <v>48-57</v>
      </c>
      <c r="E1359">
        <v>48</v>
      </c>
      <c r="F1359" s="1">
        <v>25947</v>
      </c>
      <c r="G1359" s="1" t="str">
        <f>VLOOKUP(H1359,Table7[#All], 2, FALSE)</f>
        <v>Massachusetts</v>
      </c>
      <c r="H1359" s="2" t="s">
        <v>14</v>
      </c>
      <c r="I1359" s="2" t="s">
        <v>22</v>
      </c>
      <c r="J1359" s="2" t="s">
        <v>40</v>
      </c>
      <c r="K1359" s="2" t="s">
        <v>64</v>
      </c>
      <c r="L1359" s="2" t="s">
        <v>9</v>
      </c>
      <c r="M1359" s="2" t="s">
        <v>20</v>
      </c>
      <c r="N1359" s="2" t="s">
        <v>26</v>
      </c>
      <c r="O1359" s="2" t="s">
        <v>12</v>
      </c>
      <c r="P1359" s="2" t="s">
        <v>35</v>
      </c>
      <c r="Q1359" s="2" t="s">
        <v>23</v>
      </c>
      <c r="R1359" s="2" t="s">
        <v>56</v>
      </c>
      <c r="S1359">
        <v>4</v>
      </c>
    </row>
    <row r="1360" spans="1:19" x14ac:dyDescent="0.3">
      <c r="A1360">
        <v>3773</v>
      </c>
      <c r="B1360">
        <f>YEAR(Cleaned_HR_Data_Analysis__2[[#This Row],[Joining_Date]])</f>
        <v>2020</v>
      </c>
      <c r="C1360" s="1">
        <v>44115</v>
      </c>
      <c r="D1360" s="1" t="str" cm="1">
        <f t="array" ref="D1360">_xlfn.IFS(E1360&lt;28, "17-27",
AND(E1360&gt;27, E1360&lt;38), "28-37",
AND(E1360&gt;37, E1360 &lt;48), "38-47",
AND(E1360&gt;47, E1360 &lt;58), "48-57",
AND(E1360&gt;57, E1360&lt;68), "58-67",
AND(E1360&gt;67, E1360&lt;78), "68-77",
E1360&gt;77,"Above than 77")</f>
        <v>48-57</v>
      </c>
      <c r="E1360">
        <v>48</v>
      </c>
      <c r="F1360" s="1">
        <v>26435</v>
      </c>
      <c r="G1360" s="1" t="str">
        <f>VLOOKUP(H1360,Table7[#All], 2, FALSE)</f>
        <v>Massachusetts</v>
      </c>
      <c r="H1360" s="2" t="s">
        <v>14</v>
      </c>
      <c r="I1360" s="2" t="s">
        <v>15</v>
      </c>
      <c r="J1360" s="2" t="s">
        <v>40</v>
      </c>
      <c r="K1360" s="2" t="s">
        <v>8</v>
      </c>
      <c r="L1360" s="2" t="s">
        <v>66</v>
      </c>
      <c r="M1360" s="2" t="s">
        <v>20</v>
      </c>
      <c r="N1360" s="2" t="s">
        <v>19</v>
      </c>
      <c r="O1360" s="2" t="s">
        <v>12</v>
      </c>
      <c r="P1360" s="2" t="s">
        <v>42</v>
      </c>
      <c r="Q1360" s="2" t="s">
        <v>23</v>
      </c>
      <c r="R1360" s="2" t="s">
        <v>18</v>
      </c>
      <c r="S1360">
        <v>5</v>
      </c>
    </row>
    <row r="1361" spans="1:19" x14ac:dyDescent="0.3">
      <c r="A1361">
        <v>3415</v>
      </c>
      <c r="B1361">
        <f>YEAR(Cleaned_HR_Data_Analysis__2[[#This Row],[Joining_Date]])</f>
        <v>2022</v>
      </c>
      <c r="C1361" s="1">
        <v>44813</v>
      </c>
      <c r="D1361" s="1" t="str" cm="1">
        <f t="array" ref="D1361">_xlfn.IFS(E1361&lt;28, "17-27",
AND(E1361&gt;27, E1361&lt;38), "28-37",
AND(E1361&gt;37, E1361 &lt;48), "38-47",
AND(E1361&gt;47, E1361 &lt;58), "48-57",
AND(E1361&gt;57, E1361&lt;68), "58-67",
AND(E1361&gt;67, E1361&lt;78), "68-77",
E1361&gt;77,"Above than 77")</f>
        <v>48-57</v>
      </c>
      <c r="E1361">
        <v>48</v>
      </c>
      <c r="F1361" s="1">
        <v>27316</v>
      </c>
      <c r="G1361" s="1" t="str">
        <f>VLOOKUP(H1361,Table7[#All], 2, FALSE)</f>
        <v>Massachusetts</v>
      </c>
      <c r="H1361" s="2" t="s">
        <v>14</v>
      </c>
      <c r="I1361" s="2" t="s">
        <v>22</v>
      </c>
      <c r="J1361" s="2" t="s">
        <v>17</v>
      </c>
      <c r="K1361" s="2" t="s">
        <v>8</v>
      </c>
      <c r="L1361" s="2" t="s">
        <v>66</v>
      </c>
      <c r="M1361" s="2" t="s">
        <v>25</v>
      </c>
      <c r="N1361" s="2" t="s">
        <v>19</v>
      </c>
      <c r="O1361" s="2" t="s">
        <v>12</v>
      </c>
      <c r="P1361" s="2" t="s">
        <v>49</v>
      </c>
      <c r="Q1361" s="2" t="s">
        <v>23</v>
      </c>
      <c r="R1361" s="2" t="s">
        <v>18</v>
      </c>
      <c r="S1361">
        <v>5</v>
      </c>
    </row>
    <row r="1362" spans="1:19" x14ac:dyDescent="0.3">
      <c r="A1362">
        <v>3382</v>
      </c>
      <c r="B1362">
        <f>YEAR(Cleaned_HR_Data_Analysis__2[[#This Row],[Joining_Date]])</f>
        <v>2018</v>
      </c>
      <c r="C1362" s="1">
        <v>43414</v>
      </c>
      <c r="D1362" s="1" t="str" cm="1">
        <f t="array" ref="D1362">_xlfn.IFS(E1362&lt;28, "17-27",
AND(E1362&gt;27, E1362&lt;38), "28-37",
AND(E1362&gt;37, E1362 &lt;48), "38-47",
AND(E1362&gt;47, E1362 &lt;58), "48-57",
AND(E1362&gt;57, E1362&lt;68), "58-67",
AND(E1362&gt;67, E1362&lt;78), "68-77",
E1362&gt;77,"Above than 77")</f>
        <v>48-57</v>
      </c>
      <c r="E1362">
        <v>48</v>
      </c>
      <c r="F1362" s="1">
        <v>25708</v>
      </c>
      <c r="G1362" s="1" t="str">
        <f>VLOOKUP(H1362,Table7[#All], 2, FALSE)</f>
        <v>Massachusetts</v>
      </c>
      <c r="H1362" s="2" t="s">
        <v>14</v>
      </c>
      <c r="I1362" s="2" t="s">
        <v>22</v>
      </c>
      <c r="J1362" s="2" t="s">
        <v>40</v>
      </c>
      <c r="K1362" s="2" t="s">
        <v>8</v>
      </c>
      <c r="L1362" s="2" t="s">
        <v>9</v>
      </c>
      <c r="M1362" s="2" t="s">
        <v>20</v>
      </c>
      <c r="N1362" s="2" t="s">
        <v>11</v>
      </c>
      <c r="O1362" s="2" t="s">
        <v>12</v>
      </c>
      <c r="P1362" s="2" t="s">
        <v>35</v>
      </c>
      <c r="Q1362" s="2" t="s">
        <v>30</v>
      </c>
      <c r="R1362" s="2" t="s">
        <v>41</v>
      </c>
      <c r="S1362">
        <v>5</v>
      </c>
    </row>
    <row r="1363" spans="1:19" x14ac:dyDescent="0.3">
      <c r="A1363">
        <v>2999</v>
      </c>
      <c r="B1363">
        <f>YEAR(Cleaned_HR_Data_Analysis__2[[#This Row],[Joining_Date]])</f>
        <v>2018</v>
      </c>
      <c r="C1363" s="1">
        <v>43401</v>
      </c>
      <c r="D1363" s="1" t="str" cm="1">
        <f t="array" ref="D1363">_xlfn.IFS(E1363&lt;28, "17-27",
AND(E1363&gt;27, E1363&lt;38), "28-37",
AND(E1363&gt;37, E1363 &lt;48), "38-47",
AND(E1363&gt;47, E1363 &lt;58), "48-57",
AND(E1363&gt;57, E1363&lt;68), "58-67",
AND(E1363&gt;67, E1363&lt;78), "68-77",
E1363&gt;77,"Above than 77")</f>
        <v>48-57</v>
      </c>
      <c r="E1363">
        <v>48</v>
      </c>
      <c r="F1363" s="1">
        <v>25643</v>
      </c>
      <c r="G1363" s="1" t="str">
        <f>VLOOKUP(H1363,Table7[#All], 2, FALSE)</f>
        <v>Massachusetts</v>
      </c>
      <c r="H1363" s="2" t="s">
        <v>14</v>
      </c>
      <c r="I1363" s="2" t="s">
        <v>22</v>
      </c>
      <c r="J1363" s="2" t="s">
        <v>40</v>
      </c>
      <c r="K1363" s="2" t="s">
        <v>8</v>
      </c>
      <c r="L1363" s="2" t="s">
        <v>9</v>
      </c>
      <c r="M1363" s="2" t="s">
        <v>10</v>
      </c>
      <c r="N1363" s="2" t="s">
        <v>26</v>
      </c>
      <c r="O1363" s="2" t="s">
        <v>12</v>
      </c>
      <c r="P1363" s="2" t="s">
        <v>35</v>
      </c>
      <c r="Q1363" s="2" t="s">
        <v>46</v>
      </c>
      <c r="R1363" s="2" t="s">
        <v>18</v>
      </c>
      <c r="S1363">
        <v>1</v>
      </c>
    </row>
    <row r="1364" spans="1:19" x14ac:dyDescent="0.3">
      <c r="A1364">
        <v>2988</v>
      </c>
      <c r="B1364">
        <f>YEAR(Cleaned_HR_Data_Analysis__2[[#This Row],[Joining_Date]])</f>
        <v>2020</v>
      </c>
      <c r="C1364" s="1">
        <v>44149</v>
      </c>
      <c r="D1364" s="1" t="str" cm="1">
        <f t="array" ref="D1364">_xlfn.IFS(E1364&lt;28, "17-27",
AND(E1364&gt;27, E1364&lt;38), "28-37",
AND(E1364&gt;37, E1364 &lt;48), "38-47",
AND(E1364&gt;47, E1364 &lt;58), "48-57",
AND(E1364&gt;57, E1364&lt;68), "58-67",
AND(E1364&gt;67, E1364&lt;78), "68-77",
E1364&gt;77,"Above than 77")</f>
        <v>48-57</v>
      </c>
      <c r="E1364">
        <v>48</v>
      </c>
      <c r="F1364" s="1">
        <v>26316</v>
      </c>
      <c r="G1364" s="1" t="str">
        <f>VLOOKUP(H1364,Table7[#All], 2, FALSE)</f>
        <v>Massachusetts</v>
      </c>
      <c r="H1364" s="2" t="s">
        <v>14</v>
      </c>
      <c r="I1364" s="2" t="s">
        <v>22</v>
      </c>
      <c r="J1364" s="2" t="s">
        <v>34</v>
      </c>
      <c r="K1364" s="2" t="s">
        <v>8</v>
      </c>
      <c r="L1364" s="2" t="s">
        <v>9</v>
      </c>
      <c r="M1364" s="2" t="s">
        <v>25</v>
      </c>
      <c r="N1364" s="2" t="s">
        <v>19</v>
      </c>
      <c r="O1364" s="2" t="s">
        <v>12</v>
      </c>
      <c r="P1364" s="2" t="s">
        <v>32</v>
      </c>
      <c r="Q1364" s="2" t="s">
        <v>23</v>
      </c>
      <c r="R1364" s="2" t="s">
        <v>18</v>
      </c>
      <c r="S1364">
        <v>4</v>
      </c>
    </row>
    <row r="1365" spans="1:19" x14ac:dyDescent="0.3">
      <c r="A1365">
        <v>2940</v>
      </c>
      <c r="B1365">
        <f>YEAR(Cleaned_HR_Data_Analysis__2[[#This Row],[Joining_Date]])</f>
        <v>2020</v>
      </c>
      <c r="C1365" s="1">
        <v>44074</v>
      </c>
      <c r="D1365" s="1" t="str" cm="1">
        <f t="array" ref="D1365">_xlfn.IFS(E1365&lt;28, "17-27",
AND(E1365&gt;27, E1365&lt;38), "28-37",
AND(E1365&gt;37, E1365 &lt;48), "38-47",
AND(E1365&gt;47, E1365 &lt;58), "48-57",
AND(E1365&gt;57, E1365&lt;68), "58-67",
AND(E1365&gt;67, E1365&lt;78), "68-77",
E1365&gt;77,"Above than 77")</f>
        <v>48-57</v>
      </c>
      <c r="E1365">
        <v>48</v>
      </c>
      <c r="F1365" s="1">
        <v>26638</v>
      </c>
      <c r="G1365" s="1" t="str">
        <f>VLOOKUP(H1365,Table7[#All], 2, FALSE)</f>
        <v>Massachusetts</v>
      </c>
      <c r="H1365" s="2" t="s">
        <v>14</v>
      </c>
      <c r="I1365" s="2" t="s">
        <v>15</v>
      </c>
      <c r="J1365" s="2" t="s">
        <v>31</v>
      </c>
      <c r="K1365" s="2" t="s">
        <v>8</v>
      </c>
      <c r="L1365" s="2" t="s">
        <v>9</v>
      </c>
      <c r="M1365" s="2" t="s">
        <v>10</v>
      </c>
      <c r="N1365" s="2" t="s">
        <v>19</v>
      </c>
      <c r="O1365" s="2" t="s">
        <v>12</v>
      </c>
      <c r="P1365" s="2" t="s">
        <v>63</v>
      </c>
      <c r="Q1365" s="2" t="s">
        <v>37</v>
      </c>
      <c r="R1365" s="2" t="s">
        <v>56</v>
      </c>
      <c r="S1365">
        <v>1</v>
      </c>
    </row>
    <row r="1366" spans="1:19" x14ac:dyDescent="0.3">
      <c r="A1366">
        <v>2914</v>
      </c>
      <c r="B1366">
        <f>YEAR(Cleaned_HR_Data_Analysis__2[[#This Row],[Joining_Date]])</f>
        <v>2020</v>
      </c>
      <c r="C1366" s="1">
        <v>43832</v>
      </c>
      <c r="D1366" s="1" t="str" cm="1">
        <f t="array" ref="D1366">_xlfn.IFS(E1366&lt;28, "17-27",
AND(E1366&gt;27, E1366&lt;38), "28-37",
AND(E1366&gt;37, E1366 &lt;48), "38-47",
AND(E1366&gt;47, E1366 &lt;58), "48-57",
AND(E1366&gt;57, E1366&lt;68), "58-67",
AND(E1366&gt;67, E1366&lt;78), "68-77",
E1366&gt;77,"Above than 77")</f>
        <v>48-57</v>
      </c>
      <c r="E1366">
        <v>48</v>
      </c>
      <c r="F1366" s="1">
        <v>26635</v>
      </c>
      <c r="G1366" s="1" t="str">
        <f>VLOOKUP(H1366,Table7[#All], 2, FALSE)</f>
        <v>Massachusetts</v>
      </c>
      <c r="H1366" s="2" t="s">
        <v>14</v>
      </c>
      <c r="I1366" s="2" t="s">
        <v>22</v>
      </c>
      <c r="J1366" s="2" t="s">
        <v>17</v>
      </c>
      <c r="K1366" s="2" t="s">
        <v>8</v>
      </c>
      <c r="L1366" s="2" t="s">
        <v>9</v>
      </c>
      <c r="M1366" s="2" t="s">
        <v>25</v>
      </c>
      <c r="N1366" s="2" t="s">
        <v>11</v>
      </c>
      <c r="O1366" s="2" t="s">
        <v>12</v>
      </c>
      <c r="P1366" s="2" t="s">
        <v>49</v>
      </c>
      <c r="Q1366" s="2" t="s">
        <v>23</v>
      </c>
      <c r="R1366" s="2" t="s">
        <v>41</v>
      </c>
      <c r="S1366">
        <v>3</v>
      </c>
    </row>
    <row r="1367" spans="1:19" x14ac:dyDescent="0.3">
      <c r="A1367">
        <v>2006</v>
      </c>
      <c r="B1367">
        <f>YEAR(Cleaned_HR_Data_Analysis__2[[#This Row],[Joining_Date]])</f>
        <v>2021</v>
      </c>
      <c r="C1367" s="1">
        <v>44458</v>
      </c>
      <c r="D1367" s="1" t="str" cm="1">
        <f t="array" ref="D1367">_xlfn.IFS(E1367&lt;28, "17-27",
AND(E1367&gt;27, E1367&lt;38), "28-37",
AND(E1367&gt;37, E1367 &lt;48), "38-47",
AND(E1367&gt;47, E1367 &lt;58), "48-57",
AND(E1367&gt;57, E1367&lt;68), "58-67",
AND(E1367&gt;67, E1367&lt;78), "68-77",
E1367&gt;77,"Above than 77")</f>
        <v>48-57</v>
      </c>
      <c r="E1367">
        <v>48</v>
      </c>
      <c r="F1367" s="1">
        <v>26960</v>
      </c>
      <c r="G1367" s="1" t="str">
        <f>VLOOKUP(H1367,Table7[#All], 2, FALSE)</f>
        <v>Massachusetts</v>
      </c>
      <c r="H1367" s="2" t="s">
        <v>14</v>
      </c>
      <c r="I1367" s="2" t="s">
        <v>22</v>
      </c>
      <c r="J1367" s="2" t="s">
        <v>34</v>
      </c>
      <c r="K1367" s="2" t="s">
        <v>8</v>
      </c>
      <c r="L1367" s="2" t="s">
        <v>9</v>
      </c>
      <c r="M1367" s="2" t="s">
        <v>10</v>
      </c>
      <c r="N1367" s="2" t="s">
        <v>11</v>
      </c>
      <c r="O1367" s="2" t="s">
        <v>12</v>
      </c>
      <c r="P1367" s="2" t="s">
        <v>44</v>
      </c>
      <c r="Q1367" s="2" t="s">
        <v>30</v>
      </c>
      <c r="R1367" s="2" t="s">
        <v>18</v>
      </c>
      <c r="S1367">
        <v>5</v>
      </c>
    </row>
    <row r="1368" spans="1:19" x14ac:dyDescent="0.3">
      <c r="A1368">
        <v>1963</v>
      </c>
      <c r="B1368">
        <f>YEAR(Cleaned_HR_Data_Analysis__2[[#This Row],[Joining_Date]])</f>
        <v>2020</v>
      </c>
      <c r="C1368" s="1">
        <v>44088</v>
      </c>
      <c r="D1368" s="1" t="str" cm="1">
        <f t="array" ref="D1368">_xlfn.IFS(E1368&lt;28, "17-27",
AND(E1368&gt;27, E1368&lt;38), "28-37",
AND(E1368&gt;37, E1368 &lt;48), "38-47",
AND(E1368&gt;47, E1368 &lt;58), "48-57",
AND(E1368&gt;57, E1368&lt;68), "58-67",
AND(E1368&gt;67, E1368&lt;78), "68-77",
E1368&gt;77,"Above than 77")</f>
        <v>48-57</v>
      </c>
      <c r="E1368">
        <v>48</v>
      </c>
      <c r="F1368" s="1">
        <v>26427</v>
      </c>
      <c r="G1368" s="1" t="str">
        <f>VLOOKUP(H1368,Table7[#All], 2, FALSE)</f>
        <v>Massachusetts</v>
      </c>
      <c r="H1368" s="2" t="s">
        <v>14</v>
      </c>
      <c r="I1368" s="2" t="s">
        <v>15</v>
      </c>
      <c r="J1368" s="2" t="s">
        <v>34</v>
      </c>
      <c r="K1368" s="2" t="s">
        <v>8</v>
      </c>
      <c r="L1368" s="2" t="s">
        <v>66</v>
      </c>
      <c r="M1368" s="2" t="s">
        <v>10</v>
      </c>
      <c r="N1368" s="2" t="s">
        <v>26</v>
      </c>
      <c r="O1368" s="2" t="s">
        <v>12</v>
      </c>
      <c r="P1368" s="2" t="s">
        <v>32</v>
      </c>
      <c r="Q1368" s="2" t="s">
        <v>30</v>
      </c>
      <c r="R1368" s="2" t="s">
        <v>18</v>
      </c>
      <c r="S1368">
        <v>5</v>
      </c>
    </row>
    <row r="1369" spans="1:19" x14ac:dyDescent="0.3">
      <c r="A1369">
        <v>1728</v>
      </c>
      <c r="B1369">
        <f>YEAR(Cleaned_HR_Data_Analysis__2[[#This Row],[Joining_Date]])</f>
        <v>2020</v>
      </c>
      <c r="C1369" s="1">
        <v>43903</v>
      </c>
      <c r="D1369" s="1" t="str" cm="1">
        <f t="array" ref="D1369">_xlfn.IFS(E1369&lt;28, "17-27",
AND(E1369&gt;27, E1369&lt;38), "28-37",
AND(E1369&gt;37, E1369 &lt;48), "38-47",
AND(E1369&gt;47, E1369 &lt;58), "48-57",
AND(E1369&gt;57, E1369&lt;68), "58-67",
AND(E1369&gt;67, E1369&lt;78), "68-77",
E1369&gt;77,"Above than 77")</f>
        <v>48-57</v>
      </c>
      <c r="E1369">
        <v>48</v>
      </c>
      <c r="F1369" s="1">
        <v>26309</v>
      </c>
      <c r="G1369" s="1" t="str">
        <f>VLOOKUP(H1369,Table7[#All], 2, FALSE)</f>
        <v>Massachusetts</v>
      </c>
      <c r="H1369" s="2" t="s">
        <v>14</v>
      </c>
      <c r="I1369" s="2" t="s">
        <v>22</v>
      </c>
      <c r="J1369" s="2" t="s">
        <v>40</v>
      </c>
      <c r="K1369" s="2" t="s">
        <v>8</v>
      </c>
      <c r="L1369" s="2" t="s">
        <v>9</v>
      </c>
      <c r="M1369" s="2" t="s">
        <v>25</v>
      </c>
      <c r="N1369" s="2" t="s">
        <v>11</v>
      </c>
      <c r="O1369" s="2" t="s">
        <v>12</v>
      </c>
      <c r="P1369" s="2" t="s">
        <v>32</v>
      </c>
      <c r="Q1369" s="2" t="s">
        <v>16</v>
      </c>
      <c r="R1369" s="2" t="s">
        <v>18</v>
      </c>
      <c r="S1369">
        <v>4</v>
      </c>
    </row>
    <row r="1370" spans="1:19" x14ac:dyDescent="0.3">
      <c r="A1370">
        <v>1524</v>
      </c>
      <c r="B1370">
        <f>YEAR(Cleaned_HR_Data_Analysis__2[[#This Row],[Joining_Date]])</f>
        <v>2023</v>
      </c>
      <c r="C1370" s="1">
        <v>45001</v>
      </c>
      <c r="D1370" s="1" t="str" cm="1">
        <f t="array" ref="D1370">_xlfn.IFS(E1370&lt;28, "17-27",
AND(E1370&gt;27, E1370&lt;38), "28-37",
AND(E1370&gt;37, E1370 &lt;48), "38-47",
AND(E1370&gt;47, E1370 &lt;58), "48-57",
AND(E1370&gt;57, E1370&lt;68), "58-67",
AND(E1370&gt;67, E1370&lt;78), "68-77",
E1370&gt;77,"Above than 77")</f>
        <v>48-57</v>
      </c>
      <c r="E1370">
        <v>48</v>
      </c>
      <c r="F1370" s="1">
        <v>27527</v>
      </c>
      <c r="G1370" s="1" t="str">
        <f>VLOOKUP(H1370,Table7[#All], 2, FALSE)</f>
        <v>Massachusetts</v>
      </c>
      <c r="H1370" s="2" t="s">
        <v>14</v>
      </c>
      <c r="I1370" s="2" t="s">
        <v>15</v>
      </c>
      <c r="J1370" s="2" t="s">
        <v>31</v>
      </c>
      <c r="K1370" s="2" t="s">
        <v>8</v>
      </c>
      <c r="L1370" s="2" t="s">
        <v>9</v>
      </c>
      <c r="M1370" s="2" t="s">
        <v>25</v>
      </c>
      <c r="N1370" s="2" t="s">
        <v>19</v>
      </c>
      <c r="O1370" s="2" t="s">
        <v>12</v>
      </c>
      <c r="P1370" s="2" t="s">
        <v>42</v>
      </c>
      <c r="Q1370" s="2" t="s">
        <v>30</v>
      </c>
      <c r="R1370" s="2" t="s">
        <v>18</v>
      </c>
      <c r="S1370">
        <v>1</v>
      </c>
    </row>
    <row r="1371" spans="1:19" x14ac:dyDescent="0.3">
      <c r="A1371">
        <v>1504</v>
      </c>
      <c r="B1371">
        <f>YEAR(Cleaned_HR_Data_Analysis__2[[#This Row],[Joining_Date]])</f>
        <v>2019</v>
      </c>
      <c r="C1371" s="1">
        <v>43773</v>
      </c>
      <c r="D1371" s="1" t="str" cm="1">
        <f t="array" ref="D1371">_xlfn.IFS(E1371&lt;28, "17-27",
AND(E1371&gt;27, E1371&lt;38), "28-37",
AND(E1371&gt;37, E1371 &lt;48), "38-47",
AND(E1371&gt;47, E1371 &lt;58), "48-57",
AND(E1371&gt;57, E1371&lt;68), "58-67",
AND(E1371&gt;67, E1371&lt;78), "68-77",
E1371&gt;77,"Above than 77")</f>
        <v>48-57</v>
      </c>
      <c r="E1371">
        <v>48</v>
      </c>
      <c r="F1371" s="1">
        <v>26168</v>
      </c>
      <c r="G1371" s="1" t="str">
        <f>VLOOKUP(H1371,Table7[#All], 2, FALSE)</f>
        <v>Massachusetts</v>
      </c>
      <c r="H1371" s="2" t="s">
        <v>14</v>
      </c>
      <c r="I1371" s="2" t="s">
        <v>15</v>
      </c>
      <c r="J1371" s="2" t="s">
        <v>34</v>
      </c>
      <c r="K1371" s="2" t="s">
        <v>8</v>
      </c>
      <c r="L1371" s="2" t="s">
        <v>9</v>
      </c>
      <c r="M1371" s="2" t="s">
        <v>25</v>
      </c>
      <c r="N1371" s="2" t="s">
        <v>11</v>
      </c>
      <c r="O1371" s="2" t="s">
        <v>12</v>
      </c>
      <c r="P1371" s="2" t="s">
        <v>42</v>
      </c>
      <c r="Q1371" s="2" t="s">
        <v>30</v>
      </c>
      <c r="R1371" s="2" t="s">
        <v>56</v>
      </c>
      <c r="S1371">
        <v>3</v>
      </c>
    </row>
    <row r="1372" spans="1:19" x14ac:dyDescent="0.3">
      <c r="A1372">
        <v>1230</v>
      </c>
      <c r="B1372">
        <f>YEAR(Cleaned_HR_Data_Analysis__2[[#This Row],[Joining_Date]])</f>
        <v>2022</v>
      </c>
      <c r="C1372" s="1">
        <v>44624</v>
      </c>
      <c r="D1372" s="1" t="str" cm="1">
        <f t="array" ref="D1372">_xlfn.IFS(E1372&lt;28, "17-27",
AND(E1372&gt;27, E1372&lt;38), "28-37",
AND(E1372&gt;37, E1372 &lt;48), "38-47",
AND(E1372&gt;47, E1372 &lt;58), "48-57",
AND(E1372&gt;57, E1372&lt;68), "58-67",
AND(E1372&gt;67, E1372&lt;78), "68-77",
E1372&gt;77,"Above than 77")</f>
        <v>48-57</v>
      </c>
      <c r="E1372">
        <v>48</v>
      </c>
      <c r="F1372" s="1">
        <v>27290</v>
      </c>
      <c r="G1372" s="1" t="str">
        <f>VLOOKUP(H1372,Table7[#All], 2, FALSE)</f>
        <v>Massachusetts</v>
      </c>
      <c r="H1372" s="2" t="s">
        <v>14</v>
      </c>
      <c r="I1372" s="2" t="s">
        <v>15</v>
      </c>
      <c r="J1372" s="2" t="s">
        <v>17</v>
      </c>
      <c r="K1372" s="2" t="s">
        <v>8</v>
      </c>
      <c r="L1372" s="2" t="s">
        <v>9</v>
      </c>
      <c r="M1372" s="2" t="s">
        <v>10</v>
      </c>
      <c r="N1372" s="2" t="s">
        <v>11</v>
      </c>
      <c r="O1372" s="2" t="s">
        <v>12</v>
      </c>
      <c r="P1372" s="2" t="s">
        <v>59</v>
      </c>
      <c r="Q1372" s="2" t="s">
        <v>23</v>
      </c>
      <c r="R1372" s="2" t="s">
        <v>18</v>
      </c>
      <c r="S1372">
        <v>4</v>
      </c>
    </row>
    <row r="1373" spans="1:19" x14ac:dyDescent="0.3">
      <c r="A1373">
        <v>2472</v>
      </c>
      <c r="B1373">
        <f>YEAR(Cleaned_HR_Data_Analysis__2[[#This Row],[Joining_Date]])</f>
        <v>2023</v>
      </c>
      <c r="C1373" s="1">
        <v>45135</v>
      </c>
      <c r="D1373" s="1" t="str" cm="1">
        <f t="array" ref="D1373">_xlfn.IFS(E1373&lt;28, "17-27",
AND(E1373&gt;27, E1373&lt;38), "28-37",
AND(E1373&gt;37, E1373 &lt;48), "38-47",
AND(E1373&gt;47, E1373 &lt;58), "48-57",
AND(E1373&gt;57, E1373&lt;68), "58-67",
AND(E1373&gt;67, E1373&lt;78), "68-77",
E1373&gt;77,"Above than 77")</f>
        <v>48-57</v>
      </c>
      <c r="E1373">
        <v>48</v>
      </c>
      <c r="F1373" s="1">
        <v>27693</v>
      </c>
      <c r="G1373" s="1" t="str">
        <f>VLOOKUP(H1373,Table7[#All], 2, FALSE)</f>
        <v>Massachusetts</v>
      </c>
      <c r="H1373" s="2" t="s">
        <v>14</v>
      </c>
      <c r="I1373" s="2" t="s">
        <v>15</v>
      </c>
      <c r="J1373" s="2" t="s">
        <v>34</v>
      </c>
      <c r="K1373" s="2" t="s">
        <v>91</v>
      </c>
      <c r="L1373" s="2" t="s">
        <v>9</v>
      </c>
      <c r="M1373" s="2" t="s">
        <v>25</v>
      </c>
      <c r="N1373" s="2" t="s">
        <v>26</v>
      </c>
      <c r="O1373" s="2" t="s">
        <v>12</v>
      </c>
      <c r="P1373" s="2" t="s">
        <v>21</v>
      </c>
      <c r="Q1373" s="2" t="s">
        <v>46</v>
      </c>
      <c r="R1373" s="2" t="s">
        <v>18</v>
      </c>
      <c r="S1373">
        <v>2</v>
      </c>
    </row>
    <row r="1374" spans="1:19" x14ac:dyDescent="0.3">
      <c r="A1374">
        <v>2316</v>
      </c>
      <c r="B1374">
        <f>YEAR(Cleaned_HR_Data_Analysis__2[[#This Row],[Joining_Date]])</f>
        <v>2021</v>
      </c>
      <c r="C1374" s="1">
        <v>44398</v>
      </c>
      <c r="D1374" s="1" t="str" cm="1">
        <f t="array" ref="D1374">_xlfn.IFS(E1374&lt;28, "17-27",
AND(E1374&gt;27, E1374&lt;38), "28-37",
AND(E1374&gt;37, E1374 &lt;48), "38-47",
AND(E1374&gt;47, E1374 &lt;58), "48-57",
AND(E1374&gt;57, E1374&lt;68), "58-67",
AND(E1374&gt;67, E1374&lt;78), "68-77",
E1374&gt;77,"Above than 77")</f>
        <v>48-57</v>
      </c>
      <c r="E1374">
        <v>48</v>
      </c>
      <c r="F1374" s="1">
        <v>26936</v>
      </c>
      <c r="G1374" s="1" t="str">
        <f>VLOOKUP(H1374,Table7[#All], 2, FALSE)</f>
        <v>Massachusetts</v>
      </c>
      <c r="H1374" s="2" t="s">
        <v>14</v>
      </c>
      <c r="I1374" s="2" t="s">
        <v>22</v>
      </c>
      <c r="J1374" s="2" t="s">
        <v>40</v>
      </c>
      <c r="K1374" s="2" t="s">
        <v>91</v>
      </c>
      <c r="L1374" s="2" t="s">
        <v>9</v>
      </c>
      <c r="M1374" s="2" t="s">
        <v>25</v>
      </c>
      <c r="N1374" s="2" t="s">
        <v>26</v>
      </c>
      <c r="O1374" s="2" t="s">
        <v>12</v>
      </c>
      <c r="P1374" s="2" t="s">
        <v>35</v>
      </c>
      <c r="Q1374" s="2" t="s">
        <v>46</v>
      </c>
      <c r="R1374" s="2" t="s">
        <v>18</v>
      </c>
      <c r="S1374">
        <v>2</v>
      </c>
    </row>
    <row r="1375" spans="1:19" x14ac:dyDescent="0.3">
      <c r="A1375">
        <v>2296</v>
      </c>
      <c r="B1375">
        <f>YEAR(Cleaned_HR_Data_Analysis__2[[#This Row],[Joining_Date]])</f>
        <v>2021</v>
      </c>
      <c r="C1375" s="1">
        <v>44433</v>
      </c>
      <c r="D1375" s="1" t="str" cm="1">
        <f t="array" ref="D1375">_xlfn.IFS(E1375&lt;28, "17-27",
AND(E1375&gt;27, E1375&lt;38), "28-37",
AND(E1375&gt;37, E1375 &lt;48), "38-47",
AND(E1375&gt;47, E1375 &lt;58), "48-57",
AND(E1375&gt;57, E1375&lt;68), "58-67",
AND(E1375&gt;67, E1375&lt;78), "68-77",
E1375&gt;77,"Above than 77")</f>
        <v>48-57</v>
      </c>
      <c r="E1375">
        <v>48</v>
      </c>
      <c r="F1375" s="1">
        <v>26772</v>
      </c>
      <c r="G1375" s="1" t="str">
        <f>VLOOKUP(H1375,Table7[#All], 2, FALSE)</f>
        <v>Massachusetts</v>
      </c>
      <c r="H1375" s="2" t="s">
        <v>14</v>
      </c>
      <c r="I1375" s="2" t="s">
        <v>15</v>
      </c>
      <c r="J1375" s="2" t="s">
        <v>40</v>
      </c>
      <c r="K1375" s="2" t="s">
        <v>91</v>
      </c>
      <c r="L1375" s="2" t="s">
        <v>9</v>
      </c>
      <c r="M1375" s="2" t="s">
        <v>25</v>
      </c>
      <c r="N1375" s="2" t="s">
        <v>26</v>
      </c>
      <c r="O1375" s="2" t="s">
        <v>12</v>
      </c>
      <c r="P1375" s="2" t="s">
        <v>35</v>
      </c>
      <c r="Q1375" s="2" t="s">
        <v>23</v>
      </c>
      <c r="R1375" s="2" t="s">
        <v>18</v>
      </c>
      <c r="S1375">
        <v>4</v>
      </c>
    </row>
    <row r="1376" spans="1:19" x14ac:dyDescent="0.3">
      <c r="A1376">
        <v>2441</v>
      </c>
      <c r="B1376">
        <f>YEAR(Cleaned_HR_Data_Analysis__2[[#This Row],[Joining_Date]])</f>
        <v>2021</v>
      </c>
      <c r="C1376" s="1">
        <v>44391</v>
      </c>
      <c r="D1376" s="1" t="str" cm="1">
        <f t="array" ref="D1376">_xlfn.IFS(E1376&lt;28, "17-27",
AND(E1376&gt;27, E1376&lt;38), "28-37",
AND(E1376&gt;37, E1376 &lt;48), "38-47",
AND(E1376&gt;47, E1376 &lt;58), "48-57",
AND(E1376&gt;57, E1376&lt;68), "58-67",
AND(E1376&gt;67, E1376&lt;78), "68-77",
E1376&gt;77,"Above than 77")</f>
        <v>48-57</v>
      </c>
      <c r="E1376">
        <v>48</v>
      </c>
      <c r="F1376" s="1">
        <v>27017</v>
      </c>
      <c r="G1376" s="1" t="str">
        <f>VLOOKUP(H1376,Table7[#All], 2, FALSE)</f>
        <v>Massachusetts</v>
      </c>
      <c r="H1376" s="2" t="s">
        <v>14</v>
      </c>
      <c r="I1376" s="2" t="s">
        <v>22</v>
      </c>
      <c r="J1376" s="2" t="s">
        <v>34</v>
      </c>
      <c r="K1376" s="2" t="s">
        <v>94</v>
      </c>
      <c r="L1376" s="2" t="s">
        <v>9</v>
      </c>
      <c r="M1376" s="2" t="s">
        <v>10</v>
      </c>
      <c r="N1376" s="2" t="s">
        <v>26</v>
      </c>
      <c r="O1376" s="2" t="s">
        <v>12</v>
      </c>
      <c r="P1376" s="2" t="s">
        <v>28</v>
      </c>
      <c r="Q1376" s="2" t="s">
        <v>23</v>
      </c>
      <c r="R1376" s="2" t="s">
        <v>18</v>
      </c>
      <c r="S1376">
        <v>4</v>
      </c>
    </row>
    <row r="1377" spans="1:19" x14ac:dyDescent="0.3">
      <c r="A1377">
        <v>3880</v>
      </c>
      <c r="B1377">
        <f>YEAR(Cleaned_HR_Data_Analysis__2[[#This Row],[Joining_Date]])</f>
        <v>2021</v>
      </c>
      <c r="C1377" s="1">
        <v>44284</v>
      </c>
      <c r="D1377" s="1" t="str" cm="1">
        <f t="array" ref="D1377">_xlfn.IFS(E1377&lt;28, "17-27",
AND(E1377&gt;27, E1377&lt;38), "28-37",
AND(E1377&gt;37, E1377 &lt;48), "38-47",
AND(E1377&gt;47, E1377 &lt;58), "48-57",
AND(E1377&gt;57, E1377&lt;68), "58-67",
AND(E1377&gt;67, E1377&lt;78), "68-77",
E1377&gt;77,"Above than 77")</f>
        <v>48-57</v>
      </c>
      <c r="E1377">
        <v>48</v>
      </c>
      <c r="F1377" s="1">
        <v>26799</v>
      </c>
      <c r="G1377" s="1" t="str">
        <f>VLOOKUP(H1377,Table7[#All], 2, FALSE)</f>
        <v>Massachusetts</v>
      </c>
      <c r="H1377" s="2" t="s">
        <v>14</v>
      </c>
      <c r="I1377" s="2" t="s">
        <v>22</v>
      </c>
      <c r="J1377" s="2" t="s">
        <v>31</v>
      </c>
      <c r="K1377" s="2" t="s">
        <v>71</v>
      </c>
      <c r="L1377" s="2" t="s">
        <v>9</v>
      </c>
      <c r="M1377" s="2" t="s">
        <v>20</v>
      </c>
      <c r="N1377" s="2" t="s">
        <v>26</v>
      </c>
      <c r="O1377" s="2" t="s">
        <v>53</v>
      </c>
      <c r="P1377" s="2" t="s">
        <v>32</v>
      </c>
      <c r="Q1377" s="2" t="s">
        <v>37</v>
      </c>
      <c r="R1377" s="2" t="s">
        <v>18</v>
      </c>
      <c r="S1377">
        <v>3</v>
      </c>
    </row>
    <row r="1378" spans="1:19" x14ac:dyDescent="0.3">
      <c r="A1378">
        <v>2532</v>
      </c>
      <c r="B1378">
        <f>YEAR(Cleaned_HR_Data_Analysis__2[[#This Row],[Joining_Date]])</f>
        <v>2020</v>
      </c>
      <c r="C1378" s="1">
        <v>44030</v>
      </c>
      <c r="D1378" s="1" t="str" cm="1">
        <f t="array" ref="D1378">_xlfn.IFS(E1378&lt;28, "17-27",
AND(E1378&gt;27, E1378&lt;38), "28-37",
AND(E1378&gt;37, E1378 &lt;48), "38-47",
AND(E1378&gt;47, E1378 &lt;58), "48-57",
AND(E1378&gt;57, E1378&lt;68), "58-67",
AND(E1378&gt;67, E1378&lt;78), "68-77",
E1378&gt;77,"Above than 77")</f>
        <v>48-57</v>
      </c>
      <c r="E1378">
        <v>48</v>
      </c>
      <c r="F1378" s="1">
        <v>26546</v>
      </c>
      <c r="G1378" s="1" t="str">
        <f>VLOOKUP(H1378,Table7[#All], 2, FALSE)</f>
        <v>Massachusetts</v>
      </c>
      <c r="H1378" s="2" t="s">
        <v>14</v>
      </c>
      <c r="I1378" s="2" t="s">
        <v>22</v>
      </c>
      <c r="J1378" s="2" t="s">
        <v>17</v>
      </c>
      <c r="K1378" s="2" t="s">
        <v>103</v>
      </c>
      <c r="L1378" s="2" t="s">
        <v>9</v>
      </c>
      <c r="M1378" s="2" t="s">
        <v>10</v>
      </c>
      <c r="N1378" s="2" t="s">
        <v>19</v>
      </c>
      <c r="O1378" s="2" t="s">
        <v>53</v>
      </c>
      <c r="P1378" s="2" t="s">
        <v>32</v>
      </c>
      <c r="Q1378" s="2" t="s">
        <v>30</v>
      </c>
      <c r="R1378" s="2" t="s">
        <v>18</v>
      </c>
      <c r="S1378">
        <v>1</v>
      </c>
    </row>
    <row r="1379" spans="1:19" x14ac:dyDescent="0.3">
      <c r="A1379">
        <v>3986</v>
      </c>
      <c r="B1379">
        <f>YEAR(Cleaned_HR_Data_Analysis__2[[#This Row],[Joining_Date]])</f>
        <v>2020</v>
      </c>
      <c r="C1379" s="1">
        <v>43900</v>
      </c>
      <c r="D1379" s="1" t="str" cm="1">
        <f t="array" ref="D1379">_xlfn.IFS(E1379&lt;28, "17-27",
AND(E1379&gt;27, E1379&lt;38), "28-37",
AND(E1379&gt;37, E1379 &lt;48), "38-47",
AND(E1379&gt;47, E1379 &lt;58), "48-57",
AND(E1379&gt;57, E1379&lt;68), "58-67",
AND(E1379&gt;67, E1379&lt;78), "68-77",
E1379&gt;77,"Above than 77")</f>
        <v>48-57</v>
      </c>
      <c r="E1379">
        <v>48</v>
      </c>
      <c r="F1379" s="1">
        <v>26630</v>
      </c>
      <c r="G1379" s="1" t="str">
        <f>VLOOKUP(H1379,Table7[#All], 2, FALSE)</f>
        <v>Texas</v>
      </c>
      <c r="H1379" s="2" t="s">
        <v>45</v>
      </c>
      <c r="I1379" s="2" t="s">
        <v>15</v>
      </c>
      <c r="J1379" s="2" t="s">
        <v>34</v>
      </c>
      <c r="K1379" s="2" t="s">
        <v>77</v>
      </c>
      <c r="L1379" s="2" t="s">
        <v>9</v>
      </c>
      <c r="M1379" s="2" t="s">
        <v>20</v>
      </c>
      <c r="N1379" s="2" t="s">
        <v>19</v>
      </c>
      <c r="O1379" s="2" t="s">
        <v>53</v>
      </c>
      <c r="P1379" s="2" t="s">
        <v>60</v>
      </c>
      <c r="Q1379" s="2" t="s">
        <v>23</v>
      </c>
      <c r="R1379" s="2" t="s">
        <v>18</v>
      </c>
      <c r="S1379">
        <v>3</v>
      </c>
    </row>
    <row r="1380" spans="1:19" x14ac:dyDescent="0.3">
      <c r="A1380">
        <v>3943</v>
      </c>
      <c r="B1380">
        <f>YEAR(Cleaned_HR_Data_Analysis__2[[#This Row],[Joining_Date]])</f>
        <v>2019</v>
      </c>
      <c r="C1380" s="1">
        <v>43673</v>
      </c>
      <c r="D1380" s="1" t="str" cm="1">
        <f t="array" ref="D1380">_xlfn.IFS(E1380&lt;28, "17-27",
AND(E1380&gt;27, E1380&lt;38), "28-37",
AND(E1380&gt;37, E1380 &lt;48), "38-47",
AND(E1380&gt;47, E1380 &lt;58), "48-57",
AND(E1380&gt;57, E1380&lt;68), "58-67",
AND(E1380&gt;67, E1380&lt;78), "68-77",
E1380&gt;77,"Above than 77")</f>
        <v>48-57</v>
      </c>
      <c r="E1380">
        <v>48</v>
      </c>
      <c r="F1380" s="1">
        <v>26149</v>
      </c>
      <c r="G1380" s="1" t="str">
        <f>VLOOKUP(H1380,Table7[#All], 2, FALSE)</f>
        <v>Massachusetts</v>
      </c>
      <c r="H1380" s="2" t="s">
        <v>14</v>
      </c>
      <c r="I1380" s="2" t="s">
        <v>22</v>
      </c>
      <c r="J1380" s="2" t="s">
        <v>31</v>
      </c>
      <c r="K1380" s="2" t="s">
        <v>80</v>
      </c>
      <c r="L1380" s="2" t="s">
        <v>66</v>
      </c>
      <c r="M1380" s="2" t="s">
        <v>20</v>
      </c>
      <c r="N1380" s="2" t="s">
        <v>19</v>
      </c>
      <c r="O1380" s="2" t="s">
        <v>53</v>
      </c>
      <c r="P1380" s="2" t="s">
        <v>38</v>
      </c>
      <c r="Q1380" s="2" t="s">
        <v>37</v>
      </c>
      <c r="R1380" s="2" t="s">
        <v>18</v>
      </c>
      <c r="S1380">
        <v>2</v>
      </c>
    </row>
    <row r="1381" spans="1:19" x14ac:dyDescent="0.3">
      <c r="A1381">
        <v>2332</v>
      </c>
      <c r="B1381">
        <f>YEAR(Cleaned_HR_Data_Analysis__2[[#This Row],[Joining_Date]])</f>
        <v>2019</v>
      </c>
      <c r="C1381" s="1">
        <v>43645</v>
      </c>
      <c r="D1381" s="1" t="str" cm="1">
        <f t="array" ref="D1381">_xlfn.IFS(E1381&lt;28, "17-27",
AND(E1381&gt;27, E1381&lt;38), "28-37",
AND(E1381&gt;37, E1381 &lt;48), "38-47",
AND(E1381&gt;47, E1381 &lt;58), "48-57",
AND(E1381&gt;57, E1381&lt;68), "58-67",
AND(E1381&gt;67, E1381&lt;78), "68-77",
E1381&gt;77,"Above than 77")</f>
        <v>48-57</v>
      </c>
      <c r="E1381">
        <v>48</v>
      </c>
      <c r="F1381" s="1">
        <v>26166</v>
      </c>
      <c r="G1381" s="1" t="str">
        <f>VLOOKUP(H1381,Table7[#All], 2, FALSE)</f>
        <v>Massachusetts</v>
      </c>
      <c r="H1381" s="2" t="s">
        <v>14</v>
      </c>
      <c r="I1381" s="2" t="s">
        <v>22</v>
      </c>
      <c r="J1381" s="2" t="s">
        <v>17</v>
      </c>
      <c r="K1381" s="2" t="s">
        <v>80</v>
      </c>
      <c r="L1381" s="2" t="s">
        <v>9</v>
      </c>
      <c r="M1381" s="2" t="s">
        <v>10</v>
      </c>
      <c r="N1381" s="2" t="s">
        <v>11</v>
      </c>
      <c r="O1381" s="2" t="s">
        <v>12</v>
      </c>
      <c r="P1381" s="2" t="s">
        <v>55</v>
      </c>
      <c r="Q1381" s="2" t="s">
        <v>16</v>
      </c>
      <c r="R1381" s="2" t="s">
        <v>18</v>
      </c>
      <c r="S1381">
        <v>1</v>
      </c>
    </row>
    <row r="1382" spans="1:19" x14ac:dyDescent="0.3">
      <c r="A1382">
        <v>2311</v>
      </c>
      <c r="B1382">
        <f>YEAR(Cleaned_HR_Data_Analysis__2[[#This Row],[Joining_Date]])</f>
        <v>2019</v>
      </c>
      <c r="C1382" s="1">
        <v>43809</v>
      </c>
      <c r="D1382" s="1" t="str" cm="1">
        <f t="array" ref="D1382">_xlfn.IFS(E1382&lt;28, "17-27",
AND(E1382&gt;27, E1382&lt;38), "28-37",
AND(E1382&gt;37, E1382 &lt;48), "38-47",
AND(E1382&gt;47, E1382 &lt;58), "48-57",
AND(E1382&gt;57, E1382&lt;68), "58-67",
AND(E1382&gt;67, E1382&lt;78), "68-77",
E1382&gt;77,"Above than 77")</f>
        <v>48-57</v>
      </c>
      <c r="E1382">
        <v>48</v>
      </c>
      <c r="F1382" s="1">
        <v>26017</v>
      </c>
      <c r="G1382" s="1" t="str">
        <f>VLOOKUP(H1382,Table7[#All], 2, FALSE)</f>
        <v>Massachusetts</v>
      </c>
      <c r="H1382" s="2" t="s">
        <v>14</v>
      </c>
      <c r="I1382" s="2" t="s">
        <v>15</v>
      </c>
      <c r="J1382" s="2" t="s">
        <v>40</v>
      </c>
      <c r="K1382" s="2" t="s">
        <v>78</v>
      </c>
      <c r="L1382" s="2" t="s">
        <v>9</v>
      </c>
      <c r="M1382" s="2" t="s">
        <v>20</v>
      </c>
      <c r="N1382" s="2" t="s">
        <v>19</v>
      </c>
      <c r="O1382" s="2" t="s">
        <v>12</v>
      </c>
      <c r="P1382" s="2" t="s">
        <v>35</v>
      </c>
      <c r="Q1382" s="2" t="s">
        <v>37</v>
      </c>
      <c r="R1382" s="2" t="s">
        <v>18</v>
      </c>
      <c r="S1382">
        <v>3</v>
      </c>
    </row>
    <row r="1383" spans="1:19" x14ac:dyDescent="0.3">
      <c r="A1383">
        <v>3491</v>
      </c>
      <c r="B1383">
        <f>YEAR(Cleaned_HR_Data_Analysis__2[[#This Row],[Joining_Date]])</f>
        <v>2021</v>
      </c>
      <c r="C1383" s="1">
        <v>44222</v>
      </c>
      <c r="D1383" s="1" t="str" cm="1">
        <f t="array" ref="D1383">_xlfn.IFS(E1383&lt;28, "17-27",
AND(E1383&gt;27, E1383&lt;38), "28-37",
AND(E1383&gt;37, E1383 &lt;48), "38-47",
AND(E1383&gt;47, E1383 &lt;58), "48-57",
AND(E1383&gt;57, E1383&lt;68), "58-67",
AND(E1383&gt;67, E1383&lt;78), "68-77",
E1383&gt;77,"Above than 77")</f>
        <v>48-57</v>
      </c>
      <c r="E1383">
        <v>48</v>
      </c>
      <c r="F1383" s="1">
        <v>26817</v>
      </c>
      <c r="G1383" s="1" t="str">
        <f>VLOOKUP(H1383,Table7[#All], 2, FALSE)</f>
        <v>Texas</v>
      </c>
      <c r="H1383" s="2" t="s">
        <v>45</v>
      </c>
      <c r="I1383" s="2" t="s">
        <v>22</v>
      </c>
      <c r="J1383" s="2" t="s">
        <v>17</v>
      </c>
      <c r="K1383" s="2" t="s">
        <v>24</v>
      </c>
      <c r="L1383" s="2" t="s">
        <v>9</v>
      </c>
      <c r="M1383" s="2" t="s">
        <v>10</v>
      </c>
      <c r="N1383" s="2" t="s">
        <v>26</v>
      </c>
      <c r="O1383" s="2" t="s">
        <v>27</v>
      </c>
      <c r="P1383" s="2" t="s">
        <v>35</v>
      </c>
      <c r="Q1383" s="2" t="s">
        <v>16</v>
      </c>
      <c r="R1383" s="2" t="s">
        <v>18</v>
      </c>
      <c r="S1383">
        <v>4</v>
      </c>
    </row>
    <row r="1384" spans="1:19" x14ac:dyDescent="0.3">
      <c r="A1384">
        <v>2609</v>
      </c>
      <c r="B1384">
        <f>YEAR(Cleaned_HR_Data_Analysis__2[[#This Row],[Joining_Date]])</f>
        <v>2019</v>
      </c>
      <c r="C1384" s="1">
        <v>43805</v>
      </c>
      <c r="D1384" s="1" t="str" cm="1">
        <f t="array" ref="D1384">_xlfn.IFS(E1384&lt;28, "17-27",
AND(E1384&gt;27, E1384&lt;38), "28-37",
AND(E1384&gt;37, E1384 &lt;48), "38-47",
AND(E1384&gt;47, E1384 &lt;58), "48-57",
AND(E1384&gt;57, E1384&lt;68), "58-67",
AND(E1384&gt;67, E1384&lt;78), "68-77",
E1384&gt;77,"Above than 77")</f>
        <v>48-57</v>
      </c>
      <c r="E1384">
        <v>48</v>
      </c>
      <c r="F1384" s="1">
        <v>26158</v>
      </c>
      <c r="G1384" s="1" t="str">
        <f>VLOOKUP(H1384,Table7[#All], 2, FALSE)</f>
        <v>Tennessee</v>
      </c>
      <c r="H1384" s="2" t="s">
        <v>120</v>
      </c>
      <c r="I1384" s="2" t="s">
        <v>22</v>
      </c>
      <c r="J1384" s="2" t="s">
        <v>17</v>
      </c>
      <c r="K1384" s="2" t="s">
        <v>24</v>
      </c>
      <c r="L1384" s="2" t="s">
        <v>9</v>
      </c>
      <c r="M1384" s="2" t="s">
        <v>20</v>
      </c>
      <c r="N1384" s="2" t="s">
        <v>26</v>
      </c>
      <c r="O1384" s="2" t="s">
        <v>27</v>
      </c>
      <c r="P1384" s="2" t="s">
        <v>28</v>
      </c>
      <c r="Q1384" s="2" t="s">
        <v>46</v>
      </c>
      <c r="R1384" s="2" t="s">
        <v>18</v>
      </c>
      <c r="S1384">
        <v>3</v>
      </c>
    </row>
    <row r="1385" spans="1:19" x14ac:dyDescent="0.3">
      <c r="A1385">
        <v>2636</v>
      </c>
      <c r="B1385">
        <f>YEAR(Cleaned_HR_Data_Analysis__2[[#This Row],[Joining_Date]])</f>
        <v>2018</v>
      </c>
      <c r="C1385" s="1">
        <v>43356</v>
      </c>
      <c r="D1385" s="1" t="str" cm="1">
        <f t="array" ref="D1385">_xlfn.IFS(E1385&lt;28, "17-27",
AND(E1385&gt;27, E1385&lt;38), "28-37",
AND(E1385&gt;37, E1385 &lt;48), "38-47",
AND(E1385&gt;47, E1385 &lt;58), "48-57",
AND(E1385&gt;57, E1385&lt;68), "58-67",
AND(E1385&gt;67, E1385&lt;78), "68-77",
E1385&gt;77,"Above than 77")</f>
        <v>48-57</v>
      </c>
      <c r="E1385">
        <v>48</v>
      </c>
      <c r="F1385" s="1">
        <v>25892</v>
      </c>
      <c r="G1385" s="1" t="str">
        <f>VLOOKUP(H1385,Table7[#All], 2, FALSE)</f>
        <v>Massachusetts</v>
      </c>
      <c r="H1385" s="2" t="s">
        <v>14</v>
      </c>
      <c r="I1385" s="2" t="s">
        <v>22</v>
      </c>
      <c r="J1385" s="2" t="s">
        <v>34</v>
      </c>
      <c r="K1385" s="2" t="s">
        <v>24</v>
      </c>
      <c r="L1385" s="2" t="s">
        <v>9</v>
      </c>
      <c r="M1385" s="2" t="s">
        <v>25</v>
      </c>
      <c r="N1385" s="2" t="s">
        <v>26</v>
      </c>
      <c r="O1385" s="2" t="s">
        <v>27</v>
      </c>
      <c r="P1385" s="2" t="s">
        <v>38</v>
      </c>
      <c r="Q1385" s="2" t="s">
        <v>46</v>
      </c>
      <c r="R1385" s="2" t="s">
        <v>18</v>
      </c>
      <c r="S1385">
        <v>3</v>
      </c>
    </row>
    <row r="1386" spans="1:19" x14ac:dyDescent="0.3">
      <c r="A1386">
        <v>2620</v>
      </c>
      <c r="B1386">
        <f>YEAR(Cleaned_HR_Data_Analysis__2[[#This Row],[Joining_Date]])</f>
        <v>2021</v>
      </c>
      <c r="C1386" s="1">
        <v>44259</v>
      </c>
      <c r="D1386" s="1" t="str" cm="1">
        <f t="array" ref="D1386">_xlfn.IFS(E1386&lt;28, "17-27",
AND(E1386&gt;27, E1386&lt;38), "28-37",
AND(E1386&gt;37, E1386 &lt;48), "38-47",
AND(E1386&gt;47, E1386 &lt;58), "48-57",
AND(E1386&gt;57, E1386&lt;68), "58-67",
AND(E1386&gt;67, E1386&lt;78), "68-77",
E1386&gt;77,"Above than 77")</f>
        <v>48-57</v>
      </c>
      <c r="E1386">
        <v>48</v>
      </c>
      <c r="F1386" s="1">
        <v>26939</v>
      </c>
      <c r="G1386" s="1" t="str">
        <f>VLOOKUP(H1386,Table7[#All], 2, FALSE)</f>
        <v>Massachusetts</v>
      </c>
      <c r="H1386" s="2" t="s">
        <v>14</v>
      </c>
      <c r="I1386" s="2" t="s">
        <v>22</v>
      </c>
      <c r="J1386" s="2" t="s">
        <v>34</v>
      </c>
      <c r="K1386" s="2" t="s">
        <v>24</v>
      </c>
      <c r="L1386" s="2" t="s">
        <v>9</v>
      </c>
      <c r="M1386" s="2" t="s">
        <v>25</v>
      </c>
      <c r="N1386" s="2" t="s">
        <v>26</v>
      </c>
      <c r="O1386" s="2" t="s">
        <v>27</v>
      </c>
      <c r="P1386" s="2" t="s">
        <v>32</v>
      </c>
      <c r="Q1386" s="2" t="s">
        <v>46</v>
      </c>
      <c r="R1386" s="2" t="s">
        <v>18</v>
      </c>
      <c r="S1386">
        <v>3</v>
      </c>
    </row>
    <row r="1387" spans="1:19" x14ac:dyDescent="0.3">
      <c r="A1387">
        <v>2711</v>
      </c>
      <c r="B1387">
        <f>YEAR(Cleaned_HR_Data_Analysis__2[[#This Row],[Joining_Date]])</f>
        <v>2021</v>
      </c>
      <c r="C1387" s="1">
        <v>44427</v>
      </c>
      <c r="D1387" s="1" t="str" cm="1">
        <f t="array" ref="D1387">_xlfn.IFS(E1387&lt;28, "17-27",
AND(E1387&gt;27, E1387&lt;38), "28-37",
AND(E1387&gt;37, E1387 &lt;48), "38-47",
AND(E1387&gt;47, E1387 &lt;58), "48-57",
AND(E1387&gt;57, E1387&lt;68), "58-67",
AND(E1387&gt;67, E1387&lt;78), "68-77",
E1387&gt;77,"Above than 77")</f>
        <v>48-57</v>
      </c>
      <c r="E1387">
        <v>48</v>
      </c>
      <c r="F1387" s="1">
        <v>26824</v>
      </c>
      <c r="G1387" s="1" t="str">
        <f>VLOOKUP(H1387,Table7[#All], 2, FALSE)</f>
        <v>Idaho</v>
      </c>
      <c r="H1387" s="2" t="s">
        <v>111</v>
      </c>
      <c r="I1387" s="2" t="s">
        <v>22</v>
      </c>
      <c r="J1387" s="2" t="s">
        <v>40</v>
      </c>
      <c r="K1387" s="2" t="s">
        <v>24</v>
      </c>
      <c r="L1387" s="2" t="s">
        <v>9</v>
      </c>
      <c r="M1387" s="2" t="s">
        <v>10</v>
      </c>
      <c r="N1387" s="2" t="s">
        <v>11</v>
      </c>
      <c r="O1387" s="2" t="s">
        <v>27</v>
      </c>
      <c r="P1387" s="2" t="s">
        <v>35</v>
      </c>
      <c r="Q1387" s="2" t="s">
        <v>37</v>
      </c>
      <c r="R1387" s="2" t="s">
        <v>18</v>
      </c>
      <c r="S1387">
        <v>2</v>
      </c>
    </row>
    <row r="1388" spans="1:19" x14ac:dyDescent="0.3">
      <c r="A1388">
        <v>2629</v>
      </c>
      <c r="B1388">
        <f>YEAR(Cleaned_HR_Data_Analysis__2[[#This Row],[Joining_Date]])</f>
        <v>2023</v>
      </c>
      <c r="C1388" s="1">
        <v>45004</v>
      </c>
      <c r="D1388" s="1" t="str" cm="1">
        <f t="array" ref="D1388">_xlfn.IFS(E1388&lt;28, "17-27",
AND(E1388&gt;27, E1388&lt;38), "28-37",
AND(E1388&gt;37, E1388 &lt;48), "38-47",
AND(E1388&gt;47, E1388 &lt;58), "48-57",
AND(E1388&gt;57, E1388&lt;68), "58-67",
AND(E1388&gt;67, E1388&lt;78), "68-77",
E1388&gt;77,"Above than 77")</f>
        <v>48-57</v>
      </c>
      <c r="E1388">
        <v>48</v>
      </c>
      <c r="F1388" s="1">
        <v>27429</v>
      </c>
      <c r="G1388" s="1" t="str">
        <f>VLOOKUP(H1388,Table7[#All], 2, FALSE)</f>
        <v>Idaho</v>
      </c>
      <c r="H1388" s="2" t="s">
        <v>111</v>
      </c>
      <c r="I1388" s="2" t="s">
        <v>22</v>
      </c>
      <c r="J1388" s="2" t="s">
        <v>31</v>
      </c>
      <c r="K1388" s="2" t="s">
        <v>24</v>
      </c>
      <c r="L1388" s="2" t="s">
        <v>9</v>
      </c>
      <c r="M1388" s="2" t="s">
        <v>10</v>
      </c>
      <c r="N1388" s="2" t="s">
        <v>26</v>
      </c>
      <c r="O1388" s="2" t="s">
        <v>27</v>
      </c>
      <c r="P1388" s="2" t="s">
        <v>69</v>
      </c>
      <c r="Q1388" s="2" t="s">
        <v>16</v>
      </c>
      <c r="R1388" s="2" t="s">
        <v>18</v>
      </c>
      <c r="S1388">
        <v>5</v>
      </c>
    </row>
    <row r="1389" spans="1:19" x14ac:dyDescent="0.3">
      <c r="A1389">
        <v>3507</v>
      </c>
      <c r="B1389">
        <f>YEAR(Cleaned_HR_Data_Analysis__2[[#This Row],[Joining_Date]])</f>
        <v>2021</v>
      </c>
      <c r="C1389" s="1">
        <v>44252</v>
      </c>
      <c r="D1389" s="1" t="str" cm="1">
        <f t="array" ref="D1389">_xlfn.IFS(E1389&lt;28, "17-27",
AND(E1389&gt;27, E1389&lt;38), "28-37",
AND(E1389&gt;37, E1389 &lt;48), "38-47",
AND(E1389&gt;47, E1389 &lt;58), "48-57",
AND(E1389&gt;57, E1389&lt;68), "58-67",
AND(E1389&gt;67, E1389&lt;78), "68-77",
E1389&gt;77,"Above than 77")</f>
        <v>48-57</v>
      </c>
      <c r="E1389">
        <v>48</v>
      </c>
      <c r="F1389" s="1">
        <v>26747</v>
      </c>
      <c r="G1389" s="1" t="str">
        <f>VLOOKUP(H1389,Table7[#All], 2, FALSE)</f>
        <v>California</v>
      </c>
      <c r="H1389" s="2" t="s">
        <v>39</v>
      </c>
      <c r="I1389" s="2" t="s">
        <v>22</v>
      </c>
      <c r="J1389" s="2" t="s">
        <v>31</v>
      </c>
      <c r="K1389" s="2" t="s">
        <v>24</v>
      </c>
      <c r="L1389" s="2" t="s">
        <v>9</v>
      </c>
      <c r="M1389" s="2" t="s">
        <v>25</v>
      </c>
      <c r="N1389" s="2" t="s">
        <v>19</v>
      </c>
      <c r="O1389" s="2" t="s">
        <v>27</v>
      </c>
      <c r="P1389" s="2" t="s">
        <v>54</v>
      </c>
      <c r="Q1389" s="2" t="s">
        <v>16</v>
      </c>
      <c r="R1389" s="2" t="s">
        <v>18</v>
      </c>
      <c r="S1389">
        <v>5</v>
      </c>
    </row>
    <row r="1390" spans="1:19" x14ac:dyDescent="0.3">
      <c r="A1390">
        <v>3991</v>
      </c>
      <c r="B1390">
        <f>YEAR(Cleaned_HR_Data_Analysis__2[[#This Row],[Joining_Date]])</f>
        <v>2023</v>
      </c>
      <c r="C1390" s="1">
        <v>45026</v>
      </c>
      <c r="D1390" s="1" t="str" cm="1">
        <f t="array" ref="D1390">_xlfn.IFS(E1390&lt;28, "17-27",
AND(E1390&gt;27, E1390&lt;38), "28-37",
AND(E1390&gt;37, E1390 &lt;48), "38-47",
AND(E1390&gt;47, E1390 &lt;58), "48-57",
AND(E1390&gt;57, E1390&lt;68), "58-67",
AND(E1390&gt;67, E1390&lt;78), "68-77",
E1390&gt;77,"Above than 77")</f>
        <v>48-57</v>
      </c>
      <c r="E1390">
        <v>49</v>
      </c>
      <c r="F1390" s="1">
        <v>27097</v>
      </c>
      <c r="G1390" s="1" t="str">
        <f>VLOOKUP(H1390,Table7[#All], 2, FALSE)</f>
        <v>Massachusetts</v>
      </c>
      <c r="H1390" s="2" t="s">
        <v>14</v>
      </c>
      <c r="I1390" s="2" t="s">
        <v>22</v>
      </c>
      <c r="J1390" s="2" t="s">
        <v>31</v>
      </c>
      <c r="K1390" s="2" t="s">
        <v>84</v>
      </c>
      <c r="L1390" s="2" t="s">
        <v>9</v>
      </c>
      <c r="M1390" s="2" t="s">
        <v>10</v>
      </c>
      <c r="N1390" s="2" t="s">
        <v>26</v>
      </c>
      <c r="O1390" s="2" t="s">
        <v>53</v>
      </c>
      <c r="P1390" s="2" t="s">
        <v>54</v>
      </c>
      <c r="Q1390" s="2" t="s">
        <v>37</v>
      </c>
      <c r="R1390" s="2" t="s">
        <v>18</v>
      </c>
      <c r="S1390">
        <v>3</v>
      </c>
    </row>
    <row r="1391" spans="1:19" x14ac:dyDescent="0.3">
      <c r="A1391">
        <v>2541</v>
      </c>
      <c r="B1391">
        <f>YEAR(Cleaned_HR_Data_Analysis__2[[#This Row],[Joining_Date]])</f>
        <v>2022</v>
      </c>
      <c r="C1391" s="1">
        <v>44773</v>
      </c>
      <c r="D1391" s="1" t="str" cm="1">
        <f t="array" ref="D1391">_xlfn.IFS(E1391&lt;28, "17-27",
AND(E1391&gt;27, E1391&lt;38), "28-37",
AND(E1391&gt;37, E1391 &lt;48), "38-47",
AND(E1391&gt;47, E1391 &lt;58), "48-57",
AND(E1391&gt;57, E1391&lt;68), "58-67",
AND(E1391&gt;67, E1391&lt;78), "68-77",
E1391&gt;77,"Above than 77")</f>
        <v>48-57</v>
      </c>
      <c r="E1391">
        <v>49</v>
      </c>
      <c r="F1391" s="1">
        <v>26673</v>
      </c>
      <c r="G1391" s="1" t="str">
        <f>VLOOKUP(H1391,Table7[#All], 2, FALSE)</f>
        <v>Massachusetts</v>
      </c>
      <c r="H1391" s="2" t="s">
        <v>14</v>
      </c>
      <c r="I1391" s="2" t="s">
        <v>15</v>
      </c>
      <c r="J1391" s="2" t="s">
        <v>34</v>
      </c>
      <c r="K1391" s="2" t="s">
        <v>86</v>
      </c>
      <c r="L1391" s="2" t="s">
        <v>9</v>
      </c>
      <c r="M1391" s="2" t="s">
        <v>25</v>
      </c>
      <c r="N1391" s="2" t="s">
        <v>26</v>
      </c>
      <c r="O1391" s="2" t="s">
        <v>87</v>
      </c>
      <c r="P1391" s="2" t="s">
        <v>42</v>
      </c>
      <c r="Q1391" s="2" t="s">
        <v>30</v>
      </c>
      <c r="R1391" s="2" t="s">
        <v>18</v>
      </c>
      <c r="S1391">
        <v>4</v>
      </c>
    </row>
    <row r="1392" spans="1:19" x14ac:dyDescent="0.3">
      <c r="A1392">
        <v>1086</v>
      </c>
      <c r="B1392">
        <f>YEAR(Cleaned_HR_Data_Analysis__2[[#This Row],[Joining_Date]])</f>
        <v>2022</v>
      </c>
      <c r="C1392" s="1">
        <v>44785</v>
      </c>
      <c r="D1392" s="1" t="str" cm="1">
        <f t="array" ref="D1392">_xlfn.IFS(E1392&lt;28, "17-27",
AND(E1392&gt;27, E1392&lt;38), "28-37",
AND(E1392&gt;37, E1392 &lt;48), "38-47",
AND(E1392&gt;47, E1392 &lt;58), "48-57",
AND(E1392&gt;57, E1392&lt;68), "58-67",
AND(E1392&gt;67, E1392&lt;78), "68-77",
E1392&gt;77,"Above than 77")</f>
        <v>48-57</v>
      </c>
      <c r="E1392">
        <v>49</v>
      </c>
      <c r="F1392" s="1">
        <v>26875</v>
      </c>
      <c r="G1392" s="1" t="str">
        <f>VLOOKUP(H1392,Table7[#All], 2, FALSE)</f>
        <v>Massachusetts</v>
      </c>
      <c r="H1392" s="2" t="s">
        <v>14</v>
      </c>
      <c r="I1392" s="2" t="s">
        <v>15</v>
      </c>
      <c r="J1392" s="2" t="s">
        <v>31</v>
      </c>
      <c r="K1392" s="2" t="s">
        <v>86</v>
      </c>
      <c r="L1392" s="2" t="s">
        <v>9</v>
      </c>
      <c r="M1392" s="2" t="s">
        <v>10</v>
      </c>
      <c r="N1392" s="2" t="s">
        <v>19</v>
      </c>
      <c r="O1392" s="2" t="s">
        <v>87</v>
      </c>
      <c r="P1392" s="2" t="s">
        <v>35</v>
      </c>
      <c r="Q1392" s="2" t="s">
        <v>37</v>
      </c>
      <c r="R1392" s="2" t="s">
        <v>18</v>
      </c>
      <c r="S1392">
        <v>1</v>
      </c>
    </row>
    <row r="1393" spans="1:19" x14ac:dyDescent="0.3">
      <c r="A1393">
        <v>1059</v>
      </c>
      <c r="B1393">
        <f>YEAR(Cleaned_HR_Data_Analysis__2[[#This Row],[Joining_Date]])</f>
        <v>2023</v>
      </c>
      <c r="C1393" s="1">
        <v>45045</v>
      </c>
      <c r="D1393" s="1" t="str" cm="1">
        <f t="array" ref="D1393">_xlfn.IFS(E1393&lt;28, "17-27",
AND(E1393&gt;27, E1393&lt;38), "28-37",
AND(E1393&gt;37, E1393 &lt;48), "38-47",
AND(E1393&gt;47, E1393 &lt;58), "48-57",
AND(E1393&gt;57, E1393&lt;68), "58-67",
AND(E1393&gt;67, E1393&lt;78), "68-77",
E1393&gt;77,"Above than 77")</f>
        <v>48-57</v>
      </c>
      <c r="E1393">
        <v>49</v>
      </c>
      <c r="F1393" s="1">
        <v>27172</v>
      </c>
      <c r="G1393" s="1" t="str">
        <f>VLOOKUP(H1393,Table7[#All], 2, FALSE)</f>
        <v>Massachusetts</v>
      </c>
      <c r="H1393" s="2" t="s">
        <v>14</v>
      </c>
      <c r="I1393" s="2" t="s">
        <v>15</v>
      </c>
      <c r="J1393" s="2" t="s">
        <v>17</v>
      </c>
      <c r="K1393" s="2" t="s">
        <v>86</v>
      </c>
      <c r="L1393" s="2" t="s">
        <v>9</v>
      </c>
      <c r="M1393" s="2" t="s">
        <v>20</v>
      </c>
      <c r="N1393" s="2" t="s">
        <v>11</v>
      </c>
      <c r="O1393" s="2" t="s">
        <v>87</v>
      </c>
      <c r="P1393" s="2" t="s">
        <v>42</v>
      </c>
      <c r="Q1393" s="2" t="s">
        <v>46</v>
      </c>
      <c r="R1393" s="2" t="s">
        <v>18</v>
      </c>
      <c r="S1393">
        <v>3</v>
      </c>
    </row>
    <row r="1394" spans="1:19" x14ac:dyDescent="0.3">
      <c r="A1394">
        <v>1031</v>
      </c>
      <c r="B1394">
        <f>YEAR(Cleaned_HR_Data_Analysis__2[[#This Row],[Joining_Date]])</f>
        <v>2021</v>
      </c>
      <c r="C1394" s="1">
        <v>44314</v>
      </c>
      <c r="D1394" s="1" t="str" cm="1">
        <f t="array" ref="D1394">_xlfn.IFS(E1394&lt;28, "17-27",
AND(E1394&gt;27, E1394&lt;38), "28-37",
AND(E1394&gt;37, E1394 &lt;48), "38-47",
AND(E1394&gt;47, E1394 &lt;58), "48-57",
AND(E1394&gt;57, E1394&lt;68), "58-67",
AND(E1394&gt;67, E1394&lt;78), "68-77",
E1394&gt;77,"Above than 77")</f>
        <v>48-57</v>
      </c>
      <c r="E1394">
        <v>49</v>
      </c>
      <c r="F1394" s="1">
        <v>26601</v>
      </c>
      <c r="G1394" s="1" t="str">
        <f>VLOOKUP(H1394,Table7[#All], 2, FALSE)</f>
        <v>Massachusetts</v>
      </c>
      <c r="H1394" s="2" t="s">
        <v>14</v>
      </c>
      <c r="I1394" s="2" t="s">
        <v>22</v>
      </c>
      <c r="J1394" s="2" t="s">
        <v>17</v>
      </c>
      <c r="K1394" s="2" t="s">
        <v>86</v>
      </c>
      <c r="L1394" s="2" t="s">
        <v>9</v>
      </c>
      <c r="M1394" s="2" t="s">
        <v>20</v>
      </c>
      <c r="N1394" s="2" t="s">
        <v>26</v>
      </c>
      <c r="O1394" s="2" t="s">
        <v>87</v>
      </c>
      <c r="P1394" s="2" t="s">
        <v>32</v>
      </c>
      <c r="Q1394" s="2" t="s">
        <v>16</v>
      </c>
      <c r="R1394" s="2" t="s">
        <v>18</v>
      </c>
      <c r="S1394">
        <v>3</v>
      </c>
    </row>
    <row r="1395" spans="1:19" x14ac:dyDescent="0.3">
      <c r="A1395">
        <v>1681</v>
      </c>
      <c r="B1395">
        <f>YEAR(Cleaned_HR_Data_Analysis__2[[#This Row],[Joining_Date]])</f>
        <v>2023</v>
      </c>
      <c r="C1395" s="1">
        <v>44990</v>
      </c>
      <c r="D1395" s="1" t="str" cm="1">
        <f t="array" ref="D1395">_xlfn.IFS(E1395&lt;28, "17-27",
AND(E1395&gt;27, E1395&lt;38), "28-37",
AND(E1395&gt;37, E1395 &lt;48), "38-47",
AND(E1395&gt;47, E1395 &lt;58), "48-57",
AND(E1395&gt;57, E1395&lt;68), "58-67",
AND(E1395&gt;67, E1395&lt;78), "68-77",
E1395&gt;77,"Above than 77")</f>
        <v>48-57</v>
      </c>
      <c r="E1395">
        <v>49</v>
      </c>
      <c r="F1395" s="1">
        <v>27312</v>
      </c>
      <c r="G1395" s="1" t="str">
        <f>VLOOKUP(H1395,Table7[#All], 2, FALSE)</f>
        <v>Massachusetts</v>
      </c>
      <c r="H1395" s="2" t="s">
        <v>14</v>
      </c>
      <c r="I1395" s="2" t="s">
        <v>15</v>
      </c>
      <c r="J1395" s="2" t="s">
        <v>40</v>
      </c>
      <c r="K1395" s="2" t="s">
        <v>98</v>
      </c>
      <c r="L1395" s="2" t="s">
        <v>9</v>
      </c>
      <c r="M1395" s="2" t="s">
        <v>10</v>
      </c>
      <c r="N1395" s="2" t="s">
        <v>26</v>
      </c>
      <c r="O1395" s="2" t="s">
        <v>53</v>
      </c>
      <c r="P1395" s="2" t="s">
        <v>42</v>
      </c>
      <c r="Q1395" s="2" t="s">
        <v>16</v>
      </c>
      <c r="R1395" s="2" t="s">
        <v>18</v>
      </c>
      <c r="S1395">
        <v>3</v>
      </c>
    </row>
    <row r="1396" spans="1:19" x14ac:dyDescent="0.3">
      <c r="A1396">
        <v>3673</v>
      </c>
      <c r="B1396">
        <f>YEAR(Cleaned_HR_Data_Analysis__2[[#This Row],[Joining_Date]])</f>
        <v>2022</v>
      </c>
      <c r="C1396" s="1">
        <v>44723</v>
      </c>
      <c r="D1396" s="1" t="str" cm="1">
        <f t="array" ref="D1396">_xlfn.IFS(E1396&lt;28, "17-27",
AND(E1396&gt;27, E1396&lt;38), "28-37",
AND(E1396&gt;37, E1396 &lt;48), "38-47",
AND(E1396&gt;47, E1396 &lt;58), "48-57",
AND(E1396&gt;57, E1396&lt;68), "58-67",
AND(E1396&gt;67, E1396&lt;78), "68-77",
E1396&gt;77,"Above than 77")</f>
        <v>48-57</v>
      </c>
      <c r="E1396">
        <v>49</v>
      </c>
      <c r="F1396" s="1">
        <v>26714</v>
      </c>
      <c r="G1396" s="1" t="str">
        <f>VLOOKUP(H1396,Table7[#All], 2, FALSE)</f>
        <v>Massachusetts</v>
      </c>
      <c r="H1396" s="2" t="s">
        <v>14</v>
      </c>
      <c r="I1396" s="2" t="s">
        <v>15</v>
      </c>
      <c r="J1396" s="2" t="s">
        <v>17</v>
      </c>
      <c r="K1396" s="2" t="s">
        <v>64</v>
      </c>
      <c r="L1396" s="2" t="s">
        <v>66</v>
      </c>
      <c r="M1396" s="2" t="s">
        <v>25</v>
      </c>
      <c r="N1396" s="2" t="s">
        <v>26</v>
      </c>
      <c r="O1396" s="2" t="s">
        <v>12</v>
      </c>
      <c r="P1396" s="2" t="s">
        <v>62</v>
      </c>
      <c r="Q1396" s="2" t="s">
        <v>30</v>
      </c>
      <c r="R1396" s="2" t="s">
        <v>18</v>
      </c>
      <c r="S1396">
        <v>3</v>
      </c>
    </row>
    <row r="1397" spans="1:19" x14ac:dyDescent="0.3">
      <c r="A1397">
        <v>3051</v>
      </c>
      <c r="B1397">
        <f>YEAR(Cleaned_HR_Data_Analysis__2[[#This Row],[Joining_Date]])</f>
        <v>2021</v>
      </c>
      <c r="C1397" s="1">
        <v>44435</v>
      </c>
      <c r="D1397" s="1" t="str" cm="1">
        <f t="array" ref="D1397">_xlfn.IFS(E1397&lt;28, "17-27",
AND(E1397&gt;27, E1397&lt;38), "28-37",
AND(E1397&gt;37, E1397 &lt;48), "38-47",
AND(E1397&gt;47, E1397 &lt;58), "48-57",
AND(E1397&gt;57, E1397&lt;68), "58-67",
AND(E1397&gt;67, E1397&lt;78), "68-77",
E1397&gt;77,"Above than 77")</f>
        <v>48-57</v>
      </c>
      <c r="E1397">
        <v>49</v>
      </c>
      <c r="F1397" s="1">
        <v>26342</v>
      </c>
      <c r="G1397" s="1" t="str">
        <f>VLOOKUP(H1397,Table7[#All], 2, FALSE)</f>
        <v>Massachusetts</v>
      </c>
      <c r="H1397" s="2" t="s">
        <v>14</v>
      </c>
      <c r="I1397" s="2" t="s">
        <v>15</v>
      </c>
      <c r="J1397" s="2" t="s">
        <v>17</v>
      </c>
      <c r="K1397" s="2" t="s">
        <v>64</v>
      </c>
      <c r="L1397" s="2" t="s">
        <v>66</v>
      </c>
      <c r="M1397" s="2" t="s">
        <v>10</v>
      </c>
      <c r="N1397" s="2" t="s">
        <v>26</v>
      </c>
      <c r="O1397" s="2" t="s">
        <v>12</v>
      </c>
      <c r="P1397" s="2" t="s">
        <v>69</v>
      </c>
      <c r="Q1397" s="2" t="s">
        <v>46</v>
      </c>
      <c r="R1397" s="2" t="s">
        <v>18</v>
      </c>
      <c r="S1397">
        <v>5</v>
      </c>
    </row>
    <row r="1398" spans="1:19" x14ac:dyDescent="0.3">
      <c r="A1398">
        <v>2928</v>
      </c>
      <c r="B1398">
        <f>YEAR(Cleaned_HR_Data_Analysis__2[[#This Row],[Joining_Date]])</f>
        <v>2021</v>
      </c>
      <c r="C1398" s="1">
        <v>44206</v>
      </c>
      <c r="D1398" s="1" t="str" cm="1">
        <f t="array" ref="D1398">_xlfn.IFS(E1398&lt;28, "17-27",
AND(E1398&gt;27, E1398&lt;38), "28-37",
AND(E1398&gt;37, E1398 &lt;48), "38-47",
AND(E1398&gt;47, E1398 &lt;58), "48-57",
AND(E1398&gt;57, E1398&lt;68), "58-67",
AND(E1398&gt;67, E1398&lt;78), "68-77",
E1398&gt;77,"Above than 77")</f>
        <v>48-57</v>
      </c>
      <c r="E1398">
        <v>49</v>
      </c>
      <c r="F1398" s="1">
        <v>26401</v>
      </c>
      <c r="G1398" s="1" t="str">
        <f>VLOOKUP(H1398,Table7[#All], 2, FALSE)</f>
        <v>Massachusetts</v>
      </c>
      <c r="H1398" s="2" t="s">
        <v>14</v>
      </c>
      <c r="I1398" s="2" t="s">
        <v>15</v>
      </c>
      <c r="J1398" s="2" t="s">
        <v>40</v>
      </c>
      <c r="K1398" s="2" t="s">
        <v>64</v>
      </c>
      <c r="L1398" s="2" t="s">
        <v>9</v>
      </c>
      <c r="M1398" s="2" t="s">
        <v>25</v>
      </c>
      <c r="N1398" s="2" t="s">
        <v>26</v>
      </c>
      <c r="O1398" s="2" t="s">
        <v>12</v>
      </c>
      <c r="P1398" s="2" t="s">
        <v>32</v>
      </c>
      <c r="Q1398" s="2" t="s">
        <v>23</v>
      </c>
      <c r="R1398" s="2" t="s">
        <v>18</v>
      </c>
      <c r="S1398">
        <v>4</v>
      </c>
    </row>
    <row r="1399" spans="1:19" x14ac:dyDescent="0.3">
      <c r="A1399">
        <v>2905</v>
      </c>
      <c r="B1399">
        <f>YEAR(Cleaned_HR_Data_Analysis__2[[#This Row],[Joining_Date]])</f>
        <v>2022</v>
      </c>
      <c r="C1399" s="1">
        <v>44848</v>
      </c>
      <c r="D1399" s="1" t="str" cm="1">
        <f t="array" ref="D1399">_xlfn.IFS(E1399&lt;28, "17-27",
AND(E1399&gt;27, E1399&lt;38), "28-37",
AND(E1399&gt;37, E1399 &lt;48), "38-47",
AND(E1399&gt;47, E1399 &lt;58), "48-57",
AND(E1399&gt;57, E1399&lt;68), "58-67",
AND(E1399&gt;67, E1399&lt;78), "68-77",
E1399&gt;77,"Above than 77")</f>
        <v>48-57</v>
      </c>
      <c r="E1399">
        <v>49</v>
      </c>
      <c r="F1399" s="1">
        <v>27003</v>
      </c>
      <c r="G1399" s="1" t="str">
        <f>VLOOKUP(H1399,Table7[#All], 2, FALSE)</f>
        <v>Massachusetts</v>
      </c>
      <c r="H1399" s="2" t="s">
        <v>14</v>
      </c>
      <c r="I1399" s="2" t="s">
        <v>22</v>
      </c>
      <c r="J1399" s="2" t="s">
        <v>40</v>
      </c>
      <c r="K1399" s="2" t="s">
        <v>64</v>
      </c>
      <c r="L1399" s="2" t="s">
        <v>9</v>
      </c>
      <c r="M1399" s="2" t="s">
        <v>25</v>
      </c>
      <c r="N1399" s="2" t="s">
        <v>11</v>
      </c>
      <c r="O1399" s="2" t="s">
        <v>12</v>
      </c>
      <c r="P1399" s="2" t="s">
        <v>63</v>
      </c>
      <c r="Q1399" s="2" t="s">
        <v>46</v>
      </c>
      <c r="R1399" s="2" t="s">
        <v>18</v>
      </c>
      <c r="S1399">
        <v>5</v>
      </c>
    </row>
    <row r="1400" spans="1:19" x14ac:dyDescent="0.3">
      <c r="A1400">
        <v>1856</v>
      </c>
      <c r="B1400">
        <f>YEAR(Cleaned_HR_Data_Analysis__2[[#This Row],[Joining_Date]])</f>
        <v>2021</v>
      </c>
      <c r="C1400" s="1">
        <v>44410</v>
      </c>
      <c r="D1400" s="1" t="str" cm="1">
        <f t="array" ref="D1400">_xlfn.IFS(E1400&lt;28, "17-27",
AND(E1400&gt;27, E1400&lt;38), "28-37",
AND(E1400&gt;37, E1400 &lt;48), "38-47",
AND(E1400&gt;47, E1400 &lt;58), "48-57",
AND(E1400&gt;57, E1400&lt;68), "58-67",
AND(E1400&gt;67, E1400&lt;78), "68-77",
E1400&gt;77,"Above than 77")</f>
        <v>48-57</v>
      </c>
      <c r="E1400">
        <v>49</v>
      </c>
      <c r="F1400" s="1">
        <v>26561</v>
      </c>
      <c r="G1400" s="1" t="str">
        <f>VLOOKUP(H1400,Table7[#All], 2, FALSE)</f>
        <v>Massachusetts</v>
      </c>
      <c r="H1400" s="2" t="s">
        <v>14</v>
      </c>
      <c r="I1400" s="2" t="s">
        <v>15</v>
      </c>
      <c r="J1400" s="2" t="s">
        <v>17</v>
      </c>
      <c r="K1400" s="2" t="s">
        <v>64</v>
      </c>
      <c r="L1400" s="2" t="s">
        <v>9</v>
      </c>
      <c r="M1400" s="2" t="s">
        <v>25</v>
      </c>
      <c r="N1400" s="2" t="s">
        <v>19</v>
      </c>
      <c r="O1400" s="2" t="s">
        <v>12</v>
      </c>
      <c r="P1400" s="2" t="s">
        <v>35</v>
      </c>
      <c r="Q1400" s="2" t="s">
        <v>37</v>
      </c>
      <c r="R1400" s="2" t="s">
        <v>41</v>
      </c>
      <c r="S1400">
        <v>3</v>
      </c>
    </row>
    <row r="1401" spans="1:19" x14ac:dyDescent="0.3">
      <c r="A1401">
        <v>1472</v>
      </c>
      <c r="B1401">
        <f>YEAR(Cleaned_HR_Data_Analysis__2[[#This Row],[Joining_Date]])</f>
        <v>2021</v>
      </c>
      <c r="C1401" s="1">
        <v>44439</v>
      </c>
      <c r="D1401" s="1" t="str" cm="1">
        <f t="array" ref="D1401">_xlfn.IFS(E1401&lt;28, "17-27",
AND(E1401&gt;27, E1401&lt;38), "28-37",
AND(E1401&gt;37, E1401 &lt;48), "38-47",
AND(E1401&gt;47, E1401 &lt;58), "48-57",
AND(E1401&gt;57, E1401&lt;68), "58-67",
AND(E1401&gt;67, E1401&lt;78), "68-77",
E1401&gt;77,"Above than 77")</f>
        <v>48-57</v>
      </c>
      <c r="E1401">
        <v>49</v>
      </c>
      <c r="F1401" s="1">
        <v>26403</v>
      </c>
      <c r="G1401" s="1" t="str">
        <f>VLOOKUP(H1401,Table7[#All], 2, FALSE)</f>
        <v>Massachusetts</v>
      </c>
      <c r="H1401" s="2" t="s">
        <v>14</v>
      </c>
      <c r="I1401" s="2" t="s">
        <v>22</v>
      </c>
      <c r="J1401" s="2" t="s">
        <v>31</v>
      </c>
      <c r="K1401" s="2" t="s">
        <v>64</v>
      </c>
      <c r="L1401" s="2" t="s">
        <v>9</v>
      </c>
      <c r="M1401" s="2" t="s">
        <v>10</v>
      </c>
      <c r="N1401" s="2" t="s">
        <v>11</v>
      </c>
      <c r="O1401" s="2" t="s">
        <v>12</v>
      </c>
      <c r="P1401" s="2" t="s">
        <v>54</v>
      </c>
      <c r="Q1401" s="2" t="s">
        <v>30</v>
      </c>
      <c r="R1401" s="2" t="s">
        <v>41</v>
      </c>
      <c r="S1401">
        <v>4</v>
      </c>
    </row>
    <row r="1402" spans="1:19" x14ac:dyDescent="0.3">
      <c r="A1402">
        <v>3751</v>
      </c>
      <c r="B1402">
        <f>YEAR(Cleaned_HR_Data_Analysis__2[[#This Row],[Joining_Date]])</f>
        <v>2021</v>
      </c>
      <c r="C1402" s="1">
        <v>44484</v>
      </c>
      <c r="D1402" s="1" t="str" cm="1">
        <f t="array" ref="D1402">_xlfn.IFS(E1402&lt;28, "17-27",
AND(E1402&gt;27, E1402&lt;38), "28-37",
AND(E1402&gt;37, E1402 &lt;48), "38-47",
AND(E1402&gt;47, E1402 &lt;58), "48-57",
AND(E1402&gt;57, E1402&lt;68), "58-67",
AND(E1402&gt;67, E1402&lt;78), "68-77",
E1402&gt;77,"Above than 77")</f>
        <v>48-57</v>
      </c>
      <c r="E1402">
        <v>49</v>
      </c>
      <c r="F1402" s="1">
        <v>26657</v>
      </c>
      <c r="G1402" s="1" t="str">
        <f>VLOOKUP(H1402,Table7[#All], 2, FALSE)</f>
        <v>Massachusetts</v>
      </c>
      <c r="H1402" s="2" t="s">
        <v>14</v>
      </c>
      <c r="I1402" s="2" t="s">
        <v>22</v>
      </c>
      <c r="J1402" s="2" t="s">
        <v>31</v>
      </c>
      <c r="K1402" s="2" t="s">
        <v>8</v>
      </c>
      <c r="L1402" s="2" t="s">
        <v>9</v>
      </c>
      <c r="M1402" s="2" t="s">
        <v>10</v>
      </c>
      <c r="N1402" s="2" t="s">
        <v>19</v>
      </c>
      <c r="O1402" s="2" t="s">
        <v>12</v>
      </c>
      <c r="P1402" s="2" t="s">
        <v>21</v>
      </c>
      <c r="Q1402" s="2" t="s">
        <v>30</v>
      </c>
      <c r="R1402" s="2" t="s">
        <v>18</v>
      </c>
      <c r="S1402">
        <v>1</v>
      </c>
    </row>
    <row r="1403" spans="1:19" x14ac:dyDescent="0.3">
      <c r="A1403">
        <v>3568</v>
      </c>
      <c r="B1403">
        <f>YEAR(Cleaned_HR_Data_Analysis__2[[#This Row],[Joining_Date]])</f>
        <v>2023</v>
      </c>
      <c r="C1403" s="1">
        <v>45118</v>
      </c>
      <c r="D1403" s="1" t="str" cm="1">
        <f t="array" ref="D1403">_xlfn.IFS(E1403&lt;28, "17-27",
AND(E1403&gt;27, E1403&lt;38), "28-37",
AND(E1403&gt;37, E1403 &lt;48), "38-47",
AND(E1403&gt;47, E1403 &lt;58), "48-57",
AND(E1403&gt;57, E1403&lt;68), "58-67",
AND(E1403&gt;67, E1403&lt;78), "68-77",
E1403&gt;77,"Above than 77")</f>
        <v>48-57</v>
      </c>
      <c r="E1403">
        <v>49</v>
      </c>
      <c r="F1403" s="1">
        <v>27371</v>
      </c>
      <c r="G1403" s="1" t="str">
        <f>VLOOKUP(H1403,Table7[#All], 2, FALSE)</f>
        <v>Massachusetts</v>
      </c>
      <c r="H1403" s="2" t="s">
        <v>14</v>
      </c>
      <c r="I1403" s="2" t="s">
        <v>22</v>
      </c>
      <c r="J1403" s="2" t="s">
        <v>40</v>
      </c>
      <c r="K1403" s="2" t="s">
        <v>8</v>
      </c>
      <c r="L1403" s="2" t="s">
        <v>66</v>
      </c>
      <c r="M1403" s="2" t="s">
        <v>25</v>
      </c>
      <c r="N1403" s="2" t="s">
        <v>26</v>
      </c>
      <c r="O1403" s="2" t="s">
        <v>12</v>
      </c>
      <c r="P1403" s="2" t="s">
        <v>35</v>
      </c>
      <c r="Q1403" s="2" t="s">
        <v>46</v>
      </c>
      <c r="R1403" s="2" t="s">
        <v>18</v>
      </c>
      <c r="S1403">
        <v>4</v>
      </c>
    </row>
    <row r="1404" spans="1:19" x14ac:dyDescent="0.3">
      <c r="A1404">
        <v>3350</v>
      </c>
      <c r="B1404">
        <f>YEAR(Cleaned_HR_Data_Analysis__2[[#This Row],[Joining_Date]])</f>
        <v>2022</v>
      </c>
      <c r="C1404" s="1">
        <v>44885</v>
      </c>
      <c r="D1404" s="1" t="str" cm="1">
        <f t="array" ref="D1404">_xlfn.IFS(E1404&lt;28, "17-27",
AND(E1404&gt;27, E1404&lt;38), "28-37",
AND(E1404&gt;37, E1404 &lt;48), "38-47",
AND(E1404&gt;47, E1404 &lt;58), "48-57",
AND(E1404&gt;57, E1404&lt;68), "58-67",
AND(E1404&gt;67, E1404&lt;78), "68-77",
E1404&gt;77,"Above than 77")</f>
        <v>48-57</v>
      </c>
      <c r="E1404">
        <v>49</v>
      </c>
      <c r="F1404" s="1">
        <v>26671</v>
      </c>
      <c r="G1404" s="1" t="str">
        <f>VLOOKUP(H1404,Table7[#All], 2, FALSE)</f>
        <v>Massachusetts</v>
      </c>
      <c r="H1404" s="2" t="s">
        <v>14</v>
      </c>
      <c r="I1404" s="2" t="s">
        <v>15</v>
      </c>
      <c r="J1404" s="2" t="s">
        <v>40</v>
      </c>
      <c r="K1404" s="2" t="s">
        <v>8</v>
      </c>
      <c r="L1404" s="2" t="s">
        <v>9</v>
      </c>
      <c r="M1404" s="2" t="s">
        <v>25</v>
      </c>
      <c r="N1404" s="2" t="s">
        <v>26</v>
      </c>
      <c r="O1404" s="2" t="s">
        <v>12</v>
      </c>
      <c r="P1404" s="2" t="s">
        <v>54</v>
      </c>
      <c r="Q1404" s="2" t="s">
        <v>23</v>
      </c>
      <c r="R1404" s="2" t="s">
        <v>18</v>
      </c>
      <c r="S1404">
        <v>1</v>
      </c>
    </row>
    <row r="1405" spans="1:19" x14ac:dyDescent="0.3">
      <c r="A1405">
        <v>3337</v>
      </c>
      <c r="B1405">
        <f>YEAR(Cleaned_HR_Data_Analysis__2[[#This Row],[Joining_Date]])</f>
        <v>2022</v>
      </c>
      <c r="C1405" s="1">
        <v>44799</v>
      </c>
      <c r="D1405" s="1" t="str" cm="1">
        <f t="array" ref="D1405">_xlfn.IFS(E1405&lt;28, "17-27",
AND(E1405&gt;27, E1405&lt;38), "28-37",
AND(E1405&gt;37, E1405 &lt;48), "38-47",
AND(E1405&gt;47, E1405 &lt;58), "48-57",
AND(E1405&gt;57, E1405&lt;68), "58-67",
AND(E1405&gt;67, E1405&lt;78), "68-77",
E1405&gt;77,"Above than 77")</f>
        <v>48-57</v>
      </c>
      <c r="E1405">
        <v>49</v>
      </c>
      <c r="F1405" s="1">
        <v>26693</v>
      </c>
      <c r="G1405" s="1" t="str">
        <f>VLOOKUP(H1405,Table7[#All], 2, FALSE)</f>
        <v>Massachusetts</v>
      </c>
      <c r="H1405" s="2" t="s">
        <v>14</v>
      </c>
      <c r="I1405" s="2" t="s">
        <v>15</v>
      </c>
      <c r="J1405" s="2" t="s">
        <v>31</v>
      </c>
      <c r="K1405" s="2" t="s">
        <v>8</v>
      </c>
      <c r="L1405" s="2" t="s">
        <v>9</v>
      </c>
      <c r="M1405" s="2" t="s">
        <v>25</v>
      </c>
      <c r="N1405" s="2" t="s">
        <v>19</v>
      </c>
      <c r="O1405" s="2" t="s">
        <v>12</v>
      </c>
      <c r="P1405" s="2" t="s">
        <v>42</v>
      </c>
      <c r="Q1405" s="2" t="s">
        <v>37</v>
      </c>
      <c r="R1405" s="2" t="s">
        <v>18</v>
      </c>
      <c r="S1405">
        <v>5</v>
      </c>
    </row>
    <row r="1406" spans="1:19" x14ac:dyDescent="0.3">
      <c r="A1406">
        <v>3286</v>
      </c>
      <c r="B1406">
        <f>YEAR(Cleaned_HR_Data_Analysis__2[[#This Row],[Joining_Date]])</f>
        <v>2019</v>
      </c>
      <c r="C1406" s="1">
        <v>43775</v>
      </c>
      <c r="D1406" s="1" t="str" cm="1">
        <f t="array" ref="D1406">_xlfn.IFS(E1406&lt;28, "17-27",
AND(E1406&gt;27, E1406&lt;38), "28-37",
AND(E1406&gt;37, E1406 &lt;48), "38-47",
AND(E1406&gt;47, E1406 &lt;58), "48-57",
AND(E1406&gt;57, E1406&lt;68), "58-67",
AND(E1406&gt;67, E1406&lt;78), "68-77",
E1406&gt;77,"Above than 77")</f>
        <v>48-57</v>
      </c>
      <c r="E1406">
        <v>49</v>
      </c>
      <c r="F1406" s="1">
        <v>25795</v>
      </c>
      <c r="G1406" s="1" t="str">
        <f>VLOOKUP(H1406,Table7[#All], 2, FALSE)</f>
        <v>Massachusetts</v>
      </c>
      <c r="H1406" s="2" t="s">
        <v>14</v>
      </c>
      <c r="I1406" s="2" t="s">
        <v>15</v>
      </c>
      <c r="J1406" s="2" t="s">
        <v>40</v>
      </c>
      <c r="K1406" s="2" t="s">
        <v>8</v>
      </c>
      <c r="L1406" s="2" t="s">
        <v>9</v>
      </c>
      <c r="M1406" s="2" t="s">
        <v>25</v>
      </c>
      <c r="N1406" s="2" t="s">
        <v>11</v>
      </c>
      <c r="O1406" s="2" t="s">
        <v>12</v>
      </c>
      <c r="P1406" s="2" t="s">
        <v>54</v>
      </c>
      <c r="Q1406" s="2" t="s">
        <v>16</v>
      </c>
      <c r="R1406" s="2" t="s">
        <v>65</v>
      </c>
      <c r="S1406">
        <v>1</v>
      </c>
    </row>
    <row r="1407" spans="1:19" x14ac:dyDescent="0.3">
      <c r="A1407">
        <v>3271</v>
      </c>
      <c r="B1407">
        <f>YEAR(Cleaned_HR_Data_Analysis__2[[#This Row],[Joining_Date]])</f>
        <v>2019</v>
      </c>
      <c r="C1407" s="1">
        <v>43648</v>
      </c>
      <c r="D1407" s="1" t="str" cm="1">
        <f t="array" ref="D1407">_xlfn.IFS(E1407&lt;28, "17-27",
AND(E1407&gt;27, E1407&lt;38), "28-37",
AND(E1407&gt;37, E1407 &lt;48), "38-47",
AND(E1407&gt;47, E1407 &lt;58), "48-57",
AND(E1407&gt;57, E1407&lt;68), "58-67",
AND(E1407&gt;67, E1407&lt;78), "68-77",
E1407&gt;77,"Above than 77")</f>
        <v>48-57</v>
      </c>
      <c r="E1407">
        <v>49</v>
      </c>
      <c r="F1407" s="1">
        <v>25687</v>
      </c>
      <c r="G1407" s="1" t="str">
        <f>VLOOKUP(H1407,Table7[#All], 2, FALSE)</f>
        <v>Massachusetts</v>
      </c>
      <c r="H1407" s="2" t="s">
        <v>14</v>
      </c>
      <c r="I1407" s="2" t="s">
        <v>22</v>
      </c>
      <c r="J1407" s="2" t="s">
        <v>40</v>
      </c>
      <c r="K1407" s="2" t="s">
        <v>8</v>
      </c>
      <c r="L1407" s="2" t="s">
        <v>66</v>
      </c>
      <c r="M1407" s="2" t="s">
        <v>10</v>
      </c>
      <c r="N1407" s="2" t="s">
        <v>26</v>
      </c>
      <c r="O1407" s="2" t="s">
        <v>12</v>
      </c>
      <c r="P1407" s="2" t="s">
        <v>42</v>
      </c>
      <c r="Q1407" s="2" t="s">
        <v>46</v>
      </c>
      <c r="R1407" s="2" t="s">
        <v>18</v>
      </c>
      <c r="S1407">
        <v>5</v>
      </c>
    </row>
    <row r="1408" spans="1:19" x14ac:dyDescent="0.3">
      <c r="A1408">
        <v>3216</v>
      </c>
      <c r="B1408">
        <f>YEAR(Cleaned_HR_Data_Analysis__2[[#This Row],[Joining_Date]])</f>
        <v>2021</v>
      </c>
      <c r="C1408" s="1">
        <v>44424</v>
      </c>
      <c r="D1408" s="1" t="str" cm="1">
        <f t="array" ref="D1408">_xlfn.IFS(E1408&lt;28, "17-27",
AND(E1408&gt;27, E1408&lt;38), "28-37",
AND(E1408&gt;37, E1408 &lt;48), "38-47",
AND(E1408&gt;47, E1408 &lt;58), "48-57",
AND(E1408&gt;57, E1408&lt;68), "58-67",
AND(E1408&gt;67, E1408&lt;78), "68-77",
E1408&gt;77,"Above than 77")</f>
        <v>48-57</v>
      </c>
      <c r="E1408">
        <v>49</v>
      </c>
      <c r="F1408" s="1">
        <v>26357</v>
      </c>
      <c r="G1408" s="1" t="str">
        <f>VLOOKUP(H1408,Table7[#All], 2, FALSE)</f>
        <v>Massachusetts</v>
      </c>
      <c r="H1408" s="2" t="s">
        <v>14</v>
      </c>
      <c r="I1408" s="2" t="s">
        <v>15</v>
      </c>
      <c r="J1408" s="2" t="s">
        <v>40</v>
      </c>
      <c r="K1408" s="2" t="s">
        <v>8</v>
      </c>
      <c r="L1408" s="2" t="s">
        <v>9</v>
      </c>
      <c r="M1408" s="2" t="s">
        <v>20</v>
      </c>
      <c r="N1408" s="2" t="s">
        <v>19</v>
      </c>
      <c r="O1408" s="2" t="s">
        <v>12</v>
      </c>
      <c r="P1408" s="2" t="s">
        <v>55</v>
      </c>
      <c r="Q1408" s="2" t="s">
        <v>30</v>
      </c>
      <c r="R1408" s="2" t="s">
        <v>18</v>
      </c>
      <c r="S1408">
        <v>4</v>
      </c>
    </row>
    <row r="1409" spans="1:19" x14ac:dyDescent="0.3">
      <c r="A1409">
        <v>3059</v>
      </c>
      <c r="B1409">
        <f>YEAR(Cleaned_HR_Data_Analysis__2[[#This Row],[Joining_Date]])</f>
        <v>2021</v>
      </c>
      <c r="C1409" s="1">
        <v>44283</v>
      </c>
      <c r="D1409" s="1" t="str" cm="1">
        <f t="array" ref="D1409">_xlfn.IFS(E1409&lt;28, "17-27",
AND(E1409&gt;27, E1409&lt;38), "28-37",
AND(E1409&gt;37, E1409 &lt;48), "38-47",
AND(E1409&gt;47, E1409 &lt;58), "48-57",
AND(E1409&gt;57, E1409&lt;68), "58-67",
AND(E1409&gt;67, E1409&lt;78), "68-77",
E1409&gt;77,"Above than 77")</f>
        <v>48-57</v>
      </c>
      <c r="E1409">
        <v>49</v>
      </c>
      <c r="F1409" s="1">
        <v>26516</v>
      </c>
      <c r="G1409" s="1" t="str">
        <f>VLOOKUP(H1409,Table7[#All], 2, FALSE)</f>
        <v>Massachusetts</v>
      </c>
      <c r="H1409" s="2" t="s">
        <v>14</v>
      </c>
      <c r="I1409" s="2" t="s">
        <v>15</v>
      </c>
      <c r="J1409" s="2" t="s">
        <v>17</v>
      </c>
      <c r="K1409" s="2" t="s">
        <v>8</v>
      </c>
      <c r="L1409" s="2" t="s">
        <v>9</v>
      </c>
      <c r="M1409" s="2" t="s">
        <v>20</v>
      </c>
      <c r="N1409" s="2" t="s">
        <v>19</v>
      </c>
      <c r="O1409" s="2" t="s">
        <v>12</v>
      </c>
      <c r="P1409" s="2" t="s">
        <v>54</v>
      </c>
      <c r="Q1409" s="2" t="s">
        <v>16</v>
      </c>
      <c r="R1409" s="2" t="s">
        <v>18</v>
      </c>
      <c r="S1409">
        <v>1</v>
      </c>
    </row>
    <row r="1410" spans="1:19" x14ac:dyDescent="0.3">
      <c r="A1410">
        <v>3000</v>
      </c>
      <c r="B1410">
        <f>YEAR(Cleaned_HR_Data_Analysis__2[[#This Row],[Joining_Date]])</f>
        <v>2022</v>
      </c>
      <c r="C1410" s="1">
        <v>44751</v>
      </c>
      <c r="D1410" s="1" t="str" cm="1">
        <f t="array" ref="D1410">_xlfn.IFS(E1410&lt;28, "17-27",
AND(E1410&gt;27, E1410&lt;38), "28-37",
AND(E1410&gt;37, E1410 &lt;48), "38-47",
AND(E1410&gt;47, E1410 &lt;58), "48-57",
AND(E1410&gt;57, E1410&lt;68), "58-67",
AND(E1410&gt;67, E1410&lt;78), "68-77",
E1410&gt;77,"Above than 77")</f>
        <v>48-57</v>
      </c>
      <c r="E1410">
        <v>49</v>
      </c>
      <c r="F1410" s="1">
        <v>26934</v>
      </c>
      <c r="G1410" s="1" t="str">
        <f>VLOOKUP(H1410,Table7[#All], 2, FALSE)</f>
        <v>Massachusetts</v>
      </c>
      <c r="H1410" s="2" t="s">
        <v>14</v>
      </c>
      <c r="I1410" s="2" t="s">
        <v>22</v>
      </c>
      <c r="J1410" s="2" t="s">
        <v>31</v>
      </c>
      <c r="K1410" s="2" t="s">
        <v>8</v>
      </c>
      <c r="L1410" s="2" t="s">
        <v>9</v>
      </c>
      <c r="M1410" s="2" t="s">
        <v>10</v>
      </c>
      <c r="N1410" s="2" t="s">
        <v>26</v>
      </c>
      <c r="O1410" s="2" t="s">
        <v>12</v>
      </c>
      <c r="P1410" s="2" t="s">
        <v>92</v>
      </c>
      <c r="Q1410" s="2" t="s">
        <v>30</v>
      </c>
      <c r="R1410" s="2" t="s">
        <v>18</v>
      </c>
      <c r="S1410">
        <v>2</v>
      </c>
    </row>
    <row r="1411" spans="1:19" x14ac:dyDescent="0.3">
      <c r="A1411">
        <v>2992</v>
      </c>
      <c r="B1411">
        <f>YEAR(Cleaned_HR_Data_Analysis__2[[#This Row],[Joining_Date]])</f>
        <v>2022</v>
      </c>
      <c r="C1411" s="1">
        <v>44667</v>
      </c>
      <c r="D1411" s="1" t="str" cm="1">
        <f t="array" ref="D1411">_xlfn.IFS(E1411&lt;28, "17-27",
AND(E1411&gt;27, E1411&lt;38), "28-37",
AND(E1411&gt;37, E1411 &lt;48), "38-47",
AND(E1411&gt;47, E1411 &lt;58), "48-57",
AND(E1411&gt;57, E1411&lt;68), "58-67",
AND(E1411&gt;67, E1411&lt;78), "68-77",
E1411&gt;77,"Above than 77")</f>
        <v>48-57</v>
      </c>
      <c r="E1411">
        <v>49</v>
      </c>
      <c r="F1411" s="1">
        <v>26955</v>
      </c>
      <c r="G1411" s="1" t="str">
        <f>VLOOKUP(H1411,Table7[#All], 2, FALSE)</f>
        <v>Massachusetts</v>
      </c>
      <c r="H1411" s="2" t="s">
        <v>14</v>
      </c>
      <c r="I1411" s="2" t="s">
        <v>15</v>
      </c>
      <c r="J1411" s="2" t="s">
        <v>34</v>
      </c>
      <c r="K1411" s="2" t="s">
        <v>8</v>
      </c>
      <c r="L1411" s="2" t="s">
        <v>9</v>
      </c>
      <c r="M1411" s="2" t="s">
        <v>25</v>
      </c>
      <c r="N1411" s="2" t="s">
        <v>19</v>
      </c>
      <c r="O1411" s="2" t="s">
        <v>12</v>
      </c>
      <c r="P1411" s="2" t="s">
        <v>35</v>
      </c>
      <c r="Q1411" s="2" t="s">
        <v>46</v>
      </c>
      <c r="R1411" s="2" t="s">
        <v>18</v>
      </c>
      <c r="S1411">
        <v>4</v>
      </c>
    </row>
    <row r="1412" spans="1:19" x14ac:dyDescent="0.3">
      <c r="A1412">
        <v>2985</v>
      </c>
      <c r="B1412">
        <f>YEAR(Cleaned_HR_Data_Analysis__2[[#This Row],[Joining_Date]])</f>
        <v>2019</v>
      </c>
      <c r="C1412" s="1">
        <v>43501</v>
      </c>
      <c r="D1412" s="1" t="str" cm="1">
        <f t="array" ref="D1412">_xlfn.IFS(E1412&lt;28, "17-27",
AND(E1412&gt;27, E1412&lt;38), "28-37",
AND(E1412&gt;37, E1412 &lt;48), "38-47",
AND(E1412&gt;47, E1412 &lt;58), "48-57",
AND(E1412&gt;57, E1412&lt;68), "58-67",
AND(E1412&gt;67, E1412&lt;78), "68-77",
E1412&gt;77,"Above than 77")</f>
        <v>48-57</v>
      </c>
      <c r="E1412">
        <v>49</v>
      </c>
      <c r="F1412" s="1">
        <v>25828</v>
      </c>
      <c r="G1412" s="1" t="str">
        <f>VLOOKUP(H1412,Table7[#All], 2, FALSE)</f>
        <v>Massachusetts</v>
      </c>
      <c r="H1412" s="2" t="s">
        <v>14</v>
      </c>
      <c r="I1412" s="2" t="s">
        <v>22</v>
      </c>
      <c r="J1412" s="2" t="s">
        <v>34</v>
      </c>
      <c r="K1412" s="2" t="s">
        <v>8</v>
      </c>
      <c r="L1412" s="2" t="s">
        <v>9</v>
      </c>
      <c r="M1412" s="2" t="s">
        <v>10</v>
      </c>
      <c r="N1412" s="2" t="s">
        <v>19</v>
      </c>
      <c r="O1412" s="2" t="s">
        <v>12</v>
      </c>
      <c r="P1412" s="2" t="s">
        <v>28</v>
      </c>
      <c r="Q1412" s="2" t="s">
        <v>23</v>
      </c>
      <c r="R1412" s="2" t="s">
        <v>18</v>
      </c>
      <c r="S1412">
        <v>5</v>
      </c>
    </row>
    <row r="1413" spans="1:19" x14ac:dyDescent="0.3">
      <c r="A1413">
        <v>2813</v>
      </c>
      <c r="B1413">
        <f>YEAR(Cleaned_HR_Data_Analysis__2[[#This Row],[Joining_Date]])</f>
        <v>2022</v>
      </c>
      <c r="C1413" s="1">
        <v>44740</v>
      </c>
      <c r="D1413" s="1" t="str" cm="1">
        <f t="array" ref="D1413">_xlfn.IFS(E1413&lt;28, "17-27",
AND(E1413&gt;27, E1413&lt;38), "28-37",
AND(E1413&gt;37, E1413 &lt;48), "38-47",
AND(E1413&gt;47, E1413 &lt;58), "48-57",
AND(E1413&gt;57, E1413&lt;68), "58-67",
AND(E1413&gt;67, E1413&lt;78), "68-77",
E1413&gt;77,"Above than 77")</f>
        <v>48-57</v>
      </c>
      <c r="E1413">
        <v>49</v>
      </c>
      <c r="F1413" s="1">
        <v>26903</v>
      </c>
      <c r="G1413" s="1" t="str">
        <f>VLOOKUP(H1413,Table7[#All], 2, FALSE)</f>
        <v>Massachusetts</v>
      </c>
      <c r="H1413" s="2" t="s">
        <v>14</v>
      </c>
      <c r="I1413" s="2" t="s">
        <v>22</v>
      </c>
      <c r="J1413" s="2" t="s">
        <v>31</v>
      </c>
      <c r="K1413" s="2" t="s">
        <v>8</v>
      </c>
      <c r="L1413" s="2" t="s">
        <v>9</v>
      </c>
      <c r="M1413" s="2" t="s">
        <v>10</v>
      </c>
      <c r="N1413" s="2" t="s">
        <v>26</v>
      </c>
      <c r="O1413" s="2" t="s">
        <v>12</v>
      </c>
      <c r="P1413" s="2" t="s">
        <v>59</v>
      </c>
      <c r="Q1413" s="2" t="s">
        <v>30</v>
      </c>
      <c r="R1413" s="2" t="s">
        <v>18</v>
      </c>
      <c r="S1413">
        <v>4</v>
      </c>
    </row>
    <row r="1414" spans="1:19" x14ac:dyDescent="0.3">
      <c r="A1414">
        <v>2130</v>
      </c>
      <c r="B1414">
        <f>YEAR(Cleaned_HR_Data_Analysis__2[[#This Row],[Joining_Date]])</f>
        <v>2022</v>
      </c>
      <c r="C1414" s="1">
        <v>44908</v>
      </c>
      <c r="D1414" s="1" t="str" cm="1">
        <f t="array" ref="D1414">_xlfn.IFS(E1414&lt;28, "17-27",
AND(E1414&gt;27, E1414&lt;38), "28-37",
AND(E1414&gt;37, E1414 &lt;48), "38-47",
AND(E1414&gt;47, E1414 &lt;58), "48-57",
AND(E1414&gt;57, E1414&lt;68), "58-67",
AND(E1414&gt;67, E1414&lt;78), "68-77",
E1414&gt;77,"Above than 77")</f>
        <v>48-57</v>
      </c>
      <c r="E1414">
        <v>49</v>
      </c>
      <c r="F1414" s="1">
        <v>26719</v>
      </c>
      <c r="G1414" s="1" t="str">
        <f>VLOOKUP(H1414,Table7[#All], 2, FALSE)</f>
        <v>Massachusetts</v>
      </c>
      <c r="H1414" s="2" t="s">
        <v>14</v>
      </c>
      <c r="I1414" s="2" t="s">
        <v>15</v>
      </c>
      <c r="J1414" s="2" t="s">
        <v>34</v>
      </c>
      <c r="K1414" s="2" t="s">
        <v>8</v>
      </c>
      <c r="L1414" s="2" t="s">
        <v>9</v>
      </c>
      <c r="M1414" s="2" t="s">
        <v>10</v>
      </c>
      <c r="N1414" s="2" t="s">
        <v>11</v>
      </c>
      <c r="O1414" s="2" t="s">
        <v>12</v>
      </c>
      <c r="P1414" s="2" t="s">
        <v>35</v>
      </c>
      <c r="Q1414" s="2" t="s">
        <v>30</v>
      </c>
      <c r="R1414" s="2" t="s">
        <v>56</v>
      </c>
      <c r="S1414">
        <v>5</v>
      </c>
    </row>
    <row r="1415" spans="1:19" x14ac:dyDescent="0.3">
      <c r="A1415">
        <v>2099</v>
      </c>
      <c r="B1415">
        <f>YEAR(Cleaned_HR_Data_Analysis__2[[#This Row],[Joining_Date]])</f>
        <v>2018</v>
      </c>
      <c r="C1415" s="1">
        <v>43403</v>
      </c>
      <c r="D1415" s="1" t="str" cm="1">
        <f t="array" ref="D1415">_xlfn.IFS(E1415&lt;28, "17-27",
AND(E1415&gt;27, E1415&lt;38), "28-37",
AND(E1415&gt;37, E1415 &lt;48), "38-47",
AND(E1415&gt;47, E1415 &lt;58), "48-57",
AND(E1415&gt;57, E1415&lt;68), "58-67",
AND(E1415&gt;67, E1415&lt;78), "68-77",
E1415&gt;77,"Above than 77")</f>
        <v>48-57</v>
      </c>
      <c r="E1415">
        <v>49</v>
      </c>
      <c r="F1415" s="1">
        <v>25291</v>
      </c>
      <c r="G1415" s="1" t="str">
        <f>VLOOKUP(H1415,Table7[#All], 2, FALSE)</f>
        <v>Massachusetts</v>
      </c>
      <c r="H1415" s="2" t="s">
        <v>14</v>
      </c>
      <c r="I1415" s="2" t="s">
        <v>15</v>
      </c>
      <c r="J1415" s="2" t="s">
        <v>17</v>
      </c>
      <c r="K1415" s="2" t="s">
        <v>8</v>
      </c>
      <c r="L1415" s="2" t="s">
        <v>9</v>
      </c>
      <c r="M1415" s="2" t="s">
        <v>25</v>
      </c>
      <c r="N1415" s="2" t="s">
        <v>26</v>
      </c>
      <c r="O1415" s="2" t="s">
        <v>12</v>
      </c>
      <c r="P1415" s="2" t="s">
        <v>28</v>
      </c>
      <c r="Q1415" s="2" t="s">
        <v>23</v>
      </c>
      <c r="R1415" s="2" t="s">
        <v>65</v>
      </c>
      <c r="S1415">
        <v>4</v>
      </c>
    </row>
    <row r="1416" spans="1:19" x14ac:dyDescent="0.3">
      <c r="A1416">
        <v>1805</v>
      </c>
      <c r="B1416">
        <f>YEAR(Cleaned_HR_Data_Analysis__2[[#This Row],[Joining_Date]])</f>
        <v>2018</v>
      </c>
      <c r="C1416" s="1">
        <v>43451</v>
      </c>
      <c r="D1416" s="1" t="str" cm="1">
        <f t="array" ref="D1416">_xlfn.IFS(E1416&lt;28, "17-27",
AND(E1416&gt;27, E1416&lt;38), "28-37",
AND(E1416&gt;37, E1416 &lt;48), "38-47",
AND(E1416&gt;47, E1416 &lt;58), "48-57",
AND(E1416&gt;57, E1416&lt;68), "58-67",
AND(E1416&gt;67, E1416&lt;78), "68-77",
E1416&gt;77,"Above than 77")</f>
        <v>48-57</v>
      </c>
      <c r="E1416">
        <v>49</v>
      </c>
      <c r="F1416" s="1">
        <v>25237</v>
      </c>
      <c r="G1416" s="1" t="str">
        <f>VLOOKUP(H1416,Table7[#All], 2, FALSE)</f>
        <v>Massachusetts</v>
      </c>
      <c r="H1416" s="2" t="s">
        <v>14</v>
      </c>
      <c r="I1416" s="2" t="s">
        <v>22</v>
      </c>
      <c r="J1416" s="2" t="s">
        <v>40</v>
      </c>
      <c r="K1416" s="2" t="s">
        <v>8</v>
      </c>
      <c r="L1416" s="2" t="s">
        <v>9</v>
      </c>
      <c r="M1416" s="2" t="s">
        <v>10</v>
      </c>
      <c r="N1416" s="2" t="s">
        <v>19</v>
      </c>
      <c r="O1416" s="2" t="s">
        <v>12</v>
      </c>
      <c r="P1416" s="2" t="s">
        <v>21</v>
      </c>
      <c r="Q1416" s="2" t="s">
        <v>37</v>
      </c>
      <c r="R1416" s="2" t="s">
        <v>18</v>
      </c>
      <c r="S1416">
        <v>3</v>
      </c>
    </row>
    <row r="1417" spans="1:19" x14ac:dyDescent="0.3">
      <c r="A1417">
        <v>1769</v>
      </c>
      <c r="B1417">
        <f>YEAR(Cleaned_HR_Data_Analysis__2[[#This Row],[Joining_Date]])</f>
        <v>2023</v>
      </c>
      <c r="C1417" s="1">
        <v>44992</v>
      </c>
      <c r="D1417" s="1" t="str" cm="1">
        <f t="array" ref="D1417">_xlfn.IFS(E1417&lt;28, "17-27",
AND(E1417&gt;27, E1417&lt;38), "28-37",
AND(E1417&gt;37, E1417 &lt;48), "38-47",
AND(E1417&gt;47, E1417 &lt;58), "48-57",
AND(E1417&gt;57, E1417&lt;68), "58-67",
AND(E1417&gt;67, E1417&lt;78), "68-77",
E1417&gt;77,"Above than 77")</f>
        <v>48-57</v>
      </c>
      <c r="E1417">
        <v>49</v>
      </c>
      <c r="F1417" s="1">
        <v>27148</v>
      </c>
      <c r="G1417" s="1" t="str">
        <f>VLOOKUP(H1417,Table7[#All], 2, FALSE)</f>
        <v>Massachusetts</v>
      </c>
      <c r="H1417" s="2" t="s">
        <v>14</v>
      </c>
      <c r="I1417" s="2" t="s">
        <v>22</v>
      </c>
      <c r="J1417" s="2" t="s">
        <v>17</v>
      </c>
      <c r="K1417" s="2" t="s">
        <v>8</v>
      </c>
      <c r="L1417" s="2" t="s">
        <v>9</v>
      </c>
      <c r="M1417" s="2" t="s">
        <v>10</v>
      </c>
      <c r="N1417" s="2" t="s">
        <v>26</v>
      </c>
      <c r="O1417" s="2" t="s">
        <v>12</v>
      </c>
      <c r="P1417" s="2" t="s">
        <v>42</v>
      </c>
      <c r="Q1417" s="2" t="s">
        <v>23</v>
      </c>
      <c r="R1417" s="2" t="s">
        <v>18</v>
      </c>
      <c r="S1417">
        <v>3</v>
      </c>
    </row>
    <row r="1418" spans="1:19" x14ac:dyDescent="0.3">
      <c r="A1418">
        <v>1748</v>
      </c>
      <c r="B1418">
        <f>YEAR(Cleaned_HR_Data_Analysis__2[[#This Row],[Joining_Date]])</f>
        <v>2022</v>
      </c>
      <c r="C1418" s="1">
        <v>44574</v>
      </c>
      <c r="D1418" s="1" t="str" cm="1">
        <f t="array" ref="D1418">_xlfn.IFS(E1418&lt;28, "17-27",
AND(E1418&gt;27, E1418&lt;38), "28-37",
AND(E1418&gt;37, E1418 &lt;48), "38-47",
AND(E1418&gt;47, E1418 &lt;58), "48-57",
AND(E1418&gt;57, E1418&lt;68), "58-67",
AND(E1418&gt;67, E1418&lt;78), "68-77",
E1418&gt;77,"Above than 77")</f>
        <v>48-57</v>
      </c>
      <c r="E1418">
        <v>49</v>
      </c>
      <c r="F1418" s="1">
        <v>26673</v>
      </c>
      <c r="G1418" s="1" t="str">
        <f>VLOOKUP(H1418,Table7[#All], 2, FALSE)</f>
        <v>Massachusetts</v>
      </c>
      <c r="H1418" s="2" t="s">
        <v>14</v>
      </c>
      <c r="I1418" s="2" t="s">
        <v>15</v>
      </c>
      <c r="J1418" s="2" t="s">
        <v>17</v>
      </c>
      <c r="K1418" s="2" t="s">
        <v>8</v>
      </c>
      <c r="L1418" s="2" t="s">
        <v>9</v>
      </c>
      <c r="M1418" s="2" t="s">
        <v>20</v>
      </c>
      <c r="N1418" s="2" t="s">
        <v>19</v>
      </c>
      <c r="O1418" s="2" t="s">
        <v>12</v>
      </c>
      <c r="P1418" s="2" t="s">
        <v>69</v>
      </c>
      <c r="Q1418" s="2" t="s">
        <v>16</v>
      </c>
      <c r="R1418" s="2" t="s">
        <v>18</v>
      </c>
      <c r="S1418">
        <v>2</v>
      </c>
    </row>
    <row r="1419" spans="1:19" x14ac:dyDescent="0.3">
      <c r="A1419">
        <v>1586</v>
      </c>
      <c r="B1419">
        <f>YEAR(Cleaned_HR_Data_Analysis__2[[#This Row],[Joining_Date]])</f>
        <v>2022</v>
      </c>
      <c r="C1419" s="1">
        <v>44576</v>
      </c>
      <c r="D1419" s="1" t="str" cm="1">
        <f t="array" ref="D1419">_xlfn.IFS(E1419&lt;28, "17-27",
AND(E1419&gt;27, E1419&lt;38), "28-37",
AND(E1419&gt;37, E1419 &lt;48), "38-47",
AND(E1419&gt;47, E1419 &lt;58), "48-57",
AND(E1419&gt;57, E1419&lt;68), "58-67",
AND(E1419&gt;67, E1419&lt;78), "68-77",
E1419&gt;77,"Above than 77")</f>
        <v>48-57</v>
      </c>
      <c r="E1419">
        <v>49</v>
      </c>
      <c r="F1419" s="1">
        <v>26669</v>
      </c>
      <c r="G1419" s="1" t="str">
        <f>VLOOKUP(H1419,Table7[#All], 2, FALSE)</f>
        <v>Massachusetts</v>
      </c>
      <c r="H1419" s="2" t="s">
        <v>14</v>
      </c>
      <c r="I1419" s="2" t="s">
        <v>15</v>
      </c>
      <c r="J1419" s="2" t="s">
        <v>17</v>
      </c>
      <c r="K1419" s="2" t="s">
        <v>8</v>
      </c>
      <c r="L1419" s="2" t="s">
        <v>9</v>
      </c>
      <c r="M1419" s="2" t="s">
        <v>25</v>
      </c>
      <c r="N1419" s="2" t="s">
        <v>11</v>
      </c>
      <c r="O1419" s="2" t="s">
        <v>12</v>
      </c>
      <c r="P1419" s="2" t="s">
        <v>32</v>
      </c>
      <c r="Q1419" s="2" t="s">
        <v>23</v>
      </c>
      <c r="R1419" s="2" t="s">
        <v>18</v>
      </c>
      <c r="S1419">
        <v>3</v>
      </c>
    </row>
    <row r="1420" spans="1:19" x14ac:dyDescent="0.3">
      <c r="A1420">
        <v>1541</v>
      </c>
      <c r="B1420">
        <f>YEAR(Cleaned_HR_Data_Analysis__2[[#This Row],[Joining_Date]])</f>
        <v>2021</v>
      </c>
      <c r="C1420" s="1">
        <v>44212</v>
      </c>
      <c r="D1420" s="1" t="str" cm="1">
        <f t="array" ref="D1420">_xlfn.IFS(E1420&lt;28, "17-27",
AND(E1420&gt;27, E1420&lt;38), "28-37",
AND(E1420&gt;37, E1420 &lt;48), "38-47",
AND(E1420&gt;47, E1420 &lt;58), "48-57",
AND(E1420&gt;57, E1420&lt;68), "58-67",
AND(E1420&gt;67, E1420&lt;78), "68-77",
E1420&gt;77,"Above than 77")</f>
        <v>48-57</v>
      </c>
      <c r="E1420">
        <v>49</v>
      </c>
      <c r="F1420" s="1">
        <v>26646</v>
      </c>
      <c r="G1420" s="1" t="str">
        <f>VLOOKUP(H1420,Table7[#All], 2, FALSE)</f>
        <v>Massachusetts</v>
      </c>
      <c r="H1420" s="2" t="s">
        <v>14</v>
      </c>
      <c r="I1420" s="2" t="s">
        <v>15</v>
      </c>
      <c r="J1420" s="2" t="s">
        <v>17</v>
      </c>
      <c r="K1420" s="2" t="s">
        <v>8</v>
      </c>
      <c r="L1420" s="2" t="s">
        <v>9</v>
      </c>
      <c r="M1420" s="2" t="s">
        <v>20</v>
      </c>
      <c r="N1420" s="2" t="s">
        <v>11</v>
      </c>
      <c r="O1420" s="2" t="s">
        <v>12</v>
      </c>
      <c r="P1420" s="2" t="s">
        <v>28</v>
      </c>
      <c r="Q1420" s="2" t="s">
        <v>37</v>
      </c>
      <c r="R1420" s="2" t="s">
        <v>18</v>
      </c>
      <c r="S1420">
        <v>4</v>
      </c>
    </row>
    <row r="1421" spans="1:19" x14ac:dyDescent="0.3">
      <c r="A1421">
        <v>1529</v>
      </c>
      <c r="B1421">
        <f>YEAR(Cleaned_HR_Data_Analysis__2[[#This Row],[Joining_Date]])</f>
        <v>2023</v>
      </c>
      <c r="C1421" s="1">
        <v>45030</v>
      </c>
      <c r="D1421" s="1" t="str" cm="1">
        <f t="array" ref="D1421">_xlfn.IFS(E1421&lt;28, "17-27",
AND(E1421&gt;27, E1421&lt;38), "28-37",
AND(E1421&gt;37, E1421 &lt;48), "38-47",
AND(E1421&gt;47, E1421 &lt;58), "48-57",
AND(E1421&gt;57, E1421&lt;68), "58-67",
AND(E1421&gt;67, E1421&lt;78), "68-77",
E1421&gt;77,"Above than 77")</f>
        <v>48-57</v>
      </c>
      <c r="E1421">
        <v>49</v>
      </c>
      <c r="F1421" s="1">
        <v>27237</v>
      </c>
      <c r="G1421" s="1" t="str">
        <f>VLOOKUP(H1421,Table7[#All], 2, FALSE)</f>
        <v>Massachusetts</v>
      </c>
      <c r="H1421" s="2" t="s">
        <v>14</v>
      </c>
      <c r="I1421" s="2" t="s">
        <v>15</v>
      </c>
      <c r="J1421" s="2" t="s">
        <v>34</v>
      </c>
      <c r="K1421" s="2" t="s">
        <v>8</v>
      </c>
      <c r="L1421" s="2" t="s">
        <v>9</v>
      </c>
      <c r="M1421" s="2" t="s">
        <v>25</v>
      </c>
      <c r="N1421" s="2" t="s">
        <v>11</v>
      </c>
      <c r="O1421" s="2" t="s">
        <v>12</v>
      </c>
      <c r="P1421" s="2" t="s">
        <v>35</v>
      </c>
      <c r="Q1421" s="2" t="s">
        <v>23</v>
      </c>
      <c r="R1421" s="2" t="s">
        <v>18</v>
      </c>
      <c r="S1421">
        <v>1</v>
      </c>
    </row>
    <row r="1422" spans="1:19" x14ac:dyDescent="0.3">
      <c r="A1422">
        <v>1523</v>
      </c>
      <c r="B1422">
        <f>YEAR(Cleaned_HR_Data_Analysis__2[[#This Row],[Joining_Date]])</f>
        <v>2020</v>
      </c>
      <c r="C1422" s="1">
        <v>44089</v>
      </c>
      <c r="D1422" s="1" t="str" cm="1">
        <f t="array" ref="D1422">_xlfn.IFS(E1422&lt;28, "17-27",
AND(E1422&gt;27, E1422&lt;38), "28-37",
AND(E1422&gt;37, E1422 &lt;48), "38-47",
AND(E1422&gt;47, E1422 &lt;58), "48-57",
AND(E1422&gt;57, E1422&lt;68), "58-67",
AND(E1422&gt;67, E1422&lt;78), "68-77",
E1422&gt;77,"Above than 77")</f>
        <v>48-57</v>
      </c>
      <c r="E1422">
        <v>49</v>
      </c>
      <c r="F1422" s="1">
        <v>26083</v>
      </c>
      <c r="G1422" s="1" t="str">
        <f>VLOOKUP(H1422,Table7[#All], 2, FALSE)</f>
        <v>Massachusetts</v>
      </c>
      <c r="H1422" s="2" t="s">
        <v>14</v>
      </c>
      <c r="I1422" s="2" t="s">
        <v>22</v>
      </c>
      <c r="J1422" s="2" t="s">
        <v>34</v>
      </c>
      <c r="K1422" s="2" t="s">
        <v>8</v>
      </c>
      <c r="L1422" s="2" t="s">
        <v>9</v>
      </c>
      <c r="M1422" s="2" t="s">
        <v>10</v>
      </c>
      <c r="N1422" s="2" t="s">
        <v>26</v>
      </c>
      <c r="O1422" s="2" t="s">
        <v>12</v>
      </c>
      <c r="P1422" s="2" t="s">
        <v>62</v>
      </c>
      <c r="Q1422" s="2" t="s">
        <v>30</v>
      </c>
      <c r="R1422" s="2" t="s">
        <v>18</v>
      </c>
      <c r="S1422">
        <v>4</v>
      </c>
    </row>
    <row r="1423" spans="1:19" x14ac:dyDescent="0.3">
      <c r="A1423">
        <v>1490</v>
      </c>
      <c r="B1423">
        <f>YEAR(Cleaned_HR_Data_Analysis__2[[#This Row],[Joining_Date]])</f>
        <v>2019</v>
      </c>
      <c r="C1423" s="1">
        <v>43690</v>
      </c>
      <c r="D1423" s="1" t="str" cm="1">
        <f t="array" ref="D1423">_xlfn.IFS(E1423&lt;28, "17-27",
AND(E1423&gt;27, E1423&lt;38), "28-37",
AND(E1423&gt;37, E1423 &lt;48), "38-47",
AND(E1423&gt;47, E1423 &lt;58), "48-57",
AND(E1423&gt;57, E1423&lt;68), "58-67",
AND(E1423&gt;67, E1423&lt;78), "68-77",
E1423&gt;77,"Above than 77")</f>
        <v>48-57</v>
      </c>
      <c r="E1423">
        <v>49</v>
      </c>
      <c r="F1423" s="1">
        <v>25650</v>
      </c>
      <c r="G1423" s="1" t="str">
        <f>VLOOKUP(H1423,Table7[#All], 2, FALSE)</f>
        <v>Massachusetts</v>
      </c>
      <c r="H1423" s="2" t="s">
        <v>14</v>
      </c>
      <c r="I1423" s="2" t="s">
        <v>15</v>
      </c>
      <c r="J1423" s="2" t="s">
        <v>17</v>
      </c>
      <c r="K1423" s="2" t="s">
        <v>8</v>
      </c>
      <c r="L1423" s="2" t="s">
        <v>9</v>
      </c>
      <c r="M1423" s="2" t="s">
        <v>10</v>
      </c>
      <c r="N1423" s="2" t="s">
        <v>19</v>
      </c>
      <c r="O1423" s="2" t="s">
        <v>12</v>
      </c>
      <c r="P1423" s="2" t="s">
        <v>42</v>
      </c>
      <c r="Q1423" s="2" t="s">
        <v>16</v>
      </c>
      <c r="R1423" s="2" t="s">
        <v>56</v>
      </c>
      <c r="S1423">
        <v>3</v>
      </c>
    </row>
    <row r="1424" spans="1:19" x14ac:dyDescent="0.3">
      <c r="A1424">
        <v>1398</v>
      </c>
      <c r="B1424">
        <f>YEAR(Cleaned_HR_Data_Analysis__2[[#This Row],[Joining_Date]])</f>
        <v>2021</v>
      </c>
      <c r="C1424" s="1">
        <v>44199</v>
      </c>
      <c r="D1424" s="1" t="str" cm="1">
        <f t="array" ref="D1424">_xlfn.IFS(E1424&lt;28, "17-27",
AND(E1424&gt;27, E1424&lt;38), "28-37",
AND(E1424&gt;37, E1424 &lt;48), "38-47",
AND(E1424&gt;47, E1424 &lt;58), "48-57",
AND(E1424&gt;57, E1424&lt;68), "58-67",
AND(E1424&gt;67, E1424&lt;78), "68-77",
E1424&gt;77,"Above than 77")</f>
        <v>48-57</v>
      </c>
      <c r="E1424">
        <v>49</v>
      </c>
      <c r="F1424" s="1">
        <v>26645</v>
      </c>
      <c r="G1424" s="1" t="str">
        <f>VLOOKUP(H1424,Table7[#All], 2, FALSE)</f>
        <v>Massachusetts</v>
      </c>
      <c r="H1424" s="2" t="s">
        <v>14</v>
      </c>
      <c r="I1424" s="2" t="s">
        <v>15</v>
      </c>
      <c r="J1424" s="2" t="s">
        <v>31</v>
      </c>
      <c r="K1424" s="2" t="s">
        <v>8</v>
      </c>
      <c r="L1424" s="2" t="s">
        <v>9</v>
      </c>
      <c r="M1424" s="2" t="s">
        <v>20</v>
      </c>
      <c r="N1424" s="2" t="s">
        <v>11</v>
      </c>
      <c r="O1424" s="2" t="s">
        <v>12</v>
      </c>
      <c r="P1424" s="2" t="s">
        <v>49</v>
      </c>
      <c r="Q1424" s="2" t="s">
        <v>16</v>
      </c>
      <c r="R1424" s="2" t="s">
        <v>56</v>
      </c>
      <c r="S1424">
        <v>1</v>
      </c>
    </row>
    <row r="1425" spans="1:19" x14ac:dyDescent="0.3">
      <c r="A1425">
        <v>1267</v>
      </c>
      <c r="B1425">
        <f>YEAR(Cleaned_HR_Data_Analysis__2[[#This Row],[Joining_Date]])</f>
        <v>2020</v>
      </c>
      <c r="C1425" s="1">
        <v>44149</v>
      </c>
      <c r="D1425" s="1" t="str" cm="1">
        <f t="array" ref="D1425">_xlfn.IFS(E1425&lt;28, "17-27",
AND(E1425&gt;27, E1425&lt;38), "28-37",
AND(E1425&gt;37, E1425 &lt;48), "38-47",
AND(E1425&gt;47, E1425 &lt;58), "48-57",
AND(E1425&gt;57, E1425&lt;68), "58-67",
AND(E1425&gt;67, E1425&lt;78), "68-77",
E1425&gt;77,"Above than 77")</f>
        <v>48-57</v>
      </c>
      <c r="E1425">
        <v>49</v>
      </c>
      <c r="F1425" s="1">
        <v>26187</v>
      </c>
      <c r="G1425" s="1" t="str">
        <f>VLOOKUP(H1425,Table7[#All], 2, FALSE)</f>
        <v>Massachusetts</v>
      </c>
      <c r="H1425" s="2" t="s">
        <v>14</v>
      </c>
      <c r="I1425" s="2" t="s">
        <v>15</v>
      </c>
      <c r="J1425" s="2" t="s">
        <v>40</v>
      </c>
      <c r="K1425" s="2" t="s">
        <v>8</v>
      </c>
      <c r="L1425" s="2" t="s">
        <v>9</v>
      </c>
      <c r="M1425" s="2" t="s">
        <v>20</v>
      </c>
      <c r="N1425" s="2" t="s">
        <v>11</v>
      </c>
      <c r="O1425" s="2" t="s">
        <v>12</v>
      </c>
      <c r="P1425" s="2" t="s">
        <v>32</v>
      </c>
      <c r="Q1425" s="2" t="s">
        <v>16</v>
      </c>
      <c r="R1425" s="2" t="s">
        <v>18</v>
      </c>
      <c r="S1425">
        <v>1</v>
      </c>
    </row>
    <row r="1426" spans="1:19" x14ac:dyDescent="0.3">
      <c r="A1426">
        <v>1096</v>
      </c>
      <c r="B1426">
        <f>YEAR(Cleaned_HR_Data_Analysis__2[[#This Row],[Joining_Date]])</f>
        <v>2022</v>
      </c>
      <c r="C1426" s="1">
        <v>44607</v>
      </c>
      <c r="D1426" s="1" t="str" cm="1">
        <f t="array" ref="D1426">_xlfn.IFS(E1426&lt;28, "17-27",
AND(E1426&gt;27, E1426&lt;38), "28-37",
AND(E1426&gt;37, E1426 &lt;48), "38-47",
AND(E1426&gt;47, E1426 &lt;58), "48-57",
AND(E1426&gt;57, E1426&lt;68), "58-67",
AND(E1426&gt;67, E1426&lt;78), "68-77",
E1426&gt;77,"Above than 77")</f>
        <v>48-57</v>
      </c>
      <c r="E1426">
        <v>49</v>
      </c>
      <c r="F1426" s="1">
        <v>26675</v>
      </c>
      <c r="G1426" s="1" t="str">
        <f>VLOOKUP(H1426,Table7[#All], 2, FALSE)</f>
        <v>Massachusetts</v>
      </c>
      <c r="H1426" s="2" t="s">
        <v>14</v>
      </c>
      <c r="I1426" s="2" t="s">
        <v>15</v>
      </c>
      <c r="J1426" s="2" t="s">
        <v>34</v>
      </c>
      <c r="K1426" s="2" t="s">
        <v>8</v>
      </c>
      <c r="L1426" s="2" t="s">
        <v>9</v>
      </c>
      <c r="M1426" s="2" t="s">
        <v>20</v>
      </c>
      <c r="N1426" s="2" t="s">
        <v>11</v>
      </c>
      <c r="O1426" s="2" t="s">
        <v>12</v>
      </c>
      <c r="P1426" s="2" t="s">
        <v>58</v>
      </c>
      <c r="Q1426" s="2" t="s">
        <v>46</v>
      </c>
      <c r="R1426" s="2" t="s">
        <v>18</v>
      </c>
      <c r="S1426">
        <v>3</v>
      </c>
    </row>
    <row r="1427" spans="1:19" x14ac:dyDescent="0.3">
      <c r="A1427">
        <v>2345</v>
      </c>
      <c r="B1427">
        <f>YEAR(Cleaned_HR_Data_Analysis__2[[#This Row],[Joining_Date]])</f>
        <v>2020</v>
      </c>
      <c r="C1427" s="1">
        <v>44088</v>
      </c>
      <c r="D1427" s="1" t="str" cm="1">
        <f t="array" ref="D1427">_xlfn.IFS(E1427&lt;28, "17-27",
AND(E1427&gt;27, E1427&lt;38), "28-37",
AND(E1427&gt;37, E1427 &lt;48), "38-47",
AND(E1427&gt;47, E1427 &lt;58), "48-57",
AND(E1427&gt;57, E1427&lt;68), "58-67",
AND(E1427&gt;67, E1427&lt;78), "68-77",
E1427&gt;77,"Above than 77")</f>
        <v>48-57</v>
      </c>
      <c r="E1427">
        <v>49</v>
      </c>
      <c r="F1427" s="1">
        <v>25943</v>
      </c>
      <c r="G1427" s="1" t="str">
        <f>VLOOKUP(H1427,Table7[#All], 2, FALSE)</f>
        <v>Massachusetts</v>
      </c>
      <c r="H1427" s="2" t="s">
        <v>14</v>
      </c>
      <c r="I1427" s="2" t="s">
        <v>15</v>
      </c>
      <c r="J1427" s="2" t="s">
        <v>34</v>
      </c>
      <c r="K1427" s="2" t="s">
        <v>91</v>
      </c>
      <c r="L1427" s="2" t="s">
        <v>66</v>
      </c>
      <c r="M1427" s="2" t="s">
        <v>25</v>
      </c>
      <c r="N1427" s="2" t="s">
        <v>26</v>
      </c>
      <c r="O1427" s="2" t="s">
        <v>12</v>
      </c>
      <c r="P1427" s="2" t="s">
        <v>35</v>
      </c>
      <c r="Q1427" s="2" t="s">
        <v>23</v>
      </c>
      <c r="R1427" s="2" t="s">
        <v>18</v>
      </c>
      <c r="S1427">
        <v>1</v>
      </c>
    </row>
    <row r="1428" spans="1:19" x14ac:dyDescent="0.3">
      <c r="A1428">
        <v>1253</v>
      </c>
      <c r="B1428">
        <f>YEAR(Cleaned_HR_Data_Analysis__2[[#This Row],[Joining_Date]])</f>
        <v>2020</v>
      </c>
      <c r="C1428" s="1">
        <v>44025</v>
      </c>
      <c r="D1428" s="1" t="str" cm="1">
        <f t="array" ref="D1428">_xlfn.IFS(E1428&lt;28, "17-27",
AND(E1428&gt;27, E1428&lt;38), "28-37",
AND(E1428&gt;37, E1428 &lt;48), "38-47",
AND(E1428&gt;47, E1428 &lt;58), "48-57",
AND(E1428&gt;57, E1428&lt;68), "58-67",
AND(E1428&gt;67, E1428&lt;78), "68-77",
E1428&gt;77,"Above than 77")</f>
        <v>48-57</v>
      </c>
      <c r="E1428">
        <v>49</v>
      </c>
      <c r="F1428" s="1">
        <v>26068</v>
      </c>
      <c r="G1428" s="1" t="str">
        <f>VLOOKUP(H1428,Table7[#All], 2, FALSE)</f>
        <v>Massachusetts</v>
      </c>
      <c r="H1428" s="2" t="s">
        <v>14</v>
      </c>
      <c r="I1428" s="2" t="s">
        <v>15</v>
      </c>
      <c r="J1428" s="2" t="s">
        <v>40</v>
      </c>
      <c r="K1428" s="2" t="s">
        <v>91</v>
      </c>
      <c r="L1428" s="2" t="s">
        <v>9</v>
      </c>
      <c r="M1428" s="2" t="s">
        <v>20</v>
      </c>
      <c r="N1428" s="2" t="s">
        <v>19</v>
      </c>
      <c r="O1428" s="2" t="s">
        <v>12</v>
      </c>
      <c r="P1428" s="2" t="s">
        <v>54</v>
      </c>
      <c r="Q1428" s="2" t="s">
        <v>46</v>
      </c>
      <c r="R1428" s="2" t="s">
        <v>18</v>
      </c>
      <c r="S1428">
        <v>4</v>
      </c>
    </row>
    <row r="1429" spans="1:19" x14ac:dyDescent="0.3">
      <c r="A1429">
        <v>2327</v>
      </c>
      <c r="B1429">
        <f>YEAR(Cleaned_HR_Data_Analysis__2[[#This Row],[Joining_Date]])</f>
        <v>2020</v>
      </c>
      <c r="C1429" s="1">
        <v>44042</v>
      </c>
      <c r="D1429" s="1" t="str" cm="1">
        <f t="array" ref="D1429">_xlfn.IFS(E1429&lt;28, "17-27",
AND(E1429&gt;27, E1429&lt;38), "28-37",
AND(E1429&gt;37, E1429 &lt;48), "38-47",
AND(E1429&gt;47, E1429 &lt;58), "48-57",
AND(E1429&gt;57, E1429&lt;68), "58-67",
AND(E1429&gt;67, E1429&lt;78), "68-77",
E1429&gt;77,"Above than 77")</f>
        <v>48-57</v>
      </c>
      <c r="E1429">
        <v>49</v>
      </c>
      <c r="F1429" s="1">
        <v>26264</v>
      </c>
      <c r="G1429" s="1" t="str">
        <f>VLOOKUP(H1429,Table7[#All], 2, FALSE)</f>
        <v>Massachusetts</v>
      </c>
      <c r="H1429" s="2" t="s">
        <v>14</v>
      </c>
      <c r="I1429" s="2" t="s">
        <v>22</v>
      </c>
      <c r="J1429" s="2" t="s">
        <v>34</v>
      </c>
      <c r="K1429" s="2" t="s">
        <v>71</v>
      </c>
      <c r="L1429" s="2" t="s">
        <v>9</v>
      </c>
      <c r="M1429" s="2" t="s">
        <v>25</v>
      </c>
      <c r="N1429" s="2" t="s">
        <v>19</v>
      </c>
      <c r="O1429" s="2" t="s">
        <v>12</v>
      </c>
      <c r="P1429" s="2" t="s">
        <v>35</v>
      </c>
      <c r="Q1429" s="2" t="s">
        <v>37</v>
      </c>
      <c r="R1429" s="2" t="s">
        <v>18</v>
      </c>
      <c r="S1429">
        <v>1</v>
      </c>
    </row>
    <row r="1430" spans="1:19" x14ac:dyDescent="0.3">
      <c r="A1430">
        <v>2305</v>
      </c>
      <c r="B1430">
        <f>YEAR(Cleaned_HR_Data_Analysis__2[[#This Row],[Joining_Date]])</f>
        <v>2019</v>
      </c>
      <c r="C1430" s="1">
        <v>43810</v>
      </c>
      <c r="D1430" s="1" t="str" cm="1">
        <f t="array" ref="D1430">_xlfn.IFS(E1430&lt;28, "17-27",
AND(E1430&gt;27, E1430&lt;38), "28-37",
AND(E1430&gt;37, E1430 &lt;48), "38-47",
AND(E1430&gt;47, E1430 &lt;58), "48-57",
AND(E1430&gt;57, E1430&lt;68), "58-67",
AND(E1430&gt;67, E1430&lt;78), "68-77",
E1430&gt;77,"Above than 77")</f>
        <v>48-57</v>
      </c>
      <c r="E1430">
        <v>49</v>
      </c>
      <c r="F1430" s="1">
        <v>25844</v>
      </c>
      <c r="G1430" s="1" t="str">
        <f>VLOOKUP(H1430,Table7[#All], 2, FALSE)</f>
        <v>Massachusetts</v>
      </c>
      <c r="H1430" s="2" t="s">
        <v>14</v>
      </c>
      <c r="I1430" s="2" t="s">
        <v>15</v>
      </c>
      <c r="J1430" s="2" t="s">
        <v>40</v>
      </c>
      <c r="K1430" s="2" t="s">
        <v>71</v>
      </c>
      <c r="L1430" s="2" t="s">
        <v>9</v>
      </c>
      <c r="M1430" s="2" t="s">
        <v>20</v>
      </c>
      <c r="N1430" s="2" t="s">
        <v>19</v>
      </c>
      <c r="O1430" s="2" t="s">
        <v>12</v>
      </c>
      <c r="P1430" s="2" t="s">
        <v>35</v>
      </c>
      <c r="Q1430" s="2" t="s">
        <v>16</v>
      </c>
      <c r="R1430" s="2" t="s">
        <v>18</v>
      </c>
      <c r="S1430">
        <v>5</v>
      </c>
    </row>
    <row r="1431" spans="1:19" x14ac:dyDescent="0.3">
      <c r="A1431">
        <v>2211</v>
      </c>
      <c r="B1431">
        <f>YEAR(Cleaned_HR_Data_Analysis__2[[#This Row],[Joining_Date]])</f>
        <v>2020</v>
      </c>
      <c r="C1431" s="1">
        <v>43931</v>
      </c>
      <c r="D1431" s="1" t="str" cm="1">
        <f t="array" ref="D1431">_xlfn.IFS(E1431&lt;28, "17-27",
AND(E1431&gt;27, E1431&lt;38), "28-37",
AND(E1431&gt;37, E1431 &lt;48), "38-47",
AND(E1431&gt;47, E1431 &lt;58), "48-57",
AND(E1431&gt;57, E1431&lt;68), "58-67",
AND(E1431&gt;67, E1431&lt;78), "68-77",
E1431&gt;77,"Above than 77")</f>
        <v>48-57</v>
      </c>
      <c r="E1431">
        <v>49</v>
      </c>
      <c r="F1431" s="1">
        <v>26169</v>
      </c>
      <c r="G1431" s="1" t="str">
        <f>VLOOKUP(H1431,Table7[#All], 2, FALSE)</f>
        <v>Connecticut</v>
      </c>
      <c r="H1431" s="2" t="s">
        <v>36</v>
      </c>
      <c r="I1431" s="2" t="s">
        <v>15</v>
      </c>
      <c r="J1431" s="2" t="s">
        <v>34</v>
      </c>
      <c r="K1431" s="2" t="s">
        <v>70</v>
      </c>
      <c r="L1431" s="2" t="s">
        <v>9</v>
      </c>
      <c r="M1431" s="2" t="s">
        <v>10</v>
      </c>
      <c r="N1431" s="2" t="s">
        <v>11</v>
      </c>
      <c r="O1431" s="2" t="s">
        <v>53</v>
      </c>
      <c r="P1431" s="2" t="s">
        <v>35</v>
      </c>
      <c r="Q1431" s="2" t="s">
        <v>16</v>
      </c>
      <c r="R1431" s="2" t="s">
        <v>41</v>
      </c>
      <c r="S1431">
        <v>5</v>
      </c>
    </row>
    <row r="1432" spans="1:19" x14ac:dyDescent="0.3">
      <c r="A1432">
        <v>2238</v>
      </c>
      <c r="B1432">
        <f>YEAR(Cleaned_HR_Data_Analysis__2[[#This Row],[Joining_Date]])</f>
        <v>2021</v>
      </c>
      <c r="C1432" s="1">
        <v>44259</v>
      </c>
      <c r="D1432" s="1" t="str" cm="1">
        <f t="array" ref="D1432">_xlfn.IFS(E1432&lt;28, "17-27",
AND(E1432&gt;27, E1432&lt;38), "28-37",
AND(E1432&gt;37, E1432 &lt;48), "38-47",
AND(E1432&gt;47, E1432 &lt;58), "48-57",
AND(E1432&gt;57, E1432&lt;68), "58-67",
AND(E1432&gt;67, E1432&lt;78), "68-77",
E1432&gt;77,"Above than 77")</f>
        <v>48-57</v>
      </c>
      <c r="E1432">
        <v>49</v>
      </c>
      <c r="F1432" s="1">
        <v>26315</v>
      </c>
      <c r="G1432" s="1" t="str">
        <f>VLOOKUP(H1432,Table7[#All], 2, FALSE)</f>
        <v>Connecticut</v>
      </c>
      <c r="H1432" s="2" t="s">
        <v>36</v>
      </c>
      <c r="I1432" s="2" t="s">
        <v>22</v>
      </c>
      <c r="J1432" s="2" t="s">
        <v>17</v>
      </c>
      <c r="K1432" s="2" t="s">
        <v>102</v>
      </c>
      <c r="L1432" s="2" t="s">
        <v>9</v>
      </c>
      <c r="M1432" s="2" t="s">
        <v>20</v>
      </c>
      <c r="N1432" s="2" t="s">
        <v>26</v>
      </c>
      <c r="O1432" s="2" t="s">
        <v>53</v>
      </c>
      <c r="P1432" s="2" t="s">
        <v>54</v>
      </c>
      <c r="Q1432" s="2" t="s">
        <v>23</v>
      </c>
      <c r="R1432" s="2" t="s">
        <v>18</v>
      </c>
      <c r="S1432">
        <v>4</v>
      </c>
    </row>
    <row r="1433" spans="1:19" x14ac:dyDescent="0.3">
      <c r="A1433">
        <v>2553</v>
      </c>
      <c r="B1433">
        <f>YEAR(Cleaned_HR_Data_Analysis__2[[#This Row],[Joining_Date]])</f>
        <v>2022</v>
      </c>
      <c r="C1433" s="1">
        <v>44792</v>
      </c>
      <c r="D1433" s="1" t="str" cm="1">
        <f t="array" ref="D1433">_xlfn.IFS(E1433&lt;28, "17-27",
AND(E1433&gt;27, E1433&lt;38), "28-37",
AND(E1433&gt;37, E1433 &lt;48), "38-47",
AND(E1433&gt;47, E1433 &lt;58), "48-57",
AND(E1433&gt;57, E1433&lt;68), "58-67",
AND(E1433&gt;67, E1433&lt;78), "68-77",
E1433&gt;77,"Above than 77")</f>
        <v>48-57</v>
      </c>
      <c r="E1433">
        <v>49</v>
      </c>
      <c r="F1433" s="1">
        <v>26946</v>
      </c>
      <c r="G1433" s="1" t="str">
        <f>VLOOKUP(H1433,Table7[#All], 2, FALSE)</f>
        <v>Massachusetts</v>
      </c>
      <c r="H1433" s="2" t="s">
        <v>14</v>
      </c>
      <c r="I1433" s="2" t="s">
        <v>22</v>
      </c>
      <c r="J1433" s="2" t="s">
        <v>40</v>
      </c>
      <c r="K1433" s="2" t="s">
        <v>103</v>
      </c>
      <c r="L1433" s="2" t="s">
        <v>9</v>
      </c>
      <c r="M1433" s="2" t="s">
        <v>10</v>
      </c>
      <c r="N1433" s="2" t="s">
        <v>26</v>
      </c>
      <c r="O1433" s="2" t="s">
        <v>53</v>
      </c>
      <c r="P1433" s="2" t="s">
        <v>21</v>
      </c>
      <c r="Q1433" s="2" t="s">
        <v>30</v>
      </c>
      <c r="R1433" s="2" t="s">
        <v>18</v>
      </c>
      <c r="S1433">
        <v>2</v>
      </c>
    </row>
    <row r="1434" spans="1:19" x14ac:dyDescent="0.3">
      <c r="A1434">
        <v>2737</v>
      </c>
      <c r="B1434">
        <f>YEAR(Cleaned_HR_Data_Analysis__2[[#This Row],[Joining_Date]])</f>
        <v>2021</v>
      </c>
      <c r="C1434" s="1">
        <v>44428</v>
      </c>
      <c r="D1434" s="1" t="str" cm="1">
        <f t="array" ref="D1434">_xlfn.IFS(E1434&lt;28, "17-27",
AND(E1434&gt;27, E1434&lt;38), "28-37",
AND(E1434&gt;37, E1434 &lt;48), "38-47",
AND(E1434&gt;47, E1434 &lt;58), "48-57",
AND(E1434&gt;57, E1434&lt;68), "58-67",
AND(E1434&gt;67, E1434&lt;78), "68-77",
E1434&gt;77,"Above than 77")</f>
        <v>48-57</v>
      </c>
      <c r="E1434">
        <v>49</v>
      </c>
      <c r="F1434" s="1">
        <v>26445</v>
      </c>
      <c r="G1434" s="1" t="str">
        <f>VLOOKUP(H1434,Table7[#All], 2, FALSE)</f>
        <v>Utah</v>
      </c>
      <c r="H1434" s="2" t="s">
        <v>110</v>
      </c>
      <c r="I1434" s="2" t="s">
        <v>22</v>
      </c>
      <c r="J1434" s="2" t="s">
        <v>34</v>
      </c>
      <c r="K1434" s="2" t="s">
        <v>24</v>
      </c>
      <c r="L1434" s="2" t="s">
        <v>9</v>
      </c>
      <c r="M1434" s="2" t="s">
        <v>25</v>
      </c>
      <c r="N1434" s="2" t="s">
        <v>11</v>
      </c>
      <c r="O1434" s="2" t="s">
        <v>27</v>
      </c>
      <c r="P1434" s="2" t="s">
        <v>32</v>
      </c>
      <c r="Q1434" s="2" t="s">
        <v>37</v>
      </c>
      <c r="R1434" s="2" t="s">
        <v>18</v>
      </c>
      <c r="S1434">
        <v>5</v>
      </c>
    </row>
    <row r="1435" spans="1:19" x14ac:dyDescent="0.3">
      <c r="A1435">
        <v>1388</v>
      </c>
      <c r="B1435">
        <f>YEAR(Cleaned_HR_Data_Analysis__2[[#This Row],[Joining_Date]])</f>
        <v>2019</v>
      </c>
      <c r="C1435" s="1">
        <v>43594</v>
      </c>
      <c r="D1435" s="1" t="str" cm="1">
        <f t="array" ref="D1435">_xlfn.IFS(E1435&lt;28, "17-27",
AND(E1435&gt;27, E1435&lt;38), "28-37",
AND(E1435&gt;37, E1435 &lt;48), "38-47",
AND(E1435&gt;47, E1435 &lt;58), "48-57",
AND(E1435&gt;57, E1435&lt;68), "58-67",
AND(E1435&gt;67, E1435&lt;78), "68-77",
E1435&gt;77,"Above than 77")</f>
        <v>48-57</v>
      </c>
      <c r="E1435">
        <v>49</v>
      </c>
      <c r="F1435" s="1">
        <v>25925</v>
      </c>
      <c r="G1435" s="1" t="str">
        <f>VLOOKUP(H1435,Table7[#All], 2, FALSE)</f>
        <v>Massachusetts</v>
      </c>
      <c r="H1435" s="2" t="s">
        <v>14</v>
      </c>
      <c r="I1435" s="2" t="s">
        <v>15</v>
      </c>
      <c r="J1435" s="2" t="s">
        <v>31</v>
      </c>
      <c r="K1435" s="2" t="s">
        <v>96</v>
      </c>
      <c r="L1435" s="2" t="s">
        <v>9</v>
      </c>
      <c r="M1435" s="2" t="s">
        <v>20</v>
      </c>
      <c r="N1435" s="2" t="s">
        <v>26</v>
      </c>
      <c r="O1435" s="2" t="s">
        <v>90</v>
      </c>
      <c r="P1435" s="2" t="s">
        <v>35</v>
      </c>
      <c r="Q1435" s="2" t="s">
        <v>37</v>
      </c>
      <c r="R1435" s="2" t="s">
        <v>41</v>
      </c>
      <c r="S1435">
        <v>2</v>
      </c>
    </row>
    <row r="1436" spans="1:19" x14ac:dyDescent="0.3">
      <c r="A1436">
        <v>3873</v>
      </c>
      <c r="B1436">
        <f>YEAR(Cleaned_HR_Data_Analysis__2[[#This Row],[Joining_Date]])</f>
        <v>2022</v>
      </c>
      <c r="C1436" s="1">
        <v>44624</v>
      </c>
      <c r="D1436" s="1" t="str" cm="1">
        <f t="array" ref="D1436">_xlfn.IFS(E1436&lt;28, "17-27",
AND(E1436&gt;27, E1436&lt;38), "28-37",
AND(E1436&gt;37, E1436 &lt;48), "38-47",
AND(E1436&gt;47, E1436 &lt;58), "48-57",
AND(E1436&gt;57, E1436&lt;68), "58-67",
AND(E1436&gt;67, E1436&lt;78), "68-77",
E1436&gt;77,"Above than 77")</f>
        <v>48-57</v>
      </c>
      <c r="E1436">
        <v>50</v>
      </c>
      <c r="F1436" s="1">
        <v>26599</v>
      </c>
      <c r="G1436" s="1" t="str">
        <f>VLOOKUP(H1436,Table7[#All], 2, FALSE)</f>
        <v>Massachusetts</v>
      </c>
      <c r="H1436" s="2" t="s">
        <v>14</v>
      </c>
      <c r="I1436" s="2" t="s">
        <v>22</v>
      </c>
      <c r="J1436" s="2" t="s">
        <v>17</v>
      </c>
      <c r="K1436" s="2" t="s">
        <v>72</v>
      </c>
      <c r="L1436" s="2" t="s">
        <v>9</v>
      </c>
      <c r="M1436" s="2" t="s">
        <v>25</v>
      </c>
      <c r="N1436" s="2" t="s">
        <v>26</v>
      </c>
      <c r="O1436" s="2" t="s">
        <v>53</v>
      </c>
      <c r="P1436" s="2" t="s">
        <v>44</v>
      </c>
      <c r="Q1436" s="2" t="s">
        <v>23</v>
      </c>
      <c r="R1436" s="2" t="s">
        <v>18</v>
      </c>
      <c r="S1436">
        <v>4</v>
      </c>
    </row>
    <row r="1437" spans="1:19" x14ac:dyDescent="0.3">
      <c r="A1437">
        <v>1062</v>
      </c>
      <c r="B1437">
        <f>YEAR(Cleaned_HR_Data_Analysis__2[[#This Row],[Joining_Date]])</f>
        <v>2019</v>
      </c>
      <c r="C1437" s="1">
        <v>43603</v>
      </c>
      <c r="D1437" s="1" t="str" cm="1">
        <f t="array" ref="D1437">_xlfn.IFS(E1437&lt;28, "17-27",
AND(E1437&gt;27, E1437&lt;38), "28-37",
AND(E1437&gt;37, E1437 &lt;48), "38-47",
AND(E1437&gt;47, E1437 &lt;58), "48-57",
AND(E1437&gt;57, E1437&lt;68), "58-67",
AND(E1437&gt;67, E1437&lt;78), "68-77",
E1437&gt;77,"Above than 77")</f>
        <v>48-57</v>
      </c>
      <c r="E1437">
        <v>50</v>
      </c>
      <c r="F1437" s="1">
        <v>25510</v>
      </c>
      <c r="G1437" s="1" t="str">
        <f>VLOOKUP(H1437,Table7[#All], 2, FALSE)</f>
        <v>Massachusetts</v>
      </c>
      <c r="H1437" s="2" t="s">
        <v>14</v>
      </c>
      <c r="I1437" s="2" t="s">
        <v>22</v>
      </c>
      <c r="J1437" s="2" t="s">
        <v>34</v>
      </c>
      <c r="K1437" s="2" t="s">
        <v>86</v>
      </c>
      <c r="L1437" s="2" t="s">
        <v>66</v>
      </c>
      <c r="M1437" s="2" t="s">
        <v>20</v>
      </c>
      <c r="N1437" s="2" t="s">
        <v>19</v>
      </c>
      <c r="O1437" s="2" t="s">
        <v>87</v>
      </c>
      <c r="P1437" s="2" t="s">
        <v>42</v>
      </c>
      <c r="Q1437" s="2" t="s">
        <v>23</v>
      </c>
      <c r="R1437" s="2" t="s">
        <v>18</v>
      </c>
      <c r="S1437">
        <v>2</v>
      </c>
    </row>
    <row r="1438" spans="1:19" x14ac:dyDescent="0.3">
      <c r="A1438">
        <v>1003</v>
      </c>
      <c r="B1438">
        <f>YEAR(Cleaned_HR_Data_Analysis__2[[#This Row],[Joining_Date]])</f>
        <v>2023</v>
      </c>
      <c r="C1438" s="1">
        <v>44993</v>
      </c>
      <c r="D1438" s="1" t="str" cm="1">
        <f t="array" ref="D1438">_xlfn.IFS(E1438&lt;28, "17-27",
AND(E1438&gt;27, E1438&lt;38), "28-37",
AND(E1438&gt;37, E1438 &lt;48), "38-47",
AND(E1438&gt;47, E1438 &lt;58), "48-57",
AND(E1438&gt;57, E1438&lt;68), "58-67",
AND(E1438&gt;67, E1438&lt;78), "68-77",
E1438&gt;77,"Above than 77")</f>
        <v>48-57</v>
      </c>
      <c r="E1438">
        <v>50</v>
      </c>
      <c r="F1438" s="1">
        <v>26991</v>
      </c>
      <c r="G1438" s="1" t="str">
        <f>VLOOKUP(H1438,Table7[#All], 2, FALSE)</f>
        <v>Massachusetts</v>
      </c>
      <c r="H1438" s="2" t="s">
        <v>14</v>
      </c>
      <c r="I1438" s="2" t="s">
        <v>15</v>
      </c>
      <c r="J1438" s="2" t="s">
        <v>34</v>
      </c>
      <c r="K1438" s="2" t="s">
        <v>86</v>
      </c>
      <c r="L1438" s="2" t="s">
        <v>9</v>
      </c>
      <c r="M1438" s="2" t="s">
        <v>10</v>
      </c>
      <c r="N1438" s="2" t="s">
        <v>19</v>
      </c>
      <c r="O1438" s="2" t="s">
        <v>87</v>
      </c>
      <c r="P1438" s="2" t="s">
        <v>35</v>
      </c>
      <c r="Q1438" s="2" t="s">
        <v>16</v>
      </c>
      <c r="R1438" s="2" t="s">
        <v>18</v>
      </c>
      <c r="S1438">
        <v>5</v>
      </c>
    </row>
    <row r="1439" spans="1:19" x14ac:dyDescent="0.3">
      <c r="A1439">
        <v>1657</v>
      </c>
      <c r="B1439">
        <f>YEAR(Cleaned_HR_Data_Analysis__2[[#This Row],[Joining_Date]])</f>
        <v>2019</v>
      </c>
      <c r="C1439" s="1">
        <v>43609</v>
      </c>
      <c r="D1439" s="1" t="str" cm="1">
        <f t="array" ref="D1439">_xlfn.IFS(E1439&lt;28, "17-27",
AND(E1439&gt;27, E1439&lt;38), "28-37",
AND(E1439&gt;37, E1439 &lt;48), "38-47",
AND(E1439&gt;47, E1439 &lt;58), "48-57",
AND(E1439&gt;57, E1439&lt;68), "58-67",
AND(E1439&gt;67, E1439&lt;78), "68-77",
E1439&gt;77,"Above than 77")</f>
        <v>48-57</v>
      </c>
      <c r="E1439">
        <v>50</v>
      </c>
      <c r="F1439" s="1">
        <v>25445</v>
      </c>
      <c r="G1439" s="1" t="str">
        <f>VLOOKUP(H1439,Table7[#All], 2, FALSE)</f>
        <v>Massachusetts</v>
      </c>
      <c r="H1439" s="2" t="s">
        <v>14</v>
      </c>
      <c r="I1439" s="2" t="s">
        <v>22</v>
      </c>
      <c r="J1439" s="2" t="s">
        <v>34</v>
      </c>
      <c r="K1439" s="2" t="s">
        <v>98</v>
      </c>
      <c r="L1439" s="2" t="s">
        <v>9</v>
      </c>
      <c r="M1439" s="2" t="s">
        <v>10</v>
      </c>
      <c r="N1439" s="2" t="s">
        <v>26</v>
      </c>
      <c r="O1439" s="2" t="s">
        <v>53</v>
      </c>
      <c r="P1439" s="2" t="s">
        <v>42</v>
      </c>
      <c r="Q1439" s="2" t="s">
        <v>30</v>
      </c>
      <c r="R1439" s="2" t="s">
        <v>18</v>
      </c>
      <c r="S1439">
        <v>5</v>
      </c>
    </row>
    <row r="1440" spans="1:19" x14ac:dyDescent="0.3">
      <c r="A1440">
        <v>3139</v>
      </c>
      <c r="B1440">
        <f>YEAR(Cleaned_HR_Data_Analysis__2[[#This Row],[Joining_Date]])</f>
        <v>2021</v>
      </c>
      <c r="C1440" s="1">
        <v>44519</v>
      </c>
      <c r="D1440" s="1" t="str" cm="1">
        <f t="array" ref="D1440">_xlfn.IFS(E1440&lt;28, "17-27",
AND(E1440&gt;27, E1440&lt;38), "28-37",
AND(E1440&gt;37, E1440 &lt;48), "38-47",
AND(E1440&gt;47, E1440 &lt;58), "48-57",
AND(E1440&gt;57, E1440&lt;68), "58-67",
AND(E1440&gt;67, E1440&lt;78), "68-77",
E1440&gt;77,"Above than 77")</f>
        <v>48-57</v>
      </c>
      <c r="E1440">
        <v>50</v>
      </c>
      <c r="F1440" s="1">
        <v>26156</v>
      </c>
      <c r="G1440" s="1" t="str">
        <f>VLOOKUP(H1440,Table7[#All], 2, FALSE)</f>
        <v>Massachusetts</v>
      </c>
      <c r="H1440" s="2" t="s">
        <v>14</v>
      </c>
      <c r="I1440" s="2" t="s">
        <v>15</v>
      </c>
      <c r="J1440" s="2" t="s">
        <v>31</v>
      </c>
      <c r="K1440" s="2" t="s">
        <v>64</v>
      </c>
      <c r="L1440" s="2" t="s">
        <v>9</v>
      </c>
      <c r="M1440" s="2" t="s">
        <v>20</v>
      </c>
      <c r="N1440" s="2" t="s">
        <v>19</v>
      </c>
      <c r="O1440" s="2" t="s">
        <v>12</v>
      </c>
      <c r="P1440" s="2" t="s">
        <v>35</v>
      </c>
      <c r="Q1440" s="2" t="s">
        <v>46</v>
      </c>
      <c r="R1440" s="2" t="s">
        <v>18</v>
      </c>
      <c r="S1440">
        <v>2</v>
      </c>
    </row>
    <row r="1441" spans="1:19" x14ac:dyDescent="0.3">
      <c r="A1441">
        <v>3050</v>
      </c>
      <c r="B1441">
        <f>YEAR(Cleaned_HR_Data_Analysis__2[[#This Row],[Joining_Date]])</f>
        <v>2020</v>
      </c>
      <c r="C1441" s="1">
        <v>43871</v>
      </c>
      <c r="D1441" s="1" t="str" cm="1">
        <f t="array" ref="D1441">_xlfn.IFS(E1441&lt;28, "17-27",
AND(E1441&gt;27, E1441&lt;38), "28-37",
AND(E1441&gt;37, E1441 &lt;48), "38-47",
AND(E1441&gt;47, E1441 &lt;58), "48-57",
AND(E1441&gt;57, E1441&lt;68), "58-67",
AND(E1441&gt;67, E1441&lt;78), "68-77",
E1441&gt;77,"Above than 77")</f>
        <v>48-57</v>
      </c>
      <c r="E1441">
        <v>50</v>
      </c>
      <c r="F1441" s="1">
        <v>25833</v>
      </c>
      <c r="G1441" s="1" t="str">
        <f>VLOOKUP(H1441,Table7[#All], 2, FALSE)</f>
        <v>Massachusetts</v>
      </c>
      <c r="H1441" s="2" t="s">
        <v>14</v>
      </c>
      <c r="I1441" s="2" t="s">
        <v>15</v>
      </c>
      <c r="J1441" s="2" t="s">
        <v>31</v>
      </c>
      <c r="K1441" s="2" t="s">
        <v>64</v>
      </c>
      <c r="L1441" s="2" t="s">
        <v>9</v>
      </c>
      <c r="M1441" s="2" t="s">
        <v>10</v>
      </c>
      <c r="N1441" s="2" t="s">
        <v>11</v>
      </c>
      <c r="O1441" s="2" t="s">
        <v>12</v>
      </c>
      <c r="P1441" s="2" t="s">
        <v>49</v>
      </c>
      <c r="Q1441" s="2" t="s">
        <v>16</v>
      </c>
      <c r="R1441" s="2" t="s">
        <v>18</v>
      </c>
      <c r="S1441">
        <v>3</v>
      </c>
    </row>
    <row r="1442" spans="1:19" x14ac:dyDescent="0.3">
      <c r="A1442">
        <v>2191</v>
      </c>
      <c r="B1442">
        <f>YEAR(Cleaned_HR_Data_Analysis__2[[#This Row],[Joining_Date]])</f>
        <v>2021</v>
      </c>
      <c r="C1442" s="1">
        <v>44241</v>
      </c>
      <c r="D1442" s="1" t="str" cm="1">
        <f t="array" ref="D1442">_xlfn.IFS(E1442&lt;28, "17-27",
AND(E1442&gt;27, E1442&lt;38), "28-37",
AND(E1442&gt;37, E1442 &lt;48), "38-47",
AND(E1442&gt;47, E1442 &lt;58), "48-57",
AND(E1442&gt;57, E1442&lt;68), "58-67",
AND(E1442&gt;67, E1442&lt;78), "68-77",
E1442&gt;77,"Above than 77")</f>
        <v>48-57</v>
      </c>
      <c r="E1442">
        <v>50</v>
      </c>
      <c r="F1442" s="1">
        <v>26256</v>
      </c>
      <c r="G1442" s="1" t="str">
        <f>VLOOKUP(H1442,Table7[#All], 2, FALSE)</f>
        <v>Massachusetts</v>
      </c>
      <c r="H1442" s="2" t="s">
        <v>14</v>
      </c>
      <c r="I1442" s="2" t="s">
        <v>15</v>
      </c>
      <c r="J1442" s="2" t="s">
        <v>34</v>
      </c>
      <c r="K1442" s="2" t="s">
        <v>64</v>
      </c>
      <c r="L1442" s="2" t="s">
        <v>9</v>
      </c>
      <c r="M1442" s="2" t="s">
        <v>10</v>
      </c>
      <c r="N1442" s="2" t="s">
        <v>11</v>
      </c>
      <c r="O1442" s="2" t="s">
        <v>12</v>
      </c>
      <c r="P1442" s="2" t="s">
        <v>42</v>
      </c>
      <c r="Q1442" s="2" t="s">
        <v>46</v>
      </c>
      <c r="R1442" s="2" t="s">
        <v>56</v>
      </c>
      <c r="S1442">
        <v>2</v>
      </c>
    </row>
    <row r="1443" spans="1:19" x14ac:dyDescent="0.3">
      <c r="A1443">
        <v>1913</v>
      </c>
      <c r="B1443">
        <f>YEAR(Cleaned_HR_Data_Analysis__2[[#This Row],[Joining_Date]])</f>
        <v>2022</v>
      </c>
      <c r="C1443" s="1">
        <v>44884</v>
      </c>
      <c r="D1443" s="1" t="str" cm="1">
        <f t="array" ref="D1443">_xlfn.IFS(E1443&lt;28, "17-27",
AND(E1443&gt;27, E1443&lt;38), "28-37",
AND(E1443&gt;37, E1443 &lt;48), "38-47",
AND(E1443&gt;47, E1443 &lt;58), "48-57",
AND(E1443&gt;57, E1443&lt;68), "58-67",
AND(E1443&gt;67, E1443&lt;78), "68-77",
E1443&gt;77,"Above than 77")</f>
        <v>48-57</v>
      </c>
      <c r="E1443">
        <v>50</v>
      </c>
      <c r="F1443" s="1">
        <v>26506</v>
      </c>
      <c r="G1443" s="1" t="str">
        <f>VLOOKUP(H1443,Table7[#All], 2, FALSE)</f>
        <v>Massachusetts</v>
      </c>
      <c r="H1443" s="2" t="s">
        <v>14</v>
      </c>
      <c r="I1443" s="2" t="s">
        <v>22</v>
      </c>
      <c r="J1443" s="2" t="s">
        <v>34</v>
      </c>
      <c r="K1443" s="2" t="s">
        <v>64</v>
      </c>
      <c r="L1443" s="2" t="s">
        <v>66</v>
      </c>
      <c r="M1443" s="2" t="s">
        <v>25</v>
      </c>
      <c r="N1443" s="2" t="s">
        <v>26</v>
      </c>
      <c r="O1443" s="2" t="s">
        <v>12</v>
      </c>
      <c r="P1443" s="2" t="s">
        <v>32</v>
      </c>
      <c r="Q1443" s="2" t="s">
        <v>16</v>
      </c>
      <c r="R1443" s="2" t="s">
        <v>18</v>
      </c>
      <c r="S1443">
        <v>4</v>
      </c>
    </row>
    <row r="1444" spans="1:19" x14ac:dyDescent="0.3">
      <c r="A1444">
        <v>1495</v>
      </c>
      <c r="B1444">
        <f>YEAR(Cleaned_HR_Data_Analysis__2[[#This Row],[Joining_Date]])</f>
        <v>2021</v>
      </c>
      <c r="C1444" s="1">
        <v>44381</v>
      </c>
      <c r="D1444" s="1" t="str" cm="1">
        <f t="array" ref="D1444">_xlfn.IFS(E1444&lt;28, "17-27",
AND(E1444&gt;27, E1444&lt;38), "28-37",
AND(E1444&gt;37, E1444 &lt;48), "38-47",
AND(E1444&gt;47, E1444 &lt;58), "48-57",
AND(E1444&gt;57, E1444&lt;68), "58-67",
AND(E1444&gt;67, E1444&lt;78), "68-77",
E1444&gt;77,"Above than 77")</f>
        <v>48-57</v>
      </c>
      <c r="E1444">
        <v>50</v>
      </c>
      <c r="F1444" s="1">
        <v>25944</v>
      </c>
      <c r="G1444" s="1" t="str">
        <f>VLOOKUP(H1444,Table7[#All], 2, FALSE)</f>
        <v>Massachusetts</v>
      </c>
      <c r="H1444" s="2" t="s">
        <v>14</v>
      </c>
      <c r="I1444" s="2" t="s">
        <v>22</v>
      </c>
      <c r="J1444" s="2" t="s">
        <v>31</v>
      </c>
      <c r="K1444" s="2" t="s">
        <v>64</v>
      </c>
      <c r="L1444" s="2" t="s">
        <v>9</v>
      </c>
      <c r="M1444" s="2" t="s">
        <v>20</v>
      </c>
      <c r="N1444" s="2" t="s">
        <v>19</v>
      </c>
      <c r="O1444" s="2" t="s">
        <v>12</v>
      </c>
      <c r="P1444" s="2" t="s">
        <v>32</v>
      </c>
      <c r="Q1444" s="2" t="s">
        <v>23</v>
      </c>
      <c r="R1444" s="2" t="s">
        <v>18</v>
      </c>
      <c r="S1444">
        <v>3</v>
      </c>
    </row>
    <row r="1445" spans="1:19" x14ac:dyDescent="0.3">
      <c r="A1445">
        <v>3748</v>
      </c>
      <c r="B1445">
        <f>YEAR(Cleaned_HR_Data_Analysis__2[[#This Row],[Joining_Date]])</f>
        <v>2019</v>
      </c>
      <c r="C1445" s="1">
        <v>43561</v>
      </c>
      <c r="D1445" s="1" t="str" cm="1">
        <f t="array" ref="D1445">_xlfn.IFS(E1445&lt;28, "17-27",
AND(E1445&gt;27, E1445&lt;38), "28-37",
AND(E1445&gt;37, E1445 &lt;48), "38-47",
AND(E1445&gt;47, E1445 &lt;58), "48-57",
AND(E1445&gt;57, E1445&lt;68), "58-67",
AND(E1445&gt;67, E1445&lt;78), "68-77",
E1445&gt;77,"Above than 77")</f>
        <v>48-57</v>
      </c>
      <c r="E1445">
        <v>50</v>
      </c>
      <c r="F1445" s="1">
        <v>25435</v>
      </c>
      <c r="G1445" s="1" t="str">
        <f>VLOOKUP(H1445,Table7[#All], 2, FALSE)</f>
        <v>Massachusetts</v>
      </c>
      <c r="H1445" s="2" t="s">
        <v>14</v>
      </c>
      <c r="I1445" s="2" t="s">
        <v>22</v>
      </c>
      <c r="J1445" s="2" t="s">
        <v>34</v>
      </c>
      <c r="K1445" s="2" t="s">
        <v>8</v>
      </c>
      <c r="L1445" s="2" t="s">
        <v>9</v>
      </c>
      <c r="M1445" s="2" t="s">
        <v>25</v>
      </c>
      <c r="N1445" s="2" t="s">
        <v>11</v>
      </c>
      <c r="O1445" s="2" t="s">
        <v>12</v>
      </c>
      <c r="P1445" s="2" t="s">
        <v>32</v>
      </c>
      <c r="Q1445" s="2" t="s">
        <v>30</v>
      </c>
      <c r="R1445" s="2" t="s">
        <v>18</v>
      </c>
      <c r="S1445">
        <v>1</v>
      </c>
    </row>
    <row r="1446" spans="1:19" x14ac:dyDescent="0.3">
      <c r="A1446">
        <v>3724</v>
      </c>
      <c r="B1446">
        <f>YEAR(Cleaned_HR_Data_Analysis__2[[#This Row],[Joining_Date]])</f>
        <v>2019</v>
      </c>
      <c r="C1446" s="1">
        <v>43748</v>
      </c>
      <c r="D1446" s="1" t="str" cm="1">
        <f t="array" ref="D1446">_xlfn.IFS(E1446&lt;28, "17-27",
AND(E1446&gt;27, E1446&lt;38), "28-37",
AND(E1446&gt;37, E1446 &lt;48), "38-47",
AND(E1446&gt;47, E1446 &lt;58), "48-57",
AND(E1446&gt;57, E1446&lt;68), "58-67",
AND(E1446&gt;67, E1446&lt;78), "68-77",
E1446&gt;77,"Above than 77")</f>
        <v>48-57</v>
      </c>
      <c r="E1446">
        <v>50</v>
      </c>
      <c r="F1446" s="1">
        <v>25532</v>
      </c>
      <c r="G1446" s="1" t="str">
        <f>VLOOKUP(H1446,Table7[#All], 2, FALSE)</f>
        <v>Massachusetts</v>
      </c>
      <c r="H1446" s="2" t="s">
        <v>14</v>
      </c>
      <c r="I1446" s="2" t="s">
        <v>22</v>
      </c>
      <c r="J1446" s="2" t="s">
        <v>40</v>
      </c>
      <c r="K1446" s="2" t="s">
        <v>8</v>
      </c>
      <c r="L1446" s="2" t="s">
        <v>66</v>
      </c>
      <c r="M1446" s="2" t="s">
        <v>20</v>
      </c>
      <c r="N1446" s="2" t="s">
        <v>11</v>
      </c>
      <c r="O1446" s="2" t="s">
        <v>12</v>
      </c>
      <c r="P1446" s="2" t="s">
        <v>35</v>
      </c>
      <c r="Q1446" s="2" t="s">
        <v>46</v>
      </c>
      <c r="R1446" s="2" t="s">
        <v>18</v>
      </c>
      <c r="S1446">
        <v>2</v>
      </c>
    </row>
    <row r="1447" spans="1:19" x14ac:dyDescent="0.3">
      <c r="A1447">
        <v>3723</v>
      </c>
      <c r="B1447">
        <f>YEAR(Cleaned_HR_Data_Analysis__2[[#This Row],[Joining_Date]])</f>
        <v>2022</v>
      </c>
      <c r="C1447" s="1">
        <v>44680</v>
      </c>
      <c r="D1447" s="1" t="str" cm="1">
        <f t="array" ref="D1447">_xlfn.IFS(E1447&lt;28, "17-27",
AND(E1447&gt;27, E1447&lt;38), "28-37",
AND(E1447&gt;37, E1447 &lt;48), "38-47",
AND(E1447&gt;47, E1447 &lt;58), "48-57",
AND(E1447&gt;57, E1447&lt;68), "58-67",
AND(E1447&gt;67, E1447&lt;78), "68-77",
E1447&gt;77,"Above than 77")</f>
        <v>48-57</v>
      </c>
      <c r="E1447">
        <v>50</v>
      </c>
      <c r="F1447" s="1">
        <v>26541</v>
      </c>
      <c r="G1447" s="1" t="str">
        <f>VLOOKUP(H1447,Table7[#All], 2, FALSE)</f>
        <v>Massachusetts</v>
      </c>
      <c r="H1447" s="2" t="s">
        <v>14</v>
      </c>
      <c r="I1447" s="2" t="s">
        <v>22</v>
      </c>
      <c r="J1447" s="2" t="s">
        <v>34</v>
      </c>
      <c r="K1447" s="2" t="s">
        <v>8</v>
      </c>
      <c r="L1447" s="2" t="s">
        <v>66</v>
      </c>
      <c r="M1447" s="2" t="s">
        <v>25</v>
      </c>
      <c r="N1447" s="2" t="s">
        <v>19</v>
      </c>
      <c r="O1447" s="2" t="s">
        <v>12</v>
      </c>
      <c r="P1447" s="2" t="s">
        <v>59</v>
      </c>
      <c r="Q1447" s="2" t="s">
        <v>46</v>
      </c>
      <c r="R1447" s="2" t="s">
        <v>18</v>
      </c>
      <c r="S1447">
        <v>1</v>
      </c>
    </row>
    <row r="1448" spans="1:19" x14ac:dyDescent="0.3">
      <c r="A1448">
        <v>3709</v>
      </c>
      <c r="B1448">
        <f>YEAR(Cleaned_HR_Data_Analysis__2[[#This Row],[Joining_Date]])</f>
        <v>2019</v>
      </c>
      <c r="C1448" s="1">
        <v>43500</v>
      </c>
      <c r="D1448" s="1" t="str" cm="1">
        <f t="array" ref="D1448">_xlfn.IFS(E1448&lt;28, "17-27",
AND(E1448&gt;27, E1448&lt;38), "28-37",
AND(E1448&gt;37, E1448 &lt;48), "38-47",
AND(E1448&gt;47, E1448 &lt;58), "48-57",
AND(E1448&gt;57, E1448&lt;68), "58-67",
AND(E1448&gt;67, E1448&lt;78), "68-77",
E1448&gt;77,"Above than 77")</f>
        <v>48-57</v>
      </c>
      <c r="E1448">
        <v>50</v>
      </c>
      <c r="F1448" s="1">
        <v>25464</v>
      </c>
      <c r="G1448" s="1" t="str">
        <f>VLOOKUP(H1448,Table7[#All], 2, FALSE)</f>
        <v>Massachusetts</v>
      </c>
      <c r="H1448" s="2" t="s">
        <v>14</v>
      </c>
      <c r="I1448" s="2" t="s">
        <v>22</v>
      </c>
      <c r="J1448" s="2" t="s">
        <v>40</v>
      </c>
      <c r="K1448" s="2" t="s">
        <v>8</v>
      </c>
      <c r="L1448" s="2" t="s">
        <v>9</v>
      </c>
      <c r="M1448" s="2" t="s">
        <v>25</v>
      </c>
      <c r="N1448" s="2" t="s">
        <v>11</v>
      </c>
      <c r="O1448" s="2" t="s">
        <v>12</v>
      </c>
      <c r="P1448" s="2" t="s">
        <v>49</v>
      </c>
      <c r="Q1448" s="2" t="s">
        <v>37</v>
      </c>
      <c r="R1448" s="2" t="s">
        <v>41</v>
      </c>
      <c r="S1448">
        <v>5</v>
      </c>
    </row>
    <row r="1449" spans="1:19" x14ac:dyDescent="0.3">
      <c r="A1449">
        <v>3662</v>
      </c>
      <c r="B1449">
        <f>YEAR(Cleaned_HR_Data_Analysis__2[[#This Row],[Joining_Date]])</f>
        <v>2023</v>
      </c>
      <c r="C1449" s="1">
        <v>45090</v>
      </c>
      <c r="D1449" s="1" t="str" cm="1">
        <f t="array" ref="D1449">_xlfn.IFS(E1449&lt;28, "17-27",
AND(E1449&gt;27, E1449&lt;38), "28-37",
AND(E1449&gt;37, E1449 &lt;48), "38-47",
AND(E1449&gt;47, E1449 &lt;58), "48-57",
AND(E1449&gt;57, E1449&lt;68), "58-67",
AND(E1449&gt;67, E1449&lt;78), "68-77",
E1449&gt;77,"Above than 77")</f>
        <v>48-57</v>
      </c>
      <c r="E1449">
        <v>50</v>
      </c>
      <c r="F1449" s="1">
        <v>26772</v>
      </c>
      <c r="G1449" s="1" t="str">
        <f>VLOOKUP(H1449,Table7[#All], 2, FALSE)</f>
        <v>Massachusetts</v>
      </c>
      <c r="H1449" s="2" t="s">
        <v>14</v>
      </c>
      <c r="I1449" s="2" t="s">
        <v>22</v>
      </c>
      <c r="J1449" s="2" t="s">
        <v>34</v>
      </c>
      <c r="K1449" s="2" t="s">
        <v>8</v>
      </c>
      <c r="L1449" s="2" t="s">
        <v>9</v>
      </c>
      <c r="M1449" s="2" t="s">
        <v>25</v>
      </c>
      <c r="N1449" s="2" t="s">
        <v>26</v>
      </c>
      <c r="O1449" s="2" t="s">
        <v>12</v>
      </c>
      <c r="P1449" s="2" t="s">
        <v>59</v>
      </c>
      <c r="Q1449" s="2" t="s">
        <v>30</v>
      </c>
      <c r="R1449" s="2" t="s">
        <v>41</v>
      </c>
      <c r="S1449">
        <v>5</v>
      </c>
    </row>
    <row r="1450" spans="1:19" x14ac:dyDescent="0.3">
      <c r="A1450">
        <v>3594</v>
      </c>
      <c r="B1450">
        <f>YEAR(Cleaned_HR_Data_Analysis__2[[#This Row],[Joining_Date]])</f>
        <v>2018</v>
      </c>
      <c r="C1450" s="1">
        <v>43445</v>
      </c>
      <c r="D1450" s="1" t="str" cm="1">
        <f t="array" ref="D1450">_xlfn.IFS(E1450&lt;28, "17-27",
AND(E1450&gt;27, E1450&lt;38), "28-37",
AND(E1450&gt;37, E1450 &lt;48), "38-47",
AND(E1450&gt;47, E1450 &lt;58), "48-57",
AND(E1450&gt;57, E1450&lt;68), "58-67",
AND(E1450&gt;67, E1450&lt;78), "68-77",
E1450&gt;77,"Above than 77")</f>
        <v>48-57</v>
      </c>
      <c r="E1450">
        <v>50</v>
      </c>
      <c r="F1450" s="1">
        <v>24911</v>
      </c>
      <c r="G1450" s="1" t="str">
        <f>VLOOKUP(H1450,Table7[#All], 2, FALSE)</f>
        <v>Massachusetts</v>
      </c>
      <c r="H1450" s="2" t="s">
        <v>14</v>
      </c>
      <c r="I1450" s="2" t="s">
        <v>22</v>
      </c>
      <c r="J1450" s="2" t="s">
        <v>34</v>
      </c>
      <c r="K1450" s="2" t="s">
        <v>8</v>
      </c>
      <c r="L1450" s="2" t="s">
        <v>9</v>
      </c>
      <c r="M1450" s="2" t="s">
        <v>20</v>
      </c>
      <c r="N1450" s="2" t="s">
        <v>26</v>
      </c>
      <c r="O1450" s="2" t="s">
        <v>12</v>
      </c>
      <c r="P1450" s="2" t="s">
        <v>35</v>
      </c>
      <c r="Q1450" s="2" t="s">
        <v>37</v>
      </c>
      <c r="R1450" s="2" t="s">
        <v>56</v>
      </c>
      <c r="S1450">
        <v>5</v>
      </c>
    </row>
    <row r="1451" spans="1:19" x14ac:dyDescent="0.3">
      <c r="A1451">
        <v>3427</v>
      </c>
      <c r="B1451">
        <f>YEAR(Cleaned_HR_Data_Analysis__2[[#This Row],[Joining_Date]])</f>
        <v>2019</v>
      </c>
      <c r="C1451" s="1">
        <v>43728</v>
      </c>
      <c r="D1451" s="1" t="str" cm="1">
        <f t="array" ref="D1451">_xlfn.IFS(E1451&lt;28, "17-27",
AND(E1451&gt;27, E1451&lt;38), "28-37",
AND(E1451&gt;37, E1451 &lt;48), "38-47",
AND(E1451&gt;47, E1451 &lt;58), "48-57",
AND(E1451&gt;57, E1451&lt;68), "58-67",
AND(E1451&gt;67, E1451&lt;78), "68-77",
E1451&gt;77,"Above than 77")</f>
        <v>48-57</v>
      </c>
      <c r="E1451">
        <v>50</v>
      </c>
      <c r="F1451" s="1">
        <v>25483</v>
      </c>
      <c r="G1451" s="1" t="str">
        <f>VLOOKUP(H1451,Table7[#All], 2, FALSE)</f>
        <v>Massachusetts</v>
      </c>
      <c r="H1451" s="2" t="s">
        <v>14</v>
      </c>
      <c r="I1451" s="2" t="s">
        <v>15</v>
      </c>
      <c r="J1451" s="2" t="s">
        <v>17</v>
      </c>
      <c r="K1451" s="2" t="s">
        <v>8</v>
      </c>
      <c r="L1451" s="2" t="s">
        <v>9</v>
      </c>
      <c r="M1451" s="2" t="s">
        <v>10</v>
      </c>
      <c r="N1451" s="2" t="s">
        <v>11</v>
      </c>
      <c r="O1451" s="2" t="s">
        <v>12</v>
      </c>
      <c r="P1451" s="2" t="s">
        <v>13</v>
      </c>
      <c r="Q1451" s="2" t="s">
        <v>16</v>
      </c>
      <c r="R1451" s="2" t="s">
        <v>18</v>
      </c>
      <c r="S1451">
        <v>2</v>
      </c>
    </row>
    <row r="1452" spans="1:19" x14ac:dyDescent="0.3">
      <c r="A1452">
        <v>3402</v>
      </c>
      <c r="B1452">
        <f>YEAR(Cleaned_HR_Data_Analysis__2[[#This Row],[Joining_Date]])</f>
        <v>2021</v>
      </c>
      <c r="C1452" s="1">
        <v>44258</v>
      </c>
      <c r="D1452" s="1" t="str" cm="1">
        <f t="array" ref="D1452">_xlfn.IFS(E1452&lt;28, "17-27",
AND(E1452&gt;27, E1452&lt;38), "28-37",
AND(E1452&gt;37, E1452 &lt;48), "38-47",
AND(E1452&gt;47, E1452 &lt;58), "48-57",
AND(E1452&gt;57, E1452&lt;68), "58-67",
AND(E1452&gt;67, E1452&lt;78), "68-77",
E1452&gt;77,"Above than 77")</f>
        <v>48-57</v>
      </c>
      <c r="E1452">
        <v>50</v>
      </c>
      <c r="F1452" s="1">
        <v>26267</v>
      </c>
      <c r="G1452" s="1" t="str">
        <f>VLOOKUP(H1452,Table7[#All], 2, FALSE)</f>
        <v>Massachusetts</v>
      </c>
      <c r="H1452" s="2" t="s">
        <v>14</v>
      </c>
      <c r="I1452" s="2" t="s">
        <v>22</v>
      </c>
      <c r="J1452" s="2" t="s">
        <v>31</v>
      </c>
      <c r="K1452" s="2" t="s">
        <v>8</v>
      </c>
      <c r="L1452" s="2" t="s">
        <v>66</v>
      </c>
      <c r="M1452" s="2" t="s">
        <v>20</v>
      </c>
      <c r="N1452" s="2" t="s">
        <v>11</v>
      </c>
      <c r="O1452" s="2" t="s">
        <v>12</v>
      </c>
      <c r="P1452" s="2" t="s">
        <v>35</v>
      </c>
      <c r="Q1452" s="2" t="s">
        <v>37</v>
      </c>
      <c r="R1452" s="2" t="s">
        <v>18</v>
      </c>
      <c r="S1452">
        <v>4</v>
      </c>
    </row>
    <row r="1453" spans="1:19" x14ac:dyDescent="0.3">
      <c r="A1453">
        <v>3184</v>
      </c>
      <c r="B1453">
        <f>YEAR(Cleaned_HR_Data_Analysis__2[[#This Row],[Joining_Date]])</f>
        <v>2022</v>
      </c>
      <c r="C1453" s="1">
        <v>44694</v>
      </c>
      <c r="D1453" s="1" t="str" cm="1">
        <f t="array" ref="D1453">_xlfn.IFS(E1453&lt;28, "17-27",
AND(E1453&gt;27, E1453&lt;38), "28-37",
AND(E1453&gt;37, E1453 &lt;48), "38-47",
AND(E1453&gt;47, E1453 &lt;58), "48-57",
AND(E1453&gt;57, E1453&lt;68), "58-67",
AND(E1453&gt;67, E1453&lt;78), "68-77",
E1453&gt;77,"Above than 77")</f>
        <v>48-57</v>
      </c>
      <c r="E1453">
        <v>50</v>
      </c>
      <c r="F1453" s="1">
        <v>26440</v>
      </c>
      <c r="G1453" s="1" t="str">
        <f>VLOOKUP(H1453,Table7[#All], 2, FALSE)</f>
        <v>Massachusetts</v>
      </c>
      <c r="H1453" s="2" t="s">
        <v>14</v>
      </c>
      <c r="I1453" s="2" t="s">
        <v>15</v>
      </c>
      <c r="J1453" s="2" t="s">
        <v>31</v>
      </c>
      <c r="K1453" s="2" t="s">
        <v>8</v>
      </c>
      <c r="L1453" s="2" t="s">
        <v>9</v>
      </c>
      <c r="M1453" s="2" t="s">
        <v>20</v>
      </c>
      <c r="N1453" s="2" t="s">
        <v>19</v>
      </c>
      <c r="O1453" s="2" t="s">
        <v>12</v>
      </c>
      <c r="P1453" s="2" t="s">
        <v>35</v>
      </c>
      <c r="Q1453" s="2" t="s">
        <v>23</v>
      </c>
      <c r="R1453" s="2" t="s">
        <v>65</v>
      </c>
      <c r="S1453">
        <v>1</v>
      </c>
    </row>
    <row r="1454" spans="1:19" x14ac:dyDescent="0.3">
      <c r="A1454">
        <v>3107</v>
      </c>
      <c r="B1454">
        <f>YEAR(Cleaned_HR_Data_Analysis__2[[#This Row],[Joining_Date]])</f>
        <v>2021</v>
      </c>
      <c r="C1454" s="1">
        <v>44368</v>
      </c>
      <c r="D1454" s="1" t="str" cm="1">
        <f t="array" ref="D1454">_xlfn.IFS(E1454&lt;28, "17-27",
AND(E1454&gt;27, E1454&lt;38), "28-37",
AND(E1454&gt;37, E1454 &lt;48), "38-47",
AND(E1454&gt;47, E1454 &lt;58), "48-57",
AND(E1454&gt;57, E1454&lt;68), "58-67",
AND(E1454&gt;67, E1454&lt;78), "68-77",
E1454&gt;77,"Above than 77")</f>
        <v>48-57</v>
      </c>
      <c r="E1454">
        <v>50</v>
      </c>
      <c r="F1454" s="1">
        <v>26293</v>
      </c>
      <c r="G1454" s="1" t="str">
        <f>VLOOKUP(H1454,Table7[#All], 2, FALSE)</f>
        <v>Massachusetts</v>
      </c>
      <c r="H1454" s="2" t="s">
        <v>14</v>
      </c>
      <c r="I1454" s="2" t="s">
        <v>15</v>
      </c>
      <c r="J1454" s="2" t="s">
        <v>17</v>
      </c>
      <c r="K1454" s="2" t="s">
        <v>8</v>
      </c>
      <c r="L1454" s="2" t="s">
        <v>9</v>
      </c>
      <c r="M1454" s="2" t="s">
        <v>25</v>
      </c>
      <c r="N1454" s="2" t="s">
        <v>19</v>
      </c>
      <c r="O1454" s="2" t="s">
        <v>12</v>
      </c>
      <c r="P1454" s="2" t="s">
        <v>59</v>
      </c>
      <c r="Q1454" s="2" t="s">
        <v>37</v>
      </c>
      <c r="R1454" s="2" t="s">
        <v>18</v>
      </c>
      <c r="S1454">
        <v>1</v>
      </c>
    </row>
    <row r="1455" spans="1:19" x14ac:dyDescent="0.3">
      <c r="A1455">
        <v>2850</v>
      </c>
      <c r="B1455">
        <f>YEAR(Cleaned_HR_Data_Analysis__2[[#This Row],[Joining_Date]])</f>
        <v>2022</v>
      </c>
      <c r="C1455" s="1">
        <v>44840</v>
      </c>
      <c r="D1455" s="1" t="str" cm="1">
        <f t="array" ref="D1455">_xlfn.IFS(E1455&lt;28, "17-27",
AND(E1455&gt;27, E1455&lt;38), "28-37",
AND(E1455&gt;37, E1455 &lt;48), "38-47",
AND(E1455&gt;47, E1455 &lt;58), "48-57",
AND(E1455&gt;57, E1455&lt;68), "58-67",
AND(E1455&gt;67, E1455&lt;78), "68-77",
E1455&gt;77,"Above than 77")</f>
        <v>48-57</v>
      </c>
      <c r="E1455">
        <v>50</v>
      </c>
      <c r="F1455" s="1">
        <v>26509</v>
      </c>
      <c r="G1455" s="1" t="str">
        <f>VLOOKUP(H1455,Table7[#All], 2, FALSE)</f>
        <v>Massachusetts</v>
      </c>
      <c r="H1455" s="2" t="s">
        <v>14</v>
      </c>
      <c r="I1455" s="2" t="s">
        <v>22</v>
      </c>
      <c r="J1455" s="2" t="s">
        <v>40</v>
      </c>
      <c r="K1455" s="2" t="s">
        <v>8</v>
      </c>
      <c r="L1455" s="2" t="s">
        <v>9</v>
      </c>
      <c r="M1455" s="2" t="s">
        <v>25</v>
      </c>
      <c r="N1455" s="2" t="s">
        <v>11</v>
      </c>
      <c r="O1455" s="2" t="s">
        <v>12</v>
      </c>
      <c r="P1455" s="2" t="s">
        <v>32</v>
      </c>
      <c r="Q1455" s="2" t="s">
        <v>23</v>
      </c>
      <c r="R1455" s="2" t="s">
        <v>41</v>
      </c>
      <c r="S1455">
        <v>1</v>
      </c>
    </row>
    <row r="1456" spans="1:19" x14ac:dyDescent="0.3">
      <c r="A1456">
        <v>2839</v>
      </c>
      <c r="B1456">
        <f>YEAR(Cleaned_HR_Data_Analysis__2[[#This Row],[Joining_Date]])</f>
        <v>2019</v>
      </c>
      <c r="C1456" s="1">
        <v>43805</v>
      </c>
      <c r="D1456" s="1" t="str" cm="1">
        <f t="array" ref="D1456">_xlfn.IFS(E1456&lt;28, "17-27",
AND(E1456&gt;27, E1456&lt;38), "28-37",
AND(E1456&gt;37, E1456 &lt;48), "38-47",
AND(E1456&gt;47, E1456 &lt;58), "48-57",
AND(E1456&gt;57, E1456&lt;68), "58-67",
AND(E1456&gt;67, E1456&lt;78), "68-77",
E1456&gt;77,"Above than 77")</f>
        <v>48-57</v>
      </c>
      <c r="E1456">
        <v>50</v>
      </c>
      <c r="F1456" s="1">
        <v>25452</v>
      </c>
      <c r="G1456" s="1" t="str">
        <f>VLOOKUP(H1456,Table7[#All], 2, FALSE)</f>
        <v>Massachusetts</v>
      </c>
      <c r="H1456" s="2" t="s">
        <v>14</v>
      </c>
      <c r="I1456" s="2" t="s">
        <v>22</v>
      </c>
      <c r="J1456" s="2" t="s">
        <v>34</v>
      </c>
      <c r="K1456" s="2" t="s">
        <v>8</v>
      </c>
      <c r="L1456" s="2" t="s">
        <v>9</v>
      </c>
      <c r="M1456" s="2" t="s">
        <v>20</v>
      </c>
      <c r="N1456" s="2" t="s">
        <v>11</v>
      </c>
      <c r="O1456" s="2" t="s">
        <v>12</v>
      </c>
      <c r="P1456" s="2" t="s">
        <v>32</v>
      </c>
      <c r="Q1456" s="2" t="s">
        <v>37</v>
      </c>
      <c r="R1456" s="2" t="s">
        <v>18</v>
      </c>
      <c r="S1456">
        <v>4</v>
      </c>
    </row>
    <row r="1457" spans="1:19" x14ac:dyDescent="0.3">
      <c r="A1457">
        <v>2084</v>
      </c>
      <c r="B1457">
        <f>YEAR(Cleaned_HR_Data_Analysis__2[[#This Row],[Joining_Date]])</f>
        <v>2021</v>
      </c>
      <c r="C1457" s="1">
        <v>44285</v>
      </c>
      <c r="D1457" s="1" t="str" cm="1">
        <f t="array" ref="D1457">_xlfn.IFS(E1457&lt;28, "17-27",
AND(E1457&gt;27, E1457&lt;38), "28-37",
AND(E1457&gt;37, E1457 &lt;48), "38-47",
AND(E1457&gt;47, E1457 &lt;58), "48-57",
AND(E1457&gt;57, E1457&lt;68), "58-67",
AND(E1457&gt;67, E1457&lt;78), "68-77",
E1457&gt;77,"Above than 77")</f>
        <v>48-57</v>
      </c>
      <c r="E1457">
        <v>50</v>
      </c>
      <c r="F1457" s="1">
        <v>25970</v>
      </c>
      <c r="G1457" s="1" t="str">
        <f>VLOOKUP(H1457,Table7[#All], 2, FALSE)</f>
        <v>Massachusetts</v>
      </c>
      <c r="H1457" s="2" t="s">
        <v>14</v>
      </c>
      <c r="I1457" s="2" t="s">
        <v>15</v>
      </c>
      <c r="J1457" s="2" t="s">
        <v>40</v>
      </c>
      <c r="K1457" s="2" t="s">
        <v>8</v>
      </c>
      <c r="L1457" s="2" t="s">
        <v>9</v>
      </c>
      <c r="M1457" s="2" t="s">
        <v>10</v>
      </c>
      <c r="N1457" s="2" t="s">
        <v>26</v>
      </c>
      <c r="O1457" s="2" t="s">
        <v>12</v>
      </c>
      <c r="P1457" s="2" t="s">
        <v>76</v>
      </c>
      <c r="Q1457" s="2" t="s">
        <v>23</v>
      </c>
      <c r="R1457" s="2" t="s">
        <v>18</v>
      </c>
      <c r="S1457">
        <v>2</v>
      </c>
    </row>
    <row r="1458" spans="1:19" x14ac:dyDescent="0.3">
      <c r="A1458">
        <v>1979</v>
      </c>
      <c r="B1458">
        <f>YEAR(Cleaned_HR_Data_Analysis__2[[#This Row],[Joining_Date]])</f>
        <v>2022</v>
      </c>
      <c r="C1458" s="1">
        <v>44829</v>
      </c>
      <c r="D1458" s="1" t="str" cm="1">
        <f t="array" ref="D1458">_xlfn.IFS(E1458&lt;28, "17-27",
AND(E1458&gt;27, E1458&lt;38), "28-37",
AND(E1458&gt;37, E1458 &lt;48), "38-47",
AND(E1458&gt;47, E1458 &lt;58), "48-57",
AND(E1458&gt;57, E1458&lt;68), "58-67",
AND(E1458&gt;67, E1458&lt;78), "68-77",
E1458&gt;77,"Above than 77")</f>
        <v>48-57</v>
      </c>
      <c r="E1458">
        <v>50</v>
      </c>
      <c r="F1458" s="1">
        <v>26383</v>
      </c>
      <c r="G1458" s="1" t="str">
        <f>VLOOKUP(H1458,Table7[#All], 2, FALSE)</f>
        <v>Massachusetts</v>
      </c>
      <c r="H1458" s="2" t="s">
        <v>14</v>
      </c>
      <c r="I1458" s="2" t="s">
        <v>15</v>
      </c>
      <c r="J1458" s="2" t="s">
        <v>31</v>
      </c>
      <c r="K1458" s="2" t="s">
        <v>8</v>
      </c>
      <c r="L1458" s="2" t="s">
        <v>9</v>
      </c>
      <c r="M1458" s="2" t="s">
        <v>20</v>
      </c>
      <c r="N1458" s="2" t="s">
        <v>26</v>
      </c>
      <c r="O1458" s="2" t="s">
        <v>12</v>
      </c>
      <c r="P1458" s="2" t="s">
        <v>42</v>
      </c>
      <c r="Q1458" s="2" t="s">
        <v>46</v>
      </c>
      <c r="R1458" s="2" t="s">
        <v>18</v>
      </c>
      <c r="S1458">
        <v>4</v>
      </c>
    </row>
    <row r="1459" spans="1:19" x14ac:dyDescent="0.3">
      <c r="A1459">
        <v>1905</v>
      </c>
      <c r="B1459">
        <f>YEAR(Cleaned_HR_Data_Analysis__2[[#This Row],[Joining_Date]])</f>
        <v>2022</v>
      </c>
      <c r="C1459" s="1">
        <v>44657</v>
      </c>
      <c r="D1459" s="1" t="str" cm="1">
        <f t="array" ref="D1459">_xlfn.IFS(E1459&lt;28, "17-27",
AND(E1459&gt;27, E1459&lt;38), "28-37",
AND(E1459&gt;37, E1459 &lt;48), "38-47",
AND(E1459&gt;47, E1459 &lt;58), "48-57",
AND(E1459&gt;57, E1459&lt;68), "58-67",
AND(E1459&gt;67, E1459&lt;78), "68-77",
E1459&gt;77,"Above than 77")</f>
        <v>48-57</v>
      </c>
      <c r="E1459">
        <v>50</v>
      </c>
      <c r="F1459" s="1">
        <v>26368</v>
      </c>
      <c r="G1459" s="1" t="str">
        <f>VLOOKUP(H1459,Table7[#All], 2, FALSE)</f>
        <v>Massachusetts</v>
      </c>
      <c r="H1459" s="2" t="s">
        <v>14</v>
      </c>
      <c r="I1459" s="2" t="s">
        <v>15</v>
      </c>
      <c r="J1459" s="2" t="s">
        <v>34</v>
      </c>
      <c r="K1459" s="2" t="s">
        <v>8</v>
      </c>
      <c r="L1459" s="2" t="s">
        <v>9</v>
      </c>
      <c r="M1459" s="2" t="s">
        <v>20</v>
      </c>
      <c r="N1459" s="2" t="s">
        <v>26</v>
      </c>
      <c r="O1459" s="2" t="s">
        <v>12</v>
      </c>
      <c r="P1459" s="2" t="s">
        <v>59</v>
      </c>
      <c r="Q1459" s="2" t="s">
        <v>46</v>
      </c>
      <c r="R1459" s="2" t="s">
        <v>18</v>
      </c>
      <c r="S1459">
        <v>2</v>
      </c>
    </row>
    <row r="1460" spans="1:19" x14ac:dyDescent="0.3">
      <c r="A1460">
        <v>1872</v>
      </c>
      <c r="B1460">
        <f>YEAR(Cleaned_HR_Data_Analysis__2[[#This Row],[Joining_Date]])</f>
        <v>2022</v>
      </c>
      <c r="C1460" s="1">
        <v>44900</v>
      </c>
      <c r="D1460" s="1" t="str" cm="1">
        <f t="array" ref="D1460">_xlfn.IFS(E1460&lt;28, "17-27",
AND(E1460&gt;27, E1460&lt;38), "28-37",
AND(E1460&gt;37, E1460 &lt;48), "38-47",
AND(E1460&gt;47, E1460 &lt;58), "48-57",
AND(E1460&gt;57, E1460&lt;68), "58-67",
AND(E1460&gt;67, E1460&lt;78), "68-77",
E1460&gt;77,"Above than 77")</f>
        <v>48-57</v>
      </c>
      <c r="E1460">
        <v>50</v>
      </c>
      <c r="F1460" s="1">
        <v>26654</v>
      </c>
      <c r="G1460" s="1" t="str">
        <f>VLOOKUP(H1460,Table7[#All], 2, FALSE)</f>
        <v>Massachusetts</v>
      </c>
      <c r="H1460" s="2" t="s">
        <v>14</v>
      </c>
      <c r="I1460" s="2" t="s">
        <v>15</v>
      </c>
      <c r="J1460" s="2" t="s">
        <v>34</v>
      </c>
      <c r="K1460" s="2" t="s">
        <v>8</v>
      </c>
      <c r="L1460" s="2" t="s">
        <v>9</v>
      </c>
      <c r="M1460" s="2" t="s">
        <v>25</v>
      </c>
      <c r="N1460" s="2" t="s">
        <v>26</v>
      </c>
      <c r="O1460" s="2" t="s">
        <v>12</v>
      </c>
      <c r="P1460" s="2" t="s">
        <v>35</v>
      </c>
      <c r="Q1460" s="2" t="s">
        <v>23</v>
      </c>
      <c r="R1460" s="2" t="s">
        <v>18</v>
      </c>
      <c r="S1460">
        <v>2</v>
      </c>
    </row>
    <row r="1461" spans="1:19" x14ac:dyDescent="0.3">
      <c r="A1461">
        <v>1742</v>
      </c>
      <c r="B1461">
        <f>YEAR(Cleaned_HR_Data_Analysis__2[[#This Row],[Joining_Date]])</f>
        <v>2021</v>
      </c>
      <c r="C1461" s="1">
        <v>44200</v>
      </c>
      <c r="D1461" s="1" t="str" cm="1">
        <f t="array" ref="D1461">_xlfn.IFS(E1461&lt;28, "17-27",
AND(E1461&gt;27, E1461&lt;38), "28-37",
AND(E1461&gt;37, E1461 &lt;48), "38-47",
AND(E1461&gt;47, E1461 &lt;58), "48-57",
AND(E1461&gt;57, E1461&lt;68), "58-67",
AND(E1461&gt;67, E1461&lt;78), "68-77",
E1461&gt;77,"Above than 77")</f>
        <v>48-57</v>
      </c>
      <c r="E1461">
        <v>50</v>
      </c>
      <c r="F1461" s="1">
        <v>25994</v>
      </c>
      <c r="G1461" s="1" t="str">
        <f>VLOOKUP(H1461,Table7[#All], 2, FALSE)</f>
        <v>Massachusetts</v>
      </c>
      <c r="H1461" s="2" t="s">
        <v>14</v>
      </c>
      <c r="I1461" s="2" t="s">
        <v>15</v>
      </c>
      <c r="J1461" s="2" t="s">
        <v>40</v>
      </c>
      <c r="K1461" s="2" t="s">
        <v>8</v>
      </c>
      <c r="L1461" s="2" t="s">
        <v>9</v>
      </c>
      <c r="M1461" s="2" t="s">
        <v>20</v>
      </c>
      <c r="N1461" s="2" t="s">
        <v>26</v>
      </c>
      <c r="O1461" s="2" t="s">
        <v>12</v>
      </c>
      <c r="P1461" s="2" t="s">
        <v>59</v>
      </c>
      <c r="Q1461" s="2" t="s">
        <v>46</v>
      </c>
      <c r="R1461" s="2" t="s">
        <v>18</v>
      </c>
      <c r="S1461">
        <v>5</v>
      </c>
    </row>
    <row r="1462" spans="1:19" x14ac:dyDescent="0.3">
      <c r="A1462">
        <v>1583</v>
      </c>
      <c r="B1462">
        <f>YEAR(Cleaned_HR_Data_Analysis__2[[#This Row],[Joining_Date]])</f>
        <v>2023</v>
      </c>
      <c r="C1462" s="1">
        <v>44987</v>
      </c>
      <c r="D1462" s="1" t="str" cm="1">
        <f t="array" ref="D1462">_xlfn.IFS(E1462&lt;28, "17-27",
AND(E1462&gt;27, E1462&lt;38), "28-37",
AND(E1462&gt;37, E1462 &lt;48), "38-47",
AND(E1462&gt;47, E1462 &lt;58), "48-57",
AND(E1462&gt;57, E1462&lt;68), "58-67",
AND(E1462&gt;67, E1462&lt;78), "68-77",
E1462&gt;77,"Above than 77")</f>
        <v>48-57</v>
      </c>
      <c r="E1462">
        <v>50</v>
      </c>
      <c r="F1462" s="1">
        <v>26846</v>
      </c>
      <c r="G1462" s="1" t="str">
        <f>VLOOKUP(H1462,Table7[#All], 2, FALSE)</f>
        <v>Massachusetts</v>
      </c>
      <c r="H1462" s="2" t="s">
        <v>14</v>
      </c>
      <c r="I1462" s="2" t="s">
        <v>15</v>
      </c>
      <c r="J1462" s="2" t="s">
        <v>17</v>
      </c>
      <c r="K1462" s="2" t="s">
        <v>8</v>
      </c>
      <c r="L1462" s="2" t="s">
        <v>66</v>
      </c>
      <c r="M1462" s="2" t="s">
        <v>25</v>
      </c>
      <c r="N1462" s="2" t="s">
        <v>26</v>
      </c>
      <c r="O1462" s="2" t="s">
        <v>12</v>
      </c>
      <c r="P1462" s="2" t="s">
        <v>54</v>
      </c>
      <c r="Q1462" s="2" t="s">
        <v>30</v>
      </c>
      <c r="R1462" s="2" t="s">
        <v>18</v>
      </c>
      <c r="S1462">
        <v>3</v>
      </c>
    </row>
    <row r="1463" spans="1:19" x14ac:dyDescent="0.3">
      <c r="A1463">
        <v>1485</v>
      </c>
      <c r="B1463">
        <f>YEAR(Cleaned_HR_Data_Analysis__2[[#This Row],[Joining_Date]])</f>
        <v>2021</v>
      </c>
      <c r="C1463" s="1">
        <v>44260</v>
      </c>
      <c r="D1463" s="1" t="str" cm="1">
        <f t="array" ref="D1463">_xlfn.IFS(E1463&lt;28, "17-27",
AND(E1463&gt;27, E1463&lt;38), "28-37",
AND(E1463&gt;37, E1463 &lt;48), "38-47",
AND(E1463&gt;47, E1463 &lt;58), "48-57",
AND(E1463&gt;57, E1463&lt;68), "58-67",
AND(E1463&gt;67, E1463&lt;78), "68-77",
E1463&gt;77,"Above than 77")</f>
        <v>48-57</v>
      </c>
      <c r="E1463">
        <v>50</v>
      </c>
      <c r="F1463" s="1">
        <v>26283</v>
      </c>
      <c r="G1463" s="1" t="str">
        <f>VLOOKUP(H1463,Table7[#All], 2, FALSE)</f>
        <v>Massachusetts</v>
      </c>
      <c r="H1463" s="2" t="s">
        <v>14</v>
      </c>
      <c r="I1463" s="2" t="s">
        <v>15</v>
      </c>
      <c r="J1463" s="2" t="s">
        <v>34</v>
      </c>
      <c r="K1463" s="2" t="s">
        <v>8</v>
      </c>
      <c r="L1463" s="2" t="s">
        <v>9</v>
      </c>
      <c r="M1463" s="2" t="s">
        <v>10</v>
      </c>
      <c r="N1463" s="2" t="s">
        <v>19</v>
      </c>
      <c r="O1463" s="2" t="s">
        <v>12</v>
      </c>
      <c r="P1463" s="2" t="s">
        <v>21</v>
      </c>
      <c r="Q1463" s="2" t="s">
        <v>46</v>
      </c>
      <c r="R1463" s="2" t="s">
        <v>41</v>
      </c>
      <c r="S1463">
        <v>2</v>
      </c>
    </row>
    <row r="1464" spans="1:19" x14ac:dyDescent="0.3">
      <c r="A1464">
        <v>1272</v>
      </c>
      <c r="B1464">
        <f>YEAR(Cleaned_HR_Data_Analysis__2[[#This Row],[Joining_Date]])</f>
        <v>2021</v>
      </c>
      <c r="C1464" s="1">
        <v>44235</v>
      </c>
      <c r="D1464" s="1" t="str" cm="1">
        <f t="array" ref="D1464">_xlfn.IFS(E1464&lt;28, "17-27",
AND(E1464&gt;27, E1464&lt;38), "28-37",
AND(E1464&gt;37, E1464 &lt;48), "38-47",
AND(E1464&gt;47, E1464 &lt;58), "48-57",
AND(E1464&gt;57, E1464&lt;68), "58-67",
AND(E1464&gt;67, E1464&lt;78), "68-77",
E1464&gt;77,"Above than 77")</f>
        <v>48-57</v>
      </c>
      <c r="E1464">
        <v>50</v>
      </c>
      <c r="F1464" s="1">
        <v>26080</v>
      </c>
      <c r="G1464" s="1" t="str">
        <f>VLOOKUP(H1464,Table7[#All], 2, FALSE)</f>
        <v>Massachusetts</v>
      </c>
      <c r="H1464" s="2" t="s">
        <v>14</v>
      </c>
      <c r="I1464" s="2" t="s">
        <v>15</v>
      </c>
      <c r="J1464" s="2" t="s">
        <v>31</v>
      </c>
      <c r="K1464" s="2" t="s">
        <v>8</v>
      </c>
      <c r="L1464" s="2" t="s">
        <v>9</v>
      </c>
      <c r="M1464" s="2" t="s">
        <v>25</v>
      </c>
      <c r="N1464" s="2" t="s">
        <v>11</v>
      </c>
      <c r="O1464" s="2" t="s">
        <v>12</v>
      </c>
      <c r="P1464" s="2" t="s">
        <v>38</v>
      </c>
      <c r="Q1464" s="2" t="s">
        <v>37</v>
      </c>
      <c r="R1464" s="2" t="s">
        <v>18</v>
      </c>
      <c r="S1464">
        <v>2</v>
      </c>
    </row>
    <row r="1465" spans="1:19" x14ac:dyDescent="0.3">
      <c r="A1465">
        <v>1266</v>
      </c>
      <c r="B1465">
        <f>YEAR(Cleaned_HR_Data_Analysis__2[[#This Row],[Joining_Date]])</f>
        <v>2021</v>
      </c>
      <c r="C1465" s="1">
        <v>44514</v>
      </c>
      <c r="D1465" s="1" t="str" cm="1">
        <f t="array" ref="D1465">_xlfn.IFS(E1465&lt;28, "17-27",
AND(E1465&gt;27, E1465&lt;38), "28-37",
AND(E1465&gt;37, E1465 &lt;48), "38-47",
AND(E1465&gt;47, E1465 &lt;58), "48-57",
AND(E1465&gt;57, E1465&lt;68), "58-67",
AND(E1465&gt;67, E1465&lt;78), "68-77",
E1465&gt;77,"Above than 77")</f>
        <v>48-57</v>
      </c>
      <c r="E1465">
        <v>50</v>
      </c>
      <c r="F1465" s="1">
        <v>26027</v>
      </c>
      <c r="G1465" s="1" t="str">
        <f>VLOOKUP(H1465,Table7[#All], 2, FALSE)</f>
        <v>Massachusetts</v>
      </c>
      <c r="H1465" s="2" t="s">
        <v>14</v>
      </c>
      <c r="I1465" s="2" t="s">
        <v>22</v>
      </c>
      <c r="J1465" s="2" t="s">
        <v>40</v>
      </c>
      <c r="K1465" s="2" t="s">
        <v>8</v>
      </c>
      <c r="L1465" s="2" t="s">
        <v>66</v>
      </c>
      <c r="M1465" s="2" t="s">
        <v>25</v>
      </c>
      <c r="N1465" s="2" t="s">
        <v>19</v>
      </c>
      <c r="O1465" s="2" t="s">
        <v>12</v>
      </c>
      <c r="P1465" s="2" t="s">
        <v>54</v>
      </c>
      <c r="Q1465" s="2" t="s">
        <v>23</v>
      </c>
      <c r="R1465" s="2" t="s">
        <v>18</v>
      </c>
      <c r="S1465">
        <v>3</v>
      </c>
    </row>
    <row r="1466" spans="1:19" x14ac:dyDescent="0.3">
      <c r="A1466">
        <v>1108</v>
      </c>
      <c r="B1466">
        <f>YEAR(Cleaned_HR_Data_Analysis__2[[#This Row],[Joining_Date]])</f>
        <v>2019</v>
      </c>
      <c r="C1466" s="1">
        <v>43489</v>
      </c>
      <c r="D1466" s="1" t="str" cm="1">
        <f t="array" ref="D1466">_xlfn.IFS(E1466&lt;28, "17-27",
AND(E1466&gt;27, E1466&lt;38), "28-37",
AND(E1466&gt;37, E1466 &lt;48), "38-47",
AND(E1466&gt;47, E1466 &lt;58), "48-57",
AND(E1466&gt;57, E1466&lt;68), "58-67",
AND(E1466&gt;67, E1466&lt;78), "68-77",
E1466&gt;77,"Above than 77")</f>
        <v>48-57</v>
      </c>
      <c r="E1466">
        <v>50</v>
      </c>
      <c r="F1466" s="1">
        <v>25311</v>
      </c>
      <c r="G1466" s="1" t="str">
        <f>VLOOKUP(H1466,Table7[#All], 2, FALSE)</f>
        <v>Massachusetts</v>
      </c>
      <c r="H1466" s="2" t="s">
        <v>14</v>
      </c>
      <c r="I1466" s="2" t="s">
        <v>22</v>
      </c>
      <c r="J1466" s="2" t="s">
        <v>34</v>
      </c>
      <c r="K1466" s="2" t="s">
        <v>8</v>
      </c>
      <c r="L1466" s="2" t="s">
        <v>9</v>
      </c>
      <c r="M1466" s="2" t="s">
        <v>25</v>
      </c>
      <c r="N1466" s="2" t="s">
        <v>19</v>
      </c>
      <c r="O1466" s="2" t="s">
        <v>12</v>
      </c>
      <c r="P1466" s="2" t="s">
        <v>32</v>
      </c>
      <c r="Q1466" s="2" t="s">
        <v>16</v>
      </c>
      <c r="R1466" s="2" t="s">
        <v>18</v>
      </c>
      <c r="S1466">
        <v>5</v>
      </c>
    </row>
    <row r="1467" spans="1:19" x14ac:dyDescent="0.3">
      <c r="A1467">
        <v>2452</v>
      </c>
      <c r="B1467">
        <f>YEAR(Cleaned_HR_Data_Analysis__2[[#This Row],[Joining_Date]])</f>
        <v>2022</v>
      </c>
      <c r="C1467" s="1">
        <v>44848</v>
      </c>
      <c r="D1467" s="1" t="str" cm="1">
        <f t="array" ref="D1467">_xlfn.IFS(E1467&lt;28, "17-27",
AND(E1467&gt;27, E1467&lt;38), "28-37",
AND(E1467&gt;37, E1467 &lt;48), "38-47",
AND(E1467&gt;47, E1467 &lt;58), "48-57",
AND(E1467&gt;57, E1467&lt;68), "58-67",
AND(E1467&gt;67, E1467&lt;78), "68-77",
E1467&gt;77,"Above than 77")</f>
        <v>48-57</v>
      </c>
      <c r="E1467">
        <v>50</v>
      </c>
      <c r="F1467" s="1">
        <v>26595</v>
      </c>
      <c r="G1467" s="1" t="str">
        <f>VLOOKUP(H1467,Table7[#All], 2, FALSE)</f>
        <v>Massachusetts</v>
      </c>
      <c r="H1467" s="2" t="s">
        <v>14</v>
      </c>
      <c r="I1467" s="2" t="s">
        <v>22</v>
      </c>
      <c r="J1467" s="2" t="s">
        <v>34</v>
      </c>
      <c r="K1467" s="2" t="s">
        <v>91</v>
      </c>
      <c r="L1467" s="2" t="s">
        <v>9</v>
      </c>
      <c r="M1467" s="2" t="s">
        <v>25</v>
      </c>
      <c r="N1467" s="2" t="s">
        <v>11</v>
      </c>
      <c r="O1467" s="2" t="s">
        <v>12</v>
      </c>
      <c r="P1467" s="2" t="s">
        <v>54</v>
      </c>
      <c r="Q1467" s="2" t="s">
        <v>46</v>
      </c>
      <c r="R1467" s="2" t="s">
        <v>18</v>
      </c>
      <c r="S1467">
        <v>3</v>
      </c>
    </row>
    <row r="1468" spans="1:19" x14ac:dyDescent="0.3">
      <c r="A1468">
        <v>2445</v>
      </c>
      <c r="B1468">
        <f>YEAR(Cleaned_HR_Data_Analysis__2[[#This Row],[Joining_Date]])</f>
        <v>2019</v>
      </c>
      <c r="C1468" s="1">
        <v>43829</v>
      </c>
      <c r="D1468" s="1" t="str" cm="1">
        <f t="array" ref="D1468">_xlfn.IFS(E1468&lt;28, "17-27",
AND(E1468&gt;27, E1468&lt;38), "28-37",
AND(E1468&gt;37, E1468 &lt;48), "38-47",
AND(E1468&gt;47, E1468 &lt;58), "48-57",
AND(E1468&gt;57, E1468&lt;68), "58-67",
AND(E1468&gt;67, E1468&lt;78), "68-77",
E1468&gt;77,"Above than 77")</f>
        <v>48-57</v>
      </c>
      <c r="E1468">
        <v>50</v>
      </c>
      <c r="F1468" s="1">
        <v>25568</v>
      </c>
      <c r="G1468" s="1" t="str">
        <f>VLOOKUP(H1468,Table7[#All], 2, FALSE)</f>
        <v>Massachusetts</v>
      </c>
      <c r="H1468" s="2" t="s">
        <v>14</v>
      </c>
      <c r="I1468" s="2" t="s">
        <v>15</v>
      </c>
      <c r="J1468" s="2" t="s">
        <v>17</v>
      </c>
      <c r="K1468" s="2" t="s">
        <v>91</v>
      </c>
      <c r="L1468" s="2" t="s">
        <v>9</v>
      </c>
      <c r="M1468" s="2" t="s">
        <v>10</v>
      </c>
      <c r="N1468" s="2" t="s">
        <v>26</v>
      </c>
      <c r="O1468" s="2" t="s">
        <v>12</v>
      </c>
      <c r="P1468" s="2" t="s">
        <v>32</v>
      </c>
      <c r="Q1468" s="2" t="s">
        <v>46</v>
      </c>
      <c r="R1468" s="2" t="s">
        <v>18</v>
      </c>
      <c r="S1468">
        <v>4</v>
      </c>
    </row>
    <row r="1469" spans="1:19" x14ac:dyDescent="0.3">
      <c r="A1469">
        <v>2339</v>
      </c>
      <c r="B1469">
        <f>YEAR(Cleaned_HR_Data_Analysis__2[[#This Row],[Joining_Date]])</f>
        <v>2022</v>
      </c>
      <c r="C1469" s="1">
        <v>44767</v>
      </c>
      <c r="D1469" s="1" t="str" cm="1">
        <f t="array" ref="D1469">_xlfn.IFS(E1469&lt;28, "17-27",
AND(E1469&gt;27, E1469&lt;38), "28-37",
AND(E1469&gt;37, E1469 &lt;48), "38-47",
AND(E1469&gt;47, E1469 &lt;58), "48-57",
AND(E1469&gt;57, E1469&lt;68), "58-67",
AND(E1469&gt;67, E1469&lt;78), "68-77",
E1469&gt;77,"Above than 77")</f>
        <v>48-57</v>
      </c>
      <c r="E1469">
        <v>50</v>
      </c>
      <c r="F1469" s="1">
        <v>26517</v>
      </c>
      <c r="G1469" s="1" t="str">
        <f>VLOOKUP(H1469,Table7[#All], 2, FALSE)</f>
        <v>Massachusetts</v>
      </c>
      <c r="H1469" s="2" t="s">
        <v>14</v>
      </c>
      <c r="I1469" s="2" t="s">
        <v>15</v>
      </c>
      <c r="J1469" s="2" t="s">
        <v>34</v>
      </c>
      <c r="K1469" s="2" t="s">
        <v>91</v>
      </c>
      <c r="L1469" s="2" t="s">
        <v>66</v>
      </c>
      <c r="M1469" s="2" t="s">
        <v>25</v>
      </c>
      <c r="N1469" s="2" t="s">
        <v>26</v>
      </c>
      <c r="O1469" s="2" t="s">
        <v>12</v>
      </c>
      <c r="P1469" s="2" t="s">
        <v>28</v>
      </c>
      <c r="Q1469" s="2" t="s">
        <v>37</v>
      </c>
      <c r="R1469" s="2" t="s">
        <v>18</v>
      </c>
      <c r="S1469">
        <v>1</v>
      </c>
    </row>
    <row r="1470" spans="1:19" x14ac:dyDescent="0.3">
      <c r="A1470">
        <v>3904</v>
      </c>
      <c r="B1470">
        <f>YEAR(Cleaned_HR_Data_Analysis__2[[#This Row],[Joining_Date]])</f>
        <v>2020</v>
      </c>
      <c r="C1470" s="1">
        <v>44192</v>
      </c>
      <c r="D1470" s="1" t="str" cm="1">
        <f t="array" ref="D1470">_xlfn.IFS(E1470&lt;28, "17-27",
AND(E1470&gt;27, E1470&lt;38), "28-37",
AND(E1470&gt;37, E1470 &lt;48), "38-47",
AND(E1470&gt;47, E1470 &lt;58), "48-57",
AND(E1470&gt;57, E1470&lt;68), "58-67",
AND(E1470&gt;67, E1470&lt;78), "68-77",
E1470&gt;77,"Above than 77")</f>
        <v>48-57</v>
      </c>
      <c r="E1470">
        <v>50</v>
      </c>
      <c r="F1470" s="1">
        <v>25630</v>
      </c>
      <c r="G1470" s="1" t="str">
        <f>VLOOKUP(H1470,Table7[#All], 2, FALSE)</f>
        <v>Massachusetts</v>
      </c>
      <c r="H1470" s="2" t="s">
        <v>14</v>
      </c>
      <c r="I1470" s="2" t="s">
        <v>22</v>
      </c>
      <c r="J1470" s="2" t="s">
        <v>17</v>
      </c>
      <c r="K1470" s="2" t="s">
        <v>71</v>
      </c>
      <c r="L1470" s="2" t="s">
        <v>9</v>
      </c>
      <c r="M1470" s="2" t="s">
        <v>10</v>
      </c>
      <c r="N1470" s="2" t="s">
        <v>19</v>
      </c>
      <c r="O1470" s="2" t="s">
        <v>53</v>
      </c>
      <c r="P1470" s="2" t="s">
        <v>42</v>
      </c>
      <c r="Q1470" s="2" t="s">
        <v>46</v>
      </c>
      <c r="R1470" s="2" t="s">
        <v>18</v>
      </c>
      <c r="S1470">
        <v>4</v>
      </c>
    </row>
    <row r="1471" spans="1:19" x14ac:dyDescent="0.3">
      <c r="A1471">
        <v>3845</v>
      </c>
      <c r="B1471">
        <f>YEAR(Cleaned_HR_Data_Analysis__2[[#This Row],[Joining_Date]])</f>
        <v>2019</v>
      </c>
      <c r="C1471" s="1">
        <v>43702</v>
      </c>
      <c r="D1471" s="1" t="str" cm="1">
        <f t="array" ref="D1471">_xlfn.IFS(E1471&lt;28, "17-27",
AND(E1471&gt;27, E1471&lt;38), "28-37",
AND(E1471&gt;37, E1471 &lt;48), "38-47",
AND(E1471&gt;47, E1471 &lt;58), "48-57",
AND(E1471&gt;57, E1471&lt;68), "58-67",
AND(E1471&gt;67, E1471&lt;78), "68-77",
E1471&gt;77,"Above than 77")</f>
        <v>48-57</v>
      </c>
      <c r="E1471">
        <v>50</v>
      </c>
      <c r="F1471" s="1">
        <v>25425</v>
      </c>
      <c r="G1471" s="1" t="str">
        <f>VLOOKUP(H1471,Table7[#All], 2, FALSE)</f>
        <v>Massachusetts</v>
      </c>
      <c r="H1471" s="2" t="s">
        <v>14</v>
      </c>
      <c r="I1471" s="2" t="s">
        <v>22</v>
      </c>
      <c r="J1471" s="2" t="s">
        <v>31</v>
      </c>
      <c r="K1471" s="2" t="s">
        <v>71</v>
      </c>
      <c r="L1471" s="2" t="s">
        <v>9</v>
      </c>
      <c r="M1471" s="2" t="s">
        <v>10</v>
      </c>
      <c r="N1471" s="2" t="s">
        <v>19</v>
      </c>
      <c r="O1471" s="2" t="s">
        <v>73</v>
      </c>
      <c r="P1471" s="2" t="s">
        <v>35</v>
      </c>
      <c r="Q1471" s="2" t="s">
        <v>23</v>
      </c>
      <c r="R1471" s="2" t="s">
        <v>65</v>
      </c>
      <c r="S1471">
        <v>5</v>
      </c>
    </row>
    <row r="1472" spans="1:19" x14ac:dyDescent="0.3">
      <c r="A1472">
        <v>2216</v>
      </c>
      <c r="B1472">
        <f>YEAR(Cleaned_HR_Data_Analysis__2[[#This Row],[Joining_Date]])</f>
        <v>2022</v>
      </c>
      <c r="C1472" s="1">
        <v>44874</v>
      </c>
      <c r="D1472" s="1" t="str" cm="1">
        <f t="array" ref="D1472">_xlfn.IFS(E1472&lt;28, "17-27",
AND(E1472&gt;27, E1472&lt;38), "28-37",
AND(E1472&gt;37, E1472 &lt;48), "38-47",
AND(E1472&gt;47, E1472 &lt;58), "48-57",
AND(E1472&gt;57, E1472&lt;68), "58-67",
AND(E1472&gt;67, E1472&lt;78), "68-77",
E1472&gt;77,"Above than 77")</f>
        <v>48-57</v>
      </c>
      <c r="E1472">
        <v>50</v>
      </c>
      <c r="F1472" s="1">
        <v>26339</v>
      </c>
      <c r="G1472" s="1" t="str">
        <f>VLOOKUP(H1472,Table7[#All], 2, FALSE)</f>
        <v>Massachusetts</v>
      </c>
      <c r="H1472" s="2" t="s">
        <v>14</v>
      </c>
      <c r="I1472" s="2" t="s">
        <v>15</v>
      </c>
      <c r="J1472" s="2" t="s">
        <v>31</v>
      </c>
      <c r="K1472" s="2" t="s">
        <v>101</v>
      </c>
      <c r="L1472" s="2" t="s">
        <v>9</v>
      </c>
      <c r="M1472" s="2" t="s">
        <v>20</v>
      </c>
      <c r="N1472" s="2" t="s">
        <v>26</v>
      </c>
      <c r="O1472" s="2" t="s">
        <v>53</v>
      </c>
      <c r="P1472" s="2" t="s">
        <v>32</v>
      </c>
      <c r="Q1472" s="2" t="s">
        <v>23</v>
      </c>
      <c r="R1472" s="2" t="s">
        <v>41</v>
      </c>
      <c r="S1472">
        <v>5</v>
      </c>
    </row>
    <row r="1473" spans="1:19" x14ac:dyDescent="0.3">
      <c r="A1473">
        <v>2495</v>
      </c>
      <c r="B1473">
        <f>YEAR(Cleaned_HR_Data_Analysis__2[[#This Row],[Joining_Date]])</f>
        <v>2020</v>
      </c>
      <c r="C1473" s="1">
        <v>43898</v>
      </c>
      <c r="D1473" s="1" t="str" cm="1">
        <f t="array" ref="D1473">_xlfn.IFS(E1473&lt;28, "17-27",
AND(E1473&gt;27, E1473&lt;38), "28-37",
AND(E1473&gt;37, E1473 &lt;48), "38-47",
AND(E1473&gt;47, E1473 &lt;58), "48-57",
AND(E1473&gt;57, E1473&lt;68), "58-67",
AND(E1473&gt;67, E1473&lt;78), "68-77",
E1473&gt;77,"Above than 77")</f>
        <v>48-57</v>
      </c>
      <c r="E1473">
        <v>50</v>
      </c>
      <c r="F1473" s="1">
        <v>25594</v>
      </c>
      <c r="G1473" s="1" t="str">
        <f>VLOOKUP(H1473,Table7[#All], 2, FALSE)</f>
        <v>Massachusetts</v>
      </c>
      <c r="H1473" s="2" t="s">
        <v>14</v>
      </c>
      <c r="I1473" s="2" t="s">
        <v>22</v>
      </c>
      <c r="J1473" s="2" t="s">
        <v>34</v>
      </c>
      <c r="K1473" s="2" t="s">
        <v>108</v>
      </c>
      <c r="L1473" s="2" t="s">
        <v>9</v>
      </c>
      <c r="M1473" s="2" t="s">
        <v>10</v>
      </c>
      <c r="N1473" s="2" t="s">
        <v>26</v>
      </c>
      <c r="O1473" s="2" t="s">
        <v>53</v>
      </c>
      <c r="P1473" s="2" t="s">
        <v>55</v>
      </c>
      <c r="Q1473" s="2" t="s">
        <v>37</v>
      </c>
      <c r="R1473" s="2" t="s">
        <v>18</v>
      </c>
      <c r="S1473">
        <v>1</v>
      </c>
    </row>
    <row r="1474" spans="1:19" x14ac:dyDescent="0.3">
      <c r="A1474">
        <v>2442</v>
      </c>
      <c r="B1474">
        <f>YEAR(Cleaned_HR_Data_Analysis__2[[#This Row],[Joining_Date]])</f>
        <v>2023</v>
      </c>
      <c r="C1474" s="1">
        <v>44957</v>
      </c>
      <c r="D1474" s="1" t="str" cm="1">
        <f t="array" ref="D1474">_xlfn.IFS(E1474&lt;28, "17-27",
AND(E1474&gt;27, E1474&lt;38), "28-37",
AND(E1474&gt;37, E1474 &lt;48), "38-47",
AND(E1474&gt;47, E1474 &lt;58), "48-57",
AND(E1474&gt;57, E1474&lt;68), "58-67",
AND(E1474&gt;67, E1474&lt;78), "68-77",
E1474&gt;77,"Above than 77")</f>
        <v>48-57</v>
      </c>
      <c r="E1474">
        <v>50</v>
      </c>
      <c r="F1474" s="1">
        <v>26770</v>
      </c>
      <c r="G1474" s="1" t="str">
        <f>VLOOKUP(H1474,Table7[#All], 2, FALSE)</f>
        <v>Massachusetts</v>
      </c>
      <c r="H1474" s="2" t="s">
        <v>14</v>
      </c>
      <c r="I1474" s="2" t="s">
        <v>15</v>
      </c>
      <c r="J1474" s="2" t="s">
        <v>40</v>
      </c>
      <c r="K1474" s="2" t="s">
        <v>106</v>
      </c>
      <c r="L1474" s="2" t="s">
        <v>9</v>
      </c>
      <c r="M1474" s="2" t="s">
        <v>10</v>
      </c>
      <c r="N1474" s="2" t="s">
        <v>11</v>
      </c>
      <c r="O1474" s="2" t="s">
        <v>12</v>
      </c>
      <c r="P1474" s="2" t="s">
        <v>44</v>
      </c>
      <c r="Q1474" s="2" t="s">
        <v>37</v>
      </c>
      <c r="R1474" s="2" t="s">
        <v>18</v>
      </c>
      <c r="S1474">
        <v>1</v>
      </c>
    </row>
    <row r="1475" spans="1:19" x14ac:dyDescent="0.3">
      <c r="A1475">
        <v>3998</v>
      </c>
      <c r="B1475">
        <f>YEAR(Cleaned_HR_Data_Analysis__2[[#This Row],[Joining_Date]])</f>
        <v>2021</v>
      </c>
      <c r="C1475" s="1">
        <v>44554</v>
      </c>
      <c r="D1475" s="1" t="str" cm="1">
        <f t="array" ref="D1475">_xlfn.IFS(E1475&lt;28, "17-27",
AND(E1475&gt;27, E1475&lt;38), "28-37",
AND(E1475&gt;37, E1475 &lt;48), "38-47",
AND(E1475&gt;47, E1475 &lt;58), "48-57",
AND(E1475&gt;57, E1475&lt;68), "58-67",
AND(E1475&gt;67, E1475&lt;78), "68-77",
E1475&gt;77,"Above than 77")</f>
        <v>48-57</v>
      </c>
      <c r="E1475">
        <v>50</v>
      </c>
      <c r="F1475" s="1">
        <v>25955</v>
      </c>
      <c r="G1475" s="1" t="str">
        <f>VLOOKUP(H1475,Table7[#All], 2, FALSE)</f>
        <v>Texas</v>
      </c>
      <c r="H1475" s="2" t="s">
        <v>45</v>
      </c>
      <c r="I1475" s="2" t="s">
        <v>15</v>
      </c>
      <c r="J1475" s="2" t="s">
        <v>34</v>
      </c>
      <c r="K1475" s="2" t="s">
        <v>77</v>
      </c>
      <c r="L1475" s="2" t="s">
        <v>66</v>
      </c>
      <c r="M1475" s="2" t="s">
        <v>25</v>
      </c>
      <c r="N1475" s="2" t="s">
        <v>26</v>
      </c>
      <c r="O1475" s="2" t="s">
        <v>53</v>
      </c>
      <c r="P1475" s="2" t="s">
        <v>63</v>
      </c>
      <c r="Q1475" s="2" t="s">
        <v>30</v>
      </c>
      <c r="R1475" s="2" t="s">
        <v>18</v>
      </c>
      <c r="S1475">
        <v>5</v>
      </c>
    </row>
    <row r="1476" spans="1:19" x14ac:dyDescent="0.3">
      <c r="A1476">
        <v>1685</v>
      </c>
      <c r="B1476">
        <f>YEAR(Cleaned_HR_Data_Analysis__2[[#This Row],[Joining_Date]])</f>
        <v>2018</v>
      </c>
      <c r="C1476" s="1">
        <v>43415</v>
      </c>
      <c r="D1476" s="1" t="str" cm="1">
        <f t="array" ref="D1476">_xlfn.IFS(E1476&lt;28, "17-27",
AND(E1476&gt;27, E1476&lt;38), "28-37",
AND(E1476&gt;37, E1476 &lt;48), "38-47",
AND(E1476&gt;47, E1476 &lt;58), "48-57",
AND(E1476&gt;57, E1476&lt;68), "58-67",
AND(E1476&gt;67, E1476&lt;78), "68-77",
E1476&gt;77,"Above than 77")</f>
        <v>48-57</v>
      </c>
      <c r="E1476">
        <v>50</v>
      </c>
      <c r="F1476" s="1">
        <v>25015</v>
      </c>
      <c r="G1476" s="1" t="str">
        <f>VLOOKUP(H1476,Table7[#All], 2, FALSE)</f>
        <v>Massachusetts</v>
      </c>
      <c r="H1476" s="2" t="s">
        <v>14</v>
      </c>
      <c r="I1476" s="2" t="s">
        <v>15</v>
      </c>
      <c r="J1476" s="2" t="s">
        <v>40</v>
      </c>
      <c r="K1476" s="2" t="s">
        <v>83</v>
      </c>
      <c r="L1476" s="2" t="s">
        <v>66</v>
      </c>
      <c r="M1476" s="2" t="s">
        <v>25</v>
      </c>
      <c r="N1476" s="2" t="s">
        <v>19</v>
      </c>
      <c r="O1476" s="2" t="s">
        <v>53</v>
      </c>
      <c r="P1476" s="2" t="s">
        <v>21</v>
      </c>
      <c r="Q1476" s="2" t="s">
        <v>37</v>
      </c>
      <c r="R1476" s="2" t="s">
        <v>18</v>
      </c>
      <c r="S1476">
        <v>4</v>
      </c>
    </row>
    <row r="1477" spans="1:19" x14ac:dyDescent="0.3">
      <c r="A1477">
        <v>2726</v>
      </c>
      <c r="B1477">
        <f>YEAR(Cleaned_HR_Data_Analysis__2[[#This Row],[Joining_Date]])</f>
        <v>2021</v>
      </c>
      <c r="C1477" s="1">
        <v>44328</v>
      </c>
      <c r="D1477" s="1" t="str" cm="1">
        <f t="array" ref="D1477">_xlfn.IFS(E1477&lt;28, "17-27",
AND(E1477&gt;27, E1477&lt;38), "28-37",
AND(E1477&gt;37, E1477 &lt;48), "38-47",
AND(E1477&gt;47, E1477 &lt;58), "48-57",
AND(E1477&gt;57, E1477&lt;68), "58-67",
AND(E1477&gt;67, E1477&lt;78), "68-77",
E1477&gt;77,"Above than 77")</f>
        <v>48-57</v>
      </c>
      <c r="E1477">
        <v>50</v>
      </c>
      <c r="F1477" s="1">
        <v>25987</v>
      </c>
      <c r="G1477" s="1" t="str">
        <f>VLOOKUP(H1477,Table7[#All], 2, FALSE)</f>
        <v>New York</v>
      </c>
      <c r="H1477" s="2" t="s">
        <v>118</v>
      </c>
      <c r="I1477" s="2" t="s">
        <v>22</v>
      </c>
      <c r="J1477" s="2" t="s">
        <v>31</v>
      </c>
      <c r="K1477" s="2" t="s">
        <v>24</v>
      </c>
      <c r="L1477" s="2" t="s">
        <v>9</v>
      </c>
      <c r="M1477" s="2" t="s">
        <v>10</v>
      </c>
      <c r="N1477" s="2" t="s">
        <v>26</v>
      </c>
      <c r="O1477" s="2" t="s">
        <v>27</v>
      </c>
      <c r="P1477" s="2" t="s">
        <v>59</v>
      </c>
      <c r="Q1477" s="2" t="s">
        <v>46</v>
      </c>
      <c r="R1477" s="2" t="s">
        <v>18</v>
      </c>
      <c r="S1477">
        <v>4</v>
      </c>
    </row>
    <row r="1478" spans="1:19" x14ac:dyDescent="0.3">
      <c r="A1478">
        <v>3477</v>
      </c>
      <c r="B1478">
        <f>YEAR(Cleaned_HR_Data_Analysis__2[[#This Row],[Joining_Date]])</f>
        <v>2019</v>
      </c>
      <c r="C1478" s="1">
        <v>43562</v>
      </c>
      <c r="D1478" s="1" t="str" cm="1">
        <f t="array" ref="D1478">_xlfn.IFS(E1478&lt;28, "17-27",
AND(E1478&gt;27, E1478&lt;38), "28-37",
AND(E1478&gt;37, E1478 &lt;48), "38-47",
AND(E1478&gt;47, E1478 &lt;58), "48-57",
AND(E1478&gt;57, E1478&lt;68), "58-67",
AND(E1478&gt;67, E1478&lt;78), "68-77",
E1478&gt;77,"Above than 77")</f>
        <v>48-57</v>
      </c>
      <c r="E1478">
        <v>50</v>
      </c>
      <c r="F1478" s="1">
        <v>25540</v>
      </c>
      <c r="G1478" s="1" t="str">
        <f>VLOOKUP(H1478,Table7[#All], 2, FALSE)</f>
        <v>Kentucky</v>
      </c>
      <c r="H1478" s="2" t="s">
        <v>51</v>
      </c>
      <c r="I1478" s="2" t="s">
        <v>15</v>
      </c>
      <c r="J1478" s="2" t="s">
        <v>17</v>
      </c>
      <c r="K1478" s="2" t="s">
        <v>24</v>
      </c>
      <c r="L1478" s="2" t="s">
        <v>9</v>
      </c>
      <c r="M1478" s="2" t="s">
        <v>20</v>
      </c>
      <c r="N1478" s="2" t="s">
        <v>19</v>
      </c>
      <c r="O1478" s="2" t="s">
        <v>53</v>
      </c>
      <c r="P1478" s="2" t="s">
        <v>21</v>
      </c>
      <c r="Q1478" s="2" t="s">
        <v>46</v>
      </c>
      <c r="R1478" s="2" t="s">
        <v>56</v>
      </c>
      <c r="S1478">
        <v>2</v>
      </c>
    </row>
    <row r="1479" spans="1:19" x14ac:dyDescent="0.3">
      <c r="A1479">
        <v>2725</v>
      </c>
      <c r="B1479">
        <f>YEAR(Cleaned_HR_Data_Analysis__2[[#This Row],[Joining_Date]])</f>
        <v>2019</v>
      </c>
      <c r="C1479" s="1">
        <v>43787</v>
      </c>
      <c r="D1479" s="1" t="str" cm="1">
        <f t="array" ref="D1479">_xlfn.IFS(E1479&lt;28, "17-27",
AND(E1479&gt;27, E1479&lt;38), "28-37",
AND(E1479&gt;37, E1479 &lt;48), "38-47",
AND(E1479&gt;47, E1479 &lt;58), "48-57",
AND(E1479&gt;57, E1479&lt;68), "58-67",
AND(E1479&gt;67, E1479&lt;78), "68-77",
E1479&gt;77,"Above than 77")</f>
        <v>48-57</v>
      </c>
      <c r="E1479">
        <v>50</v>
      </c>
      <c r="F1479" s="1">
        <v>25405</v>
      </c>
      <c r="G1479" s="1" t="str">
        <f>VLOOKUP(H1479,Table7[#All], 2, FALSE)</f>
        <v>Idaho</v>
      </c>
      <c r="H1479" s="2" t="s">
        <v>111</v>
      </c>
      <c r="I1479" s="2" t="s">
        <v>22</v>
      </c>
      <c r="J1479" s="2" t="s">
        <v>31</v>
      </c>
      <c r="K1479" s="2" t="s">
        <v>24</v>
      </c>
      <c r="L1479" s="2" t="s">
        <v>9</v>
      </c>
      <c r="M1479" s="2" t="s">
        <v>10</v>
      </c>
      <c r="N1479" s="2" t="s">
        <v>26</v>
      </c>
      <c r="O1479" s="2" t="s">
        <v>27</v>
      </c>
      <c r="P1479" s="2" t="s">
        <v>35</v>
      </c>
      <c r="Q1479" s="2" t="s">
        <v>16</v>
      </c>
      <c r="R1479" s="2" t="s">
        <v>18</v>
      </c>
      <c r="S1479">
        <v>1</v>
      </c>
    </row>
    <row r="1480" spans="1:19" x14ac:dyDescent="0.3">
      <c r="A1480">
        <v>3431</v>
      </c>
      <c r="B1480">
        <f>YEAR(Cleaned_HR_Data_Analysis__2[[#This Row],[Joining_Date]])</f>
        <v>2019</v>
      </c>
      <c r="C1480" s="1">
        <v>43645</v>
      </c>
      <c r="D1480" s="1" t="str" cm="1">
        <f t="array" ref="D1480">_xlfn.IFS(E1480&lt;28, "17-27",
AND(E1480&gt;27, E1480&lt;38), "28-37",
AND(E1480&gt;37, E1480 &lt;48), "38-47",
AND(E1480&gt;47, E1480 &lt;58), "48-57",
AND(E1480&gt;57, E1480&lt;68), "58-67",
AND(E1480&gt;67, E1480&lt;78), "68-77",
E1480&gt;77,"Above than 77")</f>
        <v>48-57</v>
      </c>
      <c r="E1480">
        <v>50</v>
      </c>
      <c r="F1480" s="1">
        <v>25444</v>
      </c>
      <c r="G1480" s="1" t="str">
        <f>VLOOKUP(H1480,Table7[#All], 2, FALSE)</f>
        <v>Florida</v>
      </c>
      <c r="H1480" s="2" t="s">
        <v>33</v>
      </c>
      <c r="I1480" s="2" t="s">
        <v>15</v>
      </c>
      <c r="J1480" s="2" t="s">
        <v>34</v>
      </c>
      <c r="K1480" s="2" t="s">
        <v>24</v>
      </c>
      <c r="L1480" s="2" t="s">
        <v>9</v>
      </c>
      <c r="M1480" s="2" t="s">
        <v>10</v>
      </c>
      <c r="N1480" s="2" t="s">
        <v>19</v>
      </c>
      <c r="O1480" s="2" t="s">
        <v>27</v>
      </c>
      <c r="P1480" s="2" t="s">
        <v>32</v>
      </c>
      <c r="Q1480" s="2" t="s">
        <v>30</v>
      </c>
      <c r="R1480" s="2" t="s">
        <v>18</v>
      </c>
      <c r="S1480">
        <v>5</v>
      </c>
    </row>
    <row r="1481" spans="1:19" x14ac:dyDescent="0.3">
      <c r="A1481">
        <v>1382</v>
      </c>
      <c r="B1481">
        <f>YEAR(Cleaned_HR_Data_Analysis__2[[#This Row],[Joining_Date]])</f>
        <v>2019</v>
      </c>
      <c r="C1481" s="1">
        <v>43623</v>
      </c>
      <c r="D1481" s="1" t="str" cm="1">
        <f t="array" ref="D1481">_xlfn.IFS(E1481&lt;28, "17-27",
AND(E1481&gt;27, E1481&lt;38), "28-37",
AND(E1481&gt;37, E1481 &lt;48), "38-47",
AND(E1481&gt;47, E1481 &lt;58), "48-57",
AND(E1481&gt;57, E1481&lt;68), "58-67",
AND(E1481&gt;67, E1481&lt;78), "68-77",
E1481&gt;77,"Above than 77")</f>
        <v>48-57</v>
      </c>
      <c r="E1481">
        <v>51</v>
      </c>
      <c r="F1481" s="1">
        <v>24913</v>
      </c>
      <c r="G1481" s="1" t="str">
        <f>VLOOKUP(H1481,Table7[#All], 2, FALSE)</f>
        <v>Massachusetts</v>
      </c>
      <c r="H1481" s="2" t="s">
        <v>14</v>
      </c>
      <c r="I1481" s="2" t="s">
        <v>15</v>
      </c>
      <c r="J1481" s="2" t="s">
        <v>17</v>
      </c>
      <c r="K1481" s="2" t="s">
        <v>84</v>
      </c>
      <c r="L1481" s="2" t="s">
        <v>9</v>
      </c>
      <c r="M1481" s="2" t="s">
        <v>25</v>
      </c>
      <c r="N1481" s="2" t="s">
        <v>26</v>
      </c>
      <c r="O1481" s="2" t="s">
        <v>90</v>
      </c>
      <c r="P1481" s="2" t="s">
        <v>35</v>
      </c>
      <c r="Q1481" s="2" t="s">
        <v>16</v>
      </c>
      <c r="R1481" s="2" t="s">
        <v>41</v>
      </c>
      <c r="S1481">
        <v>1</v>
      </c>
    </row>
    <row r="1482" spans="1:19" x14ac:dyDescent="0.3">
      <c r="A1482">
        <v>1071</v>
      </c>
      <c r="B1482">
        <f>YEAR(Cleaned_HR_Data_Analysis__2[[#This Row],[Joining_Date]])</f>
        <v>2019</v>
      </c>
      <c r="C1482" s="1">
        <v>43552</v>
      </c>
      <c r="D1482" s="1" t="str" cm="1">
        <f t="array" ref="D1482">_xlfn.IFS(E1482&lt;28, "17-27",
AND(E1482&gt;27, E1482&lt;38), "28-37",
AND(E1482&gt;37, E1482 &lt;48), "38-47",
AND(E1482&gt;47, E1482 &lt;58), "48-57",
AND(E1482&gt;57, E1482&lt;68), "58-67",
AND(E1482&gt;67, E1482&lt;78), "68-77",
E1482&gt;77,"Above than 77")</f>
        <v>48-57</v>
      </c>
      <c r="E1482">
        <v>51</v>
      </c>
      <c r="F1482" s="1">
        <v>25012</v>
      </c>
      <c r="G1482" s="1" t="str">
        <f>VLOOKUP(H1482,Table7[#All], 2, FALSE)</f>
        <v>Massachusetts</v>
      </c>
      <c r="H1482" s="2" t="s">
        <v>14</v>
      </c>
      <c r="I1482" s="2" t="s">
        <v>22</v>
      </c>
      <c r="J1482" s="2" t="s">
        <v>34</v>
      </c>
      <c r="K1482" s="2" t="s">
        <v>86</v>
      </c>
      <c r="L1482" s="2" t="s">
        <v>66</v>
      </c>
      <c r="M1482" s="2" t="s">
        <v>10</v>
      </c>
      <c r="N1482" s="2" t="s">
        <v>19</v>
      </c>
      <c r="O1482" s="2" t="s">
        <v>87</v>
      </c>
      <c r="P1482" s="2" t="s">
        <v>35</v>
      </c>
      <c r="Q1482" s="2" t="s">
        <v>37</v>
      </c>
      <c r="R1482" s="2" t="s">
        <v>18</v>
      </c>
      <c r="S1482">
        <v>2</v>
      </c>
    </row>
    <row r="1483" spans="1:19" x14ac:dyDescent="0.3">
      <c r="A1483">
        <v>1723</v>
      </c>
      <c r="B1483">
        <f>YEAR(Cleaned_HR_Data_Analysis__2[[#This Row],[Joining_Date]])</f>
        <v>2020</v>
      </c>
      <c r="C1483" s="1">
        <v>44013</v>
      </c>
      <c r="D1483" s="1" t="str" cm="1">
        <f t="array" ref="D1483">_xlfn.IFS(E1483&lt;28, "17-27",
AND(E1483&gt;27, E1483&lt;38), "28-37",
AND(E1483&gt;37, E1483 &lt;48), "38-47",
AND(E1483&gt;47, E1483 &lt;58), "48-57",
AND(E1483&gt;57, E1483&lt;68), "58-67",
AND(E1483&gt;67, E1483&lt;78), "68-77",
E1483&gt;77,"Above than 77")</f>
        <v>48-57</v>
      </c>
      <c r="E1483">
        <v>51</v>
      </c>
      <c r="F1483" s="1">
        <v>25300</v>
      </c>
      <c r="G1483" s="1" t="str">
        <f>VLOOKUP(H1483,Table7[#All], 2, FALSE)</f>
        <v>Massachusetts</v>
      </c>
      <c r="H1483" s="2" t="s">
        <v>14</v>
      </c>
      <c r="I1483" s="2" t="s">
        <v>15</v>
      </c>
      <c r="J1483" s="2" t="s">
        <v>17</v>
      </c>
      <c r="K1483" s="2" t="s">
        <v>98</v>
      </c>
      <c r="L1483" s="2" t="s">
        <v>9</v>
      </c>
      <c r="M1483" s="2" t="s">
        <v>25</v>
      </c>
      <c r="N1483" s="2" t="s">
        <v>26</v>
      </c>
      <c r="O1483" s="2" t="s">
        <v>27</v>
      </c>
      <c r="P1483" s="2" t="s">
        <v>38</v>
      </c>
      <c r="Q1483" s="2" t="s">
        <v>37</v>
      </c>
      <c r="R1483" s="2" t="s">
        <v>18</v>
      </c>
      <c r="S1483">
        <v>1</v>
      </c>
    </row>
    <row r="1484" spans="1:19" x14ac:dyDescent="0.3">
      <c r="A1484">
        <v>1682</v>
      </c>
      <c r="B1484">
        <f>YEAR(Cleaned_HR_Data_Analysis__2[[#This Row],[Joining_Date]])</f>
        <v>2021</v>
      </c>
      <c r="C1484" s="1">
        <v>44348</v>
      </c>
      <c r="D1484" s="1" t="str" cm="1">
        <f t="array" ref="D1484">_xlfn.IFS(E1484&lt;28, "17-27",
AND(E1484&gt;27, E1484&lt;38), "28-37",
AND(E1484&gt;37, E1484 &lt;48), "38-47",
AND(E1484&gt;47, E1484 &lt;58), "48-57",
AND(E1484&gt;57, E1484&lt;68), "58-67",
AND(E1484&gt;67, E1484&lt;78), "68-77",
E1484&gt;77,"Above than 77")</f>
        <v>48-57</v>
      </c>
      <c r="E1484">
        <v>51</v>
      </c>
      <c r="F1484" s="1">
        <v>25931</v>
      </c>
      <c r="G1484" s="1" t="str">
        <f>VLOOKUP(H1484,Table7[#All], 2, FALSE)</f>
        <v>Massachusetts</v>
      </c>
      <c r="H1484" s="2" t="s">
        <v>14</v>
      </c>
      <c r="I1484" s="2" t="s">
        <v>15</v>
      </c>
      <c r="J1484" s="2" t="s">
        <v>34</v>
      </c>
      <c r="K1484" s="2" t="s">
        <v>98</v>
      </c>
      <c r="L1484" s="2" t="s">
        <v>9</v>
      </c>
      <c r="M1484" s="2" t="s">
        <v>20</v>
      </c>
      <c r="N1484" s="2" t="s">
        <v>26</v>
      </c>
      <c r="O1484" s="2" t="s">
        <v>53</v>
      </c>
      <c r="P1484" s="2" t="s">
        <v>21</v>
      </c>
      <c r="Q1484" s="2" t="s">
        <v>37</v>
      </c>
      <c r="R1484" s="2" t="s">
        <v>18</v>
      </c>
      <c r="S1484">
        <v>3</v>
      </c>
    </row>
    <row r="1485" spans="1:19" x14ac:dyDescent="0.3">
      <c r="A1485">
        <v>3787</v>
      </c>
      <c r="B1485">
        <f>YEAR(Cleaned_HR_Data_Analysis__2[[#This Row],[Joining_Date]])</f>
        <v>2023</v>
      </c>
      <c r="C1485" s="1">
        <v>44945</v>
      </c>
      <c r="D1485" s="1" t="str" cm="1">
        <f t="array" ref="D1485">_xlfn.IFS(E1485&lt;28, "17-27",
AND(E1485&gt;27, E1485&lt;38), "28-37",
AND(E1485&gt;37, E1485 &lt;48), "38-47",
AND(E1485&gt;47, E1485 &lt;58), "48-57",
AND(E1485&gt;57, E1485&lt;68), "58-67",
AND(E1485&gt;67, E1485&lt;78), "68-77",
E1485&gt;77,"Above than 77")</f>
        <v>48-57</v>
      </c>
      <c r="E1485">
        <v>51</v>
      </c>
      <c r="F1485" s="1">
        <v>26540</v>
      </c>
      <c r="G1485" s="1" t="str">
        <f>VLOOKUP(H1485,Table7[#All], 2, FALSE)</f>
        <v>Massachusetts</v>
      </c>
      <c r="H1485" s="2" t="s">
        <v>14</v>
      </c>
      <c r="I1485" s="2" t="s">
        <v>15</v>
      </c>
      <c r="J1485" s="2" t="s">
        <v>17</v>
      </c>
      <c r="K1485" s="2" t="s">
        <v>64</v>
      </c>
      <c r="L1485" s="2" t="s">
        <v>66</v>
      </c>
      <c r="M1485" s="2" t="s">
        <v>25</v>
      </c>
      <c r="N1485" s="2" t="s">
        <v>11</v>
      </c>
      <c r="O1485" s="2" t="s">
        <v>12</v>
      </c>
      <c r="P1485" s="2" t="s">
        <v>28</v>
      </c>
      <c r="Q1485" s="2" t="s">
        <v>16</v>
      </c>
      <c r="R1485" s="2" t="s">
        <v>18</v>
      </c>
      <c r="S1485">
        <v>2</v>
      </c>
    </row>
    <row r="1486" spans="1:19" x14ac:dyDescent="0.3">
      <c r="A1486">
        <v>3320</v>
      </c>
      <c r="B1486">
        <f>YEAR(Cleaned_HR_Data_Analysis__2[[#This Row],[Joining_Date]])</f>
        <v>2020</v>
      </c>
      <c r="C1486" s="1">
        <v>43969</v>
      </c>
      <c r="D1486" s="1" t="str" cm="1">
        <f t="array" ref="D1486">_xlfn.IFS(E1486&lt;28, "17-27",
AND(E1486&gt;27, E1486&lt;38), "28-37",
AND(E1486&gt;37, E1486 &lt;48), "38-47",
AND(E1486&gt;47, E1486 &lt;58), "48-57",
AND(E1486&gt;57, E1486&lt;68), "58-67",
AND(E1486&gt;67, E1486&lt;78), "68-77",
E1486&gt;77,"Above than 77")</f>
        <v>48-57</v>
      </c>
      <c r="E1486">
        <v>51</v>
      </c>
      <c r="F1486" s="1">
        <v>25390</v>
      </c>
      <c r="G1486" s="1" t="str">
        <f>VLOOKUP(H1486,Table7[#All], 2, FALSE)</f>
        <v>Massachusetts</v>
      </c>
      <c r="H1486" s="2" t="s">
        <v>14</v>
      </c>
      <c r="I1486" s="2" t="s">
        <v>22</v>
      </c>
      <c r="J1486" s="2" t="s">
        <v>40</v>
      </c>
      <c r="K1486" s="2" t="s">
        <v>64</v>
      </c>
      <c r="L1486" s="2" t="s">
        <v>9</v>
      </c>
      <c r="M1486" s="2" t="s">
        <v>20</v>
      </c>
      <c r="N1486" s="2" t="s">
        <v>19</v>
      </c>
      <c r="O1486" s="2" t="s">
        <v>12</v>
      </c>
      <c r="P1486" s="2" t="s">
        <v>32</v>
      </c>
      <c r="Q1486" s="2" t="s">
        <v>30</v>
      </c>
      <c r="R1486" s="2" t="s">
        <v>18</v>
      </c>
      <c r="S1486">
        <v>4</v>
      </c>
    </row>
    <row r="1487" spans="1:19" x14ac:dyDescent="0.3">
      <c r="A1487">
        <v>3217</v>
      </c>
      <c r="B1487">
        <f>YEAR(Cleaned_HR_Data_Analysis__2[[#This Row],[Joining_Date]])</f>
        <v>2019</v>
      </c>
      <c r="C1487" s="1">
        <v>43485</v>
      </c>
      <c r="D1487" s="1" t="str" cm="1">
        <f t="array" ref="D1487">_xlfn.IFS(E1487&lt;28, "17-27",
AND(E1487&gt;27, E1487&lt;38), "28-37",
AND(E1487&gt;37, E1487 &lt;48), "38-47",
AND(E1487&gt;47, E1487 &lt;58), "48-57",
AND(E1487&gt;57, E1487&lt;68), "58-67",
AND(E1487&gt;67, E1487&lt;78), "68-77",
E1487&gt;77,"Above than 77")</f>
        <v>48-57</v>
      </c>
      <c r="E1487">
        <v>51</v>
      </c>
      <c r="F1487" s="1">
        <v>25109</v>
      </c>
      <c r="G1487" s="1" t="str">
        <f>VLOOKUP(H1487,Table7[#All], 2, FALSE)</f>
        <v>Massachusetts</v>
      </c>
      <c r="H1487" s="2" t="s">
        <v>14</v>
      </c>
      <c r="I1487" s="2" t="s">
        <v>15</v>
      </c>
      <c r="J1487" s="2" t="s">
        <v>31</v>
      </c>
      <c r="K1487" s="2" t="s">
        <v>64</v>
      </c>
      <c r="L1487" s="2" t="s">
        <v>66</v>
      </c>
      <c r="M1487" s="2" t="s">
        <v>10</v>
      </c>
      <c r="N1487" s="2" t="s">
        <v>26</v>
      </c>
      <c r="O1487" s="2" t="s">
        <v>12</v>
      </c>
      <c r="P1487" s="2" t="s">
        <v>32</v>
      </c>
      <c r="Q1487" s="2" t="s">
        <v>16</v>
      </c>
      <c r="R1487" s="2" t="s">
        <v>18</v>
      </c>
      <c r="S1487">
        <v>2</v>
      </c>
    </row>
    <row r="1488" spans="1:19" x14ac:dyDescent="0.3">
      <c r="A1488">
        <v>2760</v>
      </c>
      <c r="B1488">
        <f>YEAR(Cleaned_HR_Data_Analysis__2[[#This Row],[Joining_Date]])</f>
        <v>2020</v>
      </c>
      <c r="C1488" s="1">
        <v>44171</v>
      </c>
      <c r="D1488" s="1" t="str" cm="1">
        <f t="array" ref="D1488">_xlfn.IFS(E1488&lt;28, "17-27",
AND(E1488&gt;27, E1488&lt;38), "28-37",
AND(E1488&gt;37, E1488 &lt;48), "38-47",
AND(E1488&gt;47, E1488 &lt;58), "48-57",
AND(E1488&gt;57, E1488&lt;68), "58-67",
AND(E1488&gt;67, E1488&lt;78), "68-77",
E1488&gt;77,"Above than 77")</f>
        <v>48-57</v>
      </c>
      <c r="E1488">
        <v>51</v>
      </c>
      <c r="F1488" s="1">
        <v>25404</v>
      </c>
      <c r="G1488" s="1" t="str">
        <f>VLOOKUP(H1488,Table7[#All], 2, FALSE)</f>
        <v>Massachusetts</v>
      </c>
      <c r="H1488" s="2" t="s">
        <v>14</v>
      </c>
      <c r="I1488" s="2" t="s">
        <v>22</v>
      </c>
      <c r="J1488" s="2" t="s">
        <v>31</v>
      </c>
      <c r="K1488" s="2" t="s">
        <v>64</v>
      </c>
      <c r="L1488" s="2" t="s">
        <v>9</v>
      </c>
      <c r="M1488" s="2" t="s">
        <v>20</v>
      </c>
      <c r="N1488" s="2" t="s">
        <v>26</v>
      </c>
      <c r="O1488" s="2" t="s">
        <v>12</v>
      </c>
      <c r="P1488" s="2" t="s">
        <v>55</v>
      </c>
      <c r="Q1488" s="2" t="s">
        <v>30</v>
      </c>
      <c r="R1488" s="2" t="s">
        <v>18</v>
      </c>
      <c r="S1488">
        <v>1</v>
      </c>
    </row>
    <row r="1489" spans="1:19" x14ac:dyDescent="0.3">
      <c r="A1489">
        <v>2162</v>
      </c>
      <c r="B1489">
        <f>YEAR(Cleaned_HR_Data_Analysis__2[[#This Row],[Joining_Date]])</f>
        <v>2021</v>
      </c>
      <c r="C1489" s="1">
        <v>44198</v>
      </c>
      <c r="D1489" s="1" t="str" cm="1">
        <f t="array" ref="D1489">_xlfn.IFS(E1489&lt;28, "17-27",
AND(E1489&gt;27, E1489&lt;38), "28-37",
AND(E1489&gt;37, E1489 &lt;48), "38-47",
AND(E1489&gt;47, E1489 &lt;58), "48-57",
AND(E1489&gt;57, E1489&lt;68), "58-67",
AND(E1489&gt;67, E1489&lt;78), "68-77",
E1489&gt;77,"Above than 77")</f>
        <v>48-57</v>
      </c>
      <c r="E1489">
        <v>51</v>
      </c>
      <c r="F1489" s="1">
        <v>25663</v>
      </c>
      <c r="G1489" s="1" t="str">
        <f>VLOOKUP(H1489,Table7[#All], 2, FALSE)</f>
        <v>Massachusetts</v>
      </c>
      <c r="H1489" s="2" t="s">
        <v>14</v>
      </c>
      <c r="I1489" s="2" t="s">
        <v>15</v>
      </c>
      <c r="J1489" s="2" t="s">
        <v>34</v>
      </c>
      <c r="K1489" s="2" t="s">
        <v>64</v>
      </c>
      <c r="L1489" s="2" t="s">
        <v>9</v>
      </c>
      <c r="M1489" s="2" t="s">
        <v>25</v>
      </c>
      <c r="N1489" s="2" t="s">
        <v>26</v>
      </c>
      <c r="O1489" s="2" t="s">
        <v>12</v>
      </c>
      <c r="P1489" s="2" t="s">
        <v>54</v>
      </c>
      <c r="Q1489" s="2" t="s">
        <v>46</v>
      </c>
      <c r="R1489" s="2" t="s">
        <v>41</v>
      </c>
      <c r="S1489">
        <v>5</v>
      </c>
    </row>
    <row r="1490" spans="1:19" x14ac:dyDescent="0.3">
      <c r="A1490">
        <v>2140</v>
      </c>
      <c r="B1490">
        <f>YEAR(Cleaned_HR_Data_Analysis__2[[#This Row],[Joining_Date]])</f>
        <v>2020</v>
      </c>
      <c r="C1490" s="1">
        <v>44173</v>
      </c>
      <c r="D1490" s="1" t="str" cm="1">
        <f t="array" ref="D1490">_xlfn.IFS(E1490&lt;28, "17-27",
AND(E1490&gt;27, E1490&lt;38), "28-37",
AND(E1490&gt;37, E1490 &lt;48), "38-47",
AND(E1490&gt;47, E1490 &lt;58), "48-57",
AND(E1490&gt;57, E1490&lt;68), "58-67",
AND(E1490&gt;67, E1490&lt;78), "68-77",
E1490&gt;77,"Above than 77")</f>
        <v>48-57</v>
      </c>
      <c r="E1490">
        <v>51</v>
      </c>
      <c r="F1490" s="1">
        <v>25437</v>
      </c>
      <c r="G1490" s="1" t="str">
        <f>VLOOKUP(H1490,Table7[#All], 2, FALSE)</f>
        <v>Massachusetts</v>
      </c>
      <c r="H1490" s="2" t="s">
        <v>14</v>
      </c>
      <c r="I1490" s="2" t="s">
        <v>15</v>
      </c>
      <c r="J1490" s="2" t="s">
        <v>17</v>
      </c>
      <c r="K1490" s="2" t="s">
        <v>64</v>
      </c>
      <c r="L1490" s="2" t="s">
        <v>9</v>
      </c>
      <c r="M1490" s="2" t="s">
        <v>10</v>
      </c>
      <c r="N1490" s="2" t="s">
        <v>19</v>
      </c>
      <c r="O1490" s="2" t="s">
        <v>12</v>
      </c>
      <c r="P1490" s="2" t="s">
        <v>42</v>
      </c>
      <c r="Q1490" s="2" t="s">
        <v>37</v>
      </c>
      <c r="R1490" s="2" t="s">
        <v>41</v>
      </c>
      <c r="S1490">
        <v>5</v>
      </c>
    </row>
    <row r="1491" spans="1:19" x14ac:dyDescent="0.3">
      <c r="A1491">
        <v>2120</v>
      </c>
      <c r="B1491">
        <f>YEAR(Cleaned_HR_Data_Analysis__2[[#This Row],[Joining_Date]])</f>
        <v>2018</v>
      </c>
      <c r="C1491" s="1">
        <v>43378</v>
      </c>
      <c r="D1491" s="1" t="str" cm="1">
        <f t="array" ref="D1491">_xlfn.IFS(E1491&lt;28, "17-27",
AND(E1491&gt;27, E1491&lt;38), "28-37",
AND(E1491&gt;37, E1491 &lt;48), "38-47",
AND(E1491&gt;47, E1491 &lt;58), "48-57",
AND(E1491&gt;57, E1491&lt;68), "58-67",
AND(E1491&gt;67, E1491&lt;78), "68-77",
E1491&gt;77,"Above than 77")</f>
        <v>48-57</v>
      </c>
      <c r="E1491">
        <v>51</v>
      </c>
      <c r="F1491" s="1">
        <v>24489</v>
      </c>
      <c r="G1491" s="1" t="str">
        <f>VLOOKUP(H1491,Table7[#All], 2, FALSE)</f>
        <v>Massachusetts</v>
      </c>
      <c r="H1491" s="2" t="s">
        <v>14</v>
      </c>
      <c r="I1491" s="2" t="s">
        <v>15</v>
      </c>
      <c r="J1491" s="2" t="s">
        <v>40</v>
      </c>
      <c r="K1491" s="2" t="s">
        <v>64</v>
      </c>
      <c r="L1491" s="2" t="s">
        <v>9</v>
      </c>
      <c r="M1491" s="2" t="s">
        <v>10</v>
      </c>
      <c r="N1491" s="2" t="s">
        <v>11</v>
      </c>
      <c r="O1491" s="2" t="s">
        <v>12</v>
      </c>
      <c r="P1491" s="2" t="s">
        <v>59</v>
      </c>
      <c r="Q1491" s="2" t="s">
        <v>46</v>
      </c>
      <c r="R1491" s="2" t="s">
        <v>56</v>
      </c>
      <c r="S1491">
        <v>4</v>
      </c>
    </row>
    <row r="1492" spans="1:19" x14ac:dyDescent="0.3">
      <c r="A1492">
        <v>1954</v>
      </c>
      <c r="B1492">
        <f>YEAR(Cleaned_HR_Data_Analysis__2[[#This Row],[Joining_Date]])</f>
        <v>2019</v>
      </c>
      <c r="C1492" s="1">
        <v>43514</v>
      </c>
      <c r="D1492" s="1" t="str" cm="1">
        <f t="array" ref="D1492">_xlfn.IFS(E1492&lt;28, "17-27",
AND(E1492&gt;27, E1492&lt;38), "28-37",
AND(E1492&gt;37, E1492 &lt;48), "38-47",
AND(E1492&gt;47, E1492 &lt;58), "48-57",
AND(E1492&gt;57, E1492&lt;68), "58-67",
AND(E1492&gt;67, E1492&lt;78), "68-77",
E1492&gt;77,"Above than 77")</f>
        <v>48-57</v>
      </c>
      <c r="E1492">
        <v>51</v>
      </c>
      <c r="F1492" s="1">
        <v>25041</v>
      </c>
      <c r="G1492" s="1" t="str">
        <f>VLOOKUP(H1492,Table7[#All], 2, FALSE)</f>
        <v>Massachusetts</v>
      </c>
      <c r="H1492" s="2" t="s">
        <v>14</v>
      </c>
      <c r="I1492" s="2" t="s">
        <v>15</v>
      </c>
      <c r="J1492" s="2" t="s">
        <v>40</v>
      </c>
      <c r="K1492" s="2" t="s">
        <v>64</v>
      </c>
      <c r="L1492" s="2" t="s">
        <v>66</v>
      </c>
      <c r="M1492" s="2" t="s">
        <v>20</v>
      </c>
      <c r="N1492" s="2" t="s">
        <v>11</v>
      </c>
      <c r="O1492" s="2" t="s">
        <v>12</v>
      </c>
      <c r="P1492" s="2" t="s">
        <v>13</v>
      </c>
      <c r="Q1492" s="2" t="s">
        <v>30</v>
      </c>
      <c r="R1492" s="2" t="s">
        <v>18</v>
      </c>
      <c r="S1492">
        <v>1</v>
      </c>
    </row>
    <row r="1493" spans="1:19" x14ac:dyDescent="0.3">
      <c r="A1493">
        <v>1580</v>
      </c>
      <c r="B1493">
        <f>YEAR(Cleaned_HR_Data_Analysis__2[[#This Row],[Joining_Date]])</f>
        <v>2023</v>
      </c>
      <c r="C1493" s="1">
        <v>45020</v>
      </c>
      <c r="D1493" s="1" t="str" cm="1">
        <f t="array" ref="D1493">_xlfn.IFS(E1493&lt;28, "17-27",
AND(E1493&gt;27, E1493&lt;38), "28-37",
AND(E1493&gt;37, E1493 &lt;48), "38-47",
AND(E1493&gt;47, E1493 &lt;58), "48-57",
AND(E1493&gt;57, E1493&lt;68), "58-67",
AND(E1493&gt;67, E1493&lt;78), "68-77",
E1493&gt;77,"Above than 77")</f>
        <v>48-57</v>
      </c>
      <c r="E1493">
        <v>51</v>
      </c>
      <c r="F1493" s="1">
        <v>26399</v>
      </c>
      <c r="G1493" s="1" t="str">
        <f>VLOOKUP(H1493,Table7[#All], 2, FALSE)</f>
        <v>Massachusetts</v>
      </c>
      <c r="H1493" s="2" t="s">
        <v>14</v>
      </c>
      <c r="I1493" s="2" t="s">
        <v>22</v>
      </c>
      <c r="J1493" s="2" t="s">
        <v>31</v>
      </c>
      <c r="K1493" s="2" t="s">
        <v>64</v>
      </c>
      <c r="L1493" s="2" t="s">
        <v>9</v>
      </c>
      <c r="M1493" s="2" t="s">
        <v>20</v>
      </c>
      <c r="N1493" s="2" t="s">
        <v>19</v>
      </c>
      <c r="O1493" s="2" t="s">
        <v>12</v>
      </c>
      <c r="P1493" s="2" t="s">
        <v>13</v>
      </c>
      <c r="Q1493" s="2" t="s">
        <v>46</v>
      </c>
      <c r="R1493" s="2" t="s">
        <v>56</v>
      </c>
      <c r="S1493">
        <v>1</v>
      </c>
    </row>
    <row r="1494" spans="1:19" x14ac:dyDescent="0.3">
      <c r="A1494">
        <v>1297</v>
      </c>
      <c r="B1494">
        <f>YEAR(Cleaned_HR_Data_Analysis__2[[#This Row],[Joining_Date]])</f>
        <v>2019</v>
      </c>
      <c r="C1494" s="1">
        <v>43609</v>
      </c>
      <c r="D1494" s="1" t="str" cm="1">
        <f t="array" ref="D1494">_xlfn.IFS(E1494&lt;28, "17-27",
AND(E1494&gt;27, E1494&lt;38), "28-37",
AND(E1494&gt;37, E1494 &lt;48), "38-47",
AND(E1494&gt;47, E1494 &lt;58), "48-57",
AND(E1494&gt;57, E1494&lt;68), "58-67",
AND(E1494&gt;67, E1494&lt;78), "68-77",
E1494&gt;77,"Above than 77")</f>
        <v>48-57</v>
      </c>
      <c r="E1494">
        <v>51</v>
      </c>
      <c r="F1494" s="1">
        <v>25058</v>
      </c>
      <c r="G1494" s="1" t="str">
        <f>VLOOKUP(H1494,Table7[#All], 2, FALSE)</f>
        <v>Massachusetts</v>
      </c>
      <c r="H1494" s="2" t="s">
        <v>14</v>
      </c>
      <c r="I1494" s="2" t="s">
        <v>15</v>
      </c>
      <c r="J1494" s="2" t="s">
        <v>34</v>
      </c>
      <c r="K1494" s="2" t="s">
        <v>64</v>
      </c>
      <c r="L1494" s="2" t="s">
        <v>66</v>
      </c>
      <c r="M1494" s="2" t="s">
        <v>20</v>
      </c>
      <c r="N1494" s="2" t="s">
        <v>19</v>
      </c>
      <c r="O1494" s="2" t="s">
        <v>12</v>
      </c>
      <c r="P1494" s="2" t="s">
        <v>92</v>
      </c>
      <c r="Q1494" s="2" t="s">
        <v>30</v>
      </c>
      <c r="R1494" s="2" t="s">
        <v>18</v>
      </c>
      <c r="S1494">
        <v>4</v>
      </c>
    </row>
    <row r="1495" spans="1:19" x14ac:dyDescent="0.3">
      <c r="A1495">
        <v>1295</v>
      </c>
      <c r="B1495">
        <f>YEAR(Cleaned_HR_Data_Analysis__2[[#This Row],[Joining_Date]])</f>
        <v>2021</v>
      </c>
      <c r="C1495" s="1">
        <v>44360</v>
      </c>
      <c r="D1495" s="1" t="str" cm="1">
        <f t="array" ref="D1495">_xlfn.IFS(E1495&lt;28, "17-27",
AND(E1495&gt;27, E1495&lt;38), "28-37",
AND(E1495&gt;37, E1495 &lt;48), "38-47",
AND(E1495&gt;47, E1495 &lt;58), "48-57",
AND(E1495&gt;57, E1495&lt;68), "58-67",
AND(E1495&gt;67, E1495&lt;78), "68-77",
E1495&gt;77,"Above than 77")</f>
        <v>48-57</v>
      </c>
      <c r="E1495">
        <v>51</v>
      </c>
      <c r="F1495" s="1">
        <v>25865</v>
      </c>
      <c r="G1495" s="1" t="str">
        <f>VLOOKUP(H1495,Table7[#All], 2, FALSE)</f>
        <v>Massachusetts</v>
      </c>
      <c r="H1495" s="2" t="s">
        <v>14</v>
      </c>
      <c r="I1495" s="2" t="s">
        <v>15</v>
      </c>
      <c r="J1495" s="2" t="s">
        <v>34</v>
      </c>
      <c r="K1495" s="2" t="s">
        <v>64</v>
      </c>
      <c r="L1495" s="2" t="s">
        <v>9</v>
      </c>
      <c r="M1495" s="2" t="s">
        <v>25</v>
      </c>
      <c r="N1495" s="2" t="s">
        <v>19</v>
      </c>
      <c r="O1495" s="2" t="s">
        <v>12</v>
      </c>
      <c r="P1495" s="2" t="s">
        <v>32</v>
      </c>
      <c r="Q1495" s="2" t="s">
        <v>30</v>
      </c>
      <c r="R1495" s="2" t="s">
        <v>18</v>
      </c>
      <c r="S1495">
        <v>3</v>
      </c>
    </row>
    <row r="1496" spans="1:19" x14ac:dyDescent="0.3">
      <c r="A1496">
        <v>3746</v>
      </c>
      <c r="B1496">
        <f>YEAR(Cleaned_HR_Data_Analysis__2[[#This Row],[Joining_Date]])</f>
        <v>2020</v>
      </c>
      <c r="C1496" s="1">
        <v>44025</v>
      </c>
      <c r="D1496" s="1" t="str" cm="1">
        <f t="array" ref="D1496">_xlfn.IFS(E1496&lt;28, "17-27",
AND(E1496&gt;27, E1496&lt;38), "28-37",
AND(E1496&gt;37, E1496 &lt;48), "38-47",
AND(E1496&gt;47, E1496 &lt;58), "48-57",
AND(E1496&gt;57, E1496&lt;68), "58-67",
AND(E1496&gt;67, E1496&lt;78), "68-77",
E1496&gt;77,"Above than 77")</f>
        <v>48-57</v>
      </c>
      <c r="E1496">
        <v>51</v>
      </c>
      <c r="F1496" s="1">
        <v>25436</v>
      </c>
      <c r="G1496" s="1" t="str">
        <f>VLOOKUP(H1496,Table7[#All], 2, FALSE)</f>
        <v>Massachusetts</v>
      </c>
      <c r="H1496" s="2" t="s">
        <v>14</v>
      </c>
      <c r="I1496" s="2" t="s">
        <v>22</v>
      </c>
      <c r="J1496" s="2" t="s">
        <v>17</v>
      </c>
      <c r="K1496" s="2" t="s">
        <v>8</v>
      </c>
      <c r="L1496" s="2" t="s">
        <v>9</v>
      </c>
      <c r="M1496" s="2" t="s">
        <v>20</v>
      </c>
      <c r="N1496" s="2" t="s">
        <v>26</v>
      </c>
      <c r="O1496" s="2" t="s">
        <v>12</v>
      </c>
      <c r="P1496" s="2" t="s">
        <v>58</v>
      </c>
      <c r="Q1496" s="2" t="s">
        <v>37</v>
      </c>
      <c r="R1496" s="2" t="s">
        <v>18</v>
      </c>
      <c r="S1496">
        <v>1</v>
      </c>
    </row>
    <row r="1497" spans="1:19" x14ac:dyDescent="0.3">
      <c r="A1497">
        <v>3400</v>
      </c>
      <c r="B1497">
        <f>YEAR(Cleaned_HR_Data_Analysis__2[[#This Row],[Joining_Date]])</f>
        <v>2021</v>
      </c>
      <c r="C1497" s="1">
        <v>44460</v>
      </c>
      <c r="D1497" s="1" t="str" cm="1">
        <f t="array" ref="D1497">_xlfn.IFS(E1497&lt;28, "17-27",
AND(E1497&gt;27, E1497&lt;38), "28-37",
AND(E1497&gt;37, E1497 &lt;48), "38-47",
AND(E1497&gt;47, E1497 &lt;58), "48-57",
AND(E1497&gt;57, E1497&lt;68), "58-67",
AND(E1497&gt;67, E1497&lt;78), "68-77",
E1497&gt;77,"Above than 77")</f>
        <v>48-57</v>
      </c>
      <c r="E1497">
        <v>51</v>
      </c>
      <c r="F1497" s="1">
        <v>25723</v>
      </c>
      <c r="G1497" s="1" t="str">
        <f>VLOOKUP(H1497,Table7[#All], 2, FALSE)</f>
        <v>Massachusetts</v>
      </c>
      <c r="H1497" s="2" t="s">
        <v>14</v>
      </c>
      <c r="I1497" s="2" t="s">
        <v>15</v>
      </c>
      <c r="J1497" s="2" t="s">
        <v>40</v>
      </c>
      <c r="K1497" s="2" t="s">
        <v>8</v>
      </c>
      <c r="L1497" s="2" t="s">
        <v>9</v>
      </c>
      <c r="M1497" s="2" t="s">
        <v>25</v>
      </c>
      <c r="N1497" s="2" t="s">
        <v>11</v>
      </c>
      <c r="O1497" s="2" t="s">
        <v>12</v>
      </c>
      <c r="P1497" s="2" t="s">
        <v>58</v>
      </c>
      <c r="Q1497" s="2" t="s">
        <v>37</v>
      </c>
      <c r="R1497" s="2" t="s">
        <v>18</v>
      </c>
      <c r="S1497">
        <v>5</v>
      </c>
    </row>
    <row r="1498" spans="1:19" x14ac:dyDescent="0.3">
      <c r="A1498">
        <v>3248</v>
      </c>
      <c r="B1498">
        <f>YEAR(Cleaned_HR_Data_Analysis__2[[#This Row],[Joining_Date]])</f>
        <v>2018</v>
      </c>
      <c r="C1498" s="1">
        <v>43319</v>
      </c>
      <c r="D1498" s="1" t="str" cm="1">
        <f t="array" ref="D1498">_xlfn.IFS(E1498&lt;28, "17-27",
AND(E1498&gt;27, E1498&lt;38), "28-37",
AND(E1498&gt;37, E1498 &lt;48), "38-47",
AND(E1498&gt;47, E1498 &lt;58), "48-57",
AND(E1498&gt;57, E1498&lt;68), "58-67",
AND(E1498&gt;67, E1498&lt;78), "68-77",
E1498&gt;77,"Above than 77")</f>
        <v>48-57</v>
      </c>
      <c r="E1498">
        <v>51</v>
      </c>
      <c r="F1498" s="1">
        <v>24549</v>
      </c>
      <c r="G1498" s="1" t="str">
        <f>VLOOKUP(H1498,Table7[#All], 2, FALSE)</f>
        <v>Massachusetts</v>
      </c>
      <c r="H1498" s="2" t="s">
        <v>14</v>
      </c>
      <c r="I1498" s="2" t="s">
        <v>15</v>
      </c>
      <c r="J1498" s="2" t="s">
        <v>31</v>
      </c>
      <c r="K1498" s="2" t="s">
        <v>8</v>
      </c>
      <c r="L1498" s="2" t="s">
        <v>9</v>
      </c>
      <c r="M1498" s="2" t="s">
        <v>10</v>
      </c>
      <c r="N1498" s="2" t="s">
        <v>26</v>
      </c>
      <c r="O1498" s="2" t="s">
        <v>12</v>
      </c>
      <c r="P1498" s="2" t="s">
        <v>32</v>
      </c>
      <c r="Q1498" s="2" t="s">
        <v>23</v>
      </c>
      <c r="R1498" s="2" t="s">
        <v>18</v>
      </c>
      <c r="S1498">
        <v>3</v>
      </c>
    </row>
    <row r="1499" spans="1:19" x14ac:dyDescent="0.3">
      <c r="A1499">
        <v>3141</v>
      </c>
      <c r="B1499">
        <f>YEAR(Cleaned_HR_Data_Analysis__2[[#This Row],[Joining_Date]])</f>
        <v>2021</v>
      </c>
      <c r="C1499" s="1">
        <v>44272</v>
      </c>
      <c r="D1499" s="1" t="str" cm="1">
        <f t="array" ref="D1499">_xlfn.IFS(E1499&lt;28, "17-27",
AND(E1499&gt;27, E1499&lt;38), "28-37",
AND(E1499&gt;37, E1499 &lt;48), "38-47",
AND(E1499&gt;47, E1499 &lt;58), "48-57",
AND(E1499&gt;57, E1499&lt;68), "58-67",
AND(E1499&gt;67, E1499&lt;78), "68-77",
E1499&gt;77,"Above than 77")</f>
        <v>48-57</v>
      </c>
      <c r="E1499">
        <v>51</v>
      </c>
      <c r="F1499" s="1">
        <v>25759</v>
      </c>
      <c r="G1499" s="1" t="str">
        <f>VLOOKUP(H1499,Table7[#All], 2, FALSE)</f>
        <v>Massachusetts</v>
      </c>
      <c r="H1499" s="2" t="s">
        <v>14</v>
      </c>
      <c r="I1499" s="2" t="s">
        <v>22</v>
      </c>
      <c r="J1499" s="2" t="s">
        <v>34</v>
      </c>
      <c r="K1499" s="2" t="s">
        <v>8</v>
      </c>
      <c r="L1499" s="2" t="s">
        <v>9</v>
      </c>
      <c r="M1499" s="2" t="s">
        <v>25</v>
      </c>
      <c r="N1499" s="2" t="s">
        <v>26</v>
      </c>
      <c r="O1499" s="2" t="s">
        <v>12</v>
      </c>
      <c r="P1499" s="2" t="s">
        <v>35</v>
      </c>
      <c r="Q1499" s="2" t="s">
        <v>37</v>
      </c>
      <c r="R1499" s="2" t="s">
        <v>41</v>
      </c>
      <c r="S1499">
        <v>1</v>
      </c>
    </row>
    <row r="1500" spans="1:19" x14ac:dyDescent="0.3">
      <c r="A1500">
        <v>3045</v>
      </c>
      <c r="B1500">
        <f>YEAR(Cleaned_HR_Data_Analysis__2[[#This Row],[Joining_Date]])</f>
        <v>2019</v>
      </c>
      <c r="C1500" s="1">
        <v>43705</v>
      </c>
      <c r="D1500" s="1" t="str" cm="1">
        <f t="array" ref="D1500">_xlfn.IFS(E1500&lt;28, "17-27",
AND(E1500&gt;27, E1500&lt;38), "28-37",
AND(E1500&gt;37, E1500 &lt;48), "38-47",
AND(E1500&gt;47, E1500 &lt;58), "48-57",
AND(E1500&gt;57, E1500&lt;68), "58-67",
AND(E1500&gt;67, E1500&lt;78), "68-77",
E1500&gt;77,"Above than 77")</f>
        <v>48-57</v>
      </c>
      <c r="E1500">
        <v>51</v>
      </c>
      <c r="F1500" s="1">
        <v>24878</v>
      </c>
      <c r="G1500" s="1" t="str">
        <f>VLOOKUP(H1500,Table7[#All], 2, FALSE)</f>
        <v>Massachusetts</v>
      </c>
      <c r="H1500" s="2" t="s">
        <v>14</v>
      </c>
      <c r="I1500" s="2" t="s">
        <v>22</v>
      </c>
      <c r="J1500" s="2" t="s">
        <v>31</v>
      </c>
      <c r="K1500" s="2" t="s">
        <v>8</v>
      </c>
      <c r="L1500" s="2" t="s">
        <v>9</v>
      </c>
      <c r="M1500" s="2" t="s">
        <v>25</v>
      </c>
      <c r="N1500" s="2" t="s">
        <v>11</v>
      </c>
      <c r="O1500" s="2" t="s">
        <v>12</v>
      </c>
      <c r="P1500" s="2" t="s">
        <v>38</v>
      </c>
      <c r="Q1500" s="2" t="s">
        <v>30</v>
      </c>
      <c r="R1500" s="2" t="s">
        <v>41</v>
      </c>
      <c r="S1500">
        <v>4</v>
      </c>
    </row>
    <row r="1501" spans="1:19" x14ac:dyDescent="0.3">
      <c r="A1501">
        <v>2938</v>
      </c>
      <c r="B1501">
        <f>YEAR(Cleaned_HR_Data_Analysis__2[[#This Row],[Joining_Date]])</f>
        <v>2023</v>
      </c>
      <c r="C1501" s="1">
        <v>44934</v>
      </c>
      <c r="D1501" s="1" t="str" cm="1">
        <f t="array" ref="D1501">_xlfn.IFS(E1501&lt;28, "17-27",
AND(E1501&gt;27, E1501&lt;38), "28-37",
AND(E1501&gt;37, E1501 &lt;48), "38-47",
AND(E1501&gt;47, E1501 &lt;58), "48-57",
AND(E1501&gt;57, E1501&lt;68), "58-67",
AND(E1501&gt;67, E1501&lt;78), "68-77",
E1501&gt;77,"Above than 77")</f>
        <v>48-57</v>
      </c>
      <c r="E1501">
        <v>51</v>
      </c>
      <c r="F1501" s="1">
        <v>26644</v>
      </c>
      <c r="G1501" s="1" t="str">
        <f>VLOOKUP(H1501,Table7[#All], 2, FALSE)</f>
        <v>Massachusetts</v>
      </c>
      <c r="H1501" s="2" t="s">
        <v>14</v>
      </c>
      <c r="I1501" s="2" t="s">
        <v>22</v>
      </c>
      <c r="J1501" s="2" t="s">
        <v>34</v>
      </c>
      <c r="K1501" s="2" t="s">
        <v>8</v>
      </c>
      <c r="L1501" s="2" t="s">
        <v>9</v>
      </c>
      <c r="M1501" s="2" t="s">
        <v>25</v>
      </c>
      <c r="N1501" s="2" t="s">
        <v>11</v>
      </c>
      <c r="O1501" s="2" t="s">
        <v>12</v>
      </c>
      <c r="P1501" s="2" t="s">
        <v>21</v>
      </c>
      <c r="Q1501" s="2" t="s">
        <v>16</v>
      </c>
      <c r="R1501" s="2" t="s">
        <v>56</v>
      </c>
      <c r="S1501">
        <v>5</v>
      </c>
    </row>
    <row r="1502" spans="1:19" x14ac:dyDescent="0.3">
      <c r="A1502">
        <v>2931</v>
      </c>
      <c r="B1502">
        <f>YEAR(Cleaned_HR_Data_Analysis__2[[#This Row],[Joining_Date]])</f>
        <v>2020</v>
      </c>
      <c r="C1502" s="1">
        <v>43859</v>
      </c>
      <c r="D1502" s="1" t="str" cm="1">
        <f t="array" ref="D1502">_xlfn.IFS(E1502&lt;28, "17-27",
AND(E1502&gt;27, E1502&lt;38), "28-37",
AND(E1502&gt;37, E1502 &lt;48), "38-47",
AND(E1502&gt;47, E1502 &lt;58), "48-57",
AND(E1502&gt;57, E1502&lt;68), "58-67",
AND(E1502&gt;67, E1502&lt;78), "68-77",
E1502&gt;77,"Above than 77")</f>
        <v>48-57</v>
      </c>
      <c r="E1502">
        <v>51</v>
      </c>
      <c r="F1502" s="1">
        <v>25395</v>
      </c>
      <c r="G1502" s="1" t="str">
        <f>VLOOKUP(H1502,Table7[#All], 2, FALSE)</f>
        <v>Massachusetts</v>
      </c>
      <c r="H1502" s="2" t="s">
        <v>14</v>
      </c>
      <c r="I1502" s="2" t="s">
        <v>22</v>
      </c>
      <c r="J1502" s="2" t="s">
        <v>31</v>
      </c>
      <c r="K1502" s="2" t="s">
        <v>8</v>
      </c>
      <c r="L1502" s="2" t="s">
        <v>66</v>
      </c>
      <c r="M1502" s="2" t="s">
        <v>25</v>
      </c>
      <c r="N1502" s="2" t="s">
        <v>26</v>
      </c>
      <c r="O1502" s="2" t="s">
        <v>12</v>
      </c>
      <c r="P1502" s="2" t="s">
        <v>35</v>
      </c>
      <c r="Q1502" s="2" t="s">
        <v>23</v>
      </c>
      <c r="R1502" s="2" t="s">
        <v>41</v>
      </c>
      <c r="S1502">
        <v>4</v>
      </c>
    </row>
    <row r="1503" spans="1:19" x14ac:dyDescent="0.3">
      <c r="A1503">
        <v>2798</v>
      </c>
      <c r="B1503">
        <f>YEAR(Cleaned_HR_Data_Analysis__2[[#This Row],[Joining_Date]])</f>
        <v>2020</v>
      </c>
      <c r="C1503" s="1">
        <v>43928</v>
      </c>
      <c r="D1503" s="1" t="str" cm="1">
        <f t="array" ref="D1503">_xlfn.IFS(E1503&lt;28, "17-27",
AND(E1503&gt;27, E1503&lt;38), "28-37",
AND(E1503&gt;37, E1503 &lt;48), "38-47",
AND(E1503&gt;47, E1503 &lt;58), "48-57",
AND(E1503&gt;57, E1503&lt;68), "58-67",
AND(E1503&gt;67, E1503&lt;78), "68-77",
E1503&gt;77,"Above than 77")</f>
        <v>48-57</v>
      </c>
      <c r="E1503">
        <v>51</v>
      </c>
      <c r="F1503" s="1">
        <v>25340</v>
      </c>
      <c r="G1503" s="1" t="str">
        <f>VLOOKUP(H1503,Table7[#All], 2, FALSE)</f>
        <v>Massachusetts</v>
      </c>
      <c r="H1503" s="2" t="s">
        <v>14</v>
      </c>
      <c r="I1503" s="2" t="s">
        <v>22</v>
      </c>
      <c r="J1503" s="2" t="s">
        <v>40</v>
      </c>
      <c r="K1503" s="2" t="s">
        <v>8</v>
      </c>
      <c r="L1503" s="2" t="s">
        <v>9</v>
      </c>
      <c r="M1503" s="2" t="s">
        <v>10</v>
      </c>
      <c r="N1503" s="2" t="s">
        <v>19</v>
      </c>
      <c r="O1503" s="2" t="s">
        <v>12</v>
      </c>
      <c r="P1503" s="2" t="s">
        <v>42</v>
      </c>
      <c r="Q1503" s="2" t="s">
        <v>46</v>
      </c>
      <c r="R1503" s="2" t="s">
        <v>18</v>
      </c>
      <c r="S1503">
        <v>4</v>
      </c>
    </row>
    <row r="1504" spans="1:19" x14ac:dyDescent="0.3">
      <c r="A1504">
        <v>2781</v>
      </c>
      <c r="B1504">
        <f>YEAR(Cleaned_HR_Data_Analysis__2[[#This Row],[Joining_Date]])</f>
        <v>2020</v>
      </c>
      <c r="C1504" s="1">
        <v>44188</v>
      </c>
      <c r="D1504" s="1" t="str" cm="1">
        <f t="array" ref="D1504">_xlfn.IFS(E1504&lt;28, "17-27",
AND(E1504&gt;27, E1504&lt;38), "28-37",
AND(E1504&gt;37, E1504 &lt;48), "38-47",
AND(E1504&gt;47, E1504 &lt;58), "48-57",
AND(E1504&gt;57, E1504&lt;68), "58-67",
AND(E1504&gt;67, E1504&lt;78), "68-77",
E1504&gt;77,"Above than 77")</f>
        <v>48-57</v>
      </c>
      <c r="E1504">
        <v>51</v>
      </c>
      <c r="F1504" s="1">
        <v>25498</v>
      </c>
      <c r="G1504" s="1" t="str">
        <f>VLOOKUP(H1504,Table7[#All], 2, FALSE)</f>
        <v>Massachusetts</v>
      </c>
      <c r="H1504" s="2" t="s">
        <v>14</v>
      </c>
      <c r="I1504" s="2" t="s">
        <v>22</v>
      </c>
      <c r="J1504" s="2" t="s">
        <v>40</v>
      </c>
      <c r="K1504" s="2" t="s">
        <v>8</v>
      </c>
      <c r="L1504" s="2" t="s">
        <v>66</v>
      </c>
      <c r="M1504" s="2" t="s">
        <v>10</v>
      </c>
      <c r="N1504" s="2" t="s">
        <v>19</v>
      </c>
      <c r="O1504" s="2" t="s">
        <v>12</v>
      </c>
      <c r="P1504" s="2" t="s">
        <v>35</v>
      </c>
      <c r="Q1504" s="2" t="s">
        <v>46</v>
      </c>
      <c r="R1504" s="2" t="s">
        <v>18</v>
      </c>
      <c r="S1504">
        <v>2</v>
      </c>
    </row>
    <row r="1505" spans="1:19" x14ac:dyDescent="0.3">
      <c r="A1505">
        <v>2202</v>
      </c>
      <c r="B1505">
        <f>YEAR(Cleaned_HR_Data_Analysis__2[[#This Row],[Joining_Date]])</f>
        <v>2020</v>
      </c>
      <c r="C1505" s="1">
        <v>44153</v>
      </c>
      <c r="D1505" s="1" t="str" cm="1">
        <f t="array" ref="D1505">_xlfn.IFS(E1505&lt;28, "17-27",
AND(E1505&gt;27, E1505&lt;38), "28-37",
AND(E1505&gt;37, E1505 &lt;48), "38-47",
AND(E1505&gt;47, E1505 &lt;58), "48-57",
AND(E1505&gt;57, E1505&lt;68), "58-67",
AND(E1505&gt;67, E1505&lt;78), "68-77",
E1505&gt;77,"Above than 77")</f>
        <v>48-57</v>
      </c>
      <c r="E1505">
        <v>51</v>
      </c>
      <c r="F1505" s="1">
        <v>25204</v>
      </c>
      <c r="G1505" s="1" t="str">
        <f>VLOOKUP(H1505,Table7[#All], 2, FALSE)</f>
        <v>Massachusetts</v>
      </c>
      <c r="H1505" s="2" t="s">
        <v>14</v>
      </c>
      <c r="I1505" s="2" t="s">
        <v>15</v>
      </c>
      <c r="J1505" s="2" t="s">
        <v>34</v>
      </c>
      <c r="K1505" s="2" t="s">
        <v>8</v>
      </c>
      <c r="L1505" s="2" t="s">
        <v>9</v>
      </c>
      <c r="M1505" s="2" t="s">
        <v>10</v>
      </c>
      <c r="N1505" s="2" t="s">
        <v>19</v>
      </c>
      <c r="O1505" s="2" t="s">
        <v>12</v>
      </c>
      <c r="P1505" s="2" t="s">
        <v>54</v>
      </c>
      <c r="Q1505" s="2" t="s">
        <v>46</v>
      </c>
      <c r="R1505" s="2" t="s">
        <v>41</v>
      </c>
      <c r="S1505">
        <v>4</v>
      </c>
    </row>
    <row r="1506" spans="1:19" x14ac:dyDescent="0.3">
      <c r="A1506">
        <v>1987</v>
      </c>
      <c r="B1506">
        <f>YEAR(Cleaned_HR_Data_Analysis__2[[#This Row],[Joining_Date]])</f>
        <v>2018</v>
      </c>
      <c r="C1506" s="1">
        <v>43413</v>
      </c>
      <c r="D1506" s="1" t="str" cm="1">
        <f t="array" ref="D1506">_xlfn.IFS(E1506&lt;28, "17-27",
AND(E1506&gt;27, E1506&lt;38), "28-37",
AND(E1506&gt;37, E1506 &lt;48), "38-47",
AND(E1506&gt;47, E1506 &lt;58), "48-57",
AND(E1506&gt;57, E1506&lt;68), "58-67",
AND(E1506&gt;67, E1506&lt;78), "68-77",
E1506&gt;77,"Above than 77")</f>
        <v>48-57</v>
      </c>
      <c r="E1506">
        <v>51</v>
      </c>
      <c r="F1506" s="1">
        <v>24619</v>
      </c>
      <c r="G1506" s="1" t="str">
        <f>VLOOKUP(H1506,Table7[#All], 2, FALSE)</f>
        <v>Massachusetts</v>
      </c>
      <c r="H1506" s="2" t="s">
        <v>14</v>
      </c>
      <c r="I1506" s="2" t="s">
        <v>15</v>
      </c>
      <c r="J1506" s="2" t="s">
        <v>31</v>
      </c>
      <c r="K1506" s="2" t="s">
        <v>8</v>
      </c>
      <c r="L1506" s="2" t="s">
        <v>9</v>
      </c>
      <c r="M1506" s="2" t="s">
        <v>25</v>
      </c>
      <c r="N1506" s="2" t="s">
        <v>11</v>
      </c>
      <c r="O1506" s="2" t="s">
        <v>12</v>
      </c>
      <c r="P1506" s="2" t="s">
        <v>28</v>
      </c>
      <c r="Q1506" s="2" t="s">
        <v>16</v>
      </c>
      <c r="R1506" s="2" t="s">
        <v>18</v>
      </c>
      <c r="S1506">
        <v>1</v>
      </c>
    </row>
    <row r="1507" spans="1:19" x14ac:dyDescent="0.3">
      <c r="A1507">
        <v>1883</v>
      </c>
      <c r="B1507">
        <f>YEAR(Cleaned_HR_Data_Analysis__2[[#This Row],[Joining_Date]])</f>
        <v>2018</v>
      </c>
      <c r="C1507" s="1">
        <v>43339</v>
      </c>
      <c r="D1507" s="1" t="str" cm="1">
        <f t="array" ref="D1507">_xlfn.IFS(E1507&lt;28, "17-27",
AND(E1507&gt;27, E1507&lt;38), "28-37",
AND(E1507&gt;37, E1507 &lt;48), "38-47",
AND(E1507&gt;47, E1507 &lt;58), "48-57",
AND(E1507&gt;57, E1507&lt;68), "58-67",
AND(E1507&gt;67, E1507&lt;78), "68-77",
E1507&gt;77,"Above than 77")</f>
        <v>48-57</v>
      </c>
      <c r="E1507">
        <v>51</v>
      </c>
      <c r="F1507" s="1">
        <v>24656</v>
      </c>
      <c r="G1507" s="1" t="str">
        <f>VLOOKUP(H1507,Table7[#All], 2, FALSE)</f>
        <v>Massachusetts</v>
      </c>
      <c r="H1507" s="2" t="s">
        <v>14</v>
      </c>
      <c r="I1507" s="2" t="s">
        <v>15</v>
      </c>
      <c r="J1507" s="2" t="s">
        <v>31</v>
      </c>
      <c r="K1507" s="2" t="s">
        <v>8</v>
      </c>
      <c r="L1507" s="2" t="s">
        <v>9</v>
      </c>
      <c r="M1507" s="2" t="s">
        <v>25</v>
      </c>
      <c r="N1507" s="2" t="s">
        <v>26</v>
      </c>
      <c r="O1507" s="2" t="s">
        <v>12</v>
      </c>
      <c r="P1507" s="2" t="s">
        <v>54</v>
      </c>
      <c r="Q1507" s="2" t="s">
        <v>37</v>
      </c>
      <c r="R1507" s="2" t="s">
        <v>18</v>
      </c>
      <c r="S1507">
        <v>4</v>
      </c>
    </row>
    <row r="1508" spans="1:19" x14ac:dyDescent="0.3">
      <c r="A1508">
        <v>1864</v>
      </c>
      <c r="B1508">
        <f>YEAR(Cleaned_HR_Data_Analysis__2[[#This Row],[Joining_Date]])</f>
        <v>2023</v>
      </c>
      <c r="C1508" s="1">
        <v>45080</v>
      </c>
      <c r="D1508" s="1" t="str" cm="1">
        <f t="array" ref="D1508">_xlfn.IFS(E1508&lt;28, "17-27",
AND(E1508&gt;27, E1508&lt;38), "28-37",
AND(E1508&gt;37, E1508 &lt;48), "38-47",
AND(E1508&gt;47, E1508 &lt;58), "48-57",
AND(E1508&gt;57, E1508&lt;68), "58-67",
AND(E1508&gt;67, E1508&lt;78), "68-77",
E1508&gt;77,"Above than 77")</f>
        <v>48-57</v>
      </c>
      <c r="E1508">
        <v>51</v>
      </c>
      <c r="F1508" s="1">
        <v>26445</v>
      </c>
      <c r="G1508" s="1" t="str">
        <f>VLOOKUP(H1508,Table7[#All], 2, FALSE)</f>
        <v>Massachusetts</v>
      </c>
      <c r="H1508" s="2" t="s">
        <v>14</v>
      </c>
      <c r="I1508" s="2" t="s">
        <v>15</v>
      </c>
      <c r="J1508" s="2" t="s">
        <v>34</v>
      </c>
      <c r="K1508" s="2" t="s">
        <v>8</v>
      </c>
      <c r="L1508" s="2" t="s">
        <v>9</v>
      </c>
      <c r="M1508" s="2" t="s">
        <v>25</v>
      </c>
      <c r="N1508" s="2" t="s">
        <v>19</v>
      </c>
      <c r="O1508" s="2" t="s">
        <v>12</v>
      </c>
      <c r="P1508" s="2" t="s">
        <v>35</v>
      </c>
      <c r="Q1508" s="2" t="s">
        <v>23</v>
      </c>
      <c r="R1508" s="2" t="s">
        <v>41</v>
      </c>
      <c r="S1508">
        <v>2</v>
      </c>
    </row>
    <row r="1509" spans="1:19" x14ac:dyDescent="0.3">
      <c r="A1509">
        <v>1487</v>
      </c>
      <c r="B1509">
        <f>YEAR(Cleaned_HR_Data_Analysis__2[[#This Row],[Joining_Date]])</f>
        <v>2022</v>
      </c>
      <c r="C1509" s="1">
        <v>44689</v>
      </c>
      <c r="D1509" s="1" t="str" cm="1">
        <f t="array" ref="D1509">_xlfn.IFS(E1509&lt;28, "17-27",
AND(E1509&gt;27, E1509&lt;38), "28-37",
AND(E1509&gt;37, E1509 &lt;48), "38-47",
AND(E1509&gt;47, E1509 &lt;58), "48-57",
AND(E1509&gt;57, E1509&lt;68), "58-67",
AND(E1509&gt;67, E1509&lt;78), "68-77",
E1509&gt;77,"Above than 77")</f>
        <v>48-57</v>
      </c>
      <c r="E1509">
        <v>51</v>
      </c>
      <c r="F1509" s="1">
        <v>26173</v>
      </c>
      <c r="G1509" s="1" t="str">
        <f>VLOOKUP(H1509,Table7[#All], 2, FALSE)</f>
        <v>Massachusetts</v>
      </c>
      <c r="H1509" s="2" t="s">
        <v>14</v>
      </c>
      <c r="I1509" s="2" t="s">
        <v>15</v>
      </c>
      <c r="J1509" s="2" t="s">
        <v>17</v>
      </c>
      <c r="K1509" s="2" t="s">
        <v>8</v>
      </c>
      <c r="L1509" s="2" t="s">
        <v>9</v>
      </c>
      <c r="M1509" s="2" t="s">
        <v>25</v>
      </c>
      <c r="N1509" s="2" t="s">
        <v>26</v>
      </c>
      <c r="O1509" s="2" t="s">
        <v>12</v>
      </c>
      <c r="P1509" s="2" t="s">
        <v>32</v>
      </c>
      <c r="Q1509" s="2" t="s">
        <v>46</v>
      </c>
      <c r="R1509" s="2" t="s">
        <v>18</v>
      </c>
      <c r="S1509">
        <v>4</v>
      </c>
    </row>
    <row r="1510" spans="1:19" x14ac:dyDescent="0.3">
      <c r="A1510">
        <v>1099</v>
      </c>
      <c r="B1510">
        <f>YEAR(Cleaned_HR_Data_Analysis__2[[#This Row],[Joining_Date]])</f>
        <v>2022</v>
      </c>
      <c r="C1510" s="1">
        <v>44645</v>
      </c>
      <c r="D1510" s="1" t="str" cm="1">
        <f t="array" ref="D1510">_xlfn.IFS(E1510&lt;28, "17-27",
AND(E1510&gt;27, E1510&lt;38), "28-37",
AND(E1510&gt;37, E1510 &lt;48), "38-47",
AND(E1510&gt;47, E1510 &lt;58), "48-57",
AND(E1510&gt;57, E1510&lt;68), "58-67",
AND(E1510&gt;67, E1510&lt;78), "68-77",
E1510&gt;77,"Above than 77")</f>
        <v>48-57</v>
      </c>
      <c r="E1510">
        <v>51</v>
      </c>
      <c r="F1510" s="1">
        <v>26291</v>
      </c>
      <c r="G1510" s="1" t="str">
        <f>VLOOKUP(H1510,Table7[#All], 2, FALSE)</f>
        <v>Massachusetts</v>
      </c>
      <c r="H1510" s="2" t="s">
        <v>14</v>
      </c>
      <c r="I1510" s="2" t="s">
        <v>15</v>
      </c>
      <c r="J1510" s="2" t="s">
        <v>31</v>
      </c>
      <c r="K1510" s="2" t="s">
        <v>8</v>
      </c>
      <c r="L1510" s="2" t="s">
        <v>9</v>
      </c>
      <c r="M1510" s="2" t="s">
        <v>20</v>
      </c>
      <c r="N1510" s="2" t="s">
        <v>19</v>
      </c>
      <c r="O1510" s="2" t="s">
        <v>12</v>
      </c>
      <c r="P1510" s="2" t="s">
        <v>35</v>
      </c>
      <c r="Q1510" s="2" t="s">
        <v>30</v>
      </c>
      <c r="R1510" s="2" t="s">
        <v>18</v>
      </c>
      <c r="S1510">
        <v>5</v>
      </c>
    </row>
    <row r="1511" spans="1:19" x14ac:dyDescent="0.3">
      <c r="A1511">
        <v>2456</v>
      </c>
      <c r="B1511">
        <f>YEAR(Cleaned_HR_Data_Analysis__2[[#This Row],[Joining_Date]])</f>
        <v>2021</v>
      </c>
      <c r="C1511" s="1">
        <v>44529</v>
      </c>
      <c r="D1511" s="1" t="str" cm="1">
        <f t="array" ref="D1511">_xlfn.IFS(E1511&lt;28, "17-27",
AND(E1511&gt;27, E1511&lt;38), "28-37",
AND(E1511&gt;37, E1511 &lt;48), "38-47",
AND(E1511&gt;47, E1511 &lt;58), "48-57",
AND(E1511&gt;57, E1511&lt;68), "58-67",
AND(E1511&gt;67, E1511&lt;78), "68-77",
E1511&gt;77,"Above than 77")</f>
        <v>48-57</v>
      </c>
      <c r="E1511">
        <v>51</v>
      </c>
      <c r="F1511" s="1">
        <v>25807</v>
      </c>
      <c r="G1511" s="1" t="str">
        <f>VLOOKUP(H1511,Table7[#All], 2, FALSE)</f>
        <v>Massachusetts</v>
      </c>
      <c r="H1511" s="2" t="s">
        <v>14</v>
      </c>
      <c r="I1511" s="2" t="s">
        <v>22</v>
      </c>
      <c r="J1511" s="2" t="s">
        <v>31</v>
      </c>
      <c r="K1511" s="2" t="s">
        <v>91</v>
      </c>
      <c r="L1511" s="2" t="s">
        <v>9</v>
      </c>
      <c r="M1511" s="2" t="s">
        <v>25</v>
      </c>
      <c r="N1511" s="2" t="s">
        <v>19</v>
      </c>
      <c r="O1511" s="2" t="s">
        <v>12</v>
      </c>
      <c r="P1511" s="2" t="s">
        <v>59</v>
      </c>
      <c r="Q1511" s="2" t="s">
        <v>46</v>
      </c>
      <c r="R1511" s="2" t="s">
        <v>18</v>
      </c>
      <c r="S1511">
        <v>5</v>
      </c>
    </row>
    <row r="1512" spans="1:19" x14ac:dyDescent="0.3">
      <c r="A1512">
        <v>2285</v>
      </c>
      <c r="B1512">
        <f>YEAR(Cleaned_HR_Data_Analysis__2[[#This Row],[Joining_Date]])</f>
        <v>2022</v>
      </c>
      <c r="C1512" s="1">
        <v>44607</v>
      </c>
      <c r="D1512" s="1" t="str" cm="1">
        <f t="array" ref="D1512">_xlfn.IFS(E1512&lt;28, "17-27",
AND(E1512&gt;27, E1512&lt;38), "28-37",
AND(E1512&gt;37, E1512 &lt;48), "38-47",
AND(E1512&gt;47, E1512 &lt;58), "48-57",
AND(E1512&gt;57, E1512&lt;68), "58-67",
AND(E1512&gt;67, E1512&lt;78), "68-77",
E1512&gt;77,"Above than 77")</f>
        <v>48-57</v>
      </c>
      <c r="E1512">
        <v>51</v>
      </c>
      <c r="F1512" s="1">
        <v>26081</v>
      </c>
      <c r="G1512" s="1" t="str">
        <f>VLOOKUP(H1512,Table7[#All], 2, FALSE)</f>
        <v>Massachusetts</v>
      </c>
      <c r="H1512" s="2" t="s">
        <v>14</v>
      </c>
      <c r="I1512" s="2" t="s">
        <v>22</v>
      </c>
      <c r="J1512" s="2" t="s">
        <v>31</v>
      </c>
      <c r="K1512" s="2" t="s">
        <v>91</v>
      </c>
      <c r="L1512" s="2" t="s">
        <v>9</v>
      </c>
      <c r="M1512" s="2" t="s">
        <v>25</v>
      </c>
      <c r="N1512" s="2" t="s">
        <v>11</v>
      </c>
      <c r="O1512" s="2" t="s">
        <v>12</v>
      </c>
      <c r="P1512" s="2" t="s">
        <v>54</v>
      </c>
      <c r="Q1512" s="2" t="s">
        <v>30</v>
      </c>
      <c r="R1512" s="2" t="s">
        <v>18</v>
      </c>
      <c r="S1512">
        <v>3</v>
      </c>
    </row>
    <row r="1513" spans="1:19" x14ac:dyDescent="0.3">
      <c r="A1513">
        <v>3841</v>
      </c>
      <c r="B1513">
        <f>YEAR(Cleaned_HR_Data_Analysis__2[[#This Row],[Joining_Date]])</f>
        <v>2021</v>
      </c>
      <c r="C1513" s="1">
        <v>44275</v>
      </c>
      <c r="D1513" s="1" t="str" cm="1">
        <f t="array" ref="D1513">_xlfn.IFS(E1513&lt;28, "17-27",
AND(E1513&gt;27, E1513&lt;38), "28-37",
AND(E1513&gt;37, E1513 &lt;48), "38-47",
AND(E1513&gt;47, E1513 &lt;58), "48-57",
AND(E1513&gt;57, E1513&lt;68), "58-67",
AND(E1513&gt;67, E1513&lt;78), "68-77",
E1513&gt;77,"Above than 77")</f>
        <v>48-57</v>
      </c>
      <c r="E1513">
        <v>51</v>
      </c>
      <c r="F1513" s="1">
        <v>25736</v>
      </c>
      <c r="G1513" s="1" t="str">
        <f>VLOOKUP(H1513,Table7[#All], 2, FALSE)</f>
        <v>Connecticut</v>
      </c>
      <c r="H1513" s="2" t="s">
        <v>36</v>
      </c>
      <c r="I1513" s="2" t="s">
        <v>22</v>
      </c>
      <c r="J1513" s="2" t="s">
        <v>31</v>
      </c>
      <c r="K1513" s="2" t="s">
        <v>74</v>
      </c>
      <c r="L1513" s="2" t="s">
        <v>9</v>
      </c>
      <c r="M1513" s="2" t="s">
        <v>25</v>
      </c>
      <c r="N1513" s="2" t="s">
        <v>11</v>
      </c>
      <c r="O1513" s="2" t="s">
        <v>53</v>
      </c>
      <c r="P1513" s="2" t="s">
        <v>59</v>
      </c>
      <c r="Q1513" s="2" t="s">
        <v>46</v>
      </c>
      <c r="R1513" s="2" t="s">
        <v>18</v>
      </c>
      <c r="S1513">
        <v>4</v>
      </c>
    </row>
    <row r="1514" spans="1:19" x14ac:dyDescent="0.3">
      <c r="A1514">
        <v>3878</v>
      </c>
      <c r="B1514">
        <f>YEAR(Cleaned_HR_Data_Analysis__2[[#This Row],[Joining_Date]])</f>
        <v>2018</v>
      </c>
      <c r="C1514" s="1">
        <v>43351</v>
      </c>
      <c r="D1514" s="1" t="str" cm="1">
        <f t="array" ref="D1514">_xlfn.IFS(E1514&lt;28, "17-27",
AND(E1514&gt;27, E1514&lt;38), "28-37",
AND(E1514&gt;37, E1514 &lt;48), "38-47",
AND(E1514&gt;47, E1514 &lt;58), "48-57",
AND(E1514&gt;57, E1514&lt;68), "58-67",
AND(E1514&gt;67, E1514&lt;78), "68-77",
E1514&gt;77,"Above than 77")</f>
        <v>48-57</v>
      </c>
      <c r="E1514">
        <v>51</v>
      </c>
      <c r="F1514" s="1">
        <v>24521</v>
      </c>
      <c r="G1514" s="1" t="str">
        <f>VLOOKUP(H1514,Table7[#All], 2, FALSE)</f>
        <v>Massachusetts</v>
      </c>
      <c r="H1514" s="2" t="s">
        <v>14</v>
      </c>
      <c r="I1514" s="2" t="s">
        <v>22</v>
      </c>
      <c r="J1514" s="2" t="s">
        <v>40</v>
      </c>
      <c r="K1514" s="2" t="s">
        <v>71</v>
      </c>
      <c r="L1514" s="2" t="s">
        <v>9</v>
      </c>
      <c r="M1514" s="2" t="s">
        <v>10</v>
      </c>
      <c r="N1514" s="2" t="s">
        <v>26</v>
      </c>
      <c r="O1514" s="2" t="s">
        <v>73</v>
      </c>
      <c r="P1514" s="2" t="s">
        <v>42</v>
      </c>
      <c r="Q1514" s="2" t="s">
        <v>30</v>
      </c>
      <c r="R1514" s="2" t="s">
        <v>18</v>
      </c>
      <c r="S1514">
        <v>4</v>
      </c>
    </row>
    <row r="1515" spans="1:19" x14ac:dyDescent="0.3">
      <c r="A1515">
        <v>3871</v>
      </c>
      <c r="B1515">
        <f>YEAR(Cleaned_HR_Data_Analysis__2[[#This Row],[Joining_Date]])</f>
        <v>2022</v>
      </c>
      <c r="C1515" s="1">
        <v>44910</v>
      </c>
      <c r="D1515" s="1" t="str" cm="1">
        <f t="array" ref="D1515">_xlfn.IFS(E1515&lt;28, "17-27",
AND(E1515&gt;27, E1515&lt;38), "28-37",
AND(E1515&gt;37, E1515 &lt;48), "38-47",
AND(E1515&gt;47, E1515 &lt;58), "48-57",
AND(E1515&gt;57, E1515&lt;68), "58-67",
AND(E1515&gt;67, E1515&lt;78), "68-77",
E1515&gt;77,"Above than 77")</f>
        <v>48-57</v>
      </c>
      <c r="E1515">
        <v>51</v>
      </c>
      <c r="F1515" s="1">
        <v>26089</v>
      </c>
      <c r="G1515" s="1" t="str">
        <f>VLOOKUP(H1515,Table7[#All], 2, FALSE)</f>
        <v>Massachusetts</v>
      </c>
      <c r="H1515" s="2" t="s">
        <v>14</v>
      </c>
      <c r="I1515" s="2" t="s">
        <v>15</v>
      </c>
      <c r="J1515" s="2" t="s">
        <v>17</v>
      </c>
      <c r="K1515" s="2" t="s">
        <v>70</v>
      </c>
      <c r="L1515" s="2" t="s">
        <v>9</v>
      </c>
      <c r="M1515" s="2" t="s">
        <v>25</v>
      </c>
      <c r="N1515" s="2" t="s">
        <v>26</v>
      </c>
      <c r="O1515" s="2" t="s">
        <v>53</v>
      </c>
      <c r="P1515" s="2" t="s">
        <v>32</v>
      </c>
      <c r="Q1515" s="2" t="s">
        <v>16</v>
      </c>
      <c r="R1515" s="2" t="s">
        <v>18</v>
      </c>
      <c r="S1515">
        <v>5</v>
      </c>
    </row>
    <row r="1516" spans="1:19" x14ac:dyDescent="0.3">
      <c r="A1516">
        <v>2523</v>
      </c>
      <c r="B1516">
        <f>YEAR(Cleaned_HR_Data_Analysis__2[[#This Row],[Joining_Date]])</f>
        <v>2021</v>
      </c>
      <c r="C1516" s="1">
        <v>44506</v>
      </c>
      <c r="D1516" s="1" t="str" cm="1">
        <f t="array" ref="D1516">_xlfn.IFS(E1516&lt;28, "17-27",
AND(E1516&gt;27, E1516&lt;38), "28-37",
AND(E1516&gt;37, E1516 &lt;48), "38-47",
AND(E1516&gt;47, E1516 &lt;58), "48-57",
AND(E1516&gt;57, E1516&lt;68), "58-67",
AND(E1516&gt;67, E1516&lt;78), "68-77",
E1516&gt;77,"Above than 77")</f>
        <v>48-57</v>
      </c>
      <c r="E1516">
        <v>51</v>
      </c>
      <c r="F1516" s="1">
        <v>25819</v>
      </c>
      <c r="G1516" s="1" t="str">
        <f>VLOOKUP(H1516,Table7[#All], 2, FALSE)</f>
        <v>Massachusetts</v>
      </c>
      <c r="H1516" s="2" t="s">
        <v>14</v>
      </c>
      <c r="I1516" s="2" t="s">
        <v>22</v>
      </c>
      <c r="J1516" s="2" t="s">
        <v>31</v>
      </c>
      <c r="K1516" s="2" t="s">
        <v>108</v>
      </c>
      <c r="L1516" s="2" t="s">
        <v>9</v>
      </c>
      <c r="M1516" s="2" t="s">
        <v>25</v>
      </c>
      <c r="N1516" s="2" t="s">
        <v>19</v>
      </c>
      <c r="O1516" s="2" t="s">
        <v>53</v>
      </c>
      <c r="P1516" s="2" t="s">
        <v>32</v>
      </c>
      <c r="Q1516" s="2" t="s">
        <v>23</v>
      </c>
      <c r="R1516" s="2" t="s">
        <v>18</v>
      </c>
      <c r="S1516">
        <v>1</v>
      </c>
    </row>
    <row r="1517" spans="1:19" x14ac:dyDescent="0.3">
      <c r="A1517">
        <v>2547</v>
      </c>
      <c r="B1517">
        <f>YEAR(Cleaned_HR_Data_Analysis__2[[#This Row],[Joining_Date]])</f>
        <v>2021</v>
      </c>
      <c r="C1517" s="1">
        <v>44380</v>
      </c>
      <c r="D1517" s="1" t="str" cm="1">
        <f t="array" ref="D1517">_xlfn.IFS(E1517&lt;28, "17-27",
AND(E1517&gt;27, E1517&lt;38), "28-37",
AND(E1517&gt;37, E1517 &lt;48), "38-47",
AND(E1517&gt;47, E1517 &lt;58), "48-57",
AND(E1517&gt;57, E1517&lt;68), "58-67",
AND(E1517&gt;67, E1517&lt;78), "68-77",
E1517&gt;77,"Above than 77")</f>
        <v>48-57</v>
      </c>
      <c r="E1517">
        <v>51</v>
      </c>
      <c r="F1517" s="1">
        <v>25764</v>
      </c>
      <c r="G1517" s="1" t="str">
        <f>VLOOKUP(H1517,Table7[#All], 2, FALSE)</f>
        <v>Massachusetts</v>
      </c>
      <c r="H1517" s="2" t="s">
        <v>14</v>
      </c>
      <c r="I1517" s="2" t="s">
        <v>22</v>
      </c>
      <c r="J1517" s="2" t="s">
        <v>17</v>
      </c>
      <c r="K1517" s="2" t="s">
        <v>104</v>
      </c>
      <c r="L1517" s="2" t="s">
        <v>9</v>
      </c>
      <c r="M1517" s="2" t="s">
        <v>25</v>
      </c>
      <c r="N1517" s="2" t="s">
        <v>19</v>
      </c>
      <c r="O1517" s="2" t="s">
        <v>27</v>
      </c>
      <c r="P1517" s="2" t="s">
        <v>32</v>
      </c>
      <c r="Q1517" s="2" t="s">
        <v>23</v>
      </c>
      <c r="R1517" s="2" t="s">
        <v>18</v>
      </c>
      <c r="S1517">
        <v>5</v>
      </c>
    </row>
    <row r="1518" spans="1:19" x14ac:dyDescent="0.3">
      <c r="A1518">
        <v>2354</v>
      </c>
      <c r="B1518">
        <f>YEAR(Cleaned_HR_Data_Analysis__2[[#This Row],[Joining_Date]])</f>
        <v>2022</v>
      </c>
      <c r="C1518" s="1">
        <v>44568</v>
      </c>
      <c r="D1518" s="1" t="str" cm="1">
        <f t="array" ref="D1518">_xlfn.IFS(E1518&lt;28, "17-27",
AND(E1518&gt;27, E1518&lt;38), "28-37",
AND(E1518&gt;37, E1518 &lt;48), "38-47",
AND(E1518&gt;47, E1518 &lt;58), "48-57",
AND(E1518&gt;57, E1518&lt;68), "58-67",
AND(E1518&gt;67, E1518&lt;78), "68-77",
E1518&gt;77,"Above than 77")</f>
        <v>48-57</v>
      </c>
      <c r="E1518">
        <v>51</v>
      </c>
      <c r="F1518" s="1">
        <v>26178</v>
      </c>
      <c r="G1518" s="1" t="str">
        <f>VLOOKUP(H1518,Table7[#All], 2, FALSE)</f>
        <v>Massachusetts</v>
      </c>
      <c r="H1518" s="2" t="s">
        <v>14</v>
      </c>
      <c r="I1518" s="2" t="s">
        <v>15</v>
      </c>
      <c r="J1518" s="2" t="s">
        <v>40</v>
      </c>
      <c r="K1518" s="2" t="s">
        <v>78</v>
      </c>
      <c r="L1518" s="2" t="s">
        <v>9</v>
      </c>
      <c r="M1518" s="2" t="s">
        <v>20</v>
      </c>
      <c r="N1518" s="2" t="s">
        <v>11</v>
      </c>
      <c r="O1518" s="2" t="s">
        <v>53</v>
      </c>
      <c r="P1518" s="2" t="s">
        <v>59</v>
      </c>
      <c r="Q1518" s="2" t="s">
        <v>16</v>
      </c>
      <c r="R1518" s="2" t="s">
        <v>18</v>
      </c>
      <c r="S1518">
        <v>1</v>
      </c>
    </row>
    <row r="1519" spans="1:19" x14ac:dyDescent="0.3">
      <c r="A1519">
        <v>1660</v>
      </c>
      <c r="B1519">
        <f>YEAR(Cleaned_HR_Data_Analysis__2[[#This Row],[Joining_Date]])</f>
        <v>2022</v>
      </c>
      <c r="C1519" s="1">
        <v>44782</v>
      </c>
      <c r="D1519" s="1" t="str" cm="1">
        <f t="array" ref="D1519">_xlfn.IFS(E1519&lt;28, "17-27",
AND(E1519&gt;27, E1519&lt;38), "28-37",
AND(E1519&gt;37, E1519 &lt;48), "38-47",
AND(E1519&gt;47, E1519 &lt;58), "48-57",
AND(E1519&gt;57, E1519&lt;68), "58-67",
AND(E1519&gt;67, E1519&lt;78), "68-77",
E1519&gt;77,"Above than 77")</f>
        <v>48-57</v>
      </c>
      <c r="E1519">
        <v>51</v>
      </c>
      <c r="F1519" s="1">
        <v>26116</v>
      </c>
      <c r="G1519" s="1" t="str">
        <f>VLOOKUP(H1519,Table7[#All], 2, FALSE)</f>
        <v>Massachusetts</v>
      </c>
      <c r="H1519" s="2" t="s">
        <v>14</v>
      </c>
      <c r="I1519" s="2" t="s">
        <v>22</v>
      </c>
      <c r="J1519" s="2" t="s">
        <v>17</v>
      </c>
      <c r="K1519" s="2" t="s">
        <v>82</v>
      </c>
      <c r="L1519" s="2" t="s">
        <v>66</v>
      </c>
      <c r="M1519" s="2" t="s">
        <v>10</v>
      </c>
      <c r="N1519" s="2" t="s">
        <v>26</v>
      </c>
      <c r="O1519" s="2" t="s">
        <v>53</v>
      </c>
      <c r="P1519" s="2" t="s">
        <v>32</v>
      </c>
      <c r="Q1519" s="2" t="s">
        <v>30</v>
      </c>
      <c r="R1519" s="2" t="s">
        <v>18</v>
      </c>
      <c r="S1519">
        <v>5</v>
      </c>
    </row>
    <row r="1520" spans="1:19" x14ac:dyDescent="0.3">
      <c r="A1520">
        <v>2714</v>
      </c>
      <c r="B1520">
        <f>YEAR(Cleaned_HR_Data_Analysis__2[[#This Row],[Joining_Date]])</f>
        <v>2023</v>
      </c>
      <c r="C1520" s="1">
        <v>44980</v>
      </c>
      <c r="D1520" s="1" t="str" cm="1">
        <f t="array" ref="D1520">_xlfn.IFS(E1520&lt;28, "17-27",
AND(E1520&gt;27, E1520&lt;38), "28-37",
AND(E1520&gt;37, E1520 &lt;48), "38-47",
AND(E1520&gt;47, E1520 &lt;58), "48-57",
AND(E1520&gt;57, E1520&lt;68), "58-67",
AND(E1520&gt;67, E1520&lt;78), "68-77",
E1520&gt;77,"Above than 77")</f>
        <v>48-57</v>
      </c>
      <c r="E1520">
        <v>51</v>
      </c>
      <c r="F1520" s="1">
        <v>26491</v>
      </c>
      <c r="G1520" s="1" t="str">
        <f>VLOOKUP(H1520,Table7[#All], 2, FALSE)</f>
        <v>Washington</v>
      </c>
      <c r="H1520" s="2" t="s">
        <v>113</v>
      </c>
      <c r="I1520" s="2" t="s">
        <v>22</v>
      </c>
      <c r="J1520" s="2" t="s">
        <v>17</v>
      </c>
      <c r="K1520" s="2" t="s">
        <v>24</v>
      </c>
      <c r="L1520" s="2" t="s">
        <v>9</v>
      </c>
      <c r="M1520" s="2" t="s">
        <v>20</v>
      </c>
      <c r="N1520" s="2" t="s">
        <v>11</v>
      </c>
      <c r="O1520" s="2" t="s">
        <v>27</v>
      </c>
      <c r="P1520" s="2" t="s">
        <v>35</v>
      </c>
      <c r="Q1520" s="2" t="s">
        <v>46</v>
      </c>
      <c r="R1520" s="2" t="s">
        <v>18</v>
      </c>
      <c r="S1520">
        <v>1</v>
      </c>
    </row>
    <row r="1521" spans="1:19" x14ac:dyDescent="0.3">
      <c r="A1521">
        <v>2574</v>
      </c>
      <c r="B1521">
        <f>YEAR(Cleaned_HR_Data_Analysis__2[[#This Row],[Joining_Date]])</f>
        <v>2022</v>
      </c>
      <c r="C1521" s="1">
        <v>44723</v>
      </c>
      <c r="D1521" s="1" t="str" cm="1">
        <f t="array" ref="D1521">_xlfn.IFS(E1521&lt;28, "17-27",
AND(E1521&gt;27, E1521&lt;38), "28-37",
AND(E1521&gt;37, E1521 &lt;48), "38-47",
AND(E1521&gt;47, E1521 &lt;58), "48-57",
AND(E1521&gt;57, E1521&lt;68), "58-67",
AND(E1521&gt;67, E1521&lt;78), "68-77",
E1521&gt;77,"Above than 77")</f>
        <v>48-57</v>
      </c>
      <c r="E1521">
        <v>51</v>
      </c>
      <c r="F1521" s="1">
        <v>26255</v>
      </c>
      <c r="G1521" s="1" t="str">
        <f>VLOOKUP(H1521,Table7[#All], 2, FALSE)</f>
        <v>Utah</v>
      </c>
      <c r="H1521" s="2" t="s">
        <v>110</v>
      </c>
      <c r="I1521" s="2" t="s">
        <v>22</v>
      </c>
      <c r="J1521" s="2" t="s">
        <v>17</v>
      </c>
      <c r="K1521" s="2" t="s">
        <v>24</v>
      </c>
      <c r="L1521" s="2" t="s">
        <v>9</v>
      </c>
      <c r="M1521" s="2" t="s">
        <v>25</v>
      </c>
      <c r="N1521" s="2" t="s">
        <v>11</v>
      </c>
      <c r="O1521" s="2" t="s">
        <v>27</v>
      </c>
      <c r="P1521" s="2" t="s">
        <v>67</v>
      </c>
      <c r="Q1521" s="2" t="s">
        <v>23</v>
      </c>
      <c r="R1521" s="2" t="s">
        <v>18</v>
      </c>
      <c r="S1521">
        <v>1</v>
      </c>
    </row>
    <row r="1522" spans="1:19" x14ac:dyDescent="0.3">
      <c r="A1522">
        <v>2661</v>
      </c>
      <c r="B1522">
        <f>YEAR(Cleaned_HR_Data_Analysis__2[[#This Row],[Joining_Date]])</f>
        <v>2021</v>
      </c>
      <c r="C1522" s="1">
        <v>44383</v>
      </c>
      <c r="D1522" s="1" t="str" cm="1">
        <f t="array" ref="D1522">_xlfn.IFS(E1522&lt;28, "17-27",
AND(E1522&gt;27, E1522&lt;38), "28-37",
AND(E1522&gt;37, E1522 &lt;48), "38-47",
AND(E1522&gt;47, E1522 &lt;58), "48-57",
AND(E1522&gt;57, E1522&lt;68), "58-67",
AND(E1522&gt;67, E1522&lt;78), "68-77",
E1522&gt;77,"Above than 77")</f>
        <v>48-57</v>
      </c>
      <c r="E1522">
        <v>51</v>
      </c>
      <c r="F1522" s="1">
        <v>25791</v>
      </c>
      <c r="G1522" s="1" t="str">
        <f>VLOOKUP(H1522,Table7[#All], 2, FALSE)</f>
        <v>Tennessee</v>
      </c>
      <c r="H1522" s="2" t="s">
        <v>120</v>
      </c>
      <c r="I1522" s="2" t="s">
        <v>22</v>
      </c>
      <c r="J1522" s="2" t="s">
        <v>34</v>
      </c>
      <c r="K1522" s="2" t="s">
        <v>24</v>
      </c>
      <c r="L1522" s="2" t="s">
        <v>9</v>
      </c>
      <c r="M1522" s="2" t="s">
        <v>20</v>
      </c>
      <c r="N1522" s="2" t="s">
        <v>19</v>
      </c>
      <c r="O1522" s="2" t="s">
        <v>27</v>
      </c>
      <c r="P1522" s="2" t="s">
        <v>42</v>
      </c>
      <c r="Q1522" s="2" t="s">
        <v>37</v>
      </c>
      <c r="R1522" s="2" t="s">
        <v>18</v>
      </c>
      <c r="S1522">
        <v>3</v>
      </c>
    </row>
    <row r="1523" spans="1:19" x14ac:dyDescent="0.3">
      <c r="A1523">
        <v>2576</v>
      </c>
      <c r="B1523">
        <f>YEAR(Cleaned_HR_Data_Analysis__2[[#This Row],[Joining_Date]])</f>
        <v>2020</v>
      </c>
      <c r="C1523" s="1">
        <v>43937</v>
      </c>
      <c r="D1523" s="1" t="str" cm="1">
        <f t="array" ref="D1523">_xlfn.IFS(E1523&lt;28, "17-27",
AND(E1523&gt;27, E1523&lt;38), "28-37",
AND(E1523&gt;37, E1523 &lt;48), "38-47",
AND(E1523&gt;47, E1523 &lt;58), "48-57",
AND(E1523&gt;57, E1523&lt;68), "58-67",
AND(E1523&gt;67, E1523&lt;78), "68-77",
E1523&gt;77,"Above than 77")</f>
        <v>48-57</v>
      </c>
      <c r="E1523">
        <v>51</v>
      </c>
      <c r="F1523" s="1">
        <v>25564</v>
      </c>
      <c r="G1523" s="1" t="str">
        <f>VLOOKUP(H1523,Table7[#All], 2, FALSE)</f>
        <v>Montana</v>
      </c>
      <c r="H1523" s="2" t="s">
        <v>112</v>
      </c>
      <c r="I1523" s="2" t="s">
        <v>15</v>
      </c>
      <c r="J1523" s="2" t="s">
        <v>17</v>
      </c>
      <c r="K1523" s="2" t="s">
        <v>24</v>
      </c>
      <c r="L1523" s="2" t="s">
        <v>9</v>
      </c>
      <c r="M1523" s="2" t="s">
        <v>10</v>
      </c>
      <c r="N1523" s="2" t="s">
        <v>26</v>
      </c>
      <c r="O1523" s="2" t="s">
        <v>27</v>
      </c>
      <c r="P1523" s="2" t="s">
        <v>28</v>
      </c>
      <c r="Q1523" s="2" t="s">
        <v>46</v>
      </c>
      <c r="R1523" s="2" t="s">
        <v>18</v>
      </c>
      <c r="S1523">
        <v>4</v>
      </c>
    </row>
    <row r="1524" spans="1:19" x14ac:dyDescent="0.3">
      <c r="A1524">
        <v>2581</v>
      </c>
      <c r="B1524">
        <f>YEAR(Cleaned_HR_Data_Analysis__2[[#This Row],[Joining_Date]])</f>
        <v>2021</v>
      </c>
      <c r="C1524" s="1">
        <v>44384</v>
      </c>
      <c r="D1524" s="1" t="str" cm="1">
        <f t="array" ref="D1524">_xlfn.IFS(E1524&lt;28, "17-27",
AND(E1524&gt;27, E1524&lt;38), "28-37",
AND(E1524&gt;37, E1524 &lt;48), "38-47",
AND(E1524&gt;47, E1524 &lt;58), "48-57",
AND(E1524&gt;57, E1524&lt;68), "58-67",
AND(E1524&gt;67, E1524&lt;78), "68-77",
E1524&gt;77,"Above than 77")</f>
        <v>48-57</v>
      </c>
      <c r="E1524">
        <v>51</v>
      </c>
      <c r="F1524" s="1">
        <v>25884</v>
      </c>
      <c r="G1524" s="1" t="str">
        <f>VLOOKUP(H1524,Table7[#All], 2, FALSE)</f>
        <v>Alabama</v>
      </c>
      <c r="H1524" s="2" t="s">
        <v>116</v>
      </c>
      <c r="I1524" s="2" t="s">
        <v>22</v>
      </c>
      <c r="J1524" s="2" t="s">
        <v>40</v>
      </c>
      <c r="K1524" s="2" t="s">
        <v>24</v>
      </c>
      <c r="L1524" s="2" t="s">
        <v>9</v>
      </c>
      <c r="M1524" s="2" t="s">
        <v>25</v>
      </c>
      <c r="N1524" s="2" t="s">
        <v>19</v>
      </c>
      <c r="O1524" s="2" t="s">
        <v>27</v>
      </c>
      <c r="P1524" s="2" t="s">
        <v>35</v>
      </c>
      <c r="Q1524" s="2" t="s">
        <v>30</v>
      </c>
      <c r="R1524" s="2" t="s">
        <v>18</v>
      </c>
      <c r="S1524">
        <v>3</v>
      </c>
    </row>
    <row r="1525" spans="1:19" x14ac:dyDescent="0.3">
      <c r="A1525">
        <v>3875</v>
      </c>
      <c r="B1525">
        <f>YEAR(Cleaned_HR_Data_Analysis__2[[#This Row],[Joining_Date]])</f>
        <v>2021</v>
      </c>
      <c r="C1525" s="1">
        <v>44376</v>
      </c>
      <c r="D1525" s="1" t="str" cm="1">
        <f t="array" ref="D1525">_xlfn.IFS(E1525&lt;28, "17-27",
AND(E1525&gt;27, E1525&lt;38), "28-37",
AND(E1525&gt;37, E1525 &lt;48), "38-47",
AND(E1525&gt;47, E1525 &lt;58), "48-57",
AND(E1525&gt;57, E1525&lt;68), "58-67",
AND(E1525&gt;67, E1525&lt;78), "68-77",
E1525&gt;77,"Above than 77")</f>
        <v>48-57</v>
      </c>
      <c r="E1525">
        <v>52</v>
      </c>
      <c r="F1525" s="1">
        <v>25438</v>
      </c>
      <c r="G1525" s="1" t="str">
        <f>VLOOKUP(H1525,Table7[#All], 2, FALSE)</f>
        <v>Connecticut</v>
      </c>
      <c r="H1525" s="2" t="s">
        <v>36</v>
      </c>
      <c r="I1525" s="2" t="s">
        <v>22</v>
      </c>
      <c r="J1525" s="2" t="s">
        <v>40</v>
      </c>
      <c r="K1525" s="2" t="s">
        <v>72</v>
      </c>
      <c r="L1525" s="2" t="s">
        <v>9</v>
      </c>
      <c r="M1525" s="2" t="s">
        <v>10</v>
      </c>
      <c r="N1525" s="2" t="s">
        <v>19</v>
      </c>
      <c r="O1525" s="2" t="s">
        <v>53</v>
      </c>
      <c r="P1525" s="2" t="s">
        <v>69</v>
      </c>
      <c r="Q1525" s="2" t="s">
        <v>46</v>
      </c>
      <c r="R1525" s="2" t="s">
        <v>18</v>
      </c>
      <c r="S1525">
        <v>5</v>
      </c>
    </row>
    <row r="1526" spans="1:19" x14ac:dyDescent="0.3">
      <c r="A1526">
        <v>1038</v>
      </c>
      <c r="B1526">
        <f>YEAR(Cleaned_HR_Data_Analysis__2[[#This Row],[Joining_Date]])</f>
        <v>2023</v>
      </c>
      <c r="C1526" s="1">
        <v>44944</v>
      </c>
      <c r="D1526" s="1" t="str" cm="1">
        <f t="array" ref="D1526">_xlfn.IFS(E1526&lt;28, "17-27",
AND(E1526&gt;27, E1526&lt;38), "28-37",
AND(E1526&gt;37, E1526 &lt;48), "38-47",
AND(E1526&gt;47, E1526 &lt;58), "48-57",
AND(E1526&gt;57, E1526&lt;68), "58-67",
AND(E1526&gt;67, E1526&lt;78), "68-77",
E1526&gt;77,"Above than 77")</f>
        <v>48-57</v>
      </c>
      <c r="E1526">
        <v>52</v>
      </c>
      <c r="F1526" s="1">
        <v>26057</v>
      </c>
      <c r="G1526" s="1" t="str">
        <f>VLOOKUP(H1526,Table7[#All], 2, FALSE)</f>
        <v>Massachusetts</v>
      </c>
      <c r="H1526" s="2" t="s">
        <v>14</v>
      </c>
      <c r="I1526" s="2" t="s">
        <v>22</v>
      </c>
      <c r="J1526" s="2" t="s">
        <v>34</v>
      </c>
      <c r="K1526" s="2" t="s">
        <v>86</v>
      </c>
      <c r="L1526" s="2" t="s">
        <v>9</v>
      </c>
      <c r="M1526" s="2" t="s">
        <v>10</v>
      </c>
      <c r="N1526" s="2" t="s">
        <v>26</v>
      </c>
      <c r="O1526" s="2" t="s">
        <v>87</v>
      </c>
      <c r="P1526" s="2" t="s">
        <v>35</v>
      </c>
      <c r="Q1526" s="2" t="s">
        <v>23</v>
      </c>
      <c r="R1526" s="2" t="s">
        <v>18</v>
      </c>
      <c r="S1526">
        <v>1</v>
      </c>
    </row>
    <row r="1527" spans="1:19" x14ac:dyDescent="0.3">
      <c r="A1527">
        <v>1005</v>
      </c>
      <c r="B1527">
        <f>YEAR(Cleaned_HR_Data_Analysis__2[[#This Row],[Joining_Date]])</f>
        <v>2022</v>
      </c>
      <c r="C1527" s="1">
        <v>44820</v>
      </c>
      <c r="D1527" s="1" t="str" cm="1">
        <f t="array" ref="D1527">_xlfn.IFS(E1527&lt;28, "17-27",
AND(E1527&gt;27, E1527&lt;38), "28-37",
AND(E1527&gt;37, E1527 &lt;48), "38-47",
AND(E1527&gt;47, E1527 &lt;58), "48-57",
AND(E1527&gt;57, E1527&lt;68), "58-67",
AND(E1527&gt;67, E1527&lt;78), "68-77",
E1527&gt;77,"Above than 77")</f>
        <v>48-57</v>
      </c>
      <c r="E1527">
        <v>52</v>
      </c>
      <c r="F1527" s="1">
        <v>25777</v>
      </c>
      <c r="G1527" s="1" t="str">
        <f>VLOOKUP(H1527,Table7[#All], 2, FALSE)</f>
        <v>Massachusetts</v>
      </c>
      <c r="H1527" s="2" t="s">
        <v>14</v>
      </c>
      <c r="I1527" s="2" t="s">
        <v>22</v>
      </c>
      <c r="J1527" s="2" t="s">
        <v>40</v>
      </c>
      <c r="K1527" s="2" t="s">
        <v>86</v>
      </c>
      <c r="L1527" s="2" t="s">
        <v>9</v>
      </c>
      <c r="M1527" s="2" t="s">
        <v>25</v>
      </c>
      <c r="N1527" s="2" t="s">
        <v>26</v>
      </c>
      <c r="O1527" s="2" t="s">
        <v>87</v>
      </c>
      <c r="P1527" s="2" t="s">
        <v>35</v>
      </c>
      <c r="Q1527" s="2" t="s">
        <v>37</v>
      </c>
      <c r="R1527" s="2" t="s">
        <v>18</v>
      </c>
      <c r="S1527">
        <v>4</v>
      </c>
    </row>
    <row r="1528" spans="1:19" x14ac:dyDescent="0.3">
      <c r="A1528">
        <v>3627</v>
      </c>
      <c r="B1528">
        <f>YEAR(Cleaned_HR_Data_Analysis__2[[#This Row],[Joining_Date]])</f>
        <v>2019</v>
      </c>
      <c r="C1528" s="1">
        <v>43698</v>
      </c>
      <c r="D1528" s="1" t="str" cm="1">
        <f t="array" ref="D1528">_xlfn.IFS(E1528&lt;28, "17-27",
AND(E1528&gt;27, E1528&lt;38), "28-37",
AND(E1528&gt;37, E1528 &lt;48), "38-47",
AND(E1528&gt;47, E1528 &lt;58), "48-57",
AND(E1528&gt;57, E1528&lt;68), "58-67",
AND(E1528&gt;67, E1528&lt;78), "68-77",
E1528&gt;77,"Above than 77")</f>
        <v>48-57</v>
      </c>
      <c r="E1528">
        <v>52</v>
      </c>
      <c r="F1528" s="1">
        <v>24526</v>
      </c>
      <c r="G1528" s="1" t="str">
        <f>VLOOKUP(H1528,Table7[#All], 2, FALSE)</f>
        <v>Massachusetts</v>
      </c>
      <c r="H1528" s="2" t="s">
        <v>14</v>
      </c>
      <c r="I1528" s="2" t="s">
        <v>15</v>
      </c>
      <c r="J1528" s="2" t="s">
        <v>34</v>
      </c>
      <c r="K1528" s="2" t="s">
        <v>64</v>
      </c>
      <c r="L1528" s="2" t="s">
        <v>66</v>
      </c>
      <c r="M1528" s="2" t="s">
        <v>10</v>
      </c>
      <c r="N1528" s="2" t="s">
        <v>11</v>
      </c>
      <c r="O1528" s="2" t="s">
        <v>12</v>
      </c>
      <c r="P1528" s="2" t="s">
        <v>35</v>
      </c>
      <c r="Q1528" s="2" t="s">
        <v>37</v>
      </c>
      <c r="R1528" s="2" t="s">
        <v>18</v>
      </c>
      <c r="S1528">
        <v>1</v>
      </c>
    </row>
    <row r="1529" spans="1:19" x14ac:dyDescent="0.3">
      <c r="A1529">
        <v>3371</v>
      </c>
      <c r="B1529">
        <f>YEAR(Cleaned_HR_Data_Analysis__2[[#This Row],[Joining_Date]])</f>
        <v>2022</v>
      </c>
      <c r="C1529" s="1">
        <v>44915</v>
      </c>
      <c r="D1529" s="1" t="str" cm="1">
        <f t="array" ref="D1529">_xlfn.IFS(E1529&lt;28, "17-27",
AND(E1529&gt;27, E1529&lt;38), "28-37",
AND(E1529&gt;37, E1529 &lt;48), "38-47",
AND(E1529&gt;47, E1529 &lt;58), "48-57",
AND(E1529&gt;57, E1529&lt;68), "58-67",
AND(E1529&gt;67, E1529&lt;78), "68-77",
E1529&gt;77,"Above than 77")</f>
        <v>48-57</v>
      </c>
      <c r="E1529">
        <v>52</v>
      </c>
      <c r="F1529" s="1">
        <v>25894</v>
      </c>
      <c r="G1529" s="1" t="str">
        <f>VLOOKUP(H1529,Table7[#All], 2, FALSE)</f>
        <v>Massachusetts</v>
      </c>
      <c r="H1529" s="2" t="s">
        <v>14</v>
      </c>
      <c r="I1529" s="2" t="s">
        <v>15</v>
      </c>
      <c r="J1529" s="2" t="s">
        <v>34</v>
      </c>
      <c r="K1529" s="2" t="s">
        <v>64</v>
      </c>
      <c r="L1529" s="2" t="s">
        <v>66</v>
      </c>
      <c r="M1529" s="2" t="s">
        <v>25</v>
      </c>
      <c r="N1529" s="2" t="s">
        <v>19</v>
      </c>
      <c r="O1529" s="2" t="s">
        <v>12</v>
      </c>
      <c r="P1529" s="2" t="s">
        <v>61</v>
      </c>
      <c r="Q1529" s="2" t="s">
        <v>23</v>
      </c>
      <c r="R1529" s="2" t="s">
        <v>41</v>
      </c>
      <c r="S1529">
        <v>2</v>
      </c>
    </row>
    <row r="1530" spans="1:19" x14ac:dyDescent="0.3">
      <c r="A1530">
        <v>3258</v>
      </c>
      <c r="B1530">
        <f>YEAR(Cleaned_HR_Data_Analysis__2[[#This Row],[Joining_Date]])</f>
        <v>2023</v>
      </c>
      <c r="C1530" s="1">
        <v>44972</v>
      </c>
      <c r="D1530" s="1" t="str" cm="1">
        <f t="array" ref="D1530">_xlfn.IFS(E1530&lt;28, "17-27",
AND(E1530&gt;27, E1530&lt;38), "28-37",
AND(E1530&gt;37, E1530 &lt;48), "38-47",
AND(E1530&gt;47, E1530 &lt;58), "48-57",
AND(E1530&gt;57, E1530&lt;68), "58-67",
AND(E1530&gt;67, E1530&lt;78), "68-77",
E1530&gt;77,"Above than 77")</f>
        <v>48-57</v>
      </c>
      <c r="E1530">
        <v>52</v>
      </c>
      <c r="F1530" s="1">
        <v>26076</v>
      </c>
      <c r="G1530" s="1" t="str">
        <f>VLOOKUP(H1530,Table7[#All], 2, FALSE)</f>
        <v>Massachusetts</v>
      </c>
      <c r="H1530" s="2" t="s">
        <v>14</v>
      </c>
      <c r="I1530" s="2" t="s">
        <v>22</v>
      </c>
      <c r="J1530" s="2" t="s">
        <v>31</v>
      </c>
      <c r="K1530" s="2" t="s">
        <v>64</v>
      </c>
      <c r="L1530" s="2" t="s">
        <v>9</v>
      </c>
      <c r="M1530" s="2" t="s">
        <v>20</v>
      </c>
      <c r="N1530" s="2" t="s">
        <v>26</v>
      </c>
      <c r="O1530" s="2" t="s">
        <v>12</v>
      </c>
      <c r="P1530" s="2" t="s">
        <v>21</v>
      </c>
      <c r="Q1530" s="2" t="s">
        <v>16</v>
      </c>
      <c r="R1530" s="2" t="s">
        <v>18</v>
      </c>
      <c r="S1530">
        <v>4</v>
      </c>
    </row>
    <row r="1531" spans="1:19" x14ac:dyDescent="0.3">
      <c r="A1531">
        <v>3182</v>
      </c>
      <c r="B1531">
        <f>YEAR(Cleaned_HR_Data_Analysis__2[[#This Row],[Joining_Date]])</f>
        <v>2023</v>
      </c>
      <c r="C1531" s="1">
        <v>44952</v>
      </c>
      <c r="D1531" s="1" t="str" cm="1">
        <f t="array" ref="D1531">_xlfn.IFS(E1531&lt;28, "17-27",
AND(E1531&gt;27, E1531&lt;38), "28-37",
AND(E1531&gt;37, E1531 &lt;48), "38-47",
AND(E1531&gt;47, E1531 &lt;58), "48-57",
AND(E1531&gt;57, E1531&lt;68), "58-67",
AND(E1531&gt;67, E1531&lt;78), "68-77",
E1531&gt;77,"Above than 77")</f>
        <v>48-57</v>
      </c>
      <c r="E1531">
        <v>52</v>
      </c>
      <c r="F1531" s="1">
        <v>26258</v>
      </c>
      <c r="G1531" s="1" t="str">
        <f>VLOOKUP(H1531,Table7[#All], 2, FALSE)</f>
        <v>Massachusetts</v>
      </c>
      <c r="H1531" s="2" t="s">
        <v>14</v>
      </c>
      <c r="I1531" s="2" t="s">
        <v>15</v>
      </c>
      <c r="J1531" s="2" t="s">
        <v>34</v>
      </c>
      <c r="K1531" s="2" t="s">
        <v>64</v>
      </c>
      <c r="L1531" s="2" t="s">
        <v>9</v>
      </c>
      <c r="M1531" s="2" t="s">
        <v>10</v>
      </c>
      <c r="N1531" s="2" t="s">
        <v>26</v>
      </c>
      <c r="O1531" s="2" t="s">
        <v>12</v>
      </c>
      <c r="P1531" s="2" t="s">
        <v>35</v>
      </c>
      <c r="Q1531" s="2" t="s">
        <v>16</v>
      </c>
      <c r="R1531" s="2" t="s">
        <v>65</v>
      </c>
      <c r="S1531">
        <v>3</v>
      </c>
    </row>
    <row r="1532" spans="1:19" x14ac:dyDescent="0.3">
      <c r="A1532">
        <v>2139</v>
      </c>
      <c r="B1532">
        <f>YEAR(Cleaned_HR_Data_Analysis__2[[#This Row],[Joining_Date]])</f>
        <v>2020</v>
      </c>
      <c r="C1532" s="1">
        <v>43956</v>
      </c>
      <c r="D1532" s="1" t="str" cm="1">
        <f t="array" ref="D1532">_xlfn.IFS(E1532&lt;28, "17-27",
AND(E1532&gt;27, E1532&lt;38), "28-37",
AND(E1532&gt;37, E1532 &lt;48), "38-47",
AND(E1532&gt;47, E1532 &lt;58), "48-57",
AND(E1532&gt;57, E1532&lt;68), "58-67",
AND(E1532&gt;67, E1532&lt;78), "68-77",
E1532&gt;77,"Above than 77")</f>
        <v>48-57</v>
      </c>
      <c r="E1532">
        <v>52</v>
      </c>
      <c r="F1532" s="1">
        <v>24927</v>
      </c>
      <c r="G1532" s="1" t="str">
        <f>VLOOKUP(H1532,Table7[#All], 2, FALSE)</f>
        <v>Massachusetts</v>
      </c>
      <c r="H1532" s="2" t="s">
        <v>14</v>
      </c>
      <c r="I1532" s="2" t="s">
        <v>15</v>
      </c>
      <c r="J1532" s="2" t="s">
        <v>17</v>
      </c>
      <c r="K1532" s="2" t="s">
        <v>64</v>
      </c>
      <c r="L1532" s="2" t="s">
        <v>9</v>
      </c>
      <c r="M1532" s="2" t="s">
        <v>20</v>
      </c>
      <c r="N1532" s="2" t="s">
        <v>26</v>
      </c>
      <c r="O1532" s="2" t="s">
        <v>12</v>
      </c>
      <c r="P1532" s="2" t="s">
        <v>21</v>
      </c>
      <c r="Q1532" s="2" t="s">
        <v>16</v>
      </c>
      <c r="R1532" s="2" t="s">
        <v>41</v>
      </c>
      <c r="S1532">
        <v>4</v>
      </c>
    </row>
    <row r="1533" spans="1:19" x14ac:dyDescent="0.3">
      <c r="A1533">
        <v>2074</v>
      </c>
      <c r="B1533">
        <f>YEAR(Cleaned_HR_Data_Analysis__2[[#This Row],[Joining_Date]])</f>
        <v>2019</v>
      </c>
      <c r="C1533" s="1">
        <v>43696</v>
      </c>
      <c r="D1533" s="1" t="str" cm="1">
        <f t="array" ref="D1533">_xlfn.IFS(E1533&lt;28, "17-27",
AND(E1533&gt;27, E1533&lt;38), "28-37",
AND(E1533&gt;37, E1533 &lt;48), "38-47",
AND(E1533&gt;47, E1533 &lt;58), "48-57",
AND(E1533&gt;57, E1533&lt;68), "58-67",
AND(E1533&gt;67, E1533&lt;78), "68-77",
E1533&gt;77,"Above than 77")</f>
        <v>48-57</v>
      </c>
      <c r="E1533">
        <v>52</v>
      </c>
      <c r="F1533" s="1">
        <v>24801</v>
      </c>
      <c r="G1533" s="1" t="str">
        <f>VLOOKUP(H1533,Table7[#All], 2, FALSE)</f>
        <v>Massachusetts</v>
      </c>
      <c r="H1533" s="2" t="s">
        <v>14</v>
      </c>
      <c r="I1533" s="2" t="s">
        <v>15</v>
      </c>
      <c r="J1533" s="2" t="s">
        <v>17</v>
      </c>
      <c r="K1533" s="2" t="s">
        <v>64</v>
      </c>
      <c r="L1533" s="2" t="s">
        <v>9</v>
      </c>
      <c r="M1533" s="2" t="s">
        <v>20</v>
      </c>
      <c r="N1533" s="2" t="s">
        <v>26</v>
      </c>
      <c r="O1533" s="2" t="s">
        <v>12</v>
      </c>
      <c r="P1533" s="2" t="s">
        <v>35</v>
      </c>
      <c r="Q1533" s="2" t="s">
        <v>23</v>
      </c>
      <c r="R1533" s="2" t="s">
        <v>18</v>
      </c>
      <c r="S1533">
        <v>2</v>
      </c>
    </row>
    <row r="1534" spans="1:19" x14ac:dyDescent="0.3">
      <c r="A1534">
        <v>1428</v>
      </c>
      <c r="B1534">
        <f>YEAR(Cleaned_HR_Data_Analysis__2[[#This Row],[Joining_Date]])</f>
        <v>2022</v>
      </c>
      <c r="C1534" s="1">
        <v>44903</v>
      </c>
      <c r="D1534" s="1" t="str" cm="1">
        <f t="array" ref="D1534">_xlfn.IFS(E1534&lt;28, "17-27",
AND(E1534&gt;27, E1534&lt;38), "28-37",
AND(E1534&gt;37, E1534 &lt;48), "38-47",
AND(E1534&gt;47, E1534 &lt;58), "48-57",
AND(E1534&gt;57, E1534&lt;68), "58-67",
AND(E1534&gt;67, E1534&lt;78), "68-77",
E1534&gt;77,"Above than 77")</f>
        <v>48-57</v>
      </c>
      <c r="E1534">
        <v>52</v>
      </c>
      <c r="F1534" s="1">
        <v>25625</v>
      </c>
      <c r="G1534" s="1" t="str">
        <f>VLOOKUP(H1534,Table7[#All], 2, FALSE)</f>
        <v>Massachusetts</v>
      </c>
      <c r="H1534" s="2" t="s">
        <v>14</v>
      </c>
      <c r="I1534" s="2" t="s">
        <v>22</v>
      </c>
      <c r="J1534" s="2" t="s">
        <v>40</v>
      </c>
      <c r="K1534" s="2" t="s">
        <v>64</v>
      </c>
      <c r="L1534" s="2" t="s">
        <v>9</v>
      </c>
      <c r="M1534" s="2" t="s">
        <v>25</v>
      </c>
      <c r="N1534" s="2" t="s">
        <v>11</v>
      </c>
      <c r="O1534" s="2" t="s">
        <v>12</v>
      </c>
      <c r="P1534" s="2" t="s">
        <v>44</v>
      </c>
      <c r="Q1534" s="2" t="s">
        <v>16</v>
      </c>
      <c r="R1534" s="2" t="s">
        <v>41</v>
      </c>
      <c r="S1534">
        <v>5</v>
      </c>
    </row>
    <row r="1535" spans="1:19" x14ac:dyDescent="0.3">
      <c r="A1535">
        <v>3582</v>
      </c>
      <c r="B1535">
        <f>YEAR(Cleaned_HR_Data_Analysis__2[[#This Row],[Joining_Date]])</f>
        <v>2020</v>
      </c>
      <c r="C1535" s="1">
        <v>44062</v>
      </c>
      <c r="D1535" s="1" t="str" cm="1">
        <f t="array" ref="D1535">_xlfn.IFS(E1535&lt;28, "17-27",
AND(E1535&gt;27, E1535&lt;38), "28-37",
AND(E1535&gt;37, E1535 &lt;48), "38-47",
AND(E1535&gt;47, E1535 &lt;58), "48-57",
AND(E1535&gt;57, E1535&lt;68), "58-67",
AND(E1535&gt;67, E1535&lt;78), "68-77",
E1535&gt;77,"Above than 77")</f>
        <v>48-57</v>
      </c>
      <c r="E1535">
        <v>52</v>
      </c>
      <c r="F1535" s="1">
        <v>25059</v>
      </c>
      <c r="G1535" s="1" t="str">
        <f>VLOOKUP(H1535,Table7[#All], 2, FALSE)</f>
        <v>Massachusetts</v>
      </c>
      <c r="H1535" s="2" t="s">
        <v>14</v>
      </c>
      <c r="I1535" s="2" t="s">
        <v>22</v>
      </c>
      <c r="J1535" s="2" t="s">
        <v>17</v>
      </c>
      <c r="K1535" s="2" t="s">
        <v>8</v>
      </c>
      <c r="L1535" s="2" t="s">
        <v>9</v>
      </c>
      <c r="M1535" s="2" t="s">
        <v>20</v>
      </c>
      <c r="N1535" s="2" t="s">
        <v>26</v>
      </c>
      <c r="O1535" s="2" t="s">
        <v>12</v>
      </c>
      <c r="P1535" s="2" t="s">
        <v>63</v>
      </c>
      <c r="Q1535" s="2" t="s">
        <v>46</v>
      </c>
      <c r="R1535" s="2" t="s">
        <v>18</v>
      </c>
      <c r="S1535">
        <v>2</v>
      </c>
    </row>
    <row r="1536" spans="1:19" x14ac:dyDescent="0.3">
      <c r="A1536">
        <v>3288</v>
      </c>
      <c r="B1536">
        <f>YEAR(Cleaned_HR_Data_Analysis__2[[#This Row],[Joining_Date]])</f>
        <v>2019</v>
      </c>
      <c r="C1536" s="1">
        <v>43732</v>
      </c>
      <c r="D1536" s="1" t="str" cm="1">
        <f t="array" ref="D1536">_xlfn.IFS(E1536&lt;28, "17-27",
AND(E1536&gt;27, E1536&lt;38), "28-37",
AND(E1536&gt;37, E1536 &lt;48), "38-47",
AND(E1536&gt;47, E1536 &lt;58), "48-57",
AND(E1536&gt;57, E1536&lt;68), "58-67",
AND(E1536&gt;67, E1536&lt;78), "68-77",
E1536&gt;77,"Above than 77")</f>
        <v>48-57</v>
      </c>
      <c r="E1536">
        <v>52</v>
      </c>
      <c r="F1536" s="1">
        <v>24822</v>
      </c>
      <c r="G1536" s="1" t="str">
        <f>VLOOKUP(H1536,Table7[#All], 2, FALSE)</f>
        <v>Massachusetts</v>
      </c>
      <c r="H1536" s="2" t="s">
        <v>14</v>
      </c>
      <c r="I1536" s="2" t="s">
        <v>15</v>
      </c>
      <c r="J1536" s="2" t="s">
        <v>40</v>
      </c>
      <c r="K1536" s="2" t="s">
        <v>8</v>
      </c>
      <c r="L1536" s="2" t="s">
        <v>9</v>
      </c>
      <c r="M1536" s="2" t="s">
        <v>25</v>
      </c>
      <c r="N1536" s="2" t="s">
        <v>19</v>
      </c>
      <c r="O1536" s="2" t="s">
        <v>12</v>
      </c>
      <c r="P1536" s="2" t="s">
        <v>35</v>
      </c>
      <c r="Q1536" s="2" t="s">
        <v>16</v>
      </c>
      <c r="R1536" s="2" t="s">
        <v>18</v>
      </c>
      <c r="S1536">
        <v>5</v>
      </c>
    </row>
    <row r="1537" spans="1:19" x14ac:dyDescent="0.3">
      <c r="A1537">
        <v>2986</v>
      </c>
      <c r="B1537">
        <f>YEAR(Cleaned_HR_Data_Analysis__2[[#This Row],[Joining_Date]])</f>
        <v>2023</v>
      </c>
      <c r="C1537" s="1">
        <v>45035</v>
      </c>
      <c r="D1537" s="1" t="str" cm="1">
        <f t="array" ref="D1537">_xlfn.IFS(E1537&lt;28, "17-27",
AND(E1537&gt;27, E1537&lt;38), "28-37",
AND(E1537&gt;37, E1537 &lt;48), "38-47",
AND(E1537&gt;47, E1537 &lt;58), "48-57",
AND(E1537&gt;57, E1537&lt;68), "58-67",
AND(E1537&gt;67, E1537&lt;78), "68-77",
E1537&gt;77,"Above than 77")</f>
        <v>48-57</v>
      </c>
      <c r="E1537">
        <v>52</v>
      </c>
      <c r="F1537" s="1">
        <v>25944</v>
      </c>
      <c r="G1537" s="1" t="str">
        <f>VLOOKUP(H1537,Table7[#All], 2, FALSE)</f>
        <v>Massachusetts</v>
      </c>
      <c r="H1537" s="2" t="s">
        <v>14</v>
      </c>
      <c r="I1537" s="2" t="s">
        <v>15</v>
      </c>
      <c r="J1537" s="2" t="s">
        <v>31</v>
      </c>
      <c r="K1537" s="2" t="s">
        <v>8</v>
      </c>
      <c r="L1537" s="2" t="s">
        <v>9</v>
      </c>
      <c r="M1537" s="2" t="s">
        <v>25</v>
      </c>
      <c r="N1537" s="2" t="s">
        <v>26</v>
      </c>
      <c r="O1537" s="2" t="s">
        <v>12</v>
      </c>
      <c r="P1537" s="2" t="s">
        <v>38</v>
      </c>
      <c r="Q1537" s="2" t="s">
        <v>46</v>
      </c>
      <c r="R1537" s="2" t="s">
        <v>18</v>
      </c>
      <c r="S1537">
        <v>5</v>
      </c>
    </row>
    <row r="1538" spans="1:19" x14ac:dyDescent="0.3">
      <c r="A1538">
        <v>2765</v>
      </c>
      <c r="B1538">
        <f>YEAR(Cleaned_HR_Data_Analysis__2[[#This Row],[Joining_Date]])</f>
        <v>2019</v>
      </c>
      <c r="C1538" s="1">
        <v>43696</v>
      </c>
      <c r="D1538" s="1" t="str" cm="1">
        <f t="array" ref="D1538">_xlfn.IFS(E1538&lt;28, "17-27",
AND(E1538&gt;27, E1538&lt;38), "28-37",
AND(E1538&gt;37, E1538 &lt;48), "38-47",
AND(E1538&gt;47, E1538 &lt;58), "48-57",
AND(E1538&gt;57, E1538&lt;68), "58-67",
AND(E1538&gt;67, E1538&lt;78), "68-77",
E1538&gt;77,"Above than 77")</f>
        <v>48-57</v>
      </c>
      <c r="E1538">
        <v>52</v>
      </c>
      <c r="F1538" s="1">
        <v>24662</v>
      </c>
      <c r="G1538" s="1" t="str">
        <f>VLOOKUP(H1538,Table7[#All], 2, FALSE)</f>
        <v>Massachusetts</v>
      </c>
      <c r="H1538" s="2" t="s">
        <v>14</v>
      </c>
      <c r="I1538" s="2" t="s">
        <v>22</v>
      </c>
      <c r="J1538" s="2" t="s">
        <v>17</v>
      </c>
      <c r="K1538" s="2" t="s">
        <v>8</v>
      </c>
      <c r="L1538" s="2" t="s">
        <v>9</v>
      </c>
      <c r="M1538" s="2" t="s">
        <v>25</v>
      </c>
      <c r="N1538" s="2" t="s">
        <v>11</v>
      </c>
      <c r="O1538" s="2" t="s">
        <v>12</v>
      </c>
      <c r="P1538" s="2" t="s">
        <v>59</v>
      </c>
      <c r="Q1538" s="2" t="s">
        <v>37</v>
      </c>
      <c r="R1538" s="2" t="s">
        <v>18</v>
      </c>
      <c r="S1538">
        <v>1</v>
      </c>
    </row>
    <row r="1539" spans="1:19" x14ac:dyDescent="0.3">
      <c r="A1539">
        <v>2174</v>
      </c>
      <c r="B1539">
        <f>YEAR(Cleaned_HR_Data_Analysis__2[[#This Row],[Joining_Date]])</f>
        <v>2022</v>
      </c>
      <c r="C1539" s="1">
        <v>44600</v>
      </c>
      <c r="D1539" s="1" t="str" cm="1">
        <f t="array" ref="D1539">_xlfn.IFS(E1539&lt;28, "17-27",
AND(E1539&gt;27, E1539&lt;38), "28-37",
AND(E1539&gt;37, E1539 &lt;48), "38-47",
AND(E1539&gt;47, E1539 &lt;58), "48-57",
AND(E1539&gt;57, E1539&lt;68), "58-67",
AND(E1539&gt;67, E1539&lt;78), "68-77",
E1539&gt;77,"Above than 77")</f>
        <v>48-57</v>
      </c>
      <c r="E1539">
        <v>52</v>
      </c>
      <c r="F1539" s="1">
        <v>25931</v>
      </c>
      <c r="G1539" s="1" t="str">
        <f>VLOOKUP(H1539,Table7[#All], 2, FALSE)</f>
        <v>Massachusetts</v>
      </c>
      <c r="H1539" s="2" t="s">
        <v>14</v>
      </c>
      <c r="I1539" s="2" t="s">
        <v>15</v>
      </c>
      <c r="J1539" s="2" t="s">
        <v>34</v>
      </c>
      <c r="K1539" s="2" t="s">
        <v>8</v>
      </c>
      <c r="L1539" s="2" t="s">
        <v>9</v>
      </c>
      <c r="M1539" s="2" t="s">
        <v>25</v>
      </c>
      <c r="N1539" s="2" t="s">
        <v>26</v>
      </c>
      <c r="O1539" s="2" t="s">
        <v>12</v>
      </c>
      <c r="P1539" s="2" t="s">
        <v>38</v>
      </c>
      <c r="Q1539" s="2" t="s">
        <v>37</v>
      </c>
      <c r="R1539" s="2" t="s">
        <v>41</v>
      </c>
      <c r="S1539">
        <v>1</v>
      </c>
    </row>
    <row r="1540" spans="1:19" x14ac:dyDescent="0.3">
      <c r="A1540">
        <v>2150</v>
      </c>
      <c r="B1540">
        <f>YEAR(Cleaned_HR_Data_Analysis__2[[#This Row],[Joining_Date]])</f>
        <v>2023</v>
      </c>
      <c r="C1540" s="1">
        <v>44947</v>
      </c>
      <c r="D1540" s="1" t="str" cm="1">
        <f t="array" ref="D1540">_xlfn.IFS(E1540&lt;28, "17-27",
AND(E1540&gt;27, E1540&lt;38), "28-37",
AND(E1540&gt;37, E1540 &lt;48), "38-47",
AND(E1540&gt;47, E1540 &lt;58), "48-57",
AND(E1540&gt;57, E1540&lt;68), "58-67",
AND(E1540&gt;67, E1540&lt;78), "68-77",
E1540&gt;77,"Above than 77")</f>
        <v>48-57</v>
      </c>
      <c r="E1540">
        <v>52</v>
      </c>
      <c r="F1540" s="1">
        <v>26212</v>
      </c>
      <c r="G1540" s="1" t="str">
        <f>VLOOKUP(H1540,Table7[#All], 2, FALSE)</f>
        <v>Massachusetts</v>
      </c>
      <c r="H1540" s="2" t="s">
        <v>14</v>
      </c>
      <c r="I1540" s="2" t="s">
        <v>15</v>
      </c>
      <c r="J1540" s="2" t="s">
        <v>17</v>
      </c>
      <c r="K1540" s="2" t="s">
        <v>8</v>
      </c>
      <c r="L1540" s="2" t="s">
        <v>9</v>
      </c>
      <c r="M1540" s="2" t="s">
        <v>25</v>
      </c>
      <c r="N1540" s="2" t="s">
        <v>26</v>
      </c>
      <c r="O1540" s="2" t="s">
        <v>12</v>
      </c>
      <c r="P1540" s="2" t="s">
        <v>49</v>
      </c>
      <c r="Q1540" s="2" t="s">
        <v>46</v>
      </c>
      <c r="R1540" s="2" t="s">
        <v>41</v>
      </c>
      <c r="S1540">
        <v>1</v>
      </c>
    </row>
    <row r="1541" spans="1:19" x14ac:dyDescent="0.3">
      <c r="A1541">
        <v>2126</v>
      </c>
      <c r="B1541">
        <f>YEAR(Cleaned_HR_Data_Analysis__2[[#This Row],[Joining_Date]])</f>
        <v>2021</v>
      </c>
      <c r="C1541" s="1">
        <v>44263</v>
      </c>
      <c r="D1541" s="1" t="str" cm="1">
        <f t="array" ref="D1541">_xlfn.IFS(E1541&lt;28, "17-27",
AND(E1541&gt;27, E1541&lt;38), "28-37",
AND(E1541&gt;37, E1541 &lt;48), "38-47",
AND(E1541&gt;47, E1541 &lt;58), "48-57",
AND(E1541&gt;57, E1541&lt;68), "58-67",
AND(E1541&gt;67, E1541&lt;78), "68-77",
E1541&gt;77,"Above than 77")</f>
        <v>48-57</v>
      </c>
      <c r="E1541">
        <v>52</v>
      </c>
      <c r="F1541" s="1">
        <v>25374</v>
      </c>
      <c r="G1541" s="1" t="str">
        <f>VLOOKUP(H1541,Table7[#All], 2, FALSE)</f>
        <v>Massachusetts</v>
      </c>
      <c r="H1541" s="2" t="s">
        <v>14</v>
      </c>
      <c r="I1541" s="2" t="s">
        <v>15</v>
      </c>
      <c r="J1541" s="2" t="s">
        <v>34</v>
      </c>
      <c r="K1541" s="2" t="s">
        <v>8</v>
      </c>
      <c r="L1541" s="2" t="s">
        <v>9</v>
      </c>
      <c r="M1541" s="2" t="s">
        <v>20</v>
      </c>
      <c r="N1541" s="2" t="s">
        <v>11</v>
      </c>
      <c r="O1541" s="2" t="s">
        <v>12</v>
      </c>
      <c r="P1541" s="2" t="s">
        <v>68</v>
      </c>
      <c r="Q1541" s="2" t="s">
        <v>37</v>
      </c>
      <c r="R1541" s="2" t="s">
        <v>65</v>
      </c>
      <c r="S1541">
        <v>4</v>
      </c>
    </row>
    <row r="1542" spans="1:19" x14ac:dyDescent="0.3">
      <c r="A1542">
        <v>2089</v>
      </c>
      <c r="B1542">
        <f>YEAR(Cleaned_HR_Data_Analysis__2[[#This Row],[Joining_Date]])</f>
        <v>2018</v>
      </c>
      <c r="C1542" s="1">
        <v>43463</v>
      </c>
      <c r="D1542" s="1" t="str" cm="1">
        <f t="array" ref="D1542">_xlfn.IFS(E1542&lt;28, "17-27",
AND(E1542&gt;27, E1542&lt;38), "28-37",
AND(E1542&gt;37, E1542 &lt;48), "38-47",
AND(E1542&gt;47, E1542 &lt;58), "48-57",
AND(E1542&gt;57, E1542&lt;68), "58-67",
AND(E1542&gt;67, E1542&lt;78), "68-77",
E1542&gt;77,"Above than 77")</f>
        <v>48-57</v>
      </c>
      <c r="E1542">
        <v>52</v>
      </c>
      <c r="F1542" s="1">
        <v>24262</v>
      </c>
      <c r="G1542" s="1" t="str">
        <f>VLOOKUP(H1542,Table7[#All], 2, FALSE)</f>
        <v>Massachusetts</v>
      </c>
      <c r="H1542" s="2" t="s">
        <v>14</v>
      </c>
      <c r="I1542" s="2" t="s">
        <v>15</v>
      </c>
      <c r="J1542" s="2" t="s">
        <v>34</v>
      </c>
      <c r="K1542" s="2" t="s">
        <v>8</v>
      </c>
      <c r="L1542" s="2" t="s">
        <v>9</v>
      </c>
      <c r="M1542" s="2" t="s">
        <v>10</v>
      </c>
      <c r="N1542" s="2" t="s">
        <v>11</v>
      </c>
      <c r="O1542" s="2" t="s">
        <v>12</v>
      </c>
      <c r="P1542" s="2" t="s">
        <v>68</v>
      </c>
      <c r="Q1542" s="2" t="s">
        <v>16</v>
      </c>
      <c r="R1542" s="2" t="s">
        <v>18</v>
      </c>
      <c r="S1542">
        <v>3</v>
      </c>
    </row>
    <row r="1543" spans="1:19" x14ac:dyDescent="0.3">
      <c r="A1543">
        <v>1865</v>
      </c>
      <c r="B1543">
        <f>YEAR(Cleaned_HR_Data_Analysis__2[[#This Row],[Joining_Date]])</f>
        <v>2021</v>
      </c>
      <c r="C1543" s="1">
        <v>44241</v>
      </c>
      <c r="D1543" s="1" t="str" cm="1">
        <f t="array" ref="D1543">_xlfn.IFS(E1543&lt;28, "17-27",
AND(E1543&gt;27, E1543&lt;38), "28-37",
AND(E1543&gt;37, E1543 &lt;48), "38-47",
AND(E1543&gt;47, E1543 &lt;58), "48-57",
AND(E1543&gt;57, E1543&lt;68), "58-67",
AND(E1543&gt;67, E1543&lt;78), "68-77",
E1543&gt;77,"Above than 77")</f>
        <v>48-57</v>
      </c>
      <c r="E1543">
        <v>52</v>
      </c>
      <c r="F1543" s="1">
        <v>25347</v>
      </c>
      <c r="G1543" s="1" t="str">
        <f>VLOOKUP(H1543,Table7[#All], 2, FALSE)</f>
        <v>Massachusetts</v>
      </c>
      <c r="H1543" s="2" t="s">
        <v>14</v>
      </c>
      <c r="I1543" s="2" t="s">
        <v>15</v>
      </c>
      <c r="J1543" s="2" t="s">
        <v>31</v>
      </c>
      <c r="K1543" s="2" t="s">
        <v>8</v>
      </c>
      <c r="L1543" s="2" t="s">
        <v>9</v>
      </c>
      <c r="M1543" s="2" t="s">
        <v>20</v>
      </c>
      <c r="N1543" s="2" t="s">
        <v>11</v>
      </c>
      <c r="O1543" s="2" t="s">
        <v>12</v>
      </c>
      <c r="P1543" s="2" t="s">
        <v>35</v>
      </c>
      <c r="Q1543" s="2" t="s">
        <v>46</v>
      </c>
      <c r="R1543" s="2" t="s">
        <v>41</v>
      </c>
      <c r="S1543">
        <v>3</v>
      </c>
    </row>
    <row r="1544" spans="1:19" x14ac:dyDescent="0.3">
      <c r="A1544">
        <v>1840</v>
      </c>
      <c r="B1544">
        <f>YEAR(Cleaned_HR_Data_Analysis__2[[#This Row],[Joining_Date]])</f>
        <v>2021</v>
      </c>
      <c r="C1544" s="1">
        <v>44204</v>
      </c>
      <c r="D1544" s="1" t="str" cm="1">
        <f t="array" ref="D1544">_xlfn.IFS(E1544&lt;28, "17-27",
AND(E1544&gt;27, E1544&lt;38), "28-37",
AND(E1544&gt;37, E1544 &lt;48), "38-47",
AND(E1544&gt;47, E1544 &lt;58), "48-57",
AND(E1544&gt;57, E1544&lt;68), "58-67",
AND(E1544&gt;67, E1544&lt;78), "68-77",
E1544&gt;77,"Above than 77")</f>
        <v>48-57</v>
      </c>
      <c r="E1544">
        <v>52</v>
      </c>
      <c r="F1544" s="1">
        <v>25422</v>
      </c>
      <c r="G1544" s="1" t="str">
        <f>VLOOKUP(H1544,Table7[#All], 2, FALSE)</f>
        <v>Massachusetts</v>
      </c>
      <c r="H1544" s="2" t="s">
        <v>14</v>
      </c>
      <c r="I1544" s="2" t="s">
        <v>15</v>
      </c>
      <c r="J1544" s="2" t="s">
        <v>31</v>
      </c>
      <c r="K1544" s="2" t="s">
        <v>8</v>
      </c>
      <c r="L1544" s="2" t="s">
        <v>9</v>
      </c>
      <c r="M1544" s="2" t="s">
        <v>25</v>
      </c>
      <c r="N1544" s="2" t="s">
        <v>26</v>
      </c>
      <c r="O1544" s="2" t="s">
        <v>12</v>
      </c>
      <c r="P1544" s="2" t="s">
        <v>38</v>
      </c>
      <c r="Q1544" s="2" t="s">
        <v>23</v>
      </c>
      <c r="R1544" s="2" t="s">
        <v>41</v>
      </c>
      <c r="S1544">
        <v>1</v>
      </c>
    </row>
    <row r="1545" spans="1:19" x14ac:dyDescent="0.3">
      <c r="A1545">
        <v>1831</v>
      </c>
      <c r="B1545">
        <f>YEAR(Cleaned_HR_Data_Analysis__2[[#This Row],[Joining_Date]])</f>
        <v>2022</v>
      </c>
      <c r="C1545" s="1">
        <v>44738</v>
      </c>
      <c r="D1545" s="1" t="str" cm="1">
        <f t="array" ref="D1545">_xlfn.IFS(E1545&lt;28, "17-27",
AND(E1545&gt;27, E1545&lt;38), "28-37",
AND(E1545&gt;37, E1545 &lt;48), "38-47",
AND(E1545&gt;47, E1545 &lt;58), "48-57",
AND(E1545&gt;57, E1545&lt;68), "58-67",
AND(E1545&gt;67, E1545&lt;78), "68-77",
E1545&gt;77,"Above than 77")</f>
        <v>48-57</v>
      </c>
      <c r="E1545">
        <v>52</v>
      </c>
      <c r="F1545" s="1">
        <v>25855</v>
      </c>
      <c r="G1545" s="1" t="str">
        <f>VLOOKUP(H1545,Table7[#All], 2, FALSE)</f>
        <v>Massachusetts</v>
      </c>
      <c r="H1545" s="2" t="s">
        <v>14</v>
      </c>
      <c r="I1545" s="2" t="s">
        <v>15</v>
      </c>
      <c r="J1545" s="2" t="s">
        <v>17</v>
      </c>
      <c r="K1545" s="2" t="s">
        <v>8</v>
      </c>
      <c r="L1545" s="2" t="s">
        <v>66</v>
      </c>
      <c r="M1545" s="2" t="s">
        <v>20</v>
      </c>
      <c r="N1545" s="2" t="s">
        <v>26</v>
      </c>
      <c r="O1545" s="2" t="s">
        <v>12</v>
      </c>
      <c r="P1545" s="2" t="s">
        <v>92</v>
      </c>
      <c r="Q1545" s="2" t="s">
        <v>46</v>
      </c>
      <c r="R1545" s="2" t="s">
        <v>56</v>
      </c>
      <c r="S1545">
        <v>2</v>
      </c>
    </row>
    <row r="1546" spans="1:19" x14ac:dyDescent="0.3">
      <c r="A1546">
        <v>1784</v>
      </c>
      <c r="B1546">
        <f>YEAR(Cleaned_HR_Data_Analysis__2[[#This Row],[Joining_Date]])</f>
        <v>2023</v>
      </c>
      <c r="C1546" s="1">
        <v>45140</v>
      </c>
      <c r="D1546" s="1" t="str" cm="1">
        <f t="array" ref="D1546">_xlfn.IFS(E1546&lt;28, "17-27",
AND(E1546&gt;27, E1546&lt;38), "28-37",
AND(E1546&gt;37, E1546 &lt;48), "38-47",
AND(E1546&gt;47, E1546 &lt;58), "48-57",
AND(E1546&gt;57, E1546&lt;68), "58-67",
AND(E1546&gt;67, E1546&lt;78), "68-77",
E1546&gt;77,"Above than 77")</f>
        <v>48-57</v>
      </c>
      <c r="E1546">
        <v>52</v>
      </c>
      <c r="F1546" s="1">
        <v>26022</v>
      </c>
      <c r="G1546" s="1" t="str">
        <f>VLOOKUP(H1546,Table7[#All], 2, FALSE)</f>
        <v>Massachusetts</v>
      </c>
      <c r="H1546" s="2" t="s">
        <v>14</v>
      </c>
      <c r="I1546" s="2" t="s">
        <v>15</v>
      </c>
      <c r="J1546" s="2" t="s">
        <v>40</v>
      </c>
      <c r="K1546" s="2" t="s">
        <v>8</v>
      </c>
      <c r="L1546" s="2" t="s">
        <v>9</v>
      </c>
      <c r="M1546" s="2" t="s">
        <v>20</v>
      </c>
      <c r="N1546" s="2" t="s">
        <v>19</v>
      </c>
      <c r="O1546" s="2" t="s">
        <v>12</v>
      </c>
      <c r="P1546" s="2" t="s">
        <v>32</v>
      </c>
      <c r="Q1546" s="2" t="s">
        <v>30</v>
      </c>
      <c r="R1546" s="2" t="s">
        <v>18</v>
      </c>
      <c r="S1546">
        <v>3</v>
      </c>
    </row>
    <row r="1547" spans="1:19" x14ac:dyDescent="0.3">
      <c r="A1547">
        <v>1519</v>
      </c>
      <c r="B1547">
        <f>YEAR(Cleaned_HR_Data_Analysis__2[[#This Row],[Joining_Date]])</f>
        <v>2023</v>
      </c>
      <c r="C1547" s="1">
        <v>45048</v>
      </c>
      <c r="D1547" s="1" t="str" cm="1">
        <f t="array" ref="D1547">_xlfn.IFS(E1547&lt;28, "17-27",
AND(E1547&gt;27, E1547&lt;38), "28-37",
AND(E1547&gt;37, E1547 &lt;48), "38-47",
AND(E1547&gt;47, E1547 &lt;58), "48-57",
AND(E1547&gt;57, E1547&lt;68), "58-67",
AND(E1547&gt;67, E1547&lt;78), "68-77",
E1547&gt;77,"Above than 77")</f>
        <v>48-57</v>
      </c>
      <c r="E1547">
        <v>52</v>
      </c>
      <c r="F1547" s="1">
        <v>26040</v>
      </c>
      <c r="G1547" s="1" t="str">
        <f>VLOOKUP(H1547,Table7[#All], 2, FALSE)</f>
        <v>Massachusetts</v>
      </c>
      <c r="H1547" s="2" t="s">
        <v>14</v>
      </c>
      <c r="I1547" s="2" t="s">
        <v>15</v>
      </c>
      <c r="J1547" s="2" t="s">
        <v>31</v>
      </c>
      <c r="K1547" s="2" t="s">
        <v>8</v>
      </c>
      <c r="L1547" s="2" t="s">
        <v>9</v>
      </c>
      <c r="M1547" s="2" t="s">
        <v>20</v>
      </c>
      <c r="N1547" s="2" t="s">
        <v>26</v>
      </c>
      <c r="O1547" s="2" t="s">
        <v>12</v>
      </c>
      <c r="P1547" s="2" t="s">
        <v>54</v>
      </c>
      <c r="Q1547" s="2" t="s">
        <v>46</v>
      </c>
      <c r="R1547" s="2" t="s">
        <v>18</v>
      </c>
      <c r="S1547">
        <v>3</v>
      </c>
    </row>
    <row r="1548" spans="1:19" x14ac:dyDescent="0.3">
      <c r="A1548">
        <v>1401</v>
      </c>
      <c r="B1548">
        <f>YEAR(Cleaned_HR_Data_Analysis__2[[#This Row],[Joining_Date]])</f>
        <v>2019</v>
      </c>
      <c r="C1548" s="1">
        <v>43469</v>
      </c>
      <c r="D1548" s="1" t="str" cm="1">
        <f t="array" ref="D1548">_xlfn.IFS(E1548&lt;28, "17-27",
AND(E1548&gt;27, E1548&lt;38), "28-37",
AND(E1548&gt;37, E1548 &lt;48), "38-47",
AND(E1548&gt;47, E1548 &lt;58), "48-57",
AND(E1548&gt;57, E1548&lt;68), "58-67",
AND(E1548&gt;67, E1548&lt;78), "68-77",
E1548&gt;77,"Above than 77")</f>
        <v>48-57</v>
      </c>
      <c r="E1548">
        <v>52</v>
      </c>
      <c r="F1548" s="1">
        <v>24701</v>
      </c>
      <c r="G1548" s="1" t="str">
        <f>VLOOKUP(H1548,Table7[#All], 2, FALSE)</f>
        <v>Massachusetts</v>
      </c>
      <c r="H1548" s="2" t="s">
        <v>14</v>
      </c>
      <c r="I1548" s="2" t="s">
        <v>22</v>
      </c>
      <c r="J1548" s="2" t="s">
        <v>31</v>
      </c>
      <c r="K1548" s="2" t="s">
        <v>8</v>
      </c>
      <c r="L1548" s="2" t="s">
        <v>9</v>
      </c>
      <c r="M1548" s="2" t="s">
        <v>10</v>
      </c>
      <c r="N1548" s="2" t="s">
        <v>26</v>
      </c>
      <c r="O1548" s="2" t="s">
        <v>12</v>
      </c>
      <c r="P1548" s="2" t="s">
        <v>49</v>
      </c>
      <c r="Q1548" s="2" t="s">
        <v>16</v>
      </c>
      <c r="R1548" s="2" t="s">
        <v>41</v>
      </c>
      <c r="S1548">
        <v>5</v>
      </c>
    </row>
    <row r="1549" spans="1:19" x14ac:dyDescent="0.3">
      <c r="A1549">
        <v>1281</v>
      </c>
      <c r="B1549">
        <f>YEAR(Cleaned_HR_Data_Analysis__2[[#This Row],[Joining_Date]])</f>
        <v>2020</v>
      </c>
      <c r="C1549" s="1">
        <v>44050</v>
      </c>
      <c r="D1549" s="1" t="str" cm="1">
        <f t="array" ref="D1549">_xlfn.IFS(E1549&lt;28, "17-27",
AND(E1549&gt;27, E1549&lt;38), "28-37",
AND(E1549&gt;37, E1549 &lt;48), "38-47",
AND(E1549&gt;47, E1549 &lt;58), "48-57",
AND(E1549&gt;57, E1549&lt;68), "58-67",
AND(E1549&gt;67, E1549&lt;78), "68-77",
E1549&gt;77,"Above than 77")</f>
        <v>48-57</v>
      </c>
      <c r="E1549">
        <v>52</v>
      </c>
      <c r="F1549" s="1">
        <v>25191</v>
      </c>
      <c r="G1549" s="1" t="str">
        <f>VLOOKUP(H1549,Table7[#All], 2, FALSE)</f>
        <v>Massachusetts</v>
      </c>
      <c r="H1549" s="2" t="s">
        <v>14</v>
      </c>
      <c r="I1549" s="2" t="s">
        <v>15</v>
      </c>
      <c r="J1549" s="2" t="s">
        <v>17</v>
      </c>
      <c r="K1549" s="2" t="s">
        <v>8</v>
      </c>
      <c r="L1549" s="2" t="s">
        <v>66</v>
      </c>
      <c r="M1549" s="2" t="s">
        <v>20</v>
      </c>
      <c r="N1549" s="2" t="s">
        <v>19</v>
      </c>
      <c r="O1549" s="2" t="s">
        <v>12</v>
      </c>
      <c r="P1549" s="2" t="s">
        <v>13</v>
      </c>
      <c r="Q1549" s="2" t="s">
        <v>16</v>
      </c>
      <c r="R1549" s="2" t="s">
        <v>18</v>
      </c>
      <c r="S1549">
        <v>2</v>
      </c>
    </row>
    <row r="1550" spans="1:19" x14ac:dyDescent="0.3">
      <c r="A1550">
        <v>1270</v>
      </c>
      <c r="B1550">
        <f>YEAR(Cleaned_HR_Data_Analysis__2[[#This Row],[Joining_Date]])</f>
        <v>2019</v>
      </c>
      <c r="C1550" s="1">
        <v>43586</v>
      </c>
      <c r="D1550" s="1" t="str" cm="1">
        <f t="array" ref="D1550">_xlfn.IFS(E1550&lt;28, "17-27",
AND(E1550&gt;27, E1550&lt;38), "28-37",
AND(E1550&gt;37, E1550 &lt;48), "38-47",
AND(E1550&gt;47, E1550 &lt;58), "48-57",
AND(E1550&gt;57, E1550&lt;68), "58-67",
AND(E1550&gt;67, E1550&lt;78), "68-77",
E1550&gt;77,"Above than 77")</f>
        <v>48-57</v>
      </c>
      <c r="E1550">
        <v>52</v>
      </c>
      <c r="F1550" s="1">
        <v>24762</v>
      </c>
      <c r="G1550" s="1" t="str">
        <f>VLOOKUP(H1550,Table7[#All], 2, FALSE)</f>
        <v>Massachusetts</v>
      </c>
      <c r="H1550" s="2" t="s">
        <v>14</v>
      </c>
      <c r="I1550" s="2" t="s">
        <v>15</v>
      </c>
      <c r="J1550" s="2" t="s">
        <v>34</v>
      </c>
      <c r="K1550" s="2" t="s">
        <v>8</v>
      </c>
      <c r="L1550" s="2" t="s">
        <v>9</v>
      </c>
      <c r="M1550" s="2" t="s">
        <v>20</v>
      </c>
      <c r="N1550" s="2" t="s">
        <v>11</v>
      </c>
      <c r="O1550" s="2" t="s">
        <v>12</v>
      </c>
      <c r="P1550" s="2" t="s">
        <v>35</v>
      </c>
      <c r="Q1550" s="2" t="s">
        <v>23</v>
      </c>
      <c r="R1550" s="2" t="s">
        <v>18</v>
      </c>
      <c r="S1550">
        <v>5</v>
      </c>
    </row>
    <row r="1551" spans="1:19" x14ac:dyDescent="0.3">
      <c r="A1551">
        <v>1238</v>
      </c>
      <c r="B1551">
        <f>YEAR(Cleaned_HR_Data_Analysis__2[[#This Row],[Joining_Date]])</f>
        <v>2020</v>
      </c>
      <c r="C1551" s="1">
        <v>44131</v>
      </c>
      <c r="D1551" s="1" t="str" cm="1">
        <f t="array" ref="D1551">_xlfn.IFS(E1551&lt;28, "17-27",
AND(E1551&gt;27, E1551&lt;38), "28-37",
AND(E1551&gt;37, E1551 &lt;48), "38-47",
AND(E1551&gt;47, E1551 &lt;58), "48-57",
AND(E1551&gt;57, E1551&lt;68), "58-67",
AND(E1551&gt;67, E1551&lt;78), "68-77",
E1551&gt;77,"Above than 77")</f>
        <v>48-57</v>
      </c>
      <c r="E1551">
        <v>52</v>
      </c>
      <c r="F1551" s="1">
        <v>25093</v>
      </c>
      <c r="G1551" s="1" t="str">
        <f>VLOOKUP(H1551,Table7[#All], 2, FALSE)</f>
        <v>Massachusetts</v>
      </c>
      <c r="H1551" s="2" t="s">
        <v>14</v>
      </c>
      <c r="I1551" s="2" t="s">
        <v>15</v>
      </c>
      <c r="J1551" s="2" t="s">
        <v>31</v>
      </c>
      <c r="K1551" s="2" t="s">
        <v>8</v>
      </c>
      <c r="L1551" s="2" t="s">
        <v>66</v>
      </c>
      <c r="M1551" s="2" t="s">
        <v>20</v>
      </c>
      <c r="N1551" s="2" t="s">
        <v>26</v>
      </c>
      <c r="O1551" s="2" t="s">
        <v>12</v>
      </c>
      <c r="P1551" s="2" t="s">
        <v>42</v>
      </c>
      <c r="Q1551" s="2" t="s">
        <v>30</v>
      </c>
      <c r="R1551" s="2" t="s">
        <v>18</v>
      </c>
      <c r="S1551">
        <v>3</v>
      </c>
    </row>
    <row r="1552" spans="1:19" x14ac:dyDescent="0.3">
      <c r="A1552">
        <v>1177</v>
      </c>
      <c r="B1552">
        <f>YEAR(Cleaned_HR_Data_Analysis__2[[#This Row],[Joining_Date]])</f>
        <v>2020</v>
      </c>
      <c r="C1552" s="1">
        <v>44032</v>
      </c>
      <c r="D1552" s="1" t="str" cm="1">
        <f t="array" ref="D1552">_xlfn.IFS(E1552&lt;28, "17-27",
AND(E1552&gt;27, E1552&lt;38), "28-37",
AND(E1552&gt;37, E1552 &lt;48), "38-47",
AND(E1552&gt;47, E1552 &lt;58), "48-57",
AND(E1552&gt;57, E1552&lt;68), "58-67",
AND(E1552&gt;67, E1552&lt;78), "68-77",
E1552&gt;77,"Above than 77")</f>
        <v>48-57</v>
      </c>
      <c r="E1552">
        <v>52</v>
      </c>
      <c r="F1552" s="1">
        <v>25025</v>
      </c>
      <c r="G1552" s="1" t="str">
        <f>VLOOKUP(H1552,Table7[#All], 2, FALSE)</f>
        <v>Massachusetts</v>
      </c>
      <c r="H1552" s="2" t="s">
        <v>14</v>
      </c>
      <c r="I1552" s="2" t="s">
        <v>15</v>
      </c>
      <c r="J1552" s="2" t="s">
        <v>34</v>
      </c>
      <c r="K1552" s="2" t="s">
        <v>8</v>
      </c>
      <c r="L1552" s="2" t="s">
        <v>9</v>
      </c>
      <c r="M1552" s="2" t="s">
        <v>10</v>
      </c>
      <c r="N1552" s="2" t="s">
        <v>19</v>
      </c>
      <c r="O1552" s="2" t="s">
        <v>12</v>
      </c>
      <c r="P1552" s="2" t="s">
        <v>21</v>
      </c>
      <c r="Q1552" s="2" t="s">
        <v>30</v>
      </c>
      <c r="R1552" s="2" t="s">
        <v>18</v>
      </c>
      <c r="S1552">
        <v>2</v>
      </c>
    </row>
    <row r="1553" spans="1:19" x14ac:dyDescent="0.3">
      <c r="A1553">
        <v>1173</v>
      </c>
      <c r="B1553">
        <f>YEAR(Cleaned_HR_Data_Analysis__2[[#This Row],[Joining_Date]])</f>
        <v>2020</v>
      </c>
      <c r="C1553" s="1">
        <v>44149</v>
      </c>
      <c r="D1553" s="1" t="str" cm="1">
        <f t="array" ref="D1553">_xlfn.IFS(E1553&lt;28, "17-27",
AND(E1553&gt;27, E1553&lt;38), "28-37",
AND(E1553&gt;37, E1553 &lt;48), "38-47",
AND(E1553&gt;47, E1553 &lt;58), "48-57",
AND(E1553&gt;57, E1553&lt;68), "58-67",
AND(E1553&gt;67, E1553&lt;78), "68-77",
E1553&gt;77,"Above than 77")</f>
        <v>48-57</v>
      </c>
      <c r="E1553">
        <v>52</v>
      </c>
      <c r="F1553" s="1">
        <v>24867</v>
      </c>
      <c r="G1553" s="1" t="str">
        <f>VLOOKUP(H1553,Table7[#All], 2, FALSE)</f>
        <v>Massachusetts</v>
      </c>
      <c r="H1553" s="2" t="s">
        <v>14</v>
      </c>
      <c r="I1553" s="2" t="s">
        <v>15</v>
      </c>
      <c r="J1553" s="2" t="s">
        <v>17</v>
      </c>
      <c r="K1553" s="2" t="s">
        <v>8</v>
      </c>
      <c r="L1553" s="2" t="s">
        <v>66</v>
      </c>
      <c r="M1553" s="2" t="s">
        <v>25</v>
      </c>
      <c r="N1553" s="2" t="s">
        <v>11</v>
      </c>
      <c r="O1553" s="2" t="s">
        <v>12</v>
      </c>
      <c r="P1553" s="2" t="s">
        <v>92</v>
      </c>
      <c r="Q1553" s="2" t="s">
        <v>16</v>
      </c>
      <c r="R1553" s="2" t="s">
        <v>18</v>
      </c>
      <c r="S1553">
        <v>5</v>
      </c>
    </row>
    <row r="1554" spans="1:19" x14ac:dyDescent="0.3">
      <c r="A1554">
        <v>1120</v>
      </c>
      <c r="B1554">
        <f>YEAR(Cleaned_HR_Data_Analysis__2[[#This Row],[Joining_Date]])</f>
        <v>2020</v>
      </c>
      <c r="C1554" s="1">
        <v>44060</v>
      </c>
      <c r="D1554" s="1" t="str" cm="1">
        <f t="array" ref="D1554">_xlfn.IFS(E1554&lt;28, "17-27",
AND(E1554&gt;27, E1554&lt;38), "28-37",
AND(E1554&gt;37, E1554 &lt;48), "38-47",
AND(E1554&gt;47, E1554 &lt;58), "48-57",
AND(E1554&gt;57, E1554&lt;68), "58-67",
AND(E1554&gt;67, E1554&lt;78), "68-77",
E1554&gt;77,"Above than 77")</f>
        <v>48-57</v>
      </c>
      <c r="E1554">
        <v>52</v>
      </c>
      <c r="F1554" s="1">
        <v>25101</v>
      </c>
      <c r="G1554" s="1" t="str">
        <f>VLOOKUP(H1554,Table7[#All], 2, FALSE)</f>
        <v>Massachusetts</v>
      </c>
      <c r="H1554" s="2" t="s">
        <v>14</v>
      </c>
      <c r="I1554" s="2" t="s">
        <v>15</v>
      </c>
      <c r="J1554" s="2" t="s">
        <v>40</v>
      </c>
      <c r="K1554" s="2" t="s">
        <v>8</v>
      </c>
      <c r="L1554" s="2" t="s">
        <v>9</v>
      </c>
      <c r="M1554" s="2" t="s">
        <v>20</v>
      </c>
      <c r="N1554" s="2" t="s">
        <v>26</v>
      </c>
      <c r="O1554" s="2" t="s">
        <v>12</v>
      </c>
      <c r="P1554" s="2" t="s">
        <v>62</v>
      </c>
      <c r="Q1554" s="2" t="s">
        <v>37</v>
      </c>
      <c r="R1554" s="2" t="s">
        <v>18</v>
      </c>
      <c r="S1554">
        <v>3</v>
      </c>
    </row>
    <row r="1555" spans="1:19" x14ac:dyDescent="0.3">
      <c r="A1555">
        <v>1092</v>
      </c>
      <c r="B1555">
        <f>YEAR(Cleaned_HR_Data_Analysis__2[[#This Row],[Joining_Date]])</f>
        <v>2022</v>
      </c>
      <c r="C1555" s="1">
        <v>44754</v>
      </c>
      <c r="D1555" s="1" t="str" cm="1">
        <f t="array" ref="D1555">_xlfn.IFS(E1555&lt;28, "17-27",
AND(E1555&gt;27, E1555&lt;38), "28-37",
AND(E1555&gt;37, E1555 &lt;48), "38-47",
AND(E1555&gt;47, E1555 &lt;58), "48-57",
AND(E1555&gt;57, E1555&lt;68), "58-67",
AND(E1555&gt;67, E1555&lt;78), "68-77",
E1555&gt;77,"Above than 77")</f>
        <v>48-57</v>
      </c>
      <c r="E1555">
        <v>52</v>
      </c>
      <c r="F1555" s="1">
        <v>25595</v>
      </c>
      <c r="G1555" s="1" t="str">
        <f>VLOOKUP(H1555,Table7[#All], 2, FALSE)</f>
        <v>Massachusetts</v>
      </c>
      <c r="H1555" s="2" t="s">
        <v>14</v>
      </c>
      <c r="I1555" s="2" t="s">
        <v>15</v>
      </c>
      <c r="J1555" s="2" t="s">
        <v>40</v>
      </c>
      <c r="K1555" s="2" t="s">
        <v>8</v>
      </c>
      <c r="L1555" s="2" t="s">
        <v>9</v>
      </c>
      <c r="M1555" s="2" t="s">
        <v>20</v>
      </c>
      <c r="N1555" s="2" t="s">
        <v>11</v>
      </c>
      <c r="O1555" s="2" t="s">
        <v>12</v>
      </c>
      <c r="P1555" s="2" t="s">
        <v>35</v>
      </c>
      <c r="Q1555" s="2" t="s">
        <v>23</v>
      </c>
      <c r="R1555" s="2" t="s">
        <v>18</v>
      </c>
      <c r="S1555">
        <v>4</v>
      </c>
    </row>
    <row r="1556" spans="1:19" x14ac:dyDescent="0.3">
      <c r="A1556">
        <v>2282</v>
      </c>
      <c r="B1556">
        <f>YEAR(Cleaned_HR_Data_Analysis__2[[#This Row],[Joining_Date]])</f>
        <v>2019</v>
      </c>
      <c r="C1556" s="1">
        <v>43580</v>
      </c>
      <c r="D1556" s="1" t="str" cm="1">
        <f t="array" ref="D1556">_xlfn.IFS(E1556&lt;28, "17-27",
AND(E1556&gt;27, E1556&lt;38), "28-37",
AND(E1556&gt;37, E1556 &lt;48), "38-47",
AND(E1556&gt;47, E1556 &lt;58), "48-57",
AND(E1556&gt;57, E1556&lt;68), "58-67",
AND(E1556&gt;67, E1556&lt;78), "68-77",
E1556&gt;77,"Above than 77")</f>
        <v>48-57</v>
      </c>
      <c r="E1556">
        <v>52</v>
      </c>
      <c r="F1556" s="1">
        <v>24681</v>
      </c>
      <c r="G1556" s="1" t="str">
        <f>VLOOKUP(H1556,Table7[#All], 2, FALSE)</f>
        <v>Massachusetts</v>
      </c>
      <c r="H1556" s="2" t="s">
        <v>14</v>
      </c>
      <c r="I1556" s="2" t="s">
        <v>22</v>
      </c>
      <c r="J1556" s="2" t="s">
        <v>31</v>
      </c>
      <c r="K1556" s="2" t="s">
        <v>91</v>
      </c>
      <c r="L1556" s="2" t="s">
        <v>9</v>
      </c>
      <c r="M1556" s="2" t="s">
        <v>20</v>
      </c>
      <c r="N1556" s="2" t="s">
        <v>19</v>
      </c>
      <c r="O1556" s="2" t="s">
        <v>12</v>
      </c>
      <c r="P1556" s="2" t="s">
        <v>55</v>
      </c>
      <c r="Q1556" s="2" t="s">
        <v>46</v>
      </c>
      <c r="R1556" s="2" t="s">
        <v>18</v>
      </c>
      <c r="S1556">
        <v>5</v>
      </c>
    </row>
    <row r="1557" spans="1:19" x14ac:dyDescent="0.3">
      <c r="A1557">
        <v>3872</v>
      </c>
      <c r="B1557">
        <f>YEAR(Cleaned_HR_Data_Analysis__2[[#This Row],[Joining_Date]])</f>
        <v>2018</v>
      </c>
      <c r="C1557" s="1">
        <v>43322</v>
      </c>
      <c r="D1557" s="1" t="str" cm="1">
        <f t="array" ref="D1557">_xlfn.IFS(E1557&lt;28, "17-27",
AND(E1557&gt;27, E1557&lt;38), "28-37",
AND(E1557&gt;37, E1557 &lt;48), "38-47",
AND(E1557&gt;47, E1557 &lt;58), "48-57",
AND(E1557&gt;57, E1557&lt;68), "58-67",
AND(E1557&gt;67, E1557&lt;78), "68-77",
E1557&gt;77,"Above than 77")</f>
        <v>48-57</v>
      </c>
      <c r="E1557">
        <v>52</v>
      </c>
      <c r="F1557" s="1">
        <v>24115</v>
      </c>
      <c r="G1557" s="1" t="str">
        <f>VLOOKUP(H1557,Table7[#All], 2, FALSE)</f>
        <v>Massachusetts</v>
      </c>
      <c r="H1557" s="2" t="s">
        <v>14</v>
      </c>
      <c r="I1557" s="2" t="s">
        <v>15</v>
      </c>
      <c r="J1557" s="2" t="s">
        <v>31</v>
      </c>
      <c r="K1557" s="2" t="s">
        <v>70</v>
      </c>
      <c r="L1557" s="2" t="s">
        <v>9</v>
      </c>
      <c r="M1557" s="2" t="s">
        <v>10</v>
      </c>
      <c r="N1557" s="2" t="s">
        <v>26</v>
      </c>
      <c r="O1557" s="2" t="s">
        <v>53</v>
      </c>
      <c r="P1557" s="2" t="s">
        <v>42</v>
      </c>
      <c r="Q1557" s="2" t="s">
        <v>46</v>
      </c>
      <c r="R1557" s="2" t="s">
        <v>18</v>
      </c>
      <c r="S1557">
        <v>5</v>
      </c>
    </row>
    <row r="1558" spans="1:19" x14ac:dyDescent="0.3">
      <c r="A1558">
        <v>2267</v>
      </c>
      <c r="B1558">
        <f>YEAR(Cleaned_HR_Data_Analysis__2[[#This Row],[Joining_Date]])</f>
        <v>2023</v>
      </c>
      <c r="C1558" s="1">
        <v>45020</v>
      </c>
      <c r="D1558" s="1" t="str" cm="1">
        <f t="array" ref="D1558">_xlfn.IFS(E1558&lt;28, "17-27",
AND(E1558&gt;27, E1558&lt;38), "28-37",
AND(E1558&gt;37, E1558 &lt;48), "38-47",
AND(E1558&gt;47, E1558 &lt;58), "48-57",
AND(E1558&gt;57, E1558&lt;68), "58-67",
AND(E1558&gt;67, E1558&lt;78), "68-77",
E1558&gt;77,"Above than 77")</f>
        <v>48-57</v>
      </c>
      <c r="E1558">
        <v>52</v>
      </c>
      <c r="F1558" s="1">
        <v>26102</v>
      </c>
      <c r="G1558" s="1" t="str">
        <f>VLOOKUP(H1558,Table7[#All], 2, FALSE)</f>
        <v>Connecticut</v>
      </c>
      <c r="H1558" s="2" t="s">
        <v>36</v>
      </c>
      <c r="I1558" s="2" t="s">
        <v>15</v>
      </c>
      <c r="J1558" s="2" t="s">
        <v>40</v>
      </c>
      <c r="K1558" s="2" t="s">
        <v>70</v>
      </c>
      <c r="L1558" s="2" t="s">
        <v>9</v>
      </c>
      <c r="M1558" s="2" t="s">
        <v>25</v>
      </c>
      <c r="N1558" s="2" t="s">
        <v>19</v>
      </c>
      <c r="O1558" s="2" t="s">
        <v>53</v>
      </c>
      <c r="P1558" s="2" t="s">
        <v>32</v>
      </c>
      <c r="Q1558" s="2" t="s">
        <v>23</v>
      </c>
      <c r="R1558" s="2" t="s">
        <v>18</v>
      </c>
      <c r="S1558">
        <v>3</v>
      </c>
    </row>
    <row r="1559" spans="1:19" x14ac:dyDescent="0.3">
      <c r="A1559">
        <v>2225</v>
      </c>
      <c r="B1559">
        <f>YEAR(Cleaned_HR_Data_Analysis__2[[#This Row],[Joining_Date]])</f>
        <v>2023</v>
      </c>
      <c r="C1559" s="1">
        <v>45047</v>
      </c>
      <c r="D1559" s="1" t="str" cm="1">
        <f t="array" ref="D1559">_xlfn.IFS(E1559&lt;28, "17-27",
AND(E1559&gt;27, E1559&lt;38), "28-37",
AND(E1559&gt;37, E1559 &lt;48), "38-47",
AND(E1559&gt;47, E1559 &lt;58), "48-57",
AND(E1559&gt;57, E1559&lt;68), "58-67",
AND(E1559&gt;67, E1559&lt;78), "68-77",
E1559&gt;77,"Above than 77")</f>
        <v>48-57</v>
      </c>
      <c r="E1559">
        <v>52</v>
      </c>
      <c r="F1559" s="1">
        <v>26270</v>
      </c>
      <c r="G1559" s="1" t="str">
        <f>VLOOKUP(H1559,Table7[#All], 2, FALSE)</f>
        <v>Massachusetts</v>
      </c>
      <c r="H1559" s="2" t="s">
        <v>14</v>
      </c>
      <c r="I1559" s="2" t="s">
        <v>22</v>
      </c>
      <c r="J1559" s="2" t="s">
        <v>40</v>
      </c>
      <c r="K1559" s="2" t="s">
        <v>103</v>
      </c>
      <c r="L1559" s="2" t="s">
        <v>9</v>
      </c>
      <c r="M1559" s="2" t="s">
        <v>20</v>
      </c>
      <c r="N1559" s="2" t="s">
        <v>19</v>
      </c>
      <c r="O1559" s="2" t="s">
        <v>53</v>
      </c>
      <c r="P1559" s="2" t="s">
        <v>42</v>
      </c>
      <c r="Q1559" s="2" t="s">
        <v>37</v>
      </c>
      <c r="R1559" s="2" t="s">
        <v>41</v>
      </c>
      <c r="S1559">
        <v>2</v>
      </c>
    </row>
    <row r="1560" spans="1:19" x14ac:dyDescent="0.3">
      <c r="A1560">
        <v>2218</v>
      </c>
      <c r="B1560">
        <f>YEAR(Cleaned_HR_Data_Analysis__2[[#This Row],[Joining_Date]])</f>
        <v>2019</v>
      </c>
      <c r="C1560" s="1">
        <v>43517</v>
      </c>
      <c r="D1560" s="1" t="str" cm="1">
        <f t="array" ref="D1560">_xlfn.IFS(E1560&lt;28, "17-27",
AND(E1560&gt;27, E1560&lt;38), "28-37",
AND(E1560&gt;37, E1560 &lt;48), "38-47",
AND(E1560&gt;47, E1560 &lt;58), "48-57",
AND(E1560&gt;57, E1560&lt;68), "58-67",
AND(E1560&gt;67, E1560&lt;78), "68-77",
E1560&gt;77,"Above than 77")</f>
        <v>48-57</v>
      </c>
      <c r="E1560">
        <v>52</v>
      </c>
      <c r="F1560" s="1">
        <v>24784</v>
      </c>
      <c r="G1560" s="1" t="str">
        <f>VLOOKUP(H1560,Table7[#All], 2, FALSE)</f>
        <v>Massachusetts</v>
      </c>
      <c r="H1560" s="2" t="s">
        <v>14</v>
      </c>
      <c r="I1560" s="2" t="s">
        <v>15</v>
      </c>
      <c r="J1560" s="2" t="s">
        <v>17</v>
      </c>
      <c r="K1560" s="2" t="s">
        <v>103</v>
      </c>
      <c r="L1560" s="2" t="s">
        <v>9</v>
      </c>
      <c r="M1560" s="2" t="s">
        <v>20</v>
      </c>
      <c r="N1560" s="2" t="s">
        <v>26</v>
      </c>
      <c r="O1560" s="2" t="s">
        <v>53</v>
      </c>
      <c r="P1560" s="2" t="s">
        <v>35</v>
      </c>
      <c r="Q1560" s="2" t="s">
        <v>46</v>
      </c>
      <c r="R1560" s="2" t="s">
        <v>41</v>
      </c>
      <c r="S1560">
        <v>1</v>
      </c>
    </row>
    <row r="1561" spans="1:19" x14ac:dyDescent="0.3">
      <c r="A1561">
        <v>1632</v>
      </c>
      <c r="B1561">
        <f>YEAR(Cleaned_HR_Data_Analysis__2[[#This Row],[Joining_Date]])</f>
        <v>2022</v>
      </c>
      <c r="C1561" s="1">
        <v>44575</v>
      </c>
      <c r="D1561" s="1" t="str" cm="1">
        <f t="array" ref="D1561">_xlfn.IFS(E1561&lt;28, "17-27",
AND(E1561&gt;27, E1561&lt;38), "28-37",
AND(E1561&gt;37, E1561 &lt;48), "38-47",
AND(E1561&gt;47, E1561 &lt;58), "48-57",
AND(E1561&gt;57, E1561&lt;68), "58-67",
AND(E1561&gt;67, E1561&lt;78), "68-77",
E1561&gt;77,"Above than 77")</f>
        <v>48-57</v>
      </c>
      <c r="E1561">
        <v>52</v>
      </c>
      <c r="F1561" s="1">
        <v>25786</v>
      </c>
      <c r="G1561" s="1" t="str">
        <f>VLOOKUP(H1561,Table7[#All], 2, FALSE)</f>
        <v>Massachusetts</v>
      </c>
      <c r="H1561" s="2" t="s">
        <v>14</v>
      </c>
      <c r="I1561" s="2" t="s">
        <v>15</v>
      </c>
      <c r="J1561" s="2" t="s">
        <v>17</v>
      </c>
      <c r="K1561" s="2" t="s">
        <v>97</v>
      </c>
      <c r="L1561" s="2" t="s">
        <v>9</v>
      </c>
      <c r="M1561" s="2" t="s">
        <v>25</v>
      </c>
      <c r="N1561" s="2" t="s">
        <v>11</v>
      </c>
      <c r="O1561" s="2" t="s">
        <v>53</v>
      </c>
      <c r="P1561" s="2" t="s">
        <v>35</v>
      </c>
      <c r="Q1561" s="2" t="s">
        <v>37</v>
      </c>
      <c r="R1561" s="2" t="s">
        <v>18</v>
      </c>
      <c r="S1561">
        <v>4</v>
      </c>
    </row>
    <row r="1562" spans="1:19" x14ac:dyDescent="0.3">
      <c r="A1562">
        <v>2698</v>
      </c>
      <c r="B1562">
        <f>YEAR(Cleaned_HR_Data_Analysis__2[[#This Row],[Joining_Date]])</f>
        <v>2021</v>
      </c>
      <c r="C1562" s="1">
        <v>44290</v>
      </c>
      <c r="D1562" s="1" t="str" cm="1">
        <f t="array" ref="D1562">_xlfn.IFS(E1562&lt;28, "17-27",
AND(E1562&gt;27, E1562&lt;38), "28-37",
AND(E1562&gt;37, E1562 &lt;48), "38-47",
AND(E1562&gt;47, E1562 &lt;58), "48-57",
AND(E1562&gt;57, E1562&lt;68), "58-67",
AND(E1562&gt;67, E1562&lt;78), "68-77",
E1562&gt;77,"Above than 77")</f>
        <v>48-57</v>
      </c>
      <c r="E1562">
        <v>52</v>
      </c>
      <c r="F1562" s="1">
        <v>25235</v>
      </c>
      <c r="G1562" s="1" t="str">
        <f>VLOOKUP(H1562,Table7[#All], 2, FALSE)</f>
        <v>New York</v>
      </c>
      <c r="H1562" s="2" t="s">
        <v>118</v>
      </c>
      <c r="I1562" s="2" t="s">
        <v>22</v>
      </c>
      <c r="J1562" s="2" t="s">
        <v>31</v>
      </c>
      <c r="K1562" s="2" t="s">
        <v>24</v>
      </c>
      <c r="L1562" s="2" t="s">
        <v>9</v>
      </c>
      <c r="M1562" s="2" t="s">
        <v>10</v>
      </c>
      <c r="N1562" s="2" t="s">
        <v>26</v>
      </c>
      <c r="O1562" s="2" t="s">
        <v>27</v>
      </c>
      <c r="P1562" s="2" t="s">
        <v>35</v>
      </c>
      <c r="Q1562" s="2" t="s">
        <v>23</v>
      </c>
      <c r="R1562" s="2" t="s">
        <v>18</v>
      </c>
      <c r="S1562">
        <v>4</v>
      </c>
    </row>
    <row r="1563" spans="1:19" x14ac:dyDescent="0.3">
      <c r="A1563">
        <v>3454</v>
      </c>
      <c r="B1563">
        <f>YEAR(Cleaned_HR_Data_Analysis__2[[#This Row],[Joining_Date]])</f>
        <v>2022</v>
      </c>
      <c r="C1563" s="1">
        <v>44815</v>
      </c>
      <c r="D1563" s="1" t="str" cm="1">
        <f t="array" ref="D1563">_xlfn.IFS(E1563&lt;28, "17-27",
AND(E1563&gt;27, E1563&lt;38), "28-37",
AND(E1563&gt;37, E1563 &lt;48), "38-47",
AND(E1563&gt;47, E1563 &lt;58), "48-57",
AND(E1563&gt;57, E1563&lt;68), "58-67",
AND(E1563&gt;67, E1563&lt;78), "68-77",
E1563&gt;77,"Above than 77")</f>
        <v>48-57</v>
      </c>
      <c r="E1563">
        <v>52</v>
      </c>
      <c r="F1563" s="1">
        <v>25597</v>
      </c>
      <c r="G1563" s="1" t="str">
        <f>VLOOKUP(H1563,Table7[#All], 2, FALSE)</f>
        <v>Kentucky</v>
      </c>
      <c r="H1563" s="2" t="s">
        <v>51</v>
      </c>
      <c r="I1563" s="2" t="s">
        <v>22</v>
      </c>
      <c r="J1563" s="2" t="s">
        <v>34</v>
      </c>
      <c r="K1563" s="2" t="s">
        <v>24</v>
      </c>
      <c r="L1563" s="2" t="s">
        <v>9</v>
      </c>
      <c r="M1563" s="2" t="s">
        <v>25</v>
      </c>
      <c r="N1563" s="2" t="s">
        <v>11</v>
      </c>
      <c r="O1563" s="2" t="s">
        <v>53</v>
      </c>
      <c r="P1563" s="2" t="s">
        <v>32</v>
      </c>
      <c r="Q1563" s="2" t="s">
        <v>23</v>
      </c>
      <c r="R1563" s="2" t="s">
        <v>56</v>
      </c>
      <c r="S1563">
        <v>4</v>
      </c>
    </row>
    <row r="1564" spans="1:19" x14ac:dyDescent="0.3">
      <c r="A1564">
        <v>2663</v>
      </c>
      <c r="B1564">
        <f>YEAR(Cleaned_HR_Data_Analysis__2[[#This Row],[Joining_Date]])</f>
        <v>2023</v>
      </c>
      <c r="C1564" s="1">
        <v>44932</v>
      </c>
      <c r="D1564" s="1" t="str" cm="1">
        <f t="array" ref="D1564">_xlfn.IFS(E1564&lt;28, "17-27",
AND(E1564&gt;27, E1564&lt;38), "28-37",
AND(E1564&gt;37, E1564 &lt;48), "38-47",
AND(E1564&gt;47, E1564 &lt;58), "48-57",
AND(E1564&gt;57, E1564&lt;68), "58-67",
AND(E1564&gt;67, E1564&lt;78), "68-77",
E1564&gt;77,"Above than 77")</f>
        <v>48-57</v>
      </c>
      <c r="E1564">
        <v>52</v>
      </c>
      <c r="F1564" s="1">
        <v>26135</v>
      </c>
      <c r="G1564" s="1" t="str">
        <f>VLOOKUP(H1564,Table7[#All], 2, FALSE)</f>
        <v>Idaho</v>
      </c>
      <c r="H1564" s="2" t="s">
        <v>111</v>
      </c>
      <c r="I1564" s="2" t="s">
        <v>22</v>
      </c>
      <c r="J1564" s="2" t="s">
        <v>40</v>
      </c>
      <c r="K1564" s="2" t="s">
        <v>24</v>
      </c>
      <c r="L1564" s="2" t="s">
        <v>9</v>
      </c>
      <c r="M1564" s="2" t="s">
        <v>20</v>
      </c>
      <c r="N1564" s="2" t="s">
        <v>26</v>
      </c>
      <c r="O1564" s="2" t="s">
        <v>27</v>
      </c>
      <c r="P1564" s="2" t="s">
        <v>49</v>
      </c>
      <c r="Q1564" s="2" t="s">
        <v>23</v>
      </c>
      <c r="R1564" s="2" t="s">
        <v>18</v>
      </c>
      <c r="S1564">
        <v>4</v>
      </c>
    </row>
    <row r="1565" spans="1:19" x14ac:dyDescent="0.3">
      <c r="A1565">
        <v>3518</v>
      </c>
      <c r="B1565">
        <f>YEAR(Cleaned_HR_Data_Analysis__2[[#This Row],[Joining_Date]])</f>
        <v>2021</v>
      </c>
      <c r="C1565" s="1">
        <v>44296</v>
      </c>
      <c r="D1565" s="1" t="str" cm="1">
        <f t="array" ref="D1565">_xlfn.IFS(E1565&lt;28, "17-27",
AND(E1565&gt;27, E1565&lt;38), "28-37",
AND(E1565&gt;37, E1565 &lt;48), "38-47",
AND(E1565&gt;47, E1565 &lt;58), "48-57",
AND(E1565&gt;57, E1565&lt;68), "58-67",
AND(E1565&gt;67, E1565&lt;78), "68-77",
E1565&gt;77,"Above than 77")</f>
        <v>48-57</v>
      </c>
      <c r="E1565">
        <v>52</v>
      </c>
      <c r="F1565" s="1">
        <v>25347</v>
      </c>
      <c r="G1565" s="1" t="str">
        <f>VLOOKUP(H1565,Table7[#All], 2, FALSE)</f>
        <v>California</v>
      </c>
      <c r="H1565" s="2" t="s">
        <v>39</v>
      </c>
      <c r="I1565" s="2" t="s">
        <v>15</v>
      </c>
      <c r="J1565" s="2" t="s">
        <v>34</v>
      </c>
      <c r="K1565" s="2" t="s">
        <v>24</v>
      </c>
      <c r="L1565" s="2" t="s">
        <v>9</v>
      </c>
      <c r="M1565" s="2" t="s">
        <v>10</v>
      </c>
      <c r="N1565" s="2" t="s">
        <v>26</v>
      </c>
      <c r="O1565" s="2" t="s">
        <v>27</v>
      </c>
      <c r="P1565" s="2" t="s">
        <v>38</v>
      </c>
      <c r="Q1565" s="2" t="s">
        <v>23</v>
      </c>
      <c r="R1565" s="2" t="s">
        <v>18</v>
      </c>
      <c r="S1565">
        <v>2</v>
      </c>
    </row>
    <row r="1566" spans="1:19" x14ac:dyDescent="0.3">
      <c r="A1566">
        <v>3765</v>
      </c>
      <c r="B1566">
        <f>YEAR(Cleaned_HR_Data_Analysis__2[[#This Row],[Joining_Date]])</f>
        <v>2022</v>
      </c>
      <c r="C1566" s="1">
        <v>44806</v>
      </c>
      <c r="D1566" s="1" t="str" cm="1">
        <f t="array" ref="D1566">_xlfn.IFS(E1566&lt;28, "17-27",
AND(E1566&gt;27, E1566&lt;38), "28-37",
AND(E1566&gt;37, E1566 &lt;48), "38-47",
AND(E1566&gt;47, E1566 &lt;58), "48-57",
AND(E1566&gt;57, E1566&lt;68), "58-67",
AND(E1566&gt;67, E1566&lt;78), "68-77",
E1566&gt;77,"Above than 77")</f>
        <v>48-57</v>
      </c>
      <c r="E1566">
        <v>53</v>
      </c>
      <c r="F1566" s="1">
        <v>25384</v>
      </c>
      <c r="G1566" s="1" t="str">
        <f>VLOOKUP(H1566,Table7[#All], 2, FALSE)</f>
        <v>Massachusetts</v>
      </c>
      <c r="H1566" s="2" t="s">
        <v>14</v>
      </c>
      <c r="I1566" s="2" t="s">
        <v>15</v>
      </c>
      <c r="J1566" s="2" t="s">
        <v>17</v>
      </c>
      <c r="K1566" s="2" t="s">
        <v>64</v>
      </c>
      <c r="L1566" s="2" t="s">
        <v>9</v>
      </c>
      <c r="M1566" s="2" t="s">
        <v>20</v>
      </c>
      <c r="N1566" s="2" t="s">
        <v>19</v>
      </c>
      <c r="O1566" s="2" t="s">
        <v>12</v>
      </c>
      <c r="P1566" s="2" t="s">
        <v>63</v>
      </c>
      <c r="Q1566" s="2" t="s">
        <v>23</v>
      </c>
      <c r="R1566" s="2" t="s">
        <v>18</v>
      </c>
      <c r="S1566">
        <v>1</v>
      </c>
    </row>
    <row r="1567" spans="1:19" x14ac:dyDescent="0.3">
      <c r="A1567">
        <v>3670</v>
      </c>
      <c r="B1567">
        <f>YEAR(Cleaned_HR_Data_Analysis__2[[#This Row],[Joining_Date]])</f>
        <v>2022</v>
      </c>
      <c r="C1567" s="1">
        <v>44784</v>
      </c>
      <c r="D1567" s="1" t="str" cm="1">
        <f t="array" ref="D1567">_xlfn.IFS(E1567&lt;28, "17-27",
AND(E1567&gt;27, E1567&lt;38), "28-37",
AND(E1567&gt;37, E1567 &lt;48), "38-47",
AND(E1567&gt;47, E1567 &lt;58), "48-57",
AND(E1567&gt;57, E1567&lt;68), "58-67",
AND(E1567&gt;67, E1567&lt;78), "68-77",
E1567&gt;77,"Above than 77")</f>
        <v>48-57</v>
      </c>
      <c r="E1567">
        <v>53</v>
      </c>
      <c r="F1567" s="1">
        <v>25220</v>
      </c>
      <c r="G1567" s="1" t="str">
        <f>VLOOKUP(H1567,Table7[#All], 2, FALSE)</f>
        <v>Massachusetts</v>
      </c>
      <c r="H1567" s="2" t="s">
        <v>14</v>
      </c>
      <c r="I1567" s="2" t="s">
        <v>15</v>
      </c>
      <c r="J1567" s="2" t="s">
        <v>17</v>
      </c>
      <c r="K1567" s="2" t="s">
        <v>64</v>
      </c>
      <c r="L1567" s="2" t="s">
        <v>9</v>
      </c>
      <c r="M1567" s="2" t="s">
        <v>25</v>
      </c>
      <c r="N1567" s="2" t="s">
        <v>19</v>
      </c>
      <c r="O1567" s="2" t="s">
        <v>12</v>
      </c>
      <c r="P1567" s="2" t="s">
        <v>67</v>
      </c>
      <c r="Q1567" s="2" t="s">
        <v>23</v>
      </c>
      <c r="R1567" s="2" t="s">
        <v>56</v>
      </c>
      <c r="S1567">
        <v>2</v>
      </c>
    </row>
    <row r="1568" spans="1:19" x14ac:dyDescent="0.3">
      <c r="A1568">
        <v>3047</v>
      </c>
      <c r="B1568">
        <f>YEAR(Cleaned_HR_Data_Analysis__2[[#This Row],[Joining_Date]])</f>
        <v>2018</v>
      </c>
      <c r="C1568" s="1">
        <v>43355</v>
      </c>
      <c r="D1568" s="1" t="str" cm="1">
        <f t="array" ref="D1568">_xlfn.IFS(E1568&lt;28, "17-27",
AND(E1568&gt;27, E1568&lt;38), "28-37",
AND(E1568&gt;37, E1568 &lt;48), "38-47",
AND(E1568&gt;47, E1568 &lt;58), "48-57",
AND(E1568&gt;57, E1568&lt;68), "58-67",
AND(E1568&gt;67, E1568&lt;78), "68-77",
E1568&gt;77,"Above than 77")</f>
        <v>48-57</v>
      </c>
      <c r="E1568">
        <v>53</v>
      </c>
      <c r="F1568" s="1">
        <v>24018</v>
      </c>
      <c r="G1568" s="1" t="str">
        <f>VLOOKUP(H1568,Table7[#All], 2, FALSE)</f>
        <v>Massachusetts</v>
      </c>
      <c r="H1568" s="2" t="s">
        <v>14</v>
      </c>
      <c r="I1568" s="2" t="s">
        <v>15</v>
      </c>
      <c r="J1568" s="2" t="s">
        <v>34</v>
      </c>
      <c r="K1568" s="2" t="s">
        <v>64</v>
      </c>
      <c r="L1568" s="2" t="s">
        <v>9</v>
      </c>
      <c r="M1568" s="2" t="s">
        <v>25</v>
      </c>
      <c r="N1568" s="2" t="s">
        <v>11</v>
      </c>
      <c r="O1568" s="2" t="s">
        <v>12</v>
      </c>
      <c r="P1568" s="2" t="s">
        <v>42</v>
      </c>
      <c r="Q1568" s="2" t="s">
        <v>16</v>
      </c>
      <c r="R1568" s="2" t="s">
        <v>41</v>
      </c>
      <c r="S1568">
        <v>2</v>
      </c>
    </row>
    <row r="1569" spans="1:19" x14ac:dyDescent="0.3">
      <c r="A1569">
        <v>2865</v>
      </c>
      <c r="B1569">
        <f>YEAR(Cleaned_HR_Data_Analysis__2[[#This Row],[Joining_Date]])</f>
        <v>2022</v>
      </c>
      <c r="C1569" s="1">
        <v>44691</v>
      </c>
      <c r="D1569" s="1" t="str" cm="1">
        <f t="array" ref="D1569">_xlfn.IFS(E1569&lt;28, "17-27",
AND(E1569&gt;27, E1569&lt;38), "28-37",
AND(E1569&gt;37, E1569 &lt;48), "38-47",
AND(E1569&gt;47, E1569 &lt;58), "48-57",
AND(E1569&gt;57, E1569&lt;68), "58-67",
AND(E1569&gt;67, E1569&lt;78), "68-77",
E1569&gt;77,"Above than 77")</f>
        <v>48-57</v>
      </c>
      <c r="E1569">
        <v>53</v>
      </c>
      <c r="F1569" s="1">
        <v>25442</v>
      </c>
      <c r="G1569" s="1" t="str">
        <f>VLOOKUP(H1569,Table7[#All], 2, FALSE)</f>
        <v>Massachusetts</v>
      </c>
      <c r="H1569" s="2" t="s">
        <v>14</v>
      </c>
      <c r="I1569" s="2" t="s">
        <v>15</v>
      </c>
      <c r="J1569" s="2" t="s">
        <v>40</v>
      </c>
      <c r="K1569" s="2" t="s">
        <v>64</v>
      </c>
      <c r="L1569" s="2" t="s">
        <v>66</v>
      </c>
      <c r="M1569" s="2" t="s">
        <v>20</v>
      </c>
      <c r="N1569" s="2" t="s">
        <v>11</v>
      </c>
      <c r="O1569" s="2" t="s">
        <v>12</v>
      </c>
      <c r="P1569" s="2" t="s">
        <v>32</v>
      </c>
      <c r="Q1569" s="2" t="s">
        <v>16</v>
      </c>
      <c r="R1569" s="2" t="s">
        <v>18</v>
      </c>
      <c r="S1569">
        <v>2</v>
      </c>
    </row>
    <row r="1570" spans="1:19" x14ac:dyDescent="0.3">
      <c r="A1570">
        <v>2785</v>
      </c>
      <c r="B1570">
        <f>YEAR(Cleaned_HR_Data_Analysis__2[[#This Row],[Joining_Date]])</f>
        <v>2020</v>
      </c>
      <c r="C1570" s="1">
        <v>44149</v>
      </c>
      <c r="D1570" s="1" t="str" cm="1">
        <f t="array" ref="D1570">_xlfn.IFS(E1570&lt;28, "17-27",
AND(E1570&gt;27, E1570&lt;38), "28-37",
AND(E1570&gt;37, E1570 &lt;48), "38-47",
AND(E1570&gt;47, E1570 &lt;58), "48-57",
AND(E1570&gt;57, E1570&lt;68), "58-67",
AND(E1570&gt;67, E1570&lt;78), "68-77",
E1570&gt;77,"Above than 77")</f>
        <v>48-57</v>
      </c>
      <c r="E1570">
        <v>53</v>
      </c>
      <c r="F1570" s="1">
        <v>24659</v>
      </c>
      <c r="G1570" s="1" t="str">
        <f>VLOOKUP(H1570,Table7[#All], 2, FALSE)</f>
        <v>Massachusetts</v>
      </c>
      <c r="H1570" s="2" t="s">
        <v>14</v>
      </c>
      <c r="I1570" s="2" t="s">
        <v>22</v>
      </c>
      <c r="J1570" s="2" t="s">
        <v>17</v>
      </c>
      <c r="K1570" s="2" t="s">
        <v>64</v>
      </c>
      <c r="L1570" s="2" t="s">
        <v>9</v>
      </c>
      <c r="M1570" s="2" t="s">
        <v>25</v>
      </c>
      <c r="N1570" s="2" t="s">
        <v>11</v>
      </c>
      <c r="O1570" s="2" t="s">
        <v>12</v>
      </c>
      <c r="P1570" s="2" t="s">
        <v>35</v>
      </c>
      <c r="Q1570" s="2" t="s">
        <v>23</v>
      </c>
      <c r="R1570" s="2" t="s">
        <v>18</v>
      </c>
      <c r="S1570">
        <v>1</v>
      </c>
    </row>
    <row r="1571" spans="1:19" x14ac:dyDescent="0.3">
      <c r="A1571">
        <v>2163</v>
      </c>
      <c r="B1571">
        <f>YEAR(Cleaned_HR_Data_Analysis__2[[#This Row],[Joining_Date]])</f>
        <v>2019</v>
      </c>
      <c r="C1571" s="1">
        <v>43550</v>
      </c>
      <c r="D1571" s="1" t="str" cm="1">
        <f t="array" ref="D1571">_xlfn.IFS(E1571&lt;28, "17-27",
AND(E1571&gt;27, E1571&lt;38), "28-37",
AND(E1571&gt;37, E1571 &lt;48), "38-47",
AND(E1571&gt;47, E1571 &lt;58), "48-57",
AND(E1571&gt;57, E1571&lt;68), "58-67",
AND(E1571&gt;67, E1571&lt;78), "68-77",
E1571&gt;77,"Above than 77")</f>
        <v>48-57</v>
      </c>
      <c r="E1571">
        <v>53</v>
      </c>
      <c r="F1571" s="1">
        <v>24430</v>
      </c>
      <c r="G1571" s="1" t="str">
        <f>VLOOKUP(H1571,Table7[#All], 2, FALSE)</f>
        <v>Massachusetts</v>
      </c>
      <c r="H1571" s="2" t="s">
        <v>14</v>
      </c>
      <c r="I1571" s="2" t="s">
        <v>15</v>
      </c>
      <c r="J1571" s="2" t="s">
        <v>34</v>
      </c>
      <c r="K1571" s="2" t="s">
        <v>64</v>
      </c>
      <c r="L1571" s="2" t="s">
        <v>9</v>
      </c>
      <c r="M1571" s="2" t="s">
        <v>10</v>
      </c>
      <c r="N1571" s="2" t="s">
        <v>26</v>
      </c>
      <c r="O1571" s="2" t="s">
        <v>12</v>
      </c>
      <c r="P1571" s="2" t="s">
        <v>28</v>
      </c>
      <c r="Q1571" s="2" t="s">
        <v>16</v>
      </c>
      <c r="R1571" s="2" t="s">
        <v>41</v>
      </c>
      <c r="S1571">
        <v>5</v>
      </c>
    </row>
    <row r="1572" spans="1:19" x14ac:dyDescent="0.3">
      <c r="A1572">
        <v>2070</v>
      </c>
      <c r="B1572">
        <f>YEAR(Cleaned_HR_Data_Analysis__2[[#This Row],[Joining_Date]])</f>
        <v>2022</v>
      </c>
      <c r="C1572" s="1">
        <v>44744</v>
      </c>
      <c r="D1572" s="1" t="str" cm="1">
        <f t="array" ref="D1572">_xlfn.IFS(E1572&lt;28, "17-27",
AND(E1572&gt;27, E1572&lt;38), "28-37",
AND(E1572&gt;37, E1572 &lt;48), "38-47",
AND(E1572&gt;47, E1572 &lt;58), "48-57",
AND(E1572&gt;57, E1572&lt;68), "58-67",
AND(E1572&gt;67, E1572&lt;78), "68-77",
E1572&gt;77,"Above than 77")</f>
        <v>48-57</v>
      </c>
      <c r="E1572">
        <v>53</v>
      </c>
      <c r="F1572" s="1">
        <v>25254</v>
      </c>
      <c r="G1572" s="1" t="str">
        <f>VLOOKUP(H1572,Table7[#All], 2, FALSE)</f>
        <v>Massachusetts</v>
      </c>
      <c r="H1572" s="2" t="s">
        <v>14</v>
      </c>
      <c r="I1572" s="2" t="s">
        <v>15</v>
      </c>
      <c r="J1572" s="2" t="s">
        <v>40</v>
      </c>
      <c r="K1572" s="2" t="s">
        <v>64</v>
      </c>
      <c r="L1572" s="2" t="s">
        <v>9</v>
      </c>
      <c r="M1572" s="2" t="s">
        <v>10</v>
      </c>
      <c r="N1572" s="2" t="s">
        <v>19</v>
      </c>
      <c r="O1572" s="2" t="s">
        <v>12</v>
      </c>
      <c r="P1572" s="2" t="s">
        <v>35</v>
      </c>
      <c r="Q1572" s="2" t="s">
        <v>16</v>
      </c>
      <c r="R1572" s="2" t="s">
        <v>18</v>
      </c>
      <c r="S1572">
        <v>4</v>
      </c>
    </row>
    <row r="1573" spans="1:19" x14ac:dyDescent="0.3">
      <c r="A1573">
        <v>2043</v>
      </c>
      <c r="B1573">
        <f>YEAR(Cleaned_HR_Data_Analysis__2[[#This Row],[Joining_Date]])</f>
        <v>2020</v>
      </c>
      <c r="C1573" s="1">
        <v>43909</v>
      </c>
      <c r="D1573" s="1" t="str" cm="1">
        <f t="array" ref="D1573">_xlfn.IFS(E1573&lt;28, "17-27",
AND(E1573&gt;27, E1573&lt;38), "28-37",
AND(E1573&gt;37, E1573 &lt;48), "38-47",
AND(E1573&gt;47, E1573 &lt;58), "48-57",
AND(E1573&gt;57, E1573&lt;68), "58-67",
AND(E1573&gt;67, E1573&lt;78), "68-77",
E1573&gt;77,"Above than 77")</f>
        <v>48-57</v>
      </c>
      <c r="E1573">
        <v>53</v>
      </c>
      <c r="F1573" s="1">
        <v>24736</v>
      </c>
      <c r="G1573" s="1" t="str">
        <f>VLOOKUP(H1573,Table7[#All], 2, FALSE)</f>
        <v>Massachusetts</v>
      </c>
      <c r="H1573" s="2" t="s">
        <v>14</v>
      </c>
      <c r="I1573" s="2" t="s">
        <v>15</v>
      </c>
      <c r="J1573" s="2" t="s">
        <v>34</v>
      </c>
      <c r="K1573" s="2" t="s">
        <v>64</v>
      </c>
      <c r="L1573" s="2" t="s">
        <v>9</v>
      </c>
      <c r="M1573" s="2" t="s">
        <v>10</v>
      </c>
      <c r="N1573" s="2" t="s">
        <v>11</v>
      </c>
      <c r="O1573" s="2" t="s">
        <v>12</v>
      </c>
      <c r="P1573" s="2" t="s">
        <v>92</v>
      </c>
      <c r="Q1573" s="2" t="s">
        <v>16</v>
      </c>
      <c r="R1573" s="2" t="s">
        <v>18</v>
      </c>
      <c r="S1573">
        <v>3</v>
      </c>
    </row>
    <row r="1574" spans="1:19" x14ac:dyDescent="0.3">
      <c r="A1574">
        <v>1555</v>
      </c>
      <c r="B1574">
        <f>YEAR(Cleaned_HR_Data_Analysis__2[[#This Row],[Joining_Date]])</f>
        <v>2019</v>
      </c>
      <c r="C1574" s="1">
        <v>43551</v>
      </c>
      <c r="D1574" s="1" t="str" cm="1">
        <f t="array" ref="D1574">_xlfn.IFS(E1574&lt;28, "17-27",
AND(E1574&gt;27, E1574&lt;38), "28-37",
AND(E1574&gt;37, E1574 &lt;48), "38-47",
AND(E1574&gt;47, E1574 &lt;58), "48-57",
AND(E1574&gt;57, E1574&lt;68), "58-67",
AND(E1574&gt;67, E1574&lt;78), "68-77",
E1574&gt;77,"Above than 77")</f>
        <v>48-57</v>
      </c>
      <c r="E1574">
        <v>53</v>
      </c>
      <c r="F1574" s="1">
        <v>24223</v>
      </c>
      <c r="G1574" s="1" t="str">
        <f>VLOOKUP(H1574,Table7[#All], 2, FALSE)</f>
        <v>Massachusetts</v>
      </c>
      <c r="H1574" s="2" t="s">
        <v>14</v>
      </c>
      <c r="I1574" s="2" t="s">
        <v>15</v>
      </c>
      <c r="J1574" s="2" t="s">
        <v>40</v>
      </c>
      <c r="K1574" s="2" t="s">
        <v>64</v>
      </c>
      <c r="L1574" s="2" t="s">
        <v>9</v>
      </c>
      <c r="M1574" s="2" t="s">
        <v>20</v>
      </c>
      <c r="N1574" s="2" t="s">
        <v>19</v>
      </c>
      <c r="O1574" s="2" t="s">
        <v>12</v>
      </c>
      <c r="P1574" s="2" t="s">
        <v>35</v>
      </c>
      <c r="Q1574" s="2" t="s">
        <v>23</v>
      </c>
      <c r="R1574" s="2" t="s">
        <v>18</v>
      </c>
      <c r="S1574">
        <v>1</v>
      </c>
    </row>
    <row r="1575" spans="1:19" x14ac:dyDescent="0.3">
      <c r="A1575">
        <v>3705</v>
      </c>
      <c r="B1575">
        <f>YEAR(Cleaned_HR_Data_Analysis__2[[#This Row],[Joining_Date]])</f>
        <v>2020</v>
      </c>
      <c r="C1575" s="1">
        <v>44156</v>
      </c>
      <c r="D1575" s="1" t="str" cm="1">
        <f t="array" ref="D1575">_xlfn.IFS(E1575&lt;28, "17-27",
AND(E1575&gt;27, E1575&lt;38), "28-37",
AND(E1575&gt;37, E1575 &lt;48), "38-47",
AND(E1575&gt;47, E1575 &lt;58), "48-57",
AND(E1575&gt;57, E1575&lt;68), "58-67",
AND(E1575&gt;67, E1575&lt;78), "68-77",
E1575&gt;77,"Above than 77")</f>
        <v>48-57</v>
      </c>
      <c r="E1575">
        <v>53</v>
      </c>
      <c r="F1575" s="1">
        <v>24619</v>
      </c>
      <c r="G1575" s="1" t="str">
        <f>VLOOKUP(H1575,Table7[#All], 2, FALSE)</f>
        <v>Massachusetts</v>
      </c>
      <c r="H1575" s="2" t="s">
        <v>14</v>
      </c>
      <c r="I1575" s="2" t="s">
        <v>15</v>
      </c>
      <c r="J1575" s="2" t="s">
        <v>31</v>
      </c>
      <c r="K1575" s="2" t="s">
        <v>8</v>
      </c>
      <c r="L1575" s="2" t="s">
        <v>9</v>
      </c>
      <c r="M1575" s="2" t="s">
        <v>25</v>
      </c>
      <c r="N1575" s="2" t="s">
        <v>19</v>
      </c>
      <c r="O1575" s="2" t="s">
        <v>12</v>
      </c>
      <c r="P1575" s="2" t="s">
        <v>28</v>
      </c>
      <c r="Q1575" s="2" t="s">
        <v>16</v>
      </c>
      <c r="R1575" s="2" t="s">
        <v>41</v>
      </c>
      <c r="S1575">
        <v>1</v>
      </c>
    </row>
    <row r="1576" spans="1:19" x14ac:dyDescent="0.3">
      <c r="A1576">
        <v>3669</v>
      </c>
      <c r="B1576">
        <f>YEAR(Cleaned_HR_Data_Analysis__2[[#This Row],[Joining_Date]])</f>
        <v>2020</v>
      </c>
      <c r="C1576" s="1">
        <v>43918</v>
      </c>
      <c r="D1576" s="1" t="str" cm="1">
        <f t="array" ref="D1576">_xlfn.IFS(E1576&lt;28, "17-27",
AND(E1576&gt;27, E1576&lt;38), "28-37",
AND(E1576&gt;37, E1576 &lt;48), "38-47",
AND(E1576&gt;47, E1576 &lt;58), "48-57",
AND(E1576&gt;57, E1576&lt;68), "58-67",
AND(E1576&gt;67, E1576&lt;78), "68-77",
E1576&gt;77,"Above than 77")</f>
        <v>48-57</v>
      </c>
      <c r="E1576">
        <v>53</v>
      </c>
      <c r="F1576" s="1">
        <v>24488</v>
      </c>
      <c r="G1576" s="1" t="str">
        <f>VLOOKUP(H1576,Table7[#All], 2, FALSE)</f>
        <v>Massachusetts</v>
      </c>
      <c r="H1576" s="2" t="s">
        <v>14</v>
      </c>
      <c r="I1576" s="2" t="s">
        <v>22</v>
      </c>
      <c r="J1576" s="2" t="s">
        <v>17</v>
      </c>
      <c r="K1576" s="2" t="s">
        <v>8</v>
      </c>
      <c r="L1576" s="2" t="s">
        <v>66</v>
      </c>
      <c r="M1576" s="2" t="s">
        <v>10</v>
      </c>
      <c r="N1576" s="2" t="s">
        <v>19</v>
      </c>
      <c r="O1576" s="2" t="s">
        <v>12</v>
      </c>
      <c r="P1576" s="2" t="s">
        <v>13</v>
      </c>
      <c r="Q1576" s="2" t="s">
        <v>37</v>
      </c>
      <c r="R1576" s="2" t="s">
        <v>18</v>
      </c>
      <c r="S1576">
        <v>2</v>
      </c>
    </row>
    <row r="1577" spans="1:19" x14ac:dyDescent="0.3">
      <c r="A1577">
        <v>3565</v>
      </c>
      <c r="B1577">
        <f>YEAR(Cleaned_HR_Data_Analysis__2[[#This Row],[Joining_Date]])</f>
        <v>2021</v>
      </c>
      <c r="C1577" s="1">
        <v>44450</v>
      </c>
      <c r="D1577" s="1" t="str" cm="1">
        <f t="array" ref="D1577">_xlfn.IFS(E1577&lt;28, "17-27",
AND(E1577&gt;27, E1577&lt;38), "28-37",
AND(E1577&gt;37, E1577 &lt;48), "38-47",
AND(E1577&gt;47, E1577 &lt;58), "48-57",
AND(E1577&gt;57, E1577&lt;68), "58-67",
AND(E1577&gt;67, E1577&lt;78), "68-77",
E1577&gt;77,"Above than 77")</f>
        <v>48-57</v>
      </c>
      <c r="E1577">
        <v>53</v>
      </c>
      <c r="F1577" s="1">
        <v>24968</v>
      </c>
      <c r="G1577" s="1" t="str">
        <f>VLOOKUP(H1577,Table7[#All], 2, FALSE)</f>
        <v>Massachusetts</v>
      </c>
      <c r="H1577" s="2" t="s">
        <v>14</v>
      </c>
      <c r="I1577" s="2" t="s">
        <v>22</v>
      </c>
      <c r="J1577" s="2" t="s">
        <v>40</v>
      </c>
      <c r="K1577" s="2" t="s">
        <v>8</v>
      </c>
      <c r="L1577" s="2" t="s">
        <v>9</v>
      </c>
      <c r="M1577" s="2" t="s">
        <v>20</v>
      </c>
      <c r="N1577" s="2" t="s">
        <v>26</v>
      </c>
      <c r="O1577" s="2" t="s">
        <v>12</v>
      </c>
      <c r="P1577" s="2" t="s">
        <v>32</v>
      </c>
      <c r="Q1577" s="2" t="s">
        <v>30</v>
      </c>
      <c r="R1577" s="2" t="s">
        <v>18</v>
      </c>
      <c r="S1577">
        <v>5</v>
      </c>
    </row>
    <row r="1578" spans="1:19" x14ac:dyDescent="0.3">
      <c r="A1578">
        <v>3224</v>
      </c>
      <c r="B1578">
        <f>YEAR(Cleaned_HR_Data_Analysis__2[[#This Row],[Joining_Date]])</f>
        <v>2023</v>
      </c>
      <c r="C1578" s="1">
        <v>45019</v>
      </c>
      <c r="D1578" s="1" t="str" cm="1">
        <f t="array" ref="D1578">_xlfn.IFS(E1578&lt;28, "17-27",
AND(E1578&gt;27, E1578&lt;38), "28-37",
AND(E1578&gt;37, E1578 &lt;48), "38-47",
AND(E1578&gt;47, E1578 &lt;58), "48-57",
AND(E1578&gt;57, E1578&lt;68), "58-67",
AND(E1578&gt;67, E1578&lt;78), "68-77",
E1578&gt;77,"Above than 77")</f>
        <v>48-57</v>
      </c>
      <c r="E1578">
        <v>53</v>
      </c>
      <c r="F1578" s="1">
        <v>25605</v>
      </c>
      <c r="G1578" s="1" t="str">
        <f>VLOOKUP(H1578,Table7[#All], 2, FALSE)</f>
        <v>Massachusetts</v>
      </c>
      <c r="H1578" s="2" t="s">
        <v>14</v>
      </c>
      <c r="I1578" s="2" t="s">
        <v>15</v>
      </c>
      <c r="J1578" s="2" t="s">
        <v>31</v>
      </c>
      <c r="K1578" s="2" t="s">
        <v>8</v>
      </c>
      <c r="L1578" s="2" t="s">
        <v>9</v>
      </c>
      <c r="M1578" s="2" t="s">
        <v>20</v>
      </c>
      <c r="N1578" s="2" t="s">
        <v>19</v>
      </c>
      <c r="O1578" s="2" t="s">
        <v>12</v>
      </c>
      <c r="P1578" s="2" t="s">
        <v>62</v>
      </c>
      <c r="Q1578" s="2" t="s">
        <v>16</v>
      </c>
      <c r="R1578" s="2" t="s">
        <v>18</v>
      </c>
      <c r="S1578">
        <v>4</v>
      </c>
    </row>
    <row r="1579" spans="1:19" x14ac:dyDescent="0.3">
      <c r="A1579">
        <v>3039</v>
      </c>
      <c r="B1579">
        <f>YEAR(Cleaned_HR_Data_Analysis__2[[#This Row],[Joining_Date]])</f>
        <v>2019</v>
      </c>
      <c r="C1579" s="1">
        <v>43821</v>
      </c>
      <c r="D1579" s="1" t="str" cm="1">
        <f t="array" ref="D1579">_xlfn.IFS(E1579&lt;28, "17-27",
AND(E1579&gt;27, E1579&lt;38), "28-37",
AND(E1579&gt;37, E1579 &lt;48), "38-47",
AND(E1579&gt;47, E1579 &lt;58), "48-57",
AND(E1579&gt;57, E1579&lt;68), "58-67",
AND(E1579&gt;67, E1579&lt;78), "68-77",
E1579&gt;77,"Above than 77")</f>
        <v>48-57</v>
      </c>
      <c r="E1579">
        <v>53</v>
      </c>
      <c r="F1579" s="1">
        <v>24190</v>
      </c>
      <c r="G1579" s="1" t="str">
        <f>VLOOKUP(H1579,Table7[#All], 2, FALSE)</f>
        <v>Massachusetts</v>
      </c>
      <c r="H1579" s="2" t="s">
        <v>14</v>
      </c>
      <c r="I1579" s="2" t="s">
        <v>15</v>
      </c>
      <c r="J1579" s="2" t="s">
        <v>31</v>
      </c>
      <c r="K1579" s="2" t="s">
        <v>8</v>
      </c>
      <c r="L1579" s="2" t="s">
        <v>9</v>
      </c>
      <c r="M1579" s="2" t="s">
        <v>10</v>
      </c>
      <c r="N1579" s="2" t="s">
        <v>26</v>
      </c>
      <c r="O1579" s="2" t="s">
        <v>12</v>
      </c>
      <c r="P1579" s="2" t="s">
        <v>54</v>
      </c>
      <c r="Q1579" s="2" t="s">
        <v>30</v>
      </c>
      <c r="R1579" s="2" t="s">
        <v>18</v>
      </c>
      <c r="S1579">
        <v>2</v>
      </c>
    </row>
    <row r="1580" spans="1:19" x14ac:dyDescent="0.3">
      <c r="A1580">
        <v>2872</v>
      </c>
      <c r="B1580">
        <f>YEAR(Cleaned_HR_Data_Analysis__2[[#This Row],[Joining_Date]])</f>
        <v>2020</v>
      </c>
      <c r="C1580" s="1">
        <v>44011</v>
      </c>
      <c r="D1580" s="1" t="str" cm="1">
        <f t="array" ref="D1580">_xlfn.IFS(E1580&lt;28, "17-27",
AND(E1580&gt;27, E1580&lt;38), "28-37",
AND(E1580&gt;37, E1580 &lt;48), "38-47",
AND(E1580&gt;47, E1580 &lt;58), "48-57",
AND(E1580&gt;57, E1580&lt;68), "58-67",
AND(E1580&gt;67, E1580&lt;78), "68-77",
E1580&gt;77,"Above than 77")</f>
        <v>48-57</v>
      </c>
      <c r="E1580">
        <v>53</v>
      </c>
      <c r="F1580" s="1">
        <v>24809</v>
      </c>
      <c r="G1580" s="1" t="str">
        <f>VLOOKUP(H1580,Table7[#All], 2, FALSE)</f>
        <v>Massachusetts</v>
      </c>
      <c r="H1580" s="2" t="s">
        <v>14</v>
      </c>
      <c r="I1580" s="2" t="s">
        <v>22</v>
      </c>
      <c r="J1580" s="2" t="s">
        <v>34</v>
      </c>
      <c r="K1580" s="2" t="s">
        <v>8</v>
      </c>
      <c r="L1580" s="2" t="s">
        <v>9</v>
      </c>
      <c r="M1580" s="2" t="s">
        <v>10</v>
      </c>
      <c r="N1580" s="2" t="s">
        <v>26</v>
      </c>
      <c r="O1580" s="2" t="s">
        <v>12</v>
      </c>
      <c r="P1580" s="2" t="s">
        <v>59</v>
      </c>
      <c r="Q1580" s="2" t="s">
        <v>23</v>
      </c>
      <c r="R1580" s="2" t="s">
        <v>18</v>
      </c>
      <c r="S1580">
        <v>5</v>
      </c>
    </row>
    <row r="1581" spans="1:19" x14ac:dyDescent="0.3">
      <c r="A1581">
        <v>2851</v>
      </c>
      <c r="B1581">
        <f>YEAR(Cleaned_HR_Data_Analysis__2[[#This Row],[Joining_Date]])</f>
        <v>2020</v>
      </c>
      <c r="C1581" s="1">
        <v>44095</v>
      </c>
      <c r="D1581" s="1" t="str" cm="1">
        <f t="array" ref="D1581">_xlfn.IFS(E1581&lt;28, "17-27",
AND(E1581&gt;27, E1581&lt;38), "28-37",
AND(E1581&gt;37, E1581 &lt;48), "38-47",
AND(E1581&gt;47, E1581 &lt;58), "48-57",
AND(E1581&gt;57, E1581&lt;68), "58-67",
AND(E1581&gt;67, E1581&lt;78), "68-77",
E1581&gt;77,"Above than 77")</f>
        <v>48-57</v>
      </c>
      <c r="E1581">
        <v>53</v>
      </c>
      <c r="F1581" s="1">
        <v>24536</v>
      </c>
      <c r="G1581" s="1" t="str">
        <f>VLOOKUP(H1581,Table7[#All], 2, FALSE)</f>
        <v>Massachusetts</v>
      </c>
      <c r="H1581" s="2" t="s">
        <v>14</v>
      </c>
      <c r="I1581" s="2" t="s">
        <v>22</v>
      </c>
      <c r="J1581" s="2" t="s">
        <v>40</v>
      </c>
      <c r="K1581" s="2" t="s">
        <v>8</v>
      </c>
      <c r="L1581" s="2" t="s">
        <v>9</v>
      </c>
      <c r="M1581" s="2" t="s">
        <v>25</v>
      </c>
      <c r="N1581" s="2" t="s">
        <v>26</v>
      </c>
      <c r="O1581" s="2" t="s">
        <v>12</v>
      </c>
      <c r="P1581" s="2" t="s">
        <v>35</v>
      </c>
      <c r="Q1581" s="2" t="s">
        <v>37</v>
      </c>
      <c r="R1581" s="2" t="s">
        <v>18</v>
      </c>
      <c r="S1581">
        <v>3</v>
      </c>
    </row>
    <row r="1582" spans="1:19" x14ac:dyDescent="0.3">
      <c r="A1582">
        <v>2026</v>
      </c>
      <c r="B1582">
        <f>YEAR(Cleaned_HR_Data_Analysis__2[[#This Row],[Joining_Date]])</f>
        <v>2023</v>
      </c>
      <c r="C1582" s="1">
        <v>45059</v>
      </c>
      <c r="D1582" s="1" t="str" cm="1">
        <f t="array" ref="D1582">_xlfn.IFS(E1582&lt;28, "17-27",
AND(E1582&gt;27, E1582&lt;38), "28-37",
AND(E1582&gt;37, E1582 &lt;48), "38-47",
AND(E1582&gt;47, E1582 &lt;58), "48-57",
AND(E1582&gt;57, E1582&lt;68), "58-67",
AND(E1582&gt;67, E1582&lt;78), "68-77",
E1582&gt;77,"Above than 77")</f>
        <v>48-57</v>
      </c>
      <c r="E1582">
        <v>53</v>
      </c>
      <c r="F1582" s="1">
        <v>25625</v>
      </c>
      <c r="G1582" s="1" t="str">
        <f>VLOOKUP(H1582,Table7[#All], 2, FALSE)</f>
        <v>Massachusetts</v>
      </c>
      <c r="H1582" s="2" t="s">
        <v>14</v>
      </c>
      <c r="I1582" s="2" t="s">
        <v>15</v>
      </c>
      <c r="J1582" s="2" t="s">
        <v>34</v>
      </c>
      <c r="K1582" s="2" t="s">
        <v>8</v>
      </c>
      <c r="L1582" s="2" t="s">
        <v>9</v>
      </c>
      <c r="M1582" s="2" t="s">
        <v>10</v>
      </c>
      <c r="N1582" s="2" t="s">
        <v>19</v>
      </c>
      <c r="O1582" s="2" t="s">
        <v>12</v>
      </c>
      <c r="P1582" s="2" t="s">
        <v>35</v>
      </c>
      <c r="Q1582" s="2" t="s">
        <v>23</v>
      </c>
      <c r="R1582" s="2" t="s">
        <v>18</v>
      </c>
      <c r="S1582">
        <v>4</v>
      </c>
    </row>
    <row r="1583" spans="1:19" x14ac:dyDescent="0.3">
      <c r="A1583">
        <v>1974</v>
      </c>
      <c r="B1583">
        <f>YEAR(Cleaned_HR_Data_Analysis__2[[#This Row],[Joining_Date]])</f>
        <v>2021</v>
      </c>
      <c r="C1583" s="1">
        <v>44300</v>
      </c>
      <c r="D1583" s="1" t="str" cm="1">
        <f t="array" ref="D1583">_xlfn.IFS(E1583&lt;28, "17-27",
AND(E1583&gt;27, E1583&lt;38), "28-37",
AND(E1583&gt;37, E1583 &lt;48), "38-47",
AND(E1583&gt;47, E1583 &lt;58), "48-57",
AND(E1583&gt;57, E1583&lt;68), "58-67",
AND(E1583&gt;67, E1583&lt;78), "68-77",
E1583&gt;77,"Above than 77")</f>
        <v>48-57</v>
      </c>
      <c r="E1583">
        <v>53</v>
      </c>
      <c r="F1583" s="1">
        <v>25201</v>
      </c>
      <c r="G1583" s="1" t="str">
        <f>VLOOKUP(H1583,Table7[#All], 2, FALSE)</f>
        <v>Massachusetts</v>
      </c>
      <c r="H1583" s="2" t="s">
        <v>14</v>
      </c>
      <c r="I1583" s="2" t="s">
        <v>15</v>
      </c>
      <c r="J1583" s="2" t="s">
        <v>17</v>
      </c>
      <c r="K1583" s="2" t="s">
        <v>8</v>
      </c>
      <c r="L1583" s="2" t="s">
        <v>9</v>
      </c>
      <c r="M1583" s="2" t="s">
        <v>20</v>
      </c>
      <c r="N1583" s="2" t="s">
        <v>19</v>
      </c>
      <c r="O1583" s="2" t="s">
        <v>12</v>
      </c>
      <c r="P1583" s="2" t="s">
        <v>21</v>
      </c>
      <c r="Q1583" s="2" t="s">
        <v>16</v>
      </c>
      <c r="R1583" s="2" t="s">
        <v>18</v>
      </c>
      <c r="S1583">
        <v>1</v>
      </c>
    </row>
    <row r="1584" spans="1:19" x14ac:dyDescent="0.3">
      <c r="A1584">
        <v>1964</v>
      </c>
      <c r="B1584">
        <f>YEAR(Cleaned_HR_Data_Analysis__2[[#This Row],[Joining_Date]])</f>
        <v>2022</v>
      </c>
      <c r="C1584" s="1">
        <v>44915</v>
      </c>
      <c r="D1584" s="1" t="str" cm="1">
        <f t="array" ref="D1584">_xlfn.IFS(E1584&lt;28, "17-27",
AND(E1584&gt;27, E1584&lt;38), "28-37",
AND(E1584&gt;37, E1584 &lt;48), "38-47",
AND(E1584&gt;47, E1584 &lt;58), "48-57",
AND(E1584&gt;57, E1584&lt;68), "58-67",
AND(E1584&gt;67, E1584&lt;78), "68-77",
E1584&gt;77,"Above than 77")</f>
        <v>48-57</v>
      </c>
      <c r="E1584">
        <v>53</v>
      </c>
      <c r="F1584" s="1">
        <v>25289</v>
      </c>
      <c r="G1584" s="1" t="str">
        <f>VLOOKUP(H1584,Table7[#All], 2, FALSE)</f>
        <v>Massachusetts</v>
      </c>
      <c r="H1584" s="2" t="s">
        <v>14</v>
      </c>
      <c r="I1584" s="2" t="s">
        <v>15</v>
      </c>
      <c r="J1584" s="2" t="s">
        <v>34</v>
      </c>
      <c r="K1584" s="2" t="s">
        <v>8</v>
      </c>
      <c r="L1584" s="2" t="s">
        <v>66</v>
      </c>
      <c r="M1584" s="2" t="s">
        <v>20</v>
      </c>
      <c r="N1584" s="2" t="s">
        <v>26</v>
      </c>
      <c r="O1584" s="2" t="s">
        <v>12</v>
      </c>
      <c r="P1584" s="2" t="s">
        <v>44</v>
      </c>
      <c r="Q1584" s="2" t="s">
        <v>30</v>
      </c>
      <c r="R1584" s="2" t="s">
        <v>18</v>
      </c>
      <c r="S1584">
        <v>5</v>
      </c>
    </row>
    <row r="1585" spans="1:19" x14ac:dyDescent="0.3">
      <c r="A1585">
        <v>1879</v>
      </c>
      <c r="B1585">
        <f>YEAR(Cleaned_HR_Data_Analysis__2[[#This Row],[Joining_Date]])</f>
        <v>2018</v>
      </c>
      <c r="C1585" s="1">
        <v>43429</v>
      </c>
      <c r="D1585" s="1" t="str" cm="1">
        <f t="array" ref="D1585">_xlfn.IFS(E1585&lt;28, "17-27",
AND(E1585&gt;27, E1585&lt;38), "28-37",
AND(E1585&gt;37, E1585 &lt;48), "38-47",
AND(E1585&gt;47, E1585 &lt;58), "48-57",
AND(E1585&gt;57, E1585&lt;68), "58-67",
AND(E1585&gt;67, E1585&lt;78), "68-77",
E1585&gt;77,"Above than 77")</f>
        <v>48-57</v>
      </c>
      <c r="E1585">
        <v>53</v>
      </c>
      <c r="F1585" s="1">
        <v>24045</v>
      </c>
      <c r="G1585" s="1" t="str">
        <f>VLOOKUP(H1585,Table7[#All], 2, FALSE)</f>
        <v>Massachusetts</v>
      </c>
      <c r="H1585" s="2" t="s">
        <v>14</v>
      </c>
      <c r="I1585" s="2" t="s">
        <v>15</v>
      </c>
      <c r="J1585" s="2" t="s">
        <v>31</v>
      </c>
      <c r="K1585" s="2" t="s">
        <v>8</v>
      </c>
      <c r="L1585" s="2" t="s">
        <v>66</v>
      </c>
      <c r="M1585" s="2" t="s">
        <v>20</v>
      </c>
      <c r="N1585" s="2" t="s">
        <v>26</v>
      </c>
      <c r="O1585" s="2" t="s">
        <v>12</v>
      </c>
      <c r="P1585" s="2" t="s">
        <v>42</v>
      </c>
      <c r="Q1585" s="2" t="s">
        <v>37</v>
      </c>
      <c r="R1585" s="2" t="s">
        <v>18</v>
      </c>
      <c r="S1585">
        <v>3</v>
      </c>
    </row>
    <row r="1586" spans="1:19" x14ac:dyDescent="0.3">
      <c r="A1586">
        <v>1839</v>
      </c>
      <c r="B1586">
        <f>YEAR(Cleaned_HR_Data_Analysis__2[[#This Row],[Joining_Date]])</f>
        <v>2021</v>
      </c>
      <c r="C1586" s="1">
        <v>44425</v>
      </c>
      <c r="D1586" s="1" t="str" cm="1">
        <f t="array" ref="D1586">_xlfn.IFS(E1586&lt;28, "17-27",
AND(E1586&gt;27, E1586&lt;38), "28-37",
AND(E1586&gt;37, E1586 &lt;48), "38-47",
AND(E1586&gt;47, E1586 &lt;58), "48-57",
AND(E1586&gt;57, E1586&lt;68), "58-67",
AND(E1586&gt;67, E1586&lt;78), "68-77",
E1586&gt;77,"Above than 77")</f>
        <v>48-57</v>
      </c>
      <c r="E1586">
        <v>53</v>
      </c>
      <c r="F1586" s="1">
        <v>24926</v>
      </c>
      <c r="G1586" s="1" t="str">
        <f>VLOOKUP(H1586,Table7[#All], 2, FALSE)</f>
        <v>Massachusetts</v>
      </c>
      <c r="H1586" s="2" t="s">
        <v>14</v>
      </c>
      <c r="I1586" s="2" t="s">
        <v>15</v>
      </c>
      <c r="J1586" s="2" t="s">
        <v>31</v>
      </c>
      <c r="K1586" s="2" t="s">
        <v>8</v>
      </c>
      <c r="L1586" s="2" t="s">
        <v>9</v>
      </c>
      <c r="M1586" s="2" t="s">
        <v>25</v>
      </c>
      <c r="N1586" s="2" t="s">
        <v>19</v>
      </c>
      <c r="O1586" s="2" t="s">
        <v>12</v>
      </c>
      <c r="P1586" s="2" t="s">
        <v>62</v>
      </c>
      <c r="Q1586" s="2" t="s">
        <v>30</v>
      </c>
      <c r="R1586" s="2" t="s">
        <v>41</v>
      </c>
      <c r="S1586">
        <v>3</v>
      </c>
    </row>
    <row r="1587" spans="1:19" x14ac:dyDescent="0.3">
      <c r="A1587">
        <v>1620</v>
      </c>
      <c r="B1587">
        <f>YEAR(Cleaned_HR_Data_Analysis__2[[#This Row],[Joining_Date]])</f>
        <v>2020</v>
      </c>
      <c r="C1587" s="1">
        <v>43978</v>
      </c>
      <c r="D1587" s="1" t="str" cm="1">
        <f t="array" ref="D1587">_xlfn.IFS(E1587&lt;28, "17-27",
AND(E1587&gt;27, E1587&lt;38), "28-37",
AND(E1587&gt;37, E1587 &lt;48), "38-47",
AND(E1587&gt;47, E1587 &lt;58), "48-57",
AND(E1587&gt;57, E1587&lt;68), "58-67",
AND(E1587&gt;67, E1587&lt;78), "68-77",
E1587&gt;77,"Above than 77")</f>
        <v>48-57</v>
      </c>
      <c r="E1587">
        <v>53</v>
      </c>
      <c r="F1587" s="1">
        <v>24535</v>
      </c>
      <c r="G1587" s="1" t="str">
        <f>VLOOKUP(H1587,Table7[#All], 2, FALSE)</f>
        <v>Massachusetts</v>
      </c>
      <c r="H1587" s="2" t="s">
        <v>14</v>
      </c>
      <c r="I1587" s="2" t="s">
        <v>22</v>
      </c>
      <c r="J1587" s="2" t="s">
        <v>31</v>
      </c>
      <c r="K1587" s="2" t="s">
        <v>8</v>
      </c>
      <c r="L1587" s="2" t="s">
        <v>9</v>
      </c>
      <c r="M1587" s="2" t="s">
        <v>10</v>
      </c>
      <c r="N1587" s="2" t="s">
        <v>19</v>
      </c>
      <c r="O1587" s="2" t="s">
        <v>12</v>
      </c>
      <c r="P1587" s="2" t="s">
        <v>44</v>
      </c>
      <c r="Q1587" s="2" t="s">
        <v>46</v>
      </c>
      <c r="R1587" s="2" t="s">
        <v>56</v>
      </c>
      <c r="S1587">
        <v>3</v>
      </c>
    </row>
    <row r="1588" spans="1:19" x14ac:dyDescent="0.3">
      <c r="A1588">
        <v>1468</v>
      </c>
      <c r="B1588">
        <f>YEAR(Cleaned_HR_Data_Analysis__2[[#This Row],[Joining_Date]])</f>
        <v>2018</v>
      </c>
      <c r="C1588" s="1">
        <v>43461</v>
      </c>
      <c r="D1588" s="1" t="str" cm="1">
        <f t="array" ref="D1588">_xlfn.IFS(E1588&lt;28, "17-27",
AND(E1588&gt;27, E1588&lt;38), "28-37",
AND(E1588&gt;37, E1588 &lt;48), "38-47",
AND(E1588&gt;47, E1588 &lt;58), "48-57",
AND(E1588&gt;57, E1588&lt;68), "58-67",
AND(E1588&gt;67, E1588&lt;78), "68-77",
E1588&gt;77,"Above than 77")</f>
        <v>48-57</v>
      </c>
      <c r="E1588">
        <v>53</v>
      </c>
      <c r="F1588" s="1">
        <v>23984</v>
      </c>
      <c r="G1588" s="1" t="str">
        <f>VLOOKUP(H1588,Table7[#All], 2, FALSE)</f>
        <v>Massachusetts</v>
      </c>
      <c r="H1588" s="2" t="s">
        <v>14</v>
      </c>
      <c r="I1588" s="2" t="s">
        <v>15</v>
      </c>
      <c r="J1588" s="2" t="s">
        <v>40</v>
      </c>
      <c r="K1588" s="2" t="s">
        <v>8</v>
      </c>
      <c r="L1588" s="2" t="s">
        <v>9</v>
      </c>
      <c r="M1588" s="2" t="s">
        <v>10</v>
      </c>
      <c r="N1588" s="2" t="s">
        <v>19</v>
      </c>
      <c r="O1588" s="2" t="s">
        <v>12</v>
      </c>
      <c r="P1588" s="2" t="s">
        <v>35</v>
      </c>
      <c r="Q1588" s="2" t="s">
        <v>23</v>
      </c>
      <c r="R1588" s="2" t="s">
        <v>41</v>
      </c>
      <c r="S1588">
        <v>1</v>
      </c>
    </row>
    <row r="1589" spans="1:19" x14ac:dyDescent="0.3">
      <c r="A1589">
        <v>2342</v>
      </c>
      <c r="B1589">
        <f>YEAR(Cleaned_HR_Data_Analysis__2[[#This Row],[Joining_Date]])</f>
        <v>2020</v>
      </c>
      <c r="C1589" s="1">
        <v>43839</v>
      </c>
      <c r="D1589" s="1" t="str" cm="1">
        <f t="array" ref="D1589">_xlfn.IFS(E1589&lt;28, "17-27",
AND(E1589&gt;27, E1589&lt;38), "28-37",
AND(E1589&gt;37, E1589 &lt;48), "38-47",
AND(E1589&gt;47, E1589 &lt;58), "48-57",
AND(E1589&gt;57, E1589&lt;68), "58-67",
AND(E1589&gt;67, E1589&lt;78), "68-77",
E1589&gt;77,"Above than 77")</f>
        <v>48-57</v>
      </c>
      <c r="E1589">
        <v>53</v>
      </c>
      <c r="F1589" s="1">
        <v>24606</v>
      </c>
      <c r="G1589" s="1" t="str">
        <f>VLOOKUP(H1589,Table7[#All], 2, FALSE)</f>
        <v>Massachusetts</v>
      </c>
      <c r="H1589" s="2" t="s">
        <v>14</v>
      </c>
      <c r="I1589" s="2" t="s">
        <v>15</v>
      </c>
      <c r="J1589" s="2" t="s">
        <v>31</v>
      </c>
      <c r="K1589" s="2" t="s">
        <v>91</v>
      </c>
      <c r="L1589" s="2" t="s">
        <v>9</v>
      </c>
      <c r="M1589" s="2" t="s">
        <v>20</v>
      </c>
      <c r="N1589" s="2" t="s">
        <v>11</v>
      </c>
      <c r="O1589" s="2" t="s">
        <v>12</v>
      </c>
      <c r="P1589" s="2" t="s">
        <v>35</v>
      </c>
      <c r="Q1589" s="2" t="s">
        <v>30</v>
      </c>
      <c r="R1589" s="2" t="s">
        <v>18</v>
      </c>
      <c r="S1589">
        <v>4</v>
      </c>
    </row>
    <row r="1590" spans="1:19" x14ac:dyDescent="0.3">
      <c r="A1590">
        <v>1294</v>
      </c>
      <c r="B1590">
        <f>YEAR(Cleaned_HR_Data_Analysis__2[[#This Row],[Joining_Date]])</f>
        <v>2023</v>
      </c>
      <c r="C1590" s="1">
        <v>45023</v>
      </c>
      <c r="D1590" s="1" t="str" cm="1">
        <f t="array" ref="D1590">_xlfn.IFS(E1590&lt;28, "17-27",
AND(E1590&gt;27, E1590&lt;38), "28-37",
AND(E1590&gt;37, E1590 &lt;48), "38-47",
AND(E1590&gt;47, E1590 &lt;58), "48-57",
AND(E1590&gt;57, E1590&lt;68), "58-67",
AND(E1590&gt;67, E1590&lt;78), "68-77",
E1590&gt;77,"Above than 77")</f>
        <v>48-57</v>
      </c>
      <c r="E1590">
        <v>53</v>
      </c>
      <c r="F1590" s="1">
        <v>25839</v>
      </c>
      <c r="G1590" s="1" t="str">
        <f>VLOOKUP(H1590,Table7[#All], 2, FALSE)</f>
        <v>Massachusetts</v>
      </c>
      <c r="H1590" s="2" t="s">
        <v>14</v>
      </c>
      <c r="I1590" s="2" t="s">
        <v>15</v>
      </c>
      <c r="J1590" s="2" t="s">
        <v>31</v>
      </c>
      <c r="K1590" s="2" t="s">
        <v>91</v>
      </c>
      <c r="L1590" s="2" t="s">
        <v>9</v>
      </c>
      <c r="M1590" s="2" t="s">
        <v>20</v>
      </c>
      <c r="N1590" s="2" t="s">
        <v>26</v>
      </c>
      <c r="O1590" s="2" t="s">
        <v>12</v>
      </c>
      <c r="P1590" s="2" t="s">
        <v>59</v>
      </c>
      <c r="Q1590" s="2" t="s">
        <v>23</v>
      </c>
      <c r="R1590" s="2" t="s">
        <v>18</v>
      </c>
      <c r="S1590">
        <v>4</v>
      </c>
    </row>
    <row r="1591" spans="1:19" x14ac:dyDescent="0.3">
      <c r="A1591">
        <v>3471</v>
      </c>
      <c r="B1591">
        <f>YEAR(Cleaned_HR_Data_Analysis__2[[#This Row],[Joining_Date]])</f>
        <v>2020</v>
      </c>
      <c r="C1591" s="1">
        <v>43890</v>
      </c>
      <c r="D1591" s="1" t="str" cm="1">
        <f t="array" ref="D1591">_xlfn.IFS(E1591&lt;28, "17-27",
AND(E1591&gt;27, E1591&lt;38), "28-37",
AND(E1591&gt;37, E1591 &lt;48), "38-47",
AND(E1591&gt;47, E1591 &lt;58), "48-57",
AND(E1591&gt;57, E1591&lt;68), "58-67",
AND(E1591&gt;67, E1591&lt;78), "68-77",
E1591&gt;77,"Above than 77")</f>
        <v>48-57</v>
      </c>
      <c r="E1591">
        <v>53</v>
      </c>
      <c r="F1591" s="1">
        <v>24475</v>
      </c>
      <c r="G1591" s="1" t="str">
        <f>VLOOKUP(H1591,Table7[#All], 2, FALSE)</f>
        <v>Texas</v>
      </c>
      <c r="H1591" s="2" t="s">
        <v>45</v>
      </c>
      <c r="I1591" s="2" t="s">
        <v>22</v>
      </c>
      <c r="J1591" s="2" t="s">
        <v>34</v>
      </c>
      <c r="K1591" s="2" t="s">
        <v>24</v>
      </c>
      <c r="L1591" s="2" t="s">
        <v>9</v>
      </c>
      <c r="M1591" s="2" t="s">
        <v>20</v>
      </c>
      <c r="N1591" s="2" t="s">
        <v>11</v>
      </c>
      <c r="O1591" s="2" t="s">
        <v>27</v>
      </c>
      <c r="P1591" s="2" t="s">
        <v>35</v>
      </c>
      <c r="Q1591" s="2" t="s">
        <v>46</v>
      </c>
      <c r="R1591" s="2" t="s">
        <v>18</v>
      </c>
      <c r="S1591">
        <v>4</v>
      </c>
    </row>
    <row r="1592" spans="1:19" x14ac:dyDescent="0.3">
      <c r="A1592">
        <v>3451</v>
      </c>
      <c r="B1592">
        <f>YEAR(Cleaned_HR_Data_Analysis__2[[#This Row],[Joining_Date]])</f>
        <v>2021</v>
      </c>
      <c r="C1592" s="1">
        <v>44245</v>
      </c>
      <c r="D1592" s="1" t="str" cm="1">
        <f t="array" ref="D1592">_xlfn.IFS(E1592&lt;28, "17-27",
AND(E1592&gt;27, E1592&lt;38), "28-37",
AND(E1592&gt;37, E1592 &lt;48), "38-47",
AND(E1592&gt;47, E1592 &lt;58), "48-57",
AND(E1592&gt;57, E1592&lt;68), "58-67",
AND(E1592&gt;67, E1592&lt;78), "68-77",
E1592&gt;77,"Above than 77")</f>
        <v>48-57</v>
      </c>
      <c r="E1592">
        <v>53</v>
      </c>
      <c r="F1592" s="1">
        <v>24852</v>
      </c>
      <c r="G1592" s="1" t="str">
        <f>VLOOKUP(H1592,Table7[#All], 2, FALSE)</f>
        <v>Colorado</v>
      </c>
      <c r="H1592" s="2" t="s">
        <v>50</v>
      </c>
      <c r="I1592" s="2" t="s">
        <v>22</v>
      </c>
      <c r="J1592" s="2" t="s">
        <v>40</v>
      </c>
      <c r="K1592" s="2" t="s">
        <v>24</v>
      </c>
      <c r="L1592" s="2" t="s">
        <v>9</v>
      </c>
      <c r="M1592" s="2" t="s">
        <v>10</v>
      </c>
      <c r="N1592" s="2" t="s">
        <v>11</v>
      </c>
      <c r="O1592" s="2" t="s">
        <v>27</v>
      </c>
      <c r="P1592" s="2" t="s">
        <v>32</v>
      </c>
      <c r="Q1592" s="2" t="s">
        <v>30</v>
      </c>
      <c r="R1592" s="2" t="s">
        <v>41</v>
      </c>
      <c r="S1592">
        <v>1</v>
      </c>
    </row>
    <row r="1593" spans="1:19" x14ac:dyDescent="0.3">
      <c r="A1593">
        <v>2605</v>
      </c>
      <c r="B1593">
        <f>YEAR(Cleaned_HR_Data_Analysis__2[[#This Row],[Joining_Date]])</f>
        <v>2021</v>
      </c>
      <c r="C1593" s="1">
        <v>44263</v>
      </c>
      <c r="D1593" s="1" t="str" cm="1">
        <f t="array" ref="D1593">_xlfn.IFS(E1593&lt;28, "17-27",
AND(E1593&gt;27, E1593&lt;38), "28-37",
AND(E1593&gt;37, E1593 &lt;48), "38-47",
AND(E1593&gt;47, E1593 &lt;58), "48-57",
AND(E1593&gt;57, E1593&lt;68), "58-67",
AND(E1593&gt;67, E1593&lt;78), "68-77",
E1593&gt;77,"Above than 77")</f>
        <v>48-57</v>
      </c>
      <c r="E1593">
        <v>53</v>
      </c>
      <c r="F1593" s="1">
        <v>25061</v>
      </c>
      <c r="G1593" s="1" t="str">
        <f>VLOOKUP(H1593,Table7[#All], 2, FALSE)</f>
        <v>Arizona</v>
      </c>
      <c r="H1593" s="2" t="s">
        <v>114</v>
      </c>
      <c r="I1593" s="2" t="s">
        <v>22</v>
      </c>
      <c r="J1593" s="2" t="s">
        <v>34</v>
      </c>
      <c r="K1593" s="2" t="s">
        <v>24</v>
      </c>
      <c r="L1593" s="2" t="s">
        <v>9</v>
      </c>
      <c r="M1593" s="2" t="s">
        <v>25</v>
      </c>
      <c r="N1593" s="2" t="s">
        <v>11</v>
      </c>
      <c r="O1593" s="2" t="s">
        <v>27</v>
      </c>
      <c r="P1593" s="2" t="s">
        <v>59</v>
      </c>
      <c r="Q1593" s="2" t="s">
        <v>37</v>
      </c>
      <c r="R1593" s="2" t="s">
        <v>18</v>
      </c>
      <c r="S1593">
        <v>4</v>
      </c>
    </row>
    <row r="1594" spans="1:19" x14ac:dyDescent="0.3">
      <c r="A1594">
        <v>2600</v>
      </c>
      <c r="B1594">
        <f>YEAR(Cleaned_HR_Data_Analysis__2[[#This Row],[Joining_Date]])</f>
        <v>2018</v>
      </c>
      <c r="C1594" s="1">
        <v>43361</v>
      </c>
      <c r="D1594" s="1" t="str" cm="1">
        <f t="array" ref="D1594">_xlfn.IFS(E1594&lt;28, "17-27",
AND(E1594&gt;27, E1594&lt;38), "28-37",
AND(E1594&gt;37, E1594 &lt;48), "38-47",
AND(E1594&gt;47, E1594 &lt;58), "48-57",
AND(E1594&gt;57, E1594&lt;68), "58-67",
AND(E1594&gt;67, E1594&lt;78), "68-77",
E1594&gt;77,"Above than 77")</f>
        <v>48-57</v>
      </c>
      <c r="E1594">
        <v>53</v>
      </c>
      <c r="F1594" s="1">
        <v>23758</v>
      </c>
      <c r="G1594" s="1" t="str">
        <f>VLOOKUP(H1594,Table7[#All], 2, FALSE)</f>
        <v>Washington</v>
      </c>
      <c r="H1594" s="2" t="s">
        <v>113</v>
      </c>
      <c r="I1594" s="2" t="s">
        <v>15</v>
      </c>
      <c r="J1594" s="2" t="s">
        <v>17</v>
      </c>
      <c r="K1594" s="2" t="s">
        <v>95</v>
      </c>
      <c r="L1594" s="2" t="s">
        <v>9</v>
      </c>
      <c r="M1594" s="2" t="s">
        <v>25</v>
      </c>
      <c r="N1594" s="2" t="s">
        <v>11</v>
      </c>
      <c r="O1594" s="2" t="s">
        <v>27</v>
      </c>
      <c r="P1594" s="2" t="s">
        <v>21</v>
      </c>
      <c r="Q1594" s="2" t="s">
        <v>46</v>
      </c>
      <c r="R1594" s="2" t="s">
        <v>18</v>
      </c>
      <c r="S1594">
        <v>2</v>
      </c>
    </row>
    <row r="1595" spans="1:19" x14ac:dyDescent="0.3">
      <c r="A1595">
        <v>1377</v>
      </c>
      <c r="B1595">
        <f>YEAR(Cleaned_HR_Data_Analysis__2[[#This Row],[Joining_Date]])</f>
        <v>2021</v>
      </c>
      <c r="C1595" s="1">
        <v>44258</v>
      </c>
      <c r="D1595" s="1" t="str" cm="1">
        <f t="array" ref="D1595">_xlfn.IFS(E1595&lt;28, "17-27",
AND(E1595&gt;27, E1595&lt;38), "28-37",
AND(E1595&gt;37, E1595 &lt;48), "38-47",
AND(E1595&gt;47, E1595 &lt;58), "48-57",
AND(E1595&gt;57, E1595&lt;68), "58-67",
AND(E1595&gt;67, E1595&lt;78), "68-77",
E1595&gt;77,"Above than 77")</f>
        <v>48-57</v>
      </c>
      <c r="E1595">
        <v>53</v>
      </c>
      <c r="F1595" s="1">
        <v>24976</v>
      </c>
      <c r="G1595" s="1" t="str">
        <f>VLOOKUP(H1595,Table7[#All], 2, FALSE)</f>
        <v>Massachusetts</v>
      </c>
      <c r="H1595" s="2" t="s">
        <v>14</v>
      </c>
      <c r="I1595" s="2" t="s">
        <v>15</v>
      </c>
      <c r="J1595" s="2" t="s">
        <v>40</v>
      </c>
      <c r="K1595" s="2" t="s">
        <v>95</v>
      </c>
      <c r="L1595" s="2" t="s">
        <v>9</v>
      </c>
      <c r="M1595" s="2" t="s">
        <v>20</v>
      </c>
      <c r="N1595" s="2" t="s">
        <v>19</v>
      </c>
      <c r="O1595" s="2" t="s">
        <v>90</v>
      </c>
      <c r="P1595" s="2" t="s">
        <v>32</v>
      </c>
      <c r="Q1595" s="2" t="s">
        <v>16</v>
      </c>
      <c r="R1595" s="2" t="s">
        <v>41</v>
      </c>
      <c r="S1595">
        <v>5</v>
      </c>
    </row>
    <row r="1596" spans="1:19" x14ac:dyDescent="0.3">
      <c r="A1596">
        <v>3840</v>
      </c>
      <c r="B1596">
        <f>YEAR(Cleaned_HR_Data_Analysis__2[[#This Row],[Joining_Date]])</f>
        <v>2023</v>
      </c>
      <c r="C1596" s="1">
        <v>45017</v>
      </c>
      <c r="D1596" s="1" t="str" cm="1">
        <f t="array" ref="D1596">_xlfn.IFS(E1596&lt;28, "17-27",
AND(E1596&gt;27, E1596&lt;38), "28-37",
AND(E1596&gt;37, E1596 &lt;48), "38-47",
AND(E1596&gt;47, E1596 &lt;58), "48-57",
AND(E1596&gt;57, E1596&lt;68), "58-67",
AND(E1596&gt;67, E1596&lt;78), "68-77",
E1596&gt;77,"Above than 77")</f>
        <v>48-57</v>
      </c>
      <c r="E1596">
        <v>54</v>
      </c>
      <c r="F1596" s="1">
        <v>25501</v>
      </c>
      <c r="G1596" s="1" t="str">
        <f>VLOOKUP(H1596,Table7[#All], 2, FALSE)</f>
        <v>Massachusetts</v>
      </c>
      <c r="H1596" s="2" t="s">
        <v>14</v>
      </c>
      <c r="I1596" s="2" t="s">
        <v>22</v>
      </c>
      <c r="J1596" s="2" t="s">
        <v>31</v>
      </c>
      <c r="K1596" s="2" t="s">
        <v>72</v>
      </c>
      <c r="L1596" s="2" t="s">
        <v>9</v>
      </c>
      <c r="M1596" s="2" t="s">
        <v>20</v>
      </c>
      <c r="N1596" s="2" t="s">
        <v>26</v>
      </c>
      <c r="O1596" s="2" t="s">
        <v>53</v>
      </c>
      <c r="P1596" s="2" t="s">
        <v>35</v>
      </c>
      <c r="Q1596" s="2" t="s">
        <v>23</v>
      </c>
      <c r="R1596" s="2" t="s">
        <v>18</v>
      </c>
      <c r="S1596">
        <v>5</v>
      </c>
    </row>
    <row r="1597" spans="1:19" x14ac:dyDescent="0.3">
      <c r="A1597">
        <v>1075</v>
      </c>
      <c r="B1597">
        <f>YEAR(Cleaned_HR_Data_Analysis__2[[#This Row],[Joining_Date]])</f>
        <v>2022</v>
      </c>
      <c r="C1597" s="1">
        <v>44870</v>
      </c>
      <c r="D1597" s="1" t="str" cm="1">
        <f t="array" ref="D1597">_xlfn.IFS(E1597&lt;28, "17-27",
AND(E1597&gt;27, E1597&lt;38), "28-37",
AND(E1597&gt;37, E1597 &lt;48), "38-47",
AND(E1597&gt;47, E1597 &lt;58), "48-57",
AND(E1597&gt;57, E1597&lt;68), "58-67",
AND(E1597&gt;67, E1597&lt;78), "68-77",
E1597&gt;77,"Above than 77")</f>
        <v>48-57</v>
      </c>
      <c r="E1597">
        <v>54</v>
      </c>
      <c r="F1597" s="1">
        <v>24951</v>
      </c>
      <c r="G1597" s="1" t="str">
        <f>VLOOKUP(H1597,Table7[#All], 2, FALSE)</f>
        <v>Massachusetts</v>
      </c>
      <c r="H1597" s="2" t="s">
        <v>14</v>
      </c>
      <c r="I1597" s="2" t="s">
        <v>22</v>
      </c>
      <c r="J1597" s="2" t="s">
        <v>34</v>
      </c>
      <c r="K1597" s="2" t="s">
        <v>86</v>
      </c>
      <c r="L1597" s="2" t="s">
        <v>9</v>
      </c>
      <c r="M1597" s="2" t="s">
        <v>20</v>
      </c>
      <c r="N1597" s="2" t="s">
        <v>26</v>
      </c>
      <c r="O1597" s="2" t="s">
        <v>87</v>
      </c>
      <c r="P1597" s="2" t="s">
        <v>42</v>
      </c>
      <c r="Q1597" s="2" t="s">
        <v>46</v>
      </c>
      <c r="R1597" s="2" t="s">
        <v>18</v>
      </c>
      <c r="S1597">
        <v>2</v>
      </c>
    </row>
    <row r="1598" spans="1:19" x14ac:dyDescent="0.3">
      <c r="A1598">
        <v>1722</v>
      </c>
      <c r="B1598">
        <f>YEAR(Cleaned_HR_Data_Analysis__2[[#This Row],[Joining_Date]])</f>
        <v>2022</v>
      </c>
      <c r="C1598" s="1">
        <v>44614</v>
      </c>
      <c r="D1598" s="1" t="str" cm="1">
        <f t="array" ref="D1598">_xlfn.IFS(E1598&lt;28, "17-27",
AND(E1598&gt;27, E1598&lt;38), "28-37",
AND(E1598&gt;37, E1598 &lt;48), "38-47",
AND(E1598&gt;47, E1598 &lt;58), "48-57",
AND(E1598&gt;57, E1598&lt;68), "58-67",
AND(E1598&gt;67, E1598&lt;78), "68-77",
E1598&gt;77,"Above than 77")</f>
        <v>48-57</v>
      </c>
      <c r="E1598">
        <v>54</v>
      </c>
      <c r="F1598" s="1">
        <v>24867</v>
      </c>
      <c r="G1598" s="1" t="str">
        <f>VLOOKUP(H1598,Table7[#All], 2, FALSE)</f>
        <v>Massachusetts</v>
      </c>
      <c r="H1598" s="2" t="s">
        <v>14</v>
      </c>
      <c r="I1598" s="2" t="s">
        <v>15</v>
      </c>
      <c r="J1598" s="2" t="s">
        <v>40</v>
      </c>
      <c r="K1598" s="2" t="s">
        <v>89</v>
      </c>
      <c r="L1598" s="2" t="s">
        <v>9</v>
      </c>
      <c r="M1598" s="2" t="s">
        <v>25</v>
      </c>
      <c r="N1598" s="2" t="s">
        <v>26</v>
      </c>
      <c r="O1598" s="2" t="s">
        <v>53</v>
      </c>
      <c r="P1598" s="2" t="s">
        <v>61</v>
      </c>
      <c r="Q1598" s="2" t="s">
        <v>23</v>
      </c>
      <c r="R1598" s="2" t="s">
        <v>18</v>
      </c>
      <c r="S1598">
        <v>2</v>
      </c>
    </row>
    <row r="1599" spans="1:19" x14ac:dyDescent="0.3">
      <c r="A1599">
        <v>3649</v>
      </c>
      <c r="B1599">
        <f>YEAR(Cleaned_HR_Data_Analysis__2[[#This Row],[Joining_Date]])</f>
        <v>2022</v>
      </c>
      <c r="C1599" s="1">
        <v>44786</v>
      </c>
      <c r="D1599" s="1" t="str" cm="1">
        <f t="array" ref="D1599">_xlfn.IFS(E1599&lt;28, "17-27",
AND(E1599&gt;27, E1599&lt;38), "28-37",
AND(E1599&gt;37, E1599 &lt;48), "38-47",
AND(E1599&gt;47, E1599 &lt;58), "48-57",
AND(E1599&gt;57, E1599&lt;68), "58-67",
AND(E1599&gt;67, E1599&lt;78), "68-77",
E1599&gt;77,"Above than 77")</f>
        <v>48-57</v>
      </c>
      <c r="E1599">
        <v>54</v>
      </c>
      <c r="F1599" s="1">
        <v>24995</v>
      </c>
      <c r="G1599" s="1" t="str">
        <f>VLOOKUP(H1599,Table7[#All], 2, FALSE)</f>
        <v>Massachusetts</v>
      </c>
      <c r="H1599" s="2" t="s">
        <v>14</v>
      </c>
      <c r="I1599" s="2" t="s">
        <v>15</v>
      </c>
      <c r="J1599" s="2" t="s">
        <v>34</v>
      </c>
      <c r="K1599" s="2" t="s">
        <v>64</v>
      </c>
      <c r="L1599" s="2" t="s">
        <v>9</v>
      </c>
      <c r="M1599" s="2" t="s">
        <v>10</v>
      </c>
      <c r="N1599" s="2" t="s">
        <v>19</v>
      </c>
      <c r="O1599" s="2" t="s">
        <v>12</v>
      </c>
      <c r="P1599" s="2" t="s">
        <v>35</v>
      </c>
      <c r="Q1599" s="2" t="s">
        <v>16</v>
      </c>
      <c r="R1599" s="2" t="s">
        <v>41</v>
      </c>
      <c r="S1599">
        <v>2</v>
      </c>
    </row>
    <row r="1600" spans="1:19" x14ac:dyDescent="0.3">
      <c r="A1600">
        <v>3647</v>
      </c>
      <c r="B1600">
        <f>YEAR(Cleaned_HR_Data_Analysis__2[[#This Row],[Joining_Date]])</f>
        <v>2020</v>
      </c>
      <c r="C1600" s="1">
        <v>44193</v>
      </c>
      <c r="D1600" s="1" t="str" cm="1">
        <f t="array" ref="D1600">_xlfn.IFS(E1600&lt;28, "17-27",
AND(E1600&gt;27, E1600&lt;38), "28-37",
AND(E1600&gt;37, E1600 &lt;48), "38-47",
AND(E1600&gt;47, E1600 &lt;58), "48-57",
AND(E1600&gt;57, E1600&lt;68), "58-67",
AND(E1600&gt;67, E1600&lt;78), "68-77",
E1600&gt;77,"Above than 77")</f>
        <v>48-57</v>
      </c>
      <c r="E1600">
        <v>54</v>
      </c>
      <c r="F1600" s="1">
        <v>24312</v>
      </c>
      <c r="G1600" s="1" t="str">
        <f>VLOOKUP(H1600,Table7[#All], 2, FALSE)</f>
        <v>Massachusetts</v>
      </c>
      <c r="H1600" s="2" t="s">
        <v>14</v>
      </c>
      <c r="I1600" s="2" t="s">
        <v>15</v>
      </c>
      <c r="J1600" s="2" t="s">
        <v>31</v>
      </c>
      <c r="K1600" s="2" t="s">
        <v>64</v>
      </c>
      <c r="L1600" s="2" t="s">
        <v>66</v>
      </c>
      <c r="M1600" s="2" t="s">
        <v>20</v>
      </c>
      <c r="N1600" s="2" t="s">
        <v>19</v>
      </c>
      <c r="O1600" s="2" t="s">
        <v>12</v>
      </c>
      <c r="P1600" s="2" t="s">
        <v>42</v>
      </c>
      <c r="Q1600" s="2" t="s">
        <v>37</v>
      </c>
      <c r="R1600" s="2" t="s">
        <v>18</v>
      </c>
      <c r="S1600">
        <v>4</v>
      </c>
    </row>
    <row r="1601" spans="1:19" x14ac:dyDescent="0.3">
      <c r="A1601">
        <v>3387</v>
      </c>
      <c r="B1601">
        <f>YEAR(Cleaned_HR_Data_Analysis__2[[#This Row],[Joining_Date]])</f>
        <v>2019</v>
      </c>
      <c r="C1601" s="1">
        <v>43530</v>
      </c>
      <c r="D1601" s="1" t="str" cm="1">
        <f t="array" ref="D1601">_xlfn.IFS(E1601&lt;28, "17-27",
AND(E1601&gt;27, E1601&lt;38), "28-37",
AND(E1601&gt;37, E1601 &lt;48), "38-47",
AND(E1601&gt;47, E1601 &lt;58), "48-57",
AND(E1601&gt;57, E1601&lt;68), "58-67",
AND(E1601&gt;67, E1601&lt;78), "68-77",
E1601&gt;77,"Above than 77")</f>
        <v>48-57</v>
      </c>
      <c r="E1601">
        <v>54</v>
      </c>
      <c r="F1601" s="1">
        <v>23942</v>
      </c>
      <c r="G1601" s="1" t="str">
        <f>VLOOKUP(H1601,Table7[#All], 2, FALSE)</f>
        <v>Massachusetts</v>
      </c>
      <c r="H1601" s="2" t="s">
        <v>14</v>
      </c>
      <c r="I1601" s="2" t="s">
        <v>22</v>
      </c>
      <c r="J1601" s="2" t="s">
        <v>17</v>
      </c>
      <c r="K1601" s="2" t="s">
        <v>64</v>
      </c>
      <c r="L1601" s="2" t="s">
        <v>9</v>
      </c>
      <c r="M1601" s="2" t="s">
        <v>25</v>
      </c>
      <c r="N1601" s="2" t="s">
        <v>11</v>
      </c>
      <c r="O1601" s="2" t="s">
        <v>12</v>
      </c>
      <c r="P1601" s="2" t="s">
        <v>28</v>
      </c>
      <c r="Q1601" s="2" t="s">
        <v>30</v>
      </c>
      <c r="R1601" s="2" t="s">
        <v>18</v>
      </c>
      <c r="S1601">
        <v>3</v>
      </c>
    </row>
    <row r="1602" spans="1:19" x14ac:dyDescent="0.3">
      <c r="A1602">
        <v>3075</v>
      </c>
      <c r="B1602">
        <f>YEAR(Cleaned_HR_Data_Analysis__2[[#This Row],[Joining_Date]])</f>
        <v>2023</v>
      </c>
      <c r="C1602" s="1">
        <v>44997</v>
      </c>
      <c r="D1602" s="1" t="str" cm="1">
        <f t="array" ref="D1602">_xlfn.IFS(E1602&lt;28, "17-27",
AND(E1602&gt;27, E1602&lt;38), "28-37",
AND(E1602&gt;37, E1602 &lt;48), "38-47",
AND(E1602&gt;47, E1602 &lt;58), "48-57",
AND(E1602&gt;57, E1602&lt;68), "58-67",
AND(E1602&gt;67, E1602&lt;78), "68-77",
E1602&gt;77,"Above than 77")</f>
        <v>48-57</v>
      </c>
      <c r="E1602">
        <v>54</v>
      </c>
      <c r="F1602" s="1">
        <v>25212</v>
      </c>
      <c r="G1602" s="1" t="str">
        <f>VLOOKUP(H1602,Table7[#All], 2, FALSE)</f>
        <v>Massachusetts</v>
      </c>
      <c r="H1602" s="2" t="s">
        <v>14</v>
      </c>
      <c r="I1602" s="2" t="s">
        <v>15</v>
      </c>
      <c r="J1602" s="2" t="s">
        <v>31</v>
      </c>
      <c r="K1602" s="2" t="s">
        <v>64</v>
      </c>
      <c r="L1602" s="2" t="s">
        <v>9</v>
      </c>
      <c r="M1602" s="2" t="s">
        <v>25</v>
      </c>
      <c r="N1602" s="2" t="s">
        <v>26</v>
      </c>
      <c r="O1602" s="2" t="s">
        <v>12</v>
      </c>
      <c r="P1602" s="2" t="s">
        <v>55</v>
      </c>
      <c r="Q1602" s="2" t="s">
        <v>30</v>
      </c>
      <c r="R1602" s="2" t="s">
        <v>18</v>
      </c>
      <c r="S1602">
        <v>3</v>
      </c>
    </row>
    <row r="1603" spans="1:19" x14ac:dyDescent="0.3">
      <c r="A1603">
        <v>3006</v>
      </c>
      <c r="B1603">
        <f>YEAR(Cleaned_HR_Data_Analysis__2[[#This Row],[Joining_Date]])</f>
        <v>2022</v>
      </c>
      <c r="C1603" s="1">
        <v>44838</v>
      </c>
      <c r="D1603" s="1" t="str" cm="1">
        <f t="array" ref="D1603">_xlfn.IFS(E1603&lt;28, "17-27",
AND(E1603&gt;27, E1603&lt;38), "28-37",
AND(E1603&gt;37, E1603 &lt;48), "38-47",
AND(E1603&gt;47, E1603 &lt;58), "48-57",
AND(E1603&gt;57, E1603&lt;68), "58-67",
AND(E1603&gt;67, E1603&lt;78), "68-77",
E1603&gt;77,"Above than 77")</f>
        <v>48-57</v>
      </c>
      <c r="E1603">
        <v>54</v>
      </c>
      <c r="F1603" s="1">
        <v>25045</v>
      </c>
      <c r="G1603" s="1" t="str">
        <f>VLOOKUP(H1603,Table7[#All], 2, FALSE)</f>
        <v>Massachusetts</v>
      </c>
      <c r="H1603" s="2" t="s">
        <v>14</v>
      </c>
      <c r="I1603" s="2" t="s">
        <v>15</v>
      </c>
      <c r="J1603" s="2" t="s">
        <v>31</v>
      </c>
      <c r="K1603" s="2" t="s">
        <v>64</v>
      </c>
      <c r="L1603" s="2" t="s">
        <v>9</v>
      </c>
      <c r="M1603" s="2" t="s">
        <v>20</v>
      </c>
      <c r="N1603" s="2" t="s">
        <v>11</v>
      </c>
      <c r="O1603" s="2" t="s">
        <v>12</v>
      </c>
      <c r="P1603" s="2" t="s">
        <v>35</v>
      </c>
      <c r="Q1603" s="2" t="s">
        <v>46</v>
      </c>
      <c r="R1603" s="2" t="s">
        <v>18</v>
      </c>
      <c r="S1603">
        <v>5</v>
      </c>
    </row>
    <row r="1604" spans="1:19" x14ac:dyDescent="0.3">
      <c r="A1604">
        <v>2097</v>
      </c>
      <c r="B1604">
        <f>YEAR(Cleaned_HR_Data_Analysis__2[[#This Row],[Joining_Date]])</f>
        <v>2018</v>
      </c>
      <c r="C1604" s="1">
        <v>43440</v>
      </c>
      <c r="D1604" s="1" t="str" cm="1">
        <f t="array" ref="D1604">_xlfn.IFS(E1604&lt;28, "17-27",
AND(E1604&gt;27, E1604&lt;38), "28-37",
AND(E1604&gt;37, E1604 &lt;48), "38-47",
AND(E1604&gt;47, E1604 &lt;58), "48-57",
AND(E1604&gt;57, E1604&lt;68), "58-67",
AND(E1604&gt;67, E1604&lt;78), "68-77",
E1604&gt;77,"Above than 77")</f>
        <v>48-57</v>
      </c>
      <c r="E1604">
        <v>54</v>
      </c>
      <c r="F1604" s="1">
        <v>23432</v>
      </c>
      <c r="G1604" s="1" t="str">
        <f>VLOOKUP(H1604,Table7[#All], 2, FALSE)</f>
        <v>Massachusetts</v>
      </c>
      <c r="H1604" s="2" t="s">
        <v>14</v>
      </c>
      <c r="I1604" s="2" t="s">
        <v>15</v>
      </c>
      <c r="J1604" s="2" t="s">
        <v>17</v>
      </c>
      <c r="K1604" s="2" t="s">
        <v>64</v>
      </c>
      <c r="L1604" s="2" t="s">
        <v>9</v>
      </c>
      <c r="M1604" s="2" t="s">
        <v>20</v>
      </c>
      <c r="N1604" s="2" t="s">
        <v>11</v>
      </c>
      <c r="O1604" s="2" t="s">
        <v>12</v>
      </c>
      <c r="P1604" s="2" t="s">
        <v>21</v>
      </c>
      <c r="Q1604" s="2" t="s">
        <v>37</v>
      </c>
      <c r="R1604" s="2" t="s">
        <v>65</v>
      </c>
      <c r="S1604">
        <v>1</v>
      </c>
    </row>
    <row r="1605" spans="1:19" x14ac:dyDescent="0.3">
      <c r="A1605">
        <v>1300</v>
      </c>
      <c r="B1605">
        <f>YEAR(Cleaned_HR_Data_Analysis__2[[#This Row],[Joining_Date]])</f>
        <v>2021</v>
      </c>
      <c r="C1605" s="1">
        <v>44359</v>
      </c>
      <c r="D1605" s="1" t="str" cm="1">
        <f t="array" ref="D1605">_xlfn.IFS(E1605&lt;28, "17-27",
AND(E1605&gt;27, E1605&lt;38), "28-37",
AND(E1605&gt;37, E1605 &lt;48), "38-47",
AND(E1605&gt;47, E1605 &lt;58), "48-57",
AND(E1605&gt;57, E1605&lt;68), "58-67",
AND(E1605&gt;67, E1605&lt;78), "68-77",
E1605&gt;77,"Above than 77")</f>
        <v>48-57</v>
      </c>
      <c r="E1605">
        <v>54</v>
      </c>
      <c r="F1605" s="1">
        <v>24720</v>
      </c>
      <c r="G1605" s="1" t="str">
        <f>VLOOKUP(H1605,Table7[#All], 2, FALSE)</f>
        <v>Massachusetts</v>
      </c>
      <c r="H1605" s="2" t="s">
        <v>14</v>
      </c>
      <c r="I1605" s="2" t="s">
        <v>15</v>
      </c>
      <c r="J1605" s="2" t="s">
        <v>34</v>
      </c>
      <c r="K1605" s="2" t="s">
        <v>64</v>
      </c>
      <c r="L1605" s="2" t="s">
        <v>9</v>
      </c>
      <c r="M1605" s="2" t="s">
        <v>10</v>
      </c>
      <c r="N1605" s="2" t="s">
        <v>26</v>
      </c>
      <c r="O1605" s="2" t="s">
        <v>12</v>
      </c>
      <c r="P1605" s="2" t="s">
        <v>35</v>
      </c>
      <c r="Q1605" s="2" t="s">
        <v>37</v>
      </c>
      <c r="R1605" s="2" t="s">
        <v>18</v>
      </c>
      <c r="S1605">
        <v>3</v>
      </c>
    </row>
    <row r="1606" spans="1:19" x14ac:dyDescent="0.3">
      <c r="A1606">
        <v>3728</v>
      </c>
      <c r="B1606">
        <f>YEAR(Cleaned_HR_Data_Analysis__2[[#This Row],[Joining_Date]])</f>
        <v>2021</v>
      </c>
      <c r="C1606" s="1">
        <v>44553</v>
      </c>
      <c r="D1606" s="1" t="str" cm="1">
        <f t="array" ref="D1606">_xlfn.IFS(E1606&lt;28, "17-27",
AND(E1606&gt;27, E1606&lt;38), "28-37",
AND(E1606&gt;37, E1606 &lt;48), "38-47",
AND(E1606&gt;47, E1606 &lt;58), "48-57",
AND(E1606&gt;57, E1606&lt;68), "58-67",
AND(E1606&gt;67, E1606&lt;78), "68-77",
E1606&gt;77,"Above than 77")</f>
        <v>48-57</v>
      </c>
      <c r="E1606">
        <v>54</v>
      </c>
      <c r="F1606" s="1">
        <v>24510</v>
      </c>
      <c r="G1606" s="1" t="str">
        <f>VLOOKUP(H1606,Table7[#All], 2, FALSE)</f>
        <v>Massachusetts</v>
      </c>
      <c r="H1606" s="2" t="s">
        <v>14</v>
      </c>
      <c r="I1606" s="2" t="s">
        <v>22</v>
      </c>
      <c r="J1606" s="2" t="s">
        <v>40</v>
      </c>
      <c r="K1606" s="2" t="s">
        <v>8</v>
      </c>
      <c r="L1606" s="2" t="s">
        <v>9</v>
      </c>
      <c r="M1606" s="2" t="s">
        <v>10</v>
      </c>
      <c r="N1606" s="2" t="s">
        <v>19</v>
      </c>
      <c r="O1606" s="2" t="s">
        <v>12</v>
      </c>
      <c r="P1606" s="2" t="s">
        <v>49</v>
      </c>
      <c r="Q1606" s="2" t="s">
        <v>23</v>
      </c>
      <c r="R1606" s="2" t="s">
        <v>18</v>
      </c>
      <c r="S1606">
        <v>1</v>
      </c>
    </row>
    <row r="1607" spans="1:19" x14ac:dyDescent="0.3">
      <c r="A1607">
        <v>3630</v>
      </c>
      <c r="B1607">
        <f>YEAR(Cleaned_HR_Data_Analysis__2[[#This Row],[Joining_Date]])</f>
        <v>2019</v>
      </c>
      <c r="C1607" s="1">
        <v>43519</v>
      </c>
      <c r="D1607" s="1" t="str" cm="1">
        <f t="array" ref="D1607">_xlfn.IFS(E1607&lt;28, "17-27",
AND(E1607&gt;27, E1607&lt;38), "28-37",
AND(E1607&gt;37, E1607 &lt;48), "38-47",
AND(E1607&gt;47, E1607 &lt;58), "48-57",
AND(E1607&gt;57, E1607&lt;68), "58-67",
AND(E1607&gt;67, E1607&lt;78), "68-77",
E1607&gt;77,"Above than 77")</f>
        <v>48-57</v>
      </c>
      <c r="E1607">
        <v>54</v>
      </c>
      <c r="F1607" s="1">
        <v>23869</v>
      </c>
      <c r="G1607" s="1" t="str">
        <f>VLOOKUP(H1607,Table7[#All], 2, FALSE)</f>
        <v>Massachusetts</v>
      </c>
      <c r="H1607" s="2" t="s">
        <v>14</v>
      </c>
      <c r="I1607" s="2" t="s">
        <v>22</v>
      </c>
      <c r="J1607" s="2" t="s">
        <v>17</v>
      </c>
      <c r="K1607" s="2" t="s">
        <v>8</v>
      </c>
      <c r="L1607" s="2" t="s">
        <v>9</v>
      </c>
      <c r="M1607" s="2" t="s">
        <v>10</v>
      </c>
      <c r="N1607" s="2" t="s">
        <v>26</v>
      </c>
      <c r="O1607" s="2" t="s">
        <v>12</v>
      </c>
      <c r="P1607" s="2" t="s">
        <v>35</v>
      </c>
      <c r="Q1607" s="2" t="s">
        <v>30</v>
      </c>
      <c r="R1607" s="2" t="s">
        <v>18</v>
      </c>
      <c r="S1607">
        <v>3</v>
      </c>
    </row>
    <row r="1608" spans="1:19" x14ac:dyDescent="0.3">
      <c r="A1608">
        <v>3606</v>
      </c>
      <c r="B1608">
        <f>YEAR(Cleaned_HR_Data_Analysis__2[[#This Row],[Joining_Date]])</f>
        <v>2019</v>
      </c>
      <c r="C1608" s="1">
        <v>43678</v>
      </c>
      <c r="D1608" s="1" t="str" cm="1">
        <f t="array" ref="D1608">_xlfn.IFS(E1608&lt;28, "17-27",
AND(E1608&gt;27, E1608&lt;38), "28-37",
AND(E1608&gt;37, E1608 &lt;48), "38-47",
AND(E1608&gt;47, E1608 &lt;58), "48-57",
AND(E1608&gt;57, E1608&lt;68), "58-67",
AND(E1608&gt;67, E1608&lt;78), "68-77",
E1608&gt;77,"Above than 77")</f>
        <v>48-57</v>
      </c>
      <c r="E1608">
        <v>54</v>
      </c>
      <c r="F1608" s="1">
        <v>23814</v>
      </c>
      <c r="G1608" s="1" t="str">
        <f>VLOOKUP(H1608,Table7[#All], 2, FALSE)</f>
        <v>Massachusetts</v>
      </c>
      <c r="H1608" s="2" t="s">
        <v>14</v>
      </c>
      <c r="I1608" s="2" t="s">
        <v>22</v>
      </c>
      <c r="J1608" s="2" t="s">
        <v>40</v>
      </c>
      <c r="K1608" s="2" t="s">
        <v>8</v>
      </c>
      <c r="L1608" s="2" t="s">
        <v>66</v>
      </c>
      <c r="M1608" s="2" t="s">
        <v>20</v>
      </c>
      <c r="N1608" s="2" t="s">
        <v>11</v>
      </c>
      <c r="O1608" s="2" t="s">
        <v>12</v>
      </c>
      <c r="P1608" s="2" t="s">
        <v>67</v>
      </c>
      <c r="Q1608" s="2" t="s">
        <v>30</v>
      </c>
      <c r="R1608" s="2" t="s">
        <v>18</v>
      </c>
      <c r="S1608">
        <v>5</v>
      </c>
    </row>
    <row r="1609" spans="1:19" x14ac:dyDescent="0.3">
      <c r="A1609">
        <v>3362</v>
      </c>
      <c r="B1609">
        <f>YEAR(Cleaned_HR_Data_Analysis__2[[#This Row],[Joining_Date]])</f>
        <v>2021</v>
      </c>
      <c r="C1609" s="1">
        <v>44410</v>
      </c>
      <c r="D1609" s="1" t="str" cm="1">
        <f t="array" ref="D1609">_xlfn.IFS(E1609&lt;28, "17-27",
AND(E1609&gt;27, E1609&lt;38), "28-37",
AND(E1609&gt;37, E1609 &lt;48), "38-47",
AND(E1609&gt;47, E1609 &lt;58), "48-57",
AND(E1609&gt;57, E1609&lt;68), "58-67",
AND(E1609&gt;67, E1609&lt;78), "68-77",
E1609&gt;77,"Above than 77")</f>
        <v>48-57</v>
      </c>
      <c r="E1609">
        <v>54</v>
      </c>
      <c r="F1609" s="1">
        <v>24786</v>
      </c>
      <c r="G1609" s="1" t="str">
        <f>VLOOKUP(H1609,Table7[#All], 2, FALSE)</f>
        <v>Massachusetts</v>
      </c>
      <c r="H1609" s="2" t="s">
        <v>14</v>
      </c>
      <c r="I1609" s="2" t="s">
        <v>15</v>
      </c>
      <c r="J1609" s="2" t="s">
        <v>17</v>
      </c>
      <c r="K1609" s="2" t="s">
        <v>8</v>
      </c>
      <c r="L1609" s="2" t="s">
        <v>9</v>
      </c>
      <c r="M1609" s="2" t="s">
        <v>25</v>
      </c>
      <c r="N1609" s="2" t="s">
        <v>11</v>
      </c>
      <c r="O1609" s="2" t="s">
        <v>12</v>
      </c>
      <c r="P1609" s="2" t="s">
        <v>35</v>
      </c>
      <c r="Q1609" s="2" t="s">
        <v>46</v>
      </c>
      <c r="R1609" s="2" t="s">
        <v>41</v>
      </c>
      <c r="S1609">
        <v>5</v>
      </c>
    </row>
    <row r="1610" spans="1:19" x14ac:dyDescent="0.3">
      <c r="A1610">
        <v>3293</v>
      </c>
      <c r="B1610">
        <f>YEAR(Cleaned_HR_Data_Analysis__2[[#This Row],[Joining_Date]])</f>
        <v>2021</v>
      </c>
      <c r="C1610" s="1">
        <v>44295</v>
      </c>
      <c r="D1610" s="1" t="str" cm="1">
        <f t="array" ref="D1610">_xlfn.IFS(E1610&lt;28, "17-27",
AND(E1610&gt;27, E1610&lt;38), "28-37",
AND(E1610&gt;37, E1610 &lt;48), "38-47",
AND(E1610&gt;47, E1610 &lt;58), "48-57",
AND(E1610&gt;57, E1610&lt;68), "58-67",
AND(E1610&gt;67, E1610&lt;78), "68-77",
E1610&gt;77,"Above than 77")</f>
        <v>48-57</v>
      </c>
      <c r="E1610">
        <v>54</v>
      </c>
      <c r="F1610" s="1">
        <v>24716</v>
      </c>
      <c r="G1610" s="1" t="str">
        <f>VLOOKUP(H1610,Table7[#All], 2, FALSE)</f>
        <v>Massachusetts</v>
      </c>
      <c r="H1610" s="2" t="s">
        <v>14</v>
      </c>
      <c r="I1610" s="2" t="s">
        <v>15</v>
      </c>
      <c r="J1610" s="2" t="s">
        <v>34</v>
      </c>
      <c r="K1610" s="2" t="s">
        <v>8</v>
      </c>
      <c r="L1610" s="2" t="s">
        <v>66</v>
      </c>
      <c r="M1610" s="2" t="s">
        <v>10</v>
      </c>
      <c r="N1610" s="2" t="s">
        <v>11</v>
      </c>
      <c r="O1610" s="2" t="s">
        <v>12</v>
      </c>
      <c r="P1610" s="2" t="s">
        <v>32</v>
      </c>
      <c r="Q1610" s="2" t="s">
        <v>37</v>
      </c>
      <c r="R1610" s="2" t="s">
        <v>18</v>
      </c>
      <c r="S1610">
        <v>3</v>
      </c>
    </row>
    <row r="1611" spans="1:19" x14ac:dyDescent="0.3">
      <c r="A1611">
        <v>3186</v>
      </c>
      <c r="B1611">
        <f>YEAR(Cleaned_HR_Data_Analysis__2[[#This Row],[Joining_Date]])</f>
        <v>2021</v>
      </c>
      <c r="C1611" s="1">
        <v>44437</v>
      </c>
      <c r="D1611" s="1" t="str" cm="1">
        <f t="array" ref="D1611">_xlfn.IFS(E1611&lt;28, "17-27",
AND(E1611&gt;27, E1611&lt;38), "28-37",
AND(E1611&gt;37, E1611 &lt;48), "38-47",
AND(E1611&gt;47, E1611 &lt;58), "48-57",
AND(E1611&gt;57, E1611&lt;68), "58-67",
AND(E1611&gt;67, E1611&lt;78), "68-77",
E1611&gt;77,"Above than 77")</f>
        <v>48-57</v>
      </c>
      <c r="E1611">
        <v>54</v>
      </c>
      <c r="F1611" s="1">
        <v>24595</v>
      </c>
      <c r="G1611" s="1" t="str">
        <f>VLOOKUP(H1611,Table7[#All], 2, FALSE)</f>
        <v>Massachusetts</v>
      </c>
      <c r="H1611" s="2" t="s">
        <v>14</v>
      </c>
      <c r="I1611" s="2" t="s">
        <v>15</v>
      </c>
      <c r="J1611" s="2" t="s">
        <v>40</v>
      </c>
      <c r="K1611" s="2" t="s">
        <v>8</v>
      </c>
      <c r="L1611" s="2" t="s">
        <v>9</v>
      </c>
      <c r="M1611" s="2" t="s">
        <v>20</v>
      </c>
      <c r="N1611" s="2" t="s">
        <v>19</v>
      </c>
      <c r="O1611" s="2" t="s">
        <v>12</v>
      </c>
      <c r="P1611" s="2" t="s">
        <v>21</v>
      </c>
      <c r="Q1611" s="2" t="s">
        <v>37</v>
      </c>
      <c r="R1611" s="2" t="s">
        <v>18</v>
      </c>
      <c r="S1611">
        <v>2</v>
      </c>
    </row>
    <row r="1612" spans="1:19" x14ac:dyDescent="0.3">
      <c r="A1612">
        <v>3044</v>
      </c>
      <c r="B1612">
        <f>YEAR(Cleaned_HR_Data_Analysis__2[[#This Row],[Joining_Date]])</f>
        <v>2020</v>
      </c>
      <c r="C1612" s="1">
        <v>44069</v>
      </c>
      <c r="D1612" s="1" t="str" cm="1">
        <f t="array" ref="D1612">_xlfn.IFS(E1612&lt;28, "17-27",
AND(E1612&gt;27, E1612&lt;38), "28-37",
AND(E1612&gt;37, E1612 &lt;48), "38-47",
AND(E1612&gt;47, E1612 &lt;58), "48-57",
AND(E1612&gt;57, E1612&lt;68), "58-67",
AND(E1612&gt;67, E1612&lt;78), "68-77",
E1612&gt;77,"Above than 77")</f>
        <v>48-57</v>
      </c>
      <c r="E1612">
        <v>54</v>
      </c>
      <c r="F1612" s="1">
        <v>24165</v>
      </c>
      <c r="G1612" s="1" t="str">
        <f>VLOOKUP(H1612,Table7[#All], 2, FALSE)</f>
        <v>Massachusetts</v>
      </c>
      <c r="H1612" s="2" t="s">
        <v>14</v>
      </c>
      <c r="I1612" s="2" t="s">
        <v>22</v>
      </c>
      <c r="J1612" s="2" t="s">
        <v>31</v>
      </c>
      <c r="K1612" s="2" t="s">
        <v>8</v>
      </c>
      <c r="L1612" s="2" t="s">
        <v>9</v>
      </c>
      <c r="M1612" s="2" t="s">
        <v>10</v>
      </c>
      <c r="N1612" s="2" t="s">
        <v>26</v>
      </c>
      <c r="O1612" s="2" t="s">
        <v>12</v>
      </c>
      <c r="P1612" s="2" t="s">
        <v>32</v>
      </c>
      <c r="Q1612" s="2" t="s">
        <v>16</v>
      </c>
      <c r="R1612" s="2" t="s">
        <v>41</v>
      </c>
      <c r="S1612">
        <v>1</v>
      </c>
    </row>
    <row r="1613" spans="1:19" x14ac:dyDescent="0.3">
      <c r="A1613">
        <v>3034</v>
      </c>
      <c r="B1613">
        <f>YEAR(Cleaned_HR_Data_Analysis__2[[#This Row],[Joining_Date]])</f>
        <v>2021</v>
      </c>
      <c r="C1613" s="1">
        <v>44485</v>
      </c>
      <c r="D1613" s="1" t="str" cm="1">
        <f t="array" ref="D1613">_xlfn.IFS(E1613&lt;28, "17-27",
AND(E1613&gt;27, E1613&lt;38), "28-37",
AND(E1613&gt;37, E1613 &lt;48), "38-47",
AND(E1613&gt;47, E1613 &lt;58), "48-57",
AND(E1613&gt;57, E1613&lt;68), "58-67",
AND(E1613&gt;67, E1613&lt;78), "68-77",
E1613&gt;77,"Above than 77")</f>
        <v>48-57</v>
      </c>
      <c r="E1613">
        <v>54</v>
      </c>
      <c r="F1613" s="1">
        <v>24596</v>
      </c>
      <c r="G1613" s="1" t="str">
        <f>VLOOKUP(H1613,Table7[#All], 2, FALSE)</f>
        <v>Massachusetts</v>
      </c>
      <c r="H1613" s="2" t="s">
        <v>14</v>
      </c>
      <c r="I1613" s="2" t="s">
        <v>15</v>
      </c>
      <c r="J1613" s="2" t="s">
        <v>31</v>
      </c>
      <c r="K1613" s="2" t="s">
        <v>8</v>
      </c>
      <c r="L1613" s="2" t="s">
        <v>9</v>
      </c>
      <c r="M1613" s="2" t="s">
        <v>25</v>
      </c>
      <c r="N1613" s="2" t="s">
        <v>26</v>
      </c>
      <c r="O1613" s="2" t="s">
        <v>12</v>
      </c>
      <c r="P1613" s="2" t="s">
        <v>35</v>
      </c>
      <c r="Q1613" s="2" t="s">
        <v>16</v>
      </c>
      <c r="R1613" s="2" t="s">
        <v>18</v>
      </c>
      <c r="S1613">
        <v>4</v>
      </c>
    </row>
    <row r="1614" spans="1:19" x14ac:dyDescent="0.3">
      <c r="A1614">
        <v>2987</v>
      </c>
      <c r="B1614">
        <f>YEAR(Cleaned_HR_Data_Analysis__2[[#This Row],[Joining_Date]])</f>
        <v>2020</v>
      </c>
      <c r="C1614" s="1">
        <v>44098</v>
      </c>
      <c r="D1614" s="1" t="str" cm="1">
        <f t="array" ref="D1614">_xlfn.IFS(E1614&lt;28, "17-27",
AND(E1614&gt;27, E1614&lt;38), "28-37",
AND(E1614&gt;37, E1614 &lt;48), "38-47",
AND(E1614&gt;47, E1614 &lt;58), "48-57",
AND(E1614&gt;57, E1614&lt;68), "58-67",
AND(E1614&gt;67, E1614&lt;78), "68-77",
E1614&gt;77,"Above than 77")</f>
        <v>48-57</v>
      </c>
      <c r="E1614">
        <v>54</v>
      </c>
      <c r="F1614" s="1">
        <v>24158</v>
      </c>
      <c r="G1614" s="1" t="str">
        <f>VLOOKUP(H1614,Table7[#All], 2, FALSE)</f>
        <v>Massachusetts</v>
      </c>
      <c r="H1614" s="2" t="s">
        <v>14</v>
      </c>
      <c r="I1614" s="2" t="s">
        <v>22</v>
      </c>
      <c r="J1614" s="2" t="s">
        <v>31</v>
      </c>
      <c r="K1614" s="2" t="s">
        <v>8</v>
      </c>
      <c r="L1614" s="2" t="s">
        <v>9</v>
      </c>
      <c r="M1614" s="2" t="s">
        <v>10</v>
      </c>
      <c r="N1614" s="2" t="s">
        <v>26</v>
      </c>
      <c r="O1614" s="2" t="s">
        <v>12</v>
      </c>
      <c r="P1614" s="2" t="s">
        <v>58</v>
      </c>
      <c r="Q1614" s="2" t="s">
        <v>30</v>
      </c>
      <c r="R1614" s="2" t="s">
        <v>18</v>
      </c>
      <c r="S1614">
        <v>3</v>
      </c>
    </row>
    <row r="1615" spans="1:19" x14ac:dyDescent="0.3">
      <c r="A1615">
        <v>1890</v>
      </c>
      <c r="B1615">
        <f>YEAR(Cleaned_HR_Data_Analysis__2[[#This Row],[Joining_Date]])</f>
        <v>2022</v>
      </c>
      <c r="C1615" s="1">
        <v>44648</v>
      </c>
      <c r="D1615" s="1" t="str" cm="1">
        <f t="array" ref="D1615">_xlfn.IFS(E1615&lt;28, "17-27",
AND(E1615&gt;27, E1615&lt;38), "28-37",
AND(E1615&gt;37, E1615 &lt;48), "38-47",
AND(E1615&gt;47, E1615 &lt;58), "48-57",
AND(E1615&gt;57, E1615&lt;68), "58-67",
AND(E1615&gt;67, E1615&lt;78), "68-77",
E1615&gt;77,"Above than 77")</f>
        <v>48-57</v>
      </c>
      <c r="E1615">
        <v>54</v>
      </c>
      <c r="F1615" s="1">
        <v>24982</v>
      </c>
      <c r="G1615" s="1" t="str">
        <f>VLOOKUP(H1615,Table7[#All], 2, FALSE)</f>
        <v>Massachusetts</v>
      </c>
      <c r="H1615" s="2" t="s">
        <v>14</v>
      </c>
      <c r="I1615" s="2" t="s">
        <v>15</v>
      </c>
      <c r="J1615" s="2" t="s">
        <v>17</v>
      </c>
      <c r="K1615" s="2" t="s">
        <v>8</v>
      </c>
      <c r="L1615" s="2" t="s">
        <v>9</v>
      </c>
      <c r="M1615" s="2" t="s">
        <v>10</v>
      </c>
      <c r="N1615" s="2" t="s">
        <v>26</v>
      </c>
      <c r="O1615" s="2" t="s">
        <v>12</v>
      </c>
      <c r="P1615" s="2" t="s">
        <v>49</v>
      </c>
      <c r="Q1615" s="2" t="s">
        <v>16</v>
      </c>
      <c r="R1615" s="2" t="s">
        <v>18</v>
      </c>
      <c r="S1615">
        <v>3</v>
      </c>
    </row>
    <row r="1616" spans="1:19" x14ac:dyDescent="0.3">
      <c r="A1616">
        <v>1851</v>
      </c>
      <c r="B1616">
        <f>YEAR(Cleaned_HR_Data_Analysis__2[[#This Row],[Joining_Date]])</f>
        <v>2021</v>
      </c>
      <c r="C1616" s="1">
        <v>44511</v>
      </c>
      <c r="D1616" s="1" t="str" cm="1">
        <f t="array" ref="D1616">_xlfn.IFS(E1616&lt;28, "17-27",
AND(E1616&gt;27, E1616&lt;38), "28-37",
AND(E1616&gt;37, E1616 &lt;48), "38-47",
AND(E1616&gt;47, E1616 &lt;58), "48-57",
AND(E1616&gt;57, E1616&lt;68), "58-67",
AND(E1616&gt;67, E1616&lt;78), "68-77",
E1616&gt;77,"Above than 77")</f>
        <v>48-57</v>
      </c>
      <c r="E1616">
        <v>54</v>
      </c>
      <c r="F1616" s="1">
        <v>24774</v>
      </c>
      <c r="G1616" s="1" t="str">
        <f>VLOOKUP(H1616,Table7[#All], 2, FALSE)</f>
        <v>Massachusetts</v>
      </c>
      <c r="H1616" s="2" t="s">
        <v>14</v>
      </c>
      <c r="I1616" s="2" t="s">
        <v>15</v>
      </c>
      <c r="J1616" s="2" t="s">
        <v>31</v>
      </c>
      <c r="K1616" s="2" t="s">
        <v>8</v>
      </c>
      <c r="L1616" s="2" t="s">
        <v>66</v>
      </c>
      <c r="M1616" s="2" t="s">
        <v>25</v>
      </c>
      <c r="N1616" s="2" t="s">
        <v>26</v>
      </c>
      <c r="O1616" s="2" t="s">
        <v>12</v>
      </c>
      <c r="P1616" s="2" t="s">
        <v>32</v>
      </c>
      <c r="Q1616" s="2" t="s">
        <v>23</v>
      </c>
      <c r="R1616" s="2" t="s">
        <v>65</v>
      </c>
      <c r="S1616">
        <v>1</v>
      </c>
    </row>
    <row r="1617" spans="1:19" x14ac:dyDescent="0.3">
      <c r="A1617">
        <v>1595</v>
      </c>
      <c r="B1617">
        <f>YEAR(Cleaned_HR_Data_Analysis__2[[#This Row],[Joining_Date]])</f>
        <v>2023</v>
      </c>
      <c r="C1617" s="1">
        <v>45086</v>
      </c>
      <c r="D1617" s="1" t="str" cm="1">
        <f t="array" ref="D1617">_xlfn.IFS(E1617&lt;28, "17-27",
AND(E1617&gt;27, E1617&lt;38), "28-37",
AND(E1617&gt;37, E1617 &lt;48), "38-47",
AND(E1617&gt;47, E1617 &lt;58), "48-57",
AND(E1617&gt;57, E1617&lt;68), "58-67",
AND(E1617&gt;67, E1617&lt;78), "68-77",
E1617&gt;77,"Above than 77")</f>
        <v>48-57</v>
      </c>
      <c r="E1617">
        <v>54</v>
      </c>
      <c r="F1617" s="1">
        <v>25457</v>
      </c>
      <c r="G1617" s="1" t="str">
        <f>VLOOKUP(H1617,Table7[#All], 2, FALSE)</f>
        <v>Massachusetts</v>
      </c>
      <c r="H1617" s="2" t="s">
        <v>14</v>
      </c>
      <c r="I1617" s="2" t="s">
        <v>15</v>
      </c>
      <c r="J1617" s="2" t="s">
        <v>34</v>
      </c>
      <c r="K1617" s="2" t="s">
        <v>8</v>
      </c>
      <c r="L1617" s="2" t="s">
        <v>9</v>
      </c>
      <c r="M1617" s="2" t="s">
        <v>20</v>
      </c>
      <c r="N1617" s="2" t="s">
        <v>19</v>
      </c>
      <c r="O1617" s="2" t="s">
        <v>12</v>
      </c>
      <c r="P1617" s="2" t="s">
        <v>38</v>
      </c>
      <c r="Q1617" s="2" t="s">
        <v>37</v>
      </c>
      <c r="R1617" s="2" t="s">
        <v>41</v>
      </c>
      <c r="S1617">
        <v>4</v>
      </c>
    </row>
    <row r="1618" spans="1:19" x14ac:dyDescent="0.3">
      <c r="A1618">
        <v>1594</v>
      </c>
      <c r="B1618">
        <f>YEAR(Cleaned_HR_Data_Analysis__2[[#This Row],[Joining_Date]])</f>
        <v>2022</v>
      </c>
      <c r="C1618" s="1">
        <v>44758</v>
      </c>
      <c r="D1618" s="1" t="str" cm="1">
        <f t="array" ref="D1618">_xlfn.IFS(E1618&lt;28, "17-27",
AND(E1618&gt;27, E1618&lt;38), "28-37",
AND(E1618&gt;37, E1618 &lt;48), "38-47",
AND(E1618&gt;47, E1618 &lt;58), "48-57",
AND(E1618&gt;57, E1618&lt;68), "58-67",
AND(E1618&gt;67, E1618&lt;78), "68-77",
E1618&gt;77,"Above than 77")</f>
        <v>48-57</v>
      </c>
      <c r="E1618">
        <v>54</v>
      </c>
      <c r="F1618" s="1">
        <v>24958</v>
      </c>
      <c r="G1618" s="1" t="str">
        <f>VLOOKUP(H1618,Table7[#All], 2, FALSE)</f>
        <v>Massachusetts</v>
      </c>
      <c r="H1618" s="2" t="s">
        <v>14</v>
      </c>
      <c r="I1618" s="2" t="s">
        <v>15</v>
      </c>
      <c r="J1618" s="2" t="s">
        <v>31</v>
      </c>
      <c r="K1618" s="2" t="s">
        <v>8</v>
      </c>
      <c r="L1618" s="2" t="s">
        <v>9</v>
      </c>
      <c r="M1618" s="2" t="s">
        <v>20</v>
      </c>
      <c r="N1618" s="2" t="s">
        <v>26</v>
      </c>
      <c r="O1618" s="2" t="s">
        <v>12</v>
      </c>
      <c r="P1618" s="2" t="s">
        <v>21</v>
      </c>
      <c r="Q1618" s="2" t="s">
        <v>37</v>
      </c>
      <c r="R1618" s="2" t="s">
        <v>41</v>
      </c>
      <c r="S1618">
        <v>1</v>
      </c>
    </row>
    <row r="1619" spans="1:19" x14ac:dyDescent="0.3">
      <c r="A1619">
        <v>1540</v>
      </c>
      <c r="B1619">
        <f>YEAR(Cleaned_HR_Data_Analysis__2[[#This Row],[Joining_Date]])</f>
        <v>2021</v>
      </c>
      <c r="C1619" s="1">
        <v>44245</v>
      </c>
      <c r="D1619" s="1" t="str" cm="1">
        <f t="array" ref="D1619">_xlfn.IFS(E1619&lt;28, "17-27",
AND(E1619&gt;27, E1619&lt;38), "28-37",
AND(E1619&gt;37, E1619 &lt;48), "38-47",
AND(E1619&gt;47, E1619 &lt;58), "48-57",
AND(E1619&gt;57, E1619&lt;68), "58-67",
AND(E1619&gt;67, E1619&lt;78), "68-77",
E1619&gt;77,"Above than 77")</f>
        <v>48-57</v>
      </c>
      <c r="E1619">
        <v>54</v>
      </c>
      <c r="F1619" s="1">
        <v>24522</v>
      </c>
      <c r="G1619" s="1" t="str">
        <f>VLOOKUP(H1619,Table7[#All], 2, FALSE)</f>
        <v>Massachusetts</v>
      </c>
      <c r="H1619" s="2" t="s">
        <v>14</v>
      </c>
      <c r="I1619" s="2" t="s">
        <v>15</v>
      </c>
      <c r="J1619" s="2" t="s">
        <v>17</v>
      </c>
      <c r="K1619" s="2" t="s">
        <v>8</v>
      </c>
      <c r="L1619" s="2" t="s">
        <v>9</v>
      </c>
      <c r="M1619" s="2" t="s">
        <v>10</v>
      </c>
      <c r="N1619" s="2" t="s">
        <v>11</v>
      </c>
      <c r="O1619" s="2" t="s">
        <v>12</v>
      </c>
      <c r="P1619" s="2" t="s">
        <v>68</v>
      </c>
      <c r="Q1619" s="2" t="s">
        <v>37</v>
      </c>
      <c r="R1619" s="2" t="s">
        <v>18</v>
      </c>
      <c r="S1619">
        <v>4</v>
      </c>
    </row>
    <row r="1620" spans="1:19" x14ac:dyDescent="0.3">
      <c r="A1620">
        <v>2466</v>
      </c>
      <c r="B1620">
        <f>YEAR(Cleaned_HR_Data_Analysis__2[[#This Row],[Joining_Date]])</f>
        <v>2021</v>
      </c>
      <c r="C1620" s="1">
        <v>44514</v>
      </c>
      <c r="D1620" s="1" t="str" cm="1">
        <f t="array" ref="D1620">_xlfn.IFS(E1620&lt;28, "17-27",
AND(E1620&gt;27, E1620&lt;38), "28-37",
AND(E1620&gt;37, E1620 &lt;48), "38-47",
AND(E1620&gt;47, E1620 &lt;58), "48-57",
AND(E1620&gt;57, E1620&lt;68), "58-67",
AND(E1620&gt;67, E1620&lt;78), "68-77",
E1620&gt;77,"Above than 77")</f>
        <v>48-57</v>
      </c>
      <c r="E1620">
        <v>54</v>
      </c>
      <c r="F1620" s="1">
        <v>24728</v>
      </c>
      <c r="G1620" s="1" t="str">
        <f>VLOOKUP(H1620,Table7[#All], 2, FALSE)</f>
        <v>Massachusetts</v>
      </c>
      <c r="H1620" s="2" t="s">
        <v>14</v>
      </c>
      <c r="I1620" s="2" t="s">
        <v>15</v>
      </c>
      <c r="J1620" s="2" t="s">
        <v>17</v>
      </c>
      <c r="K1620" s="2" t="s">
        <v>91</v>
      </c>
      <c r="L1620" s="2" t="s">
        <v>66</v>
      </c>
      <c r="M1620" s="2" t="s">
        <v>10</v>
      </c>
      <c r="N1620" s="2" t="s">
        <v>19</v>
      </c>
      <c r="O1620" s="2" t="s">
        <v>12</v>
      </c>
      <c r="P1620" s="2" t="s">
        <v>55</v>
      </c>
      <c r="Q1620" s="2" t="s">
        <v>16</v>
      </c>
      <c r="R1620" s="2" t="s">
        <v>18</v>
      </c>
      <c r="S1620">
        <v>4</v>
      </c>
    </row>
    <row r="1621" spans="1:19" x14ac:dyDescent="0.3">
      <c r="A1621">
        <v>2476</v>
      </c>
      <c r="B1621">
        <f>YEAR(Cleaned_HR_Data_Analysis__2[[#This Row],[Joining_Date]])</f>
        <v>2021</v>
      </c>
      <c r="C1621" s="1">
        <v>44470</v>
      </c>
      <c r="D1621" s="1" t="str" cm="1">
        <f t="array" ref="D1621">_xlfn.IFS(E1621&lt;28, "17-27",
AND(E1621&gt;27, E1621&lt;38), "28-37",
AND(E1621&gt;37, E1621 &lt;48), "38-47",
AND(E1621&gt;47, E1621 &lt;58), "48-57",
AND(E1621&gt;57, E1621&lt;68), "58-67",
AND(E1621&gt;67, E1621&lt;78), "68-77",
E1621&gt;77,"Above than 77")</f>
        <v>48-57</v>
      </c>
      <c r="E1621">
        <v>54</v>
      </c>
      <c r="F1621" s="1">
        <v>24664</v>
      </c>
      <c r="G1621" s="1" t="str">
        <f>VLOOKUP(H1621,Table7[#All], 2, FALSE)</f>
        <v>Massachusetts</v>
      </c>
      <c r="H1621" s="2" t="s">
        <v>14</v>
      </c>
      <c r="I1621" s="2" t="s">
        <v>22</v>
      </c>
      <c r="J1621" s="2" t="s">
        <v>31</v>
      </c>
      <c r="K1621" s="2" t="s">
        <v>94</v>
      </c>
      <c r="L1621" s="2" t="s">
        <v>9</v>
      </c>
      <c r="M1621" s="2" t="s">
        <v>20</v>
      </c>
      <c r="N1621" s="2" t="s">
        <v>26</v>
      </c>
      <c r="O1621" s="2" t="s">
        <v>73</v>
      </c>
      <c r="P1621" s="2" t="s">
        <v>63</v>
      </c>
      <c r="Q1621" s="2" t="s">
        <v>30</v>
      </c>
      <c r="R1621" s="2" t="s">
        <v>18</v>
      </c>
      <c r="S1621">
        <v>5</v>
      </c>
    </row>
    <row r="1622" spans="1:19" x14ac:dyDescent="0.3">
      <c r="A1622">
        <v>2562</v>
      </c>
      <c r="B1622">
        <f>YEAR(Cleaned_HR_Data_Analysis__2[[#This Row],[Joining_Date]])</f>
        <v>2021</v>
      </c>
      <c r="C1622" s="1">
        <v>44298</v>
      </c>
      <c r="D1622" s="1" t="str" cm="1">
        <f t="array" ref="D1622">_xlfn.IFS(E1622&lt;28, "17-27",
AND(E1622&gt;27, E1622&lt;38), "28-37",
AND(E1622&gt;37, E1622 &lt;48), "38-47",
AND(E1622&gt;47, E1622 &lt;58), "48-57",
AND(E1622&gt;57, E1622&lt;68), "58-67",
AND(E1622&gt;67, E1622&lt;78), "68-77",
E1622&gt;77,"Above than 77")</f>
        <v>48-57</v>
      </c>
      <c r="E1622">
        <v>54</v>
      </c>
      <c r="F1622" s="1">
        <v>24794</v>
      </c>
      <c r="G1622" s="1" t="str">
        <f>VLOOKUP(H1622,Table7[#All], 2, FALSE)</f>
        <v>Massachusetts</v>
      </c>
      <c r="H1622" s="2" t="s">
        <v>14</v>
      </c>
      <c r="I1622" s="2" t="s">
        <v>22</v>
      </c>
      <c r="J1622" s="2" t="s">
        <v>34</v>
      </c>
      <c r="K1622" s="2" t="s">
        <v>103</v>
      </c>
      <c r="L1622" s="2" t="s">
        <v>9</v>
      </c>
      <c r="M1622" s="2" t="s">
        <v>10</v>
      </c>
      <c r="N1622" s="2" t="s">
        <v>26</v>
      </c>
      <c r="O1622" s="2" t="s">
        <v>53</v>
      </c>
      <c r="P1622" s="2" t="s">
        <v>35</v>
      </c>
      <c r="Q1622" s="2" t="s">
        <v>30</v>
      </c>
      <c r="R1622" s="2" t="s">
        <v>18</v>
      </c>
      <c r="S1622">
        <v>4</v>
      </c>
    </row>
    <row r="1623" spans="1:19" x14ac:dyDescent="0.3">
      <c r="A1623">
        <v>2524</v>
      </c>
      <c r="B1623">
        <f>YEAR(Cleaned_HR_Data_Analysis__2[[#This Row],[Joining_Date]])</f>
        <v>2023</v>
      </c>
      <c r="C1623" s="1">
        <v>45101</v>
      </c>
      <c r="D1623" s="1" t="str" cm="1">
        <f t="array" ref="D1623">_xlfn.IFS(E1623&lt;28, "17-27",
AND(E1623&gt;27, E1623&lt;38), "28-37",
AND(E1623&gt;37, E1623 &lt;48), "38-47",
AND(E1623&gt;47, E1623 &lt;58), "48-57",
AND(E1623&gt;57, E1623&lt;68), "58-67",
AND(E1623&gt;67, E1623&lt;78), "68-77",
E1623&gt;77,"Above than 77")</f>
        <v>48-57</v>
      </c>
      <c r="E1623">
        <v>54</v>
      </c>
      <c r="F1623" s="1">
        <v>25279</v>
      </c>
      <c r="G1623" s="1" t="str">
        <f>VLOOKUP(H1623,Table7[#All], 2, FALSE)</f>
        <v>Massachusetts</v>
      </c>
      <c r="H1623" s="2" t="s">
        <v>14</v>
      </c>
      <c r="I1623" s="2" t="s">
        <v>22</v>
      </c>
      <c r="J1623" s="2" t="s">
        <v>34</v>
      </c>
      <c r="K1623" s="2" t="s">
        <v>104</v>
      </c>
      <c r="L1623" s="2" t="s">
        <v>9</v>
      </c>
      <c r="M1623" s="2" t="s">
        <v>10</v>
      </c>
      <c r="N1623" s="2" t="s">
        <v>19</v>
      </c>
      <c r="O1623" s="2" t="s">
        <v>53</v>
      </c>
      <c r="P1623" s="2" t="s">
        <v>13</v>
      </c>
      <c r="Q1623" s="2" t="s">
        <v>37</v>
      </c>
      <c r="R1623" s="2" t="s">
        <v>18</v>
      </c>
      <c r="S1623">
        <v>3</v>
      </c>
    </row>
    <row r="1624" spans="1:19" x14ac:dyDescent="0.3">
      <c r="A1624">
        <v>3968</v>
      </c>
      <c r="B1624">
        <f>YEAR(Cleaned_HR_Data_Analysis__2[[#This Row],[Joining_Date]])</f>
        <v>2021</v>
      </c>
      <c r="C1624" s="1">
        <v>44247</v>
      </c>
      <c r="D1624" s="1" t="str" cm="1">
        <f t="array" ref="D1624">_xlfn.IFS(E1624&lt;28, "17-27",
AND(E1624&gt;27, E1624&lt;38), "28-37",
AND(E1624&gt;37, E1624 &lt;48), "38-47",
AND(E1624&gt;47, E1624 &lt;58), "48-57",
AND(E1624&gt;57, E1624&lt;68), "58-67",
AND(E1624&gt;67, E1624&lt;78), "68-77",
E1624&gt;77,"Above than 77")</f>
        <v>48-57</v>
      </c>
      <c r="E1624">
        <v>54</v>
      </c>
      <c r="F1624" s="1">
        <v>24667</v>
      </c>
      <c r="G1624" s="1" t="str">
        <f>VLOOKUP(H1624,Table7[#All], 2, FALSE)</f>
        <v>Massachusetts</v>
      </c>
      <c r="H1624" s="2" t="s">
        <v>14</v>
      </c>
      <c r="I1624" s="2" t="s">
        <v>15</v>
      </c>
      <c r="J1624" s="2" t="s">
        <v>34</v>
      </c>
      <c r="K1624" s="2" t="s">
        <v>78</v>
      </c>
      <c r="L1624" s="2" t="s">
        <v>9</v>
      </c>
      <c r="M1624" s="2" t="s">
        <v>10</v>
      </c>
      <c r="N1624" s="2" t="s">
        <v>26</v>
      </c>
      <c r="O1624" s="2" t="s">
        <v>53</v>
      </c>
      <c r="P1624" s="2" t="s">
        <v>42</v>
      </c>
      <c r="Q1624" s="2" t="s">
        <v>30</v>
      </c>
      <c r="R1624" s="2" t="s">
        <v>18</v>
      </c>
      <c r="S1624">
        <v>5</v>
      </c>
    </row>
    <row r="1625" spans="1:19" x14ac:dyDescent="0.3">
      <c r="A1625">
        <v>1715</v>
      </c>
      <c r="B1625">
        <f>YEAR(Cleaned_HR_Data_Analysis__2[[#This Row],[Joining_Date]])</f>
        <v>2020</v>
      </c>
      <c r="C1625" s="1">
        <v>44131</v>
      </c>
      <c r="D1625" s="1" t="str" cm="1">
        <f t="array" ref="D1625">_xlfn.IFS(E1625&lt;28, "17-27",
AND(E1625&gt;27, E1625&lt;38), "28-37",
AND(E1625&gt;37, E1625 &lt;48), "38-47",
AND(E1625&gt;47, E1625 &lt;58), "48-57",
AND(E1625&gt;57, E1625&lt;68), "58-67",
AND(E1625&gt;67, E1625&lt;78), "68-77",
E1625&gt;77,"Above than 77")</f>
        <v>48-57</v>
      </c>
      <c r="E1625">
        <v>54</v>
      </c>
      <c r="F1625" s="1">
        <v>24117</v>
      </c>
      <c r="G1625" s="1" t="str">
        <f>VLOOKUP(H1625,Table7[#All], 2, FALSE)</f>
        <v>Massachusetts</v>
      </c>
      <c r="H1625" s="2" t="s">
        <v>14</v>
      </c>
      <c r="I1625" s="2" t="s">
        <v>15</v>
      </c>
      <c r="J1625" s="2" t="s">
        <v>40</v>
      </c>
      <c r="K1625" s="2" t="s">
        <v>82</v>
      </c>
      <c r="L1625" s="2" t="s">
        <v>9</v>
      </c>
      <c r="M1625" s="2" t="s">
        <v>25</v>
      </c>
      <c r="N1625" s="2" t="s">
        <v>26</v>
      </c>
      <c r="O1625" s="2" t="s">
        <v>53</v>
      </c>
      <c r="P1625" s="2" t="s">
        <v>21</v>
      </c>
      <c r="Q1625" s="2" t="s">
        <v>16</v>
      </c>
      <c r="R1625" s="2" t="s">
        <v>18</v>
      </c>
      <c r="S1625">
        <v>2</v>
      </c>
    </row>
    <row r="1626" spans="1:19" x14ac:dyDescent="0.3">
      <c r="A1626">
        <v>2730</v>
      </c>
      <c r="B1626">
        <f>YEAR(Cleaned_HR_Data_Analysis__2[[#This Row],[Joining_Date]])</f>
        <v>2021</v>
      </c>
      <c r="C1626" s="1">
        <v>44538</v>
      </c>
      <c r="D1626" s="1" t="str" cm="1">
        <f t="array" ref="D1626">_xlfn.IFS(E1626&lt;28, "17-27",
AND(E1626&gt;27, E1626&lt;38), "28-37",
AND(E1626&gt;37, E1626 &lt;48), "38-47",
AND(E1626&gt;47, E1626 &lt;58), "48-57",
AND(E1626&gt;57, E1626&lt;68), "58-67",
AND(E1626&gt;67, E1626&lt;78), "68-77",
E1626&gt;77,"Above than 77")</f>
        <v>48-57</v>
      </c>
      <c r="E1626">
        <v>54</v>
      </c>
      <c r="F1626" s="1">
        <v>24681</v>
      </c>
      <c r="G1626" s="1" t="str">
        <f>VLOOKUP(H1626,Table7[#All], 2, FALSE)</f>
        <v>Vermont</v>
      </c>
      <c r="H1626" s="2" t="s">
        <v>99</v>
      </c>
      <c r="I1626" s="2" t="s">
        <v>15</v>
      </c>
      <c r="J1626" s="2" t="s">
        <v>31</v>
      </c>
      <c r="K1626" s="2" t="s">
        <v>24</v>
      </c>
      <c r="L1626" s="2" t="s">
        <v>9</v>
      </c>
      <c r="M1626" s="2" t="s">
        <v>10</v>
      </c>
      <c r="N1626" s="2" t="s">
        <v>26</v>
      </c>
      <c r="O1626" s="2" t="s">
        <v>27</v>
      </c>
      <c r="P1626" s="2" t="s">
        <v>69</v>
      </c>
      <c r="Q1626" s="2" t="s">
        <v>23</v>
      </c>
      <c r="R1626" s="2" t="s">
        <v>18</v>
      </c>
      <c r="S1626">
        <v>3</v>
      </c>
    </row>
    <row r="1627" spans="1:19" x14ac:dyDescent="0.3">
      <c r="A1627">
        <v>2688</v>
      </c>
      <c r="B1627">
        <f>YEAR(Cleaned_HR_Data_Analysis__2[[#This Row],[Joining_Date]])</f>
        <v>2021</v>
      </c>
      <c r="C1627" s="1">
        <v>44240</v>
      </c>
      <c r="D1627" s="1" t="str" cm="1">
        <f t="array" ref="D1627">_xlfn.IFS(E1627&lt;28, "17-27",
AND(E1627&gt;27, E1627&lt;38), "28-37",
AND(E1627&gt;37, E1627 &lt;48), "38-47",
AND(E1627&gt;47, E1627 &lt;58), "48-57",
AND(E1627&gt;57, E1627&lt;68), "58-67",
AND(E1627&gt;67, E1627&lt;78), "68-77",
E1627&gt;77,"Above than 77")</f>
        <v>48-57</v>
      </c>
      <c r="E1627">
        <v>54</v>
      </c>
      <c r="F1627" s="1">
        <v>24512</v>
      </c>
      <c r="G1627" s="1" t="str">
        <f>VLOOKUP(H1627,Table7[#All], 2, FALSE)</f>
        <v>Arizona</v>
      </c>
      <c r="H1627" s="2" t="s">
        <v>114</v>
      </c>
      <c r="I1627" s="2" t="s">
        <v>22</v>
      </c>
      <c r="J1627" s="2" t="s">
        <v>34</v>
      </c>
      <c r="K1627" s="2" t="s">
        <v>24</v>
      </c>
      <c r="L1627" s="2" t="s">
        <v>9</v>
      </c>
      <c r="M1627" s="2" t="s">
        <v>10</v>
      </c>
      <c r="N1627" s="2" t="s">
        <v>26</v>
      </c>
      <c r="O1627" s="2" t="s">
        <v>27</v>
      </c>
      <c r="P1627" s="2" t="s">
        <v>42</v>
      </c>
      <c r="Q1627" s="2" t="s">
        <v>37</v>
      </c>
      <c r="R1627" s="2" t="s">
        <v>18</v>
      </c>
      <c r="S1627">
        <v>3</v>
      </c>
    </row>
    <row r="1628" spans="1:19" x14ac:dyDescent="0.3">
      <c r="A1628">
        <v>2674</v>
      </c>
      <c r="B1628">
        <f>YEAR(Cleaned_HR_Data_Analysis__2[[#This Row],[Joining_Date]])</f>
        <v>2022</v>
      </c>
      <c r="C1628" s="1">
        <v>44757</v>
      </c>
      <c r="D1628" s="1" t="str" cm="1">
        <f t="array" ref="D1628">_xlfn.IFS(E1628&lt;28, "17-27",
AND(E1628&gt;27, E1628&lt;38), "28-37",
AND(E1628&gt;37, E1628 &lt;48), "38-47",
AND(E1628&gt;47, E1628 &lt;58), "48-57",
AND(E1628&gt;57, E1628&lt;68), "58-67",
AND(E1628&gt;67, E1628&lt;78), "68-77",
E1628&gt;77,"Above than 77")</f>
        <v>48-57</v>
      </c>
      <c r="E1628">
        <v>54</v>
      </c>
      <c r="F1628" s="1">
        <v>25188</v>
      </c>
      <c r="G1628" s="1" t="str">
        <f>VLOOKUP(H1628,Table7[#All], 2, FALSE)</f>
        <v>Arizona</v>
      </c>
      <c r="H1628" s="2" t="s">
        <v>114</v>
      </c>
      <c r="I1628" s="2" t="s">
        <v>22</v>
      </c>
      <c r="J1628" s="2" t="s">
        <v>17</v>
      </c>
      <c r="K1628" s="2" t="s">
        <v>24</v>
      </c>
      <c r="L1628" s="2" t="s">
        <v>9</v>
      </c>
      <c r="M1628" s="2" t="s">
        <v>20</v>
      </c>
      <c r="N1628" s="2" t="s">
        <v>19</v>
      </c>
      <c r="O1628" s="2" t="s">
        <v>27</v>
      </c>
      <c r="P1628" s="2" t="s">
        <v>55</v>
      </c>
      <c r="Q1628" s="2" t="s">
        <v>16</v>
      </c>
      <c r="R1628" s="2" t="s">
        <v>18</v>
      </c>
      <c r="S1628">
        <v>1</v>
      </c>
    </row>
    <row r="1629" spans="1:19" x14ac:dyDescent="0.3">
      <c r="A1629">
        <v>2667</v>
      </c>
      <c r="B1629">
        <f>YEAR(Cleaned_HR_Data_Analysis__2[[#This Row],[Joining_Date]])</f>
        <v>2019</v>
      </c>
      <c r="C1629" s="1">
        <v>43741</v>
      </c>
      <c r="D1629" s="1" t="str" cm="1">
        <f t="array" ref="D1629">_xlfn.IFS(E1629&lt;28, "17-27",
AND(E1629&gt;27, E1629&lt;38), "28-37",
AND(E1629&gt;37, E1629 &lt;48), "38-47",
AND(E1629&gt;47, E1629 &lt;58), "48-57",
AND(E1629&gt;57, E1629&lt;68), "58-67",
AND(E1629&gt;67, E1629&lt;78), "68-77",
E1629&gt;77,"Above than 77")</f>
        <v>48-57</v>
      </c>
      <c r="E1629">
        <v>54</v>
      </c>
      <c r="F1629" s="1">
        <v>24023</v>
      </c>
      <c r="G1629" s="1" t="str">
        <f>VLOOKUP(H1629,Table7[#All], 2, FALSE)</f>
        <v>Washington</v>
      </c>
      <c r="H1629" s="2" t="s">
        <v>113</v>
      </c>
      <c r="I1629" s="2" t="s">
        <v>15</v>
      </c>
      <c r="J1629" s="2" t="s">
        <v>17</v>
      </c>
      <c r="K1629" s="2" t="s">
        <v>95</v>
      </c>
      <c r="L1629" s="2" t="s">
        <v>9</v>
      </c>
      <c r="M1629" s="2" t="s">
        <v>25</v>
      </c>
      <c r="N1629" s="2" t="s">
        <v>26</v>
      </c>
      <c r="O1629" s="2" t="s">
        <v>27</v>
      </c>
      <c r="P1629" s="2" t="s">
        <v>67</v>
      </c>
      <c r="Q1629" s="2" t="s">
        <v>30</v>
      </c>
      <c r="R1629" s="2" t="s">
        <v>18</v>
      </c>
      <c r="S1629">
        <v>2</v>
      </c>
    </row>
    <row r="1630" spans="1:19" x14ac:dyDescent="0.3">
      <c r="A1630">
        <v>2650</v>
      </c>
      <c r="B1630">
        <f>YEAR(Cleaned_HR_Data_Analysis__2[[#This Row],[Joining_Date]])</f>
        <v>2018</v>
      </c>
      <c r="C1630" s="1">
        <v>43419</v>
      </c>
      <c r="D1630" s="1" t="str" cm="1">
        <f t="array" ref="D1630">_xlfn.IFS(E1630&lt;28, "17-27",
AND(E1630&gt;27, E1630&lt;38), "28-37",
AND(E1630&gt;37, E1630 &lt;48), "38-47",
AND(E1630&gt;47, E1630 &lt;58), "48-57",
AND(E1630&gt;57, E1630&lt;68), "58-67",
AND(E1630&gt;67, E1630&lt;78), "68-77",
E1630&gt;77,"Above than 77")</f>
        <v>48-57</v>
      </c>
      <c r="E1630">
        <v>54</v>
      </c>
      <c r="F1630" s="1">
        <v>23604</v>
      </c>
      <c r="G1630" s="1" t="str">
        <f>VLOOKUP(H1630,Table7[#All], 2, FALSE)</f>
        <v>Washington</v>
      </c>
      <c r="H1630" s="2" t="s">
        <v>113</v>
      </c>
      <c r="I1630" s="2" t="s">
        <v>15</v>
      </c>
      <c r="J1630" s="2" t="s">
        <v>31</v>
      </c>
      <c r="K1630" s="2" t="s">
        <v>95</v>
      </c>
      <c r="L1630" s="2" t="s">
        <v>9</v>
      </c>
      <c r="M1630" s="2" t="s">
        <v>20</v>
      </c>
      <c r="N1630" s="2" t="s">
        <v>26</v>
      </c>
      <c r="O1630" s="2" t="s">
        <v>27</v>
      </c>
      <c r="P1630" s="2" t="s">
        <v>54</v>
      </c>
      <c r="Q1630" s="2" t="s">
        <v>37</v>
      </c>
      <c r="R1630" s="2" t="s">
        <v>18</v>
      </c>
      <c r="S1630">
        <v>1</v>
      </c>
    </row>
    <row r="1631" spans="1:19" x14ac:dyDescent="0.3">
      <c r="A1631">
        <v>2716</v>
      </c>
      <c r="B1631">
        <f>YEAR(Cleaned_HR_Data_Analysis__2[[#This Row],[Joining_Date]])</f>
        <v>2023</v>
      </c>
      <c r="C1631" s="1">
        <v>45053</v>
      </c>
      <c r="D1631" s="1" t="str" cm="1">
        <f t="array" ref="D1631">_xlfn.IFS(E1631&lt;28, "17-27",
AND(E1631&gt;27, E1631&lt;38), "28-37",
AND(E1631&gt;37, E1631 &lt;48), "38-47",
AND(E1631&gt;47, E1631 &lt;58), "48-57",
AND(E1631&gt;57, E1631&lt;68), "58-67",
AND(E1631&gt;67, E1631&lt;78), "68-77",
E1631&gt;77,"Above than 77")</f>
        <v>48-57</v>
      </c>
      <c r="E1631">
        <v>54</v>
      </c>
      <c r="F1631" s="1">
        <v>25558</v>
      </c>
      <c r="G1631" s="1" t="str">
        <f>VLOOKUP(H1631,Table7[#All], 2, FALSE)</f>
        <v>Massachusetts</v>
      </c>
      <c r="H1631" s="2" t="s">
        <v>14</v>
      </c>
      <c r="I1631" s="2" t="s">
        <v>15</v>
      </c>
      <c r="J1631" s="2" t="s">
        <v>17</v>
      </c>
      <c r="K1631" s="2" t="s">
        <v>95</v>
      </c>
      <c r="L1631" s="2" t="s">
        <v>9</v>
      </c>
      <c r="M1631" s="2" t="s">
        <v>10</v>
      </c>
      <c r="N1631" s="2" t="s">
        <v>19</v>
      </c>
      <c r="O1631" s="2" t="s">
        <v>27</v>
      </c>
      <c r="P1631" s="2" t="s">
        <v>44</v>
      </c>
      <c r="Q1631" s="2" t="s">
        <v>46</v>
      </c>
      <c r="R1631" s="2" t="s">
        <v>18</v>
      </c>
      <c r="S1631">
        <v>2</v>
      </c>
    </row>
    <row r="1632" spans="1:19" x14ac:dyDescent="0.3">
      <c r="A1632">
        <v>1385</v>
      </c>
      <c r="B1632">
        <f>YEAR(Cleaned_HR_Data_Analysis__2[[#This Row],[Joining_Date]])</f>
        <v>2020</v>
      </c>
      <c r="C1632" s="1">
        <v>43981</v>
      </c>
      <c r="D1632" s="1" t="str" cm="1">
        <f t="array" ref="D1632">_xlfn.IFS(E1632&lt;28, "17-27",
AND(E1632&gt;27, E1632&lt;38), "28-37",
AND(E1632&gt;37, E1632 &lt;48), "38-47",
AND(E1632&gt;47, E1632 &lt;58), "48-57",
AND(E1632&gt;57, E1632&lt;68), "58-67",
AND(E1632&gt;67, E1632&lt;78), "68-77",
E1632&gt;77,"Above than 77")</f>
        <v>48-57</v>
      </c>
      <c r="E1632">
        <v>54</v>
      </c>
      <c r="F1632" s="1">
        <v>24236</v>
      </c>
      <c r="G1632" s="1" t="str">
        <f>VLOOKUP(H1632,Table7[#All], 2, FALSE)</f>
        <v>Massachusetts</v>
      </c>
      <c r="H1632" s="2" t="s">
        <v>14</v>
      </c>
      <c r="I1632" s="2" t="s">
        <v>15</v>
      </c>
      <c r="J1632" s="2" t="s">
        <v>40</v>
      </c>
      <c r="K1632" s="2" t="s">
        <v>95</v>
      </c>
      <c r="L1632" s="2" t="s">
        <v>9</v>
      </c>
      <c r="M1632" s="2" t="s">
        <v>25</v>
      </c>
      <c r="N1632" s="2" t="s">
        <v>11</v>
      </c>
      <c r="O1632" s="2" t="s">
        <v>90</v>
      </c>
      <c r="P1632" s="2" t="s">
        <v>35</v>
      </c>
      <c r="Q1632" s="2" t="s">
        <v>23</v>
      </c>
      <c r="R1632" s="2" t="s">
        <v>65</v>
      </c>
      <c r="S1632">
        <v>1</v>
      </c>
    </row>
    <row r="1633" spans="1:19" x14ac:dyDescent="0.3">
      <c r="A1633">
        <v>1350</v>
      </c>
      <c r="B1633">
        <f>YEAR(Cleaned_HR_Data_Analysis__2[[#This Row],[Joining_Date]])</f>
        <v>2022</v>
      </c>
      <c r="C1633" s="1">
        <v>44624</v>
      </c>
      <c r="D1633" s="1" t="str" cm="1">
        <f t="array" ref="D1633">_xlfn.IFS(E1633&lt;28, "17-27",
AND(E1633&gt;27, E1633&lt;38), "28-37",
AND(E1633&gt;37, E1633 &lt;48), "38-47",
AND(E1633&gt;47, E1633 &lt;58), "48-57",
AND(E1633&gt;57, E1633&lt;68), "58-67",
AND(E1633&gt;67, E1633&lt;78), "68-77",
E1633&gt;77,"Above than 77")</f>
        <v>48-57</v>
      </c>
      <c r="E1633">
        <v>54</v>
      </c>
      <c r="F1633" s="1">
        <v>25144</v>
      </c>
      <c r="G1633" s="1" t="str">
        <f>VLOOKUP(H1633,Table7[#All], 2, FALSE)</f>
        <v>Massachusetts</v>
      </c>
      <c r="H1633" s="2" t="s">
        <v>14</v>
      </c>
      <c r="I1633" s="2" t="s">
        <v>15</v>
      </c>
      <c r="J1633" s="2" t="s">
        <v>40</v>
      </c>
      <c r="K1633" s="2" t="s">
        <v>96</v>
      </c>
      <c r="L1633" s="2" t="s">
        <v>9</v>
      </c>
      <c r="M1633" s="2" t="s">
        <v>20</v>
      </c>
      <c r="N1633" s="2" t="s">
        <v>26</v>
      </c>
      <c r="O1633" s="2" t="s">
        <v>90</v>
      </c>
      <c r="P1633" s="2" t="s">
        <v>35</v>
      </c>
      <c r="Q1633" s="2" t="s">
        <v>37</v>
      </c>
      <c r="R1633" s="2" t="s">
        <v>18</v>
      </c>
      <c r="S1633">
        <v>4</v>
      </c>
    </row>
    <row r="1634" spans="1:19" x14ac:dyDescent="0.3">
      <c r="A1634">
        <v>3646</v>
      </c>
      <c r="B1634">
        <f>YEAR(Cleaned_HR_Data_Analysis__2[[#This Row],[Joining_Date]])</f>
        <v>2023</v>
      </c>
      <c r="C1634" s="1">
        <v>45038</v>
      </c>
      <c r="D1634" s="1" t="str" cm="1">
        <f t="array" ref="D1634">_xlfn.IFS(E1634&lt;28, "17-27",
AND(E1634&gt;27, E1634&lt;38), "28-37",
AND(E1634&gt;37, E1634 &lt;48), "38-47",
AND(E1634&gt;47, E1634 &lt;58), "48-57",
AND(E1634&gt;57, E1634&lt;68), "58-67",
AND(E1634&gt;67, E1634&lt;78), "68-77",
E1634&gt;77,"Above than 77")</f>
        <v>48-57</v>
      </c>
      <c r="E1634">
        <v>55</v>
      </c>
      <c r="F1634" s="1">
        <v>24838</v>
      </c>
      <c r="G1634" s="1" t="str">
        <f>VLOOKUP(H1634,Table7[#All], 2, FALSE)</f>
        <v>Massachusetts</v>
      </c>
      <c r="H1634" s="2" t="s">
        <v>14</v>
      </c>
      <c r="I1634" s="2" t="s">
        <v>15</v>
      </c>
      <c r="J1634" s="2" t="s">
        <v>17</v>
      </c>
      <c r="K1634" s="2" t="s">
        <v>64</v>
      </c>
      <c r="L1634" s="2" t="s">
        <v>9</v>
      </c>
      <c r="M1634" s="2" t="s">
        <v>20</v>
      </c>
      <c r="N1634" s="2" t="s">
        <v>19</v>
      </c>
      <c r="O1634" s="2" t="s">
        <v>12</v>
      </c>
      <c r="P1634" s="2" t="s">
        <v>49</v>
      </c>
      <c r="Q1634" s="2" t="s">
        <v>23</v>
      </c>
      <c r="R1634" s="2" t="s">
        <v>18</v>
      </c>
      <c r="S1634">
        <v>4</v>
      </c>
    </row>
    <row r="1635" spans="1:19" x14ac:dyDescent="0.3">
      <c r="A1635">
        <v>2142</v>
      </c>
      <c r="B1635">
        <f>YEAR(Cleaned_HR_Data_Analysis__2[[#This Row],[Joining_Date]])</f>
        <v>2020</v>
      </c>
      <c r="C1635" s="1">
        <v>43839</v>
      </c>
      <c r="D1635" s="1" t="str" cm="1">
        <f t="array" ref="D1635">_xlfn.IFS(E1635&lt;28, "17-27",
AND(E1635&gt;27, E1635&lt;38), "28-37",
AND(E1635&gt;37, E1635 &lt;48), "38-47",
AND(E1635&gt;47, E1635 &lt;58), "48-57",
AND(E1635&gt;57, E1635&lt;68), "58-67",
AND(E1635&gt;67, E1635&lt;78), "68-77",
E1635&gt;77,"Above than 77")</f>
        <v>48-57</v>
      </c>
      <c r="E1635">
        <v>55</v>
      </c>
      <c r="F1635" s="1">
        <v>23767</v>
      </c>
      <c r="G1635" s="1" t="str">
        <f>VLOOKUP(H1635,Table7[#All], 2, FALSE)</f>
        <v>Massachusetts</v>
      </c>
      <c r="H1635" s="2" t="s">
        <v>14</v>
      </c>
      <c r="I1635" s="2" t="s">
        <v>15</v>
      </c>
      <c r="J1635" s="2" t="s">
        <v>17</v>
      </c>
      <c r="K1635" s="2" t="s">
        <v>64</v>
      </c>
      <c r="L1635" s="2" t="s">
        <v>9</v>
      </c>
      <c r="M1635" s="2" t="s">
        <v>10</v>
      </c>
      <c r="N1635" s="2" t="s">
        <v>19</v>
      </c>
      <c r="O1635" s="2" t="s">
        <v>12</v>
      </c>
      <c r="P1635" s="2" t="s">
        <v>42</v>
      </c>
      <c r="Q1635" s="2" t="s">
        <v>30</v>
      </c>
      <c r="R1635" s="2" t="s">
        <v>41</v>
      </c>
      <c r="S1635">
        <v>5</v>
      </c>
    </row>
    <row r="1636" spans="1:19" x14ac:dyDescent="0.3">
      <c r="A1636">
        <v>2138</v>
      </c>
      <c r="B1636">
        <f>YEAR(Cleaned_HR_Data_Analysis__2[[#This Row],[Joining_Date]])</f>
        <v>2021</v>
      </c>
      <c r="C1636" s="1">
        <v>44504</v>
      </c>
      <c r="D1636" s="1" t="str" cm="1">
        <f t="array" ref="D1636">_xlfn.IFS(E1636&lt;28, "17-27",
AND(E1636&gt;27, E1636&lt;38), "28-37",
AND(E1636&gt;37, E1636 &lt;48), "38-47",
AND(E1636&gt;47, E1636 &lt;58), "48-57",
AND(E1636&gt;57, E1636&lt;68), "58-67",
AND(E1636&gt;67, E1636&lt;78), "68-77",
E1636&gt;77,"Above than 77")</f>
        <v>48-57</v>
      </c>
      <c r="E1636">
        <v>55</v>
      </c>
      <c r="F1636" s="1">
        <v>24330</v>
      </c>
      <c r="G1636" s="1" t="str">
        <f>VLOOKUP(H1636,Table7[#All], 2, FALSE)</f>
        <v>Massachusetts</v>
      </c>
      <c r="H1636" s="2" t="s">
        <v>14</v>
      </c>
      <c r="I1636" s="2" t="s">
        <v>15</v>
      </c>
      <c r="J1636" s="2" t="s">
        <v>40</v>
      </c>
      <c r="K1636" s="2" t="s">
        <v>64</v>
      </c>
      <c r="L1636" s="2" t="s">
        <v>9</v>
      </c>
      <c r="M1636" s="2" t="s">
        <v>10</v>
      </c>
      <c r="N1636" s="2" t="s">
        <v>11</v>
      </c>
      <c r="O1636" s="2" t="s">
        <v>12</v>
      </c>
      <c r="P1636" s="2" t="s">
        <v>54</v>
      </c>
      <c r="Q1636" s="2" t="s">
        <v>23</v>
      </c>
      <c r="R1636" s="2" t="s">
        <v>41</v>
      </c>
      <c r="S1636">
        <v>5</v>
      </c>
    </row>
    <row r="1637" spans="1:19" x14ac:dyDescent="0.3">
      <c r="A1637">
        <v>2094</v>
      </c>
      <c r="B1637">
        <f>YEAR(Cleaned_HR_Data_Analysis__2[[#This Row],[Joining_Date]])</f>
        <v>2019</v>
      </c>
      <c r="C1637" s="1">
        <v>43632</v>
      </c>
      <c r="D1637" s="1" t="str" cm="1">
        <f t="array" ref="D1637">_xlfn.IFS(E1637&lt;28, "17-27",
AND(E1637&gt;27, E1637&lt;38), "28-37",
AND(E1637&gt;37, E1637 &lt;48), "38-47",
AND(E1637&gt;47, E1637 &lt;58), "48-57",
AND(E1637&gt;57, E1637&lt;68), "58-67",
AND(E1637&gt;67, E1637&lt;78), "68-77",
E1637&gt;77,"Above than 77")</f>
        <v>48-57</v>
      </c>
      <c r="E1637">
        <v>55</v>
      </c>
      <c r="F1637" s="1">
        <v>23388</v>
      </c>
      <c r="G1637" s="1" t="str">
        <f>VLOOKUP(H1637,Table7[#All], 2, FALSE)</f>
        <v>Massachusetts</v>
      </c>
      <c r="H1637" s="2" t="s">
        <v>14</v>
      </c>
      <c r="I1637" s="2" t="s">
        <v>15</v>
      </c>
      <c r="J1637" s="2" t="s">
        <v>34</v>
      </c>
      <c r="K1637" s="2" t="s">
        <v>64</v>
      </c>
      <c r="L1637" s="2" t="s">
        <v>9</v>
      </c>
      <c r="M1637" s="2" t="s">
        <v>20</v>
      </c>
      <c r="N1637" s="2" t="s">
        <v>11</v>
      </c>
      <c r="O1637" s="2" t="s">
        <v>12</v>
      </c>
      <c r="P1637" s="2" t="s">
        <v>35</v>
      </c>
      <c r="Q1637" s="2" t="s">
        <v>37</v>
      </c>
      <c r="R1637" s="2" t="s">
        <v>18</v>
      </c>
      <c r="S1637">
        <v>5</v>
      </c>
    </row>
    <row r="1638" spans="1:19" x14ac:dyDescent="0.3">
      <c r="A1638">
        <v>1942</v>
      </c>
      <c r="B1638">
        <f>YEAR(Cleaned_HR_Data_Analysis__2[[#This Row],[Joining_Date]])</f>
        <v>2019</v>
      </c>
      <c r="C1638" s="1">
        <v>43676</v>
      </c>
      <c r="D1638" s="1" t="str" cm="1">
        <f t="array" ref="D1638">_xlfn.IFS(E1638&lt;28, "17-27",
AND(E1638&gt;27, E1638&lt;38), "28-37",
AND(E1638&gt;37, E1638 &lt;48), "38-47",
AND(E1638&gt;47, E1638 &lt;58), "48-57",
AND(E1638&gt;57, E1638&lt;68), "58-67",
AND(E1638&gt;67, E1638&lt;78), "68-77",
E1638&gt;77,"Above than 77")</f>
        <v>48-57</v>
      </c>
      <c r="E1638">
        <v>55</v>
      </c>
      <c r="F1638" s="1">
        <v>23418</v>
      </c>
      <c r="G1638" s="1" t="str">
        <f>VLOOKUP(H1638,Table7[#All], 2, FALSE)</f>
        <v>Massachusetts</v>
      </c>
      <c r="H1638" s="2" t="s">
        <v>14</v>
      </c>
      <c r="I1638" s="2" t="s">
        <v>15</v>
      </c>
      <c r="J1638" s="2" t="s">
        <v>17</v>
      </c>
      <c r="K1638" s="2" t="s">
        <v>64</v>
      </c>
      <c r="L1638" s="2" t="s">
        <v>66</v>
      </c>
      <c r="M1638" s="2" t="s">
        <v>20</v>
      </c>
      <c r="N1638" s="2" t="s">
        <v>19</v>
      </c>
      <c r="O1638" s="2" t="s">
        <v>27</v>
      </c>
      <c r="P1638" s="2" t="s">
        <v>59</v>
      </c>
      <c r="Q1638" s="2" t="s">
        <v>30</v>
      </c>
      <c r="R1638" s="2" t="s">
        <v>18</v>
      </c>
      <c r="S1638">
        <v>4</v>
      </c>
    </row>
    <row r="1639" spans="1:19" x14ac:dyDescent="0.3">
      <c r="A1639">
        <v>1603</v>
      </c>
      <c r="B1639">
        <f>YEAR(Cleaned_HR_Data_Analysis__2[[#This Row],[Joining_Date]])</f>
        <v>2023</v>
      </c>
      <c r="C1639" s="1">
        <v>45043</v>
      </c>
      <c r="D1639" s="1" t="str" cm="1">
        <f t="array" ref="D1639">_xlfn.IFS(E1639&lt;28, "17-27",
AND(E1639&gt;27, E1639&lt;38), "28-37",
AND(E1639&gt;37, E1639 &lt;48), "38-47",
AND(E1639&gt;47, E1639 &lt;58), "48-57",
AND(E1639&gt;57, E1639&lt;68), "58-67",
AND(E1639&gt;67, E1639&lt;78), "68-77",
E1639&gt;77,"Above than 77")</f>
        <v>48-57</v>
      </c>
      <c r="E1639">
        <v>55</v>
      </c>
      <c r="F1639" s="1">
        <v>25197</v>
      </c>
      <c r="G1639" s="1" t="str">
        <f>VLOOKUP(H1639,Table7[#All], 2, FALSE)</f>
        <v>Massachusetts</v>
      </c>
      <c r="H1639" s="2" t="s">
        <v>14</v>
      </c>
      <c r="I1639" s="2" t="s">
        <v>22</v>
      </c>
      <c r="J1639" s="2" t="s">
        <v>31</v>
      </c>
      <c r="K1639" s="2" t="s">
        <v>64</v>
      </c>
      <c r="L1639" s="2" t="s">
        <v>9</v>
      </c>
      <c r="M1639" s="2" t="s">
        <v>20</v>
      </c>
      <c r="N1639" s="2" t="s">
        <v>26</v>
      </c>
      <c r="O1639" s="2" t="s">
        <v>12</v>
      </c>
      <c r="P1639" s="2" t="s">
        <v>32</v>
      </c>
      <c r="Q1639" s="2" t="s">
        <v>16</v>
      </c>
      <c r="R1639" s="2" t="s">
        <v>41</v>
      </c>
      <c r="S1639">
        <v>5</v>
      </c>
    </row>
    <row r="1640" spans="1:19" x14ac:dyDescent="0.3">
      <c r="A1640">
        <v>1214</v>
      </c>
      <c r="B1640">
        <f>YEAR(Cleaned_HR_Data_Analysis__2[[#This Row],[Joining_Date]])</f>
        <v>2022</v>
      </c>
      <c r="C1640" s="1">
        <v>44604</v>
      </c>
      <c r="D1640" s="1" t="str" cm="1">
        <f t="array" ref="D1640">_xlfn.IFS(E1640&lt;28, "17-27",
AND(E1640&gt;27, E1640&lt;38), "28-37",
AND(E1640&gt;37, E1640 &lt;48), "38-47",
AND(E1640&gt;47, E1640 &lt;58), "48-57",
AND(E1640&gt;57, E1640&lt;68), "58-67",
AND(E1640&gt;67, E1640&lt;78), "68-77",
E1640&gt;77,"Above than 77")</f>
        <v>48-57</v>
      </c>
      <c r="E1640">
        <v>55</v>
      </c>
      <c r="F1640" s="1">
        <v>24734</v>
      </c>
      <c r="G1640" s="1" t="str">
        <f>VLOOKUP(H1640,Table7[#All], 2, FALSE)</f>
        <v>Massachusetts</v>
      </c>
      <c r="H1640" s="2" t="s">
        <v>14</v>
      </c>
      <c r="I1640" s="2" t="s">
        <v>15</v>
      </c>
      <c r="J1640" s="2" t="s">
        <v>40</v>
      </c>
      <c r="K1640" s="2" t="s">
        <v>64</v>
      </c>
      <c r="L1640" s="2" t="s">
        <v>9</v>
      </c>
      <c r="M1640" s="2" t="s">
        <v>25</v>
      </c>
      <c r="N1640" s="2" t="s">
        <v>26</v>
      </c>
      <c r="O1640" s="2" t="s">
        <v>12</v>
      </c>
      <c r="P1640" s="2" t="s">
        <v>49</v>
      </c>
      <c r="Q1640" s="2" t="s">
        <v>46</v>
      </c>
      <c r="R1640" s="2" t="s">
        <v>18</v>
      </c>
      <c r="S1640">
        <v>5</v>
      </c>
    </row>
    <row r="1641" spans="1:19" x14ac:dyDescent="0.3">
      <c r="A1641">
        <v>3796</v>
      </c>
      <c r="B1641">
        <f>YEAR(Cleaned_HR_Data_Analysis__2[[#This Row],[Joining_Date]])</f>
        <v>2019</v>
      </c>
      <c r="C1641" s="1">
        <v>43572</v>
      </c>
      <c r="D1641" s="1" t="str" cm="1">
        <f t="array" ref="D1641">_xlfn.IFS(E1641&lt;28, "17-27",
AND(E1641&gt;27, E1641&lt;38), "28-37",
AND(E1641&gt;37, E1641 &lt;48), "38-47",
AND(E1641&gt;47, E1641 &lt;58), "48-57",
AND(E1641&gt;57, E1641&lt;68), "58-67",
AND(E1641&gt;67, E1641&lt;78), "68-77",
E1641&gt;77,"Above than 77")</f>
        <v>48-57</v>
      </c>
      <c r="E1641">
        <v>55</v>
      </c>
      <c r="F1641" s="1">
        <v>23616</v>
      </c>
      <c r="G1641" s="1" t="str">
        <f>VLOOKUP(H1641,Table7[#All], 2, FALSE)</f>
        <v>Massachusetts</v>
      </c>
      <c r="H1641" s="2" t="s">
        <v>14</v>
      </c>
      <c r="I1641" s="2" t="s">
        <v>15</v>
      </c>
      <c r="J1641" s="2" t="s">
        <v>34</v>
      </c>
      <c r="K1641" s="2" t="s">
        <v>8</v>
      </c>
      <c r="L1641" s="2" t="s">
        <v>9</v>
      </c>
      <c r="M1641" s="2" t="s">
        <v>10</v>
      </c>
      <c r="N1641" s="2" t="s">
        <v>19</v>
      </c>
      <c r="O1641" s="2" t="s">
        <v>12</v>
      </c>
      <c r="P1641" s="2" t="s">
        <v>32</v>
      </c>
      <c r="Q1641" s="2" t="s">
        <v>23</v>
      </c>
      <c r="R1641" s="2" t="s">
        <v>41</v>
      </c>
      <c r="S1641">
        <v>5</v>
      </c>
    </row>
    <row r="1642" spans="1:19" x14ac:dyDescent="0.3">
      <c r="A1642">
        <v>3777</v>
      </c>
      <c r="B1642">
        <f>YEAR(Cleaned_HR_Data_Analysis__2[[#This Row],[Joining_Date]])</f>
        <v>2021</v>
      </c>
      <c r="C1642" s="1">
        <v>44509</v>
      </c>
      <c r="D1642" s="1" t="str" cm="1">
        <f t="array" ref="D1642">_xlfn.IFS(E1642&lt;28, "17-27",
AND(E1642&gt;27, E1642&lt;38), "28-37",
AND(E1642&gt;37, E1642 &lt;48), "38-47",
AND(E1642&gt;47, E1642 &lt;58), "48-57",
AND(E1642&gt;57, E1642&lt;68), "58-67",
AND(E1642&gt;67, E1642&lt;78), "68-77",
E1642&gt;77,"Above than 77")</f>
        <v>48-57</v>
      </c>
      <c r="E1642">
        <v>55</v>
      </c>
      <c r="F1642" s="1">
        <v>24187</v>
      </c>
      <c r="G1642" s="1" t="str">
        <f>VLOOKUP(H1642,Table7[#All], 2, FALSE)</f>
        <v>Massachusetts</v>
      </c>
      <c r="H1642" s="2" t="s">
        <v>14</v>
      </c>
      <c r="I1642" s="2" t="s">
        <v>22</v>
      </c>
      <c r="J1642" s="2" t="s">
        <v>31</v>
      </c>
      <c r="K1642" s="2" t="s">
        <v>8</v>
      </c>
      <c r="L1642" s="2" t="s">
        <v>9</v>
      </c>
      <c r="M1642" s="2" t="s">
        <v>10</v>
      </c>
      <c r="N1642" s="2" t="s">
        <v>11</v>
      </c>
      <c r="O1642" s="2" t="s">
        <v>12</v>
      </c>
      <c r="P1642" s="2" t="s">
        <v>21</v>
      </c>
      <c r="Q1642" s="2" t="s">
        <v>37</v>
      </c>
      <c r="R1642" s="2" t="s">
        <v>18</v>
      </c>
      <c r="S1642">
        <v>3</v>
      </c>
    </row>
    <row r="1643" spans="1:19" x14ac:dyDescent="0.3">
      <c r="A1643">
        <v>3734</v>
      </c>
      <c r="B1643">
        <f>YEAR(Cleaned_HR_Data_Analysis__2[[#This Row],[Joining_Date]])</f>
        <v>2019</v>
      </c>
      <c r="C1643" s="1">
        <v>43531</v>
      </c>
      <c r="D1643" s="1" t="str" cm="1">
        <f t="array" ref="D1643">_xlfn.IFS(E1643&lt;28, "17-27",
AND(E1643&gt;27, E1643&lt;38), "28-37",
AND(E1643&gt;37, E1643 &lt;48), "38-47",
AND(E1643&gt;47, E1643 &lt;58), "48-57",
AND(E1643&gt;57, E1643&lt;68), "58-67",
AND(E1643&gt;67, E1643&lt;78), "68-77",
E1643&gt;77,"Above than 77")</f>
        <v>48-57</v>
      </c>
      <c r="E1643">
        <v>55</v>
      </c>
      <c r="F1643" s="1">
        <v>23579</v>
      </c>
      <c r="G1643" s="1" t="str">
        <f>VLOOKUP(H1643,Table7[#All], 2, FALSE)</f>
        <v>Massachusetts</v>
      </c>
      <c r="H1643" s="2" t="s">
        <v>14</v>
      </c>
      <c r="I1643" s="2" t="s">
        <v>22</v>
      </c>
      <c r="J1643" s="2" t="s">
        <v>40</v>
      </c>
      <c r="K1643" s="2" t="s">
        <v>8</v>
      </c>
      <c r="L1643" s="2" t="s">
        <v>9</v>
      </c>
      <c r="M1643" s="2" t="s">
        <v>25</v>
      </c>
      <c r="N1643" s="2" t="s">
        <v>11</v>
      </c>
      <c r="O1643" s="2" t="s">
        <v>12</v>
      </c>
      <c r="P1643" s="2" t="s">
        <v>68</v>
      </c>
      <c r="Q1643" s="2" t="s">
        <v>16</v>
      </c>
      <c r="R1643" s="2" t="s">
        <v>18</v>
      </c>
      <c r="S1643">
        <v>5</v>
      </c>
    </row>
    <row r="1644" spans="1:19" x14ac:dyDescent="0.3">
      <c r="A1644">
        <v>3714</v>
      </c>
      <c r="B1644">
        <f>YEAR(Cleaned_HR_Data_Analysis__2[[#This Row],[Joining_Date]])</f>
        <v>2020</v>
      </c>
      <c r="C1644" s="1">
        <v>43849</v>
      </c>
      <c r="D1644" s="1" t="str" cm="1">
        <f t="array" ref="D1644">_xlfn.IFS(E1644&lt;28, "17-27",
AND(E1644&gt;27, E1644&lt;38), "28-37",
AND(E1644&gt;37, E1644 &lt;48), "38-47",
AND(E1644&gt;47, E1644 &lt;58), "48-57",
AND(E1644&gt;57, E1644&lt;68), "58-67",
AND(E1644&gt;67, E1644&lt;78), "68-77",
E1644&gt;77,"Above than 77")</f>
        <v>48-57</v>
      </c>
      <c r="E1644">
        <v>55</v>
      </c>
      <c r="F1644" s="1">
        <v>23851</v>
      </c>
      <c r="G1644" s="1" t="str">
        <f>VLOOKUP(H1644,Table7[#All], 2, FALSE)</f>
        <v>Massachusetts</v>
      </c>
      <c r="H1644" s="2" t="s">
        <v>14</v>
      </c>
      <c r="I1644" s="2" t="s">
        <v>22</v>
      </c>
      <c r="J1644" s="2" t="s">
        <v>34</v>
      </c>
      <c r="K1644" s="2" t="s">
        <v>8</v>
      </c>
      <c r="L1644" s="2" t="s">
        <v>9</v>
      </c>
      <c r="M1644" s="2" t="s">
        <v>25</v>
      </c>
      <c r="N1644" s="2" t="s">
        <v>26</v>
      </c>
      <c r="O1644" s="2" t="s">
        <v>12</v>
      </c>
      <c r="P1644" s="2" t="s">
        <v>35</v>
      </c>
      <c r="Q1644" s="2" t="s">
        <v>16</v>
      </c>
      <c r="R1644" s="2" t="s">
        <v>18</v>
      </c>
      <c r="S1644">
        <v>5</v>
      </c>
    </row>
    <row r="1645" spans="1:19" x14ac:dyDescent="0.3">
      <c r="A1645">
        <v>3066</v>
      </c>
      <c r="B1645">
        <f>YEAR(Cleaned_HR_Data_Analysis__2[[#This Row],[Joining_Date]])</f>
        <v>2022</v>
      </c>
      <c r="C1645" s="1">
        <v>44770</v>
      </c>
      <c r="D1645" s="1" t="str" cm="1">
        <f t="array" ref="D1645">_xlfn.IFS(E1645&lt;28, "17-27",
AND(E1645&gt;27, E1645&lt;38), "28-37",
AND(E1645&gt;37, E1645 &lt;48), "38-47",
AND(E1645&gt;47, E1645 &lt;58), "48-57",
AND(E1645&gt;57, E1645&lt;68), "58-67",
AND(E1645&gt;67, E1645&lt;78), "68-77",
E1645&gt;77,"Above than 77")</f>
        <v>48-57</v>
      </c>
      <c r="E1645">
        <v>55</v>
      </c>
      <c r="F1645" s="1">
        <v>24574</v>
      </c>
      <c r="G1645" s="1" t="str">
        <f>VLOOKUP(H1645,Table7[#All], 2, FALSE)</f>
        <v>Massachusetts</v>
      </c>
      <c r="H1645" s="2" t="s">
        <v>14</v>
      </c>
      <c r="I1645" s="2" t="s">
        <v>22</v>
      </c>
      <c r="J1645" s="2" t="s">
        <v>40</v>
      </c>
      <c r="K1645" s="2" t="s">
        <v>8</v>
      </c>
      <c r="L1645" s="2" t="s">
        <v>9</v>
      </c>
      <c r="M1645" s="2" t="s">
        <v>25</v>
      </c>
      <c r="N1645" s="2" t="s">
        <v>26</v>
      </c>
      <c r="O1645" s="2" t="s">
        <v>12</v>
      </c>
      <c r="P1645" s="2" t="s">
        <v>35</v>
      </c>
      <c r="Q1645" s="2" t="s">
        <v>23</v>
      </c>
      <c r="R1645" s="2" t="s">
        <v>18</v>
      </c>
      <c r="S1645">
        <v>4</v>
      </c>
    </row>
    <row r="1646" spans="1:19" x14ac:dyDescent="0.3">
      <c r="A1646">
        <v>3014</v>
      </c>
      <c r="B1646">
        <f>YEAR(Cleaned_HR_Data_Analysis__2[[#This Row],[Joining_Date]])</f>
        <v>2022</v>
      </c>
      <c r="C1646" s="1">
        <v>44888</v>
      </c>
      <c r="D1646" s="1" t="str" cm="1">
        <f t="array" ref="D1646">_xlfn.IFS(E1646&lt;28, "17-27",
AND(E1646&gt;27, E1646&lt;38), "28-37",
AND(E1646&gt;37, E1646 &lt;48), "38-47",
AND(E1646&gt;47, E1646 &lt;58), "48-57",
AND(E1646&gt;57, E1646&lt;68), "58-67",
AND(E1646&gt;67, E1646&lt;78), "68-77",
E1646&gt;77,"Above than 77")</f>
        <v>48-57</v>
      </c>
      <c r="E1646">
        <v>55</v>
      </c>
      <c r="F1646" s="1">
        <v>24670</v>
      </c>
      <c r="G1646" s="1" t="str">
        <f>VLOOKUP(H1646,Table7[#All], 2, FALSE)</f>
        <v>Massachusetts</v>
      </c>
      <c r="H1646" s="2" t="s">
        <v>14</v>
      </c>
      <c r="I1646" s="2" t="s">
        <v>22</v>
      </c>
      <c r="J1646" s="2" t="s">
        <v>31</v>
      </c>
      <c r="K1646" s="2" t="s">
        <v>8</v>
      </c>
      <c r="L1646" s="2" t="s">
        <v>9</v>
      </c>
      <c r="M1646" s="2" t="s">
        <v>10</v>
      </c>
      <c r="N1646" s="2" t="s">
        <v>26</v>
      </c>
      <c r="O1646" s="2" t="s">
        <v>12</v>
      </c>
      <c r="P1646" s="2" t="s">
        <v>35</v>
      </c>
      <c r="Q1646" s="2" t="s">
        <v>23</v>
      </c>
      <c r="R1646" s="2" t="s">
        <v>65</v>
      </c>
      <c r="S1646">
        <v>4</v>
      </c>
    </row>
    <row r="1647" spans="1:19" x14ac:dyDescent="0.3">
      <c r="A1647">
        <v>2998</v>
      </c>
      <c r="B1647">
        <f>YEAR(Cleaned_HR_Data_Analysis__2[[#This Row],[Joining_Date]])</f>
        <v>2023</v>
      </c>
      <c r="C1647" s="1">
        <v>45116</v>
      </c>
      <c r="D1647" s="1" t="str" cm="1">
        <f t="array" ref="D1647">_xlfn.IFS(E1647&lt;28, "17-27",
AND(E1647&gt;27, E1647&lt;38), "28-37",
AND(E1647&gt;37, E1647 &lt;48), "38-47",
AND(E1647&gt;47, E1647 &lt;58), "48-57",
AND(E1647&gt;57, E1647&lt;68), "58-67",
AND(E1647&gt;67, E1647&lt;78), "68-77",
E1647&gt;77,"Above than 77")</f>
        <v>48-57</v>
      </c>
      <c r="E1647">
        <v>55</v>
      </c>
      <c r="F1647" s="1">
        <v>24991</v>
      </c>
      <c r="G1647" s="1" t="str">
        <f>VLOOKUP(H1647,Table7[#All], 2, FALSE)</f>
        <v>Massachusetts</v>
      </c>
      <c r="H1647" s="2" t="s">
        <v>14</v>
      </c>
      <c r="I1647" s="2" t="s">
        <v>22</v>
      </c>
      <c r="J1647" s="2" t="s">
        <v>17</v>
      </c>
      <c r="K1647" s="2" t="s">
        <v>8</v>
      </c>
      <c r="L1647" s="2" t="s">
        <v>9</v>
      </c>
      <c r="M1647" s="2" t="s">
        <v>10</v>
      </c>
      <c r="N1647" s="2" t="s">
        <v>11</v>
      </c>
      <c r="O1647" s="2" t="s">
        <v>12</v>
      </c>
      <c r="P1647" s="2" t="s">
        <v>32</v>
      </c>
      <c r="Q1647" s="2" t="s">
        <v>16</v>
      </c>
      <c r="R1647" s="2" t="s">
        <v>56</v>
      </c>
      <c r="S1647">
        <v>3</v>
      </c>
    </row>
    <row r="1648" spans="1:19" x14ac:dyDescent="0.3">
      <c r="A1648">
        <v>2842</v>
      </c>
      <c r="B1648">
        <f>YEAR(Cleaned_HR_Data_Analysis__2[[#This Row],[Joining_Date]])</f>
        <v>2020</v>
      </c>
      <c r="C1648" s="1">
        <v>44123</v>
      </c>
      <c r="D1648" s="1" t="str" cm="1">
        <f t="array" ref="D1648">_xlfn.IFS(E1648&lt;28, "17-27",
AND(E1648&gt;27, E1648&lt;38), "28-37",
AND(E1648&gt;37, E1648 &lt;48), "38-47",
AND(E1648&gt;47, E1648 &lt;58), "48-57",
AND(E1648&gt;57, E1648&lt;68), "58-67",
AND(E1648&gt;67, E1648&lt;78), "68-77",
E1648&gt;77,"Above than 77")</f>
        <v>48-57</v>
      </c>
      <c r="E1648">
        <v>55</v>
      </c>
      <c r="F1648" s="1">
        <v>23939</v>
      </c>
      <c r="G1648" s="1" t="str">
        <f>VLOOKUP(H1648,Table7[#All], 2, FALSE)</f>
        <v>Massachusetts</v>
      </c>
      <c r="H1648" s="2" t="s">
        <v>14</v>
      </c>
      <c r="I1648" s="2" t="s">
        <v>15</v>
      </c>
      <c r="J1648" s="2" t="s">
        <v>17</v>
      </c>
      <c r="K1648" s="2" t="s">
        <v>8</v>
      </c>
      <c r="L1648" s="2" t="s">
        <v>66</v>
      </c>
      <c r="M1648" s="2" t="s">
        <v>20</v>
      </c>
      <c r="N1648" s="2" t="s">
        <v>26</v>
      </c>
      <c r="O1648" s="2" t="s">
        <v>12</v>
      </c>
      <c r="P1648" s="2" t="s">
        <v>32</v>
      </c>
      <c r="Q1648" s="2" t="s">
        <v>37</v>
      </c>
      <c r="R1648" s="2" t="s">
        <v>18</v>
      </c>
      <c r="S1648">
        <v>1</v>
      </c>
    </row>
    <row r="1649" spans="1:19" x14ac:dyDescent="0.3">
      <c r="A1649">
        <v>2803</v>
      </c>
      <c r="B1649">
        <f>YEAR(Cleaned_HR_Data_Analysis__2[[#This Row],[Joining_Date]])</f>
        <v>2020</v>
      </c>
      <c r="C1649" s="1">
        <v>43959</v>
      </c>
      <c r="D1649" s="1" t="str" cm="1">
        <f t="array" ref="D1649">_xlfn.IFS(E1649&lt;28, "17-27",
AND(E1649&gt;27, E1649&lt;38), "28-37",
AND(E1649&gt;37, E1649 &lt;48), "38-47",
AND(E1649&gt;47, E1649 &lt;58), "48-57",
AND(E1649&gt;57, E1649&lt;68), "58-67",
AND(E1649&gt;67, E1649&lt;78), "68-77",
E1649&gt;77,"Above than 77")</f>
        <v>48-57</v>
      </c>
      <c r="E1649">
        <v>55</v>
      </c>
      <c r="F1649" s="1">
        <v>23988</v>
      </c>
      <c r="G1649" s="1" t="str">
        <f>VLOOKUP(H1649,Table7[#All], 2, FALSE)</f>
        <v>Massachusetts</v>
      </c>
      <c r="H1649" s="2" t="s">
        <v>14</v>
      </c>
      <c r="I1649" s="2" t="s">
        <v>15</v>
      </c>
      <c r="J1649" s="2" t="s">
        <v>34</v>
      </c>
      <c r="K1649" s="2" t="s">
        <v>8</v>
      </c>
      <c r="L1649" s="2" t="s">
        <v>9</v>
      </c>
      <c r="M1649" s="2" t="s">
        <v>20</v>
      </c>
      <c r="N1649" s="2" t="s">
        <v>26</v>
      </c>
      <c r="O1649" s="2" t="s">
        <v>12</v>
      </c>
      <c r="P1649" s="2" t="s">
        <v>32</v>
      </c>
      <c r="Q1649" s="2" t="s">
        <v>46</v>
      </c>
      <c r="R1649" s="2" t="s">
        <v>18</v>
      </c>
      <c r="S1649">
        <v>4</v>
      </c>
    </row>
    <row r="1650" spans="1:19" x14ac:dyDescent="0.3">
      <c r="A1650">
        <v>1880</v>
      </c>
      <c r="B1650">
        <f>YEAR(Cleaned_HR_Data_Analysis__2[[#This Row],[Joining_Date]])</f>
        <v>2021</v>
      </c>
      <c r="C1650" s="1">
        <v>44386</v>
      </c>
      <c r="D1650" s="1" t="str" cm="1">
        <f t="array" ref="D1650">_xlfn.IFS(E1650&lt;28, "17-27",
AND(E1650&gt;27, E1650&lt;38), "28-37",
AND(E1650&gt;37, E1650 &lt;48), "38-47",
AND(E1650&gt;47, E1650 &lt;58), "48-57",
AND(E1650&gt;57, E1650&lt;68), "58-67",
AND(E1650&gt;67, E1650&lt;78), "68-77",
E1650&gt;77,"Above than 77")</f>
        <v>48-57</v>
      </c>
      <c r="E1650">
        <v>55</v>
      </c>
      <c r="F1650" s="1">
        <v>24114</v>
      </c>
      <c r="G1650" s="1" t="str">
        <f>VLOOKUP(H1650,Table7[#All], 2, FALSE)</f>
        <v>Massachusetts</v>
      </c>
      <c r="H1650" s="2" t="s">
        <v>14</v>
      </c>
      <c r="I1650" s="2" t="s">
        <v>15</v>
      </c>
      <c r="J1650" s="2" t="s">
        <v>17</v>
      </c>
      <c r="K1650" s="2" t="s">
        <v>8</v>
      </c>
      <c r="L1650" s="2" t="s">
        <v>66</v>
      </c>
      <c r="M1650" s="2" t="s">
        <v>25</v>
      </c>
      <c r="N1650" s="2" t="s">
        <v>19</v>
      </c>
      <c r="O1650" s="2" t="s">
        <v>12</v>
      </c>
      <c r="P1650" s="2" t="s">
        <v>54</v>
      </c>
      <c r="Q1650" s="2" t="s">
        <v>37</v>
      </c>
      <c r="R1650" s="2" t="s">
        <v>18</v>
      </c>
      <c r="S1650">
        <v>1</v>
      </c>
    </row>
    <row r="1651" spans="1:19" x14ac:dyDescent="0.3">
      <c r="A1651">
        <v>1844</v>
      </c>
      <c r="B1651">
        <f>YEAR(Cleaned_HR_Data_Analysis__2[[#This Row],[Joining_Date]])</f>
        <v>2019</v>
      </c>
      <c r="C1651" s="1">
        <v>43719</v>
      </c>
      <c r="D1651" s="1" t="str" cm="1">
        <f t="array" ref="D1651">_xlfn.IFS(E1651&lt;28, "17-27",
AND(E1651&gt;27, E1651&lt;38), "28-37",
AND(E1651&gt;37, E1651 &lt;48), "38-47",
AND(E1651&gt;47, E1651 &lt;58), "48-57",
AND(E1651&gt;57, E1651&lt;68), "58-67",
AND(E1651&gt;67, E1651&lt;78), "68-77",
E1651&gt;77,"Above than 77")</f>
        <v>48-57</v>
      </c>
      <c r="E1651">
        <v>55</v>
      </c>
      <c r="F1651" s="1">
        <v>23704</v>
      </c>
      <c r="G1651" s="1" t="str">
        <f>VLOOKUP(H1651,Table7[#All], 2, FALSE)</f>
        <v>Massachusetts</v>
      </c>
      <c r="H1651" s="2" t="s">
        <v>14</v>
      </c>
      <c r="I1651" s="2" t="s">
        <v>15</v>
      </c>
      <c r="J1651" s="2" t="s">
        <v>31</v>
      </c>
      <c r="K1651" s="2" t="s">
        <v>8</v>
      </c>
      <c r="L1651" s="2" t="s">
        <v>9</v>
      </c>
      <c r="M1651" s="2" t="s">
        <v>20</v>
      </c>
      <c r="N1651" s="2" t="s">
        <v>19</v>
      </c>
      <c r="O1651" s="2" t="s">
        <v>12</v>
      </c>
      <c r="P1651" s="2" t="s">
        <v>32</v>
      </c>
      <c r="Q1651" s="2" t="s">
        <v>30</v>
      </c>
      <c r="R1651" s="2" t="s">
        <v>41</v>
      </c>
      <c r="S1651">
        <v>1</v>
      </c>
    </row>
    <row r="1652" spans="1:19" x14ac:dyDescent="0.3">
      <c r="A1652">
        <v>1548</v>
      </c>
      <c r="B1652">
        <f>YEAR(Cleaned_HR_Data_Analysis__2[[#This Row],[Joining_Date]])</f>
        <v>2019</v>
      </c>
      <c r="C1652" s="1">
        <v>43627</v>
      </c>
      <c r="D1652" s="1" t="str" cm="1">
        <f t="array" ref="D1652">_xlfn.IFS(E1652&lt;28, "17-27",
AND(E1652&gt;27, E1652&lt;38), "28-37",
AND(E1652&gt;37, E1652 &lt;48), "38-47",
AND(E1652&gt;47, E1652 &lt;58), "48-57",
AND(E1652&gt;57, E1652&lt;68), "58-67",
AND(E1652&gt;67, E1652&lt;78), "68-77",
E1652&gt;77,"Above than 77")</f>
        <v>48-57</v>
      </c>
      <c r="E1652">
        <v>55</v>
      </c>
      <c r="F1652" s="1">
        <v>23590</v>
      </c>
      <c r="G1652" s="1" t="str">
        <f>VLOOKUP(H1652,Table7[#All], 2, FALSE)</f>
        <v>Massachusetts</v>
      </c>
      <c r="H1652" s="2" t="s">
        <v>14</v>
      </c>
      <c r="I1652" s="2" t="s">
        <v>22</v>
      </c>
      <c r="J1652" s="2" t="s">
        <v>17</v>
      </c>
      <c r="K1652" s="2" t="s">
        <v>8</v>
      </c>
      <c r="L1652" s="2" t="s">
        <v>9</v>
      </c>
      <c r="M1652" s="2" t="s">
        <v>20</v>
      </c>
      <c r="N1652" s="2" t="s">
        <v>19</v>
      </c>
      <c r="O1652" s="2" t="s">
        <v>12</v>
      </c>
      <c r="P1652" s="2" t="s">
        <v>42</v>
      </c>
      <c r="Q1652" s="2" t="s">
        <v>46</v>
      </c>
      <c r="R1652" s="2" t="s">
        <v>56</v>
      </c>
      <c r="S1652">
        <v>4</v>
      </c>
    </row>
    <row r="1653" spans="1:19" x14ac:dyDescent="0.3">
      <c r="A1653">
        <v>1477</v>
      </c>
      <c r="B1653">
        <f>YEAR(Cleaned_HR_Data_Analysis__2[[#This Row],[Joining_Date]])</f>
        <v>2018</v>
      </c>
      <c r="C1653" s="1">
        <v>43425</v>
      </c>
      <c r="D1653" s="1" t="str" cm="1">
        <f t="array" ref="D1653">_xlfn.IFS(E1653&lt;28, "17-27",
AND(E1653&gt;27, E1653&lt;38), "28-37",
AND(E1653&gt;37, E1653 &lt;48), "38-47",
AND(E1653&gt;47, E1653 &lt;58), "48-57",
AND(E1653&gt;57, E1653&lt;68), "58-67",
AND(E1653&gt;67, E1653&lt;78), "68-77",
E1653&gt;77,"Above than 77")</f>
        <v>48-57</v>
      </c>
      <c r="E1653">
        <v>55</v>
      </c>
      <c r="F1653" s="1">
        <v>23266</v>
      </c>
      <c r="G1653" s="1" t="str">
        <f>VLOOKUP(H1653,Table7[#All], 2, FALSE)</f>
        <v>Massachusetts</v>
      </c>
      <c r="H1653" s="2" t="s">
        <v>14</v>
      </c>
      <c r="I1653" s="2" t="s">
        <v>15</v>
      </c>
      <c r="J1653" s="2" t="s">
        <v>34</v>
      </c>
      <c r="K1653" s="2" t="s">
        <v>8</v>
      </c>
      <c r="L1653" s="2" t="s">
        <v>9</v>
      </c>
      <c r="M1653" s="2" t="s">
        <v>10</v>
      </c>
      <c r="N1653" s="2" t="s">
        <v>26</v>
      </c>
      <c r="O1653" s="2" t="s">
        <v>12</v>
      </c>
      <c r="P1653" s="2" t="s">
        <v>59</v>
      </c>
      <c r="Q1653" s="2" t="s">
        <v>46</v>
      </c>
      <c r="R1653" s="2" t="s">
        <v>41</v>
      </c>
      <c r="S1653">
        <v>5</v>
      </c>
    </row>
    <row r="1654" spans="1:19" x14ac:dyDescent="0.3">
      <c r="A1654">
        <v>1221</v>
      </c>
      <c r="B1654">
        <f>YEAR(Cleaned_HR_Data_Analysis__2[[#This Row],[Joining_Date]])</f>
        <v>2022</v>
      </c>
      <c r="C1654" s="1">
        <v>44876</v>
      </c>
      <c r="D1654" s="1" t="str" cm="1">
        <f t="array" ref="D1654">_xlfn.IFS(E1654&lt;28, "17-27",
AND(E1654&gt;27, E1654&lt;38), "28-37",
AND(E1654&gt;37, E1654 &lt;48), "38-47",
AND(E1654&gt;47, E1654 &lt;58), "48-57",
AND(E1654&gt;57, E1654&lt;68), "58-67",
AND(E1654&gt;67, E1654&lt;78), "68-77",
E1654&gt;77,"Above than 77")</f>
        <v>48-57</v>
      </c>
      <c r="E1654">
        <v>55</v>
      </c>
      <c r="F1654" s="1">
        <v>24571</v>
      </c>
      <c r="G1654" s="1" t="str">
        <f>VLOOKUP(H1654,Table7[#All], 2, FALSE)</f>
        <v>Massachusetts</v>
      </c>
      <c r="H1654" s="2" t="s">
        <v>14</v>
      </c>
      <c r="I1654" s="2" t="s">
        <v>15</v>
      </c>
      <c r="J1654" s="2" t="s">
        <v>31</v>
      </c>
      <c r="K1654" s="2" t="s">
        <v>8</v>
      </c>
      <c r="L1654" s="2" t="s">
        <v>66</v>
      </c>
      <c r="M1654" s="2" t="s">
        <v>20</v>
      </c>
      <c r="N1654" s="2" t="s">
        <v>19</v>
      </c>
      <c r="O1654" s="2" t="s">
        <v>12</v>
      </c>
      <c r="P1654" s="2" t="s">
        <v>63</v>
      </c>
      <c r="Q1654" s="2" t="s">
        <v>46</v>
      </c>
      <c r="R1654" s="2" t="s">
        <v>18</v>
      </c>
      <c r="S1654">
        <v>5</v>
      </c>
    </row>
    <row r="1655" spans="1:19" x14ac:dyDescent="0.3">
      <c r="A1655">
        <v>2263</v>
      </c>
      <c r="B1655">
        <f>YEAR(Cleaned_HR_Data_Analysis__2[[#This Row],[Joining_Date]])</f>
        <v>2020</v>
      </c>
      <c r="C1655" s="1">
        <v>43837</v>
      </c>
      <c r="D1655" s="1" t="str" cm="1">
        <f t="array" ref="D1655">_xlfn.IFS(E1655&lt;28, "17-27",
AND(E1655&gt;27, E1655&lt;38), "28-37",
AND(E1655&gt;37, E1655 &lt;48), "38-47",
AND(E1655&gt;47, E1655 &lt;58), "48-57",
AND(E1655&gt;57, E1655&lt;68), "58-67",
AND(E1655&gt;67, E1655&lt;78), "68-77",
E1655&gt;77,"Above than 77")</f>
        <v>48-57</v>
      </c>
      <c r="E1655">
        <v>55</v>
      </c>
      <c r="F1655" s="1">
        <v>24024</v>
      </c>
      <c r="G1655" s="1" t="str">
        <f>VLOOKUP(H1655,Table7[#All], 2, FALSE)</f>
        <v>Massachusetts</v>
      </c>
      <c r="H1655" s="2" t="s">
        <v>14</v>
      </c>
      <c r="I1655" s="2" t="s">
        <v>22</v>
      </c>
      <c r="J1655" s="2" t="s">
        <v>31</v>
      </c>
      <c r="K1655" s="2" t="s">
        <v>101</v>
      </c>
      <c r="L1655" s="2" t="s">
        <v>9</v>
      </c>
      <c r="M1655" s="2" t="s">
        <v>10</v>
      </c>
      <c r="N1655" s="2" t="s">
        <v>26</v>
      </c>
      <c r="O1655" s="2" t="s">
        <v>53</v>
      </c>
      <c r="P1655" s="2" t="s">
        <v>28</v>
      </c>
      <c r="Q1655" s="2" t="s">
        <v>23</v>
      </c>
      <c r="R1655" s="2" t="s">
        <v>18</v>
      </c>
      <c r="S1655">
        <v>1</v>
      </c>
    </row>
    <row r="1656" spans="1:19" x14ac:dyDescent="0.3">
      <c r="A1656">
        <v>2533</v>
      </c>
      <c r="B1656">
        <f>YEAR(Cleaned_HR_Data_Analysis__2[[#This Row],[Joining_Date]])</f>
        <v>2021</v>
      </c>
      <c r="C1656" s="1">
        <v>44321</v>
      </c>
      <c r="D1656" s="1" t="str" cm="1">
        <f t="array" ref="D1656">_xlfn.IFS(E1656&lt;28, "17-27",
AND(E1656&gt;27, E1656&lt;38), "28-37",
AND(E1656&gt;37, E1656 &lt;48), "38-47",
AND(E1656&gt;47, E1656 &lt;58), "48-57",
AND(E1656&gt;57, E1656&lt;68), "58-67",
AND(E1656&gt;67, E1656&lt;78), "68-77",
E1656&gt;77,"Above than 77")</f>
        <v>48-57</v>
      </c>
      <c r="E1656">
        <v>55</v>
      </c>
      <c r="F1656" s="1">
        <v>24271</v>
      </c>
      <c r="G1656" s="1" t="str">
        <f>VLOOKUP(H1656,Table7[#All], 2, FALSE)</f>
        <v>Massachusetts</v>
      </c>
      <c r="H1656" s="2" t="s">
        <v>14</v>
      </c>
      <c r="I1656" s="2" t="s">
        <v>22</v>
      </c>
      <c r="J1656" s="2" t="s">
        <v>40</v>
      </c>
      <c r="K1656" s="2" t="s">
        <v>103</v>
      </c>
      <c r="L1656" s="2" t="s">
        <v>9</v>
      </c>
      <c r="M1656" s="2" t="s">
        <v>25</v>
      </c>
      <c r="N1656" s="2" t="s">
        <v>19</v>
      </c>
      <c r="O1656" s="2" t="s">
        <v>53</v>
      </c>
      <c r="P1656" s="2" t="s">
        <v>35</v>
      </c>
      <c r="Q1656" s="2" t="s">
        <v>16</v>
      </c>
      <c r="R1656" s="2" t="s">
        <v>18</v>
      </c>
      <c r="S1656">
        <v>1</v>
      </c>
    </row>
    <row r="1657" spans="1:19" x14ac:dyDescent="0.3">
      <c r="A1657">
        <v>3969</v>
      </c>
      <c r="B1657">
        <f>YEAR(Cleaned_HR_Data_Analysis__2[[#This Row],[Joining_Date]])</f>
        <v>2021</v>
      </c>
      <c r="C1657" s="1">
        <v>44213</v>
      </c>
      <c r="D1657" s="1" t="str" cm="1">
        <f t="array" ref="D1657">_xlfn.IFS(E1657&lt;28, "17-27",
AND(E1657&gt;27, E1657&lt;38), "28-37",
AND(E1657&gt;37, E1657 &lt;48), "38-47",
AND(E1657&gt;47, E1657 &lt;58), "48-57",
AND(E1657&gt;57, E1657&lt;68), "58-67",
AND(E1657&gt;67, E1657&lt;78), "68-77",
E1657&gt;77,"Above than 77")</f>
        <v>48-57</v>
      </c>
      <c r="E1657">
        <v>55</v>
      </c>
      <c r="F1657" s="1">
        <v>24276</v>
      </c>
      <c r="G1657" s="1" t="str">
        <f>VLOOKUP(H1657,Table7[#All], 2, FALSE)</f>
        <v>Massachusetts</v>
      </c>
      <c r="H1657" s="2" t="s">
        <v>14</v>
      </c>
      <c r="I1657" s="2" t="s">
        <v>15</v>
      </c>
      <c r="J1657" s="2" t="s">
        <v>40</v>
      </c>
      <c r="K1657" s="2" t="s">
        <v>77</v>
      </c>
      <c r="L1657" s="2" t="s">
        <v>9</v>
      </c>
      <c r="M1657" s="2" t="s">
        <v>10</v>
      </c>
      <c r="N1657" s="2" t="s">
        <v>19</v>
      </c>
      <c r="O1657" s="2" t="s">
        <v>53</v>
      </c>
      <c r="P1657" s="2" t="s">
        <v>21</v>
      </c>
      <c r="Q1657" s="2" t="s">
        <v>46</v>
      </c>
      <c r="R1657" s="2" t="s">
        <v>41</v>
      </c>
      <c r="S1657">
        <v>5</v>
      </c>
    </row>
    <row r="1658" spans="1:19" x14ac:dyDescent="0.3">
      <c r="A1658">
        <v>1649</v>
      </c>
      <c r="B1658">
        <f>YEAR(Cleaned_HR_Data_Analysis__2[[#This Row],[Joining_Date]])</f>
        <v>2019</v>
      </c>
      <c r="C1658" s="1">
        <v>43543</v>
      </c>
      <c r="D1658" s="1" t="str" cm="1">
        <f t="array" ref="D1658">_xlfn.IFS(E1658&lt;28, "17-27",
AND(E1658&gt;27, E1658&lt;38), "28-37",
AND(E1658&gt;37, E1658 &lt;48), "38-47",
AND(E1658&gt;47, E1658 &lt;58), "48-57",
AND(E1658&gt;57, E1658&lt;68), "58-67",
AND(E1658&gt;67, E1658&lt;78), "68-77",
E1658&gt;77,"Above than 77")</f>
        <v>48-57</v>
      </c>
      <c r="E1658">
        <v>55</v>
      </c>
      <c r="F1658" s="1">
        <v>23446</v>
      </c>
      <c r="G1658" s="1" t="str">
        <f>VLOOKUP(H1658,Table7[#All], 2, FALSE)</f>
        <v>Texas</v>
      </c>
      <c r="H1658" s="2" t="s">
        <v>45</v>
      </c>
      <c r="I1658" s="2" t="s">
        <v>22</v>
      </c>
      <c r="J1658" s="2" t="s">
        <v>31</v>
      </c>
      <c r="K1658" s="2" t="s">
        <v>82</v>
      </c>
      <c r="L1658" s="2" t="s">
        <v>9</v>
      </c>
      <c r="M1658" s="2" t="s">
        <v>25</v>
      </c>
      <c r="N1658" s="2" t="s">
        <v>19</v>
      </c>
      <c r="O1658" s="2" t="s">
        <v>53</v>
      </c>
      <c r="P1658" s="2" t="s">
        <v>59</v>
      </c>
      <c r="Q1658" s="2" t="s">
        <v>16</v>
      </c>
      <c r="R1658" s="2" t="s">
        <v>18</v>
      </c>
      <c r="S1658">
        <v>1</v>
      </c>
    </row>
    <row r="1659" spans="1:19" x14ac:dyDescent="0.3">
      <c r="A1659">
        <v>2557</v>
      </c>
      <c r="B1659">
        <f>YEAR(Cleaned_HR_Data_Analysis__2[[#This Row],[Joining_Date]])</f>
        <v>2019</v>
      </c>
      <c r="C1659" s="1">
        <v>43728</v>
      </c>
      <c r="D1659" s="1" t="str" cm="1">
        <f t="array" ref="D1659">_xlfn.IFS(E1659&lt;28, "17-27",
AND(E1659&gt;27, E1659&lt;38), "28-37",
AND(E1659&gt;37, E1659 &lt;48), "38-47",
AND(E1659&gt;47, E1659 &lt;58), "48-57",
AND(E1659&gt;57, E1659&lt;68), "58-67",
AND(E1659&gt;67, E1659&lt;78), "68-77",
E1659&gt;77,"Above than 77")</f>
        <v>48-57</v>
      </c>
      <c r="E1659">
        <v>55</v>
      </c>
      <c r="F1659" s="1">
        <v>23545</v>
      </c>
      <c r="G1659" s="1" t="str">
        <f>VLOOKUP(H1659,Table7[#All], 2, FALSE)</f>
        <v>Massachusetts</v>
      </c>
      <c r="H1659" s="2" t="s">
        <v>14</v>
      </c>
      <c r="I1659" s="2" t="s">
        <v>15</v>
      </c>
      <c r="J1659" s="2" t="s">
        <v>34</v>
      </c>
      <c r="K1659" s="2" t="s">
        <v>97</v>
      </c>
      <c r="L1659" s="2" t="s">
        <v>9</v>
      </c>
      <c r="M1659" s="2" t="s">
        <v>25</v>
      </c>
      <c r="N1659" s="2" t="s">
        <v>26</v>
      </c>
      <c r="O1659" s="2" t="s">
        <v>53</v>
      </c>
      <c r="P1659" s="2" t="s">
        <v>42</v>
      </c>
      <c r="Q1659" s="2" t="s">
        <v>37</v>
      </c>
      <c r="R1659" s="2" t="s">
        <v>18</v>
      </c>
      <c r="S1659">
        <v>3</v>
      </c>
    </row>
    <row r="1660" spans="1:19" x14ac:dyDescent="0.3">
      <c r="A1660">
        <v>1662</v>
      </c>
      <c r="B1660">
        <f>YEAR(Cleaned_HR_Data_Analysis__2[[#This Row],[Joining_Date]])</f>
        <v>2018</v>
      </c>
      <c r="C1660" s="1">
        <v>43429</v>
      </c>
      <c r="D1660" s="1" t="str" cm="1">
        <f t="array" ref="D1660">_xlfn.IFS(E1660&lt;28, "17-27",
AND(E1660&gt;27, E1660&lt;38), "28-37",
AND(E1660&gt;37, E1660 &lt;48), "38-47",
AND(E1660&gt;47, E1660 &lt;58), "48-57",
AND(E1660&gt;57, E1660&lt;68), "58-67",
AND(E1660&gt;67, E1660&lt;78), "68-77",
E1660&gt;77,"Above than 77")</f>
        <v>48-57</v>
      </c>
      <c r="E1660">
        <v>55</v>
      </c>
      <c r="F1660" s="1">
        <v>23319</v>
      </c>
      <c r="G1660" s="1" t="str">
        <f>VLOOKUP(H1660,Table7[#All], 2, FALSE)</f>
        <v>Massachusetts</v>
      </c>
      <c r="H1660" s="2" t="s">
        <v>14</v>
      </c>
      <c r="I1660" s="2" t="s">
        <v>15</v>
      </c>
      <c r="J1660" s="2" t="s">
        <v>34</v>
      </c>
      <c r="K1660" s="2" t="s">
        <v>97</v>
      </c>
      <c r="L1660" s="2" t="s">
        <v>9</v>
      </c>
      <c r="M1660" s="2" t="s">
        <v>10</v>
      </c>
      <c r="N1660" s="2" t="s">
        <v>11</v>
      </c>
      <c r="O1660" s="2" t="s">
        <v>53</v>
      </c>
      <c r="P1660" s="2" t="s">
        <v>42</v>
      </c>
      <c r="Q1660" s="2" t="s">
        <v>23</v>
      </c>
      <c r="R1660" s="2" t="s">
        <v>18</v>
      </c>
      <c r="S1660">
        <v>4</v>
      </c>
    </row>
    <row r="1661" spans="1:19" x14ac:dyDescent="0.3">
      <c r="A1661">
        <v>3532</v>
      </c>
      <c r="B1661">
        <f>YEAR(Cleaned_HR_Data_Analysis__2[[#This Row],[Joining_Date]])</f>
        <v>2021</v>
      </c>
      <c r="C1661" s="1">
        <v>44483</v>
      </c>
      <c r="D1661" s="1" t="str" cm="1">
        <f t="array" ref="D1661">_xlfn.IFS(E1661&lt;28, "17-27",
AND(E1661&gt;27, E1661&lt;38), "28-37",
AND(E1661&gt;37, E1661 &lt;48), "38-47",
AND(E1661&gt;47, E1661 &lt;58), "48-57",
AND(E1661&gt;57, E1661&lt;68), "58-67",
AND(E1661&gt;67, E1661&lt;78), "68-77",
E1661&gt;77,"Above than 77")</f>
        <v>48-57</v>
      </c>
      <c r="E1661">
        <v>55</v>
      </c>
      <c r="F1661" s="1">
        <v>24438</v>
      </c>
      <c r="G1661" s="1" t="str">
        <f>VLOOKUP(H1661,Table7[#All], 2, FALSE)</f>
        <v>Oregon</v>
      </c>
      <c r="H1661" s="2" t="s">
        <v>43</v>
      </c>
      <c r="I1661" s="2" t="s">
        <v>15</v>
      </c>
      <c r="J1661" s="2" t="s">
        <v>17</v>
      </c>
      <c r="K1661" s="2" t="s">
        <v>24</v>
      </c>
      <c r="L1661" s="2" t="s">
        <v>9</v>
      </c>
      <c r="M1661" s="2" t="s">
        <v>20</v>
      </c>
      <c r="N1661" s="2" t="s">
        <v>26</v>
      </c>
      <c r="O1661" s="2" t="s">
        <v>53</v>
      </c>
      <c r="P1661" s="2" t="s">
        <v>61</v>
      </c>
      <c r="Q1661" s="2" t="s">
        <v>37</v>
      </c>
      <c r="R1661" s="2" t="s">
        <v>18</v>
      </c>
      <c r="S1661">
        <v>2</v>
      </c>
    </row>
    <row r="1662" spans="1:19" x14ac:dyDescent="0.3">
      <c r="A1662">
        <v>3533</v>
      </c>
      <c r="B1662">
        <f>YEAR(Cleaned_HR_Data_Analysis__2[[#This Row],[Joining_Date]])</f>
        <v>2021</v>
      </c>
      <c r="C1662" s="1">
        <v>44348</v>
      </c>
      <c r="D1662" s="1" t="str" cm="1">
        <f t="array" ref="D1662">_xlfn.IFS(E1662&lt;28, "17-27",
AND(E1662&gt;27, E1662&lt;38), "28-37",
AND(E1662&gt;37, E1662 &lt;48), "38-47",
AND(E1662&gt;47, E1662 &lt;58), "48-57",
AND(E1662&gt;57, E1662&lt;68), "58-67",
AND(E1662&gt;67, E1662&lt;78), "68-77",
E1662&gt;77,"Above than 77")</f>
        <v>48-57</v>
      </c>
      <c r="E1662">
        <v>55</v>
      </c>
      <c r="F1662" s="1">
        <v>24423</v>
      </c>
      <c r="G1662" s="1" t="str">
        <f>VLOOKUP(H1662,Table7[#All], 2, FALSE)</f>
        <v>North Dakota</v>
      </c>
      <c r="H1662" s="2" t="s">
        <v>29</v>
      </c>
      <c r="I1662" s="2" t="s">
        <v>22</v>
      </c>
      <c r="J1662" s="2" t="s">
        <v>34</v>
      </c>
      <c r="K1662" s="2" t="s">
        <v>24</v>
      </c>
      <c r="L1662" s="2" t="s">
        <v>9</v>
      </c>
      <c r="M1662" s="2" t="s">
        <v>10</v>
      </c>
      <c r="N1662" s="2" t="s">
        <v>26</v>
      </c>
      <c r="O1662" s="2" t="s">
        <v>27</v>
      </c>
      <c r="P1662" s="2" t="s">
        <v>28</v>
      </c>
      <c r="Q1662" s="2" t="s">
        <v>16</v>
      </c>
      <c r="R1662" s="2" t="s">
        <v>18</v>
      </c>
      <c r="S1662">
        <v>5</v>
      </c>
    </row>
    <row r="1663" spans="1:19" x14ac:dyDescent="0.3">
      <c r="A1663">
        <v>2637</v>
      </c>
      <c r="B1663">
        <f>YEAR(Cleaned_HR_Data_Analysis__2[[#This Row],[Joining_Date]])</f>
        <v>2022</v>
      </c>
      <c r="C1663" s="1">
        <v>44881</v>
      </c>
      <c r="D1663" s="1" t="str" cm="1">
        <f t="array" ref="D1663">_xlfn.IFS(E1663&lt;28, "17-27",
AND(E1663&gt;27, E1663&lt;38), "28-37",
AND(E1663&gt;37, E1663 &lt;48), "38-47",
AND(E1663&gt;47, E1663 &lt;58), "48-57",
AND(E1663&gt;57, E1663&lt;68), "58-67",
AND(E1663&gt;67, E1663&lt;78), "68-77",
E1663&gt;77,"Above than 77")</f>
        <v>48-57</v>
      </c>
      <c r="E1663">
        <v>55</v>
      </c>
      <c r="F1663" s="1">
        <v>24749</v>
      </c>
      <c r="G1663" s="1" t="str">
        <f>VLOOKUP(H1663,Table7[#All], 2, FALSE)</f>
        <v>Massachusetts</v>
      </c>
      <c r="H1663" s="2" t="s">
        <v>14</v>
      </c>
      <c r="I1663" s="2" t="s">
        <v>22</v>
      </c>
      <c r="J1663" s="2" t="s">
        <v>40</v>
      </c>
      <c r="K1663" s="2" t="s">
        <v>24</v>
      </c>
      <c r="L1663" s="2" t="s">
        <v>9</v>
      </c>
      <c r="M1663" s="2" t="s">
        <v>10</v>
      </c>
      <c r="N1663" s="2" t="s">
        <v>19</v>
      </c>
      <c r="O1663" s="2" t="s">
        <v>27</v>
      </c>
      <c r="P1663" s="2" t="s">
        <v>54</v>
      </c>
      <c r="Q1663" s="2" t="s">
        <v>46</v>
      </c>
      <c r="R1663" s="2" t="s">
        <v>18</v>
      </c>
      <c r="S1663">
        <v>2</v>
      </c>
    </row>
    <row r="1664" spans="1:19" x14ac:dyDescent="0.3">
      <c r="A1664">
        <v>1687</v>
      </c>
      <c r="B1664">
        <f>YEAR(Cleaned_HR_Data_Analysis__2[[#This Row],[Joining_Date]])</f>
        <v>2022</v>
      </c>
      <c r="C1664" s="1">
        <v>44890</v>
      </c>
      <c r="D1664" s="1" t="str" cm="1">
        <f t="array" ref="D1664">_xlfn.IFS(E1664&lt;28, "17-27",
AND(E1664&gt;27, E1664&lt;38), "28-37",
AND(E1664&gt;37, E1664 &lt;48), "38-47",
AND(E1664&gt;47, E1664 &lt;58), "48-57",
AND(E1664&gt;57, E1664&lt;68), "58-67",
AND(E1664&gt;67, E1664&lt;78), "68-77",
E1664&gt;77,"Above than 77")</f>
        <v>48-57</v>
      </c>
      <c r="E1664">
        <v>55</v>
      </c>
      <c r="F1664" s="1">
        <v>24587</v>
      </c>
      <c r="G1664" s="1" t="str">
        <f>VLOOKUP(H1664,Table7[#All], 2, FALSE)</f>
        <v>Massachusetts</v>
      </c>
      <c r="H1664" s="2" t="s">
        <v>14</v>
      </c>
      <c r="I1664" s="2" t="s">
        <v>22</v>
      </c>
      <c r="J1664" s="2" t="s">
        <v>17</v>
      </c>
      <c r="K1664" s="2" t="s">
        <v>24</v>
      </c>
      <c r="L1664" s="2" t="s">
        <v>9</v>
      </c>
      <c r="M1664" s="2" t="s">
        <v>20</v>
      </c>
      <c r="N1664" s="2" t="s">
        <v>11</v>
      </c>
      <c r="O1664" s="2" t="s">
        <v>53</v>
      </c>
      <c r="P1664" s="2" t="s">
        <v>42</v>
      </c>
      <c r="Q1664" s="2" t="s">
        <v>16</v>
      </c>
      <c r="R1664" s="2" t="s">
        <v>18</v>
      </c>
      <c r="S1664">
        <v>4</v>
      </c>
    </row>
    <row r="1665" spans="1:19" x14ac:dyDescent="0.3">
      <c r="A1665">
        <v>2678</v>
      </c>
      <c r="B1665">
        <f>YEAR(Cleaned_HR_Data_Analysis__2[[#This Row],[Joining_Date]])</f>
        <v>2021</v>
      </c>
      <c r="C1665" s="1">
        <v>44346</v>
      </c>
      <c r="D1665" s="1" t="str" cm="1">
        <f t="array" ref="D1665">_xlfn.IFS(E1665&lt;28, "17-27",
AND(E1665&gt;27, E1665&lt;38), "28-37",
AND(E1665&gt;37, E1665 &lt;48), "38-47",
AND(E1665&gt;47, E1665 &lt;58), "48-57",
AND(E1665&gt;57, E1665&lt;68), "58-67",
AND(E1665&gt;67, E1665&lt;78), "68-77",
E1665&gt;77,"Above than 77")</f>
        <v>48-57</v>
      </c>
      <c r="E1665">
        <v>55</v>
      </c>
      <c r="F1665" s="1">
        <v>24228</v>
      </c>
      <c r="G1665" s="1" t="str">
        <f>VLOOKUP(H1665,Table7[#All], 2, FALSE)</f>
        <v>Idaho</v>
      </c>
      <c r="H1665" s="2" t="s">
        <v>111</v>
      </c>
      <c r="I1665" s="2" t="s">
        <v>22</v>
      </c>
      <c r="J1665" s="2" t="s">
        <v>31</v>
      </c>
      <c r="K1665" s="2" t="s">
        <v>24</v>
      </c>
      <c r="L1665" s="2" t="s">
        <v>9</v>
      </c>
      <c r="M1665" s="2" t="s">
        <v>25</v>
      </c>
      <c r="N1665" s="2" t="s">
        <v>11</v>
      </c>
      <c r="O1665" s="2" t="s">
        <v>27</v>
      </c>
      <c r="P1665" s="2" t="s">
        <v>35</v>
      </c>
      <c r="Q1665" s="2" t="s">
        <v>16</v>
      </c>
      <c r="R1665" s="2" t="s">
        <v>18</v>
      </c>
      <c r="S1665">
        <v>3</v>
      </c>
    </row>
    <row r="1666" spans="1:19" x14ac:dyDescent="0.3">
      <c r="A1666">
        <v>2612</v>
      </c>
      <c r="B1666">
        <f>YEAR(Cleaned_HR_Data_Analysis__2[[#This Row],[Joining_Date]])</f>
        <v>2018</v>
      </c>
      <c r="C1666" s="1">
        <v>43339</v>
      </c>
      <c r="D1666" s="1" t="str" cm="1">
        <f t="array" ref="D1666">_xlfn.IFS(E1666&lt;28, "17-27",
AND(E1666&gt;27, E1666&lt;38), "28-37",
AND(E1666&gt;37, E1666 &lt;48), "38-47",
AND(E1666&gt;47, E1666 &lt;58), "48-57",
AND(E1666&gt;57, E1666&lt;68), "58-67",
AND(E1666&gt;67, E1666&lt;78), "68-77",
E1666&gt;77,"Above than 77")</f>
        <v>48-57</v>
      </c>
      <c r="E1666">
        <v>55</v>
      </c>
      <c r="F1666" s="1">
        <v>23193</v>
      </c>
      <c r="G1666" s="1" t="str">
        <f>VLOOKUP(H1666,Table7[#All], 2, FALSE)</f>
        <v>Idaho</v>
      </c>
      <c r="H1666" s="2" t="s">
        <v>111</v>
      </c>
      <c r="I1666" s="2" t="s">
        <v>22</v>
      </c>
      <c r="J1666" s="2" t="s">
        <v>34</v>
      </c>
      <c r="K1666" s="2" t="s">
        <v>24</v>
      </c>
      <c r="L1666" s="2" t="s">
        <v>9</v>
      </c>
      <c r="M1666" s="2" t="s">
        <v>20</v>
      </c>
      <c r="N1666" s="2" t="s">
        <v>26</v>
      </c>
      <c r="O1666" s="2" t="s">
        <v>27</v>
      </c>
      <c r="P1666" s="2" t="s">
        <v>35</v>
      </c>
      <c r="Q1666" s="2" t="s">
        <v>16</v>
      </c>
      <c r="R1666" s="2" t="s">
        <v>18</v>
      </c>
      <c r="S1666">
        <v>2</v>
      </c>
    </row>
    <row r="1667" spans="1:19" x14ac:dyDescent="0.3">
      <c r="A1667">
        <v>3474</v>
      </c>
      <c r="B1667">
        <f>YEAR(Cleaned_HR_Data_Analysis__2[[#This Row],[Joining_Date]])</f>
        <v>2020</v>
      </c>
      <c r="C1667" s="1">
        <v>43899</v>
      </c>
      <c r="D1667" s="1" t="str" cm="1">
        <f t="array" ref="D1667">_xlfn.IFS(E1667&lt;28, "17-27",
AND(E1667&gt;27, E1667&lt;38), "28-37",
AND(E1667&gt;37, E1667 &lt;48), "38-47",
AND(E1667&gt;47, E1667 &lt;58), "48-57",
AND(E1667&gt;57, E1667&lt;68), "58-67",
AND(E1667&gt;67, E1667&lt;78), "68-77",
E1667&gt;77,"Above than 77")</f>
        <v>48-57</v>
      </c>
      <c r="E1667">
        <v>55</v>
      </c>
      <c r="F1667" s="1">
        <v>24092</v>
      </c>
      <c r="G1667" s="1" t="str">
        <f>VLOOKUP(H1667,Table7[#All], 2, FALSE)</f>
        <v>Colorado</v>
      </c>
      <c r="H1667" s="2" t="s">
        <v>50</v>
      </c>
      <c r="I1667" s="2" t="s">
        <v>22</v>
      </c>
      <c r="J1667" s="2" t="s">
        <v>40</v>
      </c>
      <c r="K1667" s="2" t="s">
        <v>24</v>
      </c>
      <c r="L1667" s="2" t="s">
        <v>9</v>
      </c>
      <c r="M1667" s="2" t="s">
        <v>25</v>
      </c>
      <c r="N1667" s="2" t="s">
        <v>19</v>
      </c>
      <c r="O1667" s="2" t="s">
        <v>27</v>
      </c>
      <c r="P1667" s="2" t="s">
        <v>60</v>
      </c>
      <c r="Q1667" s="2" t="s">
        <v>30</v>
      </c>
      <c r="R1667" s="2" t="s">
        <v>18</v>
      </c>
      <c r="S1667">
        <v>1</v>
      </c>
    </row>
    <row r="1668" spans="1:19" x14ac:dyDescent="0.3">
      <c r="A1668">
        <v>1319</v>
      </c>
      <c r="B1668">
        <f>YEAR(Cleaned_HR_Data_Analysis__2[[#This Row],[Joining_Date]])</f>
        <v>2019</v>
      </c>
      <c r="C1668" s="1">
        <v>43701</v>
      </c>
      <c r="D1668" s="1" t="str" cm="1">
        <f t="array" ref="D1668">_xlfn.IFS(E1668&lt;28, "17-27",
AND(E1668&gt;27, E1668&lt;38), "28-37",
AND(E1668&gt;37, E1668 &lt;48), "38-47",
AND(E1668&gt;47, E1668 &lt;58), "48-57",
AND(E1668&gt;57, E1668&lt;68), "58-67",
AND(E1668&gt;67, E1668&lt;78), "68-77",
E1668&gt;77,"Above than 77")</f>
        <v>48-57</v>
      </c>
      <c r="E1668">
        <v>55</v>
      </c>
      <c r="F1668" s="1">
        <v>23581</v>
      </c>
      <c r="G1668" s="1" t="str">
        <f>VLOOKUP(H1668,Table7[#All], 2, FALSE)</f>
        <v>Massachusetts</v>
      </c>
      <c r="H1668" s="2" t="s">
        <v>14</v>
      </c>
      <c r="I1668" s="2" t="s">
        <v>22</v>
      </c>
      <c r="J1668" s="2" t="s">
        <v>34</v>
      </c>
      <c r="K1668" s="2" t="s">
        <v>96</v>
      </c>
      <c r="L1668" s="2" t="s">
        <v>9</v>
      </c>
      <c r="M1668" s="2" t="s">
        <v>20</v>
      </c>
      <c r="N1668" s="2" t="s">
        <v>11</v>
      </c>
      <c r="O1668" s="2" t="s">
        <v>90</v>
      </c>
      <c r="P1668" s="2" t="s">
        <v>13</v>
      </c>
      <c r="Q1668" s="2" t="s">
        <v>46</v>
      </c>
      <c r="R1668" s="2" t="s">
        <v>18</v>
      </c>
      <c r="S1668">
        <v>2</v>
      </c>
    </row>
    <row r="1669" spans="1:19" x14ac:dyDescent="0.3">
      <c r="A1669">
        <v>2566</v>
      </c>
      <c r="B1669">
        <f>YEAR(Cleaned_HR_Data_Analysis__2[[#This Row],[Joining_Date]])</f>
        <v>2022</v>
      </c>
      <c r="C1669" s="1">
        <v>44824</v>
      </c>
      <c r="D1669" s="1" t="str" cm="1">
        <f t="array" ref="D1669">_xlfn.IFS(E1669&lt;28, "17-27",
AND(E1669&gt;27, E1669&lt;38), "28-37",
AND(E1669&gt;37, E1669 &lt;48), "38-47",
AND(E1669&gt;47, E1669 &lt;58), "48-57",
AND(E1669&gt;57, E1669&lt;68), "58-67",
AND(E1669&gt;67, E1669&lt;78), "68-77",
E1669&gt;77,"Above than 77")</f>
        <v>48-57</v>
      </c>
      <c r="E1669">
        <v>56</v>
      </c>
      <c r="F1669" s="1">
        <v>24380</v>
      </c>
      <c r="G1669" s="1" t="str">
        <f>VLOOKUP(H1669,Table7[#All], 2, FALSE)</f>
        <v>Massachusetts</v>
      </c>
      <c r="H1669" s="2" t="s">
        <v>14</v>
      </c>
      <c r="I1669" s="2" t="s">
        <v>22</v>
      </c>
      <c r="J1669" s="2" t="s">
        <v>34</v>
      </c>
      <c r="K1669" s="2" t="s">
        <v>85</v>
      </c>
      <c r="L1669" s="2" t="s">
        <v>9</v>
      </c>
      <c r="M1669" s="2" t="s">
        <v>25</v>
      </c>
      <c r="N1669" s="2" t="s">
        <v>26</v>
      </c>
      <c r="O1669" s="2" t="s">
        <v>87</v>
      </c>
      <c r="P1669" s="2" t="s">
        <v>32</v>
      </c>
      <c r="Q1669" s="2" t="s">
        <v>30</v>
      </c>
      <c r="R1669" s="2" t="s">
        <v>18</v>
      </c>
      <c r="S1669">
        <v>2</v>
      </c>
    </row>
    <row r="1670" spans="1:19" x14ac:dyDescent="0.3">
      <c r="A1670">
        <v>2558</v>
      </c>
      <c r="B1670">
        <f>YEAR(Cleaned_HR_Data_Analysis__2[[#This Row],[Joining_Date]])</f>
        <v>2021</v>
      </c>
      <c r="C1670" s="1">
        <v>44519</v>
      </c>
      <c r="D1670" s="1" t="str" cm="1">
        <f t="array" ref="D1670">_xlfn.IFS(E1670&lt;28, "17-27",
AND(E1670&gt;27, E1670&lt;38), "28-37",
AND(E1670&gt;37, E1670 &lt;48), "38-47",
AND(E1670&gt;47, E1670 &lt;58), "48-57",
AND(E1670&gt;57, E1670&lt;68), "58-67",
AND(E1670&gt;67, E1670&lt;78), "68-77",
E1670&gt;77,"Above than 77")</f>
        <v>48-57</v>
      </c>
      <c r="E1670">
        <v>56</v>
      </c>
      <c r="F1670" s="1">
        <v>24071</v>
      </c>
      <c r="G1670" s="1" t="str">
        <f>VLOOKUP(H1670,Table7[#All], 2, FALSE)</f>
        <v>Massachusetts</v>
      </c>
      <c r="H1670" s="2" t="s">
        <v>14</v>
      </c>
      <c r="I1670" s="2" t="s">
        <v>15</v>
      </c>
      <c r="J1670" s="2" t="s">
        <v>17</v>
      </c>
      <c r="K1670" s="2" t="s">
        <v>85</v>
      </c>
      <c r="L1670" s="2" t="s">
        <v>9</v>
      </c>
      <c r="M1670" s="2" t="s">
        <v>25</v>
      </c>
      <c r="N1670" s="2" t="s">
        <v>26</v>
      </c>
      <c r="O1670" s="2" t="s">
        <v>87</v>
      </c>
      <c r="P1670" s="2" t="s">
        <v>35</v>
      </c>
      <c r="Q1670" s="2" t="s">
        <v>46</v>
      </c>
      <c r="R1670" s="2" t="s">
        <v>18</v>
      </c>
      <c r="S1670">
        <v>4</v>
      </c>
    </row>
    <row r="1671" spans="1:19" x14ac:dyDescent="0.3">
      <c r="A1671">
        <v>2512</v>
      </c>
      <c r="B1671">
        <f>YEAR(Cleaned_HR_Data_Analysis__2[[#This Row],[Joining_Date]])</f>
        <v>2023</v>
      </c>
      <c r="C1671" s="1">
        <v>45032</v>
      </c>
      <c r="D1671" s="1" t="str" cm="1">
        <f t="array" ref="D1671">_xlfn.IFS(E1671&lt;28, "17-27",
AND(E1671&gt;27, E1671&lt;38), "28-37",
AND(E1671&gt;37, E1671 &lt;48), "38-47",
AND(E1671&gt;47, E1671 &lt;58), "48-57",
AND(E1671&gt;57, E1671&lt;68), "58-67",
AND(E1671&gt;67, E1671&lt;78), "68-77",
E1671&gt;77,"Above than 77")</f>
        <v>48-57</v>
      </c>
      <c r="E1671">
        <v>56</v>
      </c>
      <c r="F1671" s="1">
        <v>24537</v>
      </c>
      <c r="G1671" s="1" t="str">
        <f>VLOOKUP(H1671,Table7[#All], 2, FALSE)</f>
        <v>Massachusetts</v>
      </c>
      <c r="H1671" s="2" t="s">
        <v>14</v>
      </c>
      <c r="I1671" s="2" t="s">
        <v>22</v>
      </c>
      <c r="J1671" s="2" t="s">
        <v>17</v>
      </c>
      <c r="K1671" s="2" t="s">
        <v>86</v>
      </c>
      <c r="L1671" s="2" t="s">
        <v>9</v>
      </c>
      <c r="M1671" s="2" t="s">
        <v>20</v>
      </c>
      <c r="N1671" s="2" t="s">
        <v>26</v>
      </c>
      <c r="O1671" s="2" t="s">
        <v>87</v>
      </c>
      <c r="P1671" s="2" t="s">
        <v>35</v>
      </c>
      <c r="Q1671" s="2" t="s">
        <v>23</v>
      </c>
      <c r="R1671" s="2" t="s">
        <v>18</v>
      </c>
      <c r="S1671">
        <v>4</v>
      </c>
    </row>
    <row r="1672" spans="1:19" x14ac:dyDescent="0.3">
      <c r="A1672">
        <v>3601</v>
      </c>
      <c r="B1672">
        <f>YEAR(Cleaned_HR_Data_Analysis__2[[#This Row],[Joining_Date]])</f>
        <v>2022</v>
      </c>
      <c r="C1672" s="1">
        <v>44886</v>
      </c>
      <c r="D1672" s="1" t="str" cm="1">
        <f t="array" ref="D1672">_xlfn.IFS(E1672&lt;28, "17-27",
AND(E1672&gt;27, E1672&lt;38), "28-37",
AND(E1672&gt;37, E1672 &lt;48), "38-47",
AND(E1672&gt;47, E1672 &lt;58), "48-57",
AND(E1672&gt;57, E1672&lt;68), "58-67",
AND(E1672&gt;67, E1672&lt;78), "68-77",
E1672&gt;77,"Above than 77")</f>
        <v>48-57</v>
      </c>
      <c r="E1672">
        <v>56</v>
      </c>
      <c r="F1672" s="1">
        <v>24310</v>
      </c>
      <c r="G1672" s="1" t="str">
        <f>VLOOKUP(H1672,Table7[#All], 2, FALSE)</f>
        <v>Massachusetts</v>
      </c>
      <c r="H1672" s="2" t="s">
        <v>14</v>
      </c>
      <c r="I1672" s="2" t="s">
        <v>15</v>
      </c>
      <c r="J1672" s="2" t="s">
        <v>34</v>
      </c>
      <c r="K1672" s="2" t="s">
        <v>64</v>
      </c>
      <c r="L1672" s="2" t="s">
        <v>9</v>
      </c>
      <c r="M1672" s="2" t="s">
        <v>20</v>
      </c>
      <c r="N1672" s="2" t="s">
        <v>26</v>
      </c>
      <c r="O1672" s="2" t="s">
        <v>12</v>
      </c>
      <c r="P1672" s="2" t="s">
        <v>59</v>
      </c>
      <c r="Q1672" s="2" t="s">
        <v>16</v>
      </c>
      <c r="R1672" s="2" t="s">
        <v>18</v>
      </c>
      <c r="S1672">
        <v>1</v>
      </c>
    </row>
    <row r="1673" spans="1:19" x14ac:dyDescent="0.3">
      <c r="A1673">
        <v>3319</v>
      </c>
      <c r="B1673">
        <f>YEAR(Cleaned_HR_Data_Analysis__2[[#This Row],[Joining_Date]])</f>
        <v>2019</v>
      </c>
      <c r="C1673" s="1">
        <v>43747</v>
      </c>
      <c r="D1673" s="1" t="str" cm="1">
        <f t="array" ref="D1673">_xlfn.IFS(E1673&lt;28, "17-27",
AND(E1673&gt;27, E1673&lt;38), "28-37",
AND(E1673&gt;37, E1673 &lt;48), "38-47",
AND(E1673&gt;47, E1673 &lt;58), "48-57",
AND(E1673&gt;57, E1673&lt;68), "58-67",
AND(E1673&gt;67, E1673&lt;78), "68-77",
E1673&gt;77,"Above than 77")</f>
        <v>48-57</v>
      </c>
      <c r="E1673">
        <v>56</v>
      </c>
      <c r="F1673" s="1">
        <v>23036</v>
      </c>
      <c r="G1673" s="1" t="str">
        <f>VLOOKUP(H1673,Table7[#All], 2, FALSE)</f>
        <v>Massachusetts</v>
      </c>
      <c r="H1673" s="2" t="s">
        <v>14</v>
      </c>
      <c r="I1673" s="2" t="s">
        <v>15</v>
      </c>
      <c r="J1673" s="2" t="s">
        <v>34</v>
      </c>
      <c r="K1673" s="2" t="s">
        <v>64</v>
      </c>
      <c r="L1673" s="2" t="s">
        <v>9</v>
      </c>
      <c r="M1673" s="2" t="s">
        <v>25</v>
      </c>
      <c r="N1673" s="2" t="s">
        <v>26</v>
      </c>
      <c r="O1673" s="2" t="s">
        <v>12</v>
      </c>
      <c r="P1673" s="2" t="s">
        <v>35</v>
      </c>
      <c r="Q1673" s="2" t="s">
        <v>23</v>
      </c>
      <c r="R1673" s="2" t="s">
        <v>18</v>
      </c>
      <c r="S1673">
        <v>3</v>
      </c>
    </row>
    <row r="1674" spans="1:19" x14ac:dyDescent="0.3">
      <c r="A1674">
        <v>2188</v>
      </c>
      <c r="B1674">
        <f>YEAR(Cleaned_HR_Data_Analysis__2[[#This Row],[Joining_Date]])</f>
        <v>2021</v>
      </c>
      <c r="C1674" s="1">
        <v>44238</v>
      </c>
      <c r="D1674" s="1" t="str" cm="1">
        <f t="array" ref="D1674">_xlfn.IFS(E1674&lt;28, "17-27",
AND(E1674&gt;27, E1674&lt;38), "28-37",
AND(E1674&gt;37, E1674 &lt;48), "38-47",
AND(E1674&gt;47, E1674 &lt;58), "48-57",
AND(E1674&gt;57, E1674&lt;68), "58-67",
AND(E1674&gt;67, E1674&lt;78), "68-77",
E1674&gt;77,"Above than 77")</f>
        <v>48-57</v>
      </c>
      <c r="E1674">
        <v>56</v>
      </c>
      <c r="F1674" s="1">
        <v>23794</v>
      </c>
      <c r="G1674" s="1" t="str">
        <f>VLOOKUP(H1674,Table7[#All], 2, FALSE)</f>
        <v>Massachusetts</v>
      </c>
      <c r="H1674" s="2" t="s">
        <v>14</v>
      </c>
      <c r="I1674" s="2" t="s">
        <v>15</v>
      </c>
      <c r="J1674" s="2" t="s">
        <v>34</v>
      </c>
      <c r="K1674" s="2" t="s">
        <v>64</v>
      </c>
      <c r="L1674" s="2" t="s">
        <v>9</v>
      </c>
      <c r="M1674" s="2" t="s">
        <v>20</v>
      </c>
      <c r="N1674" s="2" t="s">
        <v>19</v>
      </c>
      <c r="O1674" s="2" t="s">
        <v>12</v>
      </c>
      <c r="P1674" s="2" t="s">
        <v>35</v>
      </c>
      <c r="Q1674" s="2" t="s">
        <v>37</v>
      </c>
      <c r="R1674" s="2" t="s">
        <v>41</v>
      </c>
      <c r="S1674">
        <v>4</v>
      </c>
    </row>
    <row r="1675" spans="1:19" x14ac:dyDescent="0.3">
      <c r="A1675">
        <v>2047</v>
      </c>
      <c r="B1675">
        <f>YEAR(Cleaned_HR_Data_Analysis__2[[#This Row],[Joining_Date]])</f>
        <v>2022</v>
      </c>
      <c r="C1675" s="1">
        <v>44908</v>
      </c>
      <c r="D1675" s="1" t="str" cm="1">
        <f t="array" ref="D1675">_xlfn.IFS(E1675&lt;28, "17-27",
AND(E1675&gt;27, E1675&lt;38), "28-37",
AND(E1675&gt;37, E1675 &lt;48), "38-47",
AND(E1675&gt;47, E1675 &lt;58), "48-57",
AND(E1675&gt;57, E1675&lt;68), "58-67",
AND(E1675&gt;67, E1675&lt;78), "68-77",
E1675&gt;77,"Above than 77")</f>
        <v>48-57</v>
      </c>
      <c r="E1675">
        <v>56</v>
      </c>
      <c r="F1675" s="1">
        <v>24342</v>
      </c>
      <c r="G1675" s="1" t="str">
        <f>VLOOKUP(H1675,Table7[#All], 2, FALSE)</f>
        <v>Massachusetts</v>
      </c>
      <c r="H1675" s="2" t="s">
        <v>14</v>
      </c>
      <c r="I1675" s="2" t="s">
        <v>15</v>
      </c>
      <c r="J1675" s="2" t="s">
        <v>31</v>
      </c>
      <c r="K1675" s="2" t="s">
        <v>64</v>
      </c>
      <c r="L1675" s="2" t="s">
        <v>9</v>
      </c>
      <c r="M1675" s="2" t="s">
        <v>10</v>
      </c>
      <c r="N1675" s="2" t="s">
        <v>19</v>
      </c>
      <c r="O1675" s="2" t="s">
        <v>12</v>
      </c>
      <c r="P1675" s="2" t="s">
        <v>21</v>
      </c>
      <c r="Q1675" s="2" t="s">
        <v>16</v>
      </c>
      <c r="R1675" s="2" t="s">
        <v>18</v>
      </c>
      <c r="S1675">
        <v>5</v>
      </c>
    </row>
    <row r="1676" spans="1:19" x14ac:dyDescent="0.3">
      <c r="A1676">
        <v>3772</v>
      </c>
      <c r="B1676">
        <f>YEAR(Cleaned_HR_Data_Analysis__2[[#This Row],[Joining_Date]])</f>
        <v>2022</v>
      </c>
      <c r="C1676" s="1">
        <v>44600</v>
      </c>
      <c r="D1676" s="1" t="str" cm="1">
        <f t="array" ref="D1676">_xlfn.IFS(E1676&lt;28, "17-27",
AND(E1676&gt;27, E1676&lt;38), "28-37",
AND(E1676&gt;37, E1676 &lt;48), "38-47",
AND(E1676&gt;47, E1676 &lt;58), "48-57",
AND(E1676&gt;57, E1676&lt;68), "58-67",
AND(E1676&gt;67, E1676&lt;78), "68-77",
E1676&gt;77,"Above than 77")</f>
        <v>48-57</v>
      </c>
      <c r="E1676">
        <v>56</v>
      </c>
      <c r="F1676" s="1">
        <v>24143</v>
      </c>
      <c r="G1676" s="1" t="str">
        <f>VLOOKUP(H1676,Table7[#All], 2, FALSE)</f>
        <v>Massachusetts</v>
      </c>
      <c r="H1676" s="2" t="s">
        <v>14</v>
      </c>
      <c r="I1676" s="2" t="s">
        <v>15</v>
      </c>
      <c r="J1676" s="2" t="s">
        <v>40</v>
      </c>
      <c r="K1676" s="2" t="s">
        <v>8</v>
      </c>
      <c r="L1676" s="2" t="s">
        <v>9</v>
      </c>
      <c r="M1676" s="2" t="s">
        <v>25</v>
      </c>
      <c r="N1676" s="2" t="s">
        <v>19</v>
      </c>
      <c r="O1676" s="2" t="s">
        <v>12</v>
      </c>
      <c r="P1676" s="2" t="s">
        <v>42</v>
      </c>
      <c r="Q1676" s="2" t="s">
        <v>46</v>
      </c>
      <c r="R1676" s="2" t="s">
        <v>18</v>
      </c>
      <c r="S1676">
        <v>5</v>
      </c>
    </row>
    <row r="1677" spans="1:19" x14ac:dyDescent="0.3">
      <c r="A1677">
        <v>3744</v>
      </c>
      <c r="B1677">
        <f>YEAR(Cleaned_HR_Data_Analysis__2[[#This Row],[Joining_Date]])</f>
        <v>2020</v>
      </c>
      <c r="C1677" s="1">
        <v>44085</v>
      </c>
      <c r="D1677" s="1" t="str" cm="1">
        <f t="array" ref="D1677">_xlfn.IFS(E1677&lt;28, "17-27",
AND(E1677&gt;27, E1677&lt;38), "28-37",
AND(E1677&gt;37, E1677 &lt;48), "38-47",
AND(E1677&gt;47, E1677 &lt;58), "48-57",
AND(E1677&gt;57, E1677&lt;68), "58-67",
AND(E1677&gt;67, E1677&lt;78), "68-77",
E1677&gt;77,"Above than 77")</f>
        <v>48-57</v>
      </c>
      <c r="E1677">
        <v>56</v>
      </c>
      <c r="F1677" s="1">
        <v>23733</v>
      </c>
      <c r="G1677" s="1" t="str">
        <f>VLOOKUP(H1677,Table7[#All], 2, FALSE)</f>
        <v>Massachusetts</v>
      </c>
      <c r="H1677" s="2" t="s">
        <v>14</v>
      </c>
      <c r="I1677" s="2" t="s">
        <v>15</v>
      </c>
      <c r="J1677" s="2" t="s">
        <v>17</v>
      </c>
      <c r="K1677" s="2" t="s">
        <v>8</v>
      </c>
      <c r="L1677" s="2" t="s">
        <v>9</v>
      </c>
      <c r="M1677" s="2" t="s">
        <v>20</v>
      </c>
      <c r="N1677" s="2" t="s">
        <v>26</v>
      </c>
      <c r="O1677" s="2" t="s">
        <v>12</v>
      </c>
      <c r="P1677" s="2" t="s">
        <v>21</v>
      </c>
      <c r="Q1677" s="2" t="s">
        <v>46</v>
      </c>
      <c r="R1677" s="2" t="s">
        <v>18</v>
      </c>
      <c r="S1677">
        <v>3</v>
      </c>
    </row>
    <row r="1678" spans="1:19" x14ac:dyDescent="0.3">
      <c r="A1678">
        <v>3735</v>
      </c>
      <c r="B1678">
        <f>YEAR(Cleaned_HR_Data_Analysis__2[[#This Row],[Joining_Date]])</f>
        <v>2019</v>
      </c>
      <c r="C1678" s="1">
        <v>43614</v>
      </c>
      <c r="D1678" s="1" t="str" cm="1">
        <f t="array" ref="D1678">_xlfn.IFS(E1678&lt;28, "17-27",
AND(E1678&gt;27, E1678&lt;38), "28-37",
AND(E1678&gt;37, E1678 &lt;48), "38-47",
AND(E1678&gt;47, E1678 &lt;58), "48-57",
AND(E1678&gt;57, E1678&lt;68), "58-67",
AND(E1678&gt;67, E1678&lt;78), "68-77",
E1678&gt;77,"Above than 77")</f>
        <v>48-57</v>
      </c>
      <c r="E1678">
        <v>56</v>
      </c>
      <c r="F1678" s="1">
        <v>23203</v>
      </c>
      <c r="G1678" s="1" t="str">
        <f>VLOOKUP(H1678,Table7[#All], 2, FALSE)</f>
        <v>Massachusetts</v>
      </c>
      <c r="H1678" s="2" t="s">
        <v>14</v>
      </c>
      <c r="I1678" s="2" t="s">
        <v>22</v>
      </c>
      <c r="J1678" s="2" t="s">
        <v>34</v>
      </c>
      <c r="K1678" s="2" t="s">
        <v>8</v>
      </c>
      <c r="L1678" s="2" t="s">
        <v>9</v>
      </c>
      <c r="M1678" s="2" t="s">
        <v>10</v>
      </c>
      <c r="N1678" s="2" t="s">
        <v>11</v>
      </c>
      <c r="O1678" s="2" t="s">
        <v>12</v>
      </c>
      <c r="P1678" s="2" t="s">
        <v>61</v>
      </c>
      <c r="Q1678" s="2" t="s">
        <v>16</v>
      </c>
      <c r="R1678" s="2" t="s">
        <v>18</v>
      </c>
      <c r="S1678">
        <v>4</v>
      </c>
    </row>
    <row r="1679" spans="1:19" x14ac:dyDescent="0.3">
      <c r="A1679">
        <v>3658</v>
      </c>
      <c r="B1679">
        <f>YEAR(Cleaned_HR_Data_Analysis__2[[#This Row],[Joining_Date]])</f>
        <v>2022</v>
      </c>
      <c r="C1679" s="1">
        <v>44869</v>
      </c>
      <c r="D1679" s="1" t="str" cm="1">
        <f t="array" ref="D1679">_xlfn.IFS(E1679&lt;28, "17-27",
AND(E1679&gt;27, E1679&lt;38), "28-37",
AND(E1679&gt;37, E1679 &lt;48), "38-47",
AND(E1679&gt;47, E1679 &lt;58), "48-57",
AND(E1679&gt;57, E1679&lt;68), "58-67",
AND(E1679&gt;67, E1679&lt;78), "68-77",
E1679&gt;77,"Above than 77")</f>
        <v>48-57</v>
      </c>
      <c r="E1679">
        <v>56</v>
      </c>
      <c r="F1679" s="1">
        <v>24436</v>
      </c>
      <c r="G1679" s="1" t="str">
        <f>VLOOKUP(H1679,Table7[#All], 2, FALSE)</f>
        <v>Massachusetts</v>
      </c>
      <c r="H1679" s="2" t="s">
        <v>14</v>
      </c>
      <c r="I1679" s="2" t="s">
        <v>15</v>
      </c>
      <c r="J1679" s="2" t="s">
        <v>40</v>
      </c>
      <c r="K1679" s="2" t="s">
        <v>8</v>
      </c>
      <c r="L1679" s="2" t="s">
        <v>9</v>
      </c>
      <c r="M1679" s="2" t="s">
        <v>20</v>
      </c>
      <c r="N1679" s="2" t="s">
        <v>11</v>
      </c>
      <c r="O1679" s="2" t="s">
        <v>12</v>
      </c>
      <c r="P1679" s="2" t="s">
        <v>54</v>
      </c>
      <c r="Q1679" s="2" t="s">
        <v>37</v>
      </c>
      <c r="R1679" s="2" t="s">
        <v>18</v>
      </c>
      <c r="S1679">
        <v>4</v>
      </c>
    </row>
    <row r="1680" spans="1:19" x14ac:dyDescent="0.3">
      <c r="A1680">
        <v>3331</v>
      </c>
      <c r="B1680">
        <f>YEAR(Cleaned_HR_Data_Analysis__2[[#This Row],[Joining_Date]])</f>
        <v>2019</v>
      </c>
      <c r="C1680" s="1">
        <v>43548</v>
      </c>
      <c r="D1680" s="1" t="str" cm="1">
        <f t="array" ref="D1680">_xlfn.IFS(E1680&lt;28, "17-27",
AND(E1680&gt;27, E1680&lt;38), "28-37",
AND(E1680&gt;37, E1680 &lt;48), "38-47",
AND(E1680&gt;47, E1680 &lt;58), "48-57",
AND(E1680&gt;57, E1680&lt;68), "58-67",
AND(E1680&gt;67, E1680&lt;78), "68-77",
E1680&gt;77,"Above than 77")</f>
        <v>48-57</v>
      </c>
      <c r="E1680">
        <v>56</v>
      </c>
      <c r="F1680" s="1">
        <v>23321</v>
      </c>
      <c r="G1680" s="1" t="str">
        <f>VLOOKUP(H1680,Table7[#All], 2, FALSE)</f>
        <v>Massachusetts</v>
      </c>
      <c r="H1680" s="2" t="s">
        <v>14</v>
      </c>
      <c r="I1680" s="2" t="s">
        <v>15</v>
      </c>
      <c r="J1680" s="2" t="s">
        <v>31</v>
      </c>
      <c r="K1680" s="2" t="s">
        <v>8</v>
      </c>
      <c r="L1680" s="2" t="s">
        <v>9</v>
      </c>
      <c r="M1680" s="2" t="s">
        <v>25</v>
      </c>
      <c r="N1680" s="2" t="s">
        <v>19</v>
      </c>
      <c r="O1680" s="2" t="s">
        <v>12</v>
      </c>
      <c r="P1680" s="2" t="s">
        <v>35</v>
      </c>
      <c r="Q1680" s="2" t="s">
        <v>30</v>
      </c>
      <c r="R1680" s="2" t="s">
        <v>18</v>
      </c>
      <c r="S1680">
        <v>5</v>
      </c>
    </row>
    <row r="1681" spans="1:19" x14ac:dyDescent="0.3">
      <c r="A1681">
        <v>3267</v>
      </c>
      <c r="B1681">
        <f>YEAR(Cleaned_HR_Data_Analysis__2[[#This Row],[Joining_Date]])</f>
        <v>2019</v>
      </c>
      <c r="C1681" s="1">
        <v>43811</v>
      </c>
      <c r="D1681" s="1" t="str" cm="1">
        <f t="array" ref="D1681">_xlfn.IFS(E1681&lt;28, "17-27",
AND(E1681&gt;27, E1681&lt;38), "28-37",
AND(E1681&gt;37, E1681 &lt;48), "38-47",
AND(E1681&gt;47, E1681 &lt;58), "48-57",
AND(E1681&gt;57, E1681&lt;68), "58-67",
AND(E1681&gt;67, E1681&lt;78), "68-77",
E1681&gt;77,"Above than 77")</f>
        <v>48-57</v>
      </c>
      <c r="E1681">
        <v>56</v>
      </c>
      <c r="F1681" s="1">
        <v>23322</v>
      </c>
      <c r="G1681" s="1" t="str">
        <f>VLOOKUP(H1681,Table7[#All], 2, FALSE)</f>
        <v>Massachusetts</v>
      </c>
      <c r="H1681" s="2" t="s">
        <v>14</v>
      </c>
      <c r="I1681" s="2" t="s">
        <v>15</v>
      </c>
      <c r="J1681" s="2" t="s">
        <v>31</v>
      </c>
      <c r="K1681" s="2" t="s">
        <v>8</v>
      </c>
      <c r="L1681" s="2" t="s">
        <v>9</v>
      </c>
      <c r="M1681" s="2" t="s">
        <v>10</v>
      </c>
      <c r="N1681" s="2" t="s">
        <v>11</v>
      </c>
      <c r="O1681" s="2" t="s">
        <v>12</v>
      </c>
      <c r="P1681" s="2" t="s">
        <v>49</v>
      </c>
      <c r="Q1681" s="2" t="s">
        <v>30</v>
      </c>
      <c r="R1681" s="2" t="s">
        <v>18</v>
      </c>
      <c r="S1681">
        <v>5</v>
      </c>
    </row>
    <row r="1682" spans="1:19" x14ac:dyDescent="0.3">
      <c r="A1682">
        <v>3083</v>
      </c>
      <c r="B1682">
        <f>YEAR(Cleaned_HR_Data_Analysis__2[[#This Row],[Joining_Date]])</f>
        <v>2023</v>
      </c>
      <c r="C1682" s="1">
        <v>44940</v>
      </c>
      <c r="D1682" s="1" t="str" cm="1">
        <f t="array" ref="D1682">_xlfn.IFS(E1682&lt;28, "17-27",
AND(E1682&gt;27, E1682&lt;38), "28-37",
AND(E1682&gt;37, E1682 &lt;48), "38-47",
AND(E1682&gt;47, E1682 &lt;58), "48-57",
AND(E1682&gt;57, E1682&lt;68), "58-67",
AND(E1682&gt;67, E1682&lt;78), "68-77",
E1682&gt;77,"Above than 77")</f>
        <v>48-57</v>
      </c>
      <c r="E1682">
        <v>56</v>
      </c>
      <c r="F1682" s="1">
        <v>24616</v>
      </c>
      <c r="G1682" s="1" t="str">
        <f>VLOOKUP(H1682,Table7[#All], 2, FALSE)</f>
        <v>Massachusetts</v>
      </c>
      <c r="H1682" s="2" t="s">
        <v>14</v>
      </c>
      <c r="I1682" s="2" t="s">
        <v>22</v>
      </c>
      <c r="J1682" s="2" t="s">
        <v>17</v>
      </c>
      <c r="K1682" s="2" t="s">
        <v>8</v>
      </c>
      <c r="L1682" s="2" t="s">
        <v>9</v>
      </c>
      <c r="M1682" s="2" t="s">
        <v>10</v>
      </c>
      <c r="N1682" s="2" t="s">
        <v>11</v>
      </c>
      <c r="O1682" s="2" t="s">
        <v>12</v>
      </c>
      <c r="P1682" s="2" t="s">
        <v>21</v>
      </c>
      <c r="Q1682" s="2" t="s">
        <v>46</v>
      </c>
      <c r="R1682" s="2" t="s">
        <v>18</v>
      </c>
      <c r="S1682">
        <v>4</v>
      </c>
    </row>
    <row r="1683" spans="1:19" x14ac:dyDescent="0.3">
      <c r="A1683">
        <v>2943</v>
      </c>
      <c r="B1683">
        <f>YEAR(Cleaned_HR_Data_Analysis__2[[#This Row],[Joining_Date]])</f>
        <v>2019</v>
      </c>
      <c r="C1683" s="1">
        <v>43808</v>
      </c>
      <c r="D1683" s="1" t="str" cm="1">
        <f t="array" ref="D1683">_xlfn.IFS(E1683&lt;28, "17-27",
AND(E1683&gt;27, E1683&lt;38), "28-37",
AND(E1683&gt;37, E1683 &lt;48), "38-47",
AND(E1683&gt;47, E1683 &lt;58), "48-57",
AND(E1683&gt;57, E1683&lt;68), "58-67",
AND(E1683&gt;67, E1683&lt;78), "68-77",
E1683&gt;77,"Above than 77")</f>
        <v>48-57</v>
      </c>
      <c r="E1683">
        <v>56</v>
      </c>
      <c r="F1683" s="1">
        <v>23056</v>
      </c>
      <c r="G1683" s="1" t="str">
        <f>VLOOKUP(H1683,Table7[#All], 2, FALSE)</f>
        <v>Massachusetts</v>
      </c>
      <c r="H1683" s="2" t="s">
        <v>14</v>
      </c>
      <c r="I1683" s="2" t="s">
        <v>15</v>
      </c>
      <c r="J1683" s="2" t="s">
        <v>31</v>
      </c>
      <c r="K1683" s="2" t="s">
        <v>8</v>
      </c>
      <c r="L1683" s="2" t="s">
        <v>9</v>
      </c>
      <c r="M1683" s="2" t="s">
        <v>25</v>
      </c>
      <c r="N1683" s="2" t="s">
        <v>26</v>
      </c>
      <c r="O1683" s="2" t="s">
        <v>12</v>
      </c>
      <c r="P1683" s="2" t="s">
        <v>28</v>
      </c>
      <c r="Q1683" s="2" t="s">
        <v>30</v>
      </c>
      <c r="R1683" s="2" t="s">
        <v>56</v>
      </c>
      <c r="S1683">
        <v>1</v>
      </c>
    </row>
    <row r="1684" spans="1:19" x14ac:dyDescent="0.3">
      <c r="A1684">
        <v>2879</v>
      </c>
      <c r="B1684">
        <f>YEAR(Cleaned_HR_Data_Analysis__2[[#This Row],[Joining_Date]])</f>
        <v>2018</v>
      </c>
      <c r="C1684" s="1">
        <v>43454</v>
      </c>
      <c r="D1684" s="1" t="str" cm="1">
        <f t="array" ref="D1684">_xlfn.IFS(E1684&lt;28, "17-27",
AND(E1684&gt;27, E1684&lt;38), "28-37",
AND(E1684&gt;37, E1684 &lt;48), "38-47",
AND(E1684&gt;47, E1684 &lt;58), "48-57",
AND(E1684&gt;57, E1684&lt;68), "58-67",
AND(E1684&gt;67, E1684&lt;78), "68-77",
E1684&gt;77,"Above than 77")</f>
        <v>48-57</v>
      </c>
      <c r="E1684">
        <v>56</v>
      </c>
      <c r="F1684" s="1">
        <v>22965</v>
      </c>
      <c r="G1684" s="1" t="str">
        <f>VLOOKUP(H1684,Table7[#All], 2, FALSE)</f>
        <v>Massachusetts</v>
      </c>
      <c r="H1684" s="2" t="s">
        <v>14</v>
      </c>
      <c r="I1684" s="2" t="s">
        <v>22</v>
      </c>
      <c r="J1684" s="2" t="s">
        <v>34</v>
      </c>
      <c r="K1684" s="2" t="s">
        <v>8</v>
      </c>
      <c r="L1684" s="2" t="s">
        <v>9</v>
      </c>
      <c r="M1684" s="2" t="s">
        <v>25</v>
      </c>
      <c r="N1684" s="2" t="s">
        <v>19</v>
      </c>
      <c r="O1684" s="2" t="s">
        <v>12</v>
      </c>
      <c r="P1684" s="2" t="s">
        <v>44</v>
      </c>
      <c r="Q1684" s="2" t="s">
        <v>37</v>
      </c>
      <c r="R1684" s="2" t="s">
        <v>18</v>
      </c>
      <c r="S1684">
        <v>5</v>
      </c>
    </row>
    <row r="1685" spans="1:19" x14ac:dyDescent="0.3">
      <c r="A1685">
        <v>2193</v>
      </c>
      <c r="B1685">
        <f>YEAR(Cleaned_HR_Data_Analysis__2[[#This Row],[Joining_Date]])</f>
        <v>2019</v>
      </c>
      <c r="C1685" s="1">
        <v>43524</v>
      </c>
      <c r="D1685" s="1" t="str" cm="1">
        <f t="array" ref="D1685">_xlfn.IFS(E1685&lt;28, "17-27",
AND(E1685&gt;27, E1685&lt;38), "28-37",
AND(E1685&gt;37, E1685 &lt;48), "38-47",
AND(E1685&gt;47, E1685 &lt;58), "48-57",
AND(E1685&gt;57, E1685&lt;68), "58-67",
AND(E1685&gt;67, E1685&lt;78), "68-77",
E1685&gt;77,"Above than 77")</f>
        <v>48-57</v>
      </c>
      <c r="E1685">
        <v>56</v>
      </c>
      <c r="F1685" s="1">
        <v>23224</v>
      </c>
      <c r="G1685" s="1" t="str">
        <f>VLOOKUP(H1685,Table7[#All], 2, FALSE)</f>
        <v>Massachusetts</v>
      </c>
      <c r="H1685" s="2" t="s">
        <v>14</v>
      </c>
      <c r="I1685" s="2" t="s">
        <v>22</v>
      </c>
      <c r="J1685" s="2" t="s">
        <v>34</v>
      </c>
      <c r="K1685" s="2" t="s">
        <v>8</v>
      </c>
      <c r="L1685" s="2" t="s">
        <v>66</v>
      </c>
      <c r="M1685" s="2" t="s">
        <v>20</v>
      </c>
      <c r="N1685" s="2" t="s">
        <v>19</v>
      </c>
      <c r="O1685" s="2" t="s">
        <v>12</v>
      </c>
      <c r="P1685" s="2" t="s">
        <v>35</v>
      </c>
      <c r="Q1685" s="2" t="s">
        <v>16</v>
      </c>
      <c r="R1685" s="2" t="s">
        <v>56</v>
      </c>
      <c r="S1685">
        <v>2</v>
      </c>
    </row>
    <row r="1686" spans="1:19" x14ac:dyDescent="0.3">
      <c r="A1686">
        <v>2064</v>
      </c>
      <c r="B1686">
        <f>YEAR(Cleaned_HR_Data_Analysis__2[[#This Row],[Joining_Date]])</f>
        <v>2020</v>
      </c>
      <c r="C1686" s="1">
        <v>44071</v>
      </c>
      <c r="D1686" s="1" t="str" cm="1">
        <f t="array" ref="D1686">_xlfn.IFS(E1686&lt;28, "17-27",
AND(E1686&gt;27, E1686&lt;38), "28-37",
AND(E1686&gt;37, E1686 &lt;48), "38-47",
AND(E1686&gt;47, E1686 &lt;58), "48-57",
AND(E1686&gt;57, E1686&lt;68), "58-67",
AND(E1686&gt;67, E1686&lt;78), "68-77",
E1686&gt;77,"Above than 77")</f>
        <v>48-57</v>
      </c>
      <c r="E1686">
        <v>56</v>
      </c>
      <c r="F1686" s="1">
        <v>23507</v>
      </c>
      <c r="G1686" s="1" t="str">
        <f>VLOOKUP(H1686,Table7[#All], 2, FALSE)</f>
        <v>Massachusetts</v>
      </c>
      <c r="H1686" s="2" t="s">
        <v>14</v>
      </c>
      <c r="I1686" s="2" t="s">
        <v>15</v>
      </c>
      <c r="J1686" s="2" t="s">
        <v>31</v>
      </c>
      <c r="K1686" s="2" t="s">
        <v>8</v>
      </c>
      <c r="L1686" s="2" t="s">
        <v>9</v>
      </c>
      <c r="M1686" s="2" t="s">
        <v>20</v>
      </c>
      <c r="N1686" s="2" t="s">
        <v>11</v>
      </c>
      <c r="O1686" s="2" t="s">
        <v>12</v>
      </c>
      <c r="P1686" s="2" t="s">
        <v>13</v>
      </c>
      <c r="Q1686" s="2" t="s">
        <v>16</v>
      </c>
      <c r="R1686" s="2" t="s">
        <v>18</v>
      </c>
      <c r="S1686">
        <v>3</v>
      </c>
    </row>
    <row r="1687" spans="1:19" x14ac:dyDescent="0.3">
      <c r="A1687">
        <v>1809</v>
      </c>
      <c r="B1687">
        <f>YEAR(Cleaned_HR_Data_Analysis__2[[#This Row],[Joining_Date]])</f>
        <v>2022</v>
      </c>
      <c r="C1687" s="1">
        <v>44914</v>
      </c>
      <c r="D1687" s="1" t="str" cm="1">
        <f t="array" ref="D1687">_xlfn.IFS(E1687&lt;28, "17-27",
AND(E1687&gt;27, E1687&lt;38), "28-37",
AND(E1687&gt;37, E1687 &lt;48), "38-47",
AND(E1687&gt;47, E1687 &lt;58), "48-57",
AND(E1687&gt;57, E1687&lt;68), "58-67",
AND(E1687&gt;67, E1687&lt;78), "68-77",
E1687&gt;77,"Above than 77")</f>
        <v>48-57</v>
      </c>
      <c r="E1687">
        <v>56</v>
      </c>
      <c r="F1687" s="1">
        <v>24435</v>
      </c>
      <c r="G1687" s="1" t="str">
        <f>VLOOKUP(H1687,Table7[#All], 2, FALSE)</f>
        <v>Massachusetts</v>
      </c>
      <c r="H1687" s="2" t="s">
        <v>14</v>
      </c>
      <c r="I1687" s="2" t="s">
        <v>15</v>
      </c>
      <c r="J1687" s="2" t="s">
        <v>40</v>
      </c>
      <c r="K1687" s="2" t="s">
        <v>8</v>
      </c>
      <c r="L1687" s="2" t="s">
        <v>9</v>
      </c>
      <c r="M1687" s="2" t="s">
        <v>10</v>
      </c>
      <c r="N1687" s="2" t="s">
        <v>11</v>
      </c>
      <c r="O1687" s="2" t="s">
        <v>12</v>
      </c>
      <c r="P1687" s="2" t="s">
        <v>63</v>
      </c>
      <c r="Q1687" s="2" t="s">
        <v>30</v>
      </c>
      <c r="R1687" s="2" t="s">
        <v>18</v>
      </c>
      <c r="S1687">
        <v>2</v>
      </c>
    </row>
    <row r="1688" spans="1:19" x14ac:dyDescent="0.3">
      <c r="A1688">
        <v>1749</v>
      </c>
      <c r="B1688">
        <f>YEAR(Cleaned_HR_Data_Analysis__2[[#This Row],[Joining_Date]])</f>
        <v>2020</v>
      </c>
      <c r="C1688" s="1">
        <v>44161</v>
      </c>
      <c r="D1688" s="1" t="str" cm="1">
        <f t="array" ref="D1688">_xlfn.IFS(E1688&lt;28, "17-27",
AND(E1688&gt;27, E1688&lt;38), "28-37",
AND(E1688&gt;37, E1688 &lt;48), "38-47",
AND(E1688&gt;47, E1688 &lt;58), "48-57",
AND(E1688&gt;57, E1688&lt;68), "58-67",
AND(E1688&gt;67, E1688&lt;78), "68-77",
E1688&gt;77,"Above than 77")</f>
        <v>48-57</v>
      </c>
      <c r="E1688">
        <v>56</v>
      </c>
      <c r="F1688" s="1">
        <v>23410</v>
      </c>
      <c r="G1688" s="1" t="str">
        <f>VLOOKUP(H1688,Table7[#All], 2, FALSE)</f>
        <v>Massachusetts</v>
      </c>
      <c r="H1688" s="2" t="s">
        <v>14</v>
      </c>
      <c r="I1688" s="2" t="s">
        <v>15</v>
      </c>
      <c r="J1688" s="2" t="s">
        <v>40</v>
      </c>
      <c r="K1688" s="2" t="s">
        <v>8</v>
      </c>
      <c r="L1688" s="2" t="s">
        <v>9</v>
      </c>
      <c r="M1688" s="2" t="s">
        <v>10</v>
      </c>
      <c r="N1688" s="2" t="s">
        <v>26</v>
      </c>
      <c r="O1688" s="2" t="s">
        <v>12</v>
      </c>
      <c r="P1688" s="2" t="s">
        <v>35</v>
      </c>
      <c r="Q1688" s="2" t="s">
        <v>23</v>
      </c>
      <c r="R1688" s="2" t="s">
        <v>18</v>
      </c>
      <c r="S1688">
        <v>4</v>
      </c>
    </row>
    <row r="1689" spans="1:19" x14ac:dyDescent="0.3">
      <c r="A1689">
        <v>1611</v>
      </c>
      <c r="B1689">
        <f>YEAR(Cleaned_HR_Data_Analysis__2[[#This Row],[Joining_Date]])</f>
        <v>2018</v>
      </c>
      <c r="C1689" s="1">
        <v>43433</v>
      </c>
      <c r="D1689" s="1" t="str" cm="1">
        <f t="array" ref="D1689">_xlfn.IFS(E1689&lt;28, "17-27",
AND(E1689&gt;27, E1689&lt;38), "28-37",
AND(E1689&gt;37, E1689 &lt;48), "38-47",
AND(E1689&gt;47, E1689 &lt;58), "48-57",
AND(E1689&gt;57, E1689&lt;68), "58-67",
AND(E1689&gt;67, E1689&lt;78), "68-77",
E1689&gt;77,"Above than 77")</f>
        <v>48-57</v>
      </c>
      <c r="E1689">
        <v>56</v>
      </c>
      <c r="F1689" s="1">
        <v>22671</v>
      </c>
      <c r="G1689" s="1" t="str">
        <f>VLOOKUP(H1689,Table7[#All], 2, FALSE)</f>
        <v>Massachusetts</v>
      </c>
      <c r="H1689" s="2" t="s">
        <v>14</v>
      </c>
      <c r="I1689" s="2" t="s">
        <v>15</v>
      </c>
      <c r="J1689" s="2" t="s">
        <v>17</v>
      </c>
      <c r="K1689" s="2" t="s">
        <v>8</v>
      </c>
      <c r="L1689" s="2" t="s">
        <v>9</v>
      </c>
      <c r="M1689" s="2" t="s">
        <v>25</v>
      </c>
      <c r="N1689" s="2" t="s">
        <v>11</v>
      </c>
      <c r="O1689" s="2" t="s">
        <v>12</v>
      </c>
      <c r="P1689" s="2" t="s">
        <v>54</v>
      </c>
      <c r="Q1689" s="2" t="s">
        <v>23</v>
      </c>
      <c r="R1689" s="2" t="s">
        <v>56</v>
      </c>
      <c r="S1689">
        <v>2</v>
      </c>
    </row>
    <row r="1690" spans="1:19" x14ac:dyDescent="0.3">
      <c r="A1690">
        <v>1414</v>
      </c>
      <c r="B1690">
        <f>YEAR(Cleaned_HR_Data_Analysis__2[[#This Row],[Joining_Date]])</f>
        <v>2022</v>
      </c>
      <c r="C1690" s="1">
        <v>44880</v>
      </c>
      <c r="D1690" s="1" t="str" cm="1">
        <f t="array" ref="D1690">_xlfn.IFS(E1690&lt;28, "17-27",
AND(E1690&gt;27, E1690&lt;38), "28-37",
AND(E1690&gt;37, E1690 &lt;48), "38-47",
AND(E1690&gt;47, E1690 &lt;58), "48-57",
AND(E1690&gt;57, E1690&lt;68), "58-67",
AND(E1690&gt;67, E1690&lt;78), "68-77",
E1690&gt;77,"Above than 77")</f>
        <v>48-57</v>
      </c>
      <c r="E1690">
        <v>56</v>
      </c>
      <c r="F1690" s="1">
        <v>24261</v>
      </c>
      <c r="G1690" s="1" t="str">
        <f>VLOOKUP(H1690,Table7[#All], 2, FALSE)</f>
        <v>Massachusetts</v>
      </c>
      <c r="H1690" s="2" t="s">
        <v>14</v>
      </c>
      <c r="I1690" s="2" t="s">
        <v>22</v>
      </c>
      <c r="J1690" s="2" t="s">
        <v>34</v>
      </c>
      <c r="K1690" s="2" t="s">
        <v>8</v>
      </c>
      <c r="L1690" s="2" t="s">
        <v>9</v>
      </c>
      <c r="M1690" s="2" t="s">
        <v>10</v>
      </c>
      <c r="N1690" s="2" t="s">
        <v>11</v>
      </c>
      <c r="O1690" s="2" t="s">
        <v>12</v>
      </c>
      <c r="P1690" s="2" t="s">
        <v>21</v>
      </c>
      <c r="Q1690" s="2" t="s">
        <v>46</v>
      </c>
      <c r="R1690" s="2" t="s">
        <v>41</v>
      </c>
      <c r="S1690">
        <v>4</v>
      </c>
    </row>
    <row r="1691" spans="1:19" x14ac:dyDescent="0.3">
      <c r="A1691">
        <v>1226</v>
      </c>
      <c r="B1691">
        <f>YEAR(Cleaned_HR_Data_Analysis__2[[#This Row],[Joining_Date]])</f>
        <v>2023</v>
      </c>
      <c r="C1691" s="1">
        <v>45097</v>
      </c>
      <c r="D1691" s="1" t="str" cm="1">
        <f t="array" ref="D1691">_xlfn.IFS(E1691&lt;28, "17-27",
AND(E1691&gt;27, E1691&lt;38), "28-37",
AND(E1691&gt;37, E1691 &lt;48), "38-47",
AND(E1691&gt;47, E1691 &lt;58), "48-57",
AND(E1691&gt;57, E1691&lt;68), "58-67",
AND(E1691&gt;67, E1691&lt;78), "68-77",
E1691&gt;77,"Above than 77")</f>
        <v>48-57</v>
      </c>
      <c r="E1691">
        <v>56</v>
      </c>
      <c r="F1691" s="1">
        <v>24578</v>
      </c>
      <c r="G1691" s="1" t="str">
        <f>VLOOKUP(H1691,Table7[#All], 2, FALSE)</f>
        <v>Massachusetts</v>
      </c>
      <c r="H1691" s="2" t="s">
        <v>14</v>
      </c>
      <c r="I1691" s="2" t="s">
        <v>22</v>
      </c>
      <c r="J1691" s="2" t="s">
        <v>40</v>
      </c>
      <c r="K1691" s="2" t="s">
        <v>8</v>
      </c>
      <c r="L1691" s="2" t="s">
        <v>9</v>
      </c>
      <c r="M1691" s="2" t="s">
        <v>25</v>
      </c>
      <c r="N1691" s="2" t="s">
        <v>19</v>
      </c>
      <c r="O1691" s="2" t="s">
        <v>12</v>
      </c>
      <c r="P1691" s="2" t="s">
        <v>35</v>
      </c>
      <c r="Q1691" s="2" t="s">
        <v>30</v>
      </c>
      <c r="R1691" s="2" t="s">
        <v>18</v>
      </c>
      <c r="S1691">
        <v>5</v>
      </c>
    </row>
    <row r="1692" spans="1:19" x14ac:dyDescent="0.3">
      <c r="A1692">
        <v>1100</v>
      </c>
      <c r="B1692">
        <f>YEAR(Cleaned_HR_Data_Analysis__2[[#This Row],[Joining_Date]])</f>
        <v>2020</v>
      </c>
      <c r="C1692" s="1">
        <v>43928</v>
      </c>
      <c r="D1692" s="1" t="str" cm="1">
        <f t="array" ref="D1692">_xlfn.IFS(E1692&lt;28, "17-27",
AND(E1692&gt;27, E1692&lt;38), "28-37",
AND(E1692&gt;37, E1692 &lt;48), "38-47",
AND(E1692&gt;47, E1692 &lt;58), "48-57",
AND(E1692&gt;57, E1692&lt;68), "58-67",
AND(E1692&gt;67, E1692&lt;78), "68-77",
E1692&gt;77,"Above than 77")</f>
        <v>48-57</v>
      </c>
      <c r="E1692">
        <v>56</v>
      </c>
      <c r="F1692" s="1">
        <v>23507</v>
      </c>
      <c r="G1692" s="1" t="str">
        <f>VLOOKUP(H1692,Table7[#All], 2, FALSE)</f>
        <v>Massachusetts</v>
      </c>
      <c r="H1692" s="2" t="s">
        <v>14</v>
      </c>
      <c r="I1692" s="2" t="s">
        <v>22</v>
      </c>
      <c r="J1692" s="2" t="s">
        <v>40</v>
      </c>
      <c r="K1692" s="2" t="s">
        <v>8</v>
      </c>
      <c r="L1692" s="2" t="s">
        <v>9</v>
      </c>
      <c r="M1692" s="2" t="s">
        <v>25</v>
      </c>
      <c r="N1692" s="2" t="s">
        <v>11</v>
      </c>
      <c r="O1692" s="2" t="s">
        <v>12</v>
      </c>
      <c r="P1692" s="2" t="s">
        <v>35</v>
      </c>
      <c r="Q1692" s="2" t="s">
        <v>16</v>
      </c>
      <c r="R1692" s="2" t="s">
        <v>18</v>
      </c>
      <c r="S1692">
        <v>4</v>
      </c>
    </row>
    <row r="1693" spans="1:19" x14ac:dyDescent="0.3">
      <c r="A1693">
        <v>1144</v>
      </c>
      <c r="B1693">
        <f>YEAR(Cleaned_HR_Data_Analysis__2[[#This Row],[Joining_Date]])</f>
        <v>2019</v>
      </c>
      <c r="C1693" s="1">
        <v>43751</v>
      </c>
      <c r="D1693" s="1" t="str" cm="1">
        <f t="array" ref="D1693">_xlfn.IFS(E1693&lt;28, "17-27",
AND(E1693&gt;27, E1693&lt;38), "28-37",
AND(E1693&gt;37, E1693 &lt;48), "38-47",
AND(E1693&gt;47, E1693 &lt;58), "48-57",
AND(E1693&gt;57, E1693&lt;68), "58-67",
AND(E1693&gt;67, E1693&lt;78), "68-77",
E1693&gt;77,"Above than 77")</f>
        <v>48-57</v>
      </c>
      <c r="E1693">
        <v>56</v>
      </c>
      <c r="F1693" s="1">
        <v>23117</v>
      </c>
      <c r="G1693" s="1" t="str">
        <f>VLOOKUP(H1693,Table7[#All], 2, FALSE)</f>
        <v>Massachusetts</v>
      </c>
      <c r="H1693" s="2" t="s">
        <v>14</v>
      </c>
      <c r="I1693" s="2" t="s">
        <v>15</v>
      </c>
      <c r="J1693" s="2" t="s">
        <v>31</v>
      </c>
      <c r="K1693" s="2" t="s">
        <v>91</v>
      </c>
      <c r="L1693" s="2" t="s">
        <v>9</v>
      </c>
      <c r="M1693" s="2" t="s">
        <v>20</v>
      </c>
      <c r="N1693" s="2" t="s">
        <v>26</v>
      </c>
      <c r="O1693" s="2" t="s">
        <v>12</v>
      </c>
      <c r="P1693" s="2" t="s">
        <v>59</v>
      </c>
      <c r="Q1693" s="2" t="s">
        <v>46</v>
      </c>
      <c r="R1693" s="2" t="s">
        <v>18</v>
      </c>
      <c r="S1693">
        <v>3</v>
      </c>
    </row>
    <row r="1694" spans="1:19" x14ac:dyDescent="0.3">
      <c r="A1694">
        <v>3933</v>
      </c>
      <c r="B1694">
        <f>YEAR(Cleaned_HR_Data_Analysis__2[[#This Row],[Joining_Date]])</f>
        <v>2023</v>
      </c>
      <c r="C1694" s="1">
        <v>45034</v>
      </c>
      <c r="D1694" s="1" t="str" cm="1">
        <f t="array" ref="D1694">_xlfn.IFS(E1694&lt;28, "17-27",
AND(E1694&gt;27, E1694&lt;38), "28-37",
AND(E1694&gt;37, E1694 &lt;48), "38-47",
AND(E1694&gt;47, E1694 &lt;58), "48-57",
AND(E1694&gt;57, E1694&lt;68), "58-67",
AND(E1694&gt;67, E1694&lt;78), "68-77",
E1694&gt;77,"Above than 77")</f>
        <v>48-57</v>
      </c>
      <c r="E1694">
        <v>56</v>
      </c>
      <c r="F1694" s="1">
        <v>24705</v>
      </c>
      <c r="G1694" s="1" t="str">
        <f>VLOOKUP(H1694,Table7[#All], 2, FALSE)</f>
        <v>Massachusetts</v>
      </c>
      <c r="H1694" s="2" t="s">
        <v>14</v>
      </c>
      <c r="I1694" s="2" t="s">
        <v>15</v>
      </c>
      <c r="J1694" s="2" t="s">
        <v>34</v>
      </c>
      <c r="K1694" s="2" t="s">
        <v>70</v>
      </c>
      <c r="L1694" s="2" t="s">
        <v>9</v>
      </c>
      <c r="M1694" s="2" t="s">
        <v>10</v>
      </c>
      <c r="N1694" s="2" t="s">
        <v>19</v>
      </c>
      <c r="O1694" s="2" t="s">
        <v>53</v>
      </c>
      <c r="P1694" s="2" t="s">
        <v>42</v>
      </c>
      <c r="Q1694" s="2" t="s">
        <v>16</v>
      </c>
      <c r="R1694" s="2" t="s">
        <v>18</v>
      </c>
      <c r="S1694">
        <v>4</v>
      </c>
    </row>
    <row r="1695" spans="1:19" x14ac:dyDescent="0.3">
      <c r="A1695">
        <v>2219</v>
      </c>
      <c r="B1695">
        <f>YEAR(Cleaned_HR_Data_Analysis__2[[#This Row],[Joining_Date]])</f>
        <v>2022</v>
      </c>
      <c r="C1695" s="1">
        <v>44829</v>
      </c>
      <c r="D1695" s="1" t="str" cm="1">
        <f t="array" ref="D1695">_xlfn.IFS(E1695&lt;28, "17-27",
AND(E1695&gt;27, E1695&lt;38), "28-37",
AND(E1695&gt;37, E1695 &lt;48), "38-47",
AND(E1695&gt;47, E1695 &lt;58), "48-57",
AND(E1695&gt;57, E1695&lt;68), "58-67",
AND(E1695&gt;67, E1695&lt;78), "68-77",
E1695&gt;77,"Above than 77")</f>
        <v>48-57</v>
      </c>
      <c r="E1695">
        <v>56</v>
      </c>
      <c r="F1695" s="1">
        <v>24405</v>
      </c>
      <c r="G1695" s="1" t="str">
        <f>VLOOKUP(H1695,Table7[#All], 2, FALSE)</f>
        <v>Massachusetts</v>
      </c>
      <c r="H1695" s="2" t="s">
        <v>14</v>
      </c>
      <c r="I1695" s="2" t="s">
        <v>15</v>
      </c>
      <c r="J1695" s="2" t="s">
        <v>17</v>
      </c>
      <c r="K1695" s="2" t="s">
        <v>70</v>
      </c>
      <c r="L1695" s="2" t="s">
        <v>9</v>
      </c>
      <c r="M1695" s="2" t="s">
        <v>20</v>
      </c>
      <c r="N1695" s="2" t="s">
        <v>11</v>
      </c>
      <c r="O1695" s="2" t="s">
        <v>53</v>
      </c>
      <c r="P1695" s="2" t="s">
        <v>59</v>
      </c>
      <c r="Q1695" s="2" t="s">
        <v>23</v>
      </c>
      <c r="R1695" s="2" t="s">
        <v>41</v>
      </c>
      <c r="S1695">
        <v>2</v>
      </c>
    </row>
    <row r="1696" spans="1:19" x14ac:dyDescent="0.3">
      <c r="A1696">
        <v>2210</v>
      </c>
      <c r="B1696">
        <f>YEAR(Cleaned_HR_Data_Analysis__2[[#This Row],[Joining_Date]])</f>
        <v>2021</v>
      </c>
      <c r="C1696" s="1">
        <v>44347</v>
      </c>
      <c r="D1696" s="1" t="str" cm="1">
        <f t="array" ref="D1696">_xlfn.IFS(E1696&lt;28, "17-27",
AND(E1696&gt;27, E1696&lt;38), "28-37",
AND(E1696&gt;37, E1696 &lt;48), "38-47",
AND(E1696&gt;47, E1696 &lt;58), "48-57",
AND(E1696&gt;57, E1696&lt;68), "58-67",
AND(E1696&gt;67, E1696&lt;78), "68-77",
E1696&gt;77,"Above than 77")</f>
        <v>48-57</v>
      </c>
      <c r="E1696">
        <v>56</v>
      </c>
      <c r="F1696" s="1">
        <v>23785</v>
      </c>
      <c r="G1696" s="1" t="str">
        <f>VLOOKUP(H1696,Table7[#All], 2, FALSE)</f>
        <v>Massachusetts</v>
      </c>
      <c r="H1696" s="2" t="s">
        <v>14</v>
      </c>
      <c r="I1696" s="2" t="s">
        <v>15</v>
      </c>
      <c r="J1696" s="2" t="s">
        <v>31</v>
      </c>
      <c r="K1696" s="2" t="s">
        <v>70</v>
      </c>
      <c r="L1696" s="2" t="s">
        <v>9</v>
      </c>
      <c r="M1696" s="2" t="s">
        <v>20</v>
      </c>
      <c r="N1696" s="2" t="s">
        <v>11</v>
      </c>
      <c r="O1696" s="2" t="s">
        <v>53</v>
      </c>
      <c r="P1696" s="2" t="s">
        <v>59</v>
      </c>
      <c r="Q1696" s="2" t="s">
        <v>37</v>
      </c>
      <c r="R1696" s="2" t="s">
        <v>41</v>
      </c>
      <c r="S1696">
        <v>5</v>
      </c>
    </row>
    <row r="1697" spans="1:19" x14ac:dyDescent="0.3">
      <c r="A1697">
        <v>3953</v>
      </c>
      <c r="B1697">
        <f>YEAR(Cleaned_HR_Data_Analysis__2[[#This Row],[Joining_Date]])</f>
        <v>2021</v>
      </c>
      <c r="C1697" s="1">
        <v>44424</v>
      </c>
      <c r="D1697" s="1" t="str" cm="1">
        <f t="array" ref="D1697">_xlfn.IFS(E1697&lt;28, "17-27",
AND(E1697&gt;27, E1697&lt;38), "28-37",
AND(E1697&gt;37, E1697 &lt;48), "38-47",
AND(E1697&gt;47, E1697 &lt;58), "48-57",
AND(E1697&gt;57, E1697&lt;68), "58-67",
AND(E1697&gt;67, E1697&lt;78), "68-77",
E1697&gt;77,"Above than 77")</f>
        <v>48-57</v>
      </c>
      <c r="E1697">
        <v>56</v>
      </c>
      <c r="F1697" s="1">
        <v>23795</v>
      </c>
      <c r="G1697" s="1" t="str">
        <f>VLOOKUP(H1697,Table7[#All], 2, FALSE)</f>
        <v>Massachusetts</v>
      </c>
      <c r="H1697" s="2" t="s">
        <v>14</v>
      </c>
      <c r="I1697" s="2" t="s">
        <v>15</v>
      </c>
      <c r="J1697" s="2" t="s">
        <v>34</v>
      </c>
      <c r="K1697" s="2" t="s">
        <v>78</v>
      </c>
      <c r="L1697" s="2" t="s">
        <v>9</v>
      </c>
      <c r="M1697" s="2" t="s">
        <v>25</v>
      </c>
      <c r="N1697" s="2" t="s">
        <v>26</v>
      </c>
      <c r="O1697" s="2" t="s">
        <v>53</v>
      </c>
      <c r="P1697" s="2" t="s">
        <v>38</v>
      </c>
      <c r="Q1697" s="2" t="s">
        <v>16</v>
      </c>
      <c r="R1697" s="2" t="s">
        <v>18</v>
      </c>
      <c r="S1697">
        <v>4</v>
      </c>
    </row>
    <row r="1698" spans="1:19" x14ac:dyDescent="0.3">
      <c r="A1698">
        <v>2517</v>
      </c>
      <c r="B1698">
        <f>YEAR(Cleaned_HR_Data_Analysis__2[[#This Row],[Joining_Date]])</f>
        <v>2019</v>
      </c>
      <c r="C1698" s="1">
        <v>43800</v>
      </c>
      <c r="D1698" s="1" t="str" cm="1">
        <f t="array" ref="D1698">_xlfn.IFS(E1698&lt;28, "17-27",
AND(E1698&gt;27, E1698&lt;38), "28-37",
AND(E1698&gt;37, E1698 &lt;48), "38-47",
AND(E1698&gt;47, E1698 &lt;58), "48-57",
AND(E1698&gt;57, E1698&lt;68), "58-67",
AND(E1698&gt;67, E1698&lt;78), "68-77",
E1698&gt;77,"Above than 77")</f>
        <v>48-57</v>
      </c>
      <c r="E1698">
        <v>56</v>
      </c>
      <c r="F1698" s="1">
        <v>23052</v>
      </c>
      <c r="G1698" s="1" t="str">
        <f>VLOOKUP(H1698,Table7[#All], 2, FALSE)</f>
        <v>Massachusetts</v>
      </c>
      <c r="H1698" s="2" t="s">
        <v>14</v>
      </c>
      <c r="I1698" s="2" t="s">
        <v>22</v>
      </c>
      <c r="J1698" s="2" t="s">
        <v>31</v>
      </c>
      <c r="K1698" s="2" t="s">
        <v>97</v>
      </c>
      <c r="L1698" s="2" t="s">
        <v>9</v>
      </c>
      <c r="M1698" s="2" t="s">
        <v>25</v>
      </c>
      <c r="N1698" s="2" t="s">
        <v>19</v>
      </c>
      <c r="O1698" s="2" t="s">
        <v>53</v>
      </c>
      <c r="P1698" s="2" t="s">
        <v>21</v>
      </c>
      <c r="Q1698" s="2" t="s">
        <v>46</v>
      </c>
      <c r="R1698" s="2" t="s">
        <v>18</v>
      </c>
      <c r="S1698">
        <v>5</v>
      </c>
    </row>
    <row r="1699" spans="1:19" x14ac:dyDescent="0.3">
      <c r="A1699">
        <v>2643</v>
      </c>
      <c r="B1699">
        <f>YEAR(Cleaned_HR_Data_Analysis__2[[#This Row],[Joining_Date]])</f>
        <v>2022</v>
      </c>
      <c r="C1699" s="1">
        <v>44666</v>
      </c>
      <c r="D1699" s="1" t="str" cm="1">
        <f t="array" ref="D1699">_xlfn.IFS(E1699&lt;28, "17-27",
AND(E1699&gt;27, E1699&lt;38), "28-37",
AND(E1699&gt;37, E1699 &lt;48), "38-47",
AND(E1699&gt;47, E1699 &lt;58), "48-57",
AND(E1699&gt;57, E1699&lt;68), "58-67",
AND(E1699&gt;67, E1699&lt;78), "68-77",
E1699&gt;77,"Above than 77")</f>
        <v>48-57</v>
      </c>
      <c r="E1699">
        <v>56</v>
      </c>
      <c r="F1699" s="1">
        <v>24465</v>
      </c>
      <c r="G1699" s="1" t="str">
        <f>VLOOKUP(H1699,Table7[#All], 2, FALSE)</f>
        <v>Tennessee</v>
      </c>
      <c r="H1699" s="2" t="s">
        <v>120</v>
      </c>
      <c r="I1699" s="2" t="s">
        <v>22</v>
      </c>
      <c r="J1699" s="2" t="s">
        <v>40</v>
      </c>
      <c r="K1699" s="2" t="s">
        <v>24</v>
      </c>
      <c r="L1699" s="2" t="s">
        <v>9</v>
      </c>
      <c r="M1699" s="2" t="s">
        <v>25</v>
      </c>
      <c r="N1699" s="2" t="s">
        <v>19</v>
      </c>
      <c r="O1699" s="2" t="s">
        <v>27</v>
      </c>
      <c r="P1699" s="2" t="s">
        <v>59</v>
      </c>
      <c r="Q1699" s="2" t="s">
        <v>37</v>
      </c>
      <c r="R1699" s="2" t="s">
        <v>18</v>
      </c>
      <c r="S1699">
        <v>3</v>
      </c>
    </row>
    <row r="1700" spans="1:19" x14ac:dyDescent="0.3">
      <c r="A1700">
        <v>2697</v>
      </c>
      <c r="B1700">
        <f>YEAR(Cleaned_HR_Data_Analysis__2[[#This Row],[Joining_Date]])</f>
        <v>2020</v>
      </c>
      <c r="C1700" s="1">
        <v>43883</v>
      </c>
      <c r="D1700" s="1" t="str" cm="1">
        <f t="array" ref="D1700">_xlfn.IFS(E1700&lt;28, "17-27",
AND(E1700&gt;27, E1700&lt;38), "28-37",
AND(E1700&gt;37, E1700 &lt;48), "38-47",
AND(E1700&gt;47, E1700 &lt;58), "48-57",
AND(E1700&gt;57, E1700&lt;68), "58-67",
AND(E1700&gt;67, E1700&lt;78), "68-77",
E1700&gt;77,"Above than 77")</f>
        <v>48-57</v>
      </c>
      <c r="E1700">
        <v>56</v>
      </c>
      <c r="F1700" s="1">
        <v>23415</v>
      </c>
      <c r="G1700" s="1" t="str">
        <f>VLOOKUP(H1700,Table7[#All], 2, FALSE)</f>
        <v>New York</v>
      </c>
      <c r="H1700" s="2" t="s">
        <v>118</v>
      </c>
      <c r="I1700" s="2" t="s">
        <v>22</v>
      </c>
      <c r="J1700" s="2" t="s">
        <v>34</v>
      </c>
      <c r="K1700" s="2" t="s">
        <v>24</v>
      </c>
      <c r="L1700" s="2" t="s">
        <v>9</v>
      </c>
      <c r="M1700" s="2" t="s">
        <v>25</v>
      </c>
      <c r="N1700" s="2" t="s">
        <v>19</v>
      </c>
      <c r="O1700" s="2" t="s">
        <v>27</v>
      </c>
      <c r="P1700" s="2" t="s">
        <v>49</v>
      </c>
      <c r="Q1700" s="2" t="s">
        <v>16</v>
      </c>
      <c r="R1700" s="2" t="s">
        <v>18</v>
      </c>
      <c r="S1700">
        <v>5</v>
      </c>
    </row>
    <row r="1701" spans="1:19" x14ac:dyDescent="0.3">
      <c r="A1701">
        <v>1665</v>
      </c>
      <c r="B1701">
        <f>YEAR(Cleaned_HR_Data_Analysis__2[[#This Row],[Joining_Date]])</f>
        <v>2019</v>
      </c>
      <c r="C1701" s="1">
        <v>43821</v>
      </c>
      <c r="D1701" s="1" t="str" cm="1">
        <f t="array" ref="D1701">_xlfn.IFS(E1701&lt;28, "17-27",
AND(E1701&gt;27, E1701&lt;38), "28-37",
AND(E1701&gt;37, E1701 &lt;48), "38-47",
AND(E1701&gt;47, E1701 &lt;58), "48-57",
AND(E1701&gt;57, E1701&lt;68), "58-67",
AND(E1701&gt;67, E1701&lt;78), "68-77",
E1701&gt;77,"Above than 77")</f>
        <v>48-57</v>
      </c>
      <c r="E1701">
        <v>56</v>
      </c>
      <c r="F1701" s="1">
        <v>23202</v>
      </c>
      <c r="G1701" s="1" t="str">
        <f>VLOOKUP(H1701,Table7[#All], 2, FALSE)</f>
        <v>Massachusetts</v>
      </c>
      <c r="H1701" s="2" t="s">
        <v>14</v>
      </c>
      <c r="I1701" s="2" t="s">
        <v>22</v>
      </c>
      <c r="J1701" s="2" t="s">
        <v>17</v>
      </c>
      <c r="K1701" s="2" t="s">
        <v>24</v>
      </c>
      <c r="L1701" s="2" t="s">
        <v>9</v>
      </c>
      <c r="M1701" s="2" t="s">
        <v>10</v>
      </c>
      <c r="N1701" s="2" t="s">
        <v>19</v>
      </c>
      <c r="O1701" s="2" t="s">
        <v>53</v>
      </c>
      <c r="P1701" s="2" t="s">
        <v>54</v>
      </c>
      <c r="Q1701" s="2" t="s">
        <v>37</v>
      </c>
      <c r="R1701" s="2" t="s">
        <v>18</v>
      </c>
      <c r="S1701">
        <v>2</v>
      </c>
    </row>
    <row r="1702" spans="1:19" x14ac:dyDescent="0.3">
      <c r="A1702">
        <v>2598</v>
      </c>
      <c r="B1702">
        <f>YEAR(Cleaned_HR_Data_Analysis__2[[#This Row],[Joining_Date]])</f>
        <v>2020</v>
      </c>
      <c r="C1702" s="1">
        <v>43838</v>
      </c>
      <c r="D1702" s="1" t="str" cm="1">
        <f t="array" ref="D1702">_xlfn.IFS(E1702&lt;28, "17-27",
AND(E1702&gt;27, E1702&lt;38), "28-37",
AND(E1702&gt;37, E1702 &lt;48), "38-47",
AND(E1702&gt;47, E1702 &lt;58), "48-57",
AND(E1702&gt;57, E1702&lt;68), "58-67",
AND(E1702&gt;67, E1702&lt;78), "68-77",
E1702&gt;77,"Above than 77")</f>
        <v>48-57</v>
      </c>
      <c r="E1702">
        <v>56</v>
      </c>
      <c r="F1702" s="1">
        <v>23625</v>
      </c>
      <c r="G1702" s="1" t="str">
        <f>VLOOKUP(H1702,Table7[#All], 2, FALSE)</f>
        <v>Idaho</v>
      </c>
      <c r="H1702" s="2" t="s">
        <v>111</v>
      </c>
      <c r="I1702" s="2" t="s">
        <v>22</v>
      </c>
      <c r="J1702" s="2" t="s">
        <v>40</v>
      </c>
      <c r="K1702" s="2" t="s">
        <v>24</v>
      </c>
      <c r="L1702" s="2" t="s">
        <v>9</v>
      </c>
      <c r="M1702" s="2" t="s">
        <v>20</v>
      </c>
      <c r="N1702" s="2" t="s">
        <v>19</v>
      </c>
      <c r="O1702" s="2" t="s">
        <v>27</v>
      </c>
      <c r="P1702" s="2" t="s">
        <v>32</v>
      </c>
      <c r="Q1702" s="2" t="s">
        <v>46</v>
      </c>
      <c r="R1702" s="2" t="s">
        <v>18</v>
      </c>
      <c r="S1702">
        <v>3</v>
      </c>
    </row>
    <row r="1703" spans="1:19" x14ac:dyDescent="0.3">
      <c r="A1703">
        <v>3861</v>
      </c>
      <c r="B1703">
        <f>YEAR(Cleaned_HR_Data_Analysis__2[[#This Row],[Joining_Date]])</f>
        <v>2022</v>
      </c>
      <c r="C1703" s="1">
        <v>44644</v>
      </c>
      <c r="D1703" s="1" t="str" cm="1">
        <f t="array" ref="D1703">_xlfn.IFS(E1703&lt;28, "17-27",
AND(E1703&gt;27, E1703&lt;38), "28-37",
AND(E1703&gt;37, E1703 &lt;48), "38-47",
AND(E1703&gt;47, E1703 &lt;58), "48-57",
AND(E1703&gt;57, E1703&lt;68), "58-67",
AND(E1703&gt;67, E1703&lt;78), "68-77",
E1703&gt;77,"Above than 77")</f>
        <v>48-57</v>
      </c>
      <c r="E1703">
        <v>57</v>
      </c>
      <c r="F1703" s="1">
        <v>23798</v>
      </c>
      <c r="G1703" s="1" t="str">
        <f>VLOOKUP(H1703,Table7[#All], 2, FALSE)</f>
        <v>Massachusetts</v>
      </c>
      <c r="H1703" s="2" t="s">
        <v>14</v>
      </c>
      <c r="I1703" s="2" t="s">
        <v>22</v>
      </c>
      <c r="J1703" s="2" t="s">
        <v>17</v>
      </c>
      <c r="K1703" s="2" t="s">
        <v>72</v>
      </c>
      <c r="L1703" s="2" t="s">
        <v>9</v>
      </c>
      <c r="M1703" s="2" t="s">
        <v>25</v>
      </c>
      <c r="N1703" s="2" t="s">
        <v>11</v>
      </c>
      <c r="O1703" s="2" t="s">
        <v>53</v>
      </c>
      <c r="P1703" s="2" t="s">
        <v>32</v>
      </c>
      <c r="Q1703" s="2" t="s">
        <v>30</v>
      </c>
      <c r="R1703" s="2" t="s">
        <v>65</v>
      </c>
      <c r="S1703">
        <v>1</v>
      </c>
    </row>
    <row r="1704" spans="1:19" x14ac:dyDescent="0.3">
      <c r="A1704">
        <v>1360</v>
      </c>
      <c r="B1704">
        <f>YEAR(Cleaned_HR_Data_Analysis__2[[#This Row],[Joining_Date]])</f>
        <v>2021</v>
      </c>
      <c r="C1704" s="1">
        <v>44438</v>
      </c>
      <c r="D1704" s="1" t="str" cm="1">
        <f t="array" ref="D1704">_xlfn.IFS(E1704&lt;28, "17-27",
AND(E1704&gt;27, E1704&lt;38), "28-37",
AND(E1704&gt;37, E1704 &lt;48), "38-47",
AND(E1704&gt;47, E1704 &lt;58), "48-57",
AND(E1704&gt;57, E1704&lt;68), "58-67",
AND(E1704&gt;67, E1704&lt;78), "68-77",
E1704&gt;77,"Above than 77")</f>
        <v>48-57</v>
      </c>
      <c r="E1704">
        <v>57</v>
      </c>
      <c r="F1704" s="1">
        <v>23645</v>
      </c>
      <c r="G1704" s="1" t="str">
        <f>VLOOKUP(H1704,Table7[#All], 2, FALSE)</f>
        <v>Massachusetts</v>
      </c>
      <c r="H1704" s="2" t="s">
        <v>14</v>
      </c>
      <c r="I1704" s="2" t="s">
        <v>22</v>
      </c>
      <c r="J1704" s="2" t="s">
        <v>40</v>
      </c>
      <c r="K1704" s="2" t="s">
        <v>72</v>
      </c>
      <c r="L1704" s="2" t="s">
        <v>9</v>
      </c>
      <c r="M1704" s="2" t="s">
        <v>10</v>
      </c>
      <c r="N1704" s="2" t="s">
        <v>26</v>
      </c>
      <c r="O1704" s="2" t="s">
        <v>53</v>
      </c>
      <c r="P1704" s="2" t="s">
        <v>35</v>
      </c>
      <c r="Q1704" s="2" t="s">
        <v>46</v>
      </c>
      <c r="R1704" s="2" t="s">
        <v>65</v>
      </c>
      <c r="S1704">
        <v>2</v>
      </c>
    </row>
    <row r="1705" spans="1:19" x14ac:dyDescent="0.3">
      <c r="A1705">
        <v>1081</v>
      </c>
      <c r="B1705">
        <f>YEAR(Cleaned_HR_Data_Analysis__2[[#This Row],[Joining_Date]])</f>
        <v>2022</v>
      </c>
      <c r="C1705" s="1">
        <v>44578</v>
      </c>
      <c r="D1705" s="1" t="str" cm="1">
        <f t="array" ref="D1705">_xlfn.IFS(E1705&lt;28, "17-27",
AND(E1705&gt;27, E1705&lt;38), "28-37",
AND(E1705&gt;37, E1705 &lt;48), "38-47",
AND(E1705&gt;47, E1705 &lt;58), "48-57",
AND(E1705&gt;57, E1705&lt;68), "58-67",
AND(E1705&gt;67, E1705&lt;78), "68-77",
E1705&gt;77,"Above than 77")</f>
        <v>48-57</v>
      </c>
      <c r="E1705">
        <v>57</v>
      </c>
      <c r="F1705" s="1">
        <v>23978</v>
      </c>
      <c r="G1705" s="1" t="str">
        <f>VLOOKUP(H1705,Table7[#All], 2, FALSE)</f>
        <v>Massachusetts</v>
      </c>
      <c r="H1705" s="2" t="s">
        <v>14</v>
      </c>
      <c r="I1705" s="2" t="s">
        <v>22</v>
      </c>
      <c r="J1705" s="2" t="s">
        <v>40</v>
      </c>
      <c r="K1705" s="2" t="s">
        <v>86</v>
      </c>
      <c r="L1705" s="2" t="s">
        <v>66</v>
      </c>
      <c r="M1705" s="2" t="s">
        <v>10</v>
      </c>
      <c r="N1705" s="2" t="s">
        <v>26</v>
      </c>
      <c r="O1705" s="2" t="s">
        <v>87</v>
      </c>
      <c r="P1705" s="2" t="s">
        <v>32</v>
      </c>
      <c r="Q1705" s="2" t="s">
        <v>46</v>
      </c>
      <c r="R1705" s="2" t="s">
        <v>18</v>
      </c>
      <c r="S1705">
        <v>3</v>
      </c>
    </row>
    <row r="1706" spans="1:19" x14ac:dyDescent="0.3">
      <c r="A1706">
        <v>2289</v>
      </c>
      <c r="B1706">
        <f>YEAR(Cleaned_HR_Data_Analysis__2[[#This Row],[Joining_Date]])</f>
        <v>2019</v>
      </c>
      <c r="C1706" s="1">
        <v>43708</v>
      </c>
      <c r="D1706" s="1" t="str" cm="1">
        <f t="array" ref="D1706">_xlfn.IFS(E1706&lt;28, "17-27",
AND(E1706&gt;27, E1706&lt;38), "28-37",
AND(E1706&gt;37, E1706 &lt;48), "38-47",
AND(E1706&gt;47, E1706 &lt;58), "48-57",
AND(E1706&gt;57, E1706&lt;68), "58-67",
AND(E1706&gt;67, E1706&lt;78), "68-77",
E1706&gt;77,"Above than 77")</f>
        <v>48-57</v>
      </c>
      <c r="E1706">
        <v>57</v>
      </c>
      <c r="F1706" s="1">
        <v>22710</v>
      </c>
      <c r="G1706" s="1" t="str">
        <f>VLOOKUP(H1706,Table7[#All], 2, FALSE)</f>
        <v>Massachusetts</v>
      </c>
      <c r="H1706" s="2" t="s">
        <v>14</v>
      </c>
      <c r="I1706" s="2" t="s">
        <v>22</v>
      </c>
      <c r="J1706" s="2" t="s">
        <v>31</v>
      </c>
      <c r="K1706" s="2" t="s">
        <v>88</v>
      </c>
      <c r="L1706" s="2" t="s">
        <v>9</v>
      </c>
      <c r="M1706" s="2" t="s">
        <v>25</v>
      </c>
      <c r="N1706" s="2" t="s">
        <v>19</v>
      </c>
      <c r="O1706" s="2" t="s">
        <v>90</v>
      </c>
      <c r="P1706" s="2" t="s">
        <v>35</v>
      </c>
      <c r="Q1706" s="2" t="s">
        <v>16</v>
      </c>
      <c r="R1706" s="2" t="s">
        <v>18</v>
      </c>
      <c r="S1706">
        <v>5</v>
      </c>
    </row>
    <row r="1707" spans="1:19" x14ac:dyDescent="0.3">
      <c r="A1707">
        <v>2283</v>
      </c>
      <c r="B1707">
        <f>YEAR(Cleaned_HR_Data_Analysis__2[[#This Row],[Joining_Date]])</f>
        <v>2018</v>
      </c>
      <c r="C1707" s="1">
        <v>43376</v>
      </c>
      <c r="D1707" s="1" t="str" cm="1">
        <f t="array" ref="D1707">_xlfn.IFS(E1707&lt;28, "17-27",
AND(E1707&gt;27, E1707&lt;38), "28-37",
AND(E1707&gt;37, E1707 &lt;48), "38-47",
AND(E1707&gt;47, E1707 &lt;58), "48-57",
AND(E1707&gt;57, E1707&lt;68), "58-67",
AND(E1707&gt;67, E1707&lt;78), "68-77",
E1707&gt;77,"Above than 77")</f>
        <v>48-57</v>
      </c>
      <c r="E1707">
        <v>57</v>
      </c>
      <c r="F1707" s="1">
        <v>22632</v>
      </c>
      <c r="G1707" s="1" t="str">
        <f>VLOOKUP(H1707,Table7[#All], 2, FALSE)</f>
        <v>Massachusetts</v>
      </c>
      <c r="H1707" s="2" t="s">
        <v>14</v>
      </c>
      <c r="I1707" s="2" t="s">
        <v>22</v>
      </c>
      <c r="J1707" s="2" t="s">
        <v>31</v>
      </c>
      <c r="K1707" s="2" t="s">
        <v>88</v>
      </c>
      <c r="L1707" s="2" t="s">
        <v>66</v>
      </c>
      <c r="M1707" s="2" t="s">
        <v>20</v>
      </c>
      <c r="N1707" s="2" t="s">
        <v>26</v>
      </c>
      <c r="O1707" s="2" t="s">
        <v>90</v>
      </c>
      <c r="P1707" s="2" t="s">
        <v>35</v>
      </c>
      <c r="Q1707" s="2" t="s">
        <v>16</v>
      </c>
      <c r="R1707" s="2" t="s">
        <v>18</v>
      </c>
      <c r="S1707">
        <v>2</v>
      </c>
    </row>
    <row r="1708" spans="1:19" x14ac:dyDescent="0.3">
      <c r="A1708">
        <v>1015</v>
      </c>
      <c r="B1708">
        <f>YEAR(Cleaned_HR_Data_Analysis__2[[#This Row],[Joining_Date]])</f>
        <v>2018</v>
      </c>
      <c r="C1708" s="1">
        <v>43437</v>
      </c>
      <c r="D1708" s="1" t="str" cm="1">
        <f t="array" ref="D1708">_xlfn.IFS(E1708&lt;28, "17-27",
AND(E1708&gt;27, E1708&lt;38), "28-37",
AND(E1708&gt;37, E1708 &lt;48), "38-47",
AND(E1708&gt;47, E1708 &lt;58), "48-57",
AND(E1708&gt;57, E1708&lt;68), "58-67",
AND(E1708&gt;67, E1708&lt;78), "68-77",
E1708&gt;77,"Above than 77")</f>
        <v>48-57</v>
      </c>
      <c r="E1708">
        <v>57</v>
      </c>
      <c r="F1708" s="1">
        <v>22619</v>
      </c>
      <c r="G1708" s="1" t="str">
        <f>VLOOKUP(H1708,Table7[#All], 2, FALSE)</f>
        <v>Massachusetts</v>
      </c>
      <c r="H1708" s="2" t="s">
        <v>14</v>
      </c>
      <c r="I1708" s="2" t="s">
        <v>15</v>
      </c>
      <c r="J1708" s="2" t="s">
        <v>34</v>
      </c>
      <c r="K1708" s="2" t="s">
        <v>88</v>
      </c>
      <c r="L1708" s="2" t="s">
        <v>9</v>
      </c>
      <c r="M1708" s="2" t="s">
        <v>10</v>
      </c>
      <c r="N1708" s="2" t="s">
        <v>19</v>
      </c>
      <c r="O1708" s="2" t="s">
        <v>87</v>
      </c>
      <c r="P1708" s="2" t="s">
        <v>62</v>
      </c>
      <c r="Q1708" s="2" t="s">
        <v>16</v>
      </c>
      <c r="R1708" s="2" t="s">
        <v>18</v>
      </c>
      <c r="S1708">
        <v>1</v>
      </c>
    </row>
    <row r="1709" spans="1:19" x14ac:dyDescent="0.3">
      <c r="A1709">
        <v>1045</v>
      </c>
      <c r="B1709">
        <f>YEAR(Cleaned_HR_Data_Analysis__2[[#This Row],[Joining_Date]])</f>
        <v>2020</v>
      </c>
      <c r="C1709" s="1">
        <v>44108</v>
      </c>
      <c r="D1709" s="1" t="str" cm="1">
        <f t="array" ref="D1709">_xlfn.IFS(E1709&lt;28, "17-27",
AND(E1709&gt;27, E1709&lt;38), "28-37",
AND(E1709&gt;37, E1709 &lt;48), "38-47",
AND(E1709&gt;47, E1709 &lt;58), "48-57",
AND(E1709&gt;57, E1709&lt;68), "58-67",
AND(E1709&gt;67, E1709&lt;78), "68-77",
E1709&gt;77,"Above than 77")</f>
        <v>48-57</v>
      </c>
      <c r="E1709">
        <v>57</v>
      </c>
      <c r="F1709" s="1">
        <v>23172</v>
      </c>
      <c r="G1709" s="1" t="str">
        <f>VLOOKUP(H1709,Table7[#All], 2, FALSE)</f>
        <v>Massachusetts</v>
      </c>
      <c r="H1709" s="2" t="s">
        <v>14</v>
      </c>
      <c r="I1709" s="2" t="s">
        <v>15</v>
      </c>
      <c r="J1709" s="2" t="s">
        <v>31</v>
      </c>
      <c r="K1709" s="2" t="s">
        <v>89</v>
      </c>
      <c r="L1709" s="2" t="s">
        <v>9</v>
      </c>
      <c r="M1709" s="2" t="s">
        <v>25</v>
      </c>
      <c r="N1709" s="2" t="s">
        <v>11</v>
      </c>
      <c r="O1709" s="2" t="s">
        <v>90</v>
      </c>
      <c r="P1709" s="2" t="s">
        <v>60</v>
      </c>
      <c r="Q1709" s="2" t="s">
        <v>37</v>
      </c>
      <c r="R1709" s="2" t="s">
        <v>18</v>
      </c>
      <c r="S1709">
        <v>4</v>
      </c>
    </row>
    <row r="1710" spans="1:19" x14ac:dyDescent="0.3">
      <c r="A1710">
        <v>1671</v>
      </c>
      <c r="B1710">
        <f>YEAR(Cleaned_HR_Data_Analysis__2[[#This Row],[Joining_Date]])</f>
        <v>2021</v>
      </c>
      <c r="C1710" s="1">
        <v>44521</v>
      </c>
      <c r="D1710" s="1" t="str" cm="1">
        <f t="array" ref="D1710">_xlfn.IFS(E1710&lt;28, "17-27",
AND(E1710&gt;27, E1710&lt;38), "28-37",
AND(E1710&gt;37, E1710 &lt;48), "38-47",
AND(E1710&gt;47, E1710 &lt;58), "48-57",
AND(E1710&gt;57, E1710&lt;68), "58-67",
AND(E1710&gt;67, E1710&lt;78), "68-77",
E1710&gt;77,"Above than 77")</f>
        <v>48-57</v>
      </c>
      <c r="E1710">
        <v>57</v>
      </c>
      <c r="F1710" s="1">
        <v>23660</v>
      </c>
      <c r="G1710" s="1" t="str">
        <f>VLOOKUP(H1710,Table7[#All], 2, FALSE)</f>
        <v>Massachusetts</v>
      </c>
      <c r="H1710" s="2" t="s">
        <v>14</v>
      </c>
      <c r="I1710" s="2" t="s">
        <v>15</v>
      </c>
      <c r="J1710" s="2" t="s">
        <v>34</v>
      </c>
      <c r="K1710" s="2" t="s">
        <v>98</v>
      </c>
      <c r="L1710" s="2" t="s">
        <v>9</v>
      </c>
      <c r="M1710" s="2" t="s">
        <v>10</v>
      </c>
      <c r="N1710" s="2" t="s">
        <v>19</v>
      </c>
      <c r="O1710" s="2" t="s">
        <v>27</v>
      </c>
      <c r="P1710" s="2" t="s">
        <v>54</v>
      </c>
      <c r="Q1710" s="2" t="s">
        <v>16</v>
      </c>
      <c r="R1710" s="2" t="s">
        <v>18</v>
      </c>
      <c r="S1710">
        <v>3</v>
      </c>
    </row>
    <row r="1711" spans="1:19" x14ac:dyDescent="0.3">
      <c r="A1711">
        <v>1944</v>
      </c>
      <c r="B1711">
        <f>YEAR(Cleaned_HR_Data_Analysis__2[[#This Row],[Joining_Date]])</f>
        <v>2020</v>
      </c>
      <c r="C1711" s="1">
        <v>43963</v>
      </c>
      <c r="D1711" s="1" t="str" cm="1">
        <f t="array" ref="D1711">_xlfn.IFS(E1711&lt;28, "17-27",
AND(E1711&gt;27, E1711&lt;38), "28-37",
AND(E1711&gt;37, E1711 &lt;48), "38-47",
AND(E1711&gt;47, E1711 &lt;58), "48-57",
AND(E1711&gt;57, E1711&lt;68), "58-67",
AND(E1711&gt;67, E1711&lt;78), "68-77",
E1711&gt;77,"Above than 77")</f>
        <v>48-57</v>
      </c>
      <c r="E1711">
        <v>57</v>
      </c>
      <c r="F1711" s="1">
        <v>23243</v>
      </c>
      <c r="G1711" s="1" t="str">
        <f>VLOOKUP(H1711,Table7[#All], 2, FALSE)</f>
        <v>Pennsylvania</v>
      </c>
      <c r="H1711" s="2" t="s">
        <v>100</v>
      </c>
      <c r="I1711" s="2" t="s">
        <v>15</v>
      </c>
      <c r="J1711" s="2" t="s">
        <v>34</v>
      </c>
      <c r="K1711" s="2" t="s">
        <v>64</v>
      </c>
      <c r="L1711" s="2" t="s">
        <v>9</v>
      </c>
      <c r="M1711" s="2" t="s">
        <v>20</v>
      </c>
      <c r="N1711" s="2" t="s">
        <v>19</v>
      </c>
      <c r="O1711" s="2" t="s">
        <v>27</v>
      </c>
      <c r="P1711" s="2" t="s">
        <v>35</v>
      </c>
      <c r="Q1711" s="2" t="s">
        <v>46</v>
      </c>
      <c r="R1711" s="2" t="s">
        <v>18</v>
      </c>
      <c r="S1711">
        <v>4</v>
      </c>
    </row>
    <row r="1712" spans="1:19" x14ac:dyDescent="0.3">
      <c r="A1712">
        <v>3413</v>
      </c>
      <c r="B1712">
        <f>YEAR(Cleaned_HR_Data_Analysis__2[[#This Row],[Joining_Date]])</f>
        <v>2019</v>
      </c>
      <c r="C1712" s="1">
        <v>43794</v>
      </c>
      <c r="D1712" s="1" t="str" cm="1">
        <f t="array" ref="D1712">_xlfn.IFS(E1712&lt;28, "17-27",
AND(E1712&gt;27, E1712&lt;38), "28-37",
AND(E1712&gt;37, E1712 &lt;48), "38-47",
AND(E1712&gt;47, E1712 &lt;58), "48-57",
AND(E1712&gt;57, E1712&lt;68), "58-67",
AND(E1712&gt;67, E1712&lt;78), "68-77",
E1712&gt;77,"Above than 77")</f>
        <v>48-57</v>
      </c>
      <c r="E1712">
        <v>57</v>
      </c>
      <c r="F1712" s="1">
        <v>22995</v>
      </c>
      <c r="G1712" s="1" t="str">
        <f>VLOOKUP(H1712,Table7[#All], 2, FALSE)</f>
        <v>Massachusetts</v>
      </c>
      <c r="H1712" s="2" t="s">
        <v>14</v>
      </c>
      <c r="I1712" s="2" t="s">
        <v>15</v>
      </c>
      <c r="J1712" s="2" t="s">
        <v>31</v>
      </c>
      <c r="K1712" s="2" t="s">
        <v>64</v>
      </c>
      <c r="L1712" s="2" t="s">
        <v>9</v>
      </c>
      <c r="M1712" s="2" t="s">
        <v>10</v>
      </c>
      <c r="N1712" s="2" t="s">
        <v>26</v>
      </c>
      <c r="O1712" s="2" t="s">
        <v>12</v>
      </c>
      <c r="P1712" s="2" t="s">
        <v>35</v>
      </c>
      <c r="Q1712" s="2" t="s">
        <v>16</v>
      </c>
      <c r="R1712" s="2" t="s">
        <v>18</v>
      </c>
      <c r="S1712">
        <v>2</v>
      </c>
    </row>
    <row r="1713" spans="1:19" x14ac:dyDescent="0.3">
      <c r="A1713">
        <v>3408</v>
      </c>
      <c r="B1713">
        <f>YEAR(Cleaned_HR_Data_Analysis__2[[#This Row],[Joining_Date]])</f>
        <v>2022</v>
      </c>
      <c r="C1713" s="1">
        <v>44910</v>
      </c>
      <c r="D1713" s="1" t="str" cm="1">
        <f t="array" ref="D1713">_xlfn.IFS(E1713&lt;28, "17-27",
AND(E1713&gt;27, E1713&lt;38), "28-37",
AND(E1713&gt;37, E1713 &lt;48), "38-47",
AND(E1713&gt;47, E1713 &lt;58), "48-57",
AND(E1713&gt;57, E1713&lt;68), "58-67",
AND(E1713&gt;67, E1713&lt;78), "68-77",
E1713&gt;77,"Above than 77")</f>
        <v>48-57</v>
      </c>
      <c r="E1713">
        <v>57</v>
      </c>
      <c r="F1713" s="1">
        <v>23749</v>
      </c>
      <c r="G1713" s="1" t="str">
        <f>VLOOKUP(H1713,Table7[#All], 2, FALSE)</f>
        <v>Massachusetts</v>
      </c>
      <c r="H1713" s="2" t="s">
        <v>14</v>
      </c>
      <c r="I1713" s="2" t="s">
        <v>22</v>
      </c>
      <c r="J1713" s="2" t="s">
        <v>40</v>
      </c>
      <c r="K1713" s="2" t="s">
        <v>64</v>
      </c>
      <c r="L1713" s="2" t="s">
        <v>66</v>
      </c>
      <c r="M1713" s="2" t="s">
        <v>10</v>
      </c>
      <c r="N1713" s="2" t="s">
        <v>26</v>
      </c>
      <c r="O1713" s="2" t="s">
        <v>12</v>
      </c>
      <c r="P1713" s="2" t="s">
        <v>35</v>
      </c>
      <c r="Q1713" s="2" t="s">
        <v>46</v>
      </c>
      <c r="R1713" s="2" t="s">
        <v>18</v>
      </c>
      <c r="S1713">
        <v>2</v>
      </c>
    </row>
    <row r="1714" spans="1:19" x14ac:dyDescent="0.3">
      <c r="A1714">
        <v>3343</v>
      </c>
      <c r="B1714">
        <f>YEAR(Cleaned_HR_Data_Analysis__2[[#This Row],[Joining_Date]])</f>
        <v>2022</v>
      </c>
      <c r="C1714" s="1">
        <v>44613</v>
      </c>
      <c r="D1714" s="1" t="str" cm="1">
        <f t="array" ref="D1714">_xlfn.IFS(E1714&lt;28, "17-27",
AND(E1714&gt;27, E1714&lt;38), "28-37",
AND(E1714&gt;37, E1714 &lt;48), "38-47",
AND(E1714&gt;47, E1714 &lt;58), "48-57",
AND(E1714&gt;57, E1714&lt;68), "58-67",
AND(E1714&gt;67, E1714&lt;78), "68-77",
E1714&gt;77,"Above than 77")</f>
        <v>48-57</v>
      </c>
      <c r="E1714">
        <v>57</v>
      </c>
      <c r="F1714" s="1">
        <v>24071</v>
      </c>
      <c r="G1714" s="1" t="str">
        <f>VLOOKUP(H1714,Table7[#All], 2, FALSE)</f>
        <v>Massachusetts</v>
      </c>
      <c r="H1714" s="2" t="s">
        <v>14</v>
      </c>
      <c r="I1714" s="2" t="s">
        <v>22</v>
      </c>
      <c r="J1714" s="2" t="s">
        <v>34</v>
      </c>
      <c r="K1714" s="2" t="s">
        <v>64</v>
      </c>
      <c r="L1714" s="2" t="s">
        <v>9</v>
      </c>
      <c r="M1714" s="2" t="s">
        <v>20</v>
      </c>
      <c r="N1714" s="2" t="s">
        <v>19</v>
      </c>
      <c r="O1714" s="2" t="s">
        <v>12</v>
      </c>
      <c r="P1714" s="2" t="s">
        <v>35</v>
      </c>
      <c r="Q1714" s="2" t="s">
        <v>23</v>
      </c>
      <c r="R1714" s="2" t="s">
        <v>18</v>
      </c>
      <c r="S1714">
        <v>2</v>
      </c>
    </row>
    <row r="1715" spans="1:19" x14ac:dyDescent="0.3">
      <c r="A1715">
        <v>3156</v>
      </c>
      <c r="B1715">
        <f>YEAR(Cleaned_HR_Data_Analysis__2[[#This Row],[Joining_Date]])</f>
        <v>2019</v>
      </c>
      <c r="C1715" s="1">
        <v>43664</v>
      </c>
      <c r="D1715" s="1" t="str" cm="1">
        <f t="array" ref="D1715">_xlfn.IFS(E1715&lt;28, "17-27",
AND(E1715&gt;27, E1715&lt;38), "28-37",
AND(E1715&gt;37, E1715 &lt;48), "38-47",
AND(E1715&gt;47, E1715 &lt;58), "48-57",
AND(E1715&gt;57, E1715&lt;68), "58-67",
AND(E1715&gt;67, E1715&lt;78), "68-77",
E1715&gt;77,"Above than 77")</f>
        <v>48-57</v>
      </c>
      <c r="E1715">
        <v>57</v>
      </c>
      <c r="F1715" s="1">
        <v>22843</v>
      </c>
      <c r="G1715" s="1" t="str">
        <f>VLOOKUP(H1715,Table7[#All], 2, FALSE)</f>
        <v>Massachusetts</v>
      </c>
      <c r="H1715" s="2" t="s">
        <v>14</v>
      </c>
      <c r="I1715" s="2" t="s">
        <v>15</v>
      </c>
      <c r="J1715" s="2" t="s">
        <v>34</v>
      </c>
      <c r="K1715" s="2" t="s">
        <v>64</v>
      </c>
      <c r="L1715" s="2" t="s">
        <v>66</v>
      </c>
      <c r="M1715" s="2" t="s">
        <v>10</v>
      </c>
      <c r="N1715" s="2" t="s">
        <v>26</v>
      </c>
      <c r="O1715" s="2" t="s">
        <v>12</v>
      </c>
      <c r="P1715" s="2" t="s">
        <v>32</v>
      </c>
      <c r="Q1715" s="2" t="s">
        <v>37</v>
      </c>
      <c r="R1715" s="2" t="s">
        <v>18</v>
      </c>
      <c r="S1715">
        <v>2</v>
      </c>
    </row>
    <row r="1716" spans="1:19" x14ac:dyDescent="0.3">
      <c r="A1716">
        <v>3115</v>
      </c>
      <c r="B1716">
        <f>YEAR(Cleaned_HR_Data_Analysis__2[[#This Row],[Joining_Date]])</f>
        <v>2021</v>
      </c>
      <c r="C1716" s="1">
        <v>44389</v>
      </c>
      <c r="D1716" s="1" t="str" cm="1">
        <f t="array" ref="D1716">_xlfn.IFS(E1716&lt;28, "17-27",
AND(E1716&gt;27, E1716&lt;38), "28-37",
AND(E1716&gt;37, E1716 &lt;48), "38-47",
AND(E1716&gt;47, E1716 &lt;58), "48-57",
AND(E1716&gt;57, E1716&lt;68), "58-67",
AND(E1716&gt;67, E1716&lt;78), "68-77",
E1716&gt;77,"Above than 77")</f>
        <v>48-57</v>
      </c>
      <c r="E1716">
        <v>57</v>
      </c>
      <c r="F1716" s="1">
        <v>23377</v>
      </c>
      <c r="G1716" s="1" t="str">
        <f>VLOOKUP(H1716,Table7[#All], 2, FALSE)</f>
        <v>Massachusetts</v>
      </c>
      <c r="H1716" s="2" t="s">
        <v>14</v>
      </c>
      <c r="I1716" s="2" t="s">
        <v>15</v>
      </c>
      <c r="J1716" s="2" t="s">
        <v>40</v>
      </c>
      <c r="K1716" s="2" t="s">
        <v>64</v>
      </c>
      <c r="L1716" s="2" t="s">
        <v>9</v>
      </c>
      <c r="M1716" s="2" t="s">
        <v>10</v>
      </c>
      <c r="N1716" s="2" t="s">
        <v>19</v>
      </c>
      <c r="O1716" s="2" t="s">
        <v>12</v>
      </c>
      <c r="P1716" s="2" t="s">
        <v>54</v>
      </c>
      <c r="Q1716" s="2" t="s">
        <v>23</v>
      </c>
      <c r="R1716" s="2" t="s">
        <v>18</v>
      </c>
      <c r="S1716">
        <v>3</v>
      </c>
    </row>
    <row r="1717" spans="1:19" x14ac:dyDescent="0.3">
      <c r="A1717">
        <v>3074</v>
      </c>
      <c r="B1717">
        <f>YEAR(Cleaned_HR_Data_Analysis__2[[#This Row],[Joining_Date]])</f>
        <v>2020</v>
      </c>
      <c r="C1717" s="1">
        <v>44026</v>
      </c>
      <c r="D1717" s="1" t="str" cm="1">
        <f t="array" ref="D1717">_xlfn.IFS(E1717&lt;28, "17-27",
AND(E1717&gt;27, E1717&lt;38), "28-37",
AND(E1717&gt;37, E1717 &lt;48), "38-47",
AND(E1717&gt;47, E1717 &lt;58), "48-57",
AND(E1717&gt;57, E1717&lt;68), "58-67",
AND(E1717&gt;67, E1717&lt;78), "68-77",
E1717&gt;77,"Above than 77")</f>
        <v>48-57</v>
      </c>
      <c r="E1717">
        <v>57</v>
      </c>
      <c r="F1717" s="1">
        <v>23288</v>
      </c>
      <c r="G1717" s="1" t="str">
        <f>VLOOKUP(H1717,Table7[#All], 2, FALSE)</f>
        <v>Massachusetts</v>
      </c>
      <c r="H1717" s="2" t="s">
        <v>14</v>
      </c>
      <c r="I1717" s="2" t="s">
        <v>15</v>
      </c>
      <c r="J1717" s="2" t="s">
        <v>31</v>
      </c>
      <c r="K1717" s="2" t="s">
        <v>64</v>
      </c>
      <c r="L1717" s="2" t="s">
        <v>66</v>
      </c>
      <c r="M1717" s="2" t="s">
        <v>10</v>
      </c>
      <c r="N1717" s="2" t="s">
        <v>19</v>
      </c>
      <c r="O1717" s="2" t="s">
        <v>12</v>
      </c>
      <c r="P1717" s="2" t="s">
        <v>49</v>
      </c>
      <c r="Q1717" s="2" t="s">
        <v>23</v>
      </c>
      <c r="R1717" s="2" t="s">
        <v>18</v>
      </c>
      <c r="S1717">
        <v>3</v>
      </c>
    </row>
    <row r="1718" spans="1:19" x14ac:dyDescent="0.3">
      <c r="A1718">
        <v>2806</v>
      </c>
      <c r="B1718">
        <f>YEAR(Cleaned_HR_Data_Analysis__2[[#This Row],[Joining_Date]])</f>
        <v>2019</v>
      </c>
      <c r="C1718" s="1">
        <v>43799</v>
      </c>
      <c r="D1718" s="1" t="str" cm="1">
        <f t="array" ref="D1718">_xlfn.IFS(E1718&lt;28, "17-27",
AND(E1718&gt;27, E1718&lt;38), "28-37",
AND(E1718&gt;37, E1718 &lt;48), "38-47",
AND(E1718&gt;47, E1718 &lt;58), "48-57",
AND(E1718&gt;57, E1718&lt;68), "58-67",
AND(E1718&gt;67, E1718&lt;78), "68-77",
E1718&gt;77,"Above than 77")</f>
        <v>48-57</v>
      </c>
      <c r="E1718">
        <v>57</v>
      </c>
      <c r="F1718" s="1">
        <v>22819</v>
      </c>
      <c r="G1718" s="1" t="str">
        <f>VLOOKUP(H1718,Table7[#All], 2, FALSE)</f>
        <v>Massachusetts</v>
      </c>
      <c r="H1718" s="2" t="s">
        <v>14</v>
      </c>
      <c r="I1718" s="2" t="s">
        <v>15</v>
      </c>
      <c r="J1718" s="2" t="s">
        <v>40</v>
      </c>
      <c r="K1718" s="2" t="s">
        <v>64</v>
      </c>
      <c r="L1718" s="2" t="s">
        <v>9</v>
      </c>
      <c r="M1718" s="2" t="s">
        <v>25</v>
      </c>
      <c r="N1718" s="2" t="s">
        <v>19</v>
      </c>
      <c r="O1718" s="2" t="s">
        <v>12</v>
      </c>
      <c r="P1718" s="2" t="s">
        <v>60</v>
      </c>
      <c r="Q1718" s="2" t="s">
        <v>46</v>
      </c>
      <c r="R1718" s="2" t="s">
        <v>18</v>
      </c>
      <c r="S1718">
        <v>3</v>
      </c>
    </row>
    <row r="1719" spans="1:19" x14ac:dyDescent="0.3">
      <c r="A1719">
        <v>1577</v>
      </c>
      <c r="B1719">
        <f>YEAR(Cleaned_HR_Data_Analysis__2[[#This Row],[Joining_Date]])</f>
        <v>2020</v>
      </c>
      <c r="C1719" s="1">
        <v>44180</v>
      </c>
      <c r="D1719" s="1" t="str" cm="1">
        <f t="array" ref="D1719">_xlfn.IFS(E1719&lt;28, "17-27",
AND(E1719&gt;27, E1719&lt;38), "28-37",
AND(E1719&gt;37, E1719 &lt;48), "38-47",
AND(E1719&gt;47, E1719 &lt;58), "48-57",
AND(E1719&gt;57, E1719&lt;68), "58-67",
AND(E1719&gt;67, E1719&lt;78), "68-77",
E1719&gt;77,"Above than 77")</f>
        <v>48-57</v>
      </c>
      <c r="E1719">
        <v>57</v>
      </c>
      <c r="F1719" s="1">
        <v>23114</v>
      </c>
      <c r="G1719" s="1" t="str">
        <f>VLOOKUP(H1719,Table7[#All], 2, FALSE)</f>
        <v>Massachusetts</v>
      </c>
      <c r="H1719" s="2" t="s">
        <v>14</v>
      </c>
      <c r="I1719" s="2" t="s">
        <v>15</v>
      </c>
      <c r="J1719" s="2" t="s">
        <v>17</v>
      </c>
      <c r="K1719" s="2" t="s">
        <v>64</v>
      </c>
      <c r="L1719" s="2" t="s">
        <v>9</v>
      </c>
      <c r="M1719" s="2" t="s">
        <v>25</v>
      </c>
      <c r="N1719" s="2" t="s">
        <v>26</v>
      </c>
      <c r="O1719" s="2" t="s">
        <v>12</v>
      </c>
      <c r="P1719" s="2" t="s">
        <v>13</v>
      </c>
      <c r="Q1719" s="2" t="s">
        <v>37</v>
      </c>
      <c r="R1719" s="2" t="s">
        <v>18</v>
      </c>
      <c r="S1719">
        <v>2</v>
      </c>
    </row>
    <row r="1720" spans="1:19" x14ac:dyDescent="0.3">
      <c r="A1720">
        <v>1559</v>
      </c>
      <c r="B1720">
        <f>YEAR(Cleaned_HR_Data_Analysis__2[[#This Row],[Joining_Date]])</f>
        <v>2022</v>
      </c>
      <c r="C1720" s="1">
        <v>44673</v>
      </c>
      <c r="D1720" s="1" t="str" cm="1">
        <f t="array" ref="D1720">_xlfn.IFS(E1720&lt;28, "17-27",
AND(E1720&gt;27, E1720&lt;38), "28-37",
AND(E1720&gt;37, E1720 &lt;48), "38-47",
AND(E1720&gt;47, E1720 &lt;58), "48-57",
AND(E1720&gt;57, E1720&lt;68), "58-67",
AND(E1720&gt;67, E1720&lt;78), "68-77",
E1720&gt;77,"Above than 77")</f>
        <v>48-57</v>
      </c>
      <c r="E1720">
        <v>57</v>
      </c>
      <c r="F1720" s="1">
        <v>24078</v>
      </c>
      <c r="G1720" s="1" t="str">
        <f>VLOOKUP(H1720,Table7[#All], 2, FALSE)</f>
        <v>Massachusetts</v>
      </c>
      <c r="H1720" s="2" t="s">
        <v>14</v>
      </c>
      <c r="I1720" s="2" t="s">
        <v>22</v>
      </c>
      <c r="J1720" s="2" t="s">
        <v>40</v>
      </c>
      <c r="K1720" s="2" t="s">
        <v>64</v>
      </c>
      <c r="L1720" s="2" t="s">
        <v>66</v>
      </c>
      <c r="M1720" s="2" t="s">
        <v>25</v>
      </c>
      <c r="N1720" s="2" t="s">
        <v>26</v>
      </c>
      <c r="O1720" s="2" t="s">
        <v>12</v>
      </c>
      <c r="P1720" s="2" t="s">
        <v>54</v>
      </c>
      <c r="Q1720" s="2" t="s">
        <v>30</v>
      </c>
      <c r="R1720" s="2" t="s">
        <v>18</v>
      </c>
      <c r="S1720">
        <v>1</v>
      </c>
    </row>
    <row r="1721" spans="1:19" x14ac:dyDescent="0.3">
      <c r="A1721">
        <v>1476</v>
      </c>
      <c r="B1721">
        <f>YEAR(Cleaned_HR_Data_Analysis__2[[#This Row],[Joining_Date]])</f>
        <v>2019</v>
      </c>
      <c r="C1721" s="1">
        <v>43806</v>
      </c>
      <c r="D1721" s="1" t="str" cm="1">
        <f t="array" ref="D1721">_xlfn.IFS(E1721&lt;28, "17-27",
AND(E1721&gt;27, E1721&lt;38), "28-37",
AND(E1721&gt;37, E1721 &lt;48), "38-47",
AND(E1721&gt;47, E1721 &lt;58), "48-57",
AND(E1721&gt;57, E1721&lt;68), "58-67",
AND(E1721&gt;67, E1721&lt;78), "68-77",
E1721&gt;77,"Above than 77")</f>
        <v>48-57</v>
      </c>
      <c r="E1721">
        <v>57</v>
      </c>
      <c r="F1721" s="1">
        <v>22957</v>
      </c>
      <c r="G1721" s="1" t="str">
        <f>VLOOKUP(H1721,Table7[#All], 2, FALSE)</f>
        <v>Massachusetts</v>
      </c>
      <c r="H1721" s="2" t="s">
        <v>14</v>
      </c>
      <c r="I1721" s="2" t="s">
        <v>22</v>
      </c>
      <c r="J1721" s="2" t="s">
        <v>40</v>
      </c>
      <c r="K1721" s="2" t="s">
        <v>64</v>
      </c>
      <c r="L1721" s="2" t="s">
        <v>66</v>
      </c>
      <c r="M1721" s="2" t="s">
        <v>10</v>
      </c>
      <c r="N1721" s="2" t="s">
        <v>11</v>
      </c>
      <c r="O1721" s="2" t="s">
        <v>12</v>
      </c>
      <c r="P1721" s="2" t="s">
        <v>35</v>
      </c>
      <c r="Q1721" s="2" t="s">
        <v>30</v>
      </c>
      <c r="R1721" s="2" t="s">
        <v>65</v>
      </c>
      <c r="S1721">
        <v>4</v>
      </c>
    </row>
    <row r="1722" spans="1:19" x14ac:dyDescent="0.3">
      <c r="A1722">
        <v>1449</v>
      </c>
      <c r="B1722">
        <f>YEAR(Cleaned_HR_Data_Analysis__2[[#This Row],[Joining_Date]])</f>
        <v>2022</v>
      </c>
      <c r="C1722" s="1">
        <v>44880</v>
      </c>
      <c r="D1722" s="1" t="str" cm="1">
        <f t="array" ref="D1722">_xlfn.IFS(E1722&lt;28, "17-27",
AND(E1722&gt;27, E1722&lt;38), "28-37",
AND(E1722&gt;37, E1722 &lt;48), "38-47",
AND(E1722&gt;47, E1722 &lt;58), "48-57",
AND(E1722&gt;57, E1722&lt;68), "58-67",
AND(E1722&gt;67, E1722&lt;78), "68-77",
E1722&gt;77,"Above than 77")</f>
        <v>48-57</v>
      </c>
      <c r="E1722">
        <v>57</v>
      </c>
      <c r="F1722" s="1">
        <v>23999</v>
      </c>
      <c r="G1722" s="1" t="str">
        <f>VLOOKUP(H1722,Table7[#All], 2, FALSE)</f>
        <v>Massachusetts</v>
      </c>
      <c r="H1722" s="2" t="s">
        <v>14</v>
      </c>
      <c r="I1722" s="2" t="s">
        <v>22</v>
      </c>
      <c r="J1722" s="2" t="s">
        <v>40</v>
      </c>
      <c r="K1722" s="2" t="s">
        <v>64</v>
      </c>
      <c r="L1722" s="2" t="s">
        <v>9</v>
      </c>
      <c r="M1722" s="2" t="s">
        <v>20</v>
      </c>
      <c r="N1722" s="2" t="s">
        <v>26</v>
      </c>
      <c r="O1722" s="2" t="s">
        <v>12</v>
      </c>
      <c r="P1722" s="2" t="s">
        <v>28</v>
      </c>
      <c r="Q1722" s="2" t="s">
        <v>30</v>
      </c>
      <c r="R1722" s="2" t="s">
        <v>56</v>
      </c>
      <c r="S1722">
        <v>2</v>
      </c>
    </row>
    <row r="1723" spans="1:19" x14ac:dyDescent="0.3">
      <c r="A1723">
        <v>1389</v>
      </c>
      <c r="B1723">
        <f>YEAR(Cleaned_HR_Data_Analysis__2[[#This Row],[Joining_Date]])</f>
        <v>2019</v>
      </c>
      <c r="C1723" s="1">
        <v>43766</v>
      </c>
      <c r="D1723" s="1" t="str" cm="1">
        <f t="array" ref="D1723">_xlfn.IFS(E1723&lt;28, "17-27",
AND(E1723&gt;27, E1723&lt;38), "28-37",
AND(E1723&gt;37, E1723 &lt;48), "38-47",
AND(E1723&gt;47, E1723 &lt;58), "48-57",
AND(E1723&gt;57, E1723&lt;68), "58-67",
AND(E1723&gt;67, E1723&lt;78), "68-77",
E1723&gt;77,"Above than 77")</f>
        <v>48-57</v>
      </c>
      <c r="E1723">
        <v>57</v>
      </c>
      <c r="F1723" s="1">
        <v>22961</v>
      </c>
      <c r="G1723" s="1" t="str">
        <f>VLOOKUP(H1723,Table7[#All], 2, FALSE)</f>
        <v>Massachusetts</v>
      </c>
      <c r="H1723" s="2" t="s">
        <v>14</v>
      </c>
      <c r="I1723" s="2" t="s">
        <v>22</v>
      </c>
      <c r="J1723" s="2" t="s">
        <v>17</v>
      </c>
      <c r="K1723" s="2" t="s">
        <v>64</v>
      </c>
      <c r="L1723" s="2" t="s">
        <v>9</v>
      </c>
      <c r="M1723" s="2" t="s">
        <v>20</v>
      </c>
      <c r="N1723" s="2" t="s">
        <v>19</v>
      </c>
      <c r="O1723" s="2" t="s">
        <v>12</v>
      </c>
      <c r="P1723" s="2" t="s">
        <v>92</v>
      </c>
      <c r="Q1723" s="2" t="s">
        <v>23</v>
      </c>
      <c r="R1723" s="2" t="s">
        <v>41</v>
      </c>
      <c r="S1723">
        <v>4</v>
      </c>
    </row>
    <row r="1724" spans="1:19" x14ac:dyDescent="0.3">
      <c r="A1724">
        <v>1166</v>
      </c>
      <c r="B1724">
        <f>YEAR(Cleaned_HR_Data_Analysis__2[[#This Row],[Joining_Date]])</f>
        <v>2022</v>
      </c>
      <c r="C1724" s="1">
        <v>44718</v>
      </c>
      <c r="D1724" s="1" t="str" cm="1">
        <f t="array" ref="D1724">_xlfn.IFS(E1724&lt;28, "17-27",
AND(E1724&gt;27, E1724&lt;38), "28-37",
AND(E1724&gt;37, E1724 &lt;48), "38-47",
AND(E1724&gt;47, E1724 &lt;58), "48-57",
AND(E1724&gt;57, E1724&lt;68), "58-67",
AND(E1724&gt;67, E1724&lt;78), "68-77",
E1724&gt;77,"Above than 77")</f>
        <v>48-57</v>
      </c>
      <c r="E1724">
        <v>57</v>
      </c>
      <c r="F1724" s="1">
        <v>23755</v>
      </c>
      <c r="G1724" s="1" t="str">
        <f>VLOOKUP(H1724,Table7[#All], 2, FALSE)</f>
        <v>Massachusetts</v>
      </c>
      <c r="H1724" s="2" t="s">
        <v>14</v>
      </c>
      <c r="I1724" s="2" t="s">
        <v>22</v>
      </c>
      <c r="J1724" s="2" t="s">
        <v>34</v>
      </c>
      <c r="K1724" s="2" t="s">
        <v>64</v>
      </c>
      <c r="L1724" s="2" t="s">
        <v>9</v>
      </c>
      <c r="M1724" s="2" t="s">
        <v>25</v>
      </c>
      <c r="N1724" s="2" t="s">
        <v>19</v>
      </c>
      <c r="O1724" s="2" t="s">
        <v>12</v>
      </c>
      <c r="P1724" s="2" t="s">
        <v>35</v>
      </c>
      <c r="Q1724" s="2" t="s">
        <v>30</v>
      </c>
      <c r="R1724" s="2" t="s">
        <v>18</v>
      </c>
      <c r="S1724">
        <v>1</v>
      </c>
    </row>
    <row r="1725" spans="1:19" x14ac:dyDescent="0.3">
      <c r="A1725">
        <v>3807</v>
      </c>
      <c r="B1725">
        <f>YEAR(Cleaned_HR_Data_Analysis__2[[#This Row],[Joining_Date]])</f>
        <v>2021</v>
      </c>
      <c r="C1725" s="1">
        <v>44454</v>
      </c>
      <c r="D1725" s="1" t="str" cm="1">
        <f t="array" ref="D1725">_xlfn.IFS(E1725&lt;28, "17-27",
AND(E1725&gt;27, E1725&lt;38), "28-37",
AND(E1725&gt;37, E1725 &lt;48), "38-47",
AND(E1725&gt;47, E1725 &lt;58), "48-57",
AND(E1725&gt;57, E1725&lt;68), "58-67",
AND(E1725&gt;67, E1725&lt;78), "68-77",
E1725&gt;77,"Above than 77")</f>
        <v>48-57</v>
      </c>
      <c r="E1725">
        <v>57</v>
      </c>
      <c r="F1725" s="1">
        <v>23513</v>
      </c>
      <c r="G1725" s="1" t="str">
        <f>VLOOKUP(H1725,Table7[#All], 2, FALSE)</f>
        <v>Massachusetts</v>
      </c>
      <c r="H1725" s="2" t="s">
        <v>14</v>
      </c>
      <c r="I1725" s="2" t="s">
        <v>22</v>
      </c>
      <c r="J1725" s="2" t="s">
        <v>31</v>
      </c>
      <c r="K1725" s="2" t="s">
        <v>8</v>
      </c>
      <c r="L1725" s="2" t="s">
        <v>9</v>
      </c>
      <c r="M1725" s="2" t="s">
        <v>10</v>
      </c>
      <c r="N1725" s="2" t="s">
        <v>11</v>
      </c>
      <c r="O1725" s="2" t="s">
        <v>12</v>
      </c>
      <c r="P1725" s="2" t="s">
        <v>54</v>
      </c>
      <c r="Q1725" s="2" t="s">
        <v>46</v>
      </c>
      <c r="R1725" s="2" t="s">
        <v>18</v>
      </c>
      <c r="S1725">
        <v>5</v>
      </c>
    </row>
    <row r="1726" spans="1:19" x14ac:dyDescent="0.3">
      <c r="A1726">
        <v>3730</v>
      </c>
      <c r="B1726">
        <f>YEAR(Cleaned_HR_Data_Analysis__2[[#This Row],[Joining_Date]])</f>
        <v>2022</v>
      </c>
      <c r="C1726" s="1">
        <v>44579</v>
      </c>
      <c r="D1726" s="1" t="str" cm="1">
        <f t="array" ref="D1726">_xlfn.IFS(E1726&lt;28, "17-27",
AND(E1726&gt;27, E1726&lt;38), "28-37",
AND(E1726&gt;37, E1726 &lt;48), "38-47",
AND(E1726&gt;47, E1726 &lt;58), "48-57",
AND(E1726&gt;57, E1726&lt;68), "58-67",
AND(E1726&gt;67, E1726&lt;78), "68-77",
E1726&gt;77,"Above than 77")</f>
        <v>48-57</v>
      </c>
      <c r="E1726">
        <v>57</v>
      </c>
      <c r="F1726" s="1">
        <v>24084</v>
      </c>
      <c r="G1726" s="1" t="str">
        <f>VLOOKUP(H1726,Table7[#All], 2, FALSE)</f>
        <v>Massachusetts</v>
      </c>
      <c r="H1726" s="2" t="s">
        <v>14</v>
      </c>
      <c r="I1726" s="2" t="s">
        <v>22</v>
      </c>
      <c r="J1726" s="2" t="s">
        <v>17</v>
      </c>
      <c r="K1726" s="2" t="s">
        <v>8</v>
      </c>
      <c r="L1726" s="2" t="s">
        <v>9</v>
      </c>
      <c r="M1726" s="2" t="s">
        <v>10</v>
      </c>
      <c r="N1726" s="2" t="s">
        <v>26</v>
      </c>
      <c r="O1726" s="2" t="s">
        <v>12</v>
      </c>
      <c r="P1726" s="2" t="s">
        <v>55</v>
      </c>
      <c r="Q1726" s="2" t="s">
        <v>37</v>
      </c>
      <c r="R1726" s="2" t="s">
        <v>18</v>
      </c>
      <c r="S1726">
        <v>5</v>
      </c>
    </row>
    <row r="1727" spans="1:19" x14ac:dyDescent="0.3">
      <c r="A1727">
        <v>3567</v>
      </c>
      <c r="B1727">
        <f>YEAR(Cleaned_HR_Data_Analysis__2[[#This Row],[Joining_Date]])</f>
        <v>2023</v>
      </c>
      <c r="C1727" s="1">
        <v>44989</v>
      </c>
      <c r="D1727" s="1" t="str" cm="1">
        <f t="array" ref="D1727">_xlfn.IFS(E1727&lt;28, "17-27",
AND(E1727&gt;27, E1727&lt;38), "28-37",
AND(E1727&gt;37, E1727 &lt;48), "38-47",
AND(E1727&gt;47, E1727 &lt;58), "48-57",
AND(E1727&gt;57, E1727&lt;68), "58-67",
AND(E1727&gt;67, E1727&lt;78), "68-77",
E1727&gt;77,"Above than 77")</f>
        <v>48-57</v>
      </c>
      <c r="E1727">
        <v>57</v>
      </c>
      <c r="F1727" s="1">
        <v>24352</v>
      </c>
      <c r="G1727" s="1" t="str">
        <f>VLOOKUP(H1727,Table7[#All], 2, FALSE)</f>
        <v>Massachusetts</v>
      </c>
      <c r="H1727" s="2" t="s">
        <v>14</v>
      </c>
      <c r="I1727" s="2" t="s">
        <v>22</v>
      </c>
      <c r="J1727" s="2" t="s">
        <v>17</v>
      </c>
      <c r="K1727" s="2" t="s">
        <v>8</v>
      </c>
      <c r="L1727" s="2" t="s">
        <v>9</v>
      </c>
      <c r="M1727" s="2" t="s">
        <v>25</v>
      </c>
      <c r="N1727" s="2" t="s">
        <v>11</v>
      </c>
      <c r="O1727" s="2" t="s">
        <v>12</v>
      </c>
      <c r="P1727" s="2" t="s">
        <v>28</v>
      </c>
      <c r="Q1727" s="2" t="s">
        <v>46</v>
      </c>
      <c r="R1727" s="2" t="s">
        <v>18</v>
      </c>
      <c r="S1727">
        <v>3</v>
      </c>
    </row>
    <row r="1728" spans="1:19" x14ac:dyDescent="0.3">
      <c r="A1728">
        <v>3151</v>
      </c>
      <c r="B1728">
        <f>YEAR(Cleaned_HR_Data_Analysis__2[[#This Row],[Joining_Date]])</f>
        <v>2022</v>
      </c>
      <c r="C1728" s="1">
        <v>44618</v>
      </c>
      <c r="D1728" s="1" t="str" cm="1">
        <f t="array" ref="D1728">_xlfn.IFS(E1728&lt;28, "17-27",
AND(E1728&gt;27, E1728&lt;38), "28-37",
AND(E1728&gt;37, E1728 &lt;48), "38-47",
AND(E1728&gt;47, E1728 &lt;58), "48-57",
AND(E1728&gt;57, E1728&lt;68), "58-67",
AND(E1728&gt;67, E1728&lt;78), "68-77",
E1728&gt;77,"Above than 77")</f>
        <v>48-57</v>
      </c>
      <c r="E1728">
        <v>57</v>
      </c>
      <c r="F1728" s="1">
        <v>24061</v>
      </c>
      <c r="G1728" s="1" t="str">
        <f>VLOOKUP(H1728,Table7[#All], 2, FALSE)</f>
        <v>Massachusetts</v>
      </c>
      <c r="H1728" s="2" t="s">
        <v>14</v>
      </c>
      <c r="I1728" s="2" t="s">
        <v>15</v>
      </c>
      <c r="J1728" s="2" t="s">
        <v>17</v>
      </c>
      <c r="K1728" s="2" t="s">
        <v>8</v>
      </c>
      <c r="L1728" s="2" t="s">
        <v>9</v>
      </c>
      <c r="M1728" s="2" t="s">
        <v>20</v>
      </c>
      <c r="N1728" s="2" t="s">
        <v>11</v>
      </c>
      <c r="O1728" s="2" t="s">
        <v>12</v>
      </c>
      <c r="P1728" s="2" t="s">
        <v>35</v>
      </c>
      <c r="Q1728" s="2" t="s">
        <v>16</v>
      </c>
      <c r="R1728" s="2" t="s">
        <v>41</v>
      </c>
      <c r="S1728">
        <v>3</v>
      </c>
    </row>
    <row r="1729" spans="1:19" x14ac:dyDescent="0.3">
      <c r="A1729">
        <v>3099</v>
      </c>
      <c r="B1729">
        <f>YEAR(Cleaned_HR_Data_Analysis__2[[#This Row],[Joining_Date]])</f>
        <v>2022</v>
      </c>
      <c r="C1729" s="1">
        <v>44912</v>
      </c>
      <c r="D1729" s="1" t="str" cm="1">
        <f t="array" ref="D1729">_xlfn.IFS(E1729&lt;28, "17-27",
AND(E1729&gt;27, E1729&lt;38), "28-37",
AND(E1729&gt;37, E1729 &lt;48), "38-47",
AND(E1729&gt;47, E1729 &lt;58), "48-57",
AND(E1729&gt;57, E1729&lt;68), "58-67",
AND(E1729&gt;67, E1729&lt;78), "68-77",
E1729&gt;77,"Above than 77")</f>
        <v>48-57</v>
      </c>
      <c r="E1729">
        <v>57</v>
      </c>
      <c r="F1729" s="1">
        <v>23987</v>
      </c>
      <c r="G1729" s="1" t="str">
        <f>VLOOKUP(H1729,Table7[#All], 2, FALSE)</f>
        <v>Massachusetts</v>
      </c>
      <c r="H1729" s="2" t="s">
        <v>14</v>
      </c>
      <c r="I1729" s="2" t="s">
        <v>22</v>
      </c>
      <c r="J1729" s="2" t="s">
        <v>40</v>
      </c>
      <c r="K1729" s="2" t="s">
        <v>8</v>
      </c>
      <c r="L1729" s="2" t="s">
        <v>9</v>
      </c>
      <c r="M1729" s="2" t="s">
        <v>25</v>
      </c>
      <c r="N1729" s="2" t="s">
        <v>19</v>
      </c>
      <c r="O1729" s="2" t="s">
        <v>12</v>
      </c>
      <c r="P1729" s="2" t="s">
        <v>55</v>
      </c>
      <c r="Q1729" s="2" t="s">
        <v>37</v>
      </c>
      <c r="R1729" s="2" t="s">
        <v>41</v>
      </c>
      <c r="S1729">
        <v>4</v>
      </c>
    </row>
    <row r="1730" spans="1:19" x14ac:dyDescent="0.3">
      <c r="A1730">
        <v>3089</v>
      </c>
      <c r="B1730">
        <f>YEAR(Cleaned_HR_Data_Analysis__2[[#This Row],[Joining_Date]])</f>
        <v>2020</v>
      </c>
      <c r="C1730" s="1">
        <v>43960</v>
      </c>
      <c r="D1730" s="1" t="str" cm="1">
        <f t="array" ref="D1730">_xlfn.IFS(E1730&lt;28, "17-27",
AND(E1730&gt;27, E1730&lt;38), "28-37",
AND(E1730&gt;37, E1730 &lt;48), "38-47",
AND(E1730&gt;47, E1730 &lt;58), "48-57",
AND(E1730&gt;57, E1730&lt;68), "58-67",
AND(E1730&gt;67, E1730&lt;78), "68-77",
E1730&gt;77,"Above than 77")</f>
        <v>48-57</v>
      </c>
      <c r="E1730">
        <v>57</v>
      </c>
      <c r="F1730" s="1">
        <v>23147</v>
      </c>
      <c r="G1730" s="1" t="str">
        <f>VLOOKUP(H1730,Table7[#All], 2, FALSE)</f>
        <v>Massachusetts</v>
      </c>
      <c r="H1730" s="2" t="s">
        <v>14</v>
      </c>
      <c r="I1730" s="2" t="s">
        <v>15</v>
      </c>
      <c r="J1730" s="2" t="s">
        <v>31</v>
      </c>
      <c r="K1730" s="2" t="s">
        <v>8</v>
      </c>
      <c r="L1730" s="2" t="s">
        <v>9</v>
      </c>
      <c r="M1730" s="2" t="s">
        <v>10</v>
      </c>
      <c r="N1730" s="2" t="s">
        <v>19</v>
      </c>
      <c r="O1730" s="2" t="s">
        <v>12</v>
      </c>
      <c r="P1730" s="2" t="s">
        <v>35</v>
      </c>
      <c r="Q1730" s="2" t="s">
        <v>37</v>
      </c>
      <c r="R1730" s="2" t="s">
        <v>18</v>
      </c>
      <c r="S1730">
        <v>3</v>
      </c>
    </row>
    <row r="1731" spans="1:19" x14ac:dyDescent="0.3">
      <c r="A1731">
        <v>3085</v>
      </c>
      <c r="B1731">
        <f>YEAR(Cleaned_HR_Data_Analysis__2[[#This Row],[Joining_Date]])</f>
        <v>2020</v>
      </c>
      <c r="C1731" s="1">
        <v>44072</v>
      </c>
      <c r="D1731" s="1" t="str" cm="1">
        <f t="array" ref="D1731">_xlfn.IFS(E1731&lt;28, "17-27",
AND(E1731&gt;27, E1731&lt;38), "28-37",
AND(E1731&gt;37, E1731 &lt;48), "38-47",
AND(E1731&gt;47, E1731 &lt;58), "48-57",
AND(E1731&gt;57, E1731&lt;68), "58-67",
AND(E1731&gt;67, E1731&lt;78), "68-77",
E1731&gt;77,"Above than 77")</f>
        <v>48-57</v>
      </c>
      <c r="E1731">
        <v>57</v>
      </c>
      <c r="F1731" s="1">
        <v>23074</v>
      </c>
      <c r="G1731" s="1" t="str">
        <f>VLOOKUP(H1731,Table7[#All], 2, FALSE)</f>
        <v>Massachusetts</v>
      </c>
      <c r="H1731" s="2" t="s">
        <v>14</v>
      </c>
      <c r="I1731" s="2" t="s">
        <v>15</v>
      </c>
      <c r="J1731" s="2" t="s">
        <v>31</v>
      </c>
      <c r="K1731" s="2" t="s">
        <v>8</v>
      </c>
      <c r="L1731" s="2" t="s">
        <v>9</v>
      </c>
      <c r="M1731" s="2" t="s">
        <v>25</v>
      </c>
      <c r="N1731" s="2" t="s">
        <v>11</v>
      </c>
      <c r="O1731" s="2" t="s">
        <v>12</v>
      </c>
      <c r="P1731" s="2" t="s">
        <v>35</v>
      </c>
      <c r="Q1731" s="2" t="s">
        <v>46</v>
      </c>
      <c r="R1731" s="2" t="s">
        <v>18</v>
      </c>
      <c r="S1731">
        <v>3</v>
      </c>
    </row>
    <row r="1732" spans="1:19" x14ac:dyDescent="0.3">
      <c r="A1732">
        <v>2797</v>
      </c>
      <c r="B1732">
        <f>YEAR(Cleaned_HR_Data_Analysis__2[[#This Row],[Joining_Date]])</f>
        <v>2021</v>
      </c>
      <c r="C1732" s="1">
        <v>44346</v>
      </c>
      <c r="D1732" s="1" t="str" cm="1">
        <f t="array" ref="D1732">_xlfn.IFS(E1732&lt;28, "17-27",
AND(E1732&gt;27, E1732&lt;38), "28-37",
AND(E1732&gt;37, E1732 &lt;48), "38-47",
AND(E1732&gt;47, E1732 &lt;58), "48-57",
AND(E1732&gt;57, E1732&lt;68), "58-67",
AND(E1732&gt;67, E1732&lt;78), "68-77",
E1732&gt;77,"Above than 77")</f>
        <v>48-57</v>
      </c>
      <c r="E1732">
        <v>57</v>
      </c>
      <c r="F1732" s="1">
        <v>23694</v>
      </c>
      <c r="G1732" s="1" t="str">
        <f>VLOOKUP(H1732,Table7[#All], 2, FALSE)</f>
        <v>Massachusetts</v>
      </c>
      <c r="H1732" s="2" t="s">
        <v>14</v>
      </c>
      <c r="I1732" s="2" t="s">
        <v>22</v>
      </c>
      <c r="J1732" s="2" t="s">
        <v>34</v>
      </c>
      <c r="K1732" s="2" t="s">
        <v>8</v>
      </c>
      <c r="L1732" s="2" t="s">
        <v>9</v>
      </c>
      <c r="M1732" s="2" t="s">
        <v>10</v>
      </c>
      <c r="N1732" s="2" t="s">
        <v>19</v>
      </c>
      <c r="O1732" s="2" t="s">
        <v>12</v>
      </c>
      <c r="P1732" s="2" t="s">
        <v>21</v>
      </c>
      <c r="Q1732" s="2" t="s">
        <v>30</v>
      </c>
      <c r="R1732" s="2" t="s">
        <v>41</v>
      </c>
      <c r="S1732">
        <v>1</v>
      </c>
    </row>
    <row r="1733" spans="1:19" x14ac:dyDescent="0.3">
      <c r="A1733">
        <v>2775</v>
      </c>
      <c r="B1733">
        <f>YEAR(Cleaned_HR_Data_Analysis__2[[#This Row],[Joining_Date]])</f>
        <v>2023</v>
      </c>
      <c r="C1733" s="1">
        <v>44933</v>
      </c>
      <c r="D1733" s="1" t="str" cm="1">
        <f t="array" ref="D1733">_xlfn.IFS(E1733&lt;28, "17-27",
AND(E1733&gt;27, E1733&lt;38), "28-37",
AND(E1733&gt;37, E1733 &lt;48), "38-47",
AND(E1733&gt;47, E1733 &lt;58), "48-57",
AND(E1733&gt;57, E1733&lt;68), "58-67",
AND(E1733&gt;67, E1733&lt;78), "68-77",
E1733&gt;77,"Above than 77")</f>
        <v>48-57</v>
      </c>
      <c r="E1733">
        <v>57</v>
      </c>
      <c r="F1733" s="1">
        <v>24157</v>
      </c>
      <c r="G1733" s="1" t="str">
        <f>VLOOKUP(H1733,Table7[#All], 2, FALSE)</f>
        <v>Massachusetts</v>
      </c>
      <c r="H1733" s="2" t="s">
        <v>14</v>
      </c>
      <c r="I1733" s="2" t="s">
        <v>15</v>
      </c>
      <c r="J1733" s="2" t="s">
        <v>31</v>
      </c>
      <c r="K1733" s="2" t="s">
        <v>8</v>
      </c>
      <c r="L1733" s="2" t="s">
        <v>9</v>
      </c>
      <c r="M1733" s="2" t="s">
        <v>20</v>
      </c>
      <c r="N1733" s="2" t="s">
        <v>26</v>
      </c>
      <c r="O1733" s="2" t="s">
        <v>12</v>
      </c>
      <c r="P1733" s="2" t="s">
        <v>35</v>
      </c>
      <c r="Q1733" s="2" t="s">
        <v>16</v>
      </c>
      <c r="R1733" s="2" t="s">
        <v>18</v>
      </c>
      <c r="S1733">
        <v>4</v>
      </c>
    </row>
    <row r="1734" spans="1:19" x14ac:dyDescent="0.3">
      <c r="A1734">
        <v>2106</v>
      </c>
      <c r="B1734">
        <f>YEAR(Cleaned_HR_Data_Analysis__2[[#This Row],[Joining_Date]])</f>
        <v>2019</v>
      </c>
      <c r="C1734" s="1">
        <v>43569</v>
      </c>
      <c r="D1734" s="1" t="str" cm="1">
        <f t="array" ref="D1734">_xlfn.IFS(E1734&lt;28, "17-27",
AND(E1734&gt;27, E1734&lt;38), "28-37",
AND(E1734&gt;37, E1734 &lt;48), "38-47",
AND(E1734&gt;47, E1734 &lt;58), "48-57",
AND(E1734&gt;57, E1734&lt;68), "58-67",
AND(E1734&gt;67, E1734&lt;78), "68-77",
E1734&gt;77,"Above than 77")</f>
        <v>48-57</v>
      </c>
      <c r="E1734">
        <v>57</v>
      </c>
      <c r="F1734" s="1">
        <v>22964</v>
      </c>
      <c r="G1734" s="1" t="str">
        <f>VLOOKUP(H1734,Table7[#All], 2, FALSE)</f>
        <v>Massachusetts</v>
      </c>
      <c r="H1734" s="2" t="s">
        <v>14</v>
      </c>
      <c r="I1734" s="2" t="s">
        <v>22</v>
      </c>
      <c r="J1734" s="2" t="s">
        <v>17</v>
      </c>
      <c r="K1734" s="2" t="s">
        <v>8</v>
      </c>
      <c r="L1734" s="2" t="s">
        <v>9</v>
      </c>
      <c r="M1734" s="2" t="s">
        <v>10</v>
      </c>
      <c r="N1734" s="2" t="s">
        <v>11</v>
      </c>
      <c r="O1734" s="2" t="s">
        <v>12</v>
      </c>
      <c r="P1734" s="2" t="s">
        <v>59</v>
      </c>
      <c r="Q1734" s="2" t="s">
        <v>16</v>
      </c>
      <c r="R1734" s="2" t="s">
        <v>41</v>
      </c>
      <c r="S1734">
        <v>5</v>
      </c>
    </row>
    <row r="1735" spans="1:19" x14ac:dyDescent="0.3">
      <c r="A1735">
        <v>2102</v>
      </c>
      <c r="B1735">
        <f>YEAR(Cleaned_HR_Data_Analysis__2[[#This Row],[Joining_Date]])</f>
        <v>2023</v>
      </c>
      <c r="C1735" s="1">
        <v>45009</v>
      </c>
      <c r="D1735" s="1" t="str" cm="1">
        <f t="array" ref="D1735">_xlfn.IFS(E1735&lt;28, "17-27",
AND(E1735&gt;27, E1735&lt;38), "28-37",
AND(E1735&gt;37, E1735 &lt;48), "38-47",
AND(E1735&gt;47, E1735 &lt;58), "48-57",
AND(E1735&gt;57, E1735&lt;68), "58-67",
AND(E1735&gt;67, E1735&lt;78), "68-77",
E1735&gt;77,"Above than 77")</f>
        <v>48-57</v>
      </c>
      <c r="E1735">
        <v>57</v>
      </c>
      <c r="F1735" s="1">
        <v>24130</v>
      </c>
      <c r="G1735" s="1" t="str">
        <f>VLOOKUP(H1735,Table7[#All], 2, FALSE)</f>
        <v>Massachusetts</v>
      </c>
      <c r="H1735" s="2" t="s">
        <v>14</v>
      </c>
      <c r="I1735" s="2" t="s">
        <v>15</v>
      </c>
      <c r="J1735" s="2" t="s">
        <v>31</v>
      </c>
      <c r="K1735" s="2" t="s">
        <v>8</v>
      </c>
      <c r="L1735" s="2" t="s">
        <v>9</v>
      </c>
      <c r="M1735" s="2" t="s">
        <v>20</v>
      </c>
      <c r="N1735" s="2" t="s">
        <v>26</v>
      </c>
      <c r="O1735" s="2" t="s">
        <v>12</v>
      </c>
      <c r="P1735" s="2" t="s">
        <v>35</v>
      </c>
      <c r="Q1735" s="2" t="s">
        <v>46</v>
      </c>
      <c r="R1735" s="2" t="s">
        <v>41</v>
      </c>
      <c r="S1735">
        <v>1</v>
      </c>
    </row>
    <row r="1736" spans="1:19" x14ac:dyDescent="0.3">
      <c r="A1736">
        <v>2057</v>
      </c>
      <c r="B1736">
        <f>YEAR(Cleaned_HR_Data_Analysis__2[[#This Row],[Joining_Date]])</f>
        <v>2021</v>
      </c>
      <c r="C1736" s="1">
        <v>44301</v>
      </c>
      <c r="D1736" s="1" t="str" cm="1">
        <f t="array" ref="D1736">_xlfn.IFS(E1736&lt;28, "17-27",
AND(E1736&gt;27, E1736&lt;38), "28-37",
AND(E1736&gt;37, E1736 &lt;48), "38-47",
AND(E1736&gt;47, E1736 &lt;58), "48-57",
AND(E1736&gt;57, E1736&lt;68), "58-67",
AND(E1736&gt;67, E1736&lt;78), "68-77",
E1736&gt;77,"Above than 77")</f>
        <v>48-57</v>
      </c>
      <c r="E1736">
        <v>57</v>
      </c>
      <c r="F1736" s="1">
        <v>23725</v>
      </c>
      <c r="G1736" s="1" t="str">
        <f>VLOOKUP(H1736,Table7[#All], 2, FALSE)</f>
        <v>Massachusetts</v>
      </c>
      <c r="H1736" s="2" t="s">
        <v>14</v>
      </c>
      <c r="I1736" s="2" t="s">
        <v>22</v>
      </c>
      <c r="J1736" s="2" t="s">
        <v>34</v>
      </c>
      <c r="K1736" s="2" t="s">
        <v>8</v>
      </c>
      <c r="L1736" s="2" t="s">
        <v>9</v>
      </c>
      <c r="M1736" s="2" t="s">
        <v>10</v>
      </c>
      <c r="N1736" s="2" t="s">
        <v>11</v>
      </c>
      <c r="O1736" s="2" t="s">
        <v>12</v>
      </c>
      <c r="P1736" s="2" t="s">
        <v>35</v>
      </c>
      <c r="Q1736" s="2" t="s">
        <v>23</v>
      </c>
      <c r="R1736" s="2" t="s">
        <v>18</v>
      </c>
      <c r="S1736">
        <v>1</v>
      </c>
    </row>
    <row r="1737" spans="1:19" x14ac:dyDescent="0.3">
      <c r="A1737">
        <v>1923</v>
      </c>
      <c r="B1737">
        <f>YEAR(Cleaned_HR_Data_Analysis__2[[#This Row],[Joining_Date]])</f>
        <v>2023</v>
      </c>
      <c r="C1737" s="1">
        <v>45016</v>
      </c>
      <c r="D1737" s="1" t="str" cm="1">
        <f t="array" ref="D1737">_xlfn.IFS(E1737&lt;28, "17-27",
AND(E1737&gt;27, E1737&lt;38), "28-37",
AND(E1737&gt;37, E1737 &lt;48), "38-47",
AND(E1737&gt;47, E1737 &lt;58), "48-57",
AND(E1737&gt;57, E1737&lt;68), "58-67",
AND(E1737&gt;67, E1737&lt;78), "68-77",
E1737&gt;77,"Above than 77")</f>
        <v>48-57</v>
      </c>
      <c r="E1737">
        <v>57</v>
      </c>
      <c r="F1737" s="1">
        <v>24416</v>
      </c>
      <c r="G1737" s="1" t="str">
        <f>VLOOKUP(H1737,Table7[#All], 2, FALSE)</f>
        <v>Massachusetts</v>
      </c>
      <c r="H1737" s="2" t="s">
        <v>14</v>
      </c>
      <c r="I1737" s="2" t="s">
        <v>15</v>
      </c>
      <c r="J1737" s="2" t="s">
        <v>17</v>
      </c>
      <c r="K1737" s="2" t="s">
        <v>8</v>
      </c>
      <c r="L1737" s="2" t="s">
        <v>9</v>
      </c>
      <c r="M1737" s="2" t="s">
        <v>25</v>
      </c>
      <c r="N1737" s="2" t="s">
        <v>26</v>
      </c>
      <c r="O1737" s="2" t="s">
        <v>12</v>
      </c>
      <c r="P1737" s="2" t="s">
        <v>62</v>
      </c>
      <c r="Q1737" s="2" t="s">
        <v>30</v>
      </c>
      <c r="R1737" s="2" t="s">
        <v>18</v>
      </c>
      <c r="S1737">
        <v>4</v>
      </c>
    </row>
    <row r="1738" spans="1:19" x14ac:dyDescent="0.3">
      <c r="A1738">
        <v>1777</v>
      </c>
      <c r="B1738">
        <f>YEAR(Cleaned_HR_Data_Analysis__2[[#This Row],[Joining_Date]])</f>
        <v>2019</v>
      </c>
      <c r="C1738" s="1">
        <v>43651</v>
      </c>
      <c r="D1738" s="1" t="str" cm="1">
        <f t="array" ref="D1738">_xlfn.IFS(E1738&lt;28, "17-27",
AND(E1738&gt;27, E1738&lt;38), "28-37",
AND(E1738&gt;37, E1738 &lt;48), "38-47",
AND(E1738&gt;47, E1738 &lt;58), "48-57",
AND(E1738&gt;57, E1738&lt;68), "58-67",
AND(E1738&gt;67, E1738&lt;78), "68-77",
E1738&gt;77,"Above than 77")</f>
        <v>48-57</v>
      </c>
      <c r="E1738">
        <v>57</v>
      </c>
      <c r="F1738" s="1">
        <v>22761</v>
      </c>
      <c r="G1738" s="1" t="str">
        <f>VLOOKUP(H1738,Table7[#All], 2, FALSE)</f>
        <v>Massachusetts</v>
      </c>
      <c r="H1738" s="2" t="s">
        <v>14</v>
      </c>
      <c r="I1738" s="2" t="s">
        <v>15</v>
      </c>
      <c r="J1738" s="2" t="s">
        <v>31</v>
      </c>
      <c r="K1738" s="2" t="s">
        <v>8</v>
      </c>
      <c r="L1738" s="2" t="s">
        <v>9</v>
      </c>
      <c r="M1738" s="2" t="s">
        <v>25</v>
      </c>
      <c r="N1738" s="2" t="s">
        <v>26</v>
      </c>
      <c r="O1738" s="2" t="s">
        <v>12</v>
      </c>
      <c r="P1738" s="2" t="s">
        <v>49</v>
      </c>
      <c r="Q1738" s="2" t="s">
        <v>23</v>
      </c>
      <c r="R1738" s="2" t="s">
        <v>18</v>
      </c>
      <c r="S1738">
        <v>3</v>
      </c>
    </row>
    <row r="1739" spans="1:19" x14ac:dyDescent="0.3">
      <c r="A1739">
        <v>1740</v>
      </c>
      <c r="B1739">
        <f>YEAR(Cleaned_HR_Data_Analysis__2[[#This Row],[Joining_Date]])</f>
        <v>2020</v>
      </c>
      <c r="C1739" s="1">
        <v>43907</v>
      </c>
      <c r="D1739" s="1" t="str" cm="1">
        <f t="array" ref="D1739">_xlfn.IFS(E1739&lt;28, "17-27",
AND(E1739&gt;27, E1739&lt;38), "28-37",
AND(E1739&gt;37, E1739 &lt;48), "38-47",
AND(E1739&gt;47, E1739 &lt;58), "48-57",
AND(E1739&gt;57, E1739&lt;68), "58-67",
AND(E1739&gt;67, E1739&lt;78), "68-77",
E1739&gt;77,"Above than 77")</f>
        <v>48-57</v>
      </c>
      <c r="E1739">
        <v>57</v>
      </c>
      <c r="F1739" s="1">
        <v>23104</v>
      </c>
      <c r="G1739" s="1" t="str">
        <f>VLOOKUP(H1739,Table7[#All], 2, FALSE)</f>
        <v>Massachusetts</v>
      </c>
      <c r="H1739" s="2" t="s">
        <v>14</v>
      </c>
      <c r="I1739" s="2" t="s">
        <v>15</v>
      </c>
      <c r="J1739" s="2" t="s">
        <v>34</v>
      </c>
      <c r="K1739" s="2" t="s">
        <v>8</v>
      </c>
      <c r="L1739" s="2" t="s">
        <v>9</v>
      </c>
      <c r="M1739" s="2" t="s">
        <v>10</v>
      </c>
      <c r="N1739" s="2" t="s">
        <v>26</v>
      </c>
      <c r="O1739" s="2" t="s">
        <v>12</v>
      </c>
      <c r="P1739" s="2" t="s">
        <v>32</v>
      </c>
      <c r="Q1739" s="2" t="s">
        <v>30</v>
      </c>
      <c r="R1739" s="2" t="s">
        <v>18</v>
      </c>
      <c r="S1739">
        <v>4</v>
      </c>
    </row>
    <row r="1740" spans="1:19" x14ac:dyDescent="0.3">
      <c r="A1740">
        <v>1550</v>
      </c>
      <c r="B1740">
        <f>YEAR(Cleaned_HR_Data_Analysis__2[[#This Row],[Joining_Date]])</f>
        <v>2018</v>
      </c>
      <c r="C1740" s="1">
        <v>43362</v>
      </c>
      <c r="D1740" s="1" t="str" cm="1">
        <f t="array" ref="D1740">_xlfn.IFS(E1740&lt;28, "17-27",
AND(E1740&gt;27, E1740&lt;38), "28-37",
AND(E1740&gt;37, E1740 &lt;48), "38-47",
AND(E1740&gt;47, E1740 &lt;58), "48-57",
AND(E1740&gt;57, E1740&lt;68), "58-67",
AND(E1740&gt;67, E1740&lt;78), "68-77",
E1740&gt;77,"Above than 77")</f>
        <v>48-57</v>
      </c>
      <c r="E1740">
        <v>57</v>
      </c>
      <c r="F1740" s="1">
        <v>22508</v>
      </c>
      <c r="G1740" s="1" t="str">
        <f>VLOOKUP(H1740,Table7[#All], 2, FALSE)</f>
        <v>Massachusetts</v>
      </c>
      <c r="H1740" s="2" t="s">
        <v>14</v>
      </c>
      <c r="I1740" s="2" t="s">
        <v>15</v>
      </c>
      <c r="J1740" s="2" t="s">
        <v>17</v>
      </c>
      <c r="K1740" s="2" t="s">
        <v>8</v>
      </c>
      <c r="L1740" s="2" t="s">
        <v>9</v>
      </c>
      <c r="M1740" s="2" t="s">
        <v>25</v>
      </c>
      <c r="N1740" s="2" t="s">
        <v>19</v>
      </c>
      <c r="O1740" s="2" t="s">
        <v>12</v>
      </c>
      <c r="P1740" s="2" t="s">
        <v>35</v>
      </c>
      <c r="Q1740" s="2" t="s">
        <v>37</v>
      </c>
      <c r="R1740" s="2" t="s">
        <v>18</v>
      </c>
      <c r="S1740">
        <v>3</v>
      </c>
    </row>
    <row r="1741" spans="1:19" x14ac:dyDescent="0.3">
      <c r="A1741">
        <v>1269</v>
      </c>
      <c r="B1741">
        <f>YEAR(Cleaned_HR_Data_Analysis__2[[#This Row],[Joining_Date]])</f>
        <v>2022</v>
      </c>
      <c r="C1741" s="1">
        <v>44796</v>
      </c>
      <c r="D1741" s="1" t="str" cm="1">
        <f t="array" ref="D1741">_xlfn.IFS(E1741&lt;28, "17-27",
AND(E1741&gt;27, E1741&lt;38), "28-37",
AND(E1741&gt;37, E1741 &lt;48), "38-47",
AND(E1741&gt;47, E1741 &lt;58), "48-57",
AND(E1741&gt;57, E1741&lt;68), "58-67",
AND(E1741&gt;67, E1741&lt;78), "68-77",
E1741&gt;77,"Above than 77")</f>
        <v>48-57</v>
      </c>
      <c r="E1741">
        <v>57</v>
      </c>
      <c r="F1741" s="1">
        <v>23860</v>
      </c>
      <c r="G1741" s="1" t="str">
        <f>VLOOKUP(H1741,Table7[#All], 2, FALSE)</f>
        <v>Massachusetts</v>
      </c>
      <c r="H1741" s="2" t="s">
        <v>14</v>
      </c>
      <c r="I1741" s="2" t="s">
        <v>15</v>
      </c>
      <c r="J1741" s="2" t="s">
        <v>40</v>
      </c>
      <c r="K1741" s="2" t="s">
        <v>8</v>
      </c>
      <c r="L1741" s="2" t="s">
        <v>9</v>
      </c>
      <c r="M1741" s="2" t="s">
        <v>10</v>
      </c>
      <c r="N1741" s="2" t="s">
        <v>19</v>
      </c>
      <c r="O1741" s="2" t="s">
        <v>12</v>
      </c>
      <c r="P1741" s="2" t="s">
        <v>63</v>
      </c>
      <c r="Q1741" s="2" t="s">
        <v>37</v>
      </c>
      <c r="R1741" s="2" t="s">
        <v>18</v>
      </c>
      <c r="S1741">
        <v>2</v>
      </c>
    </row>
    <row r="1742" spans="1:19" x14ac:dyDescent="0.3">
      <c r="A1742">
        <v>1224</v>
      </c>
      <c r="B1742">
        <f>YEAR(Cleaned_HR_Data_Analysis__2[[#This Row],[Joining_Date]])</f>
        <v>2021</v>
      </c>
      <c r="C1742" s="1">
        <v>44526</v>
      </c>
      <c r="D1742" s="1" t="str" cm="1">
        <f t="array" ref="D1742">_xlfn.IFS(E1742&lt;28, "17-27",
AND(E1742&gt;27, E1742&lt;38), "28-37",
AND(E1742&gt;37, E1742 &lt;48), "38-47",
AND(E1742&gt;47, E1742 &lt;58), "48-57",
AND(E1742&gt;57, E1742&lt;68), "58-67",
AND(E1742&gt;67, E1742&lt;78), "68-77",
E1742&gt;77,"Above than 77")</f>
        <v>48-57</v>
      </c>
      <c r="E1742">
        <v>57</v>
      </c>
      <c r="F1742" s="1">
        <v>23647</v>
      </c>
      <c r="G1742" s="1" t="str">
        <f>VLOOKUP(H1742,Table7[#All], 2, FALSE)</f>
        <v>Massachusetts</v>
      </c>
      <c r="H1742" s="2" t="s">
        <v>14</v>
      </c>
      <c r="I1742" s="2" t="s">
        <v>22</v>
      </c>
      <c r="J1742" s="2" t="s">
        <v>34</v>
      </c>
      <c r="K1742" s="2" t="s">
        <v>8</v>
      </c>
      <c r="L1742" s="2" t="s">
        <v>66</v>
      </c>
      <c r="M1742" s="2" t="s">
        <v>20</v>
      </c>
      <c r="N1742" s="2" t="s">
        <v>26</v>
      </c>
      <c r="O1742" s="2" t="s">
        <v>12</v>
      </c>
      <c r="P1742" s="2" t="s">
        <v>59</v>
      </c>
      <c r="Q1742" s="2" t="s">
        <v>23</v>
      </c>
      <c r="R1742" s="2" t="s">
        <v>18</v>
      </c>
      <c r="S1742">
        <v>2</v>
      </c>
    </row>
    <row r="1743" spans="1:19" x14ac:dyDescent="0.3">
      <c r="A1743">
        <v>1135</v>
      </c>
      <c r="B1743">
        <f>YEAR(Cleaned_HR_Data_Analysis__2[[#This Row],[Joining_Date]])</f>
        <v>2021</v>
      </c>
      <c r="C1743" s="1">
        <v>44496</v>
      </c>
      <c r="D1743" s="1" t="str" cm="1">
        <f t="array" ref="D1743">_xlfn.IFS(E1743&lt;28, "17-27",
AND(E1743&gt;27, E1743&lt;38), "28-37",
AND(E1743&gt;37, E1743 &lt;48), "38-47",
AND(E1743&gt;47, E1743 &lt;58), "48-57",
AND(E1743&gt;57, E1743&lt;68), "58-67",
AND(E1743&gt;67, E1743&lt;78), "68-77",
E1743&gt;77,"Above than 77")</f>
        <v>48-57</v>
      </c>
      <c r="E1743">
        <v>57</v>
      </c>
      <c r="F1743" s="1">
        <v>23619</v>
      </c>
      <c r="G1743" s="1" t="str">
        <f>VLOOKUP(H1743,Table7[#All], 2, FALSE)</f>
        <v>Massachusetts</v>
      </c>
      <c r="H1743" s="2" t="s">
        <v>14</v>
      </c>
      <c r="I1743" s="2" t="s">
        <v>22</v>
      </c>
      <c r="J1743" s="2" t="s">
        <v>17</v>
      </c>
      <c r="K1743" s="2" t="s">
        <v>8</v>
      </c>
      <c r="L1743" s="2" t="s">
        <v>9</v>
      </c>
      <c r="M1743" s="2" t="s">
        <v>25</v>
      </c>
      <c r="N1743" s="2" t="s">
        <v>19</v>
      </c>
      <c r="O1743" s="2" t="s">
        <v>12</v>
      </c>
      <c r="P1743" s="2" t="s">
        <v>42</v>
      </c>
      <c r="Q1743" s="2" t="s">
        <v>30</v>
      </c>
      <c r="R1743" s="2" t="s">
        <v>18</v>
      </c>
      <c r="S1743">
        <v>4</v>
      </c>
    </row>
    <row r="1744" spans="1:19" x14ac:dyDescent="0.3">
      <c r="A1744">
        <v>2457</v>
      </c>
      <c r="B1744">
        <f>YEAR(Cleaned_HR_Data_Analysis__2[[#This Row],[Joining_Date]])</f>
        <v>2018</v>
      </c>
      <c r="C1744" s="1">
        <v>43336</v>
      </c>
      <c r="D1744" s="1" t="str" cm="1">
        <f t="array" ref="D1744">_xlfn.IFS(E1744&lt;28, "17-27",
AND(E1744&gt;27, E1744&lt;38), "28-37",
AND(E1744&gt;37, E1744 &lt;48), "38-47",
AND(E1744&gt;47, E1744 &lt;58), "48-57",
AND(E1744&gt;57, E1744&lt;68), "58-67",
AND(E1744&gt;67, E1744&lt;78), "68-77",
E1744&gt;77,"Above than 77")</f>
        <v>48-57</v>
      </c>
      <c r="E1744">
        <v>57</v>
      </c>
      <c r="F1744" s="1">
        <v>22385</v>
      </c>
      <c r="G1744" s="1" t="str">
        <f>VLOOKUP(H1744,Table7[#All], 2, FALSE)</f>
        <v>Massachusetts</v>
      </c>
      <c r="H1744" s="2" t="s">
        <v>14</v>
      </c>
      <c r="I1744" s="2" t="s">
        <v>22</v>
      </c>
      <c r="J1744" s="2" t="s">
        <v>31</v>
      </c>
      <c r="K1744" s="2" t="s">
        <v>91</v>
      </c>
      <c r="L1744" s="2" t="s">
        <v>9</v>
      </c>
      <c r="M1744" s="2" t="s">
        <v>20</v>
      </c>
      <c r="N1744" s="2" t="s">
        <v>19</v>
      </c>
      <c r="O1744" s="2" t="s">
        <v>12</v>
      </c>
      <c r="P1744" s="2" t="s">
        <v>35</v>
      </c>
      <c r="Q1744" s="2" t="s">
        <v>23</v>
      </c>
      <c r="R1744" s="2" t="s">
        <v>18</v>
      </c>
      <c r="S1744">
        <v>2</v>
      </c>
    </row>
    <row r="1745" spans="1:19" x14ac:dyDescent="0.3">
      <c r="A1745">
        <v>2400</v>
      </c>
      <c r="B1745">
        <f>YEAR(Cleaned_HR_Data_Analysis__2[[#This Row],[Joining_Date]])</f>
        <v>2018</v>
      </c>
      <c r="C1745" s="1">
        <v>43407</v>
      </c>
      <c r="D1745" s="1" t="str" cm="1">
        <f t="array" ref="D1745">_xlfn.IFS(E1745&lt;28, "17-27",
AND(E1745&gt;27, E1745&lt;38), "28-37",
AND(E1745&gt;37, E1745 &lt;48), "38-47",
AND(E1745&gt;47, E1745 &lt;58), "48-57",
AND(E1745&gt;57, E1745&lt;68), "58-67",
AND(E1745&gt;67, E1745&lt;78), "68-77",
E1745&gt;77,"Above than 77")</f>
        <v>48-57</v>
      </c>
      <c r="E1745">
        <v>57</v>
      </c>
      <c r="F1745" s="1">
        <v>22444</v>
      </c>
      <c r="G1745" s="1" t="str">
        <f>VLOOKUP(H1745,Table7[#All], 2, FALSE)</f>
        <v>Massachusetts</v>
      </c>
      <c r="H1745" s="2" t="s">
        <v>14</v>
      </c>
      <c r="I1745" s="2" t="s">
        <v>22</v>
      </c>
      <c r="J1745" s="2" t="s">
        <v>34</v>
      </c>
      <c r="K1745" s="2" t="s">
        <v>91</v>
      </c>
      <c r="L1745" s="2" t="s">
        <v>9</v>
      </c>
      <c r="M1745" s="2" t="s">
        <v>10</v>
      </c>
      <c r="N1745" s="2" t="s">
        <v>19</v>
      </c>
      <c r="O1745" s="2" t="s">
        <v>12</v>
      </c>
      <c r="P1745" s="2" t="s">
        <v>28</v>
      </c>
      <c r="Q1745" s="2" t="s">
        <v>37</v>
      </c>
      <c r="R1745" s="2" t="s">
        <v>18</v>
      </c>
      <c r="S1745">
        <v>4</v>
      </c>
    </row>
    <row r="1746" spans="1:19" x14ac:dyDescent="0.3">
      <c r="A1746">
        <v>2292</v>
      </c>
      <c r="B1746">
        <f>YEAR(Cleaned_HR_Data_Analysis__2[[#This Row],[Joining_Date]])</f>
        <v>2020</v>
      </c>
      <c r="C1746" s="1">
        <v>43841</v>
      </c>
      <c r="D1746" s="1" t="str" cm="1">
        <f t="array" ref="D1746">_xlfn.IFS(E1746&lt;28, "17-27",
AND(E1746&gt;27, E1746&lt;38), "28-37",
AND(E1746&gt;37, E1746 &lt;48), "38-47",
AND(E1746&gt;47, E1746 &lt;58), "48-57",
AND(E1746&gt;57, E1746&lt;68), "58-67",
AND(E1746&gt;67, E1746&lt;78), "68-77",
E1746&gt;77,"Above than 77")</f>
        <v>48-57</v>
      </c>
      <c r="E1746">
        <v>57</v>
      </c>
      <c r="F1746" s="1">
        <v>23108</v>
      </c>
      <c r="G1746" s="1" t="str">
        <f>VLOOKUP(H1746,Table7[#All], 2, FALSE)</f>
        <v>Massachusetts</v>
      </c>
      <c r="H1746" s="2" t="s">
        <v>14</v>
      </c>
      <c r="I1746" s="2" t="s">
        <v>22</v>
      </c>
      <c r="J1746" s="2" t="s">
        <v>17</v>
      </c>
      <c r="K1746" s="2" t="s">
        <v>91</v>
      </c>
      <c r="L1746" s="2" t="s">
        <v>9</v>
      </c>
      <c r="M1746" s="2" t="s">
        <v>10</v>
      </c>
      <c r="N1746" s="2" t="s">
        <v>11</v>
      </c>
      <c r="O1746" s="2" t="s">
        <v>12</v>
      </c>
      <c r="P1746" s="2" t="s">
        <v>21</v>
      </c>
      <c r="Q1746" s="2" t="s">
        <v>16</v>
      </c>
      <c r="R1746" s="2" t="s">
        <v>18</v>
      </c>
      <c r="S1746">
        <v>1</v>
      </c>
    </row>
    <row r="1747" spans="1:19" x14ac:dyDescent="0.3">
      <c r="A1747">
        <v>1123</v>
      </c>
      <c r="B1747">
        <f>YEAR(Cleaned_HR_Data_Analysis__2[[#This Row],[Joining_Date]])</f>
        <v>2022</v>
      </c>
      <c r="C1747" s="1">
        <v>44684</v>
      </c>
      <c r="D1747" s="1" t="str" cm="1">
        <f t="array" ref="D1747">_xlfn.IFS(E1747&lt;28, "17-27",
AND(E1747&gt;27, E1747&lt;38), "28-37",
AND(E1747&gt;37, E1747 &lt;48), "38-47",
AND(E1747&gt;47, E1747 &lt;58), "48-57",
AND(E1747&gt;57, E1747&lt;68), "58-67",
AND(E1747&gt;67, E1747&lt;78), "68-77",
E1747&gt;77,"Above than 77")</f>
        <v>48-57</v>
      </c>
      <c r="E1747">
        <v>57</v>
      </c>
      <c r="F1747" s="1">
        <v>24052</v>
      </c>
      <c r="G1747" s="1" t="str">
        <f>VLOOKUP(H1747,Table7[#All], 2, FALSE)</f>
        <v>Massachusetts</v>
      </c>
      <c r="H1747" s="2" t="s">
        <v>14</v>
      </c>
      <c r="I1747" s="2" t="s">
        <v>15</v>
      </c>
      <c r="J1747" s="2" t="s">
        <v>34</v>
      </c>
      <c r="K1747" s="2" t="s">
        <v>91</v>
      </c>
      <c r="L1747" s="2" t="s">
        <v>9</v>
      </c>
      <c r="M1747" s="2" t="s">
        <v>25</v>
      </c>
      <c r="N1747" s="2" t="s">
        <v>26</v>
      </c>
      <c r="O1747" s="2" t="s">
        <v>12</v>
      </c>
      <c r="P1747" s="2" t="s">
        <v>35</v>
      </c>
      <c r="Q1747" s="2" t="s">
        <v>30</v>
      </c>
      <c r="R1747" s="2" t="s">
        <v>18</v>
      </c>
      <c r="S1747">
        <v>3</v>
      </c>
    </row>
    <row r="1748" spans="1:19" x14ac:dyDescent="0.3">
      <c r="A1748">
        <v>3865</v>
      </c>
      <c r="B1748">
        <f>YEAR(Cleaned_HR_Data_Analysis__2[[#This Row],[Joining_Date]])</f>
        <v>2020</v>
      </c>
      <c r="C1748" s="1">
        <v>44103</v>
      </c>
      <c r="D1748" s="1" t="str" cm="1">
        <f t="array" ref="D1748">_xlfn.IFS(E1748&lt;28, "17-27",
AND(E1748&gt;27, E1748&lt;38), "28-37",
AND(E1748&gt;37, E1748 &lt;48), "38-47",
AND(E1748&gt;47, E1748 &lt;58), "48-57",
AND(E1748&gt;57, E1748&lt;68), "58-67",
AND(E1748&gt;67, E1748&lt;78), "68-77",
E1748&gt;77,"Above than 77")</f>
        <v>48-57</v>
      </c>
      <c r="E1748">
        <v>57</v>
      </c>
      <c r="F1748" s="1">
        <v>23287</v>
      </c>
      <c r="G1748" s="1" t="str">
        <f>VLOOKUP(H1748,Table7[#All], 2, FALSE)</f>
        <v>Massachusetts</v>
      </c>
      <c r="H1748" s="2" t="s">
        <v>14</v>
      </c>
      <c r="I1748" s="2" t="s">
        <v>22</v>
      </c>
      <c r="J1748" s="2" t="s">
        <v>31</v>
      </c>
      <c r="K1748" s="2" t="s">
        <v>71</v>
      </c>
      <c r="L1748" s="2" t="s">
        <v>9</v>
      </c>
      <c r="M1748" s="2" t="s">
        <v>20</v>
      </c>
      <c r="N1748" s="2" t="s">
        <v>11</v>
      </c>
      <c r="O1748" s="2" t="s">
        <v>12</v>
      </c>
      <c r="P1748" s="2" t="s">
        <v>76</v>
      </c>
      <c r="Q1748" s="2" t="s">
        <v>46</v>
      </c>
      <c r="R1748" s="2" t="s">
        <v>56</v>
      </c>
      <c r="S1748">
        <v>4</v>
      </c>
    </row>
    <row r="1749" spans="1:19" x14ac:dyDescent="0.3">
      <c r="A1749">
        <v>2329</v>
      </c>
      <c r="B1749">
        <f>YEAR(Cleaned_HR_Data_Analysis__2[[#This Row],[Joining_Date]])</f>
        <v>2019</v>
      </c>
      <c r="C1749" s="1">
        <v>43671</v>
      </c>
      <c r="D1749" s="1" t="str" cm="1">
        <f t="array" ref="D1749">_xlfn.IFS(E1749&lt;28, "17-27",
AND(E1749&gt;27, E1749&lt;38), "28-37",
AND(E1749&gt;37, E1749 &lt;48), "38-47",
AND(E1749&gt;47, E1749 &lt;58), "48-57",
AND(E1749&gt;57, E1749&lt;68), "58-67",
AND(E1749&gt;67, E1749&lt;78), "68-77",
E1749&gt;77,"Above than 77")</f>
        <v>48-57</v>
      </c>
      <c r="E1749">
        <v>57</v>
      </c>
      <c r="F1749" s="1">
        <v>22945</v>
      </c>
      <c r="G1749" s="1" t="str">
        <f>VLOOKUP(H1749,Table7[#All], 2, FALSE)</f>
        <v>Massachusetts</v>
      </c>
      <c r="H1749" s="2" t="s">
        <v>14</v>
      </c>
      <c r="I1749" s="2" t="s">
        <v>22</v>
      </c>
      <c r="J1749" s="2" t="s">
        <v>31</v>
      </c>
      <c r="K1749" s="2" t="s">
        <v>71</v>
      </c>
      <c r="L1749" s="2" t="s">
        <v>9</v>
      </c>
      <c r="M1749" s="2" t="s">
        <v>25</v>
      </c>
      <c r="N1749" s="2" t="s">
        <v>19</v>
      </c>
      <c r="O1749" s="2" t="s">
        <v>73</v>
      </c>
      <c r="P1749" s="2" t="s">
        <v>21</v>
      </c>
      <c r="Q1749" s="2" t="s">
        <v>46</v>
      </c>
      <c r="R1749" s="2" t="s">
        <v>18</v>
      </c>
      <c r="S1749">
        <v>3</v>
      </c>
    </row>
    <row r="1750" spans="1:19" x14ac:dyDescent="0.3">
      <c r="A1750">
        <v>3932</v>
      </c>
      <c r="B1750">
        <f>YEAR(Cleaned_HR_Data_Analysis__2[[#This Row],[Joining_Date]])</f>
        <v>2022</v>
      </c>
      <c r="C1750" s="1">
        <v>44790</v>
      </c>
      <c r="D1750" s="1" t="str" cm="1">
        <f t="array" ref="D1750">_xlfn.IFS(E1750&lt;28, "17-27",
AND(E1750&gt;27, E1750&lt;38), "28-37",
AND(E1750&gt;37, E1750 &lt;48), "38-47",
AND(E1750&gt;47, E1750 &lt;58), "48-57",
AND(E1750&gt;57, E1750&lt;68), "58-67",
AND(E1750&gt;67, E1750&lt;78), "68-77",
E1750&gt;77,"Above than 77")</f>
        <v>48-57</v>
      </c>
      <c r="E1750">
        <v>57</v>
      </c>
      <c r="F1750" s="1">
        <v>23853</v>
      </c>
      <c r="G1750" s="1" t="str">
        <f>VLOOKUP(H1750,Table7[#All], 2, FALSE)</f>
        <v>Massachusetts</v>
      </c>
      <c r="H1750" s="2" t="s">
        <v>14</v>
      </c>
      <c r="I1750" s="2" t="s">
        <v>15</v>
      </c>
      <c r="J1750" s="2" t="s">
        <v>31</v>
      </c>
      <c r="K1750" s="2" t="s">
        <v>70</v>
      </c>
      <c r="L1750" s="2" t="s">
        <v>9</v>
      </c>
      <c r="M1750" s="2" t="s">
        <v>10</v>
      </c>
      <c r="N1750" s="2" t="s">
        <v>26</v>
      </c>
      <c r="O1750" s="2" t="s">
        <v>53</v>
      </c>
      <c r="P1750" s="2" t="s">
        <v>38</v>
      </c>
      <c r="Q1750" s="2" t="s">
        <v>37</v>
      </c>
      <c r="R1750" s="2" t="s">
        <v>18</v>
      </c>
      <c r="S1750">
        <v>5</v>
      </c>
    </row>
    <row r="1751" spans="1:19" x14ac:dyDescent="0.3">
      <c r="A1751">
        <v>3870</v>
      </c>
      <c r="B1751">
        <f>YEAR(Cleaned_HR_Data_Analysis__2[[#This Row],[Joining_Date]])</f>
        <v>2023</v>
      </c>
      <c r="C1751" s="1">
        <v>44996</v>
      </c>
      <c r="D1751" s="1" t="str" cm="1">
        <f t="array" ref="D1751">_xlfn.IFS(E1751&lt;28, "17-27",
AND(E1751&gt;27, E1751&lt;38), "28-37",
AND(E1751&gt;37, E1751 &lt;48), "38-47",
AND(E1751&gt;47, E1751 &lt;58), "48-57",
AND(E1751&gt;57, E1751&lt;68), "58-67",
AND(E1751&gt;67, E1751&lt;78), "68-77",
E1751&gt;77,"Above than 77")</f>
        <v>48-57</v>
      </c>
      <c r="E1751">
        <v>57</v>
      </c>
      <c r="F1751" s="1">
        <v>24434</v>
      </c>
      <c r="G1751" s="1" t="str">
        <f>VLOOKUP(H1751,Table7[#All], 2, FALSE)</f>
        <v>Massachusetts</v>
      </c>
      <c r="H1751" s="2" t="s">
        <v>14</v>
      </c>
      <c r="I1751" s="2" t="s">
        <v>22</v>
      </c>
      <c r="J1751" s="2" t="s">
        <v>31</v>
      </c>
      <c r="K1751" s="2" t="s">
        <v>70</v>
      </c>
      <c r="L1751" s="2" t="s">
        <v>9</v>
      </c>
      <c r="M1751" s="2" t="s">
        <v>10</v>
      </c>
      <c r="N1751" s="2" t="s">
        <v>26</v>
      </c>
      <c r="O1751" s="2" t="s">
        <v>53</v>
      </c>
      <c r="P1751" s="2" t="s">
        <v>54</v>
      </c>
      <c r="Q1751" s="2" t="s">
        <v>46</v>
      </c>
      <c r="R1751" s="2" t="s">
        <v>18</v>
      </c>
      <c r="S1751">
        <v>5</v>
      </c>
    </row>
    <row r="1752" spans="1:19" x14ac:dyDescent="0.3">
      <c r="A1752">
        <v>1627</v>
      </c>
      <c r="B1752">
        <f>YEAR(Cleaned_HR_Data_Analysis__2[[#This Row],[Joining_Date]])</f>
        <v>2023</v>
      </c>
      <c r="C1752" s="1">
        <v>45061</v>
      </c>
      <c r="D1752" s="1" t="str" cm="1">
        <f t="array" ref="D1752">_xlfn.IFS(E1752&lt;28, "17-27",
AND(E1752&gt;27, E1752&lt;38), "28-37",
AND(E1752&gt;37, E1752 &lt;48), "38-47",
AND(E1752&gt;47, E1752 &lt;58), "48-57",
AND(E1752&gt;57, E1752&lt;68), "58-67",
AND(E1752&gt;67, E1752&lt;78), "68-77",
E1752&gt;77,"Above than 77")</f>
        <v>48-57</v>
      </c>
      <c r="E1752">
        <v>57</v>
      </c>
      <c r="F1752" s="1">
        <v>24121</v>
      </c>
      <c r="G1752" s="1" t="str">
        <f>VLOOKUP(H1752,Table7[#All], 2, FALSE)</f>
        <v>Massachusetts</v>
      </c>
      <c r="H1752" s="2" t="s">
        <v>14</v>
      </c>
      <c r="I1752" s="2" t="s">
        <v>15</v>
      </c>
      <c r="J1752" s="2" t="s">
        <v>40</v>
      </c>
      <c r="K1752" s="2" t="s">
        <v>97</v>
      </c>
      <c r="L1752" s="2" t="s">
        <v>9</v>
      </c>
      <c r="M1752" s="2" t="s">
        <v>25</v>
      </c>
      <c r="N1752" s="2" t="s">
        <v>11</v>
      </c>
      <c r="O1752" s="2" t="s">
        <v>53</v>
      </c>
      <c r="P1752" s="2" t="s">
        <v>35</v>
      </c>
      <c r="Q1752" s="2" t="s">
        <v>30</v>
      </c>
      <c r="R1752" s="2" t="s">
        <v>41</v>
      </c>
      <c r="S1752">
        <v>4</v>
      </c>
    </row>
    <row r="1753" spans="1:19" x14ac:dyDescent="0.3">
      <c r="A1753">
        <v>2708</v>
      </c>
      <c r="B1753">
        <f>YEAR(Cleaned_HR_Data_Analysis__2[[#This Row],[Joining_Date]])</f>
        <v>2022</v>
      </c>
      <c r="C1753" s="1">
        <v>44720</v>
      </c>
      <c r="D1753" s="1" t="str" cm="1">
        <f t="array" ref="D1753">_xlfn.IFS(E1753&lt;28, "17-27",
AND(E1753&gt;27, E1753&lt;38), "28-37",
AND(E1753&gt;37, E1753 &lt;48), "38-47",
AND(E1753&gt;47, E1753 &lt;58), "48-57",
AND(E1753&gt;57, E1753&lt;68), "58-67",
AND(E1753&gt;67, E1753&lt;78), "68-77",
E1753&gt;77,"Above than 77")</f>
        <v>48-57</v>
      </c>
      <c r="E1753">
        <v>57</v>
      </c>
      <c r="F1753" s="1">
        <v>23954</v>
      </c>
      <c r="G1753" s="1" t="str">
        <f>VLOOKUP(H1753,Table7[#All], 2, FALSE)</f>
        <v>Tennessee</v>
      </c>
      <c r="H1753" s="2" t="s">
        <v>120</v>
      </c>
      <c r="I1753" s="2" t="s">
        <v>22</v>
      </c>
      <c r="J1753" s="2" t="s">
        <v>34</v>
      </c>
      <c r="K1753" s="2" t="s">
        <v>24</v>
      </c>
      <c r="L1753" s="2" t="s">
        <v>9</v>
      </c>
      <c r="M1753" s="2" t="s">
        <v>25</v>
      </c>
      <c r="N1753" s="2" t="s">
        <v>11</v>
      </c>
      <c r="O1753" s="2" t="s">
        <v>27</v>
      </c>
      <c r="P1753" s="2" t="s">
        <v>32</v>
      </c>
      <c r="Q1753" s="2" t="s">
        <v>46</v>
      </c>
      <c r="R1753" s="2" t="s">
        <v>18</v>
      </c>
      <c r="S1753">
        <v>3</v>
      </c>
    </row>
    <row r="1754" spans="1:19" x14ac:dyDescent="0.3">
      <c r="A1754">
        <v>1677</v>
      </c>
      <c r="B1754">
        <f>YEAR(Cleaned_HR_Data_Analysis__2[[#This Row],[Joining_Date]])</f>
        <v>2022</v>
      </c>
      <c r="C1754" s="1">
        <v>44771</v>
      </c>
      <c r="D1754" s="1" t="str" cm="1">
        <f t="array" ref="D1754">_xlfn.IFS(E1754&lt;28, "17-27",
AND(E1754&gt;27, E1754&lt;38), "28-37",
AND(E1754&gt;37, E1754 &lt;48), "38-47",
AND(E1754&gt;47, E1754 &lt;58), "48-57",
AND(E1754&gt;57, E1754&lt;68), "58-67",
AND(E1754&gt;67, E1754&lt;78), "68-77",
E1754&gt;77,"Above than 77")</f>
        <v>48-57</v>
      </c>
      <c r="E1754">
        <v>57</v>
      </c>
      <c r="F1754" s="1">
        <v>24068</v>
      </c>
      <c r="G1754" s="1" t="str">
        <f>VLOOKUP(H1754,Table7[#All], 2, FALSE)</f>
        <v>Oregon</v>
      </c>
      <c r="H1754" s="2" t="s">
        <v>43</v>
      </c>
      <c r="I1754" s="2" t="s">
        <v>15</v>
      </c>
      <c r="J1754" s="2" t="s">
        <v>17</v>
      </c>
      <c r="K1754" s="2" t="s">
        <v>24</v>
      </c>
      <c r="L1754" s="2" t="s">
        <v>9</v>
      </c>
      <c r="M1754" s="2" t="s">
        <v>20</v>
      </c>
      <c r="N1754" s="2" t="s">
        <v>26</v>
      </c>
      <c r="O1754" s="2" t="s">
        <v>53</v>
      </c>
      <c r="P1754" s="2" t="s">
        <v>32</v>
      </c>
      <c r="Q1754" s="2" t="s">
        <v>30</v>
      </c>
      <c r="R1754" s="2" t="s">
        <v>18</v>
      </c>
      <c r="S1754">
        <v>4</v>
      </c>
    </row>
    <row r="1755" spans="1:19" x14ac:dyDescent="0.3">
      <c r="A1755">
        <v>3520</v>
      </c>
      <c r="B1755">
        <f>YEAR(Cleaned_HR_Data_Analysis__2[[#This Row],[Joining_Date]])</f>
        <v>2020</v>
      </c>
      <c r="C1755" s="1">
        <v>44178</v>
      </c>
      <c r="D1755" s="1" t="str" cm="1">
        <f t="array" ref="D1755">_xlfn.IFS(E1755&lt;28, "17-27",
AND(E1755&gt;27, E1755&lt;38), "28-37",
AND(E1755&gt;37, E1755 &lt;48), "38-47",
AND(E1755&gt;47, E1755 &lt;58), "48-57",
AND(E1755&gt;57, E1755&lt;68), "58-67",
AND(E1755&gt;67, E1755&lt;78), "68-77",
E1755&gt;77,"Above than 77")</f>
        <v>48-57</v>
      </c>
      <c r="E1755">
        <v>57</v>
      </c>
      <c r="F1755" s="1">
        <v>23071</v>
      </c>
      <c r="G1755" s="1" t="str">
        <f>VLOOKUP(H1755,Table7[#All], 2, FALSE)</f>
        <v>North Dakota</v>
      </c>
      <c r="H1755" s="2" t="s">
        <v>29</v>
      </c>
      <c r="I1755" s="2" t="s">
        <v>15</v>
      </c>
      <c r="J1755" s="2" t="s">
        <v>40</v>
      </c>
      <c r="K1755" s="2" t="s">
        <v>24</v>
      </c>
      <c r="L1755" s="2" t="s">
        <v>9</v>
      </c>
      <c r="M1755" s="2" t="s">
        <v>25</v>
      </c>
      <c r="N1755" s="2" t="s">
        <v>11</v>
      </c>
      <c r="O1755" s="2" t="s">
        <v>27</v>
      </c>
      <c r="P1755" s="2" t="s">
        <v>54</v>
      </c>
      <c r="Q1755" s="2" t="s">
        <v>37</v>
      </c>
      <c r="R1755" s="2" t="s">
        <v>18</v>
      </c>
      <c r="S1755">
        <v>1</v>
      </c>
    </row>
    <row r="1756" spans="1:19" x14ac:dyDescent="0.3">
      <c r="A1756">
        <v>2702</v>
      </c>
      <c r="B1756">
        <f>YEAR(Cleaned_HR_Data_Analysis__2[[#This Row],[Joining_Date]])</f>
        <v>2019</v>
      </c>
      <c r="C1756" s="1">
        <v>43740</v>
      </c>
      <c r="D1756" s="1" t="str" cm="1">
        <f t="array" ref="D1756">_xlfn.IFS(E1756&lt;28, "17-27",
AND(E1756&gt;27, E1756&lt;38), "28-37",
AND(E1756&gt;37, E1756 &lt;48), "38-47",
AND(E1756&gt;47, E1756 &lt;58), "48-57",
AND(E1756&gt;57, E1756&lt;68), "58-67",
AND(E1756&gt;67, E1756&lt;78), "68-77",
E1756&gt;77,"Above than 77")</f>
        <v>48-57</v>
      </c>
      <c r="E1756">
        <v>57</v>
      </c>
      <c r="F1756" s="1">
        <v>22907</v>
      </c>
      <c r="G1756" s="1" t="str">
        <f>VLOOKUP(H1756,Table7[#All], 2, FALSE)</f>
        <v>Massachusetts</v>
      </c>
      <c r="H1756" s="2" t="s">
        <v>14</v>
      </c>
      <c r="I1756" s="2" t="s">
        <v>22</v>
      </c>
      <c r="J1756" s="2" t="s">
        <v>34</v>
      </c>
      <c r="K1756" s="2" t="s">
        <v>24</v>
      </c>
      <c r="L1756" s="2" t="s">
        <v>9</v>
      </c>
      <c r="M1756" s="2" t="s">
        <v>10</v>
      </c>
      <c r="N1756" s="2" t="s">
        <v>26</v>
      </c>
      <c r="O1756" s="2" t="s">
        <v>27</v>
      </c>
      <c r="P1756" s="2" t="s">
        <v>21</v>
      </c>
      <c r="Q1756" s="2" t="s">
        <v>46</v>
      </c>
      <c r="R1756" s="2" t="s">
        <v>18</v>
      </c>
      <c r="S1756">
        <v>1</v>
      </c>
    </row>
    <row r="1757" spans="1:19" x14ac:dyDescent="0.3">
      <c r="A1757">
        <v>3548</v>
      </c>
      <c r="B1757">
        <f>YEAR(Cleaned_HR_Data_Analysis__2[[#This Row],[Joining_Date]])</f>
        <v>2021</v>
      </c>
      <c r="C1757" s="1">
        <v>44388</v>
      </c>
      <c r="D1757" s="1" t="str" cm="1">
        <f t="array" ref="D1757">_xlfn.IFS(E1757&lt;28, "17-27",
AND(E1757&gt;27, E1757&lt;38), "28-37",
AND(E1757&gt;37, E1757 &lt;48), "38-47",
AND(E1757&gt;47, E1757 &lt;58), "48-57",
AND(E1757&gt;57, E1757&lt;68), "58-67",
AND(E1757&gt;67, E1757&lt;78), "68-77",
E1757&gt;77,"Above than 77")</f>
        <v>48-57</v>
      </c>
      <c r="E1757">
        <v>57</v>
      </c>
      <c r="F1757" s="1">
        <v>23401</v>
      </c>
      <c r="G1757" s="1" t="str">
        <f>VLOOKUP(H1757,Table7[#All], 2, FALSE)</f>
        <v>Kentucky</v>
      </c>
      <c r="H1757" s="2" t="s">
        <v>51</v>
      </c>
      <c r="I1757" s="2" t="s">
        <v>15</v>
      </c>
      <c r="J1757" s="2" t="s">
        <v>31</v>
      </c>
      <c r="K1757" s="2" t="s">
        <v>24</v>
      </c>
      <c r="L1757" s="2" t="s">
        <v>9</v>
      </c>
      <c r="M1757" s="2" t="s">
        <v>20</v>
      </c>
      <c r="N1757" s="2" t="s">
        <v>19</v>
      </c>
      <c r="O1757" s="2" t="s">
        <v>27</v>
      </c>
      <c r="P1757" s="2" t="s">
        <v>32</v>
      </c>
      <c r="Q1757" s="2" t="s">
        <v>16</v>
      </c>
      <c r="R1757" s="2" t="s">
        <v>18</v>
      </c>
      <c r="S1757">
        <v>5</v>
      </c>
    </row>
    <row r="1758" spans="1:19" x14ac:dyDescent="0.3">
      <c r="A1758">
        <v>3483</v>
      </c>
      <c r="B1758">
        <f>YEAR(Cleaned_HR_Data_Analysis__2[[#This Row],[Joining_Date]])</f>
        <v>2021</v>
      </c>
      <c r="C1758" s="1">
        <v>44465</v>
      </c>
      <c r="D1758" s="1" t="str" cm="1">
        <f t="array" ref="D1758">_xlfn.IFS(E1758&lt;28, "17-27",
AND(E1758&gt;27, E1758&lt;38), "28-37",
AND(E1758&gt;37, E1758 &lt;48), "38-47",
AND(E1758&gt;47, E1758 &lt;58), "48-57",
AND(E1758&gt;57, E1758&lt;68), "58-67",
AND(E1758&gt;67, E1758&lt;78), "68-77",
E1758&gt;77,"Above than 77")</f>
        <v>48-57</v>
      </c>
      <c r="E1758">
        <v>57</v>
      </c>
      <c r="F1758" s="1">
        <v>23547</v>
      </c>
      <c r="G1758" s="1" t="str">
        <f>VLOOKUP(H1758,Table7[#All], 2, FALSE)</f>
        <v>Colorado</v>
      </c>
      <c r="H1758" s="2" t="s">
        <v>50</v>
      </c>
      <c r="I1758" s="2" t="s">
        <v>22</v>
      </c>
      <c r="J1758" s="2" t="s">
        <v>17</v>
      </c>
      <c r="K1758" s="2" t="s">
        <v>24</v>
      </c>
      <c r="L1758" s="2" t="s">
        <v>9</v>
      </c>
      <c r="M1758" s="2" t="s">
        <v>20</v>
      </c>
      <c r="N1758" s="2" t="s">
        <v>26</v>
      </c>
      <c r="O1758" s="2" t="s">
        <v>27</v>
      </c>
      <c r="P1758" s="2" t="s">
        <v>54</v>
      </c>
      <c r="Q1758" s="2" t="s">
        <v>46</v>
      </c>
      <c r="R1758" s="2" t="s">
        <v>18</v>
      </c>
      <c r="S1758">
        <v>4</v>
      </c>
    </row>
    <row r="1759" spans="1:19" x14ac:dyDescent="0.3">
      <c r="A1759">
        <v>3496</v>
      </c>
      <c r="B1759">
        <f>YEAR(Cleaned_HR_Data_Analysis__2[[#This Row],[Joining_Date]])</f>
        <v>2021</v>
      </c>
      <c r="C1759" s="1">
        <v>44532</v>
      </c>
      <c r="D1759" s="1" t="str" cm="1">
        <f t="array" ref="D1759">_xlfn.IFS(E1759&lt;28, "17-27",
AND(E1759&gt;27, E1759&lt;38), "28-37",
AND(E1759&gt;37, E1759 &lt;48), "38-47",
AND(E1759&gt;47, E1759 &lt;58), "48-57",
AND(E1759&gt;57, E1759&lt;68), "58-67",
AND(E1759&gt;67, E1759&lt;78), "68-77",
E1759&gt;77,"Above than 77")</f>
        <v>48-57</v>
      </c>
      <c r="E1759">
        <v>57</v>
      </c>
      <c r="F1759" s="1">
        <v>23639</v>
      </c>
      <c r="G1759" s="1" t="str">
        <f>VLOOKUP(H1759,Table7[#All], 2, FALSE)</f>
        <v>California</v>
      </c>
      <c r="H1759" s="2" t="s">
        <v>39</v>
      </c>
      <c r="I1759" s="2" t="s">
        <v>22</v>
      </c>
      <c r="J1759" s="2" t="s">
        <v>17</v>
      </c>
      <c r="K1759" s="2" t="s">
        <v>24</v>
      </c>
      <c r="L1759" s="2" t="s">
        <v>9</v>
      </c>
      <c r="M1759" s="2" t="s">
        <v>10</v>
      </c>
      <c r="N1759" s="2" t="s">
        <v>19</v>
      </c>
      <c r="O1759" s="2" t="s">
        <v>27</v>
      </c>
      <c r="P1759" s="2" t="s">
        <v>28</v>
      </c>
      <c r="Q1759" s="2" t="s">
        <v>30</v>
      </c>
      <c r="R1759" s="2" t="s">
        <v>18</v>
      </c>
      <c r="S1759">
        <v>3</v>
      </c>
    </row>
    <row r="1760" spans="1:19" x14ac:dyDescent="0.3">
      <c r="A1760">
        <v>2736</v>
      </c>
      <c r="B1760">
        <f>YEAR(Cleaned_HR_Data_Analysis__2[[#This Row],[Joining_Date]])</f>
        <v>2020</v>
      </c>
      <c r="C1760" s="1">
        <v>43978</v>
      </c>
      <c r="D1760" s="1" t="str" cm="1">
        <f t="array" ref="D1760">_xlfn.IFS(E1760&lt;28, "17-27",
AND(E1760&gt;27, E1760&lt;38), "28-37",
AND(E1760&gt;37, E1760 &lt;48), "38-47",
AND(E1760&gt;47, E1760 &lt;58), "48-57",
AND(E1760&gt;57, E1760&lt;68), "58-67",
AND(E1760&gt;67, E1760&lt;78), "68-77",
E1760&gt;77,"Above than 77")</f>
        <v>48-57</v>
      </c>
      <c r="E1760">
        <v>57</v>
      </c>
      <c r="F1760" s="1">
        <v>23055</v>
      </c>
      <c r="G1760" s="1" t="str">
        <f>VLOOKUP(H1760,Table7[#All], 2, FALSE)</f>
        <v>Alabama</v>
      </c>
      <c r="H1760" s="2" t="s">
        <v>116</v>
      </c>
      <c r="I1760" s="2" t="s">
        <v>22</v>
      </c>
      <c r="J1760" s="2" t="s">
        <v>34</v>
      </c>
      <c r="K1760" s="2" t="s">
        <v>24</v>
      </c>
      <c r="L1760" s="2" t="s">
        <v>9</v>
      </c>
      <c r="M1760" s="2" t="s">
        <v>10</v>
      </c>
      <c r="N1760" s="2" t="s">
        <v>19</v>
      </c>
      <c r="O1760" s="2" t="s">
        <v>27</v>
      </c>
      <c r="P1760" s="2" t="s">
        <v>32</v>
      </c>
      <c r="Q1760" s="2" t="s">
        <v>30</v>
      </c>
      <c r="R1760" s="2" t="s">
        <v>18</v>
      </c>
      <c r="S1760">
        <v>2</v>
      </c>
    </row>
    <row r="1761" spans="1:19" x14ac:dyDescent="0.3">
      <c r="A1761">
        <v>2685</v>
      </c>
      <c r="B1761">
        <f>YEAR(Cleaned_HR_Data_Analysis__2[[#This Row],[Joining_Date]])</f>
        <v>2021</v>
      </c>
      <c r="C1761" s="1">
        <v>44523</v>
      </c>
      <c r="D1761" s="1" t="str" cm="1">
        <f t="array" ref="D1761">_xlfn.IFS(E1761&lt;28, "17-27",
AND(E1761&gt;27, E1761&lt;38), "28-37",
AND(E1761&gt;37, E1761 &lt;48), "38-47",
AND(E1761&gt;47, E1761 &lt;58), "48-57",
AND(E1761&gt;57, E1761&lt;68), "58-67",
AND(E1761&gt;67, E1761&lt;78), "68-77",
E1761&gt;77,"Above than 77")</f>
        <v>48-57</v>
      </c>
      <c r="E1761">
        <v>57</v>
      </c>
      <c r="F1761" s="1">
        <v>23597</v>
      </c>
      <c r="G1761" s="1" t="str">
        <f>VLOOKUP(H1761,Table7[#All], 2, FALSE)</f>
        <v>Massachusetts</v>
      </c>
      <c r="H1761" s="2" t="s">
        <v>14</v>
      </c>
      <c r="I1761" s="2" t="s">
        <v>15</v>
      </c>
      <c r="J1761" s="2" t="s">
        <v>40</v>
      </c>
      <c r="K1761" s="2" t="s">
        <v>95</v>
      </c>
      <c r="L1761" s="2" t="s">
        <v>9</v>
      </c>
      <c r="M1761" s="2" t="s">
        <v>25</v>
      </c>
      <c r="N1761" s="2" t="s">
        <v>26</v>
      </c>
      <c r="O1761" s="2" t="s">
        <v>27</v>
      </c>
      <c r="P1761" s="2" t="s">
        <v>28</v>
      </c>
      <c r="Q1761" s="2" t="s">
        <v>37</v>
      </c>
      <c r="R1761" s="2" t="s">
        <v>18</v>
      </c>
      <c r="S1761">
        <v>1</v>
      </c>
    </row>
    <row r="1762" spans="1:19" x14ac:dyDescent="0.3">
      <c r="A1762">
        <v>2519</v>
      </c>
      <c r="B1762">
        <f>YEAR(Cleaned_HR_Data_Analysis__2[[#This Row],[Joining_Date]])</f>
        <v>2021</v>
      </c>
      <c r="C1762" s="1">
        <v>44513</v>
      </c>
      <c r="D1762" s="1" t="str" cm="1">
        <f t="array" ref="D1762">_xlfn.IFS(E1762&lt;28, "17-27",
AND(E1762&gt;27, E1762&lt;38), "28-37",
AND(E1762&gt;37, E1762 &lt;48), "38-47",
AND(E1762&gt;47, E1762 &lt;58), "48-57",
AND(E1762&gt;57, E1762&lt;68), "58-67",
AND(E1762&gt;67, E1762&lt;78), "68-77",
E1762&gt;77,"Above than 77")</f>
        <v>58-67</v>
      </c>
      <c r="E1762">
        <v>58</v>
      </c>
      <c r="F1762" s="1">
        <v>23145</v>
      </c>
      <c r="G1762" s="1" t="str">
        <f>VLOOKUP(H1762,Table7[#All], 2, FALSE)</f>
        <v>Massachusetts</v>
      </c>
      <c r="H1762" s="2" t="s">
        <v>14</v>
      </c>
      <c r="I1762" s="2" t="s">
        <v>15</v>
      </c>
      <c r="J1762" s="2" t="s">
        <v>34</v>
      </c>
      <c r="K1762" s="2" t="s">
        <v>86</v>
      </c>
      <c r="L1762" s="2" t="s">
        <v>9</v>
      </c>
      <c r="M1762" s="2" t="s">
        <v>20</v>
      </c>
      <c r="N1762" s="2" t="s">
        <v>19</v>
      </c>
      <c r="O1762" s="2" t="s">
        <v>87</v>
      </c>
      <c r="P1762" s="2" t="s">
        <v>49</v>
      </c>
      <c r="Q1762" s="2" t="s">
        <v>16</v>
      </c>
      <c r="R1762" s="2" t="s">
        <v>18</v>
      </c>
      <c r="S1762">
        <v>5</v>
      </c>
    </row>
    <row r="1763" spans="1:19" x14ac:dyDescent="0.3">
      <c r="A1763">
        <v>1090</v>
      </c>
      <c r="B1763">
        <f>YEAR(Cleaned_HR_Data_Analysis__2[[#This Row],[Joining_Date]])</f>
        <v>2023</v>
      </c>
      <c r="C1763" s="1">
        <v>44928</v>
      </c>
      <c r="D1763" s="1" t="str" cm="1">
        <f t="array" ref="D1763">_xlfn.IFS(E1763&lt;28, "17-27",
AND(E1763&gt;27, E1763&lt;38), "28-37",
AND(E1763&gt;37, E1763 &lt;48), "38-47",
AND(E1763&gt;47, E1763 &lt;58), "48-57",
AND(E1763&gt;57, E1763&lt;68), "58-67",
AND(E1763&gt;67, E1763&lt;78), "68-77",
E1763&gt;77,"Above than 77")</f>
        <v>58-67</v>
      </c>
      <c r="E1763">
        <v>58</v>
      </c>
      <c r="F1763" s="1">
        <v>23982</v>
      </c>
      <c r="G1763" s="1" t="str">
        <f>VLOOKUP(H1763,Table7[#All], 2, FALSE)</f>
        <v>Massachusetts</v>
      </c>
      <c r="H1763" s="2" t="s">
        <v>14</v>
      </c>
      <c r="I1763" s="2" t="s">
        <v>15</v>
      </c>
      <c r="J1763" s="2" t="s">
        <v>40</v>
      </c>
      <c r="K1763" s="2" t="s">
        <v>88</v>
      </c>
      <c r="L1763" s="2" t="s">
        <v>9</v>
      </c>
      <c r="M1763" s="2" t="s">
        <v>20</v>
      </c>
      <c r="N1763" s="2" t="s">
        <v>11</v>
      </c>
      <c r="O1763" s="2" t="s">
        <v>87</v>
      </c>
      <c r="P1763" s="2" t="s">
        <v>35</v>
      </c>
      <c r="Q1763" s="2" t="s">
        <v>37</v>
      </c>
      <c r="R1763" s="2" t="s">
        <v>18</v>
      </c>
      <c r="S1763">
        <v>3</v>
      </c>
    </row>
    <row r="1764" spans="1:19" x14ac:dyDescent="0.3">
      <c r="A1764">
        <v>1720</v>
      </c>
      <c r="B1764">
        <f>YEAR(Cleaned_HR_Data_Analysis__2[[#This Row],[Joining_Date]])</f>
        <v>2023</v>
      </c>
      <c r="C1764" s="1">
        <v>45097</v>
      </c>
      <c r="D1764" s="1" t="str" cm="1">
        <f t="array" ref="D1764">_xlfn.IFS(E1764&lt;28, "17-27",
AND(E1764&gt;27, E1764&lt;38), "28-37",
AND(E1764&gt;37, E1764 &lt;48), "38-47",
AND(E1764&gt;47, E1764 &lt;58), "48-57",
AND(E1764&gt;57, E1764&lt;68), "58-67",
AND(E1764&gt;67, E1764&lt;78), "68-77",
E1764&gt;77,"Above than 77")</f>
        <v>58-67</v>
      </c>
      <c r="E1764">
        <v>58</v>
      </c>
      <c r="F1764" s="1">
        <v>23809</v>
      </c>
      <c r="G1764" s="1" t="str">
        <f>VLOOKUP(H1764,Table7[#All], 2, FALSE)</f>
        <v>Massachusetts</v>
      </c>
      <c r="H1764" s="2" t="s">
        <v>14</v>
      </c>
      <c r="I1764" s="2" t="s">
        <v>22</v>
      </c>
      <c r="J1764" s="2" t="s">
        <v>31</v>
      </c>
      <c r="K1764" s="2" t="s">
        <v>89</v>
      </c>
      <c r="L1764" s="2" t="s">
        <v>9</v>
      </c>
      <c r="M1764" s="2" t="s">
        <v>20</v>
      </c>
      <c r="N1764" s="2" t="s">
        <v>11</v>
      </c>
      <c r="O1764" s="2" t="s">
        <v>53</v>
      </c>
      <c r="P1764" s="2" t="s">
        <v>35</v>
      </c>
      <c r="Q1764" s="2" t="s">
        <v>30</v>
      </c>
      <c r="R1764" s="2" t="s">
        <v>18</v>
      </c>
      <c r="S1764">
        <v>3</v>
      </c>
    </row>
    <row r="1765" spans="1:19" x14ac:dyDescent="0.3">
      <c r="A1765">
        <v>1027</v>
      </c>
      <c r="B1765">
        <f>YEAR(Cleaned_HR_Data_Analysis__2[[#This Row],[Joining_Date]])</f>
        <v>2020</v>
      </c>
      <c r="C1765" s="1">
        <v>43996</v>
      </c>
      <c r="D1765" s="1" t="str" cm="1">
        <f t="array" ref="D1765">_xlfn.IFS(E1765&lt;28, "17-27",
AND(E1765&gt;27, E1765&lt;38), "28-37",
AND(E1765&gt;37, E1765 &lt;48), "38-47",
AND(E1765&gt;47, E1765 &lt;58), "48-57",
AND(E1765&gt;57, E1765&lt;68), "58-67",
AND(E1765&gt;67, E1765&lt;78), "68-77",
E1765&gt;77,"Above than 77")</f>
        <v>58-67</v>
      </c>
      <c r="E1765">
        <v>58</v>
      </c>
      <c r="F1765" s="1">
        <v>23001</v>
      </c>
      <c r="G1765" s="1" t="str">
        <f>VLOOKUP(H1765,Table7[#All], 2, FALSE)</f>
        <v>Massachusetts</v>
      </c>
      <c r="H1765" s="2" t="s">
        <v>14</v>
      </c>
      <c r="I1765" s="2" t="s">
        <v>22</v>
      </c>
      <c r="J1765" s="2" t="s">
        <v>31</v>
      </c>
      <c r="K1765" s="2" t="s">
        <v>89</v>
      </c>
      <c r="L1765" s="2" t="s">
        <v>9</v>
      </c>
      <c r="M1765" s="2" t="s">
        <v>20</v>
      </c>
      <c r="N1765" s="2" t="s">
        <v>19</v>
      </c>
      <c r="O1765" s="2" t="s">
        <v>90</v>
      </c>
      <c r="P1765" s="2" t="s">
        <v>32</v>
      </c>
      <c r="Q1765" s="2" t="s">
        <v>30</v>
      </c>
      <c r="R1765" s="2" t="s">
        <v>18</v>
      </c>
      <c r="S1765">
        <v>3</v>
      </c>
    </row>
    <row r="1766" spans="1:19" x14ac:dyDescent="0.3">
      <c r="A1766">
        <v>3694</v>
      </c>
      <c r="B1766">
        <f>YEAR(Cleaned_HR_Data_Analysis__2[[#This Row],[Joining_Date]])</f>
        <v>2019</v>
      </c>
      <c r="C1766" s="1">
        <v>43774</v>
      </c>
      <c r="D1766" s="1" t="str" cm="1">
        <f t="array" ref="D1766">_xlfn.IFS(E1766&lt;28, "17-27",
AND(E1766&gt;27, E1766&lt;38), "28-37",
AND(E1766&gt;37, E1766 &lt;48), "38-47",
AND(E1766&gt;47, E1766 &lt;58), "48-57",
AND(E1766&gt;57, E1766&lt;68), "58-67",
AND(E1766&gt;67, E1766&lt;78), "68-77",
E1766&gt;77,"Above than 77")</f>
        <v>58-67</v>
      </c>
      <c r="E1766">
        <v>58</v>
      </c>
      <c r="F1766" s="1">
        <v>22351</v>
      </c>
      <c r="G1766" s="1" t="str">
        <f>VLOOKUP(H1766,Table7[#All], 2, FALSE)</f>
        <v>Massachusetts</v>
      </c>
      <c r="H1766" s="2" t="s">
        <v>14</v>
      </c>
      <c r="I1766" s="2" t="s">
        <v>15</v>
      </c>
      <c r="J1766" s="2" t="s">
        <v>34</v>
      </c>
      <c r="K1766" s="2" t="s">
        <v>64</v>
      </c>
      <c r="L1766" s="2" t="s">
        <v>66</v>
      </c>
      <c r="M1766" s="2" t="s">
        <v>25</v>
      </c>
      <c r="N1766" s="2" t="s">
        <v>19</v>
      </c>
      <c r="O1766" s="2" t="s">
        <v>12</v>
      </c>
      <c r="P1766" s="2" t="s">
        <v>35</v>
      </c>
      <c r="Q1766" s="2" t="s">
        <v>23</v>
      </c>
      <c r="R1766" s="2" t="s">
        <v>65</v>
      </c>
      <c r="S1766">
        <v>3</v>
      </c>
    </row>
    <row r="1767" spans="1:19" x14ac:dyDescent="0.3">
      <c r="A1767">
        <v>3566</v>
      </c>
      <c r="B1767">
        <f>YEAR(Cleaned_HR_Data_Analysis__2[[#This Row],[Joining_Date]])</f>
        <v>2021</v>
      </c>
      <c r="C1767" s="1">
        <v>44465</v>
      </c>
      <c r="D1767" s="1" t="str" cm="1">
        <f t="array" ref="D1767">_xlfn.IFS(E1767&lt;28, "17-27",
AND(E1767&gt;27, E1767&lt;38), "28-37",
AND(E1767&gt;37, E1767 &lt;48), "38-47",
AND(E1767&gt;47, E1767 &lt;58), "48-57",
AND(E1767&gt;57, E1767&lt;68), "58-67",
AND(E1767&gt;67, E1767&lt;78), "68-77",
E1767&gt;77,"Above than 77")</f>
        <v>58-67</v>
      </c>
      <c r="E1767">
        <v>58</v>
      </c>
      <c r="F1767" s="1">
        <v>23289</v>
      </c>
      <c r="G1767" s="1" t="str">
        <f>VLOOKUP(H1767,Table7[#All], 2, FALSE)</f>
        <v>Massachusetts</v>
      </c>
      <c r="H1767" s="2" t="s">
        <v>14</v>
      </c>
      <c r="I1767" s="2" t="s">
        <v>22</v>
      </c>
      <c r="J1767" s="2" t="s">
        <v>31</v>
      </c>
      <c r="K1767" s="2" t="s">
        <v>64</v>
      </c>
      <c r="L1767" s="2" t="s">
        <v>9</v>
      </c>
      <c r="M1767" s="2" t="s">
        <v>20</v>
      </c>
      <c r="N1767" s="2" t="s">
        <v>19</v>
      </c>
      <c r="O1767" s="2" t="s">
        <v>12</v>
      </c>
      <c r="P1767" s="2" t="s">
        <v>21</v>
      </c>
      <c r="Q1767" s="2" t="s">
        <v>37</v>
      </c>
      <c r="R1767" s="2" t="s">
        <v>18</v>
      </c>
      <c r="S1767">
        <v>2</v>
      </c>
    </row>
    <row r="1768" spans="1:19" x14ac:dyDescent="0.3">
      <c r="A1768">
        <v>3367</v>
      </c>
      <c r="B1768">
        <f>YEAR(Cleaned_HR_Data_Analysis__2[[#This Row],[Joining_Date]])</f>
        <v>2020</v>
      </c>
      <c r="C1768" s="1">
        <v>43981</v>
      </c>
      <c r="D1768" s="1" t="str" cm="1">
        <f t="array" ref="D1768">_xlfn.IFS(E1768&lt;28, "17-27",
AND(E1768&gt;27, E1768&lt;38), "28-37",
AND(E1768&gt;37, E1768 &lt;48), "38-47",
AND(E1768&gt;47, E1768 &lt;58), "48-57",
AND(E1768&gt;57, E1768&lt;68), "58-67",
AND(E1768&gt;67, E1768&lt;78), "68-77",
E1768&gt;77,"Above than 77")</f>
        <v>58-67</v>
      </c>
      <c r="E1768">
        <v>58</v>
      </c>
      <c r="F1768" s="1">
        <v>22935</v>
      </c>
      <c r="G1768" s="1" t="str">
        <f>VLOOKUP(H1768,Table7[#All], 2, FALSE)</f>
        <v>Massachusetts</v>
      </c>
      <c r="H1768" s="2" t="s">
        <v>14</v>
      </c>
      <c r="I1768" s="2" t="s">
        <v>22</v>
      </c>
      <c r="J1768" s="2" t="s">
        <v>31</v>
      </c>
      <c r="K1768" s="2" t="s">
        <v>64</v>
      </c>
      <c r="L1768" s="2" t="s">
        <v>66</v>
      </c>
      <c r="M1768" s="2" t="s">
        <v>25</v>
      </c>
      <c r="N1768" s="2" t="s">
        <v>26</v>
      </c>
      <c r="O1768" s="2" t="s">
        <v>12</v>
      </c>
      <c r="P1768" s="2" t="s">
        <v>35</v>
      </c>
      <c r="Q1768" s="2" t="s">
        <v>30</v>
      </c>
      <c r="R1768" s="2" t="s">
        <v>41</v>
      </c>
      <c r="S1768">
        <v>1</v>
      </c>
    </row>
    <row r="1769" spans="1:19" x14ac:dyDescent="0.3">
      <c r="A1769">
        <v>3094</v>
      </c>
      <c r="B1769">
        <f>YEAR(Cleaned_HR_Data_Analysis__2[[#This Row],[Joining_Date]])</f>
        <v>2021</v>
      </c>
      <c r="C1769" s="1">
        <v>44392</v>
      </c>
      <c r="D1769" s="1" t="str" cm="1">
        <f t="array" ref="D1769">_xlfn.IFS(E1769&lt;28, "17-27",
AND(E1769&gt;27, E1769&lt;38), "28-37",
AND(E1769&gt;37, E1769 &lt;48), "38-47",
AND(E1769&gt;47, E1769 &lt;58), "48-57",
AND(E1769&gt;57, E1769&lt;68), "58-67",
AND(E1769&gt;67, E1769&lt;78), "68-77",
E1769&gt;77,"Above than 77")</f>
        <v>58-67</v>
      </c>
      <c r="E1769">
        <v>58</v>
      </c>
      <c r="F1769" s="1">
        <v>23302</v>
      </c>
      <c r="G1769" s="1" t="str">
        <f>VLOOKUP(H1769,Table7[#All], 2, FALSE)</f>
        <v>Massachusetts</v>
      </c>
      <c r="H1769" s="2" t="s">
        <v>14</v>
      </c>
      <c r="I1769" s="2" t="s">
        <v>15</v>
      </c>
      <c r="J1769" s="2" t="s">
        <v>17</v>
      </c>
      <c r="K1769" s="2" t="s">
        <v>64</v>
      </c>
      <c r="L1769" s="2" t="s">
        <v>9</v>
      </c>
      <c r="M1769" s="2" t="s">
        <v>10</v>
      </c>
      <c r="N1769" s="2" t="s">
        <v>11</v>
      </c>
      <c r="O1769" s="2" t="s">
        <v>12</v>
      </c>
      <c r="P1769" s="2" t="s">
        <v>42</v>
      </c>
      <c r="Q1769" s="2" t="s">
        <v>30</v>
      </c>
      <c r="R1769" s="2" t="s">
        <v>18</v>
      </c>
      <c r="S1769">
        <v>3</v>
      </c>
    </row>
    <row r="1770" spans="1:19" x14ac:dyDescent="0.3">
      <c r="A1770">
        <v>2907</v>
      </c>
      <c r="B1770">
        <f>YEAR(Cleaned_HR_Data_Analysis__2[[#This Row],[Joining_Date]])</f>
        <v>2020</v>
      </c>
      <c r="C1770" s="1">
        <v>44004</v>
      </c>
      <c r="D1770" s="1" t="str" cm="1">
        <f t="array" ref="D1770">_xlfn.IFS(E1770&lt;28, "17-27",
AND(E1770&gt;27, E1770&lt;38), "28-37",
AND(E1770&gt;37, E1770 &lt;48), "38-47",
AND(E1770&gt;47, E1770 &lt;58), "48-57",
AND(E1770&gt;57, E1770&lt;68), "58-67",
AND(E1770&gt;67, E1770&lt;78), "68-77",
E1770&gt;77,"Above than 77")</f>
        <v>58-67</v>
      </c>
      <c r="E1770">
        <v>58</v>
      </c>
      <c r="F1770" s="1">
        <v>22709</v>
      </c>
      <c r="G1770" s="1" t="str">
        <f>VLOOKUP(H1770,Table7[#All], 2, FALSE)</f>
        <v>Massachusetts</v>
      </c>
      <c r="H1770" s="2" t="s">
        <v>14</v>
      </c>
      <c r="I1770" s="2" t="s">
        <v>22</v>
      </c>
      <c r="J1770" s="2" t="s">
        <v>17</v>
      </c>
      <c r="K1770" s="2" t="s">
        <v>64</v>
      </c>
      <c r="L1770" s="2" t="s">
        <v>9</v>
      </c>
      <c r="M1770" s="2" t="s">
        <v>25</v>
      </c>
      <c r="N1770" s="2" t="s">
        <v>11</v>
      </c>
      <c r="O1770" s="2" t="s">
        <v>12</v>
      </c>
      <c r="P1770" s="2" t="s">
        <v>63</v>
      </c>
      <c r="Q1770" s="2" t="s">
        <v>16</v>
      </c>
      <c r="R1770" s="2" t="s">
        <v>56</v>
      </c>
      <c r="S1770">
        <v>4</v>
      </c>
    </row>
    <row r="1771" spans="1:19" x14ac:dyDescent="0.3">
      <c r="A1771">
        <v>1854</v>
      </c>
      <c r="B1771">
        <f>YEAR(Cleaned_HR_Data_Analysis__2[[#This Row],[Joining_Date]])</f>
        <v>2020</v>
      </c>
      <c r="C1771" s="1">
        <v>44129</v>
      </c>
      <c r="D1771" s="1" t="str" cm="1">
        <f t="array" ref="D1771">_xlfn.IFS(E1771&lt;28, "17-27",
AND(E1771&gt;27, E1771&lt;38), "28-37",
AND(E1771&gt;37, E1771 &lt;48), "38-47",
AND(E1771&gt;47, E1771 &lt;58), "48-57",
AND(E1771&gt;57, E1771&lt;68), "58-67",
AND(E1771&gt;67, E1771&lt;78), "68-77",
E1771&gt;77,"Above than 77")</f>
        <v>58-67</v>
      </c>
      <c r="E1771">
        <v>58</v>
      </c>
      <c r="F1771" s="1">
        <v>22887</v>
      </c>
      <c r="G1771" s="1" t="str">
        <f>VLOOKUP(H1771,Table7[#All], 2, FALSE)</f>
        <v>Massachusetts</v>
      </c>
      <c r="H1771" s="2" t="s">
        <v>14</v>
      </c>
      <c r="I1771" s="2" t="s">
        <v>15</v>
      </c>
      <c r="J1771" s="2" t="s">
        <v>34</v>
      </c>
      <c r="K1771" s="2" t="s">
        <v>64</v>
      </c>
      <c r="L1771" s="2" t="s">
        <v>9</v>
      </c>
      <c r="M1771" s="2" t="s">
        <v>10</v>
      </c>
      <c r="N1771" s="2" t="s">
        <v>19</v>
      </c>
      <c r="O1771" s="2" t="s">
        <v>12</v>
      </c>
      <c r="P1771" s="2" t="s">
        <v>58</v>
      </c>
      <c r="Q1771" s="2" t="s">
        <v>46</v>
      </c>
      <c r="R1771" s="2" t="s">
        <v>65</v>
      </c>
      <c r="S1771">
        <v>2</v>
      </c>
    </row>
    <row r="1772" spans="1:19" x14ac:dyDescent="0.3">
      <c r="A1772">
        <v>1534</v>
      </c>
      <c r="B1772">
        <f>YEAR(Cleaned_HR_Data_Analysis__2[[#This Row],[Joining_Date]])</f>
        <v>2022</v>
      </c>
      <c r="C1772" s="1">
        <v>44619</v>
      </c>
      <c r="D1772" s="1" t="str" cm="1">
        <f t="array" ref="D1772">_xlfn.IFS(E1772&lt;28, "17-27",
AND(E1772&gt;27, E1772&lt;38), "28-37",
AND(E1772&gt;37, E1772 &lt;48), "38-47",
AND(E1772&gt;47, E1772 &lt;58), "48-57",
AND(E1772&gt;57, E1772&lt;68), "58-67",
AND(E1772&gt;67, E1772&lt;78), "68-77",
E1772&gt;77,"Above than 77")</f>
        <v>58-67</v>
      </c>
      <c r="E1772">
        <v>58</v>
      </c>
      <c r="F1772" s="1">
        <v>23691</v>
      </c>
      <c r="G1772" s="1" t="str">
        <f>VLOOKUP(H1772,Table7[#All], 2, FALSE)</f>
        <v>Massachusetts</v>
      </c>
      <c r="H1772" s="2" t="s">
        <v>14</v>
      </c>
      <c r="I1772" s="2" t="s">
        <v>22</v>
      </c>
      <c r="J1772" s="2" t="s">
        <v>34</v>
      </c>
      <c r="K1772" s="2" t="s">
        <v>64</v>
      </c>
      <c r="L1772" s="2" t="s">
        <v>9</v>
      </c>
      <c r="M1772" s="2" t="s">
        <v>25</v>
      </c>
      <c r="N1772" s="2" t="s">
        <v>26</v>
      </c>
      <c r="O1772" s="2" t="s">
        <v>12</v>
      </c>
      <c r="P1772" s="2" t="s">
        <v>35</v>
      </c>
      <c r="Q1772" s="2" t="s">
        <v>16</v>
      </c>
      <c r="R1772" s="2" t="s">
        <v>18</v>
      </c>
      <c r="S1772">
        <v>1</v>
      </c>
    </row>
    <row r="1773" spans="1:19" x14ac:dyDescent="0.3">
      <c r="A1773">
        <v>3799</v>
      </c>
      <c r="B1773">
        <f>YEAR(Cleaned_HR_Data_Analysis__2[[#This Row],[Joining_Date]])</f>
        <v>2022</v>
      </c>
      <c r="C1773" s="1">
        <v>44849</v>
      </c>
      <c r="D1773" s="1" t="str" cm="1">
        <f t="array" ref="D1773">_xlfn.IFS(E1773&lt;28, "17-27",
AND(E1773&gt;27, E1773&lt;38), "28-37",
AND(E1773&gt;37, E1773 &lt;48), "38-47",
AND(E1773&gt;47, E1773 &lt;58), "48-57",
AND(E1773&gt;57, E1773&lt;68), "58-67",
AND(E1773&gt;67, E1773&lt;78), "68-77",
E1773&gt;77,"Above than 77")</f>
        <v>58-67</v>
      </c>
      <c r="E1773">
        <v>58</v>
      </c>
      <c r="F1773" s="1">
        <v>23705</v>
      </c>
      <c r="G1773" s="1" t="str">
        <f>VLOOKUP(H1773,Table7[#All], 2, FALSE)</f>
        <v>Massachusetts</v>
      </c>
      <c r="H1773" s="2" t="s">
        <v>14</v>
      </c>
      <c r="I1773" s="2" t="s">
        <v>22</v>
      </c>
      <c r="J1773" s="2" t="s">
        <v>31</v>
      </c>
      <c r="K1773" s="2" t="s">
        <v>8</v>
      </c>
      <c r="L1773" s="2" t="s">
        <v>9</v>
      </c>
      <c r="M1773" s="2" t="s">
        <v>25</v>
      </c>
      <c r="N1773" s="2" t="s">
        <v>19</v>
      </c>
      <c r="O1773" s="2" t="s">
        <v>12</v>
      </c>
      <c r="P1773" s="2" t="s">
        <v>44</v>
      </c>
      <c r="Q1773" s="2" t="s">
        <v>23</v>
      </c>
      <c r="R1773" s="2" t="s">
        <v>41</v>
      </c>
      <c r="S1773">
        <v>1</v>
      </c>
    </row>
    <row r="1774" spans="1:19" x14ac:dyDescent="0.3">
      <c r="A1774">
        <v>3783</v>
      </c>
      <c r="B1774">
        <f>YEAR(Cleaned_HR_Data_Analysis__2[[#This Row],[Joining_Date]])</f>
        <v>2020</v>
      </c>
      <c r="C1774" s="1">
        <v>43960</v>
      </c>
      <c r="D1774" s="1" t="str" cm="1">
        <f t="array" ref="D1774">_xlfn.IFS(E1774&lt;28, "17-27",
AND(E1774&gt;27, E1774&lt;38), "28-37",
AND(E1774&gt;37, E1774 &lt;48), "38-47",
AND(E1774&gt;47, E1774 &lt;58), "48-57",
AND(E1774&gt;57, E1774&lt;68), "58-67",
AND(E1774&gt;67, E1774&lt;78), "68-77",
E1774&gt;77,"Above than 77")</f>
        <v>58-67</v>
      </c>
      <c r="E1774">
        <v>58</v>
      </c>
      <c r="F1774" s="1">
        <v>22747</v>
      </c>
      <c r="G1774" s="1" t="str">
        <f>VLOOKUP(H1774,Table7[#All], 2, FALSE)</f>
        <v>Massachusetts</v>
      </c>
      <c r="H1774" s="2" t="s">
        <v>14</v>
      </c>
      <c r="I1774" s="2" t="s">
        <v>22</v>
      </c>
      <c r="J1774" s="2" t="s">
        <v>40</v>
      </c>
      <c r="K1774" s="2" t="s">
        <v>8</v>
      </c>
      <c r="L1774" s="2" t="s">
        <v>9</v>
      </c>
      <c r="M1774" s="2" t="s">
        <v>10</v>
      </c>
      <c r="N1774" s="2" t="s">
        <v>19</v>
      </c>
      <c r="O1774" s="2" t="s">
        <v>12</v>
      </c>
      <c r="P1774" s="2" t="s">
        <v>55</v>
      </c>
      <c r="Q1774" s="2" t="s">
        <v>46</v>
      </c>
      <c r="R1774" s="2" t="s">
        <v>18</v>
      </c>
      <c r="S1774">
        <v>4</v>
      </c>
    </row>
    <row r="1775" spans="1:19" x14ac:dyDescent="0.3">
      <c r="A1775">
        <v>3428</v>
      </c>
      <c r="B1775">
        <f>YEAR(Cleaned_HR_Data_Analysis__2[[#This Row],[Joining_Date]])</f>
        <v>2023</v>
      </c>
      <c r="C1775" s="1">
        <v>44968</v>
      </c>
      <c r="D1775" s="1" t="str" cm="1">
        <f t="array" ref="D1775">_xlfn.IFS(E1775&lt;28, "17-27",
AND(E1775&gt;27, E1775&lt;38), "28-37",
AND(E1775&gt;37, E1775 &lt;48), "38-47",
AND(E1775&gt;47, E1775 &lt;58), "48-57",
AND(E1775&gt;57, E1775&lt;68), "58-67",
AND(E1775&gt;67, E1775&lt;78), "68-77",
E1775&gt;77,"Above than 77")</f>
        <v>58-67</v>
      </c>
      <c r="E1775">
        <v>58</v>
      </c>
      <c r="F1775" s="1">
        <v>23984</v>
      </c>
      <c r="G1775" s="1" t="str">
        <f>VLOOKUP(H1775,Table7[#All], 2, FALSE)</f>
        <v>Massachusetts</v>
      </c>
      <c r="H1775" s="2" t="s">
        <v>14</v>
      </c>
      <c r="I1775" s="2" t="s">
        <v>22</v>
      </c>
      <c r="J1775" s="2" t="s">
        <v>17</v>
      </c>
      <c r="K1775" s="2" t="s">
        <v>8</v>
      </c>
      <c r="L1775" s="2" t="s">
        <v>9</v>
      </c>
      <c r="M1775" s="2" t="s">
        <v>10</v>
      </c>
      <c r="N1775" s="2" t="s">
        <v>19</v>
      </c>
      <c r="O1775" s="2" t="s">
        <v>12</v>
      </c>
      <c r="P1775" s="2" t="s">
        <v>21</v>
      </c>
      <c r="Q1775" s="2" t="s">
        <v>23</v>
      </c>
      <c r="R1775" s="2" t="s">
        <v>18</v>
      </c>
      <c r="S1775">
        <v>1</v>
      </c>
    </row>
    <row r="1776" spans="1:19" x14ac:dyDescent="0.3">
      <c r="A1776">
        <v>3235</v>
      </c>
      <c r="B1776">
        <f>YEAR(Cleaned_HR_Data_Analysis__2[[#This Row],[Joining_Date]])</f>
        <v>2021</v>
      </c>
      <c r="C1776" s="1">
        <v>44553</v>
      </c>
      <c r="D1776" s="1" t="str" cm="1">
        <f t="array" ref="D1776">_xlfn.IFS(E1776&lt;28, "17-27",
AND(E1776&gt;27, E1776&lt;38), "28-37",
AND(E1776&gt;37, E1776 &lt;48), "38-47",
AND(E1776&gt;47, E1776 &lt;58), "48-57",
AND(E1776&gt;57, E1776&lt;68), "58-67",
AND(E1776&gt;67, E1776&lt;78), "68-77",
E1776&gt;77,"Above than 77")</f>
        <v>58-67</v>
      </c>
      <c r="E1776">
        <v>58</v>
      </c>
      <c r="F1776" s="1">
        <v>23224</v>
      </c>
      <c r="G1776" s="1" t="str">
        <f>VLOOKUP(H1776,Table7[#All], 2, FALSE)</f>
        <v>Massachusetts</v>
      </c>
      <c r="H1776" s="2" t="s">
        <v>14</v>
      </c>
      <c r="I1776" s="2" t="s">
        <v>22</v>
      </c>
      <c r="J1776" s="2" t="s">
        <v>34</v>
      </c>
      <c r="K1776" s="2" t="s">
        <v>8</v>
      </c>
      <c r="L1776" s="2" t="s">
        <v>9</v>
      </c>
      <c r="M1776" s="2" t="s">
        <v>10</v>
      </c>
      <c r="N1776" s="2" t="s">
        <v>11</v>
      </c>
      <c r="O1776" s="2" t="s">
        <v>12</v>
      </c>
      <c r="P1776" s="2" t="s">
        <v>42</v>
      </c>
      <c r="Q1776" s="2" t="s">
        <v>23</v>
      </c>
      <c r="R1776" s="2" t="s">
        <v>18</v>
      </c>
      <c r="S1776">
        <v>4</v>
      </c>
    </row>
    <row r="1777" spans="1:19" x14ac:dyDescent="0.3">
      <c r="A1777">
        <v>3206</v>
      </c>
      <c r="B1777">
        <f>YEAR(Cleaned_HR_Data_Analysis__2[[#This Row],[Joining_Date]])</f>
        <v>2019</v>
      </c>
      <c r="C1777" s="1">
        <v>43714</v>
      </c>
      <c r="D1777" s="1" t="str" cm="1">
        <f t="array" ref="D1777">_xlfn.IFS(E1777&lt;28, "17-27",
AND(E1777&gt;27, E1777&lt;38), "28-37",
AND(E1777&gt;37, E1777 &lt;48), "38-47",
AND(E1777&gt;47, E1777 &lt;58), "48-57",
AND(E1777&gt;57, E1777&lt;68), "58-67",
AND(E1777&gt;67, E1777&lt;78), "68-77",
E1777&gt;77,"Above than 77")</f>
        <v>58-67</v>
      </c>
      <c r="E1777">
        <v>58</v>
      </c>
      <c r="F1777" s="1">
        <v>22356</v>
      </c>
      <c r="G1777" s="1" t="str">
        <f>VLOOKUP(H1777,Table7[#All], 2, FALSE)</f>
        <v>Massachusetts</v>
      </c>
      <c r="H1777" s="2" t="s">
        <v>14</v>
      </c>
      <c r="I1777" s="2" t="s">
        <v>22</v>
      </c>
      <c r="J1777" s="2" t="s">
        <v>40</v>
      </c>
      <c r="K1777" s="2" t="s">
        <v>8</v>
      </c>
      <c r="L1777" s="2" t="s">
        <v>9</v>
      </c>
      <c r="M1777" s="2" t="s">
        <v>20</v>
      </c>
      <c r="N1777" s="2" t="s">
        <v>19</v>
      </c>
      <c r="O1777" s="2" t="s">
        <v>12</v>
      </c>
      <c r="P1777" s="2" t="s">
        <v>59</v>
      </c>
      <c r="Q1777" s="2" t="s">
        <v>23</v>
      </c>
      <c r="R1777" s="2" t="s">
        <v>18</v>
      </c>
      <c r="S1777">
        <v>4</v>
      </c>
    </row>
    <row r="1778" spans="1:19" x14ac:dyDescent="0.3">
      <c r="A1778">
        <v>2934</v>
      </c>
      <c r="B1778">
        <f>YEAR(Cleaned_HR_Data_Analysis__2[[#This Row],[Joining_Date]])</f>
        <v>2021</v>
      </c>
      <c r="C1778" s="1">
        <v>44493</v>
      </c>
      <c r="D1778" s="1" t="str" cm="1">
        <f t="array" ref="D1778">_xlfn.IFS(E1778&lt;28, "17-27",
AND(E1778&gt;27, E1778&lt;38), "28-37",
AND(E1778&gt;37, E1778 &lt;48), "38-47",
AND(E1778&gt;47, E1778 &lt;58), "48-57",
AND(E1778&gt;57, E1778&lt;68), "58-67",
AND(E1778&gt;67, E1778&lt;78), "68-77",
E1778&gt;77,"Above than 77")</f>
        <v>58-67</v>
      </c>
      <c r="E1778">
        <v>58</v>
      </c>
      <c r="F1778" s="1">
        <v>23329</v>
      </c>
      <c r="G1778" s="1" t="str">
        <f>VLOOKUP(H1778,Table7[#All], 2, FALSE)</f>
        <v>Massachusetts</v>
      </c>
      <c r="H1778" s="2" t="s">
        <v>14</v>
      </c>
      <c r="I1778" s="2" t="s">
        <v>22</v>
      </c>
      <c r="J1778" s="2" t="s">
        <v>17</v>
      </c>
      <c r="K1778" s="2" t="s">
        <v>8</v>
      </c>
      <c r="L1778" s="2" t="s">
        <v>9</v>
      </c>
      <c r="M1778" s="2" t="s">
        <v>10</v>
      </c>
      <c r="N1778" s="2" t="s">
        <v>26</v>
      </c>
      <c r="O1778" s="2" t="s">
        <v>12</v>
      </c>
      <c r="P1778" s="2" t="s">
        <v>35</v>
      </c>
      <c r="Q1778" s="2" t="s">
        <v>46</v>
      </c>
      <c r="R1778" s="2" t="s">
        <v>18</v>
      </c>
      <c r="S1778">
        <v>3</v>
      </c>
    </row>
    <row r="1779" spans="1:19" x14ac:dyDescent="0.3">
      <c r="A1779">
        <v>2841</v>
      </c>
      <c r="B1779">
        <f>YEAR(Cleaned_HR_Data_Analysis__2[[#This Row],[Joining_Date]])</f>
        <v>2019</v>
      </c>
      <c r="C1779" s="1">
        <v>43561</v>
      </c>
      <c r="D1779" s="1" t="str" cm="1">
        <f t="array" ref="D1779">_xlfn.IFS(E1779&lt;28, "17-27",
AND(E1779&gt;27, E1779&lt;38), "28-37",
AND(E1779&gt;37, E1779 &lt;48), "38-47",
AND(E1779&gt;47, E1779 &lt;58), "48-57",
AND(E1779&gt;57, E1779&lt;68), "58-67",
AND(E1779&gt;67, E1779&lt;78), "68-77",
E1779&gt;77,"Above than 77")</f>
        <v>58-67</v>
      </c>
      <c r="E1779">
        <v>58</v>
      </c>
      <c r="F1779" s="1">
        <v>22568</v>
      </c>
      <c r="G1779" s="1" t="str">
        <f>VLOOKUP(H1779,Table7[#All], 2, FALSE)</f>
        <v>Massachusetts</v>
      </c>
      <c r="H1779" s="2" t="s">
        <v>14</v>
      </c>
      <c r="I1779" s="2" t="s">
        <v>22</v>
      </c>
      <c r="J1779" s="2" t="s">
        <v>34</v>
      </c>
      <c r="K1779" s="2" t="s">
        <v>8</v>
      </c>
      <c r="L1779" s="2" t="s">
        <v>9</v>
      </c>
      <c r="M1779" s="2" t="s">
        <v>10</v>
      </c>
      <c r="N1779" s="2" t="s">
        <v>26</v>
      </c>
      <c r="O1779" s="2" t="s">
        <v>12</v>
      </c>
      <c r="P1779" s="2" t="s">
        <v>32</v>
      </c>
      <c r="Q1779" s="2" t="s">
        <v>23</v>
      </c>
      <c r="R1779" s="2" t="s">
        <v>18</v>
      </c>
      <c r="S1779">
        <v>2</v>
      </c>
    </row>
    <row r="1780" spans="1:19" x14ac:dyDescent="0.3">
      <c r="A1780">
        <v>2773</v>
      </c>
      <c r="B1780">
        <f>YEAR(Cleaned_HR_Data_Analysis__2[[#This Row],[Joining_Date]])</f>
        <v>2022</v>
      </c>
      <c r="C1780" s="1">
        <v>44923</v>
      </c>
      <c r="D1780" s="1" t="str" cm="1">
        <f t="array" ref="D1780">_xlfn.IFS(E1780&lt;28, "17-27",
AND(E1780&gt;27, E1780&lt;38), "28-37",
AND(E1780&gt;37, E1780 &lt;48), "38-47",
AND(E1780&gt;47, E1780 &lt;58), "48-57",
AND(E1780&gt;57, E1780&lt;68), "58-67",
AND(E1780&gt;67, E1780&lt;78), "68-77",
E1780&gt;77,"Above than 77")</f>
        <v>58-67</v>
      </c>
      <c r="E1780">
        <v>58</v>
      </c>
      <c r="F1780" s="1">
        <v>23548</v>
      </c>
      <c r="G1780" s="1" t="str">
        <f>VLOOKUP(H1780,Table7[#All], 2, FALSE)</f>
        <v>Massachusetts</v>
      </c>
      <c r="H1780" s="2" t="s">
        <v>14</v>
      </c>
      <c r="I1780" s="2" t="s">
        <v>22</v>
      </c>
      <c r="J1780" s="2" t="s">
        <v>17</v>
      </c>
      <c r="K1780" s="2" t="s">
        <v>8</v>
      </c>
      <c r="L1780" s="2" t="s">
        <v>9</v>
      </c>
      <c r="M1780" s="2" t="s">
        <v>25</v>
      </c>
      <c r="N1780" s="2" t="s">
        <v>26</v>
      </c>
      <c r="O1780" s="2" t="s">
        <v>12</v>
      </c>
      <c r="P1780" s="2" t="s">
        <v>49</v>
      </c>
      <c r="Q1780" s="2" t="s">
        <v>16</v>
      </c>
      <c r="R1780" s="2" t="s">
        <v>18</v>
      </c>
      <c r="S1780">
        <v>5</v>
      </c>
    </row>
    <row r="1781" spans="1:19" x14ac:dyDescent="0.3">
      <c r="A1781">
        <v>2748</v>
      </c>
      <c r="B1781">
        <f>YEAR(Cleaned_HR_Data_Analysis__2[[#This Row],[Joining_Date]])</f>
        <v>2022</v>
      </c>
      <c r="C1781" s="1">
        <v>44753</v>
      </c>
      <c r="D1781" s="1" t="str" cm="1">
        <f t="array" ref="D1781">_xlfn.IFS(E1781&lt;28, "17-27",
AND(E1781&gt;27, E1781&lt;38), "28-37",
AND(E1781&gt;37, E1781 &lt;48), "38-47",
AND(E1781&gt;47, E1781 &lt;58), "48-57",
AND(E1781&gt;57, E1781&lt;68), "58-67",
AND(E1781&gt;67, E1781&lt;78), "68-77",
E1781&gt;77,"Above than 77")</f>
        <v>58-67</v>
      </c>
      <c r="E1781">
        <v>58</v>
      </c>
      <c r="F1781" s="1">
        <v>23543</v>
      </c>
      <c r="G1781" s="1" t="str">
        <f>VLOOKUP(H1781,Table7[#All], 2, FALSE)</f>
        <v>Massachusetts</v>
      </c>
      <c r="H1781" s="2" t="s">
        <v>14</v>
      </c>
      <c r="I1781" s="2" t="s">
        <v>15</v>
      </c>
      <c r="J1781" s="2" t="s">
        <v>17</v>
      </c>
      <c r="K1781" s="2" t="s">
        <v>8</v>
      </c>
      <c r="L1781" s="2" t="s">
        <v>9</v>
      </c>
      <c r="M1781" s="2" t="s">
        <v>25</v>
      </c>
      <c r="N1781" s="2" t="s">
        <v>11</v>
      </c>
      <c r="O1781" s="2" t="s">
        <v>12</v>
      </c>
      <c r="P1781" s="2" t="s">
        <v>28</v>
      </c>
      <c r="Q1781" s="2" t="s">
        <v>23</v>
      </c>
      <c r="R1781" s="2" t="s">
        <v>18</v>
      </c>
      <c r="S1781">
        <v>2</v>
      </c>
    </row>
    <row r="1782" spans="1:19" x14ac:dyDescent="0.3">
      <c r="A1782">
        <v>2747</v>
      </c>
      <c r="B1782">
        <f>YEAR(Cleaned_HR_Data_Analysis__2[[#This Row],[Joining_Date]])</f>
        <v>2018</v>
      </c>
      <c r="C1782" s="1">
        <v>43330</v>
      </c>
      <c r="D1782" s="1" t="str" cm="1">
        <f t="array" ref="D1782">_xlfn.IFS(E1782&lt;28, "17-27",
AND(E1782&gt;27, E1782&lt;38), "28-37",
AND(E1782&gt;37, E1782 &lt;48), "38-47",
AND(E1782&gt;47, E1782 &lt;58), "48-57",
AND(E1782&gt;57, E1782&lt;68), "58-67",
AND(E1782&gt;67, E1782&lt;78), "68-77",
E1782&gt;77,"Above than 77")</f>
        <v>58-67</v>
      </c>
      <c r="E1782">
        <v>58</v>
      </c>
      <c r="F1782" s="1">
        <v>22243</v>
      </c>
      <c r="G1782" s="1" t="str">
        <f>VLOOKUP(H1782,Table7[#All], 2, FALSE)</f>
        <v>Massachusetts</v>
      </c>
      <c r="H1782" s="2" t="s">
        <v>14</v>
      </c>
      <c r="I1782" s="2" t="s">
        <v>15</v>
      </c>
      <c r="J1782" s="2" t="s">
        <v>34</v>
      </c>
      <c r="K1782" s="2" t="s">
        <v>8</v>
      </c>
      <c r="L1782" s="2" t="s">
        <v>9</v>
      </c>
      <c r="M1782" s="2" t="s">
        <v>20</v>
      </c>
      <c r="N1782" s="2" t="s">
        <v>26</v>
      </c>
      <c r="O1782" s="2" t="s">
        <v>12</v>
      </c>
      <c r="P1782" s="2" t="s">
        <v>32</v>
      </c>
      <c r="Q1782" s="2" t="s">
        <v>23</v>
      </c>
      <c r="R1782" s="2" t="s">
        <v>18</v>
      </c>
      <c r="S1782">
        <v>1</v>
      </c>
    </row>
    <row r="1783" spans="1:19" x14ac:dyDescent="0.3">
      <c r="A1783">
        <v>2132</v>
      </c>
      <c r="B1783">
        <f>YEAR(Cleaned_HR_Data_Analysis__2[[#This Row],[Joining_Date]])</f>
        <v>2022</v>
      </c>
      <c r="C1783" s="1">
        <v>44676</v>
      </c>
      <c r="D1783" s="1" t="str" cm="1">
        <f t="array" ref="D1783">_xlfn.IFS(E1783&lt;28, "17-27",
AND(E1783&gt;27, E1783&lt;38), "28-37",
AND(E1783&gt;37, E1783 &lt;48), "38-47",
AND(E1783&gt;47, E1783 &lt;58), "48-57",
AND(E1783&gt;57, E1783&lt;68), "58-67",
AND(E1783&gt;67, E1783&lt;78), "68-77",
E1783&gt;77,"Above than 77")</f>
        <v>58-67</v>
      </c>
      <c r="E1783">
        <v>58</v>
      </c>
      <c r="F1783" s="1">
        <v>23546</v>
      </c>
      <c r="G1783" s="1" t="str">
        <f>VLOOKUP(H1783,Table7[#All], 2, FALSE)</f>
        <v>Massachusetts</v>
      </c>
      <c r="H1783" s="2" t="s">
        <v>14</v>
      </c>
      <c r="I1783" s="2" t="s">
        <v>15</v>
      </c>
      <c r="J1783" s="2" t="s">
        <v>17</v>
      </c>
      <c r="K1783" s="2" t="s">
        <v>8</v>
      </c>
      <c r="L1783" s="2" t="s">
        <v>9</v>
      </c>
      <c r="M1783" s="2" t="s">
        <v>25</v>
      </c>
      <c r="N1783" s="2" t="s">
        <v>19</v>
      </c>
      <c r="O1783" s="2" t="s">
        <v>12</v>
      </c>
      <c r="P1783" s="2" t="s">
        <v>55</v>
      </c>
      <c r="Q1783" s="2" t="s">
        <v>30</v>
      </c>
      <c r="R1783" s="2" t="s">
        <v>56</v>
      </c>
      <c r="S1783">
        <v>3</v>
      </c>
    </row>
    <row r="1784" spans="1:19" x14ac:dyDescent="0.3">
      <c r="A1784">
        <v>2101</v>
      </c>
      <c r="B1784">
        <f>YEAR(Cleaned_HR_Data_Analysis__2[[#This Row],[Joining_Date]])</f>
        <v>2022</v>
      </c>
      <c r="C1784" s="1">
        <v>44923</v>
      </c>
      <c r="D1784" s="1" t="str" cm="1">
        <f t="array" ref="D1784">_xlfn.IFS(E1784&lt;28, "17-27",
AND(E1784&gt;27, E1784&lt;38), "28-37",
AND(E1784&gt;37, E1784 &lt;48), "38-47",
AND(E1784&gt;47, E1784 &lt;58), "48-57",
AND(E1784&gt;57, E1784&lt;68), "58-67",
AND(E1784&gt;67, E1784&lt;78), "68-77",
E1784&gt;77,"Above than 77")</f>
        <v>58-67</v>
      </c>
      <c r="E1784">
        <v>58</v>
      </c>
      <c r="F1784" s="1">
        <v>23724</v>
      </c>
      <c r="G1784" s="1" t="str">
        <f>VLOOKUP(H1784,Table7[#All], 2, FALSE)</f>
        <v>Massachusetts</v>
      </c>
      <c r="H1784" s="2" t="s">
        <v>14</v>
      </c>
      <c r="I1784" s="2" t="s">
        <v>15</v>
      </c>
      <c r="J1784" s="2" t="s">
        <v>34</v>
      </c>
      <c r="K1784" s="2" t="s">
        <v>8</v>
      </c>
      <c r="L1784" s="2" t="s">
        <v>66</v>
      </c>
      <c r="M1784" s="2" t="s">
        <v>25</v>
      </c>
      <c r="N1784" s="2" t="s">
        <v>26</v>
      </c>
      <c r="O1784" s="2" t="s">
        <v>12</v>
      </c>
      <c r="P1784" s="2" t="s">
        <v>55</v>
      </c>
      <c r="Q1784" s="2" t="s">
        <v>23</v>
      </c>
      <c r="R1784" s="2" t="s">
        <v>65</v>
      </c>
      <c r="S1784">
        <v>4</v>
      </c>
    </row>
    <row r="1785" spans="1:19" x14ac:dyDescent="0.3">
      <c r="A1785">
        <v>1830</v>
      </c>
      <c r="B1785">
        <f>YEAR(Cleaned_HR_Data_Analysis__2[[#This Row],[Joining_Date]])</f>
        <v>2018</v>
      </c>
      <c r="C1785" s="1">
        <v>43442</v>
      </c>
      <c r="D1785" s="1" t="str" cm="1">
        <f t="array" ref="D1785">_xlfn.IFS(E1785&lt;28, "17-27",
AND(E1785&gt;27, E1785&lt;38), "28-37",
AND(E1785&gt;37, E1785 &lt;48), "38-47",
AND(E1785&gt;47, E1785 &lt;58), "48-57",
AND(E1785&gt;57, E1785&lt;68), "58-67",
AND(E1785&gt;67, E1785&lt;78), "68-77",
E1785&gt;77,"Above than 77")</f>
        <v>58-67</v>
      </c>
      <c r="E1785">
        <v>58</v>
      </c>
      <c r="F1785" s="1">
        <v>22246</v>
      </c>
      <c r="G1785" s="1" t="str">
        <f>VLOOKUP(H1785,Table7[#All], 2, FALSE)</f>
        <v>Massachusetts</v>
      </c>
      <c r="H1785" s="2" t="s">
        <v>14</v>
      </c>
      <c r="I1785" s="2" t="s">
        <v>15</v>
      </c>
      <c r="J1785" s="2" t="s">
        <v>34</v>
      </c>
      <c r="K1785" s="2" t="s">
        <v>8</v>
      </c>
      <c r="L1785" s="2" t="s">
        <v>9</v>
      </c>
      <c r="M1785" s="2" t="s">
        <v>25</v>
      </c>
      <c r="N1785" s="2" t="s">
        <v>19</v>
      </c>
      <c r="O1785" s="2" t="s">
        <v>12</v>
      </c>
      <c r="P1785" s="2" t="s">
        <v>13</v>
      </c>
      <c r="Q1785" s="2" t="s">
        <v>37</v>
      </c>
      <c r="R1785" s="2" t="s">
        <v>56</v>
      </c>
      <c r="S1785">
        <v>4</v>
      </c>
    </row>
    <row r="1786" spans="1:19" x14ac:dyDescent="0.3">
      <c r="A1786">
        <v>1794</v>
      </c>
      <c r="B1786">
        <f>YEAR(Cleaned_HR_Data_Analysis__2[[#This Row],[Joining_Date]])</f>
        <v>2021</v>
      </c>
      <c r="C1786" s="1">
        <v>44342</v>
      </c>
      <c r="D1786" s="1" t="str" cm="1">
        <f t="array" ref="D1786">_xlfn.IFS(E1786&lt;28, "17-27",
AND(E1786&gt;27, E1786&lt;38), "28-37",
AND(E1786&gt;37, E1786 &lt;48), "38-47",
AND(E1786&gt;47, E1786 &lt;58), "48-57",
AND(E1786&gt;57, E1786&lt;68), "58-67",
AND(E1786&gt;67, E1786&lt;78), "68-77",
E1786&gt;77,"Above than 77")</f>
        <v>58-67</v>
      </c>
      <c r="E1786">
        <v>58</v>
      </c>
      <c r="F1786" s="1">
        <v>23236</v>
      </c>
      <c r="G1786" s="1" t="str">
        <f>VLOOKUP(H1786,Table7[#All], 2, FALSE)</f>
        <v>Massachusetts</v>
      </c>
      <c r="H1786" s="2" t="s">
        <v>14</v>
      </c>
      <c r="I1786" s="2" t="s">
        <v>15</v>
      </c>
      <c r="J1786" s="2" t="s">
        <v>17</v>
      </c>
      <c r="K1786" s="2" t="s">
        <v>8</v>
      </c>
      <c r="L1786" s="2" t="s">
        <v>9</v>
      </c>
      <c r="M1786" s="2" t="s">
        <v>10</v>
      </c>
      <c r="N1786" s="2" t="s">
        <v>19</v>
      </c>
      <c r="O1786" s="2" t="s">
        <v>12</v>
      </c>
      <c r="P1786" s="2" t="s">
        <v>28</v>
      </c>
      <c r="Q1786" s="2" t="s">
        <v>16</v>
      </c>
      <c r="R1786" s="2" t="s">
        <v>18</v>
      </c>
      <c r="S1786">
        <v>4</v>
      </c>
    </row>
    <row r="1787" spans="1:19" x14ac:dyDescent="0.3">
      <c r="A1787">
        <v>1746</v>
      </c>
      <c r="B1787">
        <f>YEAR(Cleaned_HR_Data_Analysis__2[[#This Row],[Joining_Date]])</f>
        <v>2020</v>
      </c>
      <c r="C1787" s="1">
        <v>43944</v>
      </c>
      <c r="D1787" s="1" t="str" cm="1">
        <f t="array" ref="D1787">_xlfn.IFS(E1787&lt;28, "17-27",
AND(E1787&gt;27, E1787&lt;38), "28-37",
AND(E1787&gt;37, E1787 &lt;48), "38-47",
AND(E1787&gt;47, E1787 &lt;58), "48-57",
AND(E1787&gt;57, E1787&lt;68), "58-67",
AND(E1787&gt;67, E1787&lt;78), "68-77",
E1787&gt;77,"Above than 77")</f>
        <v>58-67</v>
      </c>
      <c r="E1787">
        <v>58</v>
      </c>
      <c r="F1787" s="1">
        <v>22742</v>
      </c>
      <c r="G1787" s="1" t="str">
        <f>VLOOKUP(H1787,Table7[#All], 2, FALSE)</f>
        <v>Massachusetts</v>
      </c>
      <c r="H1787" s="2" t="s">
        <v>14</v>
      </c>
      <c r="I1787" s="2" t="s">
        <v>22</v>
      </c>
      <c r="J1787" s="2" t="s">
        <v>17</v>
      </c>
      <c r="K1787" s="2" t="s">
        <v>8</v>
      </c>
      <c r="L1787" s="2" t="s">
        <v>9</v>
      </c>
      <c r="M1787" s="2" t="s">
        <v>25</v>
      </c>
      <c r="N1787" s="2" t="s">
        <v>19</v>
      </c>
      <c r="O1787" s="2" t="s">
        <v>12</v>
      </c>
      <c r="P1787" s="2" t="s">
        <v>28</v>
      </c>
      <c r="Q1787" s="2" t="s">
        <v>23</v>
      </c>
      <c r="R1787" s="2" t="s">
        <v>18</v>
      </c>
      <c r="S1787">
        <v>3</v>
      </c>
    </row>
    <row r="1788" spans="1:19" x14ac:dyDescent="0.3">
      <c r="A1788">
        <v>1543</v>
      </c>
      <c r="B1788">
        <f>YEAR(Cleaned_HR_Data_Analysis__2[[#This Row],[Joining_Date]])</f>
        <v>2019</v>
      </c>
      <c r="C1788" s="1">
        <v>43657</v>
      </c>
      <c r="D1788" s="1" t="str" cm="1">
        <f t="array" ref="D1788">_xlfn.IFS(E1788&lt;28, "17-27",
AND(E1788&gt;27, E1788&lt;38), "28-37",
AND(E1788&gt;37, E1788 &lt;48), "38-47",
AND(E1788&gt;47, E1788 &lt;58), "48-57",
AND(E1788&gt;57, E1788&lt;68), "58-67",
AND(E1788&gt;67, E1788&lt;78), "68-77",
E1788&gt;77,"Above than 77")</f>
        <v>58-67</v>
      </c>
      <c r="E1788">
        <v>58</v>
      </c>
      <c r="F1788" s="1">
        <v>22478</v>
      </c>
      <c r="G1788" s="1" t="str">
        <f>VLOOKUP(H1788,Table7[#All], 2, FALSE)</f>
        <v>Massachusetts</v>
      </c>
      <c r="H1788" s="2" t="s">
        <v>14</v>
      </c>
      <c r="I1788" s="2" t="s">
        <v>22</v>
      </c>
      <c r="J1788" s="2" t="s">
        <v>34</v>
      </c>
      <c r="K1788" s="2" t="s">
        <v>8</v>
      </c>
      <c r="L1788" s="2" t="s">
        <v>9</v>
      </c>
      <c r="M1788" s="2" t="s">
        <v>20</v>
      </c>
      <c r="N1788" s="2" t="s">
        <v>19</v>
      </c>
      <c r="O1788" s="2" t="s">
        <v>12</v>
      </c>
      <c r="P1788" s="2" t="s">
        <v>35</v>
      </c>
      <c r="Q1788" s="2" t="s">
        <v>37</v>
      </c>
      <c r="R1788" s="2" t="s">
        <v>18</v>
      </c>
      <c r="S1788">
        <v>1</v>
      </c>
    </row>
    <row r="1789" spans="1:19" x14ac:dyDescent="0.3">
      <c r="A1789">
        <v>1245</v>
      </c>
      <c r="B1789">
        <f>YEAR(Cleaned_HR_Data_Analysis__2[[#This Row],[Joining_Date]])</f>
        <v>2019</v>
      </c>
      <c r="C1789" s="1">
        <v>43602</v>
      </c>
      <c r="D1789" s="1" t="str" cm="1">
        <f t="array" ref="D1789">_xlfn.IFS(E1789&lt;28, "17-27",
AND(E1789&gt;27, E1789&lt;38), "28-37",
AND(E1789&gt;37, E1789 &lt;48), "38-47",
AND(E1789&gt;47, E1789 &lt;58), "48-57",
AND(E1789&gt;57, E1789&lt;68), "58-67",
AND(E1789&gt;67, E1789&lt;78), "68-77",
E1789&gt;77,"Above than 77")</f>
        <v>58-67</v>
      </c>
      <c r="E1789">
        <v>58</v>
      </c>
      <c r="F1789" s="1">
        <v>22315</v>
      </c>
      <c r="G1789" s="1" t="str">
        <f>VLOOKUP(H1789,Table7[#All], 2, FALSE)</f>
        <v>Massachusetts</v>
      </c>
      <c r="H1789" s="2" t="s">
        <v>14</v>
      </c>
      <c r="I1789" s="2" t="s">
        <v>22</v>
      </c>
      <c r="J1789" s="2" t="s">
        <v>17</v>
      </c>
      <c r="K1789" s="2" t="s">
        <v>8</v>
      </c>
      <c r="L1789" s="2" t="s">
        <v>9</v>
      </c>
      <c r="M1789" s="2" t="s">
        <v>25</v>
      </c>
      <c r="N1789" s="2" t="s">
        <v>26</v>
      </c>
      <c r="O1789" s="2" t="s">
        <v>12</v>
      </c>
      <c r="P1789" s="2" t="s">
        <v>42</v>
      </c>
      <c r="Q1789" s="2" t="s">
        <v>16</v>
      </c>
      <c r="R1789" s="2" t="s">
        <v>18</v>
      </c>
      <c r="S1789">
        <v>5</v>
      </c>
    </row>
    <row r="1790" spans="1:19" x14ac:dyDescent="0.3">
      <c r="A1790">
        <v>1132</v>
      </c>
      <c r="B1790">
        <f>YEAR(Cleaned_HR_Data_Analysis__2[[#This Row],[Joining_Date]])</f>
        <v>2021</v>
      </c>
      <c r="C1790" s="1">
        <v>44331</v>
      </c>
      <c r="D1790" s="1" t="str" cm="1">
        <f t="array" ref="D1790">_xlfn.IFS(E1790&lt;28, "17-27",
AND(E1790&gt;27, E1790&lt;38), "28-37",
AND(E1790&gt;37, E1790 &lt;48), "38-47",
AND(E1790&gt;47, E1790 &lt;58), "48-57",
AND(E1790&gt;57, E1790&lt;68), "58-67",
AND(E1790&gt;67, E1790&lt;78), "68-77",
E1790&gt;77,"Above than 77")</f>
        <v>58-67</v>
      </c>
      <c r="E1790">
        <v>58</v>
      </c>
      <c r="F1790" s="1">
        <v>23319</v>
      </c>
      <c r="G1790" s="1" t="str">
        <f>VLOOKUP(H1790,Table7[#All], 2, FALSE)</f>
        <v>Massachusetts</v>
      </c>
      <c r="H1790" s="2" t="s">
        <v>14</v>
      </c>
      <c r="I1790" s="2" t="s">
        <v>15</v>
      </c>
      <c r="J1790" s="2" t="s">
        <v>17</v>
      </c>
      <c r="K1790" s="2" t="s">
        <v>8</v>
      </c>
      <c r="L1790" s="2" t="s">
        <v>66</v>
      </c>
      <c r="M1790" s="2" t="s">
        <v>10</v>
      </c>
      <c r="N1790" s="2" t="s">
        <v>26</v>
      </c>
      <c r="O1790" s="2" t="s">
        <v>12</v>
      </c>
      <c r="P1790" s="2" t="s">
        <v>21</v>
      </c>
      <c r="Q1790" s="2" t="s">
        <v>23</v>
      </c>
      <c r="R1790" s="2" t="s">
        <v>18</v>
      </c>
      <c r="S1790">
        <v>5</v>
      </c>
    </row>
    <row r="1791" spans="1:19" x14ac:dyDescent="0.3">
      <c r="A1791">
        <v>2438</v>
      </c>
      <c r="B1791">
        <f>YEAR(Cleaned_HR_Data_Analysis__2[[#This Row],[Joining_Date]])</f>
        <v>2022</v>
      </c>
      <c r="C1791" s="1">
        <v>44633</v>
      </c>
      <c r="D1791" s="1" t="str" cm="1">
        <f t="array" ref="D1791">_xlfn.IFS(E1791&lt;28, "17-27",
AND(E1791&gt;27, E1791&lt;38), "28-37",
AND(E1791&gt;37, E1791 &lt;48), "38-47",
AND(E1791&gt;47, E1791 &lt;58), "48-57",
AND(E1791&gt;57, E1791&lt;68), "58-67",
AND(E1791&gt;67, E1791&lt;78), "68-77",
E1791&gt;77,"Above than 77")</f>
        <v>58-67</v>
      </c>
      <c r="E1791">
        <v>58</v>
      </c>
      <c r="F1791" s="1">
        <v>23642</v>
      </c>
      <c r="G1791" s="1" t="str">
        <f>VLOOKUP(H1791,Table7[#All], 2, FALSE)</f>
        <v>Massachusetts</v>
      </c>
      <c r="H1791" s="2" t="s">
        <v>14</v>
      </c>
      <c r="I1791" s="2" t="s">
        <v>15</v>
      </c>
      <c r="J1791" s="2" t="s">
        <v>40</v>
      </c>
      <c r="K1791" s="2" t="s">
        <v>91</v>
      </c>
      <c r="L1791" s="2" t="s">
        <v>9</v>
      </c>
      <c r="M1791" s="2" t="s">
        <v>10</v>
      </c>
      <c r="N1791" s="2" t="s">
        <v>19</v>
      </c>
      <c r="O1791" s="2" t="s">
        <v>12</v>
      </c>
      <c r="P1791" s="2" t="s">
        <v>61</v>
      </c>
      <c r="Q1791" s="2" t="s">
        <v>37</v>
      </c>
      <c r="R1791" s="2" t="s">
        <v>18</v>
      </c>
      <c r="S1791">
        <v>1</v>
      </c>
    </row>
    <row r="1792" spans="1:19" x14ac:dyDescent="0.3">
      <c r="A1792">
        <v>2320</v>
      </c>
      <c r="B1792">
        <f>YEAR(Cleaned_HR_Data_Analysis__2[[#This Row],[Joining_Date]])</f>
        <v>2022</v>
      </c>
      <c r="C1792" s="1">
        <v>44860</v>
      </c>
      <c r="D1792" s="1" t="str" cm="1">
        <f t="array" ref="D1792">_xlfn.IFS(E1792&lt;28, "17-27",
AND(E1792&gt;27, E1792&lt;38), "28-37",
AND(E1792&gt;37, E1792 &lt;48), "38-47",
AND(E1792&gt;47, E1792 &lt;58), "48-57",
AND(E1792&gt;57, E1792&lt;68), "58-67",
AND(E1792&gt;67, E1792&lt;78), "68-77",
E1792&gt;77,"Above than 77")</f>
        <v>58-67</v>
      </c>
      <c r="E1792">
        <v>58</v>
      </c>
      <c r="F1792" s="1">
        <v>23629</v>
      </c>
      <c r="G1792" s="1" t="str">
        <f>VLOOKUP(H1792,Table7[#All], 2, FALSE)</f>
        <v>Massachusetts</v>
      </c>
      <c r="H1792" s="2" t="s">
        <v>14</v>
      </c>
      <c r="I1792" s="2" t="s">
        <v>15</v>
      </c>
      <c r="J1792" s="2" t="s">
        <v>31</v>
      </c>
      <c r="K1792" s="2" t="s">
        <v>91</v>
      </c>
      <c r="L1792" s="2" t="s">
        <v>66</v>
      </c>
      <c r="M1792" s="2" t="s">
        <v>20</v>
      </c>
      <c r="N1792" s="2" t="s">
        <v>19</v>
      </c>
      <c r="O1792" s="2" t="s">
        <v>12</v>
      </c>
      <c r="P1792" s="2" t="s">
        <v>55</v>
      </c>
      <c r="Q1792" s="2" t="s">
        <v>16</v>
      </c>
      <c r="R1792" s="2" t="s">
        <v>18</v>
      </c>
      <c r="S1792">
        <v>1</v>
      </c>
    </row>
    <row r="1793" spans="1:19" x14ac:dyDescent="0.3">
      <c r="A1793">
        <v>3916</v>
      </c>
      <c r="B1793">
        <f>YEAR(Cleaned_HR_Data_Analysis__2[[#This Row],[Joining_Date]])</f>
        <v>2022</v>
      </c>
      <c r="C1793" s="1">
        <v>44739</v>
      </c>
      <c r="D1793" s="1" t="str" cm="1">
        <f t="array" ref="D1793">_xlfn.IFS(E1793&lt;28, "17-27",
AND(E1793&gt;27, E1793&lt;38), "28-37",
AND(E1793&gt;37, E1793 &lt;48), "38-47",
AND(E1793&gt;47, E1793 &lt;58), "48-57",
AND(E1793&gt;57, E1793&lt;68), "58-67",
AND(E1793&gt;67, E1793&lt;78), "68-77",
E1793&gt;77,"Above than 77")</f>
        <v>58-67</v>
      </c>
      <c r="E1793">
        <v>58</v>
      </c>
      <c r="F1793" s="1">
        <v>23522</v>
      </c>
      <c r="G1793" s="1" t="str">
        <f>VLOOKUP(H1793,Table7[#All], 2, FALSE)</f>
        <v>Massachusetts</v>
      </c>
      <c r="H1793" s="2" t="s">
        <v>14</v>
      </c>
      <c r="I1793" s="2" t="s">
        <v>22</v>
      </c>
      <c r="J1793" s="2" t="s">
        <v>17</v>
      </c>
      <c r="K1793" s="2" t="s">
        <v>71</v>
      </c>
      <c r="L1793" s="2" t="s">
        <v>9</v>
      </c>
      <c r="M1793" s="2" t="s">
        <v>20</v>
      </c>
      <c r="N1793" s="2" t="s">
        <v>11</v>
      </c>
      <c r="O1793" s="2" t="s">
        <v>53</v>
      </c>
      <c r="P1793" s="2" t="s">
        <v>54</v>
      </c>
      <c r="Q1793" s="2" t="s">
        <v>30</v>
      </c>
      <c r="R1793" s="2" t="s">
        <v>18</v>
      </c>
      <c r="S1793">
        <v>3</v>
      </c>
    </row>
    <row r="1794" spans="1:19" x14ac:dyDescent="0.3">
      <c r="A1794">
        <v>3834</v>
      </c>
      <c r="B1794">
        <f>YEAR(Cleaned_HR_Data_Analysis__2[[#This Row],[Joining_Date]])</f>
        <v>2019</v>
      </c>
      <c r="C1794" s="1">
        <v>43595</v>
      </c>
      <c r="D1794" s="1" t="str" cm="1">
        <f t="array" ref="D1794">_xlfn.IFS(E1794&lt;28, "17-27",
AND(E1794&gt;27, E1794&lt;38), "28-37",
AND(E1794&gt;37, E1794 &lt;48), "38-47",
AND(E1794&gt;47, E1794 &lt;58), "48-57",
AND(E1794&gt;57, E1794&lt;68), "58-67",
AND(E1794&gt;67, E1794&lt;78), "68-77",
E1794&gt;77,"Above than 77")</f>
        <v>58-67</v>
      </c>
      <c r="E1794">
        <v>58</v>
      </c>
      <c r="F1794" s="1">
        <v>22473</v>
      </c>
      <c r="G1794" s="1" t="str">
        <f>VLOOKUP(H1794,Table7[#All], 2, FALSE)</f>
        <v>Massachusetts</v>
      </c>
      <c r="H1794" s="2" t="s">
        <v>14</v>
      </c>
      <c r="I1794" s="2" t="s">
        <v>22</v>
      </c>
      <c r="J1794" s="2" t="s">
        <v>34</v>
      </c>
      <c r="K1794" s="2" t="s">
        <v>71</v>
      </c>
      <c r="L1794" s="2" t="s">
        <v>9</v>
      </c>
      <c r="M1794" s="2" t="s">
        <v>10</v>
      </c>
      <c r="N1794" s="2" t="s">
        <v>11</v>
      </c>
      <c r="O1794" s="2" t="s">
        <v>73</v>
      </c>
      <c r="P1794" s="2" t="s">
        <v>35</v>
      </c>
      <c r="Q1794" s="2" t="s">
        <v>23</v>
      </c>
      <c r="R1794" s="2" t="s">
        <v>18</v>
      </c>
      <c r="S1794">
        <v>5</v>
      </c>
    </row>
    <row r="1795" spans="1:19" x14ac:dyDescent="0.3">
      <c r="A1795">
        <v>3907</v>
      </c>
      <c r="B1795">
        <f>YEAR(Cleaned_HR_Data_Analysis__2[[#This Row],[Joining_Date]])</f>
        <v>2022</v>
      </c>
      <c r="C1795" s="1">
        <v>44616</v>
      </c>
      <c r="D1795" s="1" t="str" cm="1">
        <f t="array" ref="D1795">_xlfn.IFS(E1795&lt;28, "17-27",
AND(E1795&gt;27, E1795&lt;38), "28-37",
AND(E1795&gt;37, E1795 &lt;48), "38-47",
AND(E1795&gt;47, E1795 &lt;58), "48-57",
AND(E1795&gt;57, E1795&lt;68), "58-67",
AND(E1795&gt;67, E1795&lt;78), "68-77",
E1795&gt;77,"Above than 77")</f>
        <v>58-67</v>
      </c>
      <c r="E1795">
        <v>58</v>
      </c>
      <c r="F1795" s="1">
        <v>23569</v>
      </c>
      <c r="G1795" s="1" t="str">
        <f>VLOOKUP(H1795,Table7[#All], 2, FALSE)</f>
        <v>Massachusetts</v>
      </c>
      <c r="H1795" s="2" t="s">
        <v>14</v>
      </c>
      <c r="I1795" s="2" t="s">
        <v>15</v>
      </c>
      <c r="J1795" s="2" t="s">
        <v>34</v>
      </c>
      <c r="K1795" s="2" t="s">
        <v>70</v>
      </c>
      <c r="L1795" s="2" t="s">
        <v>9</v>
      </c>
      <c r="M1795" s="2" t="s">
        <v>25</v>
      </c>
      <c r="N1795" s="2" t="s">
        <v>19</v>
      </c>
      <c r="O1795" s="2" t="s">
        <v>53</v>
      </c>
      <c r="P1795" s="2" t="s">
        <v>42</v>
      </c>
      <c r="Q1795" s="2" t="s">
        <v>16</v>
      </c>
      <c r="R1795" s="2" t="s">
        <v>18</v>
      </c>
      <c r="S1795">
        <v>2</v>
      </c>
    </row>
    <row r="1796" spans="1:19" x14ac:dyDescent="0.3">
      <c r="A1796">
        <v>2213</v>
      </c>
      <c r="B1796">
        <f>YEAR(Cleaned_HR_Data_Analysis__2[[#This Row],[Joining_Date]])</f>
        <v>2023</v>
      </c>
      <c r="C1796" s="1">
        <v>45000</v>
      </c>
      <c r="D1796" s="1" t="str" cm="1">
        <f t="array" ref="D1796">_xlfn.IFS(E1796&lt;28, "17-27",
AND(E1796&gt;27, E1796&lt;38), "28-37",
AND(E1796&gt;37, E1796 &lt;48), "38-47",
AND(E1796&gt;47, E1796 &lt;58), "48-57",
AND(E1796&gt;57, E1796&lt;68), "58-67",
AND(E1796&gt;67, E1796&lt;78), "68-77",
E1796&gt;77,"Above than 77")</f>
        <v>58-67</v>
      </c>
      <c r="E1796">
        <v>58</v>
      </c>
      <c r="F1796" s="1">
        <v>23988</v>
      </c>
      <c r="G1796" s="1" t="str">
        <f>VLOOKUP(H1796,Table7[#All], 2, FALSE)</f>
        <v>Massachusetts</v>
      </c>
      <c r="H1796" s="2" t="s">
        <v>14</v>
      </c>
      <c r="I1796" s="2" t="s">
        <v>15</v>
      </c>
      <c r="J1796" s="2" t="s">
        <v>34</v>
      </c>
      <c r="K1796" s="2" t="s">
        <v>70</v>
      </c>
      <c r="L1796" s="2" t="s">
        <v>9</v>
      </c>
      <c r="M1796" s="2" t="s">
        <v>20</v>
      </c>
      <c r="N1796" s="2" t="s">
        <v>19</v>
      </c>
      <c r="O1796" s="2" t="s">
        <v>53</v>
      </c>
      <c r="P1796" s="2" t="s">
        <v>58</v>
      </c>
      <c r="Q1796" s="2" t="s">
        <v>46</v>
      </c>
      <c r="R1796" s="2" t="s">
        <v>41</v>
      </c>
      <c r="S1796">
        <v>4</v>
      </c>
    </row>
    <row r="1797" spans="1:19" x14ac:dyDescent="0.3">
      <c r="A1797">
        <v>2268</v>
      </c>
      <c r="B1797">
        <f>YEAR(Cleaned_HR_Data_Analysis__2[[#This Row],[Joining_Date]])</f>
        <v>2021</v>
      </c>
      <c r="C1797" s="1">
        <v>44200</v>
      </c>
      <c r="D1797" s="1" t="str" cm="1">
        <f t="array" ref="D1797">_xlfn.IFS(E1797&lt;28, "17-27",
AND(E1797&gt;27, E1797&lt;38), "28-37",
AND(E1797&gt;37, E1797 &lt;48), "38-47",
AND(E1797&gt;47, E1797 &lt;58), "48-57",
AND(E1797&gt;57, E1797&lt;68), "58-67",
AND(E1797&gt;67, E1797&lt;78), "68-77",
E1797&gt;77,"Above than 77")</f>
        <v>58-67</v>
      </c>
      <c r="E1797">
        <v>58</v>
      </c>
      <c r="F1797" s="1">
        <v>23229</v>
      </c>
      <c r="G1797" s="1" t="str">
        <f>VLOOKUP(H1797,Table7[#All], 2, FALSE)</f>
        <v>Connecticut</v>
      </c>
      <c r="H1797" s="2" t="s">
        <v>36</v>
      </c>
      <c r="I1797" s="2" t="s">
        <v>22</v>
      </c>
      <c r="J1797" s="2" t="s">
        <v>31</v>
      </c>
      <c r="K1797" s="2" t="s">
        <v>70</v>
      </c>
      <c r="L1797" s="2" t="s">
        <v>9</v>
      </c>
      <c r="M1797" s="2" t="s">
        <v>10</v>
      </c>
      <c r="N1797" s="2" t="s">
        <v>11</v>
      </c>
      <c r="O1797" s="2" t="s">
        <v>53</v>
      </c>
      <c r="P1797" s="2" t="s">
        <v>32</v>
      </c>
      <c r="Q1797" s="2" t="s">
        <v>16</v>
      </c>
      <c r="R1797" s="2" t="s">
        <v>18</v>
      </c>
      <c r="S1797">
        <v>3</v>
      </c>
    </row>
    <row r="1798" spans="1:19" x14ac:dyDescent="0.3">
      <c r="A1798">
        <v>3983</v>
      </c>
      <c r="B1798">
        <f>YEAR(Cleaned_HR_Data_Analysis__2[[#This Row],[Joining_Date]])</f>
        <v>2022</v>
      </c>
      <c r="C1798" s="1">
        <v>44724</v>
      </c>
      <c r="D1798" s="1" t="str" cm="1">
        <f t="array" ref="D1798">_xlfn.IFS(E1798&lt;28, "17-27",
AND(E1798&gt;27, E1798&lt;38), "28-37",
AND(E1798&gt;37, E1798 &lt;48), "38-47",
AND(E1798&gt;47, E1798 &lt;58), "48-57",
AND(E1798&gt;57, E1798&lt;68), "58-67",
AND(E1798&gt;67, E1798&lt;78), "68-77",
E1798&gt;77,"Above than 77")</f>
        <v>58-67</v>
      </c>
      <c r="E1798">
        <v>58</v>
      </c>
      <c r="F1798" s="1">
        <v>23479</v>
      </c>
      <c r="G1798" s="1" t="str">
        <f>VLOOKUP(H1798,Table7[#All], 2, FALSE)</f>
        <v>Massachusetts</v>
      </c>
      <c r="H1798" s="2" t="s">
        <v>14</v>
      </c>
      <c r="I1798" s="2" t="s">
        <v>15</v>
      </c>
      <c r="J1798" s="2" t="s">
        <v>34</v>
      </c>
      <c r="K1798" s="2" t="s">
        <v>77</v>
      </c>
      <c r="L1798" s="2" t="s">
        <v>9</v>
      </c>
      <c r="M1798" s="2" t="s">
        <v>25</v>
      </c>
      <c r="N1798" s="2" t="s">
        <v>19</v>
      </c>
      <c r="O1798" s="2" t="s">
        <v>53</v>
      </c>
      <c r="P1798" s="2" t="s">
        <v>35</v>
      </c>
      <c r="Q1798" s="2" t="s">
        <v>23</v>
      </c>
      <c r="R1798" s="2" t="s">
        <v>41</v>
      </c>
      <c r="S1798">
        <v>3</v>
      </c>
    </row>
    <row r="1799" spans="1:19" x14ac:dyDescent="0.3">
      <c r="A1799">
        <v>2428</v>
      </c>
      <c r="B1799">
        <f>YEAR(Cleaned_HR_Data_Analysis__2[[#This Row],[Joining_Date]])</f>
        <v>2021</v>
      </c>
      <c r="C1799" s="1">
        <v>44351</v>
      </c>
      <c r="D1799" s="1" t="str" cm="1">
        <f t="array" ref="D1799">_xlfn.IFS(E1799&lt;28, "17-27",
AND(E1799&gt;27, E1799&lt;38), "28-37",
AND(E1799&gt;37, E1799 &lt;48), "38-47",
AND(E1799&gt;47, E1799 &lt;58), "48-57",
AND(E1799&gt;57, E1799&lt;68), "58-67",
AND(E1799&gt;67, E1799&lt;78), "68-77",
E1799&gt;77,"Above than 77")</f>
        <v>58-67</v>
      </c>
      <c r="E1799">
        <v>58</v>
      </c>
      <c r="F1799" s="1">
        <v>23033</v>
      </c>
      <c r="G1799" s="1" t="str">
        <f>VLOOKUP(H1799,Table7[#All], 2, FALSE)</f>
        <v>Massachusetts</v>
      </c>
      <c r="H1799" s="2" t="s">
        <v>14</v>
      </c>
      <c r="I1799" s="2" t="s">
        <v>15</v>
      </c>
      <c r="J1799" s="2" t="s">
        <v>40</v>
      </c>
      <c r="K1799" s="2" t="s">
        <v>80</v>
      </c>
      <c r="L1799" s="2" t="s">
        <v>9</v>
      </c>
      <c r="M1799" s="2" t="s">
        <v>20</v>
      </c>
      <c r="N1799" s="2" t="s">
        <v>26</v>
      </c>
      <c r="O1799" s="2" t="s">
        <v>53</v>
      </c>
      <c r="P1799" s="2" t="s">
        <v>63</v>
      </c>
      <c r="Q1799" s="2" t="s">
        <v>16</v>
      </c>
      <c r="R1799" s="2" t="s">
        <v>18</v>
      </c>
      <c r="S1799">
        <v>5</v>
      </c>
    </row>
    <row r="1800" spans="1:19" x14ac:dyDescent="0.3">
      <c r="A1800">
        <v>2314</v>
      </c>
      <c r="B1800">
        <f>YEAR(Cleaned_HR_Data_Analysis__2[[#This Row],[Joining_Date]])</f>
        <v>2019</v>
      </c>
      <c r="C1800" s="1">
        <v>43696</v>
      </c>
      <c r="D1800" s="1" t="str" cm="1">
        <f t="array" ref="D1800">_xlfn.IFS(E1800&lt;28, "17-27",
AND(E1800&gt;27, E1800&lt;38), "28-37",
AND(E1800&gt;37, E1800 &lt;48), "38-47",
AND(E1800&gt;47, E1800 &lt;58), "48-57",
AND(E1800&gt;57, E1800&lt;68), "58-67",
AND(E1800&gt;67, E1800&lt;78), "68-77",
E1800&gt;77,"Above than 77")</f>
        <v>58-67</v>
      </c>
      <c r="E1800">
        <v>58</v>
      </c>
      <c r="F1800" s="1">
        <v>22572</v>
      </c>
      <c r="G1800" s="1" t="str">
        <f>VLOOKUP(H1800,Table7[#All], 2, FALSE)</f>
        <v>Massachusetts</v>
      </c>
      <c r="H1800" s="2" t="s">
        <v>14</v>
      </c>
      <c r="I1800" s="2" t="s">
        <v>15</v>
      </c>
      <c r="J1800" s="2" t="s">
        <v>34</v>
      </c>
      <c r="K1800" s="2" t="s">
        <v>78</v>
      </c>
      <c r="L1800" s="2" t="s">
        <v>9</v>
      </c>
      <c r="M1800" s="2" t="s">
        <v>20</v>
      </c>
      <c r="N1800" s="2" t="s">
        <v>11</v>
      </c>
      <c r="O1800" s="2" t="s">
        <v>53</v>
      </c>
      <c r="P1800" s="2" t="s">
        <v>35</v>
      </c>
      <c r="Q1800" s="2" t="s">
        <v>46</v>
      </c>
      <c r="R1800" s="2" t="s">
        <v>18</v>
      </c>
      <c r="S1800">
        <v>1</v>
      </c>
    </row>
    <row r="1801" spans="1:19" x14ac:dyDescent="0.3">
      <c r="A1801">
        <v>2549</v>
      </c>
      <c r="B1801">
        <f>YEAR(Cleaned_HR_Data_Analysis__2[[#This Row],[Joining_Date]])</f>
        <v>2021</v>
      </c>
      <c r="C1801" s="1">
        <v>44457</v>
      </c>
      <c r="D1801" s="1" t="str" cm="1">
        <f t="array" ref="D1801">_xlfn.IFS(E1801&lt;28, "17-27",
AND(E1801&gt;27, E1801&lt;38), "28-37",
AND(E1801&gt;37, E1801 &lt;48), "38-47",
AND(E1801&gt;47, E1801 &lt;58), "48-57",
AND(E1801&gt;57, E1801&lt;68), "58-67",
AND(E1801&gt;67, E1801&lt;78), "68-77",
E1801&gt;77,"Above than 77")</f>
        <v>58-67</v>
      </c>
      <c r="E1801">
        <v>58</v>
      </c>
      <c r="F1801" s="1">
        <v>23196</v>
      </c>
      <c r="G1801" s="1" t="str">
        <f>VLOOKUP(H1801,Table7[#All], 2, FALSE)</f>
        <v>Massachusetts</v>
      </c>
      <c r="H1801" s="2" t="s">
        <v>14</v>
      </c>
      <c r="I1801" s="2" t="s">
        <v>15</v>
      </c>
      <c r="J1801" s="2" t="s">
        <v>40</v>
      </c>
      <c r="K1801" s="2" t="s">
        <v>97</v>
      </c>
      <c r="L1801" s="2" t="s">
        <v>9</v>
      </c>
      <c r="M1801" s="2" t="s">
        <v>10</v>
      </c>
      <c r="N1801" s="2" t="s">
        <v>19</v>
      </c>
      <c r="O1801" s="2" t="s">
        <v>53</v>
      </c>
      <c r="P1801" s="2" t="s">
        <v>35</v>
      </c>
      <c r="Q1801" s="2" t="s">
        <v>16</v>
      </c>
      <c r="R1801" s="2" t="s">
        <v>18</v>
      </c>
      <c r="S1801">
        <v>3</v>
      </c>
    </row>
    <row r="1802" spans="1:19" x14ac:dyDescent="0.3">
      <c r="A1802">
        <v>2526</v>
      </c>
      <c r="B1802">
        <f>YEAR(Cleaned_HR_Data_Analysis__2[[#This Row],[Joining_Date]])</f>
        <v>2022</v>
      </c>
      <c r="C1802" s="1">
        <v>44848</v>
      </c>
      <c r="D1802" s="1" t="str" cm="1">
        <f t="array" ref="D1802">_xlfn.IFS(E1802&lt;28, "17-27",
AND(E1802&gt;27, E1802&lt;38), "28-37",
AND(E1802&gt;37, E1802 &lt;48), "38-47",
AND(E1802&gt;47, E1802 &lt;58), "48-57",
AND(E1802&gt;57, E1802&lt;68), "58-67",
AND(E1802&gt;67, E1802&lt;78), "68-77",
E1802&gt;77,"Above than 77")</f>
        <v>58-67</v>
      </c>
      <c r="E1802">
        <v>58</v>
      </c>
      <c r="F1802" s="1">
        <v>23464</v>
      </c>
      <c r="G1802" s="1" t="str">
        <f>VLOOKUP(H1802,Table7[#All], 2, FALSE)</f>
        <v>Massachusetts</v>
      </c>
      <c r="H1802" s="2" t="s">
        <v>14</v>
      </c>
      <c r="I1802" s="2" t="s">
        <v>15</v>
      </c>
      <c r="J1802" s="2" t="s">
        <v>31</v>
      </c>
      <c r="K1802" s="2" t="s">
        <v>97</v>
      </c>
      <c r="L1802" s="2" t="s">
        <v>9</v>
      </c>
      <c r="M1802" s="2" t="s">
        <v>10</v>
      </c>
      <c r="N1802" s="2" t="s">
        <v>11</v>
      </c>
      <c r="O1802" s="2" t="s">
        <v>53</v>
      </c>
      <c r="P1802" s="2" t="s">
        <v>42</v>
      </c>
      <c r="Q1802" s="2" t="s">
        <v>30</v>
      </c>
      <c r="R1802" s="2" t="s">
        <v>18</v>
      </c>
      <c r="S1802">
        <v>1</v>
      </c>
    </row>
    <row r="1803" spans="1:19" x14ac:dyDescent="0.3">
      <c r="A1803">
        <v>2518</v>
      </c>
      <c r="B1803">
        <f>YEAR(Cleaned_HR_Data_Analysis__2[[#This Row],[Joining_Date]])</f>
        <v>2021</v>
      </c>
      <c r="C1803" s="1">
        <v>44255</v>
      </c>
      <c r="D1803" s="1" t="str" cm="1">
        <f t="array" ref="D1803">_xlfn.IFS(E1803&lt;28, "17-27",
AND(E1803&gt;27, E1803&lt;38), "28-37",
AND(E1803&gt;37, E1803 &lt;48), "38-47",
AND(E1803&gt;47, E1803 &lt;58), "48-57",
AND(E1803&gt;57, E1803&lt;68), "58-67",
AND(E1803&gt;67, E1803&lt;78), "68-77",
E1803&gt;77,"Above than 77")</f>
        <v>58-67</v>
      </c>
      <c r="E1803">
        <v>58</v>
      </c>
      <c r="F1803" s="1">
        <v>23371</v>
      </c>
      <c r="G1803" s="1" t="str">
        <f>VLOOKUP(H1803,Table7[#All], 2, FALSE)</f>
        <v>Massachusetts</v>
      </c>
      <c r="H1803" s="2" t="s">
        <v>14</v>
      </c>
      <c r="I1803" s="2" t="s">
        <v>22</v>
      </c>
      <c r="J1803" s="2" t="s">
        <v>17</v>
      </c>
      <c r="K1803" s="2" t="s">
        <v>97</v>
      </c>
      <c r="L1803" s="2" t="s">
        <v>9</v>
      </c>
      <c r="M1803" s="2" t="s">
        <v>25</v>
      </c>
      <c r="N1803" s="2" t="s">
        <v>19</v>
      </c>
      <c r="O1803" s="2" t="s">
        <v>53</v>
      </c>
      <c r="P1803" s="2" t="s">
        <v>59</v>
      </c>
      <c r="Q1803" s="2" t="s">
        <v>16</v>
      </c>
      <c r="R1803" s="2" t="s">
        <v>18</v>
      </c>
      <c r="S1803">
        <v>2</v>
      </c>
    </row>
    <row r="1804" spans="1:19" x14ac:dyDescent="0.3">
      <c r="A1804">
        <v>3556</v>
      </c>
      <c r="B1804">
        <f>YEAR(Cleaned_HR_Data_Analysis__2[[#This Row],[Joining_Date]])</f>
        <v>2019</v>
      </c>
      <c r="C1804" s="1">
        <v>43664</v>
      </c>
      <c r="D1804" s="1" t="str" cm="1">
        <f t="array" ref="D1804">_xlfn.IFS(E1804&lt;28, "17-27",
AND(E1804&gt;27, E1804&lt;38), "28-37",
AND(E1804&gt;37, E1804 &lt;48), "38-47",
AND(E1804&gt;47, E1804 &lt;58), "48-57",
AND(E1804&gt;57, E1804&lt;68), "58-67",
AND(E1804&gt;67, E1804&lt;78), "68-77",
E1804&gt;77,"Above than 77")</f>
        <v>58-67</v>
      </c>
      <c r="E1804">
        <v>58</v>
      </c>
      <c r="F1804" s="1">
        <v>22448</v>
      </c>
      <c r="G1804" s="1" t="str">
        <f>VLOOKUP(H1804,Table7[#All], 2, FALSE)</f>
        <v>California</v>
      </c>
      <c r="H1804" s="2" t="s">
        <v>39</v>
      </c>
      <c r="I1804" s="2" t="s">
        <v>22</v>
      </c>
      <c r="J1804" s="2" t="s">
        <v>31</v>
      </c>
      <c r="K1804" s="2" t="s">
        <v>24</v>
      </c>
      <c r="L1804" s="2" t="s">
        <v>9</v>
      </c>
      <c r="M1804" s="2" t="s">
        <v>25</v>
      </c>
      <c r="N1804" s="2" t="s">
        <v>26</v>
      </c>
      <c r="O1804" s="2" t="s">
        <v>27</v>
      </c>
      <c r="P1804" s="2" t="s">
        <v>59</v>
      </c>
      <c r="Q1804" s="2" t="s">
        <v>16</v>
      </c>
      <c r="R1804" s="2" t="s">
        <v>41</v>
      </c>
      <c r="S1804">
        <v>2</v>
      </c>
    </row>
    <row r="1805" spans="1:19" x14ac:dyDescent="0.3">
      <c r="A1805">
        <v>2655</v>
      </c>
      <c r="B1805">
        <f>YEAR(Cleaned_HR_Data_Analysis__2[[#This Row],[Joining_Date]])</f>
        <v>2022</v>
      </c>
      <c r="C1805" s="1">
        <v>44775</v>
      </c>
      <c r="D1805" s="1" t="str" cm="1">
        <f t="array" ref="D1805">_xlfn.IFS(E1805&lt;28, "17-27",
AND(E1805&gt;27, E1805&lt;38), "28-37",
AND(E1805&gt;37, E1805 &lt;48), "38-47",
AND(E1805&gt;47, E1805 &lt;58), "48-57",
AND(E1805&gt;57, E1805&lt;68), "58-67",
AND(E1805&gt;67, E1805&lt;78), "68-77",
E1805&gt;77,"Above than 77")</f>
        <v>58-67</v>
      </c>
      <c r="E1805">
        <v>58</v>
      </c>
      <c r="F1805" s="1">
        <v>23689</v>
      </c>
      <c r="G1805" s="1" t="str">
        <f>VLOOKUP(H1805,Table7[#All], 2, FALSE)</f>
        <v>Arizona</v>
      </c>
      <c r="H1805" s="2" t="s">
        <v>114</v>
      </c>
      <c r="I1805" s="2" t="s">
        <v>22</v>
      </c>
      <c r="J1805" s="2" t="s">
        <v>40</v>
      </c>
      <c r="K1805" s="2" t="s">
        <v>24</v>
      </c>
      <c r="L1805" s="2" t="s">
        <v>9</v>
      </c>
      <c r="M1805" s="2" t="s">
        <v>10</v>
      </c>
      <c r="N1805" s="2" t="s">
        <v>19</v>
      </c>
      <c r="O1805" s="2" t="s">
        <v>27</v>
      </c>
      <c r="P1805" s="2" t="s">
        <v>32</v>
      </c>
      <c r="Q1805" s="2" t="s">
        <v>37</v>
      </c>
      <c r="R1805" s="2" t="s">
        <v>18</v>
      </c>
      <c r="S1805">
        <v>5</v>
      </c>
    </row>
    <row r="1806" spans="1:19" x14ac:dyDescent="0.3">
      <c r="A1806">
        <v>1327</v>
      </c>
      <c r="B1806">
        <f>YEAR(Cleaned_HR_Data_Analysis__2[[#This Row],[Joining_Date]])</f>
        <v>2019</v>
      </c>
      <c r="C1806" s="1">
        <v>43479</v>
      </c>
      <c r="D1806" s="1" t="str" cm="1">
        <f t="array" ref="D1806">_xlfn.IFS(E1806&lt;28, "17-27",
AND(E1806&gt;27, E1806&lt;38), "28-37",
AND(E1806&gt;37, E1806 &lt;48), "38-47",
AND(E1806&gt;47, E1806 &lt;58), "48-57",
AND(E1806&gt;57, E1806&lt;68), "58-67",
AND(E1806&gt;67, E1806&lt;78), "68-77",
E1806&gt;77,"Above than 77")</f>
        <v>58-67</v>
      </c>
      <c r="E1806">
        <v>59</v>
      </c>
      <c r="F1806" s="1">
        <v>21966</v>
      </c>
      <c r="G1806" s="1" t="str">
        <f>VLOOKUP(H1806,Table7[#All], 2, FALSE)</f>
        <v>Massachusetts</v>
      </c>
      <c r="H1806" s="2" t="s">
        <v>14</v>
      </c>
      <c r="I1806" s="2" t="s">
        <v>22</v>
      </c>
      <c r="J1806" s="2" t="s">
        <v>31</v>
      </c>
      <c r="K1806" s="2" t="s">
        <v>72</v>
      </c>
      <c r="L1806" s="2" t="s">
        <v>9</v>
      </c>
      <c r="M1806" s="2" t="s">
        <v>20</v>
      </c>
      <c r="N1806" s="2" t="s">
        <v>26</v>
      </c>
      <c r="O1806" s="2" t="s">
        <v>90</v>
      </c>
      <c r="P1806" s="2" t="s">
        <v>42</v>
      </c>
      <c r="Q1806" s="2" t="s">
        <v>16</v>
      </c>
      <c r="R1806" s="2" t="s">
        <v>18</v>
      </c>
      <c r="S1806">
        <v>3</v>
      </c>
    </row>
    <row r="1807" spans="1:19" x14ac:dyDescent="0.3">
      <c r="A1807">
        <v>1670</v>
      </c>
      <c r="B1807">
        <f>YEAR(Cleaned_HR_Data_Analysis__2[[#This Row],[Joining_Date]])</f>
        <v>2019</v>
      </c>
      <c r="C1807" s="1">
        <v>43664</v>
      </c>
      <c r="D1807" s="1" t="str" cm="1">
        <f t="array" ref="D1807">_xlfn.IFS(E1807&lt;28, "17-27",
AND(E1807&gt;27, E1807&lt;38), "28-37",
AND(E1807&gt;37, E1807 &lt;48), "38-47",
AND(E1807&gt;47, E1807 &lt;58), "48-57",
AND(E1807&gt;57, E1807&lt;68), "58-67",
AND(E1807&gt;67, E1807&lt;78), "68-77",
E1807&gt;77,"Above than 77")</f>
        <v>58-67</v>
      </c>
      <c r="E1807">
        <v>59</v>
      </c>
      <c r="F1807" s="1">
        <v>22226</v>
      </c>
      <c r="G1807" s="1" t="str">
        <f>VLOOKUP(H1807,Table7[#All], 2, FALSE)</f>
        <v>Massachusetts</v>
      </c>
      <c r="H1807" s="2" t="s">
        <v>14</v>
      </c>
      <c r="I1807" s="2" t="s">
        <v>15</v>
      </c>
      <c r="J1807" s="2" t="s">
        <v>17</v>
      </c>
      <c r="K1807" s="2" t="s">
        <v>98</v>
      </c>
      <c r="L1807" s="2" t="s">
        <v>9</v>
      </c>
      <c r="M1807" s="2" t="s">
        <v>10</v>
      </c>
      <c r="N1807" s="2" t="s">
        <v>19</v>
      </c>
      <c r="O1807" s="2" t="s">
        <v>53</v>
      </c>
      <c r="P1807" s="2" t="s">
        <v>49</v>
      </c>
      <c r="Q1807" s="2" t="s">
        <v>30</v>
      </c>
      <c r="R1807" s="2" t="s">
        <v>18</v>
      </c>
      <c r="S1807">
        <v>2</v>
      </c>
    </row>
    <row r="1808" spans="1:19" x14ac:dyDescent="0.3">
      <c r="A1808">
        <v>1669</v>
      </c>
      <c r="B1808">
        <f>YEAR(Cleaned_HR_Data_Analysis__2[[#This Row],[Joining_Date]])</f>
        <v>2020</v>
      </c>
      <c r="C1808" s="1">
        <v>44092</v>
      </c>
      <c r="D1808" s="1" t="str" cm="1">
        <f t="array" ref="D1808">_xlfn.IFS(E1808&lt;28, "17-27",
AND(E1808&gt;27, E1808&lt;38), "28-37",
AND(E1808&gt;37, E1808 &lt;48), "38-47",
AND(E1808&gt;47, E1808 &lt;58), "48-57",
AND(E1808&gt;57, E1808&lt;68), "58-67",
AND(E1808&gt;67, E1808&lt;78), "68-77",
E1808&gt;77,"Above than 77")</f>
        <v>58-67</v>
      </c>
      <c r="E1808">
        <v>59</v>
      </c>
      <c r="F1808" s="1">
        <v>22538</v>
      </c>
      <c r="G1808" s="1" t="str">
        <f>VLOOKUP(H1808,Table7[#All], 2, FALSE)</f>
        <v>Massachusetts</v>
      </c>
      <c r="H1808" s="2" t="s">
        <v>14</v>
      </c>
      <c r="I1808" s="2" t="s">
        <v>22</v>
      </c>
      <c r="J1808" s="2" t="s">
        <v>40</v>
      </c>
      <c r="K1808" s="2" t="s">
        <v>98</v>
      </c>
      <c r="L1808" s="2" t="s">
        <v>9</v>
      </c>
      <c r="M1808" s="2" t="s">
        <v>20</v>
      </c>
      <c r="N1808" s="2" t="s">
        <v>19</v>
      </c>
      <c r="O1808" s="2" t="s">
        <v>53</v>
      </c>
      <c r="P1808" s="2" t="s">
        <v>35</v>
      </c>
      <c r="Q1808" s="2" t="s">
        <v>46</v>
      </c>
      <c r="R1808" s="2" t="s">
        <v>18</v>
      </c>
      <c r="S1808">
        <v>1</v>
      </c>
    </row>
    <row r="1809" spans="1:19" x14ac:dyDescent="0.3">
      <c r="A1809">
        <v>1948</v>
      </c>
      <c r="B1809">
        <f>YEAR(Cleaned_HR_Data_Analysis__2[[#This Row],[Joining_Date]])</f>
        <v>2022</v>
      </c>
      <c r="C1809" s="1">
        <v>44744</v>
      </c>
      <c r="D1809" s="1" t="str" cm="1">
        <f t="array" ref="D1809">_xlfn.IFS(E1809&lt;28, "17-27",
AND(E1809&gt;27, E1809&lt;38), "28-37",
AND(E1809&gt;37, E1809 &lt;48), "38-47",
AND(E1809&gt;47, E1809 &lt;58), "48-57",
AND(E1809&gt;57, E1809&lt;68), "58-67",
AND(E1809&gt;67, E1809&lt;78), "68-77",
E1809&gt;77,"Above than 77")</f>
        <v>58-67</v>
      </c>
      <c r="E1809">
        <v>59</v>
      </c>
      <c r="F1809" s="1">
        <v>23353</v>
      </c>
      <c r="G1809" s="1" t="str">
        <f>VLOOKUP(H1809,Table7[#All], 2, FALSE)</f>
        <v>Pennsylvania</v>
      </c>
      <c r="H1809" s="2" t="s">
        <v>100</v>
      </c>
      <c r="I1809" s="2" t="s">
        <v>15</v>
      </c>
      <c r="J1809" s="2" t="s">
        <v>34</v>
      </c>
      <c r="K1809" s="2" t="s">
        <v>64</v>
      </c>
      <c r="L1809" s="2" t="s">
        <v>66</v>
      </c>
      <c r="M1809" s="2" t="s">
        <v>20</v>
      </c>
      <c r="N1809" s="2" t="s">
        <v>26</v>
      </c>
      <c r="O1809" s="2" t="s">
        <v>27</v>
      </c>
      <c r="P1809" s="2" t="s">
        <v>49</v>
      </c>
      <c r="Q1809" s="2" t="s">
        <v>37</v>
      </c>
      <c r="R1809" s="2" t="s">
        <v>18</v>
      </c>
      <c r="S1809">
        <v>1</v>
      </c>
    </row>
    <row r="1810" spans="1:19" x14ac:dyDescent="0.3">
      <c r="A1810">
        <v>3786</v>
      </c>
      <c r="B1810">
        <f>YEAR(Cleaned_HR_Data_Analysis__2[[#This Row],[Joining_Date]])</f>
        <v>2021</v>
      </c>
      <c r="C1810" s="1">
        <v>44369</v>
      </c>
      <c r="D1810" s="1" t="str" cm="1">
        <f t="array" ref="D1810">_xlfn.IFS(E1810&lt;28, "17-27",
AND(E1810&gt;27, E1810&lt;38), "28-37",
AND(E1810&gt;37, E1810 &lt;48), "38-47",
AND(E1810&gt;47, E1810 &lt;58), "48-57",
AND(E1810&gt;57, E1810&lt;68), "58-67",
AND(E1810&gt;67, E1810&lt;78), "68-77",
E1810&gt;77,"Above than 77")</f>
        <v>58-67</v>
      </c>
      <c r="E1810">
        <v>59</v>
      </c>
      <c r="F1810" s="1">
        <v>22807</v>
      </c>
      <c r="G1810" s="1" t="str">
        <f>VLOOKUP(H1810,Table7[#All], 2, FALSE)</f>
        <v>Massachusetts</v>
      </c>
      <c r="H1810" s="2" t="s">
        <v>14</v>
      </c>
      <c r="I1810" s="2" t="s">
        <v>15</v>
      </c>
      <c r="J1810" s="2" t="s">
        <v>40</v>
      </c>
      <c r="K1810" s="2" t="s">
        <v>64</v>
      </c>
      <c r="L1810" s="2" t="s">
        <v>66</v>
      </c>
      <c r="M1810" s="2" t="s">
        <v>25</v>
      </c>
      <c r="N1810" s="2" t="s">
        <v>19</v>
      </c>
      <c r="O1810" s="2" t="s">
        <v>12</v>
      </c>
      <c r="P1810" s="2" t="s">
        <v>35</v>
      </c>
      <c r="Q1810" s="2" t="s">
        <v>37</v>
      </c>
      <c r="R1810" s="2" t="s">
        <v>18</v>
      </c>
      <c r="S1810">
        <v>4</v>
      </c>
    </row>
    <row r="1811" spans="1:19" x14ac:dyDescent="0.3">
      <c r="A1811">
        <v>3097</v>
      </c>
      <c r="B1811">
        <f>YEAR(Cleaned_HR_Data_Analysis__2[[#This Row],[Joining_Date]])</f>
        <v>2020</v>
      </c>
      <c r="C1811" s="1">
        <v>44115</v>
      </c>
      <c r="D1811" s="1" t="str" cm="1">
        <f t="array" ref="D1811">_xlfn.IFS(E1811&lt;28, "17-27",
AND(E1811&gt;27, E1811&lt;38), "28-37",
AND(E1811&gt;37, E1811 &lt;48), "38-47",
AND(E1811&gt;47, E1811 &lt;58), "48-57",
AND(E1811&gt;57, E1811&lt;68), "58-67",
AND(E1811&gt;67, E1811&lt;78), "68-77",
E1811&gt;77,"Above than 77")</f>
        <v>58-67</v>
      </c>
      <c r="E1811">
        <v>59</v>
      </c>
      <c r="F1811" s="1">
        <v>22443</v>
      </c>
      <c r="G1811" s="1" t="str">
        <f>VLOOKUP(H1811,Table7[#All], 2, FALSE)</f>
        <v>Massachusetts</v>
      </c>
      <c r="H1811" s="2" t="s">
        <v>14</v>
      </c>
      <c r="I1811" s="2" t="s">
        <v>15</v>
      </c>
      <c r="J1811" s="2" t="s">
        <v>34</v>
      </c>
      <c r="K1811" s="2" t="s">
        <v>64</v>
      </c>
      <c r="L1811" s="2" t="s">
        <v>66</v>
      </c>
      <c r="M1811" s="2" t="s">
        <v>20</v>
      </c>
      <c r="N1811" s="2" t="s">
        <v>11</v>
      </c>
      <c r="O1811" s="2" t="s">
        <v>12</v>
      </c>
      <c r="P1811" s="2" t="s">
        <v>54</v>
      </c>
      <c r="Q1811" s="2" t="s">
        <v>16</v>
      </c>
      <c r="R1811" s="2" t="s">
        <v>18</v>
      </c>
      <c r="S1811">
        <v>3</v>
      </c>
    </row>
    <row r="1812" spans="1:19" x14ac:dyDescent="0.3">
      <c r="A1812">
        <v>3024</v>
      </c>
      <c r="B1812">
        <f>YEAR(Cleaned_HR_Data_Analysis__2[[#This Row],[Joining_Date]])</f>
        <v>2021</v>
      </c>
      <c r="C1812" s="1">
        <v>44556</v>
      </c>
      <c r="D1812" s="1" t="str" cm="1">
        <f t="array" ref="D1812">_xlfn.IFS(E1812&lt;28, "17-27",
AND(E1812&gt;27, E1812&lt;38), "28-37",
AND(E1812&gt;37, E1812 &lt;48), "38-47",
AND(E1812&gt;47, E1812 &lt;58), "48-57",
AND(E1812&gt;57, E1812&lt;68), "58-67",
AND(E1812&gt;67, E1812&lt;78), "68-77",
E1812&gt;77,"Above than 77")</f>
        <v>58-67</v>
      </c>
      <c r="E1812">
        <v>59</v>
      </c>
      <c r="F1812" s="1">
        <v>22733</v>
      </c>
      <c r="G1812" s="1" t="str">
        <f>VLOOKUP(H1812,Table7[#All], 2, FALSE)</f>
        <v>Massachusetts</v>
      </c>
      <c r="H1812" s="2" t="s">
        <v>14</v>
      </c>
      <c r="I1812" s="2" t="s">
        <v>15</v>
      </c>
      <c r="J1812" s="2" t="s">
        <v>17</v>
      </c>
      <c r="K1812" s="2" t="s">
        <v>64</v>
      </c>
      <c r="L1812" s="2" t="s">
        <v>9</v>
      </c>
      <c r="M1812" s="2" t="s">
        <v>10</v>
      </c>
      <c r="N1812" s="2" t="s">
        <v>19</v>
      </c>
      <c r="O1812" s="2" t="s">
        <v>12</v>
      </c>
      <c r="P1812" s="2" t="s">
        <v>54</v>
      </c>
      <c r="Q1812" s="2" t="s">
        <v>23</v>
      </c>
      <c r="R1812" s="2" t="s">
        <v>18</v>
      </c>
      <c r="S1812">
        <v>5</v>
      </c>
    </row>
    <row r="1813" spans="1:19" x14ac:dyDescent="0.3">
      <c r="A1813">
        <v>2983</v>
      </c>
      <c r="B1813">
        <f>YEAR(Cleaned_HR_Data_Analysis__2[[#This Row],[Joining_Date]])</f>
        <v>2021</v>
      </c>
      <c r="C1813" s="1">
        <v>44247</v>
      </c>
      <c r="D1813" s="1" t="str" cm="1">
        <f t="array" ref="D1813">_xlfn.IFS(E1813&lt;28, "17-27",
AND(E1813&gt;27, E1813&lt;38), "28-37",
AND(E1813&gt;37, E1813 &lt;48), "38-47",
AND(E1813&gt;47, E1813 &lt;58), "48-57",
AND(E1813&gt;57, E1813&lt;68), "58-67",
AND(E1813&gt;67, E1813&lt;78), "68-77",
E1813&gt;77,"Above than 77")</f>
        <v>58-67</v>
      </c>
      <c r="E1813">
        <v>59</v>
      </c>
      <c r="F1813" s="1">
        <v>22751</v>
      </c>
      <c r="G1813" s="1" t="str">
        <f>VLOOKUP(H1813,Table7[#All], 2, FALSE)</f>
        <v>Massachusetts</v>
      </c>
      <c r="H1813" s="2" t="s">
        <v>14</v>
      </c>
      <c r="I1813" s="2" t="s">
        <v>22</v>
      </c>
      <c r="J1813" s="2" t="s">
        <v>17</v>
      </c>
      <c r="K1813" s="2" t="s">
        <v>64</v>
      </c>
      <c r="L1813" s="2" t="s">
        <v>9</v>
      </c>
      <c r="M1813" s="2" t="s">
        <v>25</v>
      </c>
      <c r="N1813" s="2" t="s">
        <v>11</v>
      </c>
      <c r="O1813" s="2" t="s">
        <v>12</v>
      </c>
      <c r="P1813" s="2" t="s">
        <v>49</v>
      </c>
      <c r="Q1813" s="2" t="s">
        <v>23</v>
      </c>
      <c r="R1813" s="2" t="s">
        <v>18</v>
      </c>
      <c r="S1813">
        <v>5</v>
      </c>
    </row>
    <row r="1814" spans="1:19" x14ac:dyDescent="0.3">
      <c r="A1814">
        <v>2883</v>
      </c>
      <c r="B1814">
        <f>YEAR(Cleaned_HR_Data_Analysis__2[[#This Row],[Joining_Date]])</f>
        <v>2019</v>
      </c>
      <c r="C1814" s="1">
        <v>43525</v>
      </c>
      <c r="D1814" s="1" t="str" cm="1">
        <f t="array" ref="D1814">_xlfn.IFS(E1814&lt;28, "17-27",
AND(E1814&gt;27, E1814&lt;38), "28-37",
AND(E1814&gt;37, E1814 &lt;48), "38-47",
AND(E1814&gt;47, E1814 &lt;58), "48-57",
AND(E1814&gt;57, E1814&lt;68), "58-67",
AND(E1814&gt;67, E1814&lt;78), "68-77",
E1814&gt;77,"Above than 77")</f>
        <v>58-67</v>
      </c>
      <c r="E1814">
        <v>59</v>
      </c>
      <c r="F1814" s="1">
        <v>22099</v>
      </c>
      <c r="G1814" s="1" t="str">
        <f>VLOOKUP(H1814,Table7[#All], 2, FALSE)</f>
        <v>Massachusetts</v>
      </c>
      <c r="H1814" s="2" t="s">
        <v>14</v>
      </c>
      <c r="I1814" s="2" t="s">
        <v>22</v>
      </c>
      <c r="J1814" s="2" t="s">
        <v>34</v>
      </c>
      <c r="K1814" s="2" t="s">
        <v>64</v>
      </c>
      <c r="L1814" s="2" t="s">
        <v>9</v>
      </c>
      <c r="M1814" s="2" t="s">
        <v>20</v>
      </c>
      <c r="N1814" s="2" t="s">
        <v>11</v>
      </c>
      <c r="O1814" s="2" t="s">
        <v>12</v>
      </c>
      <c r="P1814" s="2" t="s">
        <v>32</v>
      </c>
      <c r="Q1814" s="2" t="s">
        <v>23</v>
      </c>
      <c r="R1814" s="2" t="s">
        <v>18</v>
      </c>
      <c r="S1814">
        <v>3</v>
      </c>
    </row>
    <row r="1815" spans="1:19" x14ac:dyDescent="0.3">
      <c r="A1815">
        <v>2824</v>
      </c>
      <c r="B1815">
        <f>YEAR(Cleaned_HR_Data_Analysis__2[[#This Row],[Joining_Date]])</f>
        <v>2021</v>
      </c>
      <c r="C1815" s="1">
        <v>44257</v>
      </c>
      <c r="D1815" s="1" t="str" cm="1">
        <f t="array" ref="D1815">_xlfn.IFS(E1815&lt;28, "17-27",
AND(E1815&gt;27, E1815&lt;38), "28-37",
AND(E1815&gt;37, E1815 &lt;48), "38-47",
AND(E1815&gt;47, E1815 &lt;58), "48-57",
AND(E1815&gt;57, E1815&lt;68), "58-67",
AND(E1815&gt;67, E1815&lt;78), "68-77",
E1815&gt;77,"Above than 77")</f>
        <v>58-67</v>
      </c>
      <c r="E1815">
        <v>59</v>
      </c>
      <c r="F1815" s="1">
        <v>23005</v>
      </c>
      <c r="G1815" s="1" t="str">
        <f>VLOOKUP(H1815,Table7[#All], 2, FALSE)</f>
        <v>Massachusetts</v>
      </c>
      <c r="H1815" s="2" t="s">
        <v>14</v>
      </c>
      <c r="I1815" s="2" t="s">
        <v>22</v>
      </c>
      <c r="J1815" s="2" t="s">
        <v>17</v>
      </c>
      <c r="K1815" s="2" t="s">
        <v>64</v>
      </c>
      <c r="L1815" s="2" t="s">
        <v>9</v>
      </c>
      <c r="M1815" s="2" t="s">
        <v>20</v>
      </c>
      <c r="N1815" s="2" t="s">
        <v>19</v>
      </c>
      <c r="O1815" s="2" t="s">
        <v>12</v>
      </c>
      <c r="P1815" s="2" t="s">
        <v>59</v>
      </c>
      <c r="Q1815" s="2" t="s">
        <v>23</v>
      </c>
      <c r="R1815" s="2" t="s">
        <v>18</v>
      </c>
      <c r="S1815">
        <v>4</v>
      </c>
    </row>
    <row r="1816" spans="1:19" x14ac:dyDescent="0.3">
      <c r="A1816">
        <v>2068</v>
      </c>
      <c r="B1816">
        <f>YEAR(Cleaned_HR_Data_Analysis__2[[#This Row],[Joining_Date]])</f>
        <v>2021</v>
      </c>
      <c r="C1816" s="1">
        <v>44352</v>
      </c>
      <c r="D1816" s="1" t="str" cm="1">
        <f t="array" ref="D1816">_xlfn.IFS(E1816&lt;28, "17-27",
AND(E1816&gt;27, E1816&lt;38), "28-37",
AND(E1816&gt;37, E1816 &lt;48), "38-47",
AND(E1816&gt;47, E1816 &lt;58), "48-57",
AND(E1816&gt;57, E1816&lt;68), "58-67",
AND(E1816&gt;67, E1816&lt;78), "68-77",
E1816&gt;77,"Above than 77")</f>
        <v>58-67</v>
      </c>
      <c r="E1816">
        <v>59</v>
      </c>
      <c r="F1816" s="1">
        <v>22896</v>
      </c>
      <c r="G1816" s="1" t="str">
        <f>VLOOKUP(H1816,Table7[#All], 2, FALSE)</f>
        <v>Massachusetts</v>
      </c>
      <c r="H1816" s="2" t="s">
        <v>14</v>
      </c>
      <c r="I1816" s="2" t="s">
        <v>15</v>
      </c>
      <c r="J1816" s="2" t="s">
        <v>40</v>
      </c>
      <c r="K1816" s="2" t="s">
        <v>64</v>
      </c>
      <c r="L1816" s="2" t="s">
        <v>9</v>
      </c>
      <c r="M1816" s="2" t="s">
        <v>10</v>
      </c>
      <c r="N1816" s="2" t="s">
        <v>11</v>
      </c>
      <c r="O1816" s="2" t="s">
        <v>12</v>
      </c>
      <c r="P1816" s="2" t="s">
        <v>35</v>
      </c>
      <c r="Q1816" s="2" t="s">
        <v>16</v>
      </c>
      <c r="R1816" s="2" t="s">
        <v>18</v>
      </c>
      <c r="S1816">
        <v>3</v>
      </c>
    </row>
    <row r="1817" spans="1:19" x14ac:dyDescent="0.3">
      <c r="A1817">
        <v>1873</v>
      </c>
      <c r="B1817">
        <f>YEAR(Cleaned_HR_Data_Analysis__2[[#This Row],[Joining_Date]])</f>
        <v>2019</v>
      </c>
      <c r="C1817" s="1">
        <v>43666</v>
      </c>
      <c r="D1817" s="1" t="str" cm="1">
        <f t="array" ref="D1817">_xlfn.IFS(E1817&lt;28, "17-27",
AND(E1817&gt;27, E1817&lt;38), "28-37",
AND(E1817&gt;37, E1817 &lt;48), "38-47",
AND(E1817&gt;47, E1817 &lt;58), "48-57",
AND(E1817&gt;57, E1817&lt;68), "58-67",
AND(E1817&gt;67, E1817&lt;78), "68-77",
E1817&gt;77,"Above than 77")</f>
        <v>58-67</v>
      </c>
      <c r="E1817">
        <v>59</v>
      </c>
      <c r="F1817" s="1">
        <v>21938</v>
      </c>
      <c r="G1817" s="1" t="str">
        <f>VLOOKUP(H1817,Table7[#All], 2, FALSE)</f>
        <v>Massachusetts</v>
      </c>
      <c r="H1817" s="2" t="s">
        <v>14</v>
      </c>
      <c r="I1817" s="2" t="s">
        <v>15</v>
      </c>
      <c r="J1817" s="2" t="s">
        <v>34</v>
      </c>
      <c r="K1817" s="2" t="s">
        <v>64</v>
      </c>
      <c r="L1817" s="2" t="s">
        <v>9</v>
      </c>
      <c r="M1817" s="2" t="s">
        <v>10</v>
      </c>
      <c r="N1817" s="2" t="s">
        <v>11</v>
      </c>
      <c r="O1817" s="2" t="s">
        <v>12</v>
      </c>
      <c r="P1817" s="2" t="s">
        <v>42</v>
      </c>
      <c r="Q1817" s="2" t="s">
        <v>37</v>
      </c>
      <c r="R1817" s="2" t="s">
        <v>18</v>
      </c>
      <c r="S1817">
        <v>2</v>
      </c>
    </row>
    <row r="1818" spans="1:19" x14ac:dyDescent="0.3">
      <c r="A1818">
        <v>1539</v>
      </c>
      <c r="B1818">
        <f>YEAR(Cleaned_HR_Data_Analysis__2[[#This Row],[Joining_Date]])</f>
        <v>2020</v>
      </c>
      <c r="C1818" s="1">
        <v>44193</v>
      </c>
      <c r="D1818" s="1" t="str" cm="1">
        <f t="array" ref="D1818">_xlfn.IFS(E1818&lt;28, "17-27",
AND(E1818&gt;27, E1818&lt;38), "28-37",
AND(E1818&gt;37, E1818 &lt;48), "38-47",
AND(E1818&gt;47, E1818 &lt;58), "48-57",
AND(E1818&gt;57, E1818&lt;68), "58-67",
AND(E1818&gt;67, E1818&lt;78), "68-77",
E1818&gt;77,"Above than 77")</f>
        <v>58-67</v>
      </c>
      <c r="E1818">
        <v>59</v>
      </c>
      <c r="F1818" s="1">
        <v>22342</v>
      </c>
      <c r="G1818" s="1" t="str">
        <f>VLOOKUP(H1818,Table7[#All], 2, FALSE)</f>
        <v>Massachusetts</v>
      </c>
      <c r="H1818" s="2" t="s">
        <v>14</v>
      </c>
      <c r="I1818" s="2" t="s">
        <v>22</v>
      </c>
      <c r="J1818" s="2" t="s">
        <v>17</v>
      </c>
      <c r="K1818" s="2" t="s">
        <v>64</v>
      </c>
      <c r="L1818" s="2" t="s">
        <v>66</v>
      </c>
      <c r="M1818" s="2" t="s">
        <v>20</v>
      </c>
      <c r="N1818" s="2" t="s">
        <v>19</v>
      </c>
      <c r="O1818" s="2" t="s">
        <v>12</v>
      </c>
      <c r="P1818" s="2" t="s">
        <v>54</v>
      </c>
      <c r="Q1818" s="2" t="s">
        <v>23</v>
      </c>
      <c r="R1818" s="2" t="s">
        <v>18</v>
      </c>
      <c r="S1818">
        <v>4</v>
      </c>
    </row>
    <row r="1819" spans="1:19" x14ac:dyDescent="0.3">
      <c r="A1819">
        <v>1471</v>
      </c>
      <c r="B1819">
        <f>YEAR(Cleaned_HR_Data_Analysis__2[[#This Row],[Joining_Date]])</f>
        <v>2019</v>
      </c>
      <c r="C1819" s="1">
        <v>43754</v>
      </c>
      <c r="D1819" s="1" t="str" cm="1">
        <f t="array" ref="D1819">_xlfn.IFS(E1819&lt;28, "17-27",
AND(E1819&gt;27, E1819&lt;38), "28-37",
AND(E1819&gt;37, E1819 &lt;48), "38-47",
AND(E1819&gt;47, E1819 &lt;58), "48-57",
AND(E1819&gt;57, E1819&lt;68), "58-67",
AND(E1819&gt;67, E1819&lt;78), "68-77",
E1819&gt;77,"Above than 77")</f>
        <v>58-67</v>
      </c>
      <c r="E1819">
        <v>59</v>
      </c>
      <c r="F1819" s="1">
        <v>22015</v>
      </c>
      <c r="G1819" s="1" t="str">
        <f>VLOOKUP(H1819,Table7[#All], 2, FALSE)</f>
        <v>Massachusetts</v>
      </c>
      <c r="H1819" s="2" t="s">
        <v>14</v>
      </c>
      <c r="I1819" s="2" t="s">
        <v>22</v>
      </c>
      <c r="J1819" s="2" t="s">
        <v>40</v>
      </c>
      <c r="K1819" s="2" t="s">
        <v>64</v>
      </c>
      <c r="L1819" s="2" t="s">
        <v>66</v>
      </c>
      <c r="M1819" s="2" t="s">
        <v>25</v>
      </c>
      <c r="N1819" s="2" t="s">
        <v>26</v>
      </c>
      <c r="O1819" s="2" t="s">
        <v>12</v>
      </c>
      <c r="P1819" s="2" t="s">
        <v>35</v>
      </c>
      <c r="Q1819" s="2" t="s">
        <v>16</v>
      </c>
      <c r="R1819" s="2" t="s">
        <v>41</v>
      </c>
      <c r="S1819">
        <v>4</v>
      </c>
    </row>
    <row r="1820" spans="1:19" x14ac:dyDescent="0.3">
      <c r="A1820">
        <v>1126</v>
      </c>
      <c r="B1820">
        <f>YEAR(Cleaned_HR_Data_Analysis__2[[#This Row],[Joining_Date]])</f>
        <v>2018</v>
      </c>
      <c r="C1820" s="1">
        <v>43351</v>
      </c>
      <c r="D1820" s="1" t="str" cm="1">
        <f t="array" ref="D1820">_xlfn.IFS(E1820&lt;28, "17-27",
AND(E1820&gt;27, E1820&lt;38), "28-37",
AND(E1820&gt;37, E1820 &lt;48), "38-47",
AND(E1820&gt;47, E1820 &lt;58), "48-57",
AND(E1820&gt;57, E1820&lt;68), "58-67",
AND(E1820&gt;67, E1820&lt;78), "68-77",
E1820&gt;77,"Above than 77")</f>
        <v>58-67</v>
      </c>
      <c r="E1820">
        <v>59</v>
      </c>
      <c r="F1820" s="1">
        <v>21850</v>
      </c>
      <c r="G1820" s="1" t="str">
        <f>VLOOKUP(H1820,Table7[#All], 2, FALSE)</f>
        <v>Massachusetts</v>
      </c>
      <c r="H1820" s="2" t="s">
        <v>14</v>
      </c>
      <c r="I1820" s="2" t="s">
        <v>22</v>
      </c>
      <c r="J1820" s="2" t="s">
        <v>40</v>
      </c>
      <c r="K1820" s="2" t="s">
        <v>64</v>
      </c>
      <c r="L1820" s="2" t="s">
        <v>66</v>
      </c>
      <c r="M1820" s="2" t="s">
        <v>20</v>
      </c>
      <c r="N1820" s="2" t="s">
        <v>11</v>
      </c>
      <c r="O1820" s="2" t="s">
        <v>12</v>
      </c>
      <c r="P1820" s="2" t="s">
        <v>42</v>
      </c>
      <c r="Q1820" s="2" t="s">
        <v>16</v>
      </c>
      <c r="R1820" s="2" t="s">
        <v>18</v>
      </c>
      <c r="S1820">
        <v>3</v>
      </c>
    </row>
    <row r="1821" spans="1:19" x14ac:dyDescent="0.3">
      <c r="A1821">
        <v>3798</v>
      </c>
      <c r="B1821">
        <f>YEAR(Cleaned_HR_Data_Analysis__2[[#This Row],[Joining_Date]])</f>
        <v>2020</v>
      </c>
      <c r="C1821" s="1">
        <v>43925</v>
      </c>
      <c r="D1821" s="1" t="str" cm="1">
        <f t="array" ref="D1821">_xlfn.IFS(E1821&lt;28, "17-27",
AND(E1821&gt;27, E1821&lt;38), "28-37",
AND(E1821&gt;37, E1821 &lt;48), "38-47",
AND(E1821&gt;47, E1821 &lt;58), "48-57",
AND(E1821&gt;57, E1821&lt;68), "58-67",
AND(E1821&gt;67, E1821&lt;78), "68-77",
E1821&gt;77,"Above than 77")</f>
        <v>58-67</v>
      </c>
      <c r="E1821">
        <v>59</v>
      </c>
      <c r="F1821" s="1">
        <v>22636</v>
      </c>
      <c r="G1821" s="1" t="str">
        <f>VLOOKUP(H1821,Table7[#All], 2, FALSE)</f>
        <v>Massachusetts</v>
      </c>
      <c r="H1821" s="2" t="s">
        <v>14</v>
      </c>
      <c r="I1821" s="2" t="s">
        <v>22</v>
      </c>
      <c r="J1821" s="2" t="s">
        <v>17</v>
      </c>
      <c r="K1821" s="2" t="s">
        <v>8</v>
      </c>
      <c r="L1821" s="2" t="s">
        <v>9</v>
      </c>
      <c r="M1821" s="2" t="s">
        <v>25</v>
      </c>
      <c r="N1821" s="2" t="s">
        <v>11</v>
      </c>
      <c r="O1821" s="2" t="s">
        <v>12</v>
      </c>
      <c r="P1821" s="2" t="s">
        <v>32</v>
      </c>
      <c r="Q1821" s="2" t="s">
        <v>30</v>
      </c>
      <c r="R1821" s="2" t="s">
        <v>18</v>
      </c>
      <c r="S1821">
        <v>1</v>
      </c>
    </row>
    <row r="1822" spans="1:19" x14ac:dyDescent="0.3">
      <c r="A1822">
        <v>3643</v>
      </c>
      <c r="B1822">
        <f>YEAR(Cleaned_HR_Data_Analysis__2[[#This Row],[Joining_Date]])</f>
        <v>2020</v>
      </c>
      <c r="C1822" s="1">
        <v>43937</v>
      </c>
      <c r="D1822" s="1" t="str" cm="1">
        <f t="array" ref="D1822">_xlfn.IFS(E1822&lt;28, "17-27",
AND(E1822&gt;27, E1822&lt;38), "28-37",
AND(E1822&gt;37, E1822 &lt;48), "38-47",
AND(E1822&gt;47, E1822 &lt;58), "48-57",
AND(E1822&gt;57, E1822&lt;68), "58-67",
AND(E1822&gt;67, E1822&lt;78), "68-77",
E1822&gt;77,"Above than 77")</f>
        <v>58-67</v>
      </c>
      <c r="E1822">
        <v>59</v>
      </c>
      <c r="F1822" s="1">
        <v>22362</v>
      </c>
      <c r="G1822" s="1" t="str">
        <f>VLOOKUP(H1822,Table7[#All], 2, FALSE)</f>
        <v>Massachusetts</v>
      </c>
      <c r="H1822" s="2" t="s">
        <v>14</v>
      </c>
      <c r="I1822" s="2" t="s">
        <v>22</v>
      </c>
      <c r="J1822" s="2" t="s">
        <v>31</v>
      </c>
      <c r="K1822" s="2" t="s">
        <v>8</v>
      </c>
      <c r="L1822" s="2" t="s">
        <v>9</v>
      </c>
      <c r="M1822" s="2" t="s">
        <v>25</v>
      </c>
      <c r="N1822" s="2" t="s">
        <v>19</v>
      </c>
      <c r="O1822" s="2" t="s">
        <v>12</v>
      </c>
      <c r="P1822" s="2" t="s">
        <v>60</v>
      </c>
      <c r="Q1822" s="2" t="s">
        <v>46</v>
      </c>
      <c r="R1822" s="2" t="s">
        <v>18</v>
      </c>
      <c r="S1822">
        <v>5</v>
      </c>
    </row>
    <row r="1823" spans="1:19" x14ac:dyDescent="0.3">
      <c r="A1823">
        <v>3558</v>
      </c>
      <c r="B1823">
        <f>YEAR(Cleaned_HR_Data_Analysis__2[[#This Row],[Joining_Date]])</f>
        <v>2018</v>
      </c>
      <c r="C1823" s="1">
        <v>43464</v>
      </c>
      <c r="D1823" s="1" t="str" cm="1">
        <f t="array" ref="D1823">_xlfn.IFS(E1823&lt;28, "17-27",
AND(E1823&gt;27, E1823&lt;38), "28-37",
AND(E1823&gt;37, E1823 &lt;48), "38-47",
AND(E1823&gt;47, E1823 &lt;58), "48-57",
AND(E1823&gt;57, E1823&lt;68), "58-67",
AND(E1823&gt;67, E1823&lt;78), "68-77",
E1823&gt;77,"Above than 77")</f>
        <v>58-67</v>
      </c>
      <c r="E1823">
        <v>59</v>
      </c>
      <c r="F1823" s="1">
        <v>21705</v>
      </c>
      <c r="G1823" s="1" t="str">
        <f>VLOOKUP(H1823,Table7[#All], 2, FALSE)</f>
        <v>Massachusetts</v>
      </c>
      <c r="H1823" s="2" t="s">
        <v>14</v>
      </c>
      <c r="I1823" s="2" t="s">
        <v>15</v>
      </c>
      <c r="J1823" s="2" t="s">
        <v>31</v>
      </c>
      <c r="K1823" s="2" t="s">
        <v>8</v>
      </c>
      <c r="L1823" s="2" t="s">
        <v>9</v>
      </c>
      <c r="M1823" s="2" t="s">
        <v>20</v>
      </c>
      <c r="N1823" s="2" t="s">
        <v>19</v>
      </c>
      <c r="O1823" s="2" t="s">
        <v>12</v>
      </c>
      <c r="P1823" s="2" t="s">
        <v>63</v>
      </c>
      <c r="Q1823" s="2" t="s">
        <v>37</v>
      </c>
      <c r="R1823" s="2" t="s">
        <v>18</v>
      </c>
      <c r="S1823">
        <v>5</v>
      </c>
    </row>
    <row r="1824" spans="1:19" x14ac:dyDescent="0.3">
      <c r="A1824">
        <v>3328</v>
      </c>
      <c r="B1824">
        <f>YEAR(Cleaned_HR_Data_Analysis__2[[#This Row],[Joining_Date]])</f>
        <v>2020</v>
      </c>
      <c r="C1824" s="1">
        <v>44128</v>
      </c>
      <c r="D1824" s="1" t="str" cm="1">
        <f t="array" ref="D1824">_xlfn.IFS(E1824&lt;28, "17-27",
AND(E1824&gt;27, E1824&lt;38), "28-37",
AND(E1824&gt;37, E1824 &lt;48), "38-47",
AND(E1824&gt;47, E1824 &lt;58), "48-57",
AND(E1824&gt;57, E1824&lt;68), "58-67",
AND(E1824&gt;67, E1824&lt;78), "68-77",
E1824&gt;77,"Above than 77")</f>
        <v>58-67</v>
      </c>
      <c r="E1824">
        <v>59</v>
      </c>
      <c r="F1824" s="1">
        <v>22318</v>
      </c>
      <c r="G1824" s="1" t="str">
        <f>VLOOKUP(H1824,Table7[#All], 2, FALSE)</f>
        <v>Massachusetts</v>
      </c>
      <c r="H1824" s="2" t="s">
        <v>14</v>
      </c>
      <c r="I1824" s="2" t="s">
        <v>22</v>
      </c>
      <c r="J1824" s="2" t="s">
        <v>34</v>
      </c>
      <c r="K1824" s="2" t="s">
        <v>8</v>
      </c>
      <c r="L1824" s="2" t="s">
        <v>66</v>
      </c>
      <c r="M1824" s="2" t="s">
        <v>20</v>
      </c>
      <c r="N1824" s="2" t="s">
        <v>19</v>
      </c>
      <c r="O1824" s="2" t="s">
        <v>12</v>
      </c>
      <c r="P1824" s="2" t="s">
        <v>42</v>
      </c>
      <c r="Q1824" s="2" t="s">
        <v>16</v>
      </c>
      <c r="R1824" s="2" t="s">
        <v>18</v>
      </c>
      <c r="S1824">
        <v>5</v>
      </c>
    </row>
    <row r="1825" spans="1:19" x14ac:dyDescent="0.3">
      <c r="A1825">
        <v>3189</v>
      </c>
      <c r="B1825">
        <f>YEAR(Cleaned_HR_Data_Analysis__2[[#This Row],[Joining_Date]])</f>
        <v>2023</v>
      </c>
      <c r="C1825" s="1">
        <v>45142</v>
      </c>
      <c r="D1825" s="1" t="str" cm="1">
        <f t="array" ref="D1825">_xlfn.IFS(E1825&lt;28, "17-27",
AND(E1825&gt;27, E1825&lt;38), "28-37",
AND(E1825&gt;37, E1825 &lt;48), "38-47",
AND(E1825&gt;47, E1825 &lt;58), "48-57",
AND(E1825&gt;57, E1825&lt;68), "58-67",
AND(E1825&gt;67, E1825&lt;78), "68-77",
E1825&gt;77,"Above than 77")</f>
        <v>58-67</v>
      </c>
      <c r="E1825">
        <v>59</v>
      </c>
      <c r="F1825" s="1">
        <v>23579</v>
      </c>
      <c r="G1825" s="1" t="str">
        <f>VLOOKUP(H1825,Table7[#All], 2, FALSE)</f>
        <v>Massachusetts</v>
      </c>
      <c r="H1825" s="2" t="s">
        <v>14</v>
      </c>
      <c r="I1825" s="2" t="s">
        <v>15</v>
      </c>
      <c r="J1825" s="2" t="s">
        <v>34</v>
      </c>
      <c r="K1825" s="2" t="s">
        <v>8</v>
      </c>
      <c r="L1825" s="2" t="s">
        <v>9</v>
      </c>
      <c r="M1825" s="2" t="s">
        <v>25</v>
      </c>
      <c r="N1825" s="2" t="s">
        <v>11</v>
      </c>
      <c r="O1825" s="2" t="s">
        <v>12</v>
      </c>
      <c r="P1825" s="2" t="s">
        <v>54</v>
      </c>
      <c r="Q1825" s="2" t="s">
        <v>46</v>
      </c>
      <c r="R1825" s="2" t="s">
        <v>65</v>
      </c>
      <c r="S1825">
        <v>3</v>
      </c>
    </row>
    <row r="1826" spans="1:19" x14ac:dyDescent="0.3">
      <c r="A1826">
        <v>3043</v>
      </c>
      <c r="B1826">
        <f>YEAR(Cleaned_HR_Data_Analysis__2[[#This Row],[Joining_Date]])</f>
        <v>2022</v>
      </c>
      <c r="C1826" s="1">
        <v>44829</v>
      </c>
      <c r="D1826" s="1" t="str" cm="1">
        <f t="array" ref="D1826">_xlfn.IFS(E1826&lt;28, "17-27",
AND(E1826&gt;27, E1826&lt;38), "28-37",
AND(E1826&gt;37, E1826 &lt;48), "38-47",
AND(E1826&gt;47, E1826 &lt;58), "48-57",
AND(E1826&gt;57, E1826&lt;68), "58-67",
AND(E1826&gt;67, E1826&lt;78), "68-77",
E1826&gt;77,"Above than 77")</f>
        <v>58-67</v>
      </c>
      <c r="E1826">
        <v>59</v>
      </c>
      <c r="F1826" s="1">
        <v>23076</v>
      </c>
      <c r="G1826" s="1" t="str">
        <f>VLOOKUP(H1826,Table7[#All], 2, FALSE)</f>
        <v>Massachusetts</v>
      </c>
      <c r="H1826" s="2" t="s">
        <v>14</v>
      </c>
      <c r="I1826" s="2" t="s">
        <v>22</v>
      </c>
      <c r="J1826" s="2" t="s">
        <v>17</v>
      </c>
      <c r="K1826" s="2" t="s">
        <v>8</v>
      </c>
      <c r="L1826" s="2" t="s">
        <v>9</v>
      </c>
      <c r="M1826" s="2" t="s">
        <v>10</v>
      </c>
      <c r="N1826" s="2" t="s">
        <v>11</v>
      </c>
      <c r="O1826" s="2" t="s">
        <v>12</v>
      </c>
      <c r="P1826" s="2" t="s">
        <v>60</v>
      </c>
      <c r="Q1826" s="2" t="s">
        <v>37</v>
      </c>
      <c r="R1826" s="2" t="s">
        <v>41</v>
      </c>
      <c r="S1826">
        <v>3</v>
      </c>
    </row>
    <row r="1827" spans="1:19" x14ac:dyDescent="0.3">
      <c r="A1827">
        <v>2966</v>
      </c>
      <c r="B1827">
        <f>YEAR(Cleaned_HR_Data_Analysis__2[[#This Row],[Joining_Date]])</f>
        <v>2020</v>
      </c>
      <c r="C1827" s="1">
        <v>44015</v>
      </c>
      <c r="D1827" s="1" t="str" cm="1">
        <f t="array" ref="D1827">_xlfn.IFS(E1827&lt;28, "17-27",
AND(E1827&gt;27, E1827&lt;38), "28-37",
AND(E1827&gt;37, E1827 &lt;48), "38-47",
AND(E1827&gt;47, E1827 &lt;58), "48-57",
AND(E1827&gt;57, E1827&lt;68), "58-67",
AND(E1827&gt;67, E1827&lt;78), "68-77",
E1827&gt;77,"Above than 77")</f>
        <v>58-67</v>
      </c>
      <c r="E1827">
        <v>59</v>
      </c>
      <c r="F1827" s="1">
        <v>22394</v>
      </c>
      <c r="G1827" s="1" t="str">
        <f>VLOOKUP(H1827,Table7[#All], 2, FALSE)</f>
        <v>Massachusetts</v>
      </c>
      <c r="H1827" s="2" t="s">
        <v>14</v>
      </c>
      <c r="I1827" s="2" t="s">
        <v>22</v>
      </c>
      <c r="J1827" s="2" t="s">
        <v>40</v>
      </c>
      <c r="K1827" s="2" t="s">
        <v>8</v>
      </c>
      <c r="L1827" s="2" t="s">
        <v>9</v>
      </c>
      <c r="M1827" s="2" t="s">
        <v>25</v>
      </c>
      <c r="N1827" s="2" t="s">
        <v>19</v>
      </c>
      <c r="O1827" s="2" t="s">
        <v>12</v>
      </c>
      <c r="P1827" s="2" t="s">
        <v>21</v>
      </c>
      <c r="Q1827" s="2" t="s">
        <v>16</v>
      </c>
      <c r="R1827" s="2" t="s">
        <v>18</v>
      </c>
      <c r="S1827">
        <v>2</v>
      </c>
    </row>
    <row r="1828" spans="1:19" x14ac:dyDescent="0.3">
      <c r="A1828">
        <v>2897</v>
      </c>
      <c r="B1828">
        <f>YEAR(Cleaned_HR_Data_Analysis__2[[#This Row],[Joining_Date]])</f>
        <v>2022</v>
      </c>
      <c r="C1828" s="1">
        <v>44624</v>
      </c>
      <c r="D1828" s="1" t="str" cm="1">
        <f t="array" ref="D1828">_xlfn.IFS(E1828&lt;28, "17-27",
AND(E1828&gt;27, E1828&lt;38), "28-37",
AND(E1828&gt;37, E1828 &lt;48), "38-47",
AND(E1828&gt;47, E1828 &lt;58), "48-57",
AND(E1828&gt;57, E1828&lt;68), "58-67",
AND(E1828&gt;67, E1828&lt;78), "68-77",
E1828&gt;77,"Above than 77")</f>
        <v>58-67</v>
      </c>
      <c r="E1828">
        <v>59</v>
      </c>
      <c r="F1828" s="1">
        <v>23172</v>
      </c>
      <c r="G1828" s="1" t="str">
        <f>VLOOKUP(H1828,Table7[#All], 2, FALSE)</f>
        <v>Massachusetts</v>
      </c>
      <c r="H1828" s="2" t="s">
        <v>14</v>
      </c>
      <c r="I1828" s="2" t="s">
        <v>15</v>
      </c>
      <c r="J1828" s="2" t="s">
        <v>17</v>
      </c>
      <c r="K1828" s="2" t="s">
        <v>8</v>
      </c>
      <c r="L1828" s="2" t="s">
        <v>9</v>
      </c>
      <c r="M1828" s="2" t="s">
        <v>25</v>
      </c>
      <c r="N1828" s="2" t="s">
        <v>11</v>
      </c>
      <c r="O1828" s="2" t="s">
        <v>12</v>
      </c>
      <c r="P1828" s="2" t="s">
        <v>35</v>
      </c>
      <c r="Q1828" s="2" t="s">
        <v>23</v>
      </c>
      <c r="R1828" s="2" t="s">
        <v>18</v>
      </c>
      <c r="S1828">
        <v>5</v>
      </c>
    </row>
    <row r="1829" spans="1:19" x14ac:dyDescent="0.3">
      <c r="A1829">
        <v>2818</v>
      </c>
      <c r="B1829">
        <f>YEAR(Cleaned_HR_Data_Analysis__2[[#This Row],[Joining_Date]])</f>
        <v>2023</v>
      </c>
      <c r="C1829" s="1">
        <v>45135</v>
      </c>
      <c r="D1829" s="1" t="str" cm="1">
        <f t="array" ref="D1829">_xlfn.IFS(E1829&lt;28, "17-27",
AND(E1829&gt;27, E1829&lt;38), "28-37",
AND(E1829&gt;37, E1829 &lt;48), "38-47",
AND(E1829&gt;47, E1829 &lt;58), "48-57",
AND(E1829&gt;57, E1829&lt;68), "58-67",
AND(E1829&gt;67, E1829&lt;78), "68-77",
E1829&gt;77,"Above than 77")</f>
        <v>58-67</v>
      </c>
      <c r="E1829">
        <v>59</v>
      </c>
      <c r="F1829" s="1">
        <v>23395</v>
      </c>
      <c r="G1829" s="1" t="str">
        <f>VLOOKUP(H1829,Table7[#All], 2, FALSE)</f>
        <v>Massachusetts</v>
      </c>
      <c r="H1829" s="2" t="s">
        <v>14</v>
      </c>
      <c r="I1829" s="2" t="s">
        <v>22</v>
      </c>
      <c r="J1829" s="2" t="s">
        <v>31</v>
      </c>
      <c r="K1829" s="2" t="s">
        <v>8</v>
      </c>
      <c r="L1829" s="2" t="s">
        <v>9</v>
      </c>
      <c r="M1829" s="2" t="s">
        <v>20</v>
      </c>
      <c r="N1829" s="2" t="s">
        <v>26</v>
      </c>
      <c r="O1829" s="2" t="s">
        <v>12</v>
      </c>
      <c r="P1829" s="2" t="s">
        <v>55</v>
      </c>
      <c r="Q1829" s="2" t="s">
        <v>23</v>
      </c>
      <c r="R1829" s="2" t="s">
        <v>41</v>
      </c>
      <c r="S1829">
        <v>3</v>
      </c>
    </row>
    <row r="1830" spans="1:19" x14ac:dyDescent="0.3">
      <c r="A1830">
        <v>2809</v>
      </c>
      <c r="B1830">
        <f>YEAR(Cleaned_HR_Data_Analysis__2[[#This Row],[Joining_Date]])</f>
        <v>2023</v>
      </c>
      <c r="C1830" s="1">
        <v>44956</v>
      </c>
      <c r="D1830" s="1" t="str" cm="1">
        <f t="array" ref="D1830">_xlfn.IFS(E1830&lt;28, "17-27",
AND(E1830&gt;27, E1830&lt;38), "28-37",
AND(E1830&gt;37, E1830 &lt;48), "38-47",
AND(E1830&gt;47, E1830 &lt;58), "48-57",
AND(E1830&gt;57, E1830&lt;68), "58-67",
AND(E1830&gt;67, E1830&lt;78), "68-77",
E1830&gt;77,"Above than 77")</f>
        <v>58-67</v>
      </c>
      <c r="E1830">
        <v>59</v>
      </c>
      <c r="F1830" s="1">
        <v>23431</v>
      </c>
      <c r="G1830" s="1" t="str">
        <f>VLOOKUP(H1830,Table7[#All], 2, FALSE)</f>
        <v>Massachusetts</v>
      </c>
      <c r="H1830" s="2" t="s">
        <v>14</v>
      </c>
      <c r="I1830" s="2" t="s">
        <v>22</v>
      </c>
      <c r="J1830" s="2" t="s">
        <v>31</v>
      </c>
      <c r="K1830" s="2" t="s">
        <v>8</v>
      </c>
      <c r="L1830" s="2" t="s">
        <v>9</v>
      </c>
      <c r="M1830" s="2" t="s">
        <v>25</v>
      </c>
      <c r="N1830" s="2" t="s">
        <v>11</v>
      </c>
      <c r="O1830" s="2" t="s">
        <v>12</v>
      </c>
      <c r="P1830" s="2" t="s">
        <v>49</v>
      </c>
      <c r="Q1830" s="2" t="s">
        <v>23</v>
      </c>
      <c r="R1830" s="2" t="s">
        <v>18</v>
      </c>
      <c r="S1830">
        <v>1</v>
      </c>
    </row>
    <row r="1831" spans="1:19" x14ac:dyDescent="0.3">
      <c r="A1831">
        <v>2198</v>
      </c>
      <c r="B1831">
        <f>YEAR(Cleaned_HR_Data_Analysis__2[[#This Row],[Joining_Date]])</f>
        <v>2022</v>
      </c>
      <c r="C1831" s="1">
        <v>44910</v>
      </c>
      <c r="D1831" s="1" t="str" cm="1">
        <f t="array" ref="D1831">_xlfn.IFS(E1831&lt;28, "17-27",
AND(E1831&gt;27, E1831&lt;38), "28-37",
AND(E1831&gt;37, E1831 &lt;48), "38-47",
AND(E1831&gt;47, E1831 &lt;58), "48-57",
AND(E1831&gt;57, E1831&lt;68), "58-67",
AND(E1831&gt;67, E1831&lt;78), "68-77",
E1831&gt;77,"Above than 77")</f>
        <v>58-67</v>
      </c>
      <c r="E1831">
        <v>59</v>
      </c>
      <c r="F1831" s="1">
        <v>23193</v>
      </c>
      <c r="G1831" s="1" t="str">
        <f>VLOOKUP(H1831,Table7[#All], 2, FALSE)</f>
        <v>Massachusetts</v>
      </c>
      <c r="H1831" s="2" t="s">
        <v>14</v>
      </c>
      <c r="I1831" s="2" t="s">
        <v>15</v>
      </c>
      <c r="J1831" s="2" t="s">
        <v>31</v>
      </c>
      <c r="K1831" s="2" t="s">
        <v>8</v>
      </c>
      <c r="L1831" s="2" t="s">
        <v>9</v>
      </c>
      <c r="M1831" s="2" t="s">
        <v>10</v>
      </c>
      <c r="N1831" s="2" t="s">
        <v>26</v>
      </c>
      <c r="O1831" s="2" t="s">
        <v>12</v>
      </c>
      <c r="P1831" s="2" t="s">
        <v>35</v>
      </c>
      <c r="Q1831" s="2" t="s">
        <v>16</v>
      </c>
      <c r="R1831" s="2" t="s">
        <v>41</v>
      </c>
      <c r="S1831">
        <v>4</v>
      </c>
    </row>
    <row r="1832" spans="1:19" x14ac:dyDescent="0.3">
      <c r="A1832">
        <v>2088</v>
      </c>
      <c r="B1832">
        <f>YEAR(Cleaned_HR_Data_Analysis__2[[#This Row],[Joining_Date]])</f>
        <v>2019</v>
      </c>
      <c r="C1832" s="1">
        <v>43665</v>
      </c>
      <c r="D1832" s="1" t="str" cm="1">
        <f t="array" ref="D1832">_xlfn.IFS(E1832&lt;28, "17-27",
AND(E1832&gt;27, E1832&lt;38), "28-37",
AND(E1832&gt;37, E1832 &lt;48), "38-47",
AND(E1832&gt;47, E1832 &lt;58), "48-57",
AND(E1832&gt;57, E1832&lt;68), "58-67",
AND(E1832&gt;67, E1832&lt;78), "68-77",
E1832&gt;77,"Above than 77")</f>
        <v>58-67</v>
      </c>
      <c r="E1832">
        <v>59</v>
      </c>
      <c r="F1832" s="1">
        <v>22063</v>
      </c>
      <c r="G1832" s="1" t="str">
        <f>VLOOKUP(H1832,Table7[#All], 2, FALSE)</f>
        <v>Massachusetts</v>
      </c>
      <c r="H1832" s="2" t="s">
        <v>14</v>
      </c>
      <c r="I1832" s="2" t="s">
        <v>15</v>
      </c>
      <c r="J1832" s="2" t="s">
        <v>40</v>
      </c>
      <c r="K1832" s="2" t="s">
        <v>8</v>
      </c>
      <c r="L1832" s="2" t="s">
        <v>9</v>
      </c>
      <c r="M1832" s="2" t="s">
        <v>10</v>
      </c>
      <c r="N1832" s="2" t="s">
        <v>26</v>
      </c>
      <c r="O1832" s="2" t="s">
        <v>12</v>
      </c>
      <c r="P1832" s="2" t="s">
        <v>63</v>
      </c>
      <c r="Q1832" s="2" t="s">
        <v>16</v>
      </c>
      <c r="R1832" s="2" t="s">
        <v>18</v>
      </c>
      <c r="S1832">
        <v>1</v>
      </c>
    </row>
    <row r="1833" spans="1:19" x14ac:dyDescent="0.3">
      <c r="A1833">
        <v>2000</v>
      </c>
      <c r="B1833">
        <f>YEAR(Cleaned_HR_Data_Analysis__2[[#This Row],[Joining_Date]])</f>
        <v>2022</v>
      </c>
      <c r="C1833" s="1">
        <v>44694</v>
      </c>
      <c r="D1833" s="1" t="str" cm="1">
        <f t="array" ref="D1833">_xlfn.IFS(E1833&lt;28, "17-27",
AND(E1833&gt;27, E1833&lt;38), "28-37",
AND(E1833&gt;37, E1833 &lt;48), "38-47",
AND(E1833&gt;47, E1833 &lt;58), "48-57",
AND(E1833&gt;57, E1833&lt;68), "58-67",
AND(E1833&gt;67, E1833&lt;78), "68-77",
E1833&gt;77,"Above than 77")</f>
        <v>58-67</v>
      </c>
      <c r="E1833">
        <v>59</v>
      </c>
      <c r="F1833" s="1">
        <v>23199</v>
      </c>
      <c r="G1833" s="1" t="str">
        <f>VLOOKUP(H1833,Table7[#All], 2, FALSE)</f>
        <v>Massachusetts</v>
      </c>
      <c r="H1833" s="2" t="s">
        <v>14</v>
      </c>
      <c r="I1833" s="2" t="s">
        <v>15</v>
      </c>
      <c r="J1833" s="2" t="s">
        <v>17</v>
      </c>
      <c r="K1833" s="2" t="s">
        <v>8</v>
      </c>
      <c r="L1833" s="2" t="s">
        <v>9</v>
      </c>
      <c r="M1833" s="2" t="s">
        <v>25</v>
      </c>
      <c r="N1833" s="2" t="s">
        <v>19</v>
      </c>
      <c r="O1833" s="2" t="s">
        <v>12</v>
      </c>
      <c r="P1833" s="2" t="s">
        <v>32</v>
      </c>
      <c r="Q1833" s="2" t="s">
        <v>37</v>
      </c>
      <c r="R1833" s="2" t="s">
        <v>18</v>
      </c>
      <c r="S1833">
        <v>3</v>
      </c>
    </row>
    <row r="1834" spans="1:19" x14ac:dyDescent="0.3">
      <c r="A1834">
        <v>1917</v>
      </c>
      <c r="B1834">
        <f>YEAR(Cleaned_HR_Data_Analysis__2[[#This Row],[Joining_Date]])</f>
        <v>2019</v>
      </c>
      <c r="C1834" s="1">
        <v>43614</v>
      </c>
      <c r="D1834" s="1" t="str" cm="1">
        <f t="array" ref="D1834">_xlfn.IFS(E1834&lt;28, "17-27",
AND(E1834&gt;27, E1834&lt;38), "28-37",
AND(E1834&gt;37, E1834 &lt;48), "38-47",
AND(E1834&gt;47, E1834 &lt;58), "48-57",
AND(E1834&gt;57, E1834&lt;68), "58-67",
AND(E1834&gt;67, E1834&lt;78), "68-77",
E1834&gt;77,"Above than 77")</f>
        <v>58-67</v>
      </c>
      <c r="E1834">
        <v>59</v>
      </c>
      <c r="F1834" s="1">
        <v>22223</v>
      </c>
      <c r="G1834" s="1" t="str">
        <f>VLOOKUP(H1834,Table7[#All], 2, FALSE)</f>
        <v>Massachusetts</v>
      </c>
      <c r="H1834" s="2" t="s">
        <v>14</v>
      </c>
      <c r="I1834" s="2" t="s">
        <v>15</v>
      </c>
      <c r="J1834" s="2" t="s">
        <v>31</v>
      </c>
      <c r="K1834" s="2" t="s">
        <v>8</v>
      </c>
      <c r="L1834" s="2" t="s">
        <v>9</v>
      </c>
      <c r="M1834" s="2" t="s">
        <v>10</v>
      </c>
      <c r="N1834" s="2" t="s">
        <v>26</v>
      </c>
      <c r="O1834" s="2" t="s">
        <v>12</v>
      </c>
      <c r="P1834" s="2" t="s">
        <v>38</v>
      </c>
      <c r="Q1834" s="2" t="s">
        <v>37</v>
      </c>
      <c r="R1834" s="2" t="s">
        <v>18</v>
      </c>
      <c r="S1834">
        <v>2</v>
      </c>
    </row>
    <row r="1835" spans="1:19" x14ac:dyDescent="0.3">
      <c r="A1835">
        <v>1815</v>
      </c>
      <c r="B1835">
        <f>YEAR(Cleaned_HR_Data_Analysis__2[[#This Row],[Joining_Date]])</f>
        <v>2020</v>
      </c>
      <c r="C1835" s="1">
        <v>44004</v>
      </c>
      <c r="D1835" s="1" t="str" cm="1">
        <f t="array" ref="D1835">_xlfn.IFS(E1835&lt;28, "17-27",
AND(E1835&gt;27, E1835&lt;38), "28-37",
AND(E1835&gt;37, E1835 &lt;48), "38-47",
AND(E1835&gt;47, E1835 &lt;58), "48-57",
AND(E1835&gt;57, E1835&lt;68), "58-67",
AND(E1835&gt;67, E1835&lt;78), "68-77",
E1835&gt;77,"Above than 77")</f>
        <v>58-67</v>
      </c>
      <c r="E1835">
        <v>59</v>
      </c>
      <c r="F1835" s="1">
        <v>22414</v>
      </c>
      <c r="G1835" s="1" t="str">
        <f>VLOOKUP(H1835,Table7[#All], 2, FALSE)</f>
        <v>Massachusetts</v>
      </c>
      <c r="H1835" s="2" t="s">
        <v>14</v>
      </c>
      <c r="I1835" s="2" t="s">
        <v>15</v>
      </c>
      <c r="J1835" s="2" t="s">
        <v>34</v>
      </c>
      <c r="K1835" s="2" t="s">
        <v>8</v>
      </c>
      <c r="L1835" s="2" t="s">
        <v>9</v>
      </c>
      <c r="M1835" s="2" t="s">
        <v>10</v>
      </c>
      <c r="N1835" s="2" t="s">
        <v>19</v>
      </c>
      <c r="O1835" s="2" t="s">
        <v>12</v>
      </c>
      <c r="P1835" s="2" t="s">
        <v>54</v>
      </c>
      <c r="Q1835" s="2" t="s">
        <v>46</v>
      </c>
      <c r="R1835" s="2" t="s">
        <v>18</v>
      </c>
      <c r="S1835">
        <v>4</v>
      </c>
    </row>
    <row r="1836" spans="1:19" x14ac:dyDescent="0.3">
      <c r="A1836">
        <v>1795</v>
      </c>
      <c r="B1836">
        <f>YEAR(Cleaned_HR_Data_Analysis__2[[#This Row],[Joining_Date]])</f>
        <v>2019</v>
      </c>
      <c r="C1836" s="1">
        <v>43800</v>
      </c>
      <c r="D1836" s="1" t="str" cm="1">
        <f t="array" ref="D1836">_xlfn.IFS(E1836&lt;28, "17-27",
AND(E1836&gt;27, E1836&lt;38), "28-37",
AND(E1836&gt;37, E1836 &lt;48), "38-47",
AND(E1836&gt;47, E1836 &lt;58), "48-57",
AND(E1836&gt;57, E1836&lt;68), "58-67",
AND(E1836&gt;67, E1836&lt;78), "68-77",
E1836&gt;77,"Above than 77")</f>
        <v>58-67</v>
      </c>
      <c r="E1836">
        <v>59</v>
      </c>
      <c r="F1836" s="1">
        <v>22010</v>
      </c>
      <c r="G1836" s="1" t="str">
        <f>VLOOKUP(H1836,Table7[#All], 2, FALSE)</f>
        <v>Massachusetts</v>
      </c>
      <c r="H1836" s="2" t="s">
        <v>14</v>
      </c>
      <c r="I1836" s="2" t="s">
        <v>15</v>
      </c>
      <c r="J1836" s="2" t="s">
        <v>17</v>
      </c>
      <c r="K1836" s="2" t="s">
        <v>8</v>
      </c>
      <c r="L1836" s="2" t="s">
        <v>66</v>
      </c>
      <c r="M1836" s="2" t="s">
        <v>25</v>
      </c>
      <c r="N1836" s="2" t="s">
        <v>26</v>
      </c>
      <c r="O1836" s="2" t="s">
        <v>12</v>
      </c>
      <c r="P1836" s="2" t="s">
        <v>63</v>
      </c>
      <c r="Q1836" s="2" t="s">
        <v>46</v>
      </c>
      <c r="R1836" s="2" t="s">
        <v>18</v>
      </c>
      <c r="S1836">
        <v>1</v>
      </c>
    </row>
    <row r="1837" spans="1:19" x14ac:dyDescent="0.3">
      <c r="A1837">
        <v>1508</v>
      </c>
      <c r="B1837">
        <f>YEAR(Cleaned_HR_Data_Analysis__2[[#This Row],[Joining_Date]])</f>
        <v>2023</v>
      </c>
      <c r="C1837" s="1">
        <v>45066</v>
      </c>
      <c r="D1837" s="1" t="str" cm="1">
        <f t="array" ref="D1837">_xlfn.IFS(E1837&lt;28, "17-27",
AND(E1837&gt;27, E1837&lt;38), "28-37",
AND(E1837&gt;37, E1837 &lt;48), "38-47",
AND(E1837&gt;47, E1837 &lt;58), "48-57",
AND(E1837&gt;57, E1837&lt;68), "58-67",
AND(E1837&gt;67, E1837&lt;78), "68-77",
E1837&gt;77,"Above than 77")</f>
        <v>58-67</v>
      </c>
      <c r="E1837">
        <v>59</v>
      </c>
      <c r="F1837" s="1">
        <v>23736</v>
      </c>
      <c r="G1837" s="1" t="str">
        <f>VLOOKUP(H1837,Table7[#All], 2, FALSE)</f>
        <v>Massachusetts</v>
      </c>
      <c r="H1837" s="2" t="s">
        <v>14</v>
      </c>
      <c r="I1837" s="2" t="s">
        <v>15</v>
      </c>
      <c r="J1837" s="2" t="s">
        <v>31</v>
      </c>
      <c r="K1837" s="2" t="s">
        <v>8</v>
      </c>
      <c r="L1837" s="2" t="s">
        <v>9</v>
      </c>
      <c r="M1837" s="2" t="s">
        <v>20</v>
      </c>
      <c r="N1837" s="2" t="s">
        <v>26</v>
      </c>
      <c r="O1837" s="2" t="s">
        <v>12</v>
      </c>
      <c r="P1837" s="2" t="s">
        <v>32</v>
      </c>
      <c r="Q1837" s="2" t="s">
        <v>16</v>
      </c>
      <c r="R1837" s="2" t="s">
        <v>18</v>
      </c>
      <c r="S1837">
        <v>3</v>
      </c>
    </row>
    <row r="1838" spans="1:19" x14ac:dyDescent="0.3">
      <c r="A1838">
        <v>1443</v>
      </c>
      <c r="B1838">
        <f>YEAR(Cleaned_HR_Data_Analysis__2[[#This Row],[Joining_Date]])</f>
        <v>2019</v>
      </c>
      <c r="C1838" s="1">
        <v>43681</v>
      </c>
      <c r="D1838" s="1" t="str" cm="1">
        <f t="array" ref="D1838">_xlfn.IFS(E1838&lt;28, "17-27",
AND(E1838&gt;27, E1838&lt;38), "28-37",
AND(E1838&gt;37, E1838 &lt;48), "38-47",
AND(E1838&gt;47, E1838 &lt;58), "48-57",
AND(E1838&gt;57, E1838&lt;68), "58-67",
AND(E1838&gt;67, E1838&lt;78), "68-77",
E1838&gt;77,"Above than 77")</f>
        <v>58-67</v>
      </c>
      <c r="E1838">
        <v>59</v>
      </c>
      <c r="F1838" s="1">
        <v>21971</v>
      </c>
      <c r="G1838" s="1" t="str">
        <f>VLOOKUP(H1838,Table7[#All], 2, FALSE)</f>
        <v>Massachusetts</v>
      </c>
      <c r="H1838" s="2" t="s">
        <v>14</v>
      </c>
      <c r="I1838" s="2" t="s">
        <v>15</v>
      </c>
      <c r="J1838" s="2" t="s">
        <v>40</v>
      </c>
      <c r="K1838" s="2" t="s">
        <v>8</v>
      </c>
      <c r="L1838" s="2" t="s">
        <v>9</v>
      </c>
      <c r="M1838" s="2" t="s">
        <v>10</v>
      </c>
      <c r="N1838" s="2" t="s">
        <v>11</v>
      </c>
      <c r="O1838" s="2" t="s">
        <v>12</v>
      </c>
      <c r="P1838" s="2" t="s">
        <v>35</v>
      </c>
      <c r="Q1838" s="2" t="s">
        <v>16</v>
      </c>
      <c r="R1838" s="2" t="s">
        <v>56</v>
      </c>
      <c r="S1838">
        <v>2</v>
      </c>
    </row>
    <row r="1839" spans="1:19" x14ac:dyDescent="0.3">
      <c r="A1839">
        <v>1217</v>
      </c>
      <c r="B1839">
        <f>YEAR(Cleaned_HR_Data_Analysis__2[[#This Row],[Joining_Date]])</f>
        <v>2019</v>
      </c>
      <c r="C1839" s="1">
        <v>43802</v>
      </c>
      <c r="D1839" s="1" t="str" cm="1">
        <f t="array" ref="D1839">_xlfn.IFS(E1839&lt;28, "17-27",
AND(E1839&gt;27, E1839&lt;38), "28-37",
AND(E1839&gt;37, E1839 &lt;48), "38-47",
AND(E1839&gt;47, E1839 &lt;58), "48-57",
AND(E1839&gt;57, E1839&lt;68), "58-67",
AND(E1839&gt;67, E1839&lt;78), "68-77",
E1839&gt;77,"Above than 77")</f>
        <v>58-67</v>
      </c>
      <c r="E1839">
        <v>59</v>
      </c>
      <c r="F1839" s="1">
        <v>22114</v>
      </c>
      <c r="G1839" s="1" t="str">
        <f>VLOOKUP(H1839,Table7[#All], 2, FALSE)</f>
        <v>Massachusetts</v>
      </c>
      <c r="H1839" s="2" t="s">
        <v>14</v>
      </c>
      <c r="I1839" s="2" t="s">
        <v>22</v>
      </c>
      <c r="J1839" s="2" t="s">
        <v>31</v>
      </c>
      <c r="K1839" s="2" t="s">
        <v>8</v>
      </c>
      <c r="L1839" s="2" t="s">
        <v>66</v>
      </c>
      <c r="M1839" s="2" t="s">
        <v>25</v>
      </c>
      <c r="N1839" s="2" t="s">
        <v>26</v>
      </c>
      <c r="O1839" s="2" t="s">
        <v>12</v>
      </c>
      <c r="P1839" s="2" t="s">
        <v>59</v>
      </c>
      <c r="Q1839" s="2" t="s">
        <v>46</v>
      </c>
      <c r="R1839" s="2" t="s">
        <v>18</v>
      </c>
      <c r="S1839">
        <v>5</v>
      </c>
    </row>
    <row r="1840" spans="1:19" x14ac:dyDescent="0.3">
      <c r="A1840">
        <v>2465</v>
      </c>
      <c r="B1840">
        <f>YEAR(Cleaned_HR_Data_Analysis__2[[#This Row],[Joining_Date]])</f>
        <v>2020</v>
      </c>
      <c r="C1840" s="1">
        <v>43934</v>
      </c>
      <c r="D1840" s="1" t="str" cm="1">
        <f t="array" ref="D1840">_xlfn.IFS(E1840&lt;28, "17-27",
AND(E1840&gt;27, E1840&lt;38), "28-37",
AND(E1840&gt;37, E1840 &lt;48), "38-47",
AND(E1840&gt;47, E1840 &lt;58), "48-57",
AND(E1840&gt;57, E1840&lt;68), "58-67",
AND(E1840&gt;67, E1840&lt;78), "68-77",
E1840&gt;77,"Above than 77")</f>
        <v>58-67</v>
      </c>
      <c r="E1840">
        <v>59</v>
      </c>
      <c r="F1840" s="1">
        <v>22594</v>
      </c>
      <c r="G1840" s="1" t="str">
        <f>VLOOKUP(H1840,Table7[#All], 2, FALSE)</f>
        <v>Massachusetts</v>
      </c>
      <c r="H1840" s="2" t="s">
        <v>14</v>
      </c>
      <c r="I1840" s="2" t="s">
        <v>15</v>
      </c>
      <c r="J1840" s="2" t="s">
        <v>31</v>
      </c>
      <c r="K1840" s="2" t="s">
        <v>91</v>
      </c>
      <c r="L1840" s="2" t="s">
        <v>9</v>
      </c>
      <c r="M1840" s="2" t="s">
        <v>10</v>
      </c>
      <c r="N1840" s="2" t="s">
        <v>19</v>
      </c>
      <c r="O1840" s="2" t="s">
        <v>12</v>
      </c>
      <c r="P1840" s="2" t="s">
        <v>35</v>
      </c>
      <c r="Q1840" s="2" t="s">
        <v>16</v>
      </c>
      <c r="R1840" s="2" t="s">
        <v>18</v>
      </c>
      <c r="S1840">
        <v>3</v>
      </c>
    </row>
    <row r="1841" spans="1:19" x14ac:dyDescent="0.3">
      <c r="A1841">
        <v>2440</v>
      </c>
      <c r="B1841">
        <f>YEAR(Cleaned_HR_Data_Analysis__2[[#This Row],[Joining_Date]])</f>
        <v>2021</v>
      </c>
      <c r="C1841" s="1">
        <v>44331</v>
      </c>
      <c r="D1841" s="1" t="str" cm="1">
        <f t="array" ref="D1841">_xlfn.IFS(E1841&lt;28, "17-27",
AND(E1841&gt;27, E1841&lt;38), "28-37",
AND(E1841&gt;37, E1841 &lt;48), "38-47",
AND(E1841&gt;47, E1841 &lt;58), "48-57",
AND(E1841&gt;57, E1841&lt;68), "58-67",
AND(E1841&gt;67, E1841&lt;78), "68-77",
E1841&gt;77,"Above than 77")</f>
        <v>58-67</v>
      </c>
      <c r="E1841">
        <v>59</v>
      </c>
      <c r="F1841" s="1">
        <v>22850</v>
      </c>
      <c r="G1841" s="1" t="str">
        <f>VLOOKUP(H1841,Table7[#All], 2, FALSE)</f>
        <v>Massachusetts</v>
      </c>
      <c r="H1841" s="2" t="s">
        <v>14</v>
      </c>
      <c r="I1841" s="2" t="s">
        <v>22</v>
      </c>
      <c r="J1841" s="2" t="s">
        <v>40</v>
      </c>
      <c r="K1841" s="2" t="s">
        <v>91</v>
      </c>
      <c r="L1841" s="2" t="s">
        <v>9</v>
      </c>
      <c r="M1841" s="2" t="s">
        <v>10</v>
      </c>
      <c r="N1841" s="2" t="s">
        <v>26</v>
      </c>
      <c r="O1841" s="2" t="s">
        <v>12</v>
      </c>
      <c r="P1841" s="2" t="s">
        <v>32</v>
      </c>
      <c r="Q1841" s="2" t="s">
        <v>30</v>
      </c>
      <c r="R1841" s="2" t="s">
        <v>18</v>
      </c>
      <c r="S1841">
        <v>5</v>
      </c>
    </row>
    <row r="1842" spans="1:19" x14ac:dyDescent="0.3">
      <c r="A1842">
        <v>2364</v>
      </c>
      <c r="B1842">
        <f>YEAR(Cleaned_HR_Data_Analysis__2[[#This Row],[Joining_Date]])</f>
        <v>2019</v>
      </c>
      <c r="C1842" s="1">
        <v>43682</v>
      </c>
      <c r="D1842" s="1" t="str" cm="1">
        <f t="array" ref="D1842">_xlfn.IFS(E1842&lt;28, "17-27",
AND(E1842&gt;27, E1842&lt;38), "28-37",
AND(E1842&gt;37, E1842 &lt;48), "38-47",
AND(E1842&gt;47, E1842 &lt;58), "48-57",
AND(E1842&gt;57, E1842&lt;68), "58-67",
AND(E1842&gt;67, E1842&lt;78), "68-77",
E1842&gt;77,"Above than 77")</f>
        <v>58-67</v>
      </c>
      <c r="E1842">
        <v>59</v>
      </c>
      <c r="F1842" s="1">
        <v>22152</v>
      </c>
      <c r="G1842" s="1" t="str">
        <f>VLOOKUP(H1842,Table7[#All], 2, FALSE)</f>
        <v>Massachusetts</v>
      </c>
      <c r="H1842" s="2" t="s">
        <v>14</v>
      </c>
      <c r="I1842" s="2" t="s">
        <v>22</v>
      </c>
      <c r="J1842" s="2" t="s">
        <v>17</v>
      </c>
      <c r="K1842" s="2" t="s">
        <v>91</v>
      </c>
      <c r="L1842" s="2" t="s">
        <v>9</v>
      </c>
      <c r="M1842" s="2" t="s">
        <v>25</v>
      </c>
      <c r="N1842" s="2" t="s">
        <v>19</v>
      </c>
      <c r="O1842" s="2" t="s">
        <v>12</v>
      </c>
      <c r="P1842" s="2" t="s">
        <v>35</v>
      </c>
      <c r="Q1842" s="2" t="s">
        <v>37</v>
      </c>
      <c r="R1842" s="2" t="s">
        <v>18</v>
      </c>
      <c r="S1842">
        <v>2</v>
      </c>
    </row>
    <row r="1843" spans="1:19" x14ac:dyDescent="0.3">
      <c r="A1843">
        <v>2322</v>
      </c>
      <c r="B1843">
        <f>YEAR(Cleaned_HR_Data_Analysis__2[[#This Row],[Joining_Date]])</f>
        <v>2022</v>
      </c>
      <c r="C1843" s="1">
        <v>44805</v>
      </c>
      <c r="D1843" s="1" t="str" cm="1">
        <f t="array" ref="D1843">_xlfn.IFS(E1843&lt;28, "17-27",
AND(E1843&gt;27, E1843&lt;38), "28-37",
AND(E1843&gt;37, E1843 &lt;48), "38-47",
AND(E1843&gt;47, E1843 &lt;58), "48-57",
AND(E1843&gt;57, E1843&lt;68), "58-67",
AND(E1843&gt;67, E1843&lt;78), "68-77",
E1843&gt;77,"Above than 77")</f>
        <v>58-67</v>
      </c>
      <c r="E1843">
        <v>59</v>
      </c>
      <c r="F1843" s="1">
        <v>23128</v>
      </c>
      <c r="G1843" s="1" t="str">
        <f>VLOOKUP(H1843,Table7[#All], 2, FALSE)</f>
        <v>Massachusetts</v>
      </c>
      <c r="H1843" s="2" t="s">
        <v>14</v>
      </c>
      <c r="I1843" s="2" t="s">
        <v>15</v>
      </c>
      <c r="J1843" s="2" t="s">
        <v>40</v>
      </c>
      <c r="K1843" s="2" t="s">
        <v>91</v>
      </c>
      <c r="L1843" s="2" t="s">
        <v>9</v>
      </c>
      <c r="M1843" s="2" t="s">
        <v>10</v>
      </c>
      <c r="N1843" s="2" t="s">
        <v>11</v>
      </c>
      <c r="O1843" s="2" t="s">
        <v>12</v>
      </c>
      <c r="P1843" s="2" t="s">
        <v>35</v>
      </c>
      <c r="Q1843" s="2" t="s">
        <v>46</v>
      </c>
      <c r="R1843" s="2" t="s">
        <v>18</v>
      </c>
      <c r="S1843">
        <v>3</v>
      </c>
    </row>
    <row r="1844" spans="1:19" x14ac:dyDescent="0.3">
      <c r="A1844">
        <v>2278</v>
      </c>
      <c r="B1844">
        <f>YEAR(Cleaned_HR_Data_Analysis__2[[#This Row],[Joining_Date]])</f>
        <v>2022</v>
      </c>
      <c r="C1844" s="1">
        <v>44752</v>
      </c>
      <c r="D1844" s="1" t="str" cm="1">
        <f t="array" ref="D1844">_xlfn.IFS(E1844&lt;28, "17-27",
AND(E1844&gt;27, E1844&lt;38), "28-37",
AND(E1844&gt;37, E1844 &lt;48), "38-47",
AND(E1844&gt;47, E1844 &lt;58), "48-57",
AND(E1844&gt;57, E1844&lt;68), "58-67",
AND(E1844&gt;67, E1844&lt;78), "68-77",
E1844&gt;77,"Above than 77")</f>
        <v>58-67</v>
      </c>
      <c r="E1844">
        <v>59</v>
      </c>
      <c r="F1844" s="1">
        <v>23158</v>
      </c>
      <c r="G1844" s="1" t="str">
        <f>VLOOKUP(H1844,Table7[#All], 2, FALSE)</f>
        <v>Massachusetts</v>
      </c>
      <c r="H1844" s="2" t="s">
        <v>14</v>
      </c>
      <c r="I1844" s="2" t="s">
        <v>15</v>
      </c>
      <c r="J1844" s="2" t="s">
        <v>17</v>
      </c>
      <c r="K1844" s="2" t="s">
        <v>91</v>
      </c>
      <c r="L1844" s="2" t="s">
        <v>9</v>
      </c>
      <c r="M1844" s="2" t="s">
        <v>20</v>
      </c>
      <c r="N1844" s="2" t="s">
        <v>26</v>
      </c>
      <c r="O1844" s="2" t="s">
        <v>12</v>
      </c>
      <c r="P1844" s="2" t="s">
        <v>61</v>
      </c>
      <c r="Q1844" s="2" t="s">
        <v>16</v>
      </c>
      <c r="R1844" s="2" t="s">
        <v>18</v>
      </c>
      <c r="S1844">
        <v>4</v>
      </c>
    </row>
    <row r="1845" spans="1:19" x14ac:dyDescent="0.3">
      <c r="A1845">
        <v>2277</v>
      </c>
      <c r="B1845">
        <f>YEAR(Cleaned_HR_Data_Analysis__2[[#This Row],[Joining_Date]])</f>
        <v>2022</v>
      </c>
      <c r="C1845" s="1">
        <v>44665</v>
      </c>
      <c r="D1845" s="1" t="str" cm="1">
        <f t="array" ref="D1845">_xlfn.IFS(E1845&lt;28, "17-27",
AND(E1845&gt;27, E1845&lt;38), "28-37",
AND(E1845&gt;37, E1845 &lt;48), "38-47",
AND(E1845&gt;47, E1845 &lt;58), "48-57",
AND(E1845&gt;57, E1845&lt;68), "58-67",
AND(E1845&gt;67, E1845&lt;78), "68-77",
E1845&gt;77,"Above than 77")</f>
        <v>58-67</v>
      </c>
      <c r="E1845">
        <v>59</v>
      </c>
      <c r="F1845" s="1">
        <v>23283</v>
      </c>
      <c r="G1845" s="1" t="str">
        <f>VLOOKUP(H1845,Table7[#All], 2, FALSE)</f>
        <v>Massachusetts</v>
      </c>
      <c r="H1845" s="2" t="s">
        <v>14</v>
      </c>
      <c r="I1845" s="2" t="s">
        <v>15</v>
      </c>
      <c r="J1845" s="2" t="s">
        <v>17</v>
      </c>
      <c r="K1845" s="2" t="s">
        <v>91</v>
      </c>
      <c r="L1845" s="2" t="s">
        <v>9</v>
      </c>
      <c r="M1845" s="2" t="s">
        <v>10</v>
      </c>
      <c r="N1845" s="2" t="s">
        <v>26</v>
      </c>
      <c r="O1845" s="2" t="s">
        <v>12</v>
      </c>
      <c r="P1845" s="2" t="s">
        <v>35</v>
      </c>
      <c r="Q1845" s="2" t="s">
        <v>23</v>
      </c>
      <c r="R1845" s="2" t="s">
        <v>18</v>
      </c>
      <c r="S1845">
        <v>4</v>
      </c>
    </row>
    <row r="1846" spans="1:19" x14ac:dyDescent="0.3">
      <c r="A1846">
        <v>3902</v>
      </c>
      <c r="B1846">
        <f>YEAR(Cleaned_HR_Data_Analysis__2[[#This Row],[Joining_Date]])</f>
        <v>2023</v>
      </c>
      <c r="C1846" s="1">
        <v>45068</v>
      </c>
      <c r="D1846" s="1" t="str" cm="1">
        <f t="array" ref="D1846">_xlfn.IFS(E1846&lt;28, "17-27",
AND(E1846&gt;27, E1846&lt;38), "28-37",
AND(E1846&gt;37, E1846 &lt;48), "38-47",
AND(E1846&gt;47, E1846 &lt;58), "48-57",
AND(E1846&gt;57, E1846&lt;68), "58-67",
AND(E1846&gt;67, E1846&lt;78), "68-77",
E1846&gt;77,"Above than 77")</f>
        <v>58-67</v>
      </c>
      <c r="E1846">
        <v>59</v>
      </c>
      <c r="F1846" s="1">
        <v>23530</v>
      </c>
      <c r="G1846" s="1" t="str">
        <f>VLOOKUP(H1846,Table7[#All], 2, FALSE)</f>
        <v>Massachusetts</v>
      </c>
      <c r="H1846" s="2" t="s">
        <v>14</v>
      </c>
      <c r="I1846" s="2" t="s">
        <v>22</v>
      </c>
      <c r="J1846" s="2" t="s">
        <v>31</v>
      </c>
      <c r="K1846" s="2" t="s">
        <v>71</v>
      </c>
      <c r="L1846" s="2" t="s">
        <v>9</v>
      </c>
      <c r="M1846" s="2" t="s">
        <v>10</v>
      </c>
      <c r="N1846" s="2" t="s">
        <v>26</v>
      </c>
      <c r="O1846" s="2" t="s">
        <v>73</v>
      </c>
      <c r="P1846" s="2" t="s">
        <v>59</v>
      </c>
      <c r="Q1846" s="2" t="s">
        <v>37</v>
      </c>
      <c r="R1846" s="2" t="s">
        <v>18</v>
      </c>
      <c r="S1846">
        <v>1</v>
      </c>
    </row>
    <row r="1847" spans="1:19" x14ac:dyDescent="0.3">
      <c r="A1847">
        <v>3857</v>
      </c>
      <c r="B1847">
        <f>YEAR(Cleaned_HR_Data_Analysis__2[[#This Row],[Joining_Date]])</f>
        <v>2022</v>
      </c>
      <c r="C1847" s="1">
        <v>44836</v>
      </c>
      <c r="D1847" s="1" t="str" cm="1">
        <f t="array" ref="D1847">_xlfn.IFS(E1847&lt;28, "17-27",
AND(E1847&gt;27, E1847&lt;38), "28-37",
AND(E1847&gt;37, E1847 &lt;48), "38-47",
AND(E1847&gt;47, E1847 &lt;58), "48-57",
AND(E1847&gt;57, E1847&lt;68), "58-67",
AND(E1847&gt;67, E1847&lt;78), "68-77",
E1847&gt;77,"Above than 77")</f>
        <v>58-67</v>
      </c>
      <c r="E1847">
        <v>59</v>
      </c>
      <c r="F1847" s="1">
        <v>23155</v>
      </c>
      <c r="G1847" s="1" t="str">
        <f>VLOOKUP(H1847,Table7[#All], 2, FALSE)</f>
        <v>Massachusetts</v>
      </c>
      <c r="H1847" s="2" t="s">
        <v>14</v>
      </c>
      <c r="I1847" s="2" t="s">
        <v>22</v>
      </c>
      <c r="J1847" s="2" t="s">
        <v>17</v>
      </c>
      <c r="K1847" s="2" t="s">
        <v>70</v>
      </c>
      <c r="L1847" s="2" t="s">
        <v>9</v>
      </c>
      <c r="M1847" s="2" t="s">
        <v>10</v>
      </c>
      <c r="N1847" s="2" t="s">
        <v>26</v>
      </c>
      <c r="O1847" s="2" t="s">
        <v>53</v>
      </c>
      <c r="P1847" s="2" t="s">
        <v>55</v>
      </c>
      <c r="Q1847" s="2" t="s">
        <v>37</v>
      </c>
      <c r="R1847" s="2" t="s">
        <v>65</v>
      </c>
      <c r="S1847">
        <v>1</v>
      </c>
    </row>
    <row r="1848" spans="1:19" x14ac:dyDescent="0.3">
      <c r="A1848">
        <v>2226</v>
      </c>
      <c r="B1848">
        <f>YEAR(Cleaned_HR_Data_Analysis__2[[#This Row],[Joining_Date]])</f>
        <v>2019</v>
      </c>
      <c r="C1848" s="1">
        <v>43546</v>
      </c>
      <c r="D1848" s="1" t="str" cm="1">
        <f t="array" ref="D1848">_xlfn.IFS(E1848&lt;28, "17-27",
AND(E1848&gt;27, E1848&lt;38), "28-37",
AND(E1848&gt;37, E1848 &lt;48), "38-47",
AND(E1848&gt;47, E1848 &lt;58), "48-57",
AND(E1848&gt;57, E1848&lt;68), "58-67",
AND(E1848&gt;67, E1848&lt;78), "68-77",
E1848&gt;77,"Above than 77")</f>
        <v>58-67</v>
      </c>
      <c r="E1848">
        <v>59</v>
      </c>
      <c r="F1848" s="1">
        <v>22166</v>
      </c>
      <c r="G1848" s="1" t="str">
        <f>VLOOKUP(H1848,Table7[#All], 2, FALSE)</f>
        <v>Massachusetts</v>
      </c>
      <c r="H1848" s="2" t="s">
        <v>14</v>
      </c>
      <c r="I1848" s="2" t="s">
        <v>15</v>
      </c>
      <c r="J1848" s="2" t="s">
        <v>34</v>
      </c>
      <c r="K1848" s="2" t="s">
        <v>70</v>
      </c>
      <c r="L1848" s="2" t="s">
        <v>9</v>
      </c>
      <c r="M1848" s="2" t="s">
        <v>10</v>
      </c>
      <c r="N1848" s="2" t="s">
        <v>19</v>
      </c>
      <c r="O1848" s="2" t="s">
        <v>53</v>
      </c>
      <c r="P1848" s="2" t="s">
        <v>38</v>
      </c>
      <c r="Q1848" s="2" t="s">
        <v>16</v>
      </c>
      <c r="R1848" s="2" t="s">
        <v>41</v>
      </c>
      <c r="S1848">
        <v>4</v>
      </c>
    </row>
    <row r="1849" spans="1:19" x14ac:dyDescent="0.3">
      <c r="A1849">
        <v>2534</v>
      </c>
      <c r="B1849">
        <f>YEAR(Cleaned_HR_Data_Analysis__2[[#This Row],[Joining_Date]])</f>
        <v>2019</v>
      </c>
      <c r="C1849" s="1">
        <v>43570</v>
      </c>
      <c r="D1849" s="1" t="str" cm="1">
        <f t="array" ref="D1849">_xlfn.IFS(E1849&lt;28, "17-27",
AND(E1849&gt;27, E1849&lt;38), "28-37",
AND(E1849&gt;37, E1849 &lt;48), "38-47",
AND(E1849&gt;47, E1849 &lt;58), "48-57",
AND(E1849&gt;57, E1849&lt;68), "58-67",
AND(E1849&gt;67, E1849&lt;78), "68-77",
E1849&gt;77,"Above than 77")</f>
        <v>58-67</v>
      </c>
      <c r="E1849">
        <v>59</v>
      </c>
      <c r="F1849" s="1">
        <v>22102</v>
      </c>
      <c r="G1849" s="1" t="str">
        <f>VLOOKUP(H1849,Table7[#All], 2, FALSE)</f>
        <v>Massachusetts</v>
      </c>
      <c r="H1849" s="2" t="s">
        <v>14</v>
      </c>
      <c r="I1849" s="2" t="s">
        <v>22</v>
      </c>
      <c r="J1849" s="2" t="s">
        <v>40</v>
      </c>
      <c r="K1849" s="2" t="s">
        <v>108</v>
      </c>
      <c r="L1849" s="2" t="s">
        <v>9</v>
      </c>
      <c r="M1849" s="2" t="s">
        <v>20</v>
      </c>
      <c r="N1849" s="2" t="s">
        <v>26</v>
      </c>
      <c r="O1849" s="2" t="s">
        <v>53</v>
      </c>
      <c r="P1849" s="2" t="s">
        <v>54</v>
      </c>
      <c r="Q1849" s="2" t="s">
        <v>30</v>
      </c>
      <c r="R1849" s="2" t="s">
        <v>18</v>
      </c>
      <c r="S1849">
        <v>2</v>
      </c>
    </row>
    <row r="1850" spans="1:19" x14ac:dyDescent="0.3">
      <c r="A1850">
        <v>2496</v>
      </c>
      <c r="B1850">
        <f>YEAR(Cleaned_HR_Data_Analysis__2[[#This Row],[Joining_Date]])</f>
        <v>2020</v>
      </c>
      <c r="C1850" s="1">
        <v>44102</v>
      </c>
      <c r="D1850" s="1" t="str" cm="1">
        <f t="array" ref="D1850">_xlfn.IFS(E1850&lt;28, "17-27",
AND(E1850&gt;27, E1850&lt;38), "28-37",
AND(E1850&gt;37, E1850 &lt;48), "38-47",
AND(E1850&gt;47, E1850 &lt;58), "48-57",
AND(E1850&gt;57, E1850&lt;68), "58-67",
AND(E1850&gt;67, E1850&lt;78), "68-77",
E1850&gt;77,"Above than 77")</f>
        <v>58-67</v>
      </c>
      <c r="E1850">
        <v>59</v>
      </c>
      <c r="F1850" s="1">
        <v>22358</v>
      </c>
      <c r="G1850" s="1" t="str">
        <f>VLOOKUP(H1850,Table7[#All], 2, FALSE)</f>
        <v>Massachusetts</v>
      </c>
      <c r="H1850" s="2" t="s">
        <v>14</v>
      </c>
      <c r="I1850" s="2" t="s">
        <v>22</v>
      </c>
      <c r="J1850" s="2" t="s">
        <v>31</v>
      </c>
      <c r="K1850" s="2" t="s">
        <v>104</v>
      </c>
      <c r="L1850" s="2" t="s">
        <v>9</v>
      </c>
      <c r="M1850" s="2" t="s">
        <v>20</v>
      </c>
      <c r="N1850" s="2" t="s">
        <v>26</v>
      </c>
      <c r="O1850" s="2" t="s">
        <v>53</v>
      </c>
      <c r="P1850" s="2" t="s">
        <v>69</v>
      </c>
      <c r="Q1850" s="2" t="s">
        <v>30</v>
      </c>
      <c r="R1850" s="2" t="s">
        <v>18</v>
      </c>
      <c r="S1850">
        <v>3</v>
      </c>
    </row>
    <row r="1851" spans="1:19" x14ac:dyDescent="0.3">
      <c r="A1851">
        <v>3984</v>
      </c>
      <c r="B1851">
        <f>YEAR(Cleaned_HR_Data_Analysis__2[[#This Row],[Joining_Date]])</f>
        <v>2022</v>
      </c>
      <c r="C1851" s="1">
        <v>44602</v>
      </c>
      <c r="D1851" s="1" t="str" cm="1">
        <f t="array" ref="D1851">_xlfn.IFS(E1851&lt;28, "17-27",
AND(E1851&gt;27, E1851&lt;38), "28-37",
AND(E1851&gt;37, E1851 &lt;48), "38-47",
AND(E1851&gt;47, E1851 &lt;58), "48-57",
AND(E1851&gt;57, E1851&lt;68), "58-67",
AND(E1851&gt;67, E1851&lt;78), "68-77",
E1851&gt;77,"Above than 77")</f>
        <v>58-67</v>
      </c>
      <c r="E1851">
        <v>59</v>
      </c>
      <c r="F1851" s="1">
        <v>23215</v>
      </c>
      <c r="G1851" s="1" t="str">
        <f>VLOOKUP(H1851,Table7[#All], 2, FALSE)</f>
        <v>Texas</v>
      </c>
      <c r="H1851" s="2" t="s">
        <v>45</v>
      </c>
      <c r="I1851" s="2" t="s">
        <v>15</v>
      </c>
      <c r="J1851" s="2" t="s">
        <v>31</v>
      </c>
      <c r="K1851" s="2" t="s">
        <v>77</v>
      </c>
      <c r="L1851" s="2" t="s">
        <v>9</v>
      </c>
      <c r="M1851" s="2" t="s">
        <v>10</v>
      </c>
      <c r="N1851" s="2" t="s">
        <v>26</v>
      </c>
      <c r="O1851" s="2" t="s">
        <v>53</v>
      </c>
      <c r="P1851" s="2" t="s">
        <v>59</v>
      </c>
      <c r="Q1851" s="2" t="s">
        <v>23</v>
      </c>
      <c r="R1851" s="2" t="s">
        <v>18</v>
      </c>
      <c r="S1851">
        <v>5</v>
      </c>
    </row>
    <row r="1852" spans="1:19" x14ac:dyDescent="0.3">
      <c r="A1852">
        <v>4000</v>
      </c>
      <c r="B1852">
        <f>YEAR(Cleaned_HR_Data_Analysis__2[[#This Row],[Joining_Date]])</f>
        <v>2019</v>
      </c>
      <c r="C1852" s="1">
        <v>43764</v>
      </c>
      <c r="D1852" s="1" t="str" cm="1">
        <f t="array" ref="D1852">_xlfn.IFS(E1852&lt;28, "17-27",
AND(E1852&gt;27, E1852&lt;38), "28-37",
AND(E1852&gt;37, E1852 &lt;48), "38-47",
AND(E1852&gt;47, E1852 &lt;58), "48-57",
AND(E1852&gt;57, E1852&lt;68), "58-67",
AND(E1852&gt;67, E1852&lt;78), "68-77",
E1852&gt;77,"Above than 77")</f>
        <v>58-67</v>
      </c>
      <c r="E1852">
        <v>59</v>
      </c>
      <c r="F1852" s="1">
        <v>22006</v>
      </c>
      <c r="G1852" s="1" t="str">
        <f>VLOOKUP(H1852,Table7[#All], 2, FALSE)</f>
        <v>Texas</v>
      </c>
      <c r="H1852" s="2" t="s">
        <v>45</v>
      </c>
      <c r="I1852" s="2" t="s">
        <v>22</v>
      </c>
      <c r="J1852" s="2" t="s">
        <v>40</v>
      </c>
      <c r="K1852" s="2" t="s">
        <v>81</v>
      </c>
      <c r="L1852" s="2" t="s">
        <v>66</v>
      </c>
      <c r="M1852" s="2" t="s">
        <v>10</v>
      </c>
      <c r="N1852" s="2" t="s">
        <v>11</v>
      </c>
      <c r="O1852" s="2" t="s">
        <v>53</v>
      </c>
      <c r="P1852" s="2" t="s">
        <v>35</v>
      </c>
      <c r="Q1852" s="2" t="s">
        <v>37</v>
      </c>
      <c r="R1852" s="2" t="s">
        <v>18</v>
      </c>
      <c r="S1852">
        <v>2</v>
      </c>
    </row>
    <row r="1853" spans="1:19" x14ac:dyDescent="0.3">
      <c r="A1853">
        <v>2391</v>
      </c>
      <c r="B1853">
        <f>YEAR(Cleaned_HR_Data_Analysis__2[[#This Row],[Joining_Date]])</f>
        <v>2023</v>
      </c>
      <c r="C1853" s="1">
        <v>45044</v>
      </c>
      <c r="D1853" s="1" t="str" cm="1">
        <f t="array" ref="D1853">_xlfn.IFS(E1853&lt;28, "17-27",
AND(E1853&gt;27, E1853&lt;38), "28-37",
AND(E1853&gt;37, E1853 &lt;48), "38-47",
AND(E1853&gt;47, E1853 &lt;58), "48-57",
AND(E1853&gt;57, E1853&lt;68), "58-67",
AND(E1853&gt;67, E1853&lt;78), "68-77",
E1853&gt;77,"Above than 77")</f>
        <v>58-67</v>
      </c>
      <c r="E1853">
        <v>59</v>
      </c>
      <c r="F1853" s="1">
        <v>23418</v>
      </c>
      <c r="G1853" s="1" t="str">
        <f>VLOOKUP(H1853,Table7[#All], 2, FALSE)</f>
        <v>Massachusetts</v>
      </c>
      <c r="H1853" s="2" t="s">
        <v>14</v>
      </c>
      <c r="I1853" s="2" t="s">
        <v>15</v>
      </c>
      <c r="J1853" s="2" t="s">
        <v>17</v>
      </c>
      <c r="K1853" s="2" t="s">
        <v>80</v>
      </c>
      <c r="L1853" s="2" t="s">
        <v>9</v>
      </c>
      <c r="M1853" s="2" t="s">
        <v>20</v>
      </c>
      <c r="N1853" s="2" t="s">
        <v>26</v>
      </c>
      <c r="O1853" s="2" t="s">
        <v>53</v>
      </c>
      <c r="P1853" s="2" t="s">
        <v>49</v>
      </c>
      <c r="Q1853" s="2" t="s">
        <v>46</v>
      </c>
      <c r="R1853" s="2" t="s">
        <v>18</v>
      </c>
      <c r="S1853">
        <v>3</v>
      </c>
    </row>
    <row r="1854" spans="1:19" x14ac:dyDescent="0.3">
      <c r="A1854">
        <v>2460</v>
      </c>
      <c r="B1854">
        <f>YEAR(Cleaned_HR_Data_Analysis__2[[#This Row],[Joining_Date]])</f>
        <v>2018</v>
      </c>
      <c r="C1854" s="1">
        <v>43348</v>
      </c>
      <c r="D1854" s="1" t="str" cm="1">
        <f t="array" ref="D1854">_xlfn.IFS(E1854&lt;28, "17-27",
AND(E1854&gt;27, E1854&lt;38), "28-37",
AND(E1854&gt;37, E1854 &lt;48), "38-47",
AND(E1854&gt;47, E1854 &lt;58), "48-57",
AND(E1854&gt;57, E1854&lt;68), "58-67",
AND(E1854&gt;67, E1854&lt;78), "68-77",
E1854&gt;77,"Above than 77")</f>
        <v>58-67</v>
      </c>
      <c r="E1854">
        <v>59</v>
      </c>
      <c r="F1854" s="1">
        <v>21844</v>
      </c>
      <c r="G1854" s="1" t="str">
        <f>VLOOKUP(H1854,Table7[#All], 2, FALSE)</f>
        <v>Massachusetts</v>
      </c>
      <c r="H1854" s="2" t="s">
        <v>14</v>
      </c>
      <c r="I1854" s="2" t="s">
        <v>15</v>
      </c>
      <c r="J1854" s="2" t="s">
        <v>17</v>
      </c>
      <c r="K1854" s="2" t="s">
        <v>78</v>
      </c>
      <c r="L1854" s="2" t="s">
        <v>9</v>
      </c>
      <c r="M1854" s="2" t="s">
        <v>10</v>
      </c>
      <c r="N1854" s="2" t="s">
        <v>11</v>
      </c>
      <c r="O1854" s="2" t="s">
        <v>53</v>
      </c>
      <c r="P1854" s="2" t="s">
        <v>13</v>
      </c>
      <c r="Q1854" s="2" t="s">
        <v>16</v>
      </c>
      <c r="R1854" s="2" t="s">
        <v>18</v>
      </c>
      <c r="S1854">
        <v>4</v>
      </c>
    </row>
    <row r="1855" spans="1:19" x14ac:dyDescent="0.3">
      <c r="A1855">
        <v>2408</v>
      </c>
      <c r="B1855">
        <f>YEAR(Cleaned_HR_Data_Analysis__2[[#This Row],[Joining_Date]])</f>
        <v>2021</v>
      </c>
      <c r="C1855" s="1">
        <v>44454</v>
      </c>
      <c r="D1855" s="1" t="str" cm="1">
        <f t="array" ref="D1855">_xlfn.IFS(E1855&lt;28, "17-27",
AND(E1855&gt;27, E1855&lt;38), "28-37",
AND(E1855&gt;37, E1855 &lt;48), "38-47",
AND(E1855&gt;47, E1855 &lt;58), "48-57",
AND(E1855&gt;57, E1855&lt;68), "58-67",
AND(E1855&gt;67, E1855&lt;78), "68-77",
E1855&gt;77,"Above than 77")</f>
        <v>58-67</v>
      </c>
      <c r="E1855">
        <v>59</v>
      </c>
      <c r="F1855" s="1">
        <v>22656</v>
      </c>
      <c r="G1855" s="1" t="str">
        <f>VLOOKUP(H1855,Table7[#All], 2, FALSE)</f>
        <v>Massachusetts</v>
      </c>
      <c r="H1855" s="2" t="s">
        <v>14</v>
      </c>
      <c r="I1855" s="2" t="s">
        <v>15</v>
      </c>
      <c r="J1855" s="2" t="s">
        <v>40</v>
      </c>
      <c r="K1855" s="2" t="s">
        <v>78</v>
      </c>
      <c r="L1855" s="2" t="s">
        <v>9</v>
      </c>
      <c r="M1855" s="2" t="s">
        <v>25</v>
      </c>
      <c r="N1855" s="2" t="s">
        <v>26</v>
      </c>
      <c r="O1855" s="2" t="s">
        <v>53</v>
      </c>
      <c r="P1855" s="2" t="s">
        <v>35</v>
      </c>
      <c r="Q1855" s="2" t="s">
        <v>37</v>
      </c>
      <c r="R1855" s="2" t="s">
        <v>18</v>
      </c>
      <c r="S1855">
        <v>5</v>
      </c>
    </row>
    <row r="1856" spans="1:19" x14ac:dyDescent="0.3">
      <c r="A1856">
        <v>2374</v>
      </c>
      <c r="B1856">
        <f>YEAR(Cleaned_HR_Data_Analysis__2[[#This Row],[Joining_Date]])</f>
        <v>2021</v>
      </c>
      <c r="C1856" s="1">
        <v>44359</v>
      </c>
      <c r="D1856" s="1" t="str" cm="1">
        <f t="array" ref="D1856">_xlfn.IFS(E1856&lt;28, "17-27",
AND(E1856&gt;27, E1856&lt;38), "28-37",
AND(E1856&gt;37, E1856 &lt;48), "38-47",
AND(E1856&gt;47, E1856 &lt;58), "48-57",
AND(E1856&gt;57, E1856&lt;68), "58-67",
AND(E1856&gt;67, E1856&lt;78), "68-77",
E1856&gt;77,"Above than 77")</f>
        <v>58-67</v>
      </c>
      <c r="E1856">
        <v>59</v>
      </c>
      <c r="F1856" s="1">
        <v>22867</v>
      </c>
      <c r="G1856" s="1" t="str">
        <f>VLOOKUP(H1856,Table7[#All], 2, FALSE)</f>
        <v>Massachusetts</v>
      </c>
      <c r="H1856" s="2" t="s">
        <v>14</v>
      </c>
      <c r="I1856" s="2" t="s">
        <v>15</v>
      </c>
      <c r="J1856" s="2" t="s">
        <v>40</v>
      </c>
      <c r="K1856" s="2" t="s">
        <v>78</v>
      </c>
      <c r="L1856" s="2" t="s">
        <v>9</v>
      </c>
      <c r="M1856" s="2" t="s">
        <v>20</v>
      </c>
      <c r="N1856" s="2" t="s">
        <v>19</v>
      </c>
      <c r="O1856" s="2" t="s">
        <v>53</v>
      </c>
      <c r="P1856" s="2" t="s">
        <v>35</v>
      </c>
      <c r="Q1856" s="2" t="s">
        <v>46</v>
      </c>
      <c r="R1856" s="2" t="s">
        <v>18</v>
      </c>
      <c r="S1856">
        <v>2</v>
      </c>
    </row>
    <row r="1857" spans="1:19" x14ac:dyDescent="0.3">
      <c r="A1857">
        <v>1716</v>
      </c>
      <c r="B1857">
        <f>YEAR(Cleaned_HR_Data_Analysis__2[[#This Row],[Joining_Date]])</f>
        <v>2020</v>
      </c>
      <c r="C1857" s="1">
        <v>44137</v>
      </c>
      <c r="D1857" s="1" t="str" cm="1">
        <f t="array" ref="D1857">_xlfn.IFS(E1857&lt;28, "17-27",
AND(E1857&gt;27, E1857&lt;38), "28-37",
AND(E1857&gt;37, E1857 &lt;48), "38-47",
AND(E1857&gt;47, E1857 &lt;58), "48-57",
AND(E1857&gt;57, E1857&lt;68), "58-67",
AND(E1857&gt;67, E1857&lt;78), "68-77",
E1857&gt;77,"Above than 77")</f>
        <v>58-67</v>
      </c>
      <c r="E1857">
        <v>59</v>
      </c>
      <c r="F1857" s="1">
        <v>22359</v>
      </c>
      <c r="G1857" s="1" t="str">
        <f>VLOOKUP(H1857,Table7[#All], 2, FALSE)</f>
        <v>Massachusetts</v>
      </c>
      <c r="H1857" s="2" t="s">
        <v>14</v>
      </c>
      <c r="I1857" s="2" t="s">
        <v>15</v>
      </c>
      <c r="J1857" s="2" t="s">
        <v>17</v>
      </c>
      <c r="K1857" s="2" t="s">
        <v>83</v>
      </c>
      <c r="L1857" s="2" t="s">
        <v>9</v>
      </c>
      <c r="M1857" s="2" t="s">
        <v>10</v>
      </c>
      <c r="N1857" s="2" t="s">
        <v>11</v>
      </c>
      <c r="O1857" s="2" t="s">
        <v>53</v>
      </c>
      <c r="P1857" s="2" t="s">
        <v>32</v>
      </c>
      <c r="Q1857" s="2" t="s">
        <v>46</v>
      </c>
      <c r="R1857" s="2" t="s">
        <v>18</v>
      </c>
      <c r="S1857">
        <v>1</v>
      </c>
    </row>
    <row r="1858" spans="1:19" x14ac:dyDescent="0.3">
      <c r="A1858">
        <v>1696</v>
      </c>
      <c r="B1858">
        <f>YEAR(Cleaned_HR_Data_Analysis__2[[#This Row],[Joining_Date]])</f>
        <v>2021</v>
      </c>
      <c r="C1858" s="1">
        <v>44507</v>
      </c>
      <c r="D1858" s="1" t="str" cm="1">
        <f t="array" ref="D1858">_xlfn.IFS(E1858&lt;28, "17-27",
AND(E1858&gt;27, E1858&lt;38), "28-37",
AND(E1858&gt;37, E1858 &lt;48), "38-47",
AND(E1858&gt;47, E1858 &lt;58), "48-57",
AND(E1858&gt;57, E1858&lt;68), "58-67",
AND(E1858&gt;67, E1858&lt;78), "68-77",
E1858&gt;77,"Above than 77")</f>
        <v>58-67</v>
      </c>
      <c r="E1858">
        <v>59</v>
      </c>
      <c r="F1858" s="1">
        <v>22905</v>
      </c>
      <c r="G1858" s="1" t="str">
        <f>VLOOKUP(H1858,Table7[#All], 2, FALSE)</f>
        <v>Massachusetts</v>
      </c>
      <c r="H1858" s="2" t="s">
        <v>14</v>
      </c>
      <c r="I1858" s="2" t="s">
        <v>22</v>
      </c>
      <c r="J1858" s="2" t="s">
        <v>34</v>
      </c>
      <c r="K1858" s="2" t="s">
        <v>97</v>
      </c>
      <c r="L1858" s="2" t="s">
        <v>9</v>
      </c>
      <c r="M1858" s="2" t="s">
        <v>25</v>
      </c>
      <c r="N1858" s="2" t="s">
        <v>11</v>
      </c>
      <c r="O1858" s="2" t="s">
        <v>53</v>
      </c>
      <c r="P1858" s="2" t="s">
        <v>38</v>
      </c>
      <c r="Q1858" s="2" t="s">
        <v>23</v>
      </c>
      <c r="R1858" s="2" t="s">
        <v>18</v>
      </c>
      <c r="S1858">
        <v>4</v>
      </c>
    </row>
    <row r="1859" spans="1:19" x14ac:dyDescent="0.3">
      <c r="A1859">
        <v>2577</v>
      </c>
      <c r="B1859">
        <f>YEAR(Cleaned_HR_Data_Analysis__2[[#This Row],[Joining_Date]])</f>
        <v>2022</v>
      </c>
      <c r="C1859" s="1">
        <v>44826</v>
      </c>
      <c r="D1859" s="1" t="str" cm="1">
        <f t="array" ref="D1859">_xlfn.IFS(E1859&lt;28, "17-27",
AND(E1859&gt;27, E1859&lt;38), "28-37",
AND(E1859&gt;37, E1859 &lt;48), "38-47",
AND(E1859&gt;47, E1859 &lt;58), "48-57",
AND(E1859&gt;57, E1859&lt;68), "58-67",
AND(E1859&gt;67, E1859&lt;78), "68-77",
E1859&gt;77,"Above than 77")</f>
        <v>58-67</v>
      </c>
      <c r="E1859">
        <v>59</v>
      </c>
      <c r="F1859" s="1">
        <v>23220</v>
      </c>
      <c r="G1859" s="1" t="str">
        <f>VLOOKUP(H1859,Table7[#All], 2, FALSE)</f>
        <v>Washington</v>
      </c>
      <c r="H1859" s="2" t="s">
        <v>113</v>
      </c>
      <c r="I1859" s="2" t="s">
        <v>15</v>
      </c>
      <c r="J1859" s="2" t="s">
        <v>34</v>
      </c>
      <c r="K1859" s="2" t="s">
        <v>24</v>
      </c>
      <c r="L1859" s="2" t="s">
        <v>9</v>
      </c>
      <c r="M1859" s="2" t="s">
        <v>25</v>
      </c>
      <c r="N1859" s="2" t="s">
        <v>19</v>
      </c>
      <c r="O1859" s="2" t="s">
        <v>27</v>
      </c>
      <c r="P1859" s="2" t="s">
        <v>59</v>
      </c>
      <c r="Q1859" s="2" t="s">
        <v>30</v>
      </c>
      <c r="R1859" s="2" t="s">
        <v>18</v>
      </c>
      <c r="S1859">
        <v>2</v>
      </c>
    </row>
    <row r="1860" spans="1:19" x14ac:dyDescent="0.3">
      <c r="A1860">
        <v>3557</v>
      </c>
      <c r="B1860">
        <f>YEAR(Cleaned_HR_Data_Analysis__2[[#This Row],[Joining_Date]])</f>
        <v>2019</v>
      </c>
      <c r="C1860" s="1">
        <v>43509</v>
      </c>
      <c r="D1860" s="1" t="str" cm="1">
        <f t="array" ref="D1860">_xlfn.IFS(E1860&lt;28, "17-27",
AND(E1860&gt;27, E1860&lt;38), "28-37",
AND(E1860&gt;37, E1860 &lt;48), "38-47",
AND(E1860&gt;47, E1860 &lt;58), "48-57",
AND(E1860&gt;57, E1860&lt;68), "58-67",
AND(E1860&gt;67, E1860&lt;78), "68-77",
E1860&gt;77,"Above than 77")</f>
        <v>58-67</v>
      </c>
      <c r="E1860">
        <v>59</v>
      </c>
      <c r="F1860" s="1">
        <v>22073</v>
      </c>
      <c r="G1860" s="1" t="str">
        <f>VLOOKUP(H1860,Table7[#All], 2, FALSE)</f>
        <v>Massachusetts</v>
      </c>
      <c r="H1860" s="2" t="s">
        <v>14</v>
      </c>
      <c r="I1860" s="2" t="s">
        <v>22</v>
      </c>
      <c r="J1860" s="2" t="s">
        <v>31</v>
      </c>
      <c r="K1860" s="2" t="s">
        <v>24</v>
      </c>
      <c r="L1860" s="2" t="s">
        <v>9</v>
      </c>
      <c r="M1860" s="2" t="s">
        <v>20</v>
      </c>
      <c r="N1860" s="2" t="s">
        <v>11</v>
      </c>
      <c r="O1860" s="2" t="s">
        <v>27</v>
      </c>
      <c r="P1860" s="2" t="s">
        <v>35</v>
      </c>
      <c r="Q1860" s="2" t="s">
        <v>30</v>
      </c>
      <c r="R1860" s="2" t="s">
        <v>18</v>
      </c>
      <c r="S1860">
        <v>5</v>
      </c>
    </row>
    <row r="1861" spans="1:19" x14ac:dyDescent="0.3">
      <c r="A1861">
        <v>3465</v>
      </c>
      <c r="B1861">
        <f>YEAR(Cleaned_HR_Data_Analysis__2[[#This Row],[Joining_Date]])</f>
        <v>2021</v>
      </c>
      <c r="C1861" s="1">
        <v>44508</v>
      </c>
      <c r="D1861" s="1" t="str" cm="1">
        <f t="array" ref="D1861">_xlfn.IFS(E1861&lt;28, "17-27",
AND(E1861&gt;27, E1861&lt;38), "28-37",
AND(E1861&gt;37, E1861 &lt;48), "38-47",
AND(E1861&gt;47, E1861 &lt;58), "48-57",
AND(E1861&gt;57, E1861&lt;68), "58-67",
AND(E1861&gt;67, E1861&lt;78), "68-77",
E1861&gt;77,"Above than 77")</f>
        <v>58-67</v>
      </c>
      <c r="E1861">
        <v>59</v>
      </c>
      <c r="F1861" s="1">
        <v>22653</v>
      </c>
      <c r="G1861" s="1" t="str">
        <f>VLOOKUP(H1861,Table7[#All], 2, FALSE)</f>
        <v>Massachusetts</v>
      </c>
      <c r="H1861" s="2" t="s">
        <v>14</v>
      </c>
      <c r="I1861" s="2" t="s">
        <v>22</v>
      </c>
      <c r="J1861" s="2" t="s">
        <v>40</v>
      </c>
      <c r="K1861" s="2" t="s">
        <v>24</v>
      </c>
      <c r="L1861" s="2" t="s">
        <v>9</v>
      </c>
      <c r="M1861" s="2" t="s">
        <v>25</v>
      </c>
      <c r="N1861" s="2" t="s">
        <v>26</v>
      </c>
      <c r="O1861" s="2" t="s">
        <v>27</v>
      </c>
      <c r="P1861" s="2" t="s">
        <v>32</v>
      </c>
      <c r="Q1861" s="2" t="s">
        <v>46</v>
      </c>
      <c r="R1861" s="2" t="s">
        <v>56</v>
      </c>
      <c r="S1861">
        <v>4</v>
      </c>
    </row>
    <row r="1862" spans="1:19" x14ac:dyDescent="0.3">
      <c r="A1862">
        <v>3534</v>
      </c>
      <c r="B1862">
        <f>YEAR(Cleaned_HR_Data_Analysis__2[[#This Row],[Joining_Date]])</f>
        <v>2018</v>
      </c>
      <c r="C1862" s="1">
        <v>43357</v>
      </c>
      <c r="D1862" s="1" t="str" cm="1">
        <f t="array" ref="D1862">_xlfn.IFS(E1862&lt;28, "17-27",
AND(E1862&gt;27, E1862&lt;38), "28-37",
AND(E1862&gt;37, E1862 &lt;48), "38-47",
AND(E1862&gt;47, E1862 &lt;58), "48-57",
AND(E1862&gt;57, E1862&lt;68), "58-67",
AND(E1862&gt;67, E1862&lt;78), "68-77",
E1862&gt;77,"Above than 77")</f>
        <v>58-67</v>
      </c>
      <c r="E1862">
        <v>59</v>
      </c>
      <c r="F1862" s="1">
        <v>21778</v>
      </c>
      <c r="G1862" s="1" t="str">
        <f>VLOOKUP(H1862,Table7[#All], 2, FALSE)</f>
        <v>Kentucky</v>
      </c>
      <c r="H1862" s="2" t="s">
        <v>51</v>
      </c>
      <c r="I1862" s="2" t="s">
        <v>15</v>
      </c>
      <c r="J1862" s="2" t="s">
        <v>31</v>
      </c>
      <c r="K1862" s="2" t="s">
        <v>24</v>
      </c>
      <c r="L1862" s="2" t="s">
        <v>9</v>
      </c>
      <c r="M1862" s="2" t="s">
        <v>25</v>
      </c>
      <c r="N1862" s="2" t="s">
        <v>19</v>
      </c>
      <c r="O1862" s="2" t="s">
        <v>27</v>
      </c>
      <c r="P1862" s="2" t="s">
        <v>42</v>
      </c>
      <c r="Q1862" s="2" t="s">
        <v>46</v>
      </c>
      <c r="R1862" s="2" t="s">
        <v>18</v>
      </c>
      <c r="S1862">
        <v>3</v>
      </c>
    </row>
    <row r="1863" spans="1:19" x14ac:dyDescent="0.3">
      <c r="A1863">
        <v>3437</v>
      </c>
      <c r="B1863">
        <f>YEAR(Cleaned_HR_Data_Analysis__2[[#This Row],[Joining_Date]])</f>
        <v>2023</v>
      </c>
      <c r="C1863" s="1">
        <v>45142</v>
      </c>
      <c r="D1863" s="1" t="str" cm="1">
        <f t="array" ref="D1863">_xlfn.IFS(E1863&lt;28, "17-27",
AND(E1863&gt;27, E1863&lt;38), "28-37",
AND(E1863&gt;37, E1863 &lt;48), "38-47",
AND(E1863&gt;47, E1863 &lt;58), "48-57",
AND(E1863&gt;57, E1863&lt;68), "58-67",
AND(E1863&gt;67, E1863&lt;78), "68-77",
E1863&gt;77,"Above than 77")</f>
        <v>58-67</v>
      </c>
      <c r="E1863">
        <v>59</v>
      </c>
      <c r="F1863" s="1">
        <v>23402</v>
      </c>
      <c r="G1863" s="1" t="str">
        <f>VLOOKUP(H1863,Table7[#All], 2, FALSE)</f>
        <v>Indiana</v>
      </c>
      <c r="H1863" s="2" t="s">
        <v>47</v>
      </c>
      <c r="I1863" s="2" t="s">
        <v>15</v>
      </c>
      <c r="J1863" s="2" t="s">
        <v>31</v>
      </c>
      <c r="K1863" s="2" t="s">
        <v>24</v>
      </c>
      <c r="L1863" s="2" t="s">
        <v>9</v>
      </c>
      <c r="M1863" s="2" t="s">
        <v>10</v>
      </c>
      <c r="N1863" s="2" t="s">
        <v>26</v>
      </c>
      <c r="O1863" s="2" t="s">
        <v>27</v>
      </c>
      <c r="P1863" s="2" t="s">
        <v>35</v>
      </c>
      <c r="Q1863" s="2" t="s">
        <v>30</v>
      </c>
      <c r="R1863" s="2" t="s">
        <v>18</v>
      </c>
      <c r="S1863">
        <v>2</v>
      </c>
    </row>
    <row r="1864" spans="1:19" x14ac:dyDescent="0.3">
      <c r="A1864">
        <v>2640</v>
      </c>
      <c r="B1864">
        <f>YEAR(Cleaned_HR_Data_Analysis__2[[#This Row],[Joining_Date]])</f>
        <v>2021</v>
      </c>
      <c r="C1864" s="1">
        <v>44436</v>
      </c>
      <c r="D1864" s="1" t="str" cm="1">
        <f t="array" ref="D1864">_xlfn.IFS(E1864&lt;28, "17-27",
AND(E1864&gt;27, E1864&lt;38), "28-37",
AND(E1864&gt;37, E1864 &lt;48), "38-47",
AND(E1864&gt;47, E1864 &lt;58), "48-57",
AND(E1864&gt;57, E1864&lt;68), "58-67",
AND(E1864&gt;67, E1864&lt;78), "68-77",
E1864&gt;77,"Above than 77")</f>
        <v>58-67</v>
      </c>
      <c r="E1864">
        <v>59</v>
      </c>
      <c r="F1864" s="1">
        <v>22956</v>
      </c>
      <c r="G1864" s="1" t="str">
        <f>VLOOKUP(H1864,Table7[#All], 2, FALSE)</f>
        <v>Arizona</v>
      </c>
      <c r="H1864" s="2" t="s">
        <v>114</v>
      </c>
      <c r="I1864" s="2" t="s">
        <v>22</v>
      </c>
      <c r="J1864" s="2" t="s">
        <v>31</v>
      </c>
      <c r="K1864" s="2" t="s">
        <v>24</v>
      </c>
      <c r="L1864" s="2" t="s">
        <v>9</v>
      </c>
      <c r="M1864" s="2" t="s">
        <v>10</v>
      </c>
      <c r="N1864" s="2" t="s">
        <v>26</v>
      </c>
      <c r="O1864" s="2" t="s">
        <v>27</v>
      </c>
      <c r="P1864" s="2" t="s">
        <v>59</v>
      </c>
      <c r="Q1864" s="2" t="s">
        <v>37</v>
      </c>
      <c r="R1864" s="2" t="s">
        <v>18</v>
      </c>
      <c r="S1864">
        <v>5</v>
      </c>
    </row>
    <row r="1865" spans="1:19" x14ac:dyDescent="0.3">
      <c r="A1865">
        <v>2615</v>
      </c>
      <c r="B1865">
        <f>YEAR(Cleaned_HR_Data_Analysis__2[[#This Row],[Joining_Date]])</f>
        <v>2021</v>
      </c>
      <c r="C1865" s="1">
        <v>44286</v>
      </c>
      <c r="D1865" s="1" t="str" cm="1">
        <f t="array" ref="D1865">_xlfn.IFS(E1865&lt;28, "17-27",
AND(E1865&gt;27, E1865&lt;38), "28-37",
AND(E1865&gt;37, E1865 &lt;48), "38-47",
AND(E1865&gt;47, E1865 &lt;58), "48-57",
AND(E1865&gt;57, E1865&lt;68), "58-67",
AND(E1865&gt;67, E1865&lt;78), "68-77",
E1865&gt;77,"Above than 77")</f>
        <v>58-67</v>
      </c>
      <c r="E1865">
        <v>59</v>
      </c>
      <c r="F1865" s="1">
        <v>22791</v>
      </c>
      <c r="G1865" s="1" t="str">
        <f>VLOOKUP(H1865,Table7[#All], 2, FALSE)</f>
        <v>Washington</v>
      </c>
      <c r="H1865" s="2" t="s">
        <v>113</v>
      </c>
      <c r="I1865" s="2" t="s">
        <v>15</v>
      </c>
      <c r="J1865" s="2" t="s">
        <v>31</v>
      </c>
      <c r="K1865" s="2" t="s">
        <v>95</v>
      </c>
      <c r="L1865" s="2" t="s">
        <v>9</v>
      </c>
      <c r="M1865" s="2" t="s">
        <v>10</v>
      </c>
      <c r="N1865" s="2" t="s">
        <v>26</v>
      </c>
      <c r="O1865" s="2" t="s">
        <v>27</v>
      </c>
      <c r="P1865" s="2" t="s">
        <v>13</v>
      </c>
      <c r="Q1865" s="2" t="s">
        <v>37</v>
      </c>
      <c r="R1865" s="2" t="s">
        <v>18</v>
      </c>
      <c r="S1865">
        <v>1</v>
      </c>
    </row>
    <row r="1866" spans="1:19" x14ac:dyDescent="0.3">
      <c r="A1866">
        <v>1083</v>
      </c>
      <c r="B1866">
        <f>YEAR(Cleaned_HR_Data_Analysis__2[[#This Row],[Joining_Date]])</f>
        <v>2023</v>
      </c>
      <c r="C1866" s="1">
        <v>45137</v>
      </c>
      <c r="D1866" s="1" t="str" cm="1">
        <f t="array" ref="D1866">_xlfn.IFS(E1866&lt;28, "17-27",
AND(E1866&gt;27, E1866&lt;38), "28-37",
AND(E1866&gt;37, E1866 &lt;48), "38-47",
AND(E1866&gt;47, E1866 &lt;58), "48-57",
AND(E1866&gt;57, E1866&lt;68), "58-67",
AND(E1866&gt;67, E1866&lt;78), "68-77",
E1866&gt;77,"Above than 77")</f>
        <v>58-67</v>
      </c>
      <c r="E1866">
        <v>60</v>
      </c>
      <c r="F1866" s="1">
        <v>23020</v>
      </c>
      <c r="G1866" s="1" t="str">
        <f>VLOOKUP(H1866,Table7[#All], 2, FALSE)</f>
        <v>Massachusetts</v>
      </c>
      <c r="H1866" s="2" t="s">
        <v>14</v>
      </c>
      <c r="I1866" s="2" t="s">
        <v>15</v>
      </c>
      <c r="J1866" s="2" t="s">
        <v>40</v>
      </c>
      <c r="K1866" s="2" t="s">
        <v>86</v>
      </c>
      <c r="L1866" s="2" t="s">
        <v>9</v>
      </c>
      <c r="M1866" s="2" t="s">
        <v>20</v>
      </c>
      <c r="N1866" s="2" t="s">
        <v>19</v>
      </c>
      <c r="O1866" s="2" t="s">
        <v>87</v>
      </c>
      <c r="P1866" s="2" t="s">
        <v>21</v>
      </c>
      <c r="Q1866" s="2" t="s">
        <v>46</v>
      </c>
      <c r="R1866" s="2" t="s">
        <v>18</v>
      </c>
      <c r="S1866">
        <v>5</v>
      </c>
    </row>
    <row r="1867" spans="1:19" x14ac:dyDescent="0.3">
      <c r="A1867">
        <v>1046</v>
      </c>
      <c r="B1867">
        <f>YEAR(Cleaned_HR_Data_Analysis__2[[#This Row],[Joining_Date]])</f>
        <v>2022</v>
      </c>
      <c r="C1867" s="1">
        <v>44674</v>
      </c>
      <c r="D1867" s="1" t="str" cm="1">
        <f t="array" ref="D1867">_xlfn.IFS(E1867&lt;28, "17-27",
AND(E1867&gt;27, E1867&lt;38), "28-37",
AND(E1867&gt;37, E1867 &lt;48), "38-47",
AND(E1867&gt;47, E1867 &lt;58), "48-57",
AND(E1867&gt;57, E1867&lt;68), "58-67",
AND(E1867&gt;67, E1867&lt;78), "68-77",
E1867&gt;77,"Above than 77")</f>
        <v>58-67</v>
      </c>
      <c r="E1867">
        <v>60</v>
      </c>
      <c r="F1867" s="1">
        <v>22967</v>
      </c>
      <c r="G1867" s="1" t="str">
        <f>VLOOKUP(H1867,Table7[#All], 2, FALSE)</f>
        <v>Massachusetts</v>
      </c>
      <c r="H1867" s="2" t="s">
        <v>14</v>
      </c>
      <c r="I1867" s="2" t="s">
        <v>22</v>
      </c>
      <c r="J1867" s="2" t="s">
        <v>31</v>
      </c>
      <c r="K1867" s="2" t="s">
        <v>86</v>
      </c>
      <c r="L1867" s="2" t="s">
        <v>66</v>
      </c>
      <c r="M1867" s="2" t="s">
        <v>25</v>
      </c>
      <c r="N1867" s="2" t="s">
        <v>19</v>
      </c>
      <c r="O1867" s="2" t="s">
        <v>87</v>
      </c>
      <c r="P1867" s="2" t="s">
        <v>69</v>
      </c>
      <c r="Q1867" s="2" t="s">
        <v>16</v>
      </c>
      <c r="R1867" s="2" t="s">
        <v>18</v>
      </c>
      <c r="S1867">
        <v>5</v>
      </c>
    </row>
    <row r="1868" spans="1:19" x14ac:dyDescent="0.3">
      <c r="A1868">
        <v>1022</v>
      </c>
      <c r="B1868">
        <f>YEAR(Cleaned_HR_Data_Analysis__2[[#This Row],[Joining_Date]])</f>
        <v>2022</v>
      </c>
      <c r="C1868" s="1">
        <v>44823</v>
      </c>
      <c r="D1868" s="1" t="str" cm="1">
        <f t="array" ref="D1868">_xlfn.IFS(E1868&lt;28, "17-27",
AND(E1868&gt;27, E1868&lt;38), "28-37",
AND(E1868&gt;37, E1868 &lt;48), "38-47",
AND(E1868&gt;47, E1868 &lt;58), "48-57",
AND(E1868&gt;57, E1868&lt;68), "58-67",
AND(E1868&gt;67, E1868&lt;78), "68-77",
E1868&gt;77,"Above than 77")</f>
        <v>58-67</v>
      </c>
      <c r="E1868">
        <v>60</v>
      </c>
      <c r="F1868" s="1">
        <v>22808</v>
      </c>
      <c r="G1868" s="1" t="str">
        <f>VLOOKUP(H1868,Table7[#All], 2, FALSE)</f>
        <v>Massachusetts</v>
      </c>
      <c r="H1868" s="2" t="s">
        <v>14</v>
      </c>
      <c r="I1868" s="2" t="s">
        <v>22</v>
      </c>
      <c r="J1868" s="2" t="s">
        <v>40</v>
      </c>
      <c r="K1868" s="2" t="s">
        <v>86</v>
      </c>
      <c r="L1868" s="2" t="s">
        <v>9</v>
      </c>
      <c r="M1868" s="2" t="s">
        <v>20</v>
      </c>
      <c r="N1868" s="2" t="s">
        <v>19</v>
      </c>
      <c r="O1868" s="2" t="s">
        <v>87</v>
      </c>
      <c r="P1868" s="2" t="s">
        <v>35</v>
      </c>
      <c r="Q1868" s="2" t="s">
        <v>37</v>
      </c>
      <c r="R1868" s="2" t="s">
        <v>18</v>
      </c>
      <c r="S1868">
        <v>4</v>
      </c>
    </row>
    <row r="1869" spans="1:19" x14ac:dyDescent="0.3">
      <c r="A1869">
        <v>1700</v>
      </c>
      <c r="B1869">
        <f>YEAR(Cleaned_HR_Data_Analysis__2[[#This Row],[Joining_Date]])</f>
        <v>2018</v>
      </c>
      <c r="C1869" s="1">
        <v>43363</v>
      </c>
      <c r="D1869" s="1" t="str" cm="1">
        <f t="array" ref="D1869">_xlfn.IFS(E1869&lt;28, "17-27",
AND(E1869&gt;27, E1869&lt;38), "28-37",
AND(E1869&gt;37, E1869 &lt;48), "38-47",
AND(E1869&gt;47, E1869 &lt;58), "48-57",
AND(E1869&gt;57, E1869&lt;68), "58-67",
AND(E1869&gt;67, E1869&lt;78), "68-77",
E1869&gt;77,"Above than 77")</f>
        <v>58-67</v>
      </c>
      <c r="E1869">
        <v>60</v>
      </c>
      <c r="F1869" s="1">
        <v>21283</v>
      </c>
      <c r="G1869" s="1" t="str">
        <f>VLOOKUP(H1869,Table7[#All], 2, FALSE)</f>
        <v>Massachusetts</v>
      </c>
      <c r="H1869" s="2" t="s">
        <v>14</v>
      </c>
      <c r="I1869" s="2" t="s">
        <v>22</v>
      </c>
      <c r="J1869" s="2" t="s">
        <v>17</v>
      </c>
      <c r="K1869" s="2" t="s">
        <v>89</v>
      </c>
      <c r="L1869" s="2" t="s">
        <v>9</v>
      </c>
      <c r="M1869" s="2" t="s">
        <v>10</v>
      </c>
      <c r="N1869" s="2" t="s">
        <v>11</v>
      </c>
      <c r="O1869" s="2" t="s">
        <v>53</v>
      </c>
      <c r="P1869" s="2" t="s">
        <v>42</v>
      </c>
      <c r="Q1869" s="2" t="s">
        <v>46</v>
      </c>
      <c r="R1869" s="2" t="s">
        <v>18</v>
      </c>
      <c r="S1869">
        <v>2</v>
      </c>
    </row>
    <row r="1870" spans="1:19" x14ac:dyDescent="0.3">
      <c r="A1870">
        <v>1951</v>
      </c>
      <c r="B1870">
        <f>YEAR(Cleaned_HR_Data_Analysis__2[[#This Row],[Joining_Date]])</f>
        <v>2020</v>
      </c>
      <c r="C1870" s="1">
        <v>44069</v>
      </c>
      <c r="D1870" s="1" t="str" cm="1">
        <f t="array" ref="D1870">_xlfn.IFS(E1870&lt;28, "17-27",
AND(E1870&gt;27, E1870&lt;38), "28-37",
AND(E1870&gt;37, E1870 &lt;48), "38-47",
AND(E1870&gt;47, E1870 &lt;58), "48-57",
AND(E1870&gt;57, E1870&lt;68), "58-67",
AND(E1870&gt;67, E1870&lt;78), "68-77",
E1870&gt;77,"Above than 77")</f>
        <v>58-67</v>
      </c>
      <c r="E1870">
        <v>60</v>
      </c>
      <c r="F1870" s="1">
        <v>22198</v>
      </c>
      <c r="G1870" s="1" t="str">
        <f>VLOOKUP(H1870,Table7[#All], 2, FALSE)</f>
        <v>Massachusetts</v>
      </c>
      <c r="H1870" s="2" t="s">
        <v>14</v>
      </c>
      <c r="I1870" s="2" t="s">
        <v>15</v>
      </c>
      <c r="J1870" s="2" t="s">
        <v>34</v>
      </c>
      <c r="K1870" s="2" t="s">
        <v>98</v>
      </c>
      <c r="L1870" s="2" t="s">
        <v>66</v>
      </c>
      <c r="M1870" s="2" t="s">
        <v>25</v>
      </c>
      <c r="N1870" s="2" t="s">
        <v>19</v>
      </c>
      <c r="O1870" s="2" t="s">
        <v>27</v>
      </c>
      <c r="P1870" s="2" t="s">
        <v>21</v>
      </c>
      <c r="Q1870" s="2" t="s">
        <v>46</v>
      </c>
      <c r="R1870" s="2" t="s">
        <v>18</v>
      </c>
      <c r="S1870">
        <v>1</v>
      </c>
    </row>
    <row r="1871" spans="1:19" x14ac:dyDescent="0.3">
      <c r="A1871">
        <v>3181</v>
      </c>
      <c r="B1871">
        <f>YEAR(Cleaned_HR_Data_Analysis__2[[#This Row],[Joining_Date]])</f>
        <v>2019</v>
      </c>
      <c r="C1871" s="1">
        <v>43824</v>
      </c>
      <c r="D1871" s="1" t="str" cm="1">
        <f t="array" ref="D1871">_xlfn.IFS(E1871&lt;28, "17-27",
AND(E1871&gt;27, E1871&lt;38), "28-37",
AND(E1871&gt;37, E1871 &lt;48), "38-47",
AND(E1871&gt;47, E1871 &lt;58), "48-57",
AND(E1871&gt;57, E1871&lt;68), "58-67",
AND(E1871&gt;67, E1871&lt;78), "68-77",
E1871&gt;77,"Above than 77")</f>
        <v>58-67</v>
      </c>
      <c r="E1871">
        <v>60</v>
      </c>
      <c r="F1871" s="1">
        <v>21748</v>
      </c>
      <c r="G1871" s="1" t="str">
        <f>VLOOKUP(H1871,Table7[#All], 2, FALSE)</f>
        <v>Massachusetts</v>
      </c>
      <c r="H1871" s="2" t="s">
        <v>14</v>
      </c>
      <c r="I1871" s="2" t="s">
        <v>15</v>
      </c>
      <c r="J1871" s="2" t="s">
        <v>31</v>
      </c>
      <c r="K1871" s="2" t="s">
        <v>64</v>
      </c>
      <c r="L1871" s="2" t="s">
        <v>9</v>
      </c>
      <c r="M1871" s="2" t="s">
        <v>10</v>
      </c>
      <c r="N1871" s="2" t="s">
        <v>11</v>
      </c>
      <c r="O1871" s="2" t="s">
        <v>12</v>
      </c>
      <c r="P1871" s="2" t="s">
        <v>32</v>
      </c>
      <c r="Q1871" s="2" t="s">
        <v>30</v>
      </c>
      <c r="R1871" s="2" t="s">
        <v>18</v>
      </c>
      <c r="S1871">
        <v>4</v>
      </c>
    </row>
    <row r="1872" spans="1:19" x14ac:dyDescent="0.3">
      <c r="A1872">
        <v>2023</v>
      </c>
      <c r="B1872">
        <f>YEAR(Cleaned_HR_Data_Analysis__2[[#This Row],[Joining_Date]])</f>
        <v>2022</v>
      </c>
      <c r="C1872" s="1">
        <v>44590</v>
      </c>
      <c r="D1872" s="1" t="str" cm="1">
        <f t="array" ref="D1872">_xlfn.IFS(E1872&lt;28, "17-27",
AND(E1872&gt;27, E1872&lt;38), "28-37",
AND(E1872&gt;37, E1872 &lt;48), "38-47",
AND(E1872&gt;47, E1872 &lt;58), "48-57",
AND(E1872&gt;57, E1872&lt;68), "58-67",
AND(E1872&gt;67, E1872&lt;78), "68-77",
E1872&gt;77,"Above than 77")</f>
        <v>58-67</v>
      </c>
      <c r="E1872">
        <v>60</v>
      </c>
      <c r="F1872" s="1">
        <v>22862</v>
      </c>
      <c r="G1872" s="1" t="str">
        <f>VLOOKUP(H1872,Table7[#All], 2, FALSE)</f>
        <v>Massachusetts</v>
      </c>
      <c r="H1872" s="2" t="s">
        <v>14</v>
      </c>
      <c r="I1872" s="2" t="s">
        <v>15</v>
      </c>
      <c r="J1872" s="2" t="s">
        <v>40</v>
      </c>
      <c r="K1872" s="2" t="s">
        <v>64</v>
      </c>
      <c r="L1872" s="2" t="s">
        <v>9</v>
      </c>
      <c r="M1872" s="2" t="s">
        <v>20</v>
      </c>
      <c r="N1872" s="2" t="s">
        <v>11</v>
      </c>
      <c r="O1872" s="2" t="s">
        <v>12</v>
      </c>
      <c r="P1872" s="2" t="s">
        <v>32</v>
      </c>
      <c r="Q1872" s="2" t="s">
        <v>23</v>
      </c>
      <c r="R1872" s="2" t="s">
        <v>18</v>
      </c>
      <c r="S1872">
        <v>4</v>
      </c>
    </row>
    <row r="1873" spans="1:19" x14ac:dyDescent="0.3">
      <c r="A1873">
        <v>1877</v>
      </c>
      <c r="B1873">
        <f>YEAR(Cleaned_HR_Data_Analysis__2[[#This Row],[Joining_Date]])</f>
        <v>2021</v>
      </c>
      <c r="C1873" s="1">
        <v>44499</v>
      </c>
      <c r="D1873" s="1" t="str" cm="1">
        <f t="array" ref="D1873">_xlfn.IFS(E1873&lt;28, "17-27",
AND(E1873&gt;27, E1873&lt;38), "28-37",
AND(E1873&gt;37, E1873 &lt;48), "38-47",
AND(E1873&gt;47, E1873 &lt;58), "48-57",
AND(E1873&gt;57, E1873&lt;68), "58-67",
AND(E1873&gt;67, E1873&lt;78), "68-77",
E1873&gt;77,"Above than 77")</f>
        <v>58-67</v>
      </c>
      <c r="E1873">
        <v>60</v>
      </c>
      <c r="F1873" s="1">
        <v>22418</v>
      </c>
      <c r="G1873" s="1" t="str">
        <f>VLOOKUP(H1873,Table7[#All], 2, FALSE)</f>
        <v>Massachusetts</v>
      </c>
      <c r="H1873" s="2" t="s">
        <v>14</v>
      </c>
      <c r="I1873" s="2" t="s">
        <v>22</v>
      </c>
      <c r="J1873" s="2" t="s">
        <v>34</v>
      </c>
      <c r="K1873" s="2" t="s">
        <v>64</v>
      </c>
      <c r="L1873" s="2" t="s">
        <v>9</v>
      </c>
      <c r="M1873" s="2" t="s">
        <v>20</v>
      </c>
      <c r="N1873" s="2" t="s">
        <v>19</v>
      </c>
      <c r="O1873" s="2" t="s">
        <v>12</v>
      </c>
      <c r="P1873" s="2" t="s">
        <v>32</v>
      </c>
      <c r="Q1873" s="2" t="s">
        <v>46</v>
      </c>
      <c r="R1873" s="2" t="s">
        <v>18</v>
      </c>
      <c r="S1873">
        <v>3</v>
      </c>
    </row>
    <row r="1874" spans="1:19" x14ac:dyDescent="0.3">
      <c r="A1874">
        <v>1732</v>
      </c>
      <c r="B1874">
        <f>YEAR(Cleaned_HR_Data_Analysis__2[[#This Row],[Joining_Date]])</f>
        <v>2021</v>
      </c>
      <c r="C1874" s="1">
        <v>44379</v>
      </c>
      <c r="D1874" s="1" t="str" cm="1">
        <f t="array" ref="D1874">_xlfn.IFS(E1874&lt;28, "17-27",
AND(E1874&gt;27, E1874&lt;38), "28-37",
AND(E1874&gt;37, E1874 &lt;48), "38-47",
AND(E1874&gt;47, E1874 &lt;58), "48-57",
AND(E1874&gt;57, E1874&lt;68), "58-67",
AND(E1874&gt;67, E1874&lt;78), "68-77",
E1874&gt;77,"Above than 77")</f>
        <v>58-67</v>
      </c>
      <c r="E1874">
        <v>60</v>
      </c>
      <c r="F1874" s="1">
        <v>22384</v>
      </c>
      <c r="G1874" s="1" t="str">
        <f>VLOOKUP(H1874,Table7[#All], 2, FALSE)</f>
        <v>Massachusetts</v>
      </c>
      <c r="H1874" s="2" t="s">
        <v>14</v>
      </c>
      <c r="I1874" s="2" t="s">
        <v>15</v>
      </c>
      <c r="J1874" s="2" t="s">
        <v>17</v>
      </c>
      <c r="K1874" s="2" t="s">
        <v>64</v>
      </c>
      <c r="L1874" s="2" t="s">
        <v>66</v>
      </c>
      <c r="M1874" s="2" t="s">
        <v>10</v>
      </c>
      <c r="N1874" s="2" t="s">
        <v>26</v>
      </c>
      <c r="O1874" s="2" t="s">
        <v>12</v>
      </c>
      <c r="P1874" s="2" t="s">
        <v>55</v>
      </c>
      <c r="Q1874" s="2" t="s">
        <v>23</v>
      </c>
      <c r="R1874" s="2" t="s">
        <v>18</v>
      </c>
      <c r="S1874">
        <v>5</v>
      </c>
    </row>
    <row r="1875" spans="1:19" x14ac:dyDescent="0.3">
      <c r="A1875">
        <v>1169</v>
      </c>
      <c r="B1875">
        <f>YEAR(Cleaned_HR_Data_Analysis__2[[#This Row],[Joining_Date]])</f>
        <v>2020</v>
      </c>
      <c r="C1875" s="1">
        <v>44042</v>
      </c>
      <c r="D1875" s="1" t="str" cm="1">
        <f t="array" ref="D1875">_xlfn.IFS(E1875&lt;28, "17-27",
AND(E1875&gt;27, E1875&lt;38), "28-37",
AND(E1875&gt;37, E1875 &lt;48), "38-47",
AND(E1875&gt;47, E1875 &lt;58), "48-57",
AND(E1875&gt;57, E1875&lt;68), "58-67",
AND(E1875&gt;67, E1875&lt;78), "68-77",
E1875&gt;77,"Above than 77")</f>
        <v>58-67</v>
      </c>
      <c r="E1875">
        <v>60</v>
      </c>
      <c r="F1875" s="1">
        <v>22174</v>
      </c>
      <c r="G1875" s="1" t="str">
        <f>VLOOKUP(H1875,Table7[#All], 2, FALSE)</f>
        <v>Massachusetts</v>
      </c>
      <c r="H1875" s="2" t="s">
        <v>14</v>
      </c>
      <c r="I1875" s="2" t="s">
        <v>15</v>
      </c>
      <c r="J1875" s="2" t="s">
        <v>31</v>
      </c>
      <c r="K1875" s="2" t="s">
        <v>64</v>
      </c>
      <c r="L1875" s="2" t="s">
        <v>9</v>
      </c>
      <c r="M1875" s="2" t="s">
        <v>10</v>
      </c>
      <c r="N1875" s="2" t="s">
        <v>26</v>
      </c>
      <c r="O1875" s="2" t="s">
        <v>12</v>
      </c>
      <c r="P1875" s="2" t="s">
        <v>35</v>
      </c>
      <c r="Q1875" s="2" t="s">
        <v>46</v>
      </c>
      <c r="R1875" s="2" t="s">
        <v>18</v>
      </c>
      <c r="S1875">
        <v>3</v>
      </c>
    </row>
    <row r="1876" spans="1:19" x14ac:dyDescent="0.3">
      <c r="A1876">
        <v>1146</v>
      </c>
      <c r="B1876">
        <f>YEAR(Cleaned_HR_Data_Analysis__2[[#This Row],[Joining_Date]])</f>
        <v>2023</v>
      </c>
      <c r="C1876" s="1">
        <v>45144</v>
      </c>
      <c r="D1876" s="1" t="str" cm="1">
        <f t="array" ref="D1876">_xlfn.IFS(E1876&lt;28, "17-27",
AND(E1876&gt;27, E1876&lt;38), "28-37",
AND(E1876&gt;37, E1876 &lt;48), "38-47",
AND(E1876&gt;47, E1876 &lt;58), "48-57",
AND(E1876&gt;57, E1876&lt;68), "58-67",
AND(E1876&gt;67, E1876&lt;78), "68-77",
E1876&gt;77,"Above than 77")</f>
        <v>58-67</v>
      </c>
      <c r="E1876">
        <v>60</v>
      </c>
      <c r="F1876" s="1">
        <v>23325</v>
      </c>
      <c r="G1876" s="1" t="str">
        <f>VLOOKUP(H1876,Table7[#All], 2, FALSE)</f>
        <v>Massachusetts</v>
      </c>
      <c r="H1876" s="2" t="s">
        <v>14</v>
      </c>
      <c r="I1876" s="2" t="s">
        <v>22</v>
      </c>
      <c r="J1876" s="2" t="s">
        <v>40</v>
      </c>
      <c r="K1876" s="2" t="s">
        <v>64</v>
      </c>
      <c r="L1876" s="2" t="s">
        <v>9</v>
      </c>
      <c r="M1876" s="2" t="s">
        <v>10</v>
      </c>
      <c r="N1876" s="2" t="s">
        <v>11</v>
      </c>
      <c r="O1876" s="2" t="s">
        <v>12</v>
      </c>
      <c r="P1876" s="2" t="s">
        <v>35</v>
      </c>
      <c r="Q1876" s="2" t="s">
        <v>23</v>
      </c>
      <c r="R1876" s="2" t="s">
        <v>18</v>
      </c>
      <c r="S1876">
        <v>2</v>
      </c>
    </row>
    <row r="1877" spans="1:19" x14ac:dyDescent="0.3">
      <c r="A1877">
        <v>3753</v>
      </c>
      <c r="B1877">
        <f>YEAR(Cleaned_HR_Data_Analysis__2[[#This Row],[Joining_Date]])</f>
        <v>2019</v>
      </c>
      <c r="C1877" s="1">
        <v>43529</v>
      </c>
      <c r="D1877" s="1" t="str" cm="1">
        <f t="array" ref="D1877">_xlfn.IFS(E1877&lt;28, "17-27",
AND(E1877&gt;27, E1877&lt;38), "28-37",
AND(E1877&gt;37, E1877 &lt;48), "38-47",
AND(E1877&gt;47, E1877 &lt;58), "48-57",
AND(E1877&gt;57, E1877&lt;68), "58-67",
AND(E1877&gt;67, E1877&lt;78), "68-77",
E1877&gt;77,"Above than 77")</f>
        <v>58-67</v>
      </c>
      <c r="E1877">
        <v>60</v>
      </c>
      <c r="F1877" s="1">
        <v>21822</v>
      </c>
      <c r="G1877" s="1" t="str">
        <f>VLOOKUP(H1877,Table7[#All], 2, FALSE)</f>
        <v>Massachusetts</v>
      </c>
      <c r="H1877" s="2" t="s">
        <v>14</v>
      </c>
      <c r="I1877" s="2" t="s">
        <v>22</v>
      </c>
      <c r="J1877" s="2" t="s">
        <v>31</v>
      </c>
      <c r="K1877" s="2" t="s">
        <v>8</v>
      </c>
      <c r="L1877" s="2" t="s">
        <v>9</v>
      </c>
      <c r="M1877" s="2" t="s">
        <v>20</v>
      </c>
      <c r="N1877" s="2" t="s">
        <v>26</v>
      </c>
      <c r="O1877" s="2" t="s">
        <v>12</v>
      </c>
      <c r="P1877" s="2" t="s">
        <v>57</v>
      </c>
      <c r="Q1877" s="2" t="s">
        <v>16</v>
      </c>
      <c r="R1877" s="2" t="s">
        <v>18</v>
      </c>
      <c r="S1877">
        <v>3</v>
      </c>
    </row>
    <row r="1878" spans="1:19" x14ac:dyDescent="0.3">
      <c r="A1878">
        <v>3721</v>
      </c>
      <c r="B1878">
        <f>YEAR(Cleaned_HR_Data_Analysis__2[[#This Row],[Joining_Date]])</f>
        <v>2020</v>
      </c>
      <c r="C1878" s="1">
        <v>43873</v>
      </c>
      <c r="D1878" s="1" t="str" cm="1">
        <f t="array" ref="D1878">_xlfn.IFS(E1878&lt;28, "17-27",
AND(E1878&gt;27, E1878&lt;38), "28-37",
AND(E1878&gt;37, E1878 &lt;48), "38-47",
AND(E1878&gt;47, E1878 &lt;58), "48-57",
AND(E1878&gt;57, E1878&lt;68), "58-67",
AND(E1878&gt;67, E1878&lt;78), "68-77",
E1878&gt;77,"Above than 77")</f>
        <v>58-67</v>
      </c>
      <c r="E1878">
        <v>60</v>
      </c>
      <c r="F1878" s="1">
        <v>21999</v>
      </c>
      <c r="G1878" s="1" t="str">
        <f>VLOOKUP(H1878,Table7[#All], 2, FALSE)</f>
        <v>Massachusetts</v>
      </c>
      <c r="H1878" s="2" t="s">
        <v>14</v>
      </c>
      <c r="I1878" s="2" t="s">
        <v>22</v>
      </c>
      <c r="J1878" s="2" t="s">
        <v>17</v>
      </c>
      <c r="K1878" s="2" t="s">
        <v>8</v>
      </c>
      <c r="L1878" s="2" t="s">
        <v>9</v>
      </c>
      <c r="M1878" s="2" t="s">
        <v>25</v>
      </c>
      <c r="N1878" s="2" t="s">
        <v>26</v>
      </c>
      <c r="O1878" s="2" t="s">
        <v>12</v>
      </c>
      <c r="P1878" s="2" t="s">
        <v>55</v>
      </c>
      <c r="Q1878" s="2" t="s">
        <v>37</v>
      </c>
      <c r="R1878" s="2" t="s">
        <v>18</v>
      </c>
      <c r="S1878">
        <v>4</v>
      </c>
    </row>
    <row r="1879" spans="1:19" x14ac:dyDescent="0.3">
      <c r="A1879">
        <v>3354</v>
      </c>
      <c r="B1879">
        <f>YEAR(Cleaned_HR_Data_Analysis__2[[#This Row],[Joining_Date]])</f>
        <v>2021</v>
      </c>
      <c r="C1879" s="1">
        <v>44417</v>
      </c>
      <c r="D1879" s="1" t="str" cm="1">
        <f t="array" ref="D1879">_xlfn.IFS(E1879&lt;28, "17-27",
AND(E1879&gt;27, E1879&lt;38), "28-37",
AND(E1879&gt;37, E1879 &lt;48), "38-47",
AND(E1879&gt;47, E1879 &lt;58), "48-57",
AND(E1879&gt;57, E1879&lt;68), "58-67",
AND(E1879&gt;67, E1879&lt;78), "68-77",
E1879&gt;77,"Above than 77")</f>
        <v>58-67</v>
      </c>
      <c r="E1879">
        <v>60</v>
      </c>
      <c r="F1879" s="1">
        <v>22392</v>
      </c>
      <c r="G1879" s="1" t="str">
        <f>VLOOKUP(H1879,Table7[#All], 2, FALSE)</f>
        <v>Massachusetts</v>
      </c>
      <c r="H1879" s="2" t="s">
        <v>14</v>
      </c>
      <c r="I1879" s="2" t="s">
        <v>15</v>
      </c>
      <c r="J1879" s="2" t="s">
        <v>31</v>
      </c>
      <c r="K1879" s="2" t="s">
        <v>8</v>
      </c>
      <c r="L1879" s="2" t="s">
        <v>9</v>
      </c>
      <c r="M1879" s="2" t="s">
        <v>20</v>
      </c>
      <c r="N1879" s="2" t="s">
        <v>19</v>
      </c>
      <c r="O1879" s="2" t="s">
        <v>12</v>
      </c>
      <c r="P1879" s="2" t="s">
        <v>35</v>
      </c>
      <c r="Q1879" s="2" t="s">
        <v>46</v>
      </c>
      <c r="R1879" s="2" t="s">
        <v>18</v>
      </c>
      <c r="S1879">
        <v>4</v>
      </c>
    </row>
    <row r="1880" spans="1:19" x14ac:dyDescent="0.3">
      <c r="A1880">
        <v>3203</v>
      </c>
      <c r="B1880">
        <f>YEAR(Cleaned_HR_Data_Analysis__2[[#This Row],[Joining_Date]])</f>
        <v>2021</v>
      </c>
      <c r="C1880" s="1">
        <v>44215</v>
      </c>
      <c r="D1880" s="1" t="str" cm="1">
        <f t="array" ref="D1880">_xlfn.IFS(E1880&lt;28, "17-27",
AND(E1880&gt;27, E1880&lt;38), "28-37",
AND(E1880&gt;37, E1880 &lt;48), "38-47",
AND(E1880&gt;47, E1880 &lt;58), "48-57",
AND(E1880&gt;57, E1880&lt;68), "58-67",
AND(E1880&gt;67, E1880&lt;78), "68-77",
E1880&gt;77,"Above than 77")</f>
        <v>58-67</v>
      </c>
      <c r="E1880">
        <v>60</v>
      </c>
      <c r="F1880" s="1">
        <v>22534</v>
      </c>
      <c r="G1880" s="1" t="str">
        <f>VLOOKUP(H1880,Table7[#All], 2, FALSE)</f>
        <v>Massachusetts</v>
      </c>
      <c r="H1880" s="2" t="s">
        <v>14</v>
      </c>
      <c r="I1880" s="2" t="s">
        <v>15</v>
      </c>
      <c r="J1880" s="2" t="s">
        <v>31</v>
      </c>
      <c r="K1880" s="2" t="s">
        <v>8</v>
      </c>
      <c r="L1880" s="2" t="s">
        <v>66</v>
      </c>
      <c r="M1880" s="2" t="s">
        <v>10</v>
      </c>
      <c r="N1880" s="2" t="s">
        <v>11</v>
      </c>
      <c r="O1880" s="2" t="s">
        <v>12</v>
      </c>
      <c r="P1880" s="2" t="s">
        <v>28</v>
      </c>
      <c r="Q1880" s="2" t="s">
        <v>16</v>
      </c>
      <c r="R1880" s="2" t="s">
        <v>18</v>
      </c>
      <c r="S1880">
        <v>4</v>
      </c>
    </row>
    <row r="1881" spans="1:19" x14ac:dyDescent="0.3">
      <c r="A1881">
        <v>3187</v>
      </c>
      <c r="B1881">
        <f>YEAR(Cleaned_HR_Data_Analysis__2[[#This Row],[Joining_Date]])</f>
        <v>2022</v>
      </c>
      <c r="C1881" s="1">
        <v>44908</v>
      </c>
      <c r="D1881" s="1" t="str" cm="1">
        <f t="array" ref="D1881">_xlfn.IFS(E1881&lt;28, "17-27",
AND(E1881&gt;27, E1881&lt;38), "28-37",
AND(E1881&gt;37, E1881 &lt;48), "38-47",
AND(E1881&gt;47, E1881 &lt;58), "48-57",
AND(E1881&gt;57, E1881&lt;68), "58-67",
AND(E1881&gt;67, E1881&lt;78), "68-77",
E1881&gt;77,"Above than 77")</f>
        <v>58-67</v>
      </c>
      <c r="E1881">
        <v>60</v>
      </c>
      <c r="F1881" s="1">
        <v>22744</v>
      </c>
      <c r="G1881" s="1" t="str">
        <f>VLOOKUP(H1881,Table7[#All], 2, FALSE)</f>
        <v>Massachusetts</v>
      </c>
      <c r="H1881" s="2" t="s">
        <v>14</v>
      </c>
      <c r="I1881" s="2" t="s">
        <v>15</v>
      </c>
      <c r="J1881" s="2" t="s">
        <v>31</v>
      </c>
      <c r="K1881" s="2" t="s">
        <v>8</v>
      </c>
      <c r="L1881" s="2" t="s">
        <v>9</v>
      </c>
      <c r="M1881" s="2" t="s">
        <v>10</v>
      </c>
      <c r="N1881" s="2" t="s">
        <v>11</v>
      </c>
      <c r="O1881" s="2" t="s">
        <v>12</v>
      </c>
      <c r="P1881" s="2" t="s">
        <v>59</v>
      </c>
      <c r="Q1881" s="2" t="s">
        <v>37</v>
      </c>
      <c r="R1881" s="2" t="s">
        <v>65</v>
      </c>
      <c r="S1881">
        <v>2</v>
      </c>
    </row>
    <row r="1882" spans="1:19" x14ac:dyDescent="0.3">
      <c r="A1882">
        <v>3111</v>
      </c>
      <c r="B1882">
        <f>YEAR(Cleaned_HR_Data_Analysis__2[[#This Row],[Joining_Date]])</f>
        <v>2018</v>
      </c>
      <c r="C1882" s="1">
        <v>43447</v>
      </c>
      <c r="D1882" s="1" t="str" cm="1">
        <f t="array" ref="D1882">_xlfn.IFS(E1882&lt;28, "17-27",
AND(E1882&gt;27, E1882&lt;38), "28-37",
AND(E1882&gt;37, E1882 &lt;48), "38-47",
AND(E1882&gt;47, E1882 &lt;58), "48-57",
AND(E1882&gt;57, E1882&lt;68), "58-67",
AND(E1882&gt;67, E1882&lt;78), "68-77",
E1882&gt;77,"Above than 77")</f>
        <v>58-67</v>
      </c>
      <c r="E1882">
        <v>60</v>
      </c>
      <c r="F1882" s="1">
        <v>21312</v>
      </c>
      <c r="G1882" s="1" t="str">
        <f>VLOOKUP(H1882,Table7[#All], 2, FALSE)</f>
        <v>Massachusetts</v>
      </c>
      <c r="H1882" s="2" t="s">
        <v>14</v>
      </c>
      <c r="I1882" s="2" t="s">
        <v>15</v>
      </c>
      <c r="J1882" s="2" t="s">
        <v>40</v>
      </c>
      <c r="K1882" s="2" t="s">
        <v>8</v>
      </c>
      <c r="L1882" s="2" t="s">
        <v>9</v>
      </c>
      <c r="M1882" s="2" t="s">
        <v>20</v>
      </c>
      <c r="N1882" s="2" t="s">
        <v>26</v>
      </c>
      <c r="O1882" s="2" t="s">
        <v>12</v>
      </c>
      <c r="P1882" s="2" t="s">
        <v>35</v>
      </c>
      <c r="Q1882" s="2" t="s">
        <v>30</v>
      </c>
      <c r="R1882" s="2" t="s">
        <v>18</v>
      </c>
      <c r="S1882">
        <v>5</v>
      </c>
    </row>
    <row r="1883" spans="1:19" x14ac:dyDescent="0.3">
      <c r="A1883">
        <v>2912</v>
      </c>
      <c r="B1883">
        <f>YEAR(Cleaned_HR_Data_Analysis__2[[#This Row],[Joining_Date]])</f>
        <v>2022</v>
      </c>
      <c r="C1883" s="1">
        <v>44682</v>
      </c>
      <c r="D1883" s="1" t="str" cm="1">
        <f t="array" ref="D1883">_xlfn.IFS(E1883&lt;28, "17-27",
AND(E1883&gt;27, E1883&lt;38), "28-37",
AND(E1883&gt;37, E1883 &lt;48), "38-47",
AND(E1883&gt;47, E1883 &lt;58), "48-57",
AND(E1883&gt;57, E1883&lt;68), "58-67",
AND(E1883&gt;67, E1883&lt;78), "68-77",
E1883&gt;77,"Above than 77")</f>
        <v>58-67</v>
      </c>
      <c r="E1883">
        <v>60</v>
      </c>
      <c r="F1883" s="1">
        <v>22796</v>
      </c>
      <c r="G1883" s="1" t="str">
        <f>VLOOKUP(H1883,Table7[#All], 2, FALSE)</f>
        <v>Massachusetts</v>
      </c>
      <c r="H1883" s="2" t="s">
        <v>14</v>
      </c>
      <c r="I1883" s="2" t="s">
        <v>22</v>
      </c>
      <c r="J1883" s="2" t="s">
        <v>17</v>
      </c>
      <c r="K1883" s="2" t="s">
        <v>8</v>
      </c>
      <c r="L1883" s="2" t="s">
        <v>9</v>
      </c>
      <c r="M1883" s="2" t="s">
        <v>25</v>
      </c>
      <c r="N1883" s="2" t="s">
        <v>11</v>
      </c>
      <c r="O1883" s="2" t="s">
        <v>12</v>
      </c>
      <c r="P1883" s="2" t="s">
        <v>54</v>
      </c>
      <c r="Q1883" s="2" t="s">
        <v>37</v>
      </c>
      <c r="R1883" s="2" t="s">
        <v>56</v>
      </c>
      <c r="S1883">
        <v>5</v>
      </c>
    </row>
    <row r="1884" spans="1:19" x14ac:dyDescent="0.3">
      <c r="A1884">
        <v>2902</v>
      </c>
      <c r="B1884">
        <f>YEAR(Cleaned_HR_Data_Analysis__2[[#This Row],[Joining_Date]])</f>
        <v>2021</v>
      </c>
      <c r="C1884" s="1">
        <v>44203</v>
      </c>
      <c r="D1884" s="1" t="str" cm="1">
        <f t="array" ref="D1884">_xlfn.IFS(E1884&lt;28, "17-27",
AND(E1884&gt;27, E1884&lt;38), "28-37",
AND(E1884&gt;37, E1884 &lt;48), "38-47",
AND(E1884&gt;47, E1884 &lt;58), "48-57",
AND(E1884&gt;57, E1884&lt;68), "58-67",
AND(E1884&gt;67, E1884&lt;78), "68-77",
E1884&gt;77,"Above than 77")</f>
        <v>58-67</v>
      </c>
      <c r="E1884">
        <v>60</v>
      </c>
      <c r="F1884" s="1">
        <v>22351</v>
      </c>
      <c r="G1884" s="1" t="str">
        <f>VLOOKUP(H1884,Table7[#All], 2, FALSE)</f>
        <v>Massachusetts</v>
      </c>
      <c r="H1884" s="2" t="s">
        <v>14</v>
      </c>
      <c r="I1884" s="2" t="s">
        <v>15</v>
      </c>
      <c r="J1884" s="2" t="s">
        <v>17</v>
      </c>
      <c r="K1884" s="2" t="s">
        <v>8</v>
      </c>
      <c r="L1884" s="2" t="s">
        <v>9</v>
      </c>
      <c r="M1884" s="2" t="s">
        <v>20</v>
      </c>
      <c r="N1884" s="2" t="s">
        <v>26</v>
      </c>
      <c r="O1884" s="2" t="s">
        <v>12</v>
      </c>
      <c r="P1884" s="2" t="s">
        <v>35</v>
      </c>
      <c r="Q1884" s="2" t="s">
        <v>37</v>
      </c>
      <c r="R1884" s="2" t="s">
        <v>18</v>
      </c>
      <c r="S1884">
        <v>4</v>
      </c>
    </row>
    <row r="1885" spans="1:19" x14ac:dyDescent="0.3">
      <c r="A1885">
        <v>2822</v>
      </c>
      <c r="B1885">
        <f>YEAR(Cleaned_HR_Data_Analysis__2[[#This Row],[Joining_Date]])</f>
        <v>2019</v>
      </c>
      <c r="C1885" s="1">
        <v>43707</v>
      </c>
      <c r="D1885" s="1" t="str" cm="1">
        <f t="array" ref="D1885">_xlfn.IFS(E1885&lt;28, "17-27",
AND(E1885&gt;27, E1885&lt;38), "28-37",
AND(E1885&gt;37, E1885 &lt;48), "38-47",
AND(E1885&gt;47, E1885 &lt;58), "48-57",
AND(E1885&gt;57, E1885&lt;68), "58-67",
AND(E1885&gt;67, E1885&lt;78), "68-77",
E1885&gt;77,"Above than 77")</f>
        <v>58-67</v>
      </c>
      <c r="E1885">
        <v>60</v>
      </c>
      <c r="F1885" s="1">
        <v>21624</v>
      </c>
      <c r="G1885" s="1" t="str">
        <f>VLOOKUP(H1885,Table7[#All], 2, FALSE)</f>
        <v>Massachusetts</v>
      </c>
      <c r="H1885" s="2" t="s">
        <v>14</v>
      </c>
      <c r="I1885" s="2" t="s">
        <v>15</v>
      </c>
      <c r="J1885" s="2" t="s">
        <v>40</v>
      </c>
      <c r="K1885" s="2" t="s">
        <v>8</v>
      </c>
      <c r="L1885" s="2" t="s">
        <v>9</v>
      </c>
      <c r="M1885" s="2" t="s">
        <v>20</v>
      </c>
      <c r="N1885" s="2" t="s">
        <v>26</v>
      </c>
      <c r="O1885" s="2" t="s">
        <v>12</v>
      </c>
      <c r="P1885" s="2" t="s">
        <v>21</v>
      </c>
      <c r="Q1885" s="2" t="s">
        <v>16</v>
      </c>
      <c r="R1885" s="2" t="s">
        <v>18</v>
      </c>
      <c r="S1885">
        <v>3</v>
      </c>
    </row>
    <row r="1886" spans="1:19" x14ac:dyDescent="0.3">
      <c r="A1886">
        <v>2790</v>
      </c>
      <c r="B1886">
        <f>YEAR(Cleaned_HR_Data_Analysis__2[[#This Row],[Joining_Date]])</f>
        <v>2019</v>
      </c>
      <c r="C1886" s="1">
        <v>43585</v>
      </c>
      <c r="D1886" s="1" t="str" cm="1">
        <f t="array" ref="D1886">_xlfn.IFS(E1886&lt;28, "17-27",
AND(E1886&gt;27, E1886&lt;38), "28-37",
AND(E1886&gt;37, E1886 &lt;48), "38-47",
AND(E1886&gt;47, E1886 &lt;58), "48-57",
AND(E1886&gt;57, E1886&lt;68), "58-67",
AND(E1886&gt;67, E1886&lt;78), "68-77",
E1886&gt;77,"Above than 77")</f>
        <v>58-67</v>
      </c>
      <c r="E1886">
        <v>60</v>
      </c>
      <c r="F1886" s="1">
        <v>21770</v>
      </c>
      <c r="G1886" s="1" t="str">
        <f>VLOOKUP(H1886,Table7[#All], 2, FALSE)</f>
        <v>Massachusetts</v>
      </c>
      <c r="H1886" s="2" t="s">
        <v>14</v>
      </c>
      <c r="I1886" s="2" t="s">
        <v>22</v>
      </c>
      <c r="J1886" s="2" t="s">
        <v>17</v>
      </c>
      <c r="K1886" s="2" t="s">
        <v>8</v>
      </c>
      <c r="L1886" s="2" t="s">
        <v>9</v>
      </c>
      <c r="M1886" s="2" t="s">
        <v>10</v>
      </c>
      <c r="N1886" s="2" t="s">
        <v>26</v>
      </c>
      <c r="O1886" s="2" t="s">
        <v>12</v>
      </c>
      <c r="P1886" s="2" t="s">
        <v>60</v>
      </c>
      <c r="Q1886" s="2" t="s">
        <v>23</v>
      </c>
      <c r="R1886" s="2" t="s">
        <v>18</v>
      </c>
      <c r="S1886">
        <v>5</v>
      </c>
    </row>
    <row r="1887" spans="1:19" x14ac:dyDescent="0.3">
      <c r="A1887">
        <v>2105</v>
      </c>
      <c r="B1887">
        <f>YEAR(Cleaned_HR_Data_Analysis__2[[#This Row],[Joining_Date]])</f>
        <v>2020</v>
      </c>
      <c r="C1887" s="1">
        <v>43849</v>
      </c>
      <c r="D1887" s="1" t="str" cm="1">
        <f t="array" ref="D1887">_xlfn.IFS(E1887&lt;28, "17-27",
AND(E1887&gt;27, E1887&lt;38), "28-37",
AND(E1887&gt;37, E1887 &lt;48), "38-47",
AND(E1887&gt;47, E1887 &lt;58), "48-57",
AND(E1887&gt;57, E1887&lt;68), "58-67",
AND(E1887&gt;67, E1887&lt;78), "68-77",
E1887&gt;77,"Above than 77")</f>
        <v>58-67</v>
      </c>
      <c r="E1887">
        <v>60</v>
      </c>
      <c r="F1887" s="1">
        <v>21942</v>
      </c>
      <c r="G1887" s="1" t="str">
        <f>VLOOKUP(H1887,Table7[#All], 2, FALSE)</f>
        <v>Massachusetts</v>
      </c>
      <c r="H1887" s="2" t="s">
        <v>14</v>
      </c>
      <c r="I1887" s="2" t="s">
        <v>15</v>
      </c>
      <c r="J1887" s="2" t="s">
        <v>31</v>
      </c>
      <c r="K1887" s="2" t="s">
        <v>8</v>
      </c>
      <c r="L1887" s="2" t="s">
        <v>9</v>
      </c>
      <c r="M1887" s="2" t="s">
        <v>20</v>
      </c>
      <c r="N1887" s="2" t="s">
        <v>11</v>
      </c>
      <c r="O1887" s="2" t="s">
        <v>12</v>
      </c>
      <c r="P1887" s="2" t="s">
        <v>28</v>
      </c>
      <c r="Q1887" s="2" t="s">
        <v>23</v>
      </c>
      <c r="R1887" s="2" t="s">
        <v>56</v>
      </c>
      <c r="S1887">
        <v>4</v>
      </c>
    </row>
    <row r="1888" spans="1:19" x14ac:dyDescent="0.3">
      <c r="A1888">
        <v>2087</v>
      </c>
      <c r="B1888">
        <f>YEAR(Cleaned_HR_Data_Analysis__2[[#This Row],[Joining_Date]])</f>
        <v>2019</v>
      </c>
      <c r="C1888" s="1">
        <v>43790</v>
      </c>
      <c r="D1888" s="1" t="str" cm="1">
        <f t="array" ref="D1888">_xlfn.IFS(E1888&lt;28, "17-27",
AND(E1888&gt;27, E1888&lt;38), "28-37",
AND(E1888&gt;37, E1888 &lt;48), "38-47",
AND(E1888&gt;47, E1888 &lt;58), "48-57",
AND(E1888&gt;57, E1888&lt;68), "58-67",
AND(E1888&gt;67, E1888&lt;78), "68-77",
E1888&gt;77,"Above than 77")</f>
        <v>58-67</v>
      </c>
      <c r="E1888">
        <v>60</v>
      </c>
      <c r="F1888" s="1">
        <v>21903</v>
      </c>
      <c r="G1888" s="1" t="str">
        <f>VLOOKUP(H1888,Table7[#All], 2, FALSE)</f>
        <v>Massachusetts</v>
      </c>
      <c r="H1888" s="2" t="s">
        <v>14</v>
      </c>
      <c r="I1888" s="2" t="s">
        <v>15</v>
      </c>
      <c r="J1888" s="2" t="s">
        <v>17</v>
      </c>
      <c r="K1888" s="2" t="s">
        <v>8</v>
      </c>
      <c r="L1888" s="2" t="s">
        <v>9</v>
      </c>
      <c r="M1888" s="2" t="s">
        <v>20</v>
      </c>
      <c r="N1888" s="2" t="s">
        <v>19</v>
      </c>
      <c r="O1888" s="2" t="s">
        <v>12</v>
      </c>
      <c r="P1888" s="2" t="s">
        <v>35</v>
      </c>
      <c r="Q1888" s="2" t="s">
        <v>37</v>
      </c>
      <c r="R1888" s="2" t="s">
        <v>18</v>
      </c>
      <c r="S1888">
        <v>4</v>
      </c>
    </row>
    <row r="1889" spans="1:19" x14ac:dyDescent="0.3">
      <c r="A1889">
        <v>2082</v>
      </c>
      <c r="B1889">
        <f>YEAR(Cleaned_HR_Data_Analysis__2[[#This Row],[Joining_Date]])</f>
        <v>2021</v>
      </c>
      <c r="C1889" s="1">
        <v>44244</v>
      </c>
      <c r="D1889" s="1" t="str" cm="1">
        <f t="array" ref="D1889">_xlfn.IFS(E1889&lt;28, "17-27",
AND(E1889&gt;27, E1889&lt;38), "28-37",
AND(E1889&gt;37, E1889 &lt;48), "38-47",
AND(E1889&gt;47, E1889 &lt;58), "48-57",
AND(E1889&gt;57, E1889&lt;68), "58-67",
AND(E1889&gt;67, E1889&lt;78), "68-77",
E1889&gt;77,"Above than 77")</f>
        <v>58-67</v>
      </c>
      <c r="E1889">
        <v>60</v>
      </c>
      <c r="F1889" s="1">
        <v>22289</v>
      </c>
      <c r="G1889" s="1" t="str">
        <f>VLOOKUP(H1889,Table7[#All], 2, FALSE)</f>
        <v>Massachusetts</v>
      </c>
      <c r="H1889" s="2" t="s">
        <v>14</v>
      </c>
      <c r="I1889" s="2" t="s">
        <v>22</v>
      </c>
      <c r="J1889" s="2" t="s">
        <v>31</v>
      </c>
      <c r="K1889" s="2" t="s">
        <v>8</v>
      </c>
      <c r="L1889" s="2" t="s">
        <v>9</v>
      </c>
      <c r="M1889" s="2" t="s">
        <v>10</v>
      </c>
      <c r="N1889" s="2" t="s">
        <v>11</v>
      </c>
      <c r="O1889" s="2" t="s">
        <v>12</v>
      </c>
      <c r="P1889" s="2" t="s">
        <v>35</v>
      </c>
      <c r="Q1889" s="2" t="s">
        <v>37</v>
      </c>
      <c r="R1889" s="2" t="s">
        <v>18</v>
      </c>
      <c r="S1889">
        <v>2</v>
      </c>
    </row>
    <row r="1890" spans="1:19" x14ac:dyDescent="0.3">
      <c r="A1890">
        <v>1985</v>
      </c>
      <c r="B1890">
        <f>YEAR(Cleaned_HR_Data_Analysis__2[[#This Row],[Joining_Date]])</f>
        <v>2023</v>
      </c>
      <c r="C1890" s="1">
        <v>45004</v>
      </c>
      <c r="D1890" s="1" t="str" cm="1">
        <f t="array" ref="D1890">_xlfn.IFS(E1890&lt;28, "17-27",
AND(E1890&gt;27, E1890&lt;38), "28-37",
AND(E1890&gt;37, E1890 &lt;48), "38-47",
AND(E1890&gt;47, E1890 &lt;58), "48-57",
AND(E1890&gt;57, E1890&lt;68), "58-67",
AND(E1890&gt;67, E1890&lt;78), "68-77",
E1890&gt;77,"Above than 77")</f>
        <v>58-67</v>
      </c>
      <c r="E1890">
        <v>60</v>
      </c>
      <c r="F1890" s="1">
        <v>23324</v>
      </c>
      <c r="G1890" s="1" t="str">
        <f>VLOOKUP(H1890,Table7[#All], 2, FALSE)</f>
        <v>Massachusetts</v>
      </c>
      <c r="H1890" s="2" t="s">
        <v>14</v>
      </c>
      <c r="I1890" s="2" t="s">
        <v>15</v>
      </c>
      <c r="J1890" s="2" t="s">
        <v>17</v>
      </c>
      <c r="K1890" s="2" t="s">
        <v>8</v>
      </c>
      <c r="L1890" s="2" t="s">
        <v>9</v>
      </c>
      <c r="M1890" s="2" t="s">
        <v>10</v>
      </c>
      <c r="N1890" s="2" t="s">
        <v>26</v>
      </c>
      <c r="O1890" s="2" t="s">
        <v>12</v>
      </c>
      <c r="P1890" s="2" t="s">
        <v>32</v>
      </c>
      <c r="Q1890" s="2" t="s">
        <v>16</v>
      </c>
      <c r="R1890" s="2" t="s">
        <v>18</v>
      </c>
      <c r="S1890">
        <v>5</v>
      </c>
    </row>
    <row r="1891" spans="1:19" x14ac:dyDescent="0.3">
      <c r="A1891">
        <v>1909</v>
      </c>
      <c r="B1891">
        <f>YEAR(Cleaned_HR_Data_Analysis__2[[#This Row],[Joining_Date]])</f>
        <v>2021</v>
      </c>
      <c r="C1891" s="1">
        <v>44490</v>
      </c>
      <c r="D1891" s="1" t="str" cm="1">
        <f t="array" ref="D1891">_xlfn.IFS(E1891&lt;28, "17-27",
AND(E1891&gt;27, E1891&lt;38), "28-37",
AND(E1891&gt;37, E1891 &lt;48), "38-47",
AND(E1891&gt;47, E1891 &lt;58), "48-57",
AND(E1891&gt;57, E1891&lt;68), "58-67",
AND(E1891&gt;67, E1891&lt;78), "68-77",
E1891&gt;77,"Above than 77")</f>
        <v>58-67</v>
      </c>
      <c r="E1891">
        <v>60</v>
      </c>
      <c r="F1891" s="1">
        <v>22569</v>
      </c>
      <c r="G1891" s="1" t="str">
        <f>VLOOKUP(H1891,Table7[#All], 2, FALSE)</f>
        <v>Massachusetts</v>
      </c>
      <c r="H1891" s="2" t="s">
        <v>14</v>
      </c>
      <c r="I1891" s="2" t="s">
        <v>15</v>
      </c>
      <c r="J1891" s="2" t="s">
        <v>17</v>
      </c>
      <c r="K1891" s="2" t="s">
        <v>8</v>
      </c>
      <c r="L1891" s="2" t="s">
        <v>9</v>
      </c>
      <c r="M1891" s="2" t="s">
        <v>25</v>
      </c>
      <c r="N1891" s="2" t="s">
        <v>19</v>
      </c>
      <c r="O1891" s="2" t="s">
        <v>12</v>
      </c>
      <c r="P1891" s="2" t="s">
        <v>32</v>
      </c>
      <c r="Q1891" s="2" t="s">
        <v>16</v>
      </c>
      <c r="R1891" s="2" t="s">
        <v>18</v>
      </c>
      <c r="S1891">
        <v>5</v>
      </c>
    </row>
    <row r="1892" spans="1:19" x14ac:dyDescent="0.3">
      <c r="A1892">
        <v>1903</v>
      </c>
      <c r="B1892">
        <f>YEAR(Cleaned_HR_Data_Analysis__2[[#This Row],[Joining_Date]])</f>
        <v>2020</v>
      </c>
      <c r="C1892" s="1">
        <v>44179</v>
      </c>
      <c r="D1892" s="1" t="str" cm="1">
        <f t="array" ref="D1892">_xlfn.IFS(E1892&lt;28, "17-27",
AND(E1892&gt;27, E1892&lt;38), "28-37",
AND(E1892&gt;37, E1892 &lt;48), "38-47",
AND(E1892&gt;47, E1892 &lt;58), "48-57",
AND(E1892&gt;57, E1892&lt;68), "58-67",
AND(E1892&gt;67, E1892&lt;78), "68-77",
E1892&gt;77,"Above than 77")</f>
        <v>58-67</v>
      </c>
      <c r="E1892">
        <v>60</v>
      </c>
      <c r="F1892" s="1">
        <v>22017</v>
      </c>
      <c r="G1892" s="1" t="str">
        <f>VLOOKUP(H1892,Table7[#All], 2, FALSE)</f>
        <v>Massachusetts</v>
      </c>
      <c r="H1892" s="2" t="s">
        <v>14</v>
      </c>
      <c r="I1892" s="2" t="s">
        <v>15</v>
      </c>
      <c r="J1892" s="2" t="s">
        <v>40</v>
      </c>
      <c r="K1892" s="2" t="s">
        <v>8</v>
      </c>
      <c r="L1892" s="2" t="s">
        <v>9</v>
      </c>
      <c r="M1892" s="2" t="s">
        <v>20</v>
      </c>
      <c r="N1892" s="2" t="s">
        <v>11</v>
      </c>
      <c r="O1892" s="2" t="s">
        <v>12</v>
      </c>
      <c r="P1892" s="2" t="s">
        <v>35</v>
      </c>
      <c r="Q1892" s="2" t="s">
        <v>37</v>
      </c>
      <c r="R1892" s="2" t="s">
        <v>18</v>
      </c>
      <c r="S1892">
        <v>5</v>
      </c>
    </row>
    <row r="1893" spans="1:19" x14ac:dyDescent="0.3">
      <c r="A1893">
        <v>1900</v>
      </c>
      <c r="B1893">
        <f>YEAR(Cleaned_HR_Data_Analysis__2[[#This Row],[Joining_Date]])</f>
        <v>2020</v>
      </c>
      <c r="C1893" s="1">
        <v>43927</v>
      </c>
      <c r="D1893" s="1" t="str" cm="1">
        <f t="array" ref="D1893">_xlfn.IFS(E1893&lt;28, "17-27",
AND(E1893&gt;27, E1893&lt;38), "28-37",
AND(E1893&gt;37, E1893 &lt;48), "38-47",
AND(E1893&gt;47, E1893 &lt;58), "48-57",
AND(E1893&gt;57, E1893&lt;68), "58-67",
AND(E1893&gt;67, E1893&lt;78), "68-77",
E1893&gt;77,"Above than 77")</f>
        <v>58-67</v>
      </c>
      <c r="E1893">
        <v>60</v>
      </c>
      <c r="F1893" s="1">
        <v>21997</v>
      </c>
      <c r="G1893" s="1" t="str">
        <f>VLOOKUP(H1893,Table7[#All], 2, FALSE)</f>
        <v>Massachusetts</v>
      </c>
      <c r="H1893" s="2" t="s">
        <v>14</v>
      </c>
      <c r="I1893" s="2" t="s">
        <v>15</v>
      </c>
      <c r="J1893" s="2" t="s">
        <v>17</v>
      </c>
      <c r="K1893" s="2" t="s">
        <v>8</v>
      </c>
      <c r="L1893" s="2" t="s">
        <v>9</v>
      </c>
      <c r="M1893" s="2" t="s">
        <v>25</v>
      </c>
      <c r="N1893" s="2" t="s">
        <v>26</v>
      </c>
      <c r="O1893" s="2" t="s">
        <v>12</v>
      </c>
      <c r="P1893" s="2" t="s">
        <v>32</v>
      </c>
      <c r="Q1893" s="2" t="s">
        <v>23</v>
      </c>
      <c r="R1893" s="2" t="s">
        <v>18</v>
      </c>
      <c r="S1893">
        <v>2</v>
      </c>
    </row>
    <row r="1894" spans="1:19" x14ac:dyDescent="0.3">
      <c r="A1894">
        <v>1843</v>
      </c>
      <c r="B1894">
        <f>YEAR(Cleaned_HR_Data_Analysis__2[[#This Row],[Joining_Date]])</f>
        <v>2023</v>
      </c>
      <c r="C1894" s="1">
        <v>45024</v>
      </c>
      <c r="D1894" s="1" t="str" cm="1">
        <f t="array" ref="D1894">_xlfn.IFS(E1894&lt;28, "17-27",
AND(E1894&gt;27, E1894&lt;38), "28-37",
AND(E1894&gt;37, E1894 &lt;48), "38-47",
AND(E1894&gt;47, E1894 &lt;58), "48-57",
AND(E1894&gt;57, E1894&lt;68), "58-67",
AND(E1894&gt;67, E1894&lt;78), "68-77",
E1894&gt;77,"Above than 77")</f>
        <v>58-67</v>
      </c>
      <c r="E1894">
        <v>60</v>
      </c>
      <c r="F1894" s="1">
        <v>23023</v>
      </c>
      <c r="G1894" s="1" t="str">
        <f>VLOOKUP(H1894,Table7[#All], 2, FALSE)</f>
        <v>Massachusetts</v>
      </c>
      <c r="H1894" s="2" t="s">
        <v>14</v>
      </c>
      <c r="I1894" s="2" t="s">
        <v>22</v>
      </c>
      <c r="J1894" s="2" t="s">
        <v>34</v>
      </c>
      <c r="K1894" s="2" t="s">
        <v>8</v>
      </c>
      <c r="L1894" s="2" t="s">
        <v>9</v>
      </c>
      <c r="M1894" s="2" t="s">
        <v>25</v>
      </c>
      <c r="N1894" s="2" t="s">
        <v>11</v>
      </c>
      <c r="O1894" s="2" t="s">
        <v>12</v>
      </c>
      <c r="P1894" s="2" t="s">
        <v>42</v>
      </c>
      <c r="Q1894" s="2" t="s">
        <v>23</v>
      </c>
      <c r="R1894" s="2" t="s">
        <v>56</v>
      </c>
      <c r="S1894">
        <v>5</v>
      </c>
    </row>
    <row r="1895" spans="1:19" x14ac:dyDescent="0.3">
      <c r="A1895">
        <v>1841</v>
      </c>
      <c r="B1895">
        <f>YEAR(Cleaned_HR_Data_Analysis__2[[#This Row],[Joining_Date]])</f>
        <v>2018</v>
      </c>
      <c r="C1895" s="1">
        <v>43326</v>
      </c>
      <c r="D1895" s="1" t="str" cm="1">
        <f t="array" ref="D1895">_xlfn.IFS(E1895&lt;28, "17-27",
AND(E1895&gt;27, E1895&lt;38), "28-37",
AND(E1895&gt;37, E1895 &lt;48), "38-47",
AND(E1895&gt;47, E1895 &lt;58), "48-57",
AND(E1895&gt;57, E1895&lt;68), "58-67",
AND(E1895&gt;67, E1895&lt;78), "68-77",
E1895&gt;77,"Above than 77")</f>
        <v>58-67</v>
      </c>
      <c r="E1895">
        <v>60</v>
      </c>
      <c r="F1895" s="1">
        <v>21477</v>
      </c>
      <c r="G1895" s="1" t="str">
        <f>VLOOKUP(H1895,Table7[#All], 2, FALSE)</f>
        <v>Massachusetts</v>
      </c>
      <c r="H1895" s="2" t="s">
        <v>14</v>
      </c>
      <c r="I1895" s="2" t="s">
        <v>15</v>
      </c>
      <c r="J1895" s="2" t="s">
        <v>17</v>
      </c>
      <c r="K1895" s="2" t="s">
        <v>8</v>
      </c>
      <c r="L1895" s="2" t="s">
        <v>9</v>
      </c>
      <c r="M1895" s="2" t="s">
        <v>10</v>
      </c>
      <c r="N1895" s="2" t="s">
        <v>26</v>
      </c>
      <c r="O1895" s="2" t="s">
        <v>12</v>
      </c>
      <c r="P1895" s="2" t="s">
        <v>35</v>
      </c>
      <c r="Q1895" s="2" t="s">
        <v>23</v>
      </c>
      <c r="R1895" s="2" t="s">
        <v>41</v>
      </c>
      <c r="S1895">
        <v>5</v>
      </c>
    </row>
    <row r="1896" spans="1:19" x14ac:dyDescent="0.3">
      <c r="A1896">
        <v>1824</v>
      </c>
      <c r="B1896">
        <f>YEAR(Cleaned_HR_Data_Analysis__2[[#This Row],[Joining_Date]])</f>
        <v>2020</v>
      </c>
      <c r="C1896" s="1">
        <v>43839</v>
      </c>
      <c r="D1896" s="1" t="str" cm="1">
        <f t="array" ref="D1896">_xlfn.IFS(E1896&lt;28, "17-27",
AND(E1896&gt;27, E1896&lt;38), "28-37",
AND(E1896&gt;37, E1896 &lt;48), "38-47",
AND(E1896&gt;47, E1896 &lt;58), "48-57",
AND(E1896&gt;57, E1896&lt;68), "58-67",
AND(E1896&gt;67, E1896&lt;78), "68-77",
E1896&gt;77,"Above than 77")</f>
        <v>58-67</v>
      </c>
      <c r="E1896">
        <v>60</v>
      </c>
      <c r="F1896" s="1">
        <v>21977</v>
      </c>
      <c r="G1896" s="1" t="str">
        <f>VLOOKUP(H1896,Table7[#All], 2, FALSE)</f>
        <v>Massachusetts</v>
      </c>
      <c r="H1896" s="2" t="s">
        <v>14</v>
      </c>
      <c r="I1896" s="2" t="s">
        <v>22</v>
      </c>
      <c r="J1896" s="2" t="s">
        <v>34</v>
      </c>
      <c r="K1896" s="2" t="s">
        <v>8</v>
      </c>
      <c r="L1896" s="2" t="s">
        <v>9</v>
      </c>
      <c r="M1896" s="2" t="s">
        <v>10</v>
      </c>
      <c r="N1896" s="2" t="s">
        <v>26</v>
      </c>
      <c r="O1896" s="2" t="s">
        <v>12</v>
      </c>
      <c r="P1896" s="2" t="s">
        <v>63</v>
      </c>
      <c r="Q1896" s="2" t="s">
        <v>30</v>
      </c>
      <c r="R1896" s="2" t="s">
        <v>18</v>
      </c>
      <c r="S1896">
        <v>1</v>
      </c>
    </row>
    <row r="1897" spans="1:19" x14ac:dyDescent="0.3">
      <c r="A1897">
        <v>1789</v>
      </c>
      <c r="B1897">
        <f>YEAR(Cleaned_HR_Data_Analysis__2[[#This Row],[Joining_Date]])</f>
        <v>2023</v>
      </c>
      <c r="C1897" s="1">
        <v>45038</v>
      </c>
      <c r="D1897" s="1" t="str" cm="1">
        <f t="array" ref="D1897">_xlfn.IFS(E1897&lt;28, "17-27",
AND(E1897&gt;27, E1897&lt;38), "28-37",
AND(E1897&gt;37, E1897 &lt;48), "38-47",
AND(E1897&gt;47, E1897 &lt;58), "48-57",
AND(E1897&gt;57, E1897&lt;68), "58-67",
AND(E1897&gt;67, E1897&lt;78), "68-77",
E1897&gt;77,"Above than 77")</f>
        <v>58-67</v>
      </c>
      <c r="E1897">
        <v>60</v>
      </c>
      <c r="F1897" s="1">
        <v>23059</v>
      </c>
      <c r="G1897" s="1" t="str">
        <f>VLOOKUP(H1897,Table7[#All], 2, FALSE)</f>
        <v>Massachusetts</v>
      </c>
      <c r="H1897" s="2" t="s">
        <v>14</v>
      </c>
      <c r="I1897" s="2" t="s">
        <v>22</v>
      </c>
      <c r="J1897" s="2" t="s">
        <v>17</v>
      </c>
      <c r="K1897" s="2" t="s">
        <v>8</v>
      </c>
      <c r="L1897" s="2" t="s">
        <v>9</v>
      </c>
      <c r="M1897" s="2" t="s">
        <v>10</v>
      </c>
      <c r="N1897" s="2" t="s">
        <v>11</v>
      </c>
      <c r="O1897" s="2" t="s">
        <v>12</v>
      </c>
      <c r="P1897" s="2" t="s">
        <v>42</v>
      </c>
      <c r="Q1897" s="2" t="s">
        <v>30</v>
      </c>
      <c r="R1897" s="2" t="s">
        <v>18</v>
      </c>
      <c r="S1897">
        <v>3</v>
      </c>
    </row>
    <row r="1898" spans="1:19" x14ac:dyDescent="0.3">
      <c r="A1898">
        <v>1761</v>
      </c>
      <c r="B1898">
        <f>YEAR(Cleaned_HR_Data_Analysis__2[[#This Row],[Joining_Date]])</f>
        <v>2021</v>
      </c>
      <c r="C1898" s="1">
        <v>44498</v>
      </c>
      <c r="D1898" s="1" t="str" cm="1">
        <f t="array" ref="D1898">_xlfn.IFS(E1898&lt;28, "17-27",
AND(E1898&gt;27, E1898&lt;38), "28-37",
AND(E1898&gt;37, E1898 &lt;48), "38-47",
AND(E1898&gt;47, E1898 &lt;58), "48-57",
AND(E1898&gt;57, E1898&lt;68), "58-67",
AND(E1898&gt;67, E1898&lt;78), "68-77",
E1898&gt;77,"Above than 77")</f>
        <v>58-67</v>
      </c>
      <c r="E1898">
        <v>60</v>
      </c>
      <c r="F1898" s="1">
        <v>22417</v>
      </c>
      <c r="G1898" s="1" t="str">
        <f>VLOOKUP(H1898,Table7[#All], 2, FALSE)</f>
        <v>Massachusetts</v>
      </c>
      <c r="H1898" s="2" t="s">
        <v>14</v>
      </c>
      <c r="I1898" s="2" t="s">
        <v>15</v>
      </c>
      <c r="J1898" s="2" t="s">
        <v>34</v>
      </c>
      <c r="K1898" s="2" t="s">
        <v>8</v>
      </c>
      <c r="L1898" s="2" t="s">
        <v>66</v>
      </c>
      <c r="M1898" s="2" t="s">
        <v>10</v>
      </c>
      <c r="N1898" s="2" t="s">
        <v>11</v>
      </c>
      <c r="O1898" s="2" t="s">
        <v>12</v>
      </c>
      <c r="P1898" s="2" t="s">
        <v>35</v>
      </c>
      <c r="Q1898" s="2" t="s">
        <v>30</v>
      </c>
      <c r="R1898" s="2" t="s">
        <v>18</v>
      </c>
      <c r="S1898">
        <v>2</v>
      </c>
    </row>
    <row r="1899" spans="1:19" x14ac:dyDescent="0.3">
      <c r="A1899">
        <v>1566</v>
      </c>
      <c r="B1899">
        <f>YEAR(Cleaned_HR_Data_Analysis__2[[#This Row],[Joining_Date]])</f>
        <v>2022</v>
      </c>
      <c r="C1899" s="1">
        <v>44640</v>
      </c>
      <c r="D1899" s="1" t="str" cm="1">
        <f t="array" ref="D1899">_xlfn.IFS(E1899&lt;28, "17-27",
AND(E1899&gt;27, E1899&lt;38), "28-37",
AND(E1899&gt;37, E1899 &lt;48), "38-47",
AND(E1899&gt;47, E1899 &lt;58), "48-57",
AND(E1899&gt;57, E1899&lt;68), "58-67",
AND(E1899&gt;67, E1899&lt;78), "68-77",
E1899&gt;77,"Above than 77")</f>
        <v>58-67</v>
      </c>
      <c r="E1899">
        <v>60</v>
      </c>
      <c r="F1899" s="1">
        <v>23004</v>
      </c>
      <c r="G1899" s="1" t="str">
        <f>VLOOKUP(H1899,Table7[#All], 2, FALSE)</f>
        <v>Massachusetts</v>
      </c>
      <c r="H1899" s="2" t="s">
        <v>14</v>
      </c>
      <c r="I1899" s="2" t="s">
        <v>15</v>
      </c>
      <c r="J1899" s="2" t="s">
        <v>40</v>
      </c>
      <c r="K1899" s="2" t="s">
        <v>8</v>
      </c>
      <c r="L1899" s="2" t="s">
        <v>9</v>
      </c>
      <c r="M1899" s="2" t="s">
        <v>25</v>
      </c>
      <c r="N1899" s="2" t="s">
        <v>26</v>
      </c>
      <c r="O1899" s="2" t="s">
        <v>12</v>
      </c>
      <c r="P1899" s="2" t="s">
        <v>63</v>
      </c>
      <c r="Q1899" s="2" t="s">
        <v>23</v>
      </c>
      <c r="R1899" s="2" t="s">
        <v>41</v>
      </c>
      <c r="S1899">
        <v>4</v>
      </c>
    </row>
    <row r="1900" spans="1:19" x14ac:dyDescent="0.3">
      <c r="A1900">
        <v>1261</v>
      </c>
      <c r="B1900">
        <f>YEAR(Cleaned_HR_Data_Analysis__2[[#This Row],[Joining_Date]])</f>
        <v>2019</v>
      </c>
      <c r="C1900" s="1">
        <v>43826</v>
      </c>
      <c r="D1900" s="1" t="str" cm="1">
        <f t="array" ref="D1900">_xlfn.IFS(E1900&lt;28, "17-27",
AND(E1900&gt;27, E1900&lt;38), "28-37",
AND(E1900&gt;37, E1900 &lt;48), "38-47",
AND(E1900&gt;47, E1900 &lt;58), "48-57",
AND(E1900&gt;57, E1900&lt;68), "58-67",
AND(E1900&gt;67, E1900&lt;78), "68-77",
E1900&gt;77,"Above than 77")</f>
        <v>58-67</v>
      </c>
      <c r="E1900">
        <v>60</v>
      </c>
      <c r="F1900" s="1">
        <v>21820</v>
      </c>
      <c r="G1900" s="1" t="str">
        <f>VLOOKUP(H1900,Table7[#All], 2, FALSE)</f>
        <v>Massachusetts</v>
      </c>
      <c r="H1900" s="2" t="s">
        <v>14</v>
      </c>
      <c r="I1900" s="2" t="s">
        <v>15</v>
      </c>
      <c r="J1900" s="2" t="s">
        <v>34</v>
      </c>
      <c r="K1900" s="2" t="s">
        <v>8</v>
      </c>
      <c r="L1900" s="2" t="s">
        <v>9</v>
      </c>
      <c r="M1900" s="2" t="s">
        <v>20</v>
      </c>
      <c r="N1900" s="2" t="s">
        <v>11</v>
      </c>
      <c r="O1900" s="2" t="s">
        <v>12</v>
      </c>
      <c r="P1900" s="2" t="s">
        <v>35</v>
      </c>
      <c r="Q1900" s="2" t="s">
        <v>23</v>
      </c>
      <c r="R1900" s="2" t="s">
        <v>18</v>
      </c>
      <c r="S1900">
        <v>5</v>
      </c>
    </row>
    <row r="1901" spans="1:19" x14ac:dyDescent="0.3">
      <c r="A1901">
        <v>1158</v>
      </c>
      <c r="B1901">
        <f>YEAR(Cleaned_HR_Data_Analysis__2[[#This Row],[Joining_Date]])</f>
        <v>2018</v>
      </c>
      <c r="C1901" s="1">
        <v>43426</v>
      </c>
      <c r="D1901" s="1" t="str" cm="1">
        <f t="array" ref="D1901">_xlfn.IFS(E1901&lt;28, "17-27",
AND(E1901&gt;27, E1901&lt;38), "28-37",
AND(E1901&gt;37, E1901 &lt;48), "38-47",
AND(E1901&gt;47, E1901 &lt;58), "48-57",
AND(E1901&gt;57, E1901&lt;68), "58-67",
AND(E1901&gt;67, E1901&lt;78), "68-77",
E1901&gt;77,"Above than 77")</f>
        <v>58-67</v>
      </c>
      <c r="E1901">
        <v>60</v>
      </c>
      <c r="F1901" s="1">
        <v>21370</v>
      </c>
      <c r="G1901" s="1" t="str">
        <f>VLOOKUP(H1901,Table7[#All], 2, FALSE)</f>
        <v>Massachusetts</v>
      </c>
      <c r="H1901" s="2" t="s">
        <v>14</v>
      </c>
      <c r="I1901" s="2" t="s">
        <v>22</v>
      </c>
      <c r="J1901" s="2" t="s">
        <v>17</v>
      </c>
      <c r="K1901" s="2" t="s">
        <v>8</v>
      </c>
      <c r="L1901" s="2" t="s">
        <v>66</v>
      </c>
      <c r="M1901" s="2" t="s">
        <v>25</v>
      </c>
      <c r="N1901" s="2" t="s">
        <v>19</v>
      </c>
      <c r="O1901" s="2" t="s">
        <v>12</v>
      </c>
      <c r="P1901" s="2" t="s">
        <v>35</v>
      </c>
      <c r="Q1901" s="2" t="s">
        <v>46</v>
      </c>
      <c r="R1901" s="2" t="s">
        <v>18</v>
      </c>
      <c r="S1901">
        <v>4</v>
      </c>
    </row>
    <row r="1902" spans="1:19" x14ac:dyDescent="0.3">
      <c r="A1902">
        <v>1152</v>
      </c>
      <c r="B1902">
        <f>YEAR(Cleaned_HR_Data_Analysis__2[[#This Row],[Joining_Date]])</f>
        <v>2023</v>
      </c>
      <c r="C1902" s="1">
        <v>44938</v>
      </c>
      <c r="D1902" s="1" t="str" cm="1">
        <f t="array" ref="D1902">_xlfn.IFS(E1902&lt;28, "17-27",
AND(E1902&gt;27, E1902&lt;38), "28-37",
AND(E1902&gt;37, E1902 &lt;48), "38-47",
AND(E1902&gt;47, E1902 &lt;58), "48-57",
AND(E1902&gt;57, E1902&lt;68), "58-67",
AND(E1902&gt;67, E1902&lt;78), "68-77",
E1902&gt;77,"Above than 77")</f>
        <v>58-67</v>
      </c>
      <c r="E1902">
        <v>60</v>
      </c>
      <c r="F1902" s="1">
        <v>23286</v>
      </c>
      <c r="G1902" s="1" t="str">
        <f>VLOOKUP(H1902,Table7[#All], 2, FALSE)</f>
        <v>Massachusetts</v>
      </c>
      <c r="H1902" s="2" t="s">
        <v>14</v>
      </c>
      <c r="I1902" s="2" t="s">
        <v>15</v>
      </c>
      <c r="J1902" s="2" t="s">
        <v>40</v>
      </c>
      <c r="K1902" s="2" t="s">
        <v>8</v>
      </c>
      <c r="L1902" s="2" t="s">
        <v>9</v>
      </c>
      <c r="M1902" s="2" t="s">
        <v>25</v>
      </c>
      <c r="N1902" s="2" t="s">
        <v>19</v>
      </c>
      <c r="O1902" s="2" t="s">
        <v>12</v>
      </c>
      <c r="P1902" s="2" t="s">
        <v>42</v>
      </c>
      <c r="Q1902" s="2" t="s">
        <v>30</v>
      </c>
      <c r="R1902" s="2" t="s">
        <v>18</v>
      </c>
      <c r="S1902">
        <v>1</v>
      </c>
    </row>
    <row r="1903" spans="1:19" x14ac:dyDescent="0.3">
      <c r="A1903">
        <v>1114</v>
      </c>
      <c r="B1903">
        <f>YEAR(Cleaned_HR_Data_Analysis__2[[#This Row],[Joining_Date]])</f>
        <v>2020</v>
      </c>
      <c r="C1903" s="1">
        <v>43921</v>
      </c>
      <c r="D1903" s="1" t="str" cm="1">
        <f t="array" ref="D1903">_xlfn.IFS(E1903&lt;28, "17-27",
AND(E1903&gt;27, E1903&lt;38), "28-37",
AND(E1903&gt;37, E1903 &lt;48), "38-47",
AND(E1903&gt;47, E1903 &lt;58), "48-57",
AND(E1903&gt;57, E1903&lt;68), "58-67",
AND(E1903&gt;67, E1903&lt;78), "68-77",
E1903&gt;77,"Above than 77")</f>
        <v>58-67</v>
      </c>
      <c r="E1903">
        <v>60</v>
      </c>
      <c r="F1903" s="1">
        <v>22281</v>
      </c>
      <c r="G1903" s="1" t="str">
        <f>VLOOKUP(H1903,Table7[#All], 2, FALSE)</f>
        <v>Massachusetts</v>
      </c>
      <c r="H1903" s="2" t="s">
        <v>14</v>
      </c>
      <c r="I1903" s="2" t="s">
        <v>15</v>
      </c>
      <c r="J1903" s="2" t="s">
        <v>17</v>
      </c>
      <c r="K1903" s="2" t="s">
        <v>8</v>
      </c>
      <c r="L1903" s="2" t="s">
        <v>9</v>
      </c>
      <c r="M1903" s="2" t="s">
        <v>25</v>
      </c>
      <c r="N1903" s="2" t="s">
        <v>11</v>
      </c>
      <c r="O1903" s="2" t="s">
        <v>12</v>
      </c>
      <c r="P1903" s="2" t="s">
        <v>32</v>
      </c>
      <c r="Q1903" s="2" t="s">
        <v>23</v>
      </c>
      <c r="R1903" s="2" t="s">
        <v>18</v>
      </c>
      <c r="S1903">
        <v>3</v>
      </c>
    </row>
    <row r="1904" spans="1:19" x14ac:dyDescent="0.3">
      <c r="A1904">
        <v>2432</v>
      </c>
      <c r="B1904">
        <f>YEAR(Cleaned_HR_Data_Analysis__2[[#This Row],[Joining_Date]])</f>
        <v>2023</v>
      </c>
      <c r="C1904" s="1">
        <v>44967</v>
      </c>
      <c r="D1904" s="1" t="str" cm="1">
        <f t="array" ref="D1904">_xlfn.IFS(E1904&lt;28, "17-27",
AND(E1904&gt;27, E1904&lt;38), "28-37",
AND(E1904&gt;37, E1904 &lt;48), "38-47",
AND(E1904&gt;47, E1904 &lt;58), "48-57",
AND(E1904&gt;57, E1904&lt;68), "58-67",
AND(E1904&gt;67, E1904&lt;78), "68-77",
E1904&gt;77,"Above than 77")</f>
        <v>58-67</v>
      </c>
      <c r="E1904">
        <v>60</v>
      </c>
      <c r="F1904" s="1">
        <v>23119</v>
      </c>
      <c r="G1904" s="1" t="str">
        <f>VLOOKUP(H1904,Table7[#All], 2, FALSE)</f>
        <v>Massachusetts</v>
      </c>
      <c r="H1904" s="2" t="s">
        <v>14</v>
      </c>
      <c r="I1904" s="2" t="s">
        <v>15</v>
      </c>
      <c r="J1904" s="2" t="s">
        <v>34</v>
      </c>
      <c r="K1904" s="2" t="s">
        <v>91</v>
      </c>
      <c r="L1904" s="2" t="s">
        <v>66</v>
      </c>
      <c r="M1904" s="2" t="s">
        <v>10</v>
      </c>
      <c r="N1904" s="2" t="s">
        <v>11</v>
      </c>
      <c r="O1904" s="2" t="s">
        <v>12</v>
      </c>
      <c r="P1904" s="2" t="s">
        <v>63</v>
      </c>
      <c r="Q1904" s="2" t="s">
        <v>46</v>
      </c>
      <c r="R1904" s="2" t="s">
        <v>18</v>
      </c>
      <c r="S1904">
        <v>1</v>
      </c>
    </row>
    <row r="1905" spans="1:19" x14ac:dyDescent="0.3">
      <c r="A1905">
        <v>2398</v>
      </c>
      <c r="B1905">
        <f>YEAR(Cleaned_HR_Data_Analysis__2[[#This Row],[Joining_Date]])</f>
        <v>2019</v>
      </c>
      <c r="C1905" s="1">
        <v>43654</v>
      </c>
      <c r="D1905" s="1" t="str" cm="1">
        <f t="array" ref="D1905">_xlfn.IFS(E1905&lt;28, "17-27",
AND(E1905&gt;27, E1905&lt;38), "28-37",
AND(E1905&gt;37, E1905 &lt;48), "38-47",
AND(E1905&gt;47, E1905 &lt;58), "48-57",
AND(E1905&gt;57, E1905&lt;68), "58-67",
AND(E1905&gt;67, E1905&lt;78), "68-77",
E1905&gt;77,"Above than 77")</f>
        <v>58-67</v>
      </c>
      <c r="E1905">
        <v>60</v>
      </c>
      <c r="F1905" s="1">
        <v>21712</v>
      </c>
      <c r="G1905" s="1" t="str">
        <f>VLOOKUP(H1905,Table7[#All], 2, FALSE)</f>
        <v>Massachusetts</v>
      </c>
      <c r="H1905" s="2" t="s">
        <v>14</v>
      </c>
      <c r="I1905" s="2" t="s">
        <v>15</v>
      </c>
      <c r="J1905" s="2" t="s">
        <v>17</v>
      </c>
      <c r="K1905" s="2" t="s">
        <v>91</v>
      </c>
      <c r="L1905" s="2" t="s">
        <v>9</v>
      </c>
      <c r="M1905" s="2" t="s">
        <v>10</v>
      </c>
      <c r="N1905" s="2" t="s">
        <v>11</v>
      </c>
      <c r="O1905" s="2" t="s">
        <v>12</v>
      </c>
      <c r="P1905" s="2" t="s">
        <v>32</v>
      </c>
      <c r="Q1905" s="2" t="s">
        <v>16</v>
      </c>
      <c r="R1905" s="2" t="s">
        <v>18</v>
      </c>
      <c r="S1905">
        <v>3</v>
      </c>
    </row>
    <row r="1906" spans="1:19" x14ac:dyDescent="0.3">
      <c r="A1906">
        <v>2297</v>
      </c>
      <c r="B1906">
        <f>YEAR(Cleaned_HR_Data_Analysis__2[[#This Row],[Joining_Date]])</f>
        <v>2018</v>
      </c>
      <c r="C1906" s="1">
        <v>43452</v>
      </c>
      <c r="D1906" s="1" t="str" cm="1">
        <f t="array" ref="D1906">_xlfn.IFS(E1906&lt;28, "17-27",
AND(E1906&gt;27, E1906&lt;38), "28-37",
AND(E1906&gt;37, E1906 &lt;48), "38-47",
AND(E1906&gt;47, E1906 &lt;58), "48-57",
AND(E1906&gt;57, E1906&lt;68), "58-67",
AND(E1906&gt;67, E1906&lt;78), "68-77",
E1906&gt;77,"Above than 77")</f>
        <v>58-67</v>
      </c>
      <c r="E1906">
        <v>60</v>
      </c>
      <c r="F1906" s="1">
        <v>21451</v>
      </c>
      <c r="G1906" s="1" t="str">
        <f>VLOOKUP(H1906,Table7[#All], 2, FALSE)</f>
        <v>Massachusetts</v>
      </c>
      <c r="H1906" s="2" t="s">
        <v>14</v>
      </c>
      <c r="I1906" s="2" t="s">
        <v>15</v>
      </c>
      <c r="J1906" s="2" t="s">
        <v>31</v>
      </c>
      <c r="K1906" s="2" t="s">
        <v>91</v>
      </c>
      <c r="L1906" s="2" t="s">
        <v>66</v>
      </c>
      <c r="M1906" s="2" t="s">
        <v>20</v>
      </c>
      <c r="N1906" s="2" t="s">
        <v>11</v>
      </c>
      <c r="O1906" s="2" t="s">
        <v>12</v>
      </c>
      <c r="P1906" s="2" t="s">
        <v>21</v>
      </c>
      <c r="Q1906" s="2" t="s">
        <v>37</v>
      </c>
      <c r="R1906" s="2" t="s">
        <v>18</v>
      </c>
      <c r="S1906">
        <v>4</v>
      </c>
    </row>
    <row r="1907" spans="1:19" x14ac:dyDescent="0.3">
      <c r="A1907">
        <v>3918</v>
      </c>
      <c r="B1907">
        <f>YEAR(Cleaned_HR_Data_Analysis__2[[#This Row],[Joining_Date]])</f>
        <v>2020</v>
      </c>
      <c r="C1907" s="1">
        <v>44098</v>
      </c>
      <c r="D1907" s="1" t="str" cm="1">
        <f t="array" ref="D1907">_xlfn.IFS(E1907&lt;28, "17-27",
AND(E1907&gt;27, E1907&lt;38), "28-37",
AND(E1907&gt;37, E1907 &lt;48), "38-47",
AND(E1907&gt;47, E1907 &lt;58), "48-57",
AND(E1907&gt;57, E1907&lt;68), "58-67",
AND(E1907&gt;67, E1907&lt;78), "68-77",
E1907&gt;77,"Above than 77")</f>
        <v>58-67</v>
      </c>
      <c r="E1907">
        <v>60</v>
      </c>
      <c r="F1907" s="1">
        <v>22084</v>
      </c>
      <c r="G1907" s="1" t="str">
        <f>VLOOKUP(H1907,Table7[#All], 2, FALSE)</f>
        <v>Massachusetts</v>
      </c>
      <c r="H1907" s="2" t="s">
        <v>14</v>
      </c>
      <c r="I1907" s="2" t="s">
        <v>15</v>
      </c>
      <c r="J1907" s="2" t="s">
        <v>17</v>
      </c>
      <c r="K1907" s="2" t="s">
        <v>71</v>
      </c>
      <c r="L1907" s="2" t="s">
        <v>9</v>
      </c>
      <c r="M1907" s="2" t="s">
        <v>10</v>
      </c>
      <c r="N1907" s="2" t="s">
        <v>19</v>
      </c>
      <c r="O1907" s="2" t="s">
        <v>53</v>
      </c>
      <c r="P1907" s="2" t="s">
        <v>35</v>
      </c>
      <c r="Q1907" s="2" t="s">
        <v>46</v>
      </c>
      <c r="R1907" s="2" t="s">
        <v>18</v>
      </c>
      <c r="S1907">
        <v>3</v>
      </c>
    </row>
    <row r="1908" spans="1:19" x14ac:dyDescent="0.3">
      <c r="A1908">
        <v>3844</v>
      </c>
      <c r="B1908">
        <f>YEAR(Cleaned_HR_Data_Analysis__2[[#This Row],[Joining_Date]])</f>
        <v>2021</v>
      </c>
      <c r="C1908" s="1">
        <v>44357</v>
      </c>
      <c r="D1908" s="1" t="str" cm="1">
        <f t="array" ref="D1908">_xlfn.IFS(E1908&lt;28, "17-27",
AND(E1908&gt;27, E1908&lt;38), "28-37",
AND(E1908&gt;37, E1908 &lt;48), "38-47",
AND(E1908&gt;47, E1908 &lt;58), "48-57",
AND(E1908&gt;57, E1908&lt;68), "58-67",
AND(E1908&gt;67, E1908&lt;78), "68-77",
E1908&gt;77,"Above than 77")</f>
        <v>58-67</v>
      </c>
      <c r="E1908">
        <v>60</v>
      </c>
      <c r="F1908" s="1">
        <v>22434</v>
      </c>
      <c r="G1908" s="1" t="str">
        <f>VLOOKUP(H1908,Table7[#All], 2, FALSE)</f>
        <v>Massachusetts</v>
      </c>
      <c r="H1908" s="2" t="s">
        <v>14</v>
      </c>
      <c r="I1908" s="2" t="s">
        <v>22</v>
      </c>
      <c r="J1908" s="2" t="s">
        <v>31</v>
      </c>
      <c r="K1908" s="2" t="s">
        <v>71</v>
      </c>
      <c r="L1908" s="2" t="s">
        <v>9</v>
      </c>
      <c r="M1908" s="2" t="s">
        <v>20</v>
      </c>
      <c r="N1908" s="2" t="s">
        <v>11</v>
      </c>
      <c r="O1908" s="2" t="s">
        <v>73</v>
      </c>
      <c r="P1908" s="2" t="s">
        <v>32</v>
      </c>
      <c r="Q1908" s="2" t="s">
        <v>16</v>
      </c>
      <c r="R1908" s="2" t="s">
        <v>65</v>
      </c>
      <c r="S1908">
        <v>2</v>
      </c>
    </row>
    <row r="1909" spans="1:19" x14ac:dyDescent="0.3">
      <c r="A1909">
        <v>3920</v>
      </c>
      <c r="B1909">
        <f>YEAR(Cleaned_HR_Data_Analysis__2[[#This Row],[Joining_Date]])</f>
        <v>2021</v>
      </c>
      <c r="C1909" s="1">
        <v>44297</v>
      </c>
      <c r="D1909" s="1" t="str" cm="1">
        <f t="array" ref="D1909">_xlfn.IFS(E1909&lt;28, "17-27",
AND(E1909&gt;27, E1909&lt;38), "28-37",
AND(E1909&gt;37, E1909 &lt;48), "38-47",
AND(E1909&gt;47, E1909 &lt;58), "48-57",
AND(E1909&gt;57, E1909&lt;68), "58-67",
AND(E1909&gt;67, E1909&lt;78), "68-77",
E1909&gt;77,"Above than 77")</f>
        <v>58-67</v>
      </c>
      <c r="E1909">
        <v>60</v>
      </c>
      <c r="F1909" s="1">
        <v>22589</v>
      </c>
      <c r="G1909" s="1" t="str">
        <f>VLOOKUP(H1909,Table7[#All], 2, FALSE)</f>
        <v>Massachusetts</v>
      </c>
      <c r="H1909" s="2" t="s">
        <v>14</v>
      </c>
      <c r="I1909" s="2" t="s">
        <v>15</v>
      </c>
      <c r="J1909" s="2" t="s">
        <v>40</v>
      </c>
      <c r="K1909" s="2" t="s">
        <v>70</v>
      </c>
      <c r="L1909" s="2" t="s">
        <v>9</v>
      </c>
      <c r="M1909" s="2" t="s">
        <v>25</v>
      </c>
      <c r="N1909" s="2" t="s">
        <v>19</v>
      </c>
      <c r="O1909" s="2" t="s">
        <v>53</v>
      </c>
      <c r="P1909" s="2" t="s">
        <v>35</v>
      </c>
      <c r="Q1909" s="2" t="s">
        <v>30</v>
      </c>
      <c r="R1909" s="2" t="s">
        <v>18</v>
      </c>
      <c r="S1909">
        <v>1</v>
      </c>
    </row>
    <row r="1910" spans="1:19" x14ac:dyDescent="0.3">
      <c r="A1910">
        <v>2215</v>
      </c>
      <c r="B1910">
        <f>YEAR(Cleaned_HR_Data_Analysis__2[[#This Row],[Joining_Date]])</f>
        <v>2022</v>
      </c>
      <c r="C1910" s="1">
        <v>44597</v>
      </c>
      <c r="D1910" s="1" t="str" cm="1">
        <f t="array" ref="D1910">_xlfn.IFS(E1910&lt;28, "17-27",
AND(E1910&gt;27, E1910&lt;38), "28-37",
AND(E1910&gt;37, E1910 &lt;48), "38-47",
AND(E1910&gt;47, E1910 &lt;58), "48-57",
AND(E1910&gt;57, E1910&lt;68), "58-67",
AND(E1910&gt;67, E1910&lt;78), "68-77",
E1910&gt;77,"Above than 77")</f>
        <v>58-67</v>
      </c>
      <c r="E1910">
        <v>60</v>
      </c>
      <c r="F1910" s="1">
        <v>22997</v>
      </c>
      <c r="G1910" s="1" t="str">
        <f>VLOOKUP(H1910,Table7[#All], 2, FALSE)</f>
        <v>Massachusetts</v>
      </c>
      <c r="H1910" s="2" t="s">
        <v>14</v>
      </c>
      <c r="I1910" s="2" t="s">
        <v>15</v>
      </c>
      <c r="J1910" s="2" t="s">
        <v>40</v>
      </c>
      <c r="K1910" s="2" t="s">
        <v>70</v>
      </c>
      <c r="L1910" s="2" t="s">
        <v>9</v>
      </c>
      <c r="M1910" s="2" t="s">
        <v>10</v>
      </c>
      <c r="N1910" s="2" t="s">
        <v>26</v>
      </c>
      <c r="O1910" s="2" t="s">
        <v>53</v>
      </c>
      <c r="P1910" s="2" t="s">
        <v>42</v>
      </c>
      <c r="Q1910" s="2" t="s">
        <v>46</v>
      </c>
      <c r="R1910" s="2" t="s">
        <v>41</v>
      </c>
      <c r="S1910">
        <v>5</v>
      </c>
    </row>
    <row r="1911" spans="1:19" x14ac:dyDescent="0.3">
      <c r="A1911">
        <v>2250</v>
      </c>
      <c r="B1911">
        <f>YEAR(Cleaned_HR_Data_Analysis__2[[#This Row],[Joining_Date]])</f>
        <v>2022</v>
      </c>
      <c r="C1911" s="1">
        <v>44628</v>
      </c>
      <c r="D1911" s="1" t="str" cm="1">
        <f t="array" ref="D1911">_xlfn.IFS(E1911&lt;28, "17-27",
AND(E1911&gt;27, E1911&lt;38), "28-37",
AND(E1911&gt;37, E1911 &lt;48), "38-47",
AND(E1911&gt;47, E1911 &lt;58), "48-57",
AND(E1911&gt;57, E1911&lt;68), "58-67",
AND(E1911&gt;67, E1911&lt;78), "68-77",
E1911&gt;77,"Above than 77")</f>
        <v>58-67</v>
      </c>
      <c r="E1911">
        <v>60</v>
      </c>
      <c r="F1911" s="1">
        <v>22891</v>
      </c>
      <c r="G1911" s="1" t="str">
        <f>VLOOKUP(H1911,Table7[#All], 2, FALSE)</f>
        <v>Connecticut</v>
      </c>
      <c r="H1911" s="2" t="s">
        <v>36</v>
      </c>
      <c r="I1911" s="2" t="s">
        <v>15</v>
      </c>
      <c r="J1911" s="2" t="s">
        <v>34</v>
      </c>
      <c r="K1911" s="2" t="s">
        <v>70</v>
      </c>
      <c r="L1911" s="2" t="s">
        <v>9</v>
      </c>
      <c r="M1911" s="2" t="s">
        <v>10</v>
      </c>
      <c r="N1911" s="2" t="s">
        <v>11</v>
      </c>
      <c r="O1911" s="2" t="s">
        <v>53</v>
      </c>
      <c r="P1911" s="2" t="s">
        <v>21</v>
      </c>
      <c r="Q1911" s="2" t="s">
        <v>46</v>
      </c>
      <c r="R1911" s="2" t="s">
        <v>18</v>
      </c>
      <c r="S1911">
        <v>2</v>
      </c>
    </row>
    <row r="1912" spans="1:19" x14ac:dyDescent="0.3">
      <c r="A1912">
        <v>3951</v>
      </c>
      <c r="B1912">
        <f>YEAR(Cleaned_HR_Data_Analysis__2[[#This Row],[Joining_Date]])</f>
        <v>2021</v>
      </c>
      <c r="C1912" s="1">
        <v>44311</v>
      </c>
      <c r="D1912" s="1" t="str" cm="1">
        <f t="array" ref="D1912">_xlfn.IFS(E1912&lt;28, "17-27",
AND(E1912&gt;27, E1912&lt;38), "28-37",
AND(E1912&gt;37, E1912 &lt;48), "38-47",
AND(E1912&gt;47, E1912 &lt;58), "48-57",
AND(E1912&gt;57, E1912&lt;68), "58-67",
AND(E1912&gt;67, E1912&lt;78), "68-77",
E1912&gt;77,"Above than 77")</f>
        <v>58-67</v>
      </c>
      <c r="E1912">
        <v>60</v>
      </c>
      <c r="F1912" s="1">
        <v>22531</v>
      </c>
      <c r="G1912" s="1" t="str">
        <f>VLOOKUP(H1912,Table7[#All], 2, FALSE)</f>
        <v>Massachusetts</v>
      </c>
      <c r="H1912" s="2" t="s">
        <v>14</v>
      </c>
      <c r="I1912" s="2" t="s">
        <v>15</v>
      </c>
      <c r="J1912" s="2" t="s">
        <v>40</v>
      </c>
      <c r="K1912" s="2" t="s">
        <v>77</v>
      </c>
      <c r="L1912" s="2" t="s">
        <v>66</v>
      </c>
      <c r="M1912" s="2" t="s">
        <v>10</v>
      </c>
      <c r="N1912" s="2" t="s">
        <v>19</v>
      </c>
      <c r="O1912" s="2" t="s">
        <v>53</v>
      </c>
      <c r="P1912" s="2" t="s">
        <v>59</v>
      </c>
      <c r="Q1912" s="2" t="s">
        <v>46</v>
      </c>
      <c r="R1912" s="2" t="s">
        <v>18</v>
      </c>
      <c r="S1912">
        <v>1</v>
      </c>
    </row>
    <row r="1913" spans="1:19" x14ac:dyDescent="0.3">
      <c r="A1913">
        <v>3981</v>
      </c>
      <c r="B1913">
        <f>YEAR(Cleaned_HR_Data_Analysis__2[[#This Row],[Joining_Date]])</f>
        <v>2020</v>
      </c>
      <c r="C1913" s="1">
        <v>44036</v>
      </c>
      <c r="D1913" s="1" t="str" cm="1">
        <f t="array" ref="D1913">_xlfn.IFS(E1913&lt;28, "17-27",
AND(E1913&gt;27, E1913&lt;38), "28-37",
AND(E1913&gt;37, E1913 &lt;48), "38-47",
AND(E1913&gt;47, E1913 &lt;58), "48-57",
AND(E1913&gt;57, E1913&lt;68), "58-67",
AND(E1913&gt;67, E1913&lt;78), "68-77",
E1913&gt;77,"Above than 77")</f>
        <v>58-67</v>
      </c>
      <c r="E1913">
        <v>60</v>
      </c>
      <c r="F1913" s="1">
        <v>21953</v>
      </c>
      <c r="G1913" s="1" t="str">
        <f>VLOOKUP(H1913,Table7[#All], 2, FALSE)</f>
        <v>Massachusetts</v>
      </c>
      <c r="H1913" s="2" t="s">
        <v>14</v>
      </c>
      <c r="I1913" s="2" t="s">
        <v>15</v>
      </c>
      <c r="J1913" s="2" t="s">
        <v>40</v>
      </c>
      <c r="K1913" s="2" t="s">
        <v>78</v>
      </c>
      <c r="L1913" s="2" t="s">
        <v>9</v>
      </c>
      <c r="M1913" s="2" t="s">
        <v>25</v>
      </c>
      <c r="N1913" s="2" t="s">
        <v>19</v>
      </c>
      <c r="O1913" s="2" t="s">
        <v>53</v>
      </c>
      <c r="P1913" s="2" t="s">
        <v>35</v>
      </c>
      <c r="Q1913" s="2" t="s">
        <v>37</v>
      </c>
      <c r="R1913" s="2" t="s">
        <v>18</v>
      </c>
      <c r="S1913">
        <v>2</v>
      </c>
    </row>
    <row r="1914" spans="1:19" x14ac:dyDescent="0.3">
      <c r="A1914">
        <v>2375</v>
      </c>
      <c r="B1914">
        <f>YEAR(Cleaned_HR_Data_Analysis__2[[#This Row],[Joining_Date]])</f>
        <v>2018</v>
      </c>
      <c r="C1914" s="1">
        <v>43356</v>
      </c>
      <c r="D1914" s="1" t="str" cm="1">
        <f t="array" ref="D1914">_xlfn.IFS(E1914&lt;28, "17-27",
AND(E1914&gt;27, E1914&lt;38), "28-37",
AND(E1914&gt;37, E1914 &lt;48), "38-47",
AND(E1914&gt;47, E1914 &lt;58), "48-57",
AND(E1914&gt;57, E1914&lt;68), "58-67",
AND(E1914&gt;67, E1914&lt;78), "68-77",
E1914&gt;77,"Above than 77")</f>
        <v>58-67</v>
      </c>
      <c r="E1914">
        <v>60</v>
      </c>
      <c r="F1914" s="1">
        <v>21491</v>
      </c>
      <c r="G1914" s="1" t="str">
        <f>VLOOKUP(H1914,Table7[#All], 2, FALSE)</f>
        <v>Massachusetts</v>
      </c>
      <c r="H1914" s="2" t="s">
        <v>14</v>
      </c>
      <c r="I1914" s="2" t="s">
        <v>22</v>
      </c>
      <c r="J1914" s="2" t="s">
        <v>31</v>
      </c>
      <c r="K1914" s="2" t="s">
        <v>78</v>
      </c>
      <c r="L1914" s="2" t="s">
        <v>9</v>
      </c>
      <c r="M1914" s="2" t="s">
        <v>10</v>
      </c>
      <c r="N1914" s="2" t="s">
        <v>26</v>
      </c>
      <c r="O1914" s="2" t="s">
        <v>53</v>
      </c>
      <c r="P1914" s="2" t="s">
        <v>32</v>
      </c>
      <c r="Q1914" s="2" t="s">
        <v>37</v>
      </c>
      <c r="R1914" s="2" t="s">
        <v>18</v>
      </c>
      <c r="S1914">
        <v>4</v>
      </c>
    </row>
    <row r="1915" spans="1:19" x14ac:dyDescent="0.3">
      <c r="A1915">
        <v>1694</v>
      </c>
      <c r="B1915">
        <f>YEAR(Cleaned_HR_Data_Analysis__2[[#This Row],[Joining_Date]])</f>
        <v>2021</v>
      </c>
      <c r="C1915" s="1">
        <v>44295</v>
      </c>
      <c r="D1915" s="1" t="str" cm="1">
        <f t="array" ref="D1915">_xlfn.IFS(E1915&lt;28, "17-27",
AND(E1915&gt;27, E1915&lt;38), "28-37",
AND(E1915&gt;37, E1915 &lt;48), "38-47",
AND(E1915&gt;47, E1915 &lt;58), "48-57",
AND(E1915&gt;57, E1915&lt;68), "58-67",
AND(E1915&gt;67, E1915&lt;78), "68-77",
E1915&gt;77,"Above than 77")</f>
        <v>58-67</v>
      </c>
      <c r="E1915">
        <v>60</v>
      </c>
      <c r="F1915" s="1">
        <v>22558</v>
      </c>
      <c r="G1915" s="1" t="str">
        <f>VLOOKUP(H1915,Table7[#All], 2, FALSE)</f>
        <v>Massachusetts</v>
      </c>
      <c r="H1915" s="2" t="s">
        <v>14</v>
      </c>
      <c r="I1915" s="2" t="s">
        <v>22</v>
      </c>
      <c r="J1915" s="2" t="s">
        <v>34</v>
      </c>
      <c r="K1915" s="2" t="s">
        <v>82</v>
      </c>
      <c r="L1915" s="2" t="s">
        <v>66</v>
      </c>
      <c r="M1915" s="2" t="s">
        <v>20</v>
      </c>
      <c r="N1915" s="2" t="s">
        <v>19</v>
      </c>
      <c r="O1915" s="2" t="s">
        <v>53</v>
      </c>
      <c r="P1915" s="2" t="s">
        <v>21</v>
      </c>
      <c r="Q1915" s="2" t="s">
        <v>46</v>
      </c>
      <c r="R1915" s="2" t="s">
        <v>18</v>
      </c>
      <c r="S1915">
        <v>5</v>
      </c>
    </row>
    <row r="1916" spans="1:19" x14ac:dyDescent="0.3">
      <c r="A1916">
        <v>1684</v>
      </c>
      <c r="B1916">
        <f>YEAR(Cleaned_HR_Data_Analysis__2[[#This Row],[Joining_Date]])</f>
        <v>2023</v>
      </c>
      <c r="C1916" s="1">
        <v>45116</v>
      </c>
      <c r="D1916" s="1" t="str" cm="1">
        <f t="array" ref="D1916">_xlfn.IFS(E1916&lt;28, "17-27",
AND(E1916&gt;27, E1916&lt;38), "28-37",
AND(E1916&gt;37, E1916 &lt;48), "38-47",
AND(E1916&gt;47, E1916 &lt;58), "48-57",
AND(E1916&gt;57, E1916&lt;68), "58-67",
AND(E1916&gt;67, E1916&lt;78), "68-77",
E1916&gt;77,"Above than 77")</f>
        <v>58-67</v>
      </c>
      <c r="E1916">
        <v>60</v>
      </c>
      <c r="F1916" s="1">
        <v>23077</v>
      </c>
      <c r="G1916" s="1" t="str">
        <f>VLOOKUP(H1916,Table7[#All], 2, FALSE)</f>
        <v>Massachusetts</v>
      </c>
      <c r="H1916" s="2" t="s">
        <v>14</v>
      </c>
      <c r="I1916" s="2" t="s">
        <v>22</v>
      </c>
      <c r="J1916" s="2" t="s">
        <v>17</v>
      </c>
      <c r="K1916" s="2" t="s">
        <v>82</v>
      </c>
      <c r="L1916" s="2" t="s">
        <v>66</v>
      </c>
      <c r="M1916" s="2" t="s">
        <v>10</v>
      </c>
      <c r="N1916" s="2" t="s">
        <v>19</v>
      </c>
      <c r="O1916" s="2" t="s">
        <v>53</v>
      </c>
      <c r="P1916" s="2" t="s">
        <v>42</v>
      </c>
      <c r="Q1916" s="2" t="s">
        <v>23</v>
      </c>
      <c r="R1916" s="2" t="s">
        <v>18</v>
      </c>
      <c r="S1916">
        <v>4</v>
      </c>
    </row>
    <row r="1917" spans="1:19" x14ac:dyDescent="0.3">
      <c r="A1917">
        <v>1705</v>
      </c>
      <c r="B1917">
        <f>YEAR(Cleaned_HR_Data_Analysis__2[[#This Row],[Joining_Date]])</f>
        <v>2018</v>
      </c>
      <c r="C1917" s="1">
        <v>43377</v>
      </c>
      <c r="D1917" s="1" t="str" cm="1">
        <f t="array" ref="D1917">_xlfn.IFS(E1917&lt;28, "17-27",
AND(E1917&gt;27, E1917&lt;38), "28-37",
AND(E1917&gt;37, E1917 &lt;48), "38-47",
AND(E1917&gt;47, E1917 &lt;58), "48-57",
AND(E1917&gt;57, E1917&lt;68), "58-67",
AND(E1917&gt;67, E1917&lt;78), "68-77",
E1917&gt;77,"Above than 77")</f>
        <v>58-67</v>
      </c>
      <c r="E1917">
        <v>60</v>
      </c>
      <c r="F1917" s="1">
        <v>21321</v>
      </c>
      <c r="G1917" s="1" t="str">
        <f>VLOOKUP(H1917,Table7[#All], 2, FALSE)</f>
        <v>Massachusetts</v>
      </c>
      <c r="H1917" s="2" t="s">
        <v>14</v>
      </c>
      <c r="I1917" s="2" t="s">
        <v>15</v>
      </c>
      <c r="J1917" s="2" t="s">
        <v>31</v>
      </c>
      <c r="K1917" s="2" t="s">
        <v>83</v>
      </c>
      <c r="L1917" s="2" t="s">
        <v>9</v>
      </c>
      <c r="M1917" s="2" t="s">
        <v>20</v>
      </c>
      <c r="N1917" s="2" t="s">
        <v>26</v>
      </c>
      <c r="O1917" s="2" t="s">
        <v>53</v>
      </c>
      <c r="P1917" s="2" t="s">
        <v>54</v>
      </c>
      <c r="Q1917" s="2" t="s">
        <v>23</v>
      </c>
      <c r="R1917" s="2" t="s">
        <v>18</v>
      </c>
      <c r="S1917">
        <v>4</v>
      </c>
    </row>
    <row r="1918" spans="1:19" x14ac:dyDescent="0.3">
      <c r="A1918">
        <v>1640</v>
      </c>
      <c r="B1918">
        <f>YEAR(Cleaned_HR_Data_Analysis__2[[#This Row],[Joining_Date]])</f>
        <v>2021</v>
      </c>
      <c r="C1918" s="1">
        <v>44345</v>
      </c>
      <c r="D1918" s="1" t="str" cm="1">
        <f t="array" ref="D1918">_xlfn.IFS(E1918&lt;28, "17-27",
AND(E1918&gt;27, E1918&lt;38), "28-37",
AND(E1918&gt;37, E1918 &lt;48), "38-47",
AND(E1918&gt;47, E1918 &lt;58), "48-57",
AND(E1918&gt;57, E1918&lt;68), "58-67",
AND(E1918&gt;67, E1918&lt;78), "68-77",
E1918&gt;77,"Above than 77")</f>
        <v>58-67</v>
      </c>
      <c r="E1918">
        <v>60</v>
      </c>
      <c r="F1918" s="1">
        <v>22523</v>
      </c>
      <c r="G1918" s="1" t="str">
        <f>VLOOKUP(H1918,Table7[#All], 2, FALSE)</f>
        <v>Massachusetts</v>
      </c>
      <c r="H1918" s="2" t="s">
        <v>14</v>
      </c>
      <c r="I1918" s="2" t="s">
        <v>15</v>
      </c>
      <c r="J1918" s="2" t="s">
        <v>40</v>
      </c>
      <c r="K1918" s="2" t="s">
        <v>97</v>
      </c>
      <c r="L1918" s="2" t="s">
        <v>66</v>
      </c>
      <c r="M1918" s="2" t="s">
        <v>10</v>
      </c>
      <c r="N1918" s="2" t="s">
        <v>19</v>
      </c>
      <c r="O1918" s="2" t="s">
        <v>53</v>
      </c>
      <c r="P1918" s="2" t="s">
        <v>42</v>
      </c>
      <c r="Q1918" s="2" t="s">
        <v>23</v>
      </c>
      <c r="R1918" s="2" t="s">
        <v>18</v>
      </c>
      <c r="S1918">
        <v>4</v>
      </c>
    </row>
    <row r="1919" spans="1:19" x14ac:dyDescent="0.3">
      <c r="A1919">
        <v>3479</v>
      </c>
      <c r="B1919">
        <f>YEAR(Cleaned_HR_Data_Analysis__2[[#This Row],[Joining_Date]])</f>
        <v>2022</v>
      </c>
      <c r="C1919" s="1">
        <v>44775</v>
      </c>
      <c r="D1919" s="1" t="str" cm="1">
        <f t="array" ref="D1919">_xlfn.IFS(E1919&lt;28, "17-27",
AND(E1919&gt;27, E1919&lt;38), "28-37",
AND(E1919&gt;37, E1919 &lt;48), "38-47",
AND(E1919&gt;47, E1919 &lt;58), "48-57",
AND(E1919&gt;57, E1919&lt;68), "58-67",
AND(E1919&gt;67, E1919&lt;78), "68-77",
E1919&gt;77,"Above than 77")</f>
        <v>58-67</v>
      </c>
      <c r="E1919">
        <v>60</v>
      </c>
      <c r="F1919" s="1">
        <v>22783</v>
      </c>
      <c r="G1919" s="1" t="str">
        <f>VLOOKUP(H1919,Table7[#All], 2, FALSE)</f>
        <v>Texas</v>
      </c>
      <c r="H1919" s="2" t="s">
        <v>45</v>
      </c>
      <c r="I1919" s="2" t="s">
        <v>15</v>
      </c>
      <c r="J1919" s="2" t="s">
        <v>17</v>
      </c>
      <c r="K1919" s="2" t="s">
        <v>24</v>
      </c>
      <c r="L1919" s="2" t="s">
        <v>9</v>
      </c>
      <c r="M1919" s="2" t="s">
        <v>10</v>
      </c>
      <c r="N1919" s="2" t="s">
        <v>19</v>
      </c>
      <c r="O1919" s="2" t="s">
        <v>27</v>
      </c>
      <c r="P1919" s="2" t="s">
        <v>54</v>
      </c>
      <c r="Q1919" s="2" t="s">
        <v>23</v>
      </c>
      <c r="R1919" s="2" t="s">
        <v>18</v>
      </c>
      <c r="S1919">
        <v>4</v>
      </c>
    </row>
    <row r="1920" spans="1:19" x14ac:dyDescent="0.3">
      <c r="A1920">
        <v>2660</v>
      </c>
      <c r="B1920">
        <f>YEAR(Cleaned_HR_Data_Analysis__2[[#This Row],[Joining_Date]])</f>
        <v>2019</v>
      </c>
      <c r="C1920" s="1">
        <v>43686</v>
      </c>
      <c r="D1920" s="1" t="str" cm="1">
        <f t="array" ref="D1920">_xlfn.IFS(E1920&lt;28, "17-27",
AND(E1920&gt;27, E1920&lt;38), "28-37",
AND(E1920&gt;37, E1920 &lt;48), "38-47",
AND(E1920&gt;47, E1920 &lt;58), "48-57",
AND(E1920&gt;57, E1920&lt;68), "58-67",
AND(E1920&gt;67, E1920&lt;78), "68-77",
E1920&gt;77,"Above than 77")</f>
        <v>58-67</v>
      </c>
      <c r="E1920">
        <v>60</v>
      </c>
      <c r="F1920" s="1">
        <v>21850</v>
      </c>
      <c r="G1920" s="1" t="str">
        <f>VLOOKUP(H1920,Table7[#All], 2, FALSE)</f>
        <v>Tennessee</v>
      </c>
      <c r="H1920" s="2" t="s">
        <v>120</v>
      </c>
      <c r="I1920" s="2" t="s">
        <v>22</v>
      </c>
      <c r="J1920" s="2" t="s">
        <v>40</v>
      </c>
      <c r="K1920" s="2" t="s">
        <v>24</v>
      </c>
      <c r="L1920" s="2" t="s">
        <v>9</v>
      </c>
      <c r="M1920" s="2" t="s">
        <v>20</v>
      </c>
      <c r="N1920" s="2" t="s">
        <v>11</v>
      </c>
      <c r="O1920" s="2" t="s">
        <v>27</v>
      </c>
      <c r="P1920" s="2" t="s">
        <v>58</v>
      </c>
      <c r="Q1920" s="2" t="s">
        <v>46</v>
      </c>
      <c r="R1920" s="2" t="s">
        <v>18</v>
      </c>
      <c r="S1920">
        <v>1</v>
      </c>
    </row>
    <row r="1921" spans="1:19" x14ac:dyDescent="0.3">
      <c r="A1921">
        <v>1709</v>
      </c>
      <c r="B1921">
        <f>YEAR(Cleaned_HR_Data_Analysis__2[[#This Row],[Joining_Date]])</f>
        <v>2022</v>
      </c>
      <c r="C1921" s="1">
        <v>44706</v>
      </c>
      <c r="D1921" s="1" t="str" cm="1">
        <f t="array" ref="D1921">_xlfn.IFS(E1921&lt;28, "17-27",
AND(E1921&gt;27, E1921&lt;38), "28-37",
AND(E1921&gt;37, E1921 &lt;48), "38-47",
AND(E1921&gt;47, E1921 &lt;58), "48-57",
AND(E1921&gt;57, E1921&lt;68), "58-67",
AND(E1921&gt;67, E1921&lt;78), "68-77",
E1921&gt;77,"Above than 77")</f>
        <v>58-67</v>
      </c>
      <c r="E1921">
        <v>60</v>
      </c>
      <c r="F1921" s="1">
        <v>22727</v>
      </c>
      <c r="G1921" s="1" t="str">
        <f>VLOOKUP(H1921,Table7[#All], 2, FALSE)</f>
        <v>Oregon</v>
      </c>
      <c r="H1921" s="2" t="s">
        <v>43</v>
      </c>
      <c r="I1921" s="2" t="s">
        <v>22</v>
      </c>
      <c r="J1921" s="2" t="s">
        <v>34</v>
      </c>
      <c r="K1921" s="2" t="s">
        <v>24</v>
      </c>
      <c r="L1921" s="2" t="s">
        <v>9</v>
      </c>
      <c r="M1921" s="2" t="s">
        <v>25</v>
      </c>
      <c r="N1921" s="2" t="s">
        <v>11</v>
      </c>
      <c r="O1921" s="2" t="s">
        <v>53</v>
      </c>
      <c r="P1921" s="2" t="s">
        <v>28</v>
      </c>
      <c r="Q1921" s="2" t="s">
        <v>37</v>
      </c>
      <c r="R1921" s="2" t="s">
        <v>18</v>
      </c>
      <c r="S1921">
        <v>4</v>
      </c>
    </row>
    <row r="1922" spans="1:19" x14ac:dyDescent="0.3">
      <c r="A1922">
        <v>1676</v>
      </c>
      <c r="B1922">
        <f>YEAR(Cleaned_HR_Data_Analysis__2[[#This Row],[Joining_Date]])</f>
        <v>2023</v>
      </c>
      <c r="C1922" s="1">
        <v>45054</v>
      </c>
      <c r="D1922" s="1" t="str" cm="1">
        <f t="array" ref="D1922">_xlfn.IFS(E1922&lt;28, "17-27",
AND(E1922&gt;27, E1922&lt;38), "28-37",
AND(E1922&gt;37, E1922 &lt;48), "38-47",
AND(E1922&gt;47, E1922 &lt;58), "48-57",
AND(E1922&gt;57, E1922&lt;68), "58-67",
AND(E1922&gt;67, E1922&lt;78), "68-77",
E1922&gt;77,"Above than 77")</f>
        <v>58-67</v>
      </c>
      <c r="E1922">
        <v>60</v>
      </c>
      <c r="F1922" s="1">
        <v>23235</v>
      </c>
      <c r="G1922" s="1" t="str">
        <f>VLOOKUP(H1922,Table7[#All], 2, FALSE)</f>
        <v>Massachusetts</v>
      </c>
      <c r="H1922" s="2" t="s">
        <v>14</v>
      </c>
      <c r="I1922" s="2" t="s">
        <v>22</v>
      </c>
      <c r="J1922" s="2" t="s">
        <v>17</v>
      </c>
      <c r="K1922" s="2" t="s">
        <v>24</v>
      </c>
      <c r="L1922" s="2" t="s">
        <v>9</v>
      </c>
      <c r="M1922" s="2" t="s">
        <v>20</v>
      </c>
      <c r="N1922" s="2" t="s">
        <v>26</v>
      </c>
      <c r="O1922" s="2" t="s">
        <v>53</v>
      </c>
      <c r="P1922" s="2" t="s">
        <v>60</v>
      </c>
      <c r="Q1922" s="2" t="s">
        <v>30</v>
      </c>
      <c r="R1922" s="2" t="s">
        <v>18</v>
      </c>
      <c r="S1922">
        <v>5</v>
      </c>
    </row>
    <row r="1923" spans="1:19" x14ac:dyDescent="0.3">
      <c r="A1923">
        <v>2664</v>
      </c>
      <c r="B1923">
        <f>YEAR(Cleaned_HR_Data_Analysis__2[[#This Row],[Joining_Date]])</f>
        <v>2021</v>
      </c>
      <c r="C1923" s="1">
        <v>44513</v>
      </c>
      <c r="D1923" s="1" t="str" cm="1">
        <f t="array" ref="D1923">_xlfn.IFS(E1923&lt;28, "17-27",
AND(E1923&gt;27, E1923&lt;38), "28-37",
AND(E1923&gt;37, E1923 &lt;48), "38-47",
AND(E1923&gt;47, E1923 &lt;58), "48-57",
AND(E1923&gt;57, E1923&lt;68), "58-67",
AND(E1923&gt;67, E1923&lt;78), "68-77",
E1923&gt;77,"Above than 77")</f>
        <v>58-67</v>
      </c>
      <c r="E1923">
        <v>60</v>
      </c>
      <c r="F1923" s="1">
        <v>22457</v>
      </c>
      <c r="G1923" s="1" t="str">
        <f>VLOOKUP(H1923,Table7[#All], 2, FALSE)</f>
        <v>Idaho</v>
      </c>
      <c r="H1923" s="2" t="s">
        <v>111</v>
      </c>
      <c r="I1923" s="2" t="s">
        <v>22</v>
      </c>
      <c r="J1923" s="2" t="s">
        <v>40</v>
      </c>
      <c r="K1923" s="2" t="s">
        <v>24</v>
      </c>
      <c r="L1923" s="2" t="s">
        <v>9</v>
      </c>
      <c r="M1923" s="2" t="s">
        <v>25</v>
      </c>
      <c r="N1923" s="2" t="s">
        <v>11</v>
      </c>
      <c r="O1923" s="2" t="s">
        <v>27</v>
      </c>
      <c r="P1923" s="2" t="s">
        <v>54</v>
      </c>
      <c r="Q1923" s="2" t="s">
        <v>23</v>
      </c>
      <c r="R1923" s="2" t="s">
        <v>18</v>
      </c>
      <c r="S1923">
        <v>2</v>
      </c>
    </row>
    <row r="1924" spans="1:19" x14ac:dyDescent="0.3">
      <c r="A1924">
        <v>2701</v>
      </c>
      <c r="B1924">
        <f>YEAR(Cleaned_HR_Data_Analysis__2[[#This Row],[Joining_Date]])</f>
        <v>2019</v>
      </c>
      <c r="C1924" s="1">
        <v>43574</v>
      </c>
      <c r="D1924" s="1" t="str" cm="1">
        <f t="array" ref="D1924">_xlfn.IFS(E1924&lt;28, "17-27",
AND(E1924&gt;27, E1924&lt;38), "28-37",
AND(E1924&gt;37, E1924 &lt;48), "38-47",
AND(E1924&gt;47, E1924 &lt;58), "48-57",
AND(E1924&gt;57, E1924&lt;68), "58-67",
AND(E1924&gt;67, E1924&lt;78), "68-77",
E1924&gt;77,"Above than 77")</f>
        <v>58-67</v>
      </c>
      <c r="E1924">
        <v>60</v>
      </c>
      <c r="F1924" s="1">
        <v>21799</v>
      </c>
      <c r="G1924" s="1" t="str">
        <f>VLOOKUP(H1924,Table7[#All], 2, FALSE)</f>
        <v>Massachusetts</v>
      </c>
      <c r="H1924" s="2" t="s">
        <v>14</v>
      </c>
      <c r="I1924" s="2" t="s">
        <v>15</v>
      </c>
      <c r="J1924" s="2" t="s">
        <v>34</v>
      </c>
      <c r="K1924" s="2" t="s">
        <v>95</v>
      </c>
      <c r="L1924" s="2" t="s">
        <v>9</v>
      </c>
      <c r="M1924" s="2" t="s">
        <v>10</v>
      </c>
      <c r="N1924" s="2" t="s">
        <v>19</v>
      </c>
      <c r="O1924" s="2" t="s">
        <v>27</v>
      </c>
      <c r="P1924" s="2" t="s">
        <v>35</v>
      </c>
      <c r="Q1924" s="2" t="s">
        <v>37</v>
      </c>
      <c r="R1924" s="2" t="s">
        <v>18</v>
      </c>
      <c r="S1924">
        <v>5</v>
      </c>
    </row>
    <row r="1925" spans="1:19" x14ac:dyDescent="0.3">
      <c r="A1925">
        <v>3810</v>
      </c>
      <c r="B1925">
        <f>YEAR(Cleaned_HR_Data_Analysis__2[[#This Row],[Joining_Date]])</f>
        <v>2020</v>
      </c>
      <c r="C1925" s="1">
        <v>43877</v>
      </c>
      <c r="D1925" s="1" t="str" cm="1">
        <f t="array" ref="D1925">_xlfn.IFS(E1925&lt;28, "17-27",
AND(E1925&gt;27, E1925&lt;38), "28-37",
AND(E1925&gt;37, E1925 &lt;48), "38-47",
AND(E1925&gt;47, E1925 &lt;58), "48-57",
AND(E1925&gt;57, E1925&lt;68), "58-67",
AND(E1925&gt;67, E1925&lt;78), "68-77",
E1925&gt;77,"Above than 77")</f>
        <v>58-67</v>
      </c>
      <c r="E1925">
        <v>61</v>
      </c>
      <c r="F1925" s="1">
        <v>21833</v>
      </c>
      <c r="G1925" s="1" t="str">
        <f>VLOOKUP(H1925,Table7[#All], 2, FALSE)</f>
        <v>Connecticut</v>
      </c>
      <c r="H1925" s="2" t="s">
        <v>36</v>
      </c>
      <c r="I1925" s="2" t="s">
        <v>15</v>
      </c>
      <c r="J1925" s="2" t="s">
        <v>31</v>
      </c>
      <c r="K1925" s="2" t="s">
        <v>72</v>
      </c>
      <c r="L1925" s="2" t="s">
        <v>9</v>
      </c>
      <c r="M1925" s="2" t="s">
        <v>25</v>
      </c>
      <c r="N1925" s="2" t="s">
        <v>19</v>
      </c>
      <c r="O1925" s="2" t="s">
        <v>53</v>
      </c>
      <c r="P1925" s="2" t="s">
        <v>28</v>
      </c>
      <c r="Q1925" s="2" t="s">
        <v>37</v>
      </c>
      <c r="R1925" s="2" t="s">
        <v>18</v>
      </c>
      <c r="S1925">
        <v>3</v>
      </c>
    </row>
    <row r="1926" spans="1:19" x14ac:dyDescent="0.3">
      <c r="A1926">
        <v>3940</v>
      </c>
      <c r="B1926">
        <f>YEAR(Cleaned_HR_Data_Analysis__2[[#This Row],[Joining_Date]])</f>
        <v>2019</v>
      </c>
      <c r="C1926" s="1">
        <v>43688</v>
      </c>
      <c r="D1926" s="1" t="str" cm="1">
        <f t="array" ref="D1926">_xlfn.IFS(E1926&lt;28, "17-27",
AND(E1926&gt;27, E1926&lt;38), "28-37",
AND(E1926&gt;37, E1926 &lt;48), "38-47",
AND(E1926&gt;47, E1926 &lt;58), "48-57",
AND(E1926&gt;57, E1926&lt;68), "58-67",
AND(E1926&gt;67, E1926&lt;78), "68-77",
E1926&gt;77,"Above than 77")</f>
        <v>58-67</v>
      </c>
      <c r="E1926">
        <v>61</v>
      </c>
      <c r="F1926" s="1">
        <v>21406</v>
      </c>
      <c r="G1926" s="1" t="str">
        <f>VLOOKUP(H1926,Table7[#All], 2, FALSE)</f>
        <v>Massachusetts</v>
      </c>
      <c r="H1926" s="2" t="s">
        <v>14</v>
      </c>
      <c r="I1926" s="2" t="s">
        <v>22</v>
      </c>
      <c r="J1926" s="2" t="s">
        <v>40</v>
      </c>
      <c r="K1926" s="2" t="s">
        <v>79</v>
      </c>
      <c r="L1926" s="2" t="s">
        <v>9</v>
      </c>
      <c r="M1926" s="2" t="s">
        <v>10</v>
      </c>
      <c r="N1926" s="2" t="s">
        <v>26</v>
      </c>
      <c r="O1926" s="2" t="s">
        <v>53</v>
      </c>
      <c r="P1926" s="2" t="s">
        <v>32</v>
      </c>
      <c r="Q1926" s="2" t="s">
        <v>30</v>
      </c>
      <c r="R1926" s="2" t="s">
        <v>18</v>
      </c>
      <c r="S1926">
        <v>4</v>
      </c>
    </row>
    <row r="1927" spans="1:19" x14ac:dyDescent="0.3">
      <c r="A1927">
        <v>3790</v>
      </c>
      <c r="B1927">
        <f>YEAR(Cleaned_HR_Data_Analysis__2[[#This Row],[Joining_Date]])</f>
        <v>2023</v>
      </c>
      <c r="C1927" s="1">
        <v>45114</v>
      </c>
      <c r="D1927" s="1" t="str" cm="1">
        <f t="array" ref="D1927">_xlfn.IFS(E1927&lt;28, "17-27",
AND(E1927&gt;27, E1927&lt;38), "28-37",
AND(E1927&gt;37, E1927 &lt;48), "38-47",
AND(E1927&gt;47, E1927 &lt;58), "48-57",
AND(E1927&gt;57, E1927&lt;68), "58-67",
AND(E1927&gt;67, E1927&lt;78), "68-77",
E1927&gt;77,"Above than 77")</f>
        <v>58-67</v>
      </c>
      <c r="E1927">
        <v>61</v>
      </c>
      <c r="F1927" s="1">
        <v>22991</v>
      </c>
      <c r="G1927" s="1" t="str">
        <f>VLOOKUP(H1927,Table7[#All], 2, FALSE)</f>
        <v>Massachusetts</v>
      </c>
      <c r="H1927" s="2" t="s">
        <v>14</v>
      </c>
      <c r="I1927" s="2" t="s">
        <v>15</v>
      </c>
      <c r="J1927" s="2" t="s">
        <v>31</v>
      </c>
      <c r="K1927" s="2" t="s">
        <v>64</v>
      </c>
      <c r="L1927" s="2" t="s">
        <v>9</v>
      </c>
      <c r="M1927" s="2" t="s">
        <v>25</v>
      </c>
      <c r="N1927" s="2" t="s">
        <v>19</v>
      </c>
      <c r="O1927" s="2" t="s">
        <v>12</v>
      </c>
      <c r="P1927" s="2" t="s">
        <v>63</v>
      </c>
      <c r="Q1927" s="2" t="s">
        <v>23</v>
      </c>
      <c r="R1927" s="2" t="s">
        <v>18</v>
      </c>
      <c r="S1927">
        <v>2</v>
      </c>
    </row>
    <row r="1928" spans="1:19" x14ac:dyDescent="0.3">
      <c r="A1928">
        <v>3720</v>
      </c>
      <c r="B1928">
        <f>YEAR(Cleaned_HR_Data_Analysis__2[[#This Row],[Joining_Date]])</f>
        <v>2019</v>
      </c>
      <c r="C1928" s="1">
        <v>43608</v>
      </c>
      <c r="D1928" s="1" t="str" cm="1">
        <f t="array" ref="D1928">_xlfn.IFS(E1928&lt;28, "17-27",
AND(E1928&gt;27, E1928&lt;38), "28-37",
AND(E1928&gt;37, E1928 &lt;48), "38-47",
AND(E1928&gt;47, E1928 &lt;58), "48-57",
AND(E1928&gt;57, E1928&lt;68), "58-67",
AND(E1928&gt;67, E1928&lt;78), "68-77",
E1928&gt;77,"Above than 77")</f>
        <v>58-67</v>
      </c>
      <c r="E1928">
        <v>61</v>
      </c>
      <c r="F1928" s="1">
        <v>21537</v>
      </c>
      <c r="G1928" s="1" t="str">
        <f>VLOOKUP(H1928,Table7[#All], 2, FALSE)</f>
        <v>Massachusetts</v>
      </c>
      <c r="H1928" s="2" t="s">
        <v>14</v>
      </c>
      <c r="I1928" s="2" t="s">
        <v>15</v>
      </c>
      <c r="J1928" s="2" t="s">
        <v>31</v>
      </c>
      <c r="K1928" s="2" t="s">
        <v>64</v>
      </c>
      <c r="L1928" s="2" t="s">
        <v>9</v>
      </c>
      <c r="M1928" s="2" t="s">
        <v>20</v>
      </c>
      <c r="N1928" s="2" t="s">
        <v>26</v>
      </c>
      <c r="O1928" s="2" t="s">
        <v>12</v>
      </c>
      <c r="P1928" s="2" t="s">
        <v>35</v>
      </c>
      <c r="Q1928" s="2" t="s">
        <v>16</v>
      </c>
      <c r="R1928" s="2" t="s">
        <v>18</v>
      </c>
      <c r="S1928">
        <v>1</v>
      </c>
    </row>
    <row r="1929" spans="1:19" x14ac:dyDescent="0.3">
      <c r="A1929">
        <v>3623</v>
      </c>
      <c r="B1929">
        <f>YEAR(Cleaned_HR_Data_Analysis__2[[#This Row],[Joining_Date]])</f>
        <v>2019</v>
      </c>
      <c r="C1929" s="1">
        <v>43507</v>
      </c>
      <c r="D1929" s="1" t="str" cm="1">
        <f t="array" ref="D1929">_xlfn.IFS(E1929&lt;28, "17-27",
AND(E1929&gt;27, E1929&lt;38), "28-37",
AND(E1929&gt;37, E1929 &lt;48), "38-47",
AND(E1929&gt;47, E1929 &lt;58), "48-57",
AND(E1929&gt;57, E1929&lt;68), "58-67",
AND(E1929&gt;67, E1929&lt;78), "68-77",
E1929&gt;77,"Above than 77")</f>
        <v>58-67</v>
      </c>
      <c r="E1929">
        <v>61</v>
      </c>
      <c r="F1929" s="1">
        <v>21300</v>
      </c>
      <c r="G1929" s="1" t="str">
        <f>VLOOKUP(H1929,Table7[#All], 2, FALSE)</f>
        <v>Massachusetts</v>
      </c>
      <c r="H1929" s="2" t="s">
        <v>14</v>
      </c>
      <c r="I1929" s="2" t="s">
        <v>15</v>
      </c>
      <c r="J1929" s="2" t="s">
        <v>40</v>
      </c>
      <c r="K1929" s="2" t="s">
        <v>64</v>
      </c>
      <c r="L1929" s="2" t="s">
        <v>9</v>
      </c>
      <c r="M1929" s="2" t="s">
        <v>20</v>
      </c>
      <c r="N1929" s="2" t="s">
        <v>19</v>
      </c>
      <c r="O1929" s="2" t="s">
        <v>12</v>
      </c>
      <c r="P1929" s="2" t="s">
        <v>42</v>
      </c>
      <c r="Q1929" s="2" t="s">
        <v>46</v>
      </c>
      <c r="R1929" s="2" t="s">
        <v>18</v>
      </c>
      <c r="S1929">
        <v>2</v>
      </c>
    </row>
    <row r="1930" spans="1:19" x14ac:dyDescent="0.3">
      <c r="A1930">
        <v>3364</v>
      </c>
      <c r="B1930">
        <f>YEAR(Cleaned_HR_Data_Analysis__2[[#This Row],[Joining_Date]])</f>
        <v>2021</v>
      </c>
      <c r="C1930" s="1">
        <v>44260</v>
      </c>
      <c r="D1930" s="1" t="str" cm="1">
        <f t="array" ref="D1930">_xlfn.IFS(E1930&lt;28, "17-27",
AND(E1930&gt;27, E1930&lt;38), "28-37",
AND(E1930&gt;37, E1930 &lt;48), "38-47",
AND(E1930&gt;47, E1930 &lt;58), "48-57",
AND(E1930&gt;57, E1930&lt;68), "58-67",
AND(E1930&gt;67, E1930&lt;78), "68-77",
E1930&gt;77,"Above than 77")</f>
        <v>58-67</v>
      </c>
      <c r="E1930">
        <v>61</v>
      </c>
      <c r="F1930" s="1">
        <v>22072</v>
      </c>
      <c r="G1930" s="1" t="str">
        <f>VLOOKUP(H1930,Table7[#All], 2, FALSE)</f>
        <v>Massachusetts</v>
      </c>
      <c r="H1930" s="2" t="s">
        <v>14</v>
      </c>
      <c r="I1930" s="2" t="s">
        <v>15</v>
      </c>
      <c r="J1930" s="2" t="s">
        <v>31</v>
      </c>
      <c r="K1930" s="2" t="s">
        <v>64</v>
      </c>
      <c r="L1930" s="2" t="s">
        <v>9</v>
      </c>
      <c r="M1930" s="2" t="s">
        <v>20</v>
      </c>
      <c r="N1930" s="2" t="s">
        <v>19</v>
      </c>
      <c r="O1930" s="2" t="s">
        <v>12</v>
      </c>
      <c r="P1930" s="2" t="s">
        <v>42</v>
      </c>
      <c r="Q1930" s="2" t="s">
        <v>23</v>
      </c>
      <c r="R1930" s="2" t="s">
        <v>41</v>
      </c>
      <c r="S1930">
        <v>5</v>
      </c>
    </row>
    <row r="1931" spans="1:19" x14ac:dyDescent="0.3">
      <c r="A1931">
        <v>3114</v>
      </c>
      <c r="B1931">
        <f>YEAR(Cleaned_HR_Data_Analysis__2[[#This Row],[Joining_Date]])</f>
        <v>2018</v>
      </c>
      <c r="C1931" s="1">
        <v>43373</v>
      </c>
      <c r="D1931" s="1" t="str" cm="1">
        <f t="array" ref="D1931">_xlfn.IFS(E1931&lt;28, "17-27",
AND(E1931&gt;27, E1931&lt;38), "28-37",
AND(E1931&gt;37, E1931 &lt;48), "38-47",
AND(E1931&gt;47, E1931 &lt;58), "48-57",
AND(E1931&gt;57, E1931&lt;68), "58-67",
AND(E1931&gt;67, E1931&lt;78), "68-77",
E1931&gt;77,"Above than 77")</f>
        <v>58-67</v>
      </c>
      <c r="E1931">
        <v>61</v>
      </c>
      <c r="F1931" s="1">
        <v>21007</v>
      </c>
      <c r="G1931" s="1" t="str">
        <f>VLOOKUP(H1931,Table7[#All], 2, FALSE)</f>
        <v>Massachusetts</v>
      </c>
      <c r="H1931" s="2" t="s">
        <v>14</v>
      </c>
      <c r="I1931" s="2" t="s">
        <v>15</v>
      </c>
      <c r="J1931" s="2" t="s">
        <v>40</v>
      </c>
      <c r="K1931" s="2" t="s">
        <v>64</v>
      </c>
      <c r="L1931" s="2" t="s">
        <v>9</v>
      </c>
      <c r="M1931" s="2" t="s">
        <v>10</v>
      </c>
      <c r="N1931" s="2" t="s">
        <v>11</v>
      </c>
      <c r="O1931" s="2" t="s">
        <v>12</v>
      </c>
      <c r="P1931" s="2" t="s">
        <v>92</v>
      </c>
      <c r="Q1931" s="2" t="s">
        <v>46</v>
      </c>
      <c r="R1931" s="2" t="s">
        <v>18</v>
      </c>
      <c r="S1931">
        <v>2</v>
      </c>
    </row>
    <row r="1932" spans="1:19" x14ac:dyDescent="0.3">
      <c r="A1932">
        <v>3023</v>
      </c>
      <c r="B1932">
        <f>YEAR(Cleaned_HR_Data_Analysis__2[[#This Row],[Joining_Date]])</f>
        <v>2019</v>
      </c>
      <c r="C1932" s="1">
        <v>43480</v>
      </c>
      <c r="D1932" s="1" t="str" cm="1">
        <f t="array" ref="D1932">_xlfn.IFS(E1932&lt;28, "17-27",
AND(E1932&gt;27, E1932&lt;38), "28-37",
AND(E1932&gt;37, E1932 &lt;48), "38-47",
AND(E1932&gt;47, E1932 &lt;58), "48-57",
AND(E1932&gt;57, E1932&lt;68), "58-67",
AND(E1932&gt;67, E1932&lt;78), "68-77",
E1932&gt;77,"Above than 77")</f>
        <v>58-67</v>
      </c>
      <c r="E1932">
        <v>61</v>
      </c>
      <c r="F1932" s="1">
        <v>21215</v>
      </c>
      <c r="G1932" s="1" t="str">
        <f>VLOOKUP(H1932,Table7[#All], 2, FALSE)</f>
        <v>Massachusetts</v>
      </c>
      <c r="H1932" s="2" t="s">
        <v>14</v>
      </c>
      <c r="I1932" s="2" t="s">
        <v>15</v>
      </c>
      <c r="J1932" s="2" t="s">
        <v>17</v>
      </c>
      <c r="K1932" s="2" t="s">
        <v>64</v>
      </c>
      <c r="L1932" s="2" t="s">
        <v>66</v>
      </c>
      <c r="M1932" s="2" t="s">
        <v>10</v>
      </c>
      <c r="N1932" s="2" t="s">
        <v>26</v>
      </c>
      <c r="O1932" s="2" t="s">
        <v>12</v>
      </c>
      <c r="P1932" s="2" t="s">
        <v>32</v>
      </c>
      <c r="Q1932" s="2" t="s">
        <v>37</v>
      </c>
      <c r="R1932" s="2" t="s">
        <v>65</v>
      </c>
      <c r="S1932">
        <v>5</v>
      </c>
    </row>
    <row r="1933" spans="1:19" x14ac:dyDescent="0.3">
      <c r="A1933">
        <v>2766</v>
      </c>
      <c r="B1933">
        <f>YEAR(Cleaned_HR_Data_Analysis__2[[#This Row],[Joining_Date]])</f>
        <v>2018</v>
      </c>
      <c r="C1933" s="1">
        <v>43334</v>
      </c>
      <c r="D1933" s="1" t="str" cm="1">
        <f t="array" ref="D1933">_xlfn.IFS(E1933&lt;28, "17-27",
AND(E1933&gt;27, E1933&lt;38), "28-37",
AND(E1933&gt;37, E1933 &lt;48), "38-47",
AND(E1933&gt;47, E1933 &lt;58), "48-57",
AND(E1933&gt;57, E1933&lt;68), "58-67",
AND(E1933&gt;67, E1933&lt;78), "68-77",
E1933&gt;77,"Above than 77")</f>
        <v>58-67</v>
      </c>
      <c r="E1933">
        <v>61</v>
      </c>
      <c r="F1933" s="1">
        <v>20999</v>
      </c>
      <c r="G1933" s="1" t="str">
        <f>VLOOKUP(H1933,Table7[#All], 2, FALSE)</f>
        <v>Massachusetts</v>
      </c>
      <c r="H1933" s="2" t="s">
        <v>14</v>
      </c>
      <c r="I1933" s="2" t="s">
        <v>15</v>
      </c>
      <c r="J1933" s="2" t="s">
        <v>34</v>
      </c>
      <c r="K1933" s="2" t="s">
        <v>64</v>
      </c>
      <c r="L1933" s="2" t="s">
        <v>66</v>
      </c>
      <c r="M1933" s="2" t="s">
        <v>20</v>
      </c>
      <c r="N1933" s="2" t="s">
        <v>19</v>
      </c>
      <c r="O1933" s="2" t="s">
        <v>12</v>
      </c>
      <c r="P1933" s="2" t="s">
        <v>42</v>
      </c>
      <c r="Q1933" s="2" t="s">
        <v>23</v>
      </c>
      <c r="R1933" s="2" t="s">
        <v>18</v>
      </c>
      <c r="S1933">
        <v>5</v>
      </c>
    </row>
    <row r="1934" spans="1:19" x14ac:dyDescent="0.3">
      <c r="A1934">
        <v>2185</v>
      </c>
      <c r="B1934">
        <f>YEAR(Cleaned_HR_Data_Analysis__2[[#This Row],[Joining_Date]])</f>
        <v>2020</v>
      </c>
      <c r="C1934" s="1">
        <v>43968</v>
      </c>
      <c r="D1934" s="1" t="str" cm="1">
        <f t="array" ref="D1934">_xlfn.IFS(E1934&lt;28, "17-27",
AND(E1934&gt;27, E1934&lt;38), "28-37",
AND(E1934&gt;37, E1934 &lt;48), "38-47",
AND(E1934&gt;47, E1934 &lt;58), "48-57",
AND(E1934&gt;57, E1934&lt;68), "58-67",
AND(E1934&gt;67, E1934&lt;78), "68-77",
E1934&gt;77,"Above than 77")</f>
        <v>58-67</v>
      </c>
      <c r="E1934">
        <v>61</v>
      </c>
      <c r="F1934" s="1">
        <v>21661</v>
      </c>
      <c r="G1934" s="1" t="str">
        <f>VLOOKUP(H1934,Table7[#All], 2, FALSE)</f>
        <v>Massachusetts</v>
      </c>
      <c r="H1934" s="2" t="s">
        <v>14</v>
      </c>
      <c r="I1934" s="2" t="s">
        <v>15</v>
      </c>
      <c r="J1934" s="2" t="s">
        <v>31</v>
      </c>
      <c r="K1934" s="2" t="s">
        <v>64</v>
      </c>
      <c r="L1934" s="2" t="s">
        <v>66</v>
      </c>
      <c r="M1934" s="2" t="s">
        <v>10</v>
      </c>
      <c r="N1934" s="2" t="s">
        <v>19</v>
      </c>
      <c r="O1934" s="2" t="s">
        <v>12</v>
      </c>
      <c r="P1934" s="2" t="s">
        <v>21</v>
      </c>
      <c r="Q1934" s="2" t="s">
        <v>46</v>
      </c>
      <c r="R1934" s="2" t="s">
        <v>41</v>
      </c>
      <c r="S1934">
        <v>5</v>
      </c>
    </row>
    <row r="1935" spans="1:19" x14ac:dyDescent="0.3">
      <c r="A1935">
        <v>1874</v>
      </c>
      <c r="B1935">
        <f>YEAR(Cleaned_HR_Data_Analysis__2[[#This Row],[Joining_Date]])</f>
        <v>2021</v>
      </c>
      <c r="C1935" s="1">
        <v>44505</v>
      </c>
      <c r="D1935" s="1" t="str" cm="1">
        <f t="array" ref="D1935">_xlfn.IFS(E1935&lt;28, "17-27",
AND(E1935&gt;27, E1935&lt;38), "28-37",
AND(E1935&gt;37, E1935 &lt;48), "38-47",
AND(E1935&gt;47, E1935 &lt;58), "48-57",
AND(E1935&gt;57, E1935&lt;68), "58-67",
AND(E1935&gt;67, E1935&lt;78), "68-77",
E1935&gt;77,"Above than 77")</f>
        <v>58-67</v>
      </c>
      <c r="E1935">
        <v>61</v>
      </c>
      <c r="F1935" s="1">
        <v>22258</v>
      </c>
      <c r="G1935" s="1" t="str">
        <f>VLOOKUP(H1935,Table7[#All], 2, FALSE)</f>
        <v>Massachusetts</v>
      </c>
      <c r="H1935" s="2" t="s">
        <v>14</v>
      </c>
      <c r="I1935" s="2" t="s">
        <v>22</v>
      </c>
      <c r="J1935" s="2" t="s">
        <v>17</v>
      </c>
      <c r="K1935" s="2" t="s">
        <v>64</v>
      </c>
      <c r="L1935" s="2" t="s">
        <v>9</v>
      </c>
      <c r="M1935" s="2" t="s">
        <v>25</v>
      </c>
      <c r="N1935" s="2" t="s">
        <v>26</v>
      </c>
      <c r="O1935" s="2" t="s">
        <v>12</v>
      </c>
      <c r="P1935" s="2" t="s">
        <v>68</v>
      </c>
      <c r="Q1935" s="2" t="s">
        <v>46</v>
      </c>
      <c r="R1935" s="2" t="s">
        <v>18</v>
      </c>
      <c r="S1935">
        <v>4</v>
      </c>
    </row>
    <row r="1936" spans="1:19" x14ac:dyDescent="0.3">
      <c r="A1936">
        <v>1395</v>
      </c>
      <c r="B1936">
        <f>YEAR(Cleaned_HR_Data_Analysis__2[[#This Row],[Joining_Date]])</f>
        <v>2021</v>
      </c>
      <c r="C1936" s="1">
        <v>44547</v>
      </c>
      <c r="D1936" s="1" t="str" cm="1">
        <f t="array" ref="D1936">_xlfn.IFS(E1936&lt;28, "17-27",
AND(E1936&gt;27, E1936&lt;38), "28-37",
AND(E1936&gt;37, E1936 &lt;48), "38-47",
AND(E1936&gt;47, E1936 &lt;58), "48-57",
AND(E1936&gt;57, E1936&lt;68), "58-67",
AND(E1936&gt;67, E1936&lt;78), "68-77",
E1936&gt;77,"Above than 77")</f>
        <v>58-67</v>
      </c>
      <c r="E1936">
        <v>61</v>
      </c>
      <c r="F1936" s="1">
        <v>22234</v>
      </c>
      <c r="G1936" s="1" t="str">
        <f>VLOOKUP(H1936,Table7[#All], 2, FALSE)</f>
        <v>Massachusetts</v>
      </c>
      <c r="H1936" s="2" t="s">
        <v>14</v>
      </c>
      <c r="I1936" s="2" t="s">
        <v>22</v>
      </c>
      <c r="J1936" s="2" t="s">
        <v>40</v>
      </c>
      <c r="K1936" s="2" t="s">
        <v>64</v>
      </c>
      <c r="L1936" s="2" t="s">
        <v>66</v>
      </c>
      <c r="M1936" s="2" t="s">
        <v>25</v>
      </c>
      <c r="N1936" s="2" t="s">
        <v>11</v>
      </c>
      <c r="O1936" s="2" t="s">
        <v>12</v>
      </c>
      <c r="P1936" s="2" t="s">
        <v>32</v>
      </c>
      <c r="Q1936" s="2" t="s">
        <v>37</v>
      </c>
      <c r="R1936" s="2" t="s">
        <v>41</v>
      </c>
      <c r="S1936">
        <v>1</v>
      </c>
    </row>
    <row r="1937" spans="1:19" x14ac:dyDescent="0.3">
      <c r="A1937">
        <v>3760</v>
      </c>
      <c r="B1937">
        <f>YEAR(Cleaned_HR_Data_Analysis__2[[#This Row],[Joining_Date]])</f>
        <v>2021</v>
      </c>
      <c r="C1937" s="1">
        <v>44432</v>
      </c>
      <c r="D1937" s="1" t="str" cm="1">
        <f t="array" ref="D1937">_xlfn.IFS(E1937&lt;28, "17-27",
AND(E1937&gt;27, E1937&lt;38), "28-37",
AND(E1937&gt;37, E1937 &lt;48), "38-47",
AND(E1937&gt;47, E1937 &lt;58), "48-57",
AND(E1937&gt;57, E1937&lt;68), "58-67",
AND(E1937&gt;67, E1937&lt;78), "68-77",
E1937&gt;77,"Above than 77")</f>
        <v>58-67</v>
      </c>
      <c r="E1937">
        <v>61</v>
      </c>
      <c r="F1937" s="1">
        <v>21958</v>
      </c>
      <c r="G1937" s="1" t="str">
        <f>VLOOKUP(H1937,Table7[#All], 2, FALSE)</f>
        <v>Massachusetts</v>
      </c>
      <c r="H1937" s="2" t="s">
        <v>14</v>
      </c>
      <c r="I1937" s="2" t="s">
        <v>22</v>
      </c>
      <c r="J1937" s="2" t="s">
        <v>17</v>
      </c>
      <c r="K1937" s="2" t="s">
        <v>8</v>
      </c>
      <c r="L1937" s="2" t="s">
        <v>9</v>
      </c>
      <c r="M1937" s="2" t="s">
        <v>25</v>
      </c>
      <c r="N1937" s="2" t="s">
        <v>19</v>
      </c>
      <c r="O1937" s="2" t="s">
        <v>12</v>
      </c>
      <c r="P1937" s="2" t="s">
        <v>32</v>
      </c>
      <c r="Q1937" s="2" t="s">
        <v>30</v>
      </c>
      <c r="R1937" s="2" t="s">
        <v>18</v>
      </c>
      <c r="S1937">
        <v>3</v>
      </c>
    </row>
    <row r="1938" spans="1:19" x14ac:dyDescent="0.3">
      <c r="A1938">
        <v>3710</v>
      </c>
      <c r="B1938">
        <f>YEAR(Cleaned_HR_Data_Analysis__2[[#This Row],[Joining_Date]])</f>
        <v>2021</v>
      </c>
      <c r="C1938" s="1">
        <v>44498</v>
      </c>
      <c r="D1938" s="1" t="str" cm="1">
        <f t="array" ref="D1938">_xlfn.IFS(E1938&lt;28, "17-27",
AND(E1938&gt;27, E1938&lt;38), "28-37",
AND(E1938&gt;37, E1938 &lt;48), "38-47",
AND(E1938&gt;47, E1938 &lt;58), "48-57",
AND(E1938&gt;57, E1938&lt;68), "58-67",
AND(E1938&gt;67, E1938&lt;78), "68-77",
E1938&gt;77,"Above than 77")</f>
        <v>58-67</v>
      </c>
      <c r="E1938">
        <v>61</v>
      </c>
      <c r="F1938" s="1">
        <v>22205</v>
      </c>
      <c r="G1938" s="1" t="str">
        <f>VLOOKUP(H1938,Table7[#All], 2, FALSE)</f>
        <v>Massachusetts</v>
      </c>
      <c r="H1938" s="2" t="s">
        <v>14</v>
      </c>
      <c r="I1938" s="2" t="s">
        <v>15</v>
      </c>
      <c r="J1938" s="2" t="s">
        <v>31</v>
      </c>
      <c r="K1938" s="2" t="s">
        <v>8</v>
      </c>
      <c r="L1938" s="2" t="s">
        <v>9</v>
      </c>
      <c r="M1938" s="2" t="s">
        <v>25</v>
      </c>
      <c r="N1938" s="2" t="s">
        <v>11</v>
      </c>
      <c r="O1938" s="2" t="s">
        <v>12</v>
      </c>
      <c r="P1938" s="2" t="s">
        <v>21</v>
      </c>
      <c r="Q1938" s="2" t="s">
        <v>23</v>
      </c>
      <c r="R1938" s="2" t="s">
        <v>41</v>
      </c>
      <c r="S1938">
        <v>5</v>
      </c>
    </row>
    <row r="1939" spans="1:19" x14ac:dyDescent="0.3">
      <c r="A1939">
        <v>3689</v>
      </c>
      <c r="B1939">
        <f>YEAR(Cleaned_HR_Data_Analysis__2[[#This Row],[Joining_Date]])</f>
        <v>2021</v>
      </c>
      <c r="C1939" s="1">
        <v>44393</v>
      </c>
      <c r="D1939" s="1" t="str" cm="1">
        <f t="array" ref="D1939">_xlfn.IFS(E1939&lt;28, "17-27",
AND(E1939&gt;27, E1939&lt;38), "28-37",
AND(E1939&gt;37, E1939 &lt;48), "38-47",
AND(E1939&gt;47, E1939 &lt;58), "48-57",
AND(E1939&gt;57, E1939&lt;68), "58-67",
AND(E1939&gt;67, E1939&lt;78), "68-77",
E1939&gt;77,"Above than 77")</f>
        <v>58-67</v>
      </c>
      <c r="E1939">
        <v>61</v>
      </c>
      <c r="F1939" s="1">
        <v>22279</v>
      </c>
      <c r="G1939" s="1" t="str">
        <f>VLOOKUP(H1939,Table7[#All], 2, FALSE)</f>
        <v>Massachusetts</v>
      </c>
      <c r="H1939" s="2" t="s">
        <v>14</v>
      </c>
      <c r="I1939" s="2" t="s">
        <v>22</v>
      </c>
      <c r="J1939" s="2" t="s">
        <v>34</v>
      </c>
      <c r="K1939" s="2" t="s">
        <v>8</v>
      </c>
      <c r="L1939" s="2" t="s">
        <v>9</v>
      </c>
      <c r="M1939" s="2" t="s">
        <v>10</v>
      </c>
      <c r="N1939" s="2" t="s">
        <v>19</v>
      </c>
      <c r="O1939" s="2" t="s">
        <v>12</v>
      </c>
      <c r="P1939" s="2" t="s">
        <v>35</v>
      </c>
      <c r="Q1939" s="2" t="s">
        <v>46</v>
      </c>
      <c r="R1939" s="2" t="s">
        <v>41</v>
      </c>
      <c r="S1939">
        <v>4</v>
      </c>
    </row>
    <row r="1940" spans="1:19" x14ac:dyDescent="0.3">
      <c r="A1940">
        <v>3634</v>
      </c>
      <c r="B1940">
        <f>YEAR(Cleaned_HR_Data_Analysis__2[[#This Row],[Joining_Date]])</f>
        <v>2023</v>
      </c>
      <c r="C1940" s="1">
        <v>45100</v>
      </c>
      <c r="D1940" s="1" t="str" cm="1">
        <f t="array" ref="D1940">_xlfn.IFS(E1940&lt;28, "17-27",
AND(E1940&gt;27, E1940&lt;38), "28-37",
AND(E1940&gt;37, E1940 &lt;48), "38-47",
AND(E1940&gt;47, E1940 &lt;58), "48-57",
AND(E1940&gt;57, E1940&lt;68), "58-67",
AND(E1940&gt;67, E1940&lt;78), "68-77",
E1940&gt;77,"Above than 77")</f>
        <v>58-67</v>
      </c>
      <c r="E1940">
        <v>61</v>
      </c>
      <c r="F1940" s="1">
        <v>22762</v>
      </c>
      <c r="G1940" s="1" t="str">
        <f>VLOOKUP(H1940,Table7[#All], 2, FALSE)</f>
        <v>Massachusetts</v>
      </c>
      <c r="H1940" s="2" t="s">
        <v>14</v>
      </c>
      <c r="I1940" s="2" t="s">
        <v>15</v>
      </c>
      <c r="J1940" s="2" t="s">
        <v>34</v>
      </c>
      <c r="K1940" s="2" t="s">
        <v>8</v>
      </c>
      <c r="L1940" s="2" t="s">
        <v>9</v>
      </c>
      <c r="M1940" s="2" t="s">
        <v>20</v>
      </c>
      <c r="N1940" s="2" t="s">
        <v>26</v>
      </c>
      <c r="O1940" s="2" t="s">
        <v>12</v>
      </c>
      <c r="P1940" s="2" t="s">
        <v>28</v>
      </c>
      <c r="Q1940" s="2" t="s">
        <v>30</v>
      </c>
      <c r="R1940" s="2" t="s">
        <v>18</v>
      </c>
      <c r="S1940">
        <v>5</v>
      </c>
    </row>
    <row r="1941" spans="1:19" x14ac:dyDescent="0.3">
      <c r="A1941">
        <v>3340</v>
      </c>
      <c r="B1941">
        <f>YEAR(Cleaned_HR_Data_Analysis__2[[#This Row],[Joining_Date]])</f>
        <v>2022</v>
      </c>
      <c r="C1941" s="1">
        <v>44894</v>
      </c>
      <c r="D1941" s="1" t="str" cm="1">
        <f t="array" ref="D1941">_xlfn.IFS(E1941&lt;28, "17-27",
AND(E1941&gt;27, E1941&lt;38), "28-37",
AND(E1941&gt;37, E1941 &lt;48), "38-47",
AND(E1941&gt;47, E1941 &lt;58), "48-57",
AND(E1941&gt;57, E1941&lt;68), "58-67",
AND(E1941&gt;67, E1941&lt;78), "68-77",
E1941&gt;77,"Above than 77")</f>
        <v>58-67</v>
      </c>
      <c r="E1941">
        <v>61</v>
      </c>
      <c r="F1941" s="1">
        <v>22411</v>
      </c>
      <c r="G1941" s="1" t="str">
        <f>VLOOKUP(H1941,Table7[#All], 2, FALSE)</f>
        <v>Massachusetts</v>
      </c>
      <c r="H1941" s="2" t="s">
        <v>14</v>
      </c>
      <c r="I1941" s="2" t="s">
        <v>22</v>
      </c>
      <c r="J1941" s="2" t="s">
        <v>34</v>
      </c>
      <c r="K1941" s="2" t="s">
        <v>8</v>
      </c>
      <c r="L1941" s="2" t="s">
        <v>9</v>
      </c>
      <c r="M1941" s="2" t="s">
        <v>20</v>
      </c>
      <c r="N1941" s="2" t="s">
        <v>19</v>
      </c>
      <c r="O1941" s="2" t="s">
        <v>12</v>
      </c>
      <c r="P1941" s="2" t="s">
        <v>32</v>
      </c>
      <c r="Q1941" s="2" t="s">
        <v>16</v>
      </c>
      <c r="R1941" s="2" t="s">
        <v>18</v>
      </c>
      <c r="S1941">
        <v>2</v>
      </c>
    </row>
    <row r="1942" spans="1:19" x14ac:dyDescent="0.3">
      <c r="A1942">
        <v>3332</v>
      </c>
      <c r="B1942">
        <f>YEAR(Cleaned_HR_Data_Analysis__2[[#This Row],[Joining_Date]])</f>
        <v>2022</v>
      </c>
      <c r="C1942" s="1">
        <v>44863</v>
      </c>
      <c r="D1942" s="1" t="str" cm="1">
        <f t="array" ref="D1942">_xlfn.IFS(E1942&lt;28, "17-27",
AND(E1942&gt;27, E1942&lt;38), "28-37",
AND(E1942&gt;37, E1942 &lt;48), "38-47",
AND(E1942&gt;47, E1942 &lt;58), "48-57",
AND(E1942&gt;57, E1942&lt;68), "58-67",
AND(E1942&gt;67, E1942&lt;78), "68-77",
E1942&gt;77,"Above than 77")</f>
        <v>58-67</v>
      </c>
      <c r="E1942">
        <v>61</v>
      </c>
      <c r="F1942" s="1">
        <v>22346</v>
      </c>
      <c r="G1942" s="1" t="str">
        <f>VLOOKUP(H1942,Table7[#All], 2, FALSE)</f>
        <v>Massachusetts</v>
      </c>
      <c r="H1942" s="2" t="s">
        <v>14</v>
      </c>
      <c r="I1942" s="2" t="s">
        <v>15</v>
      </c>
      <c r="J1942" s="2" t="s">
        <v>17</v>
      </c>
      <c r="K1942" s="2" t="s">
        <v>8</v>
      </c>
      <c r="L1942" s="2" t="s">
        <v>9</v>
      </c>
      <c r="M1942" s="2" t="s">
        <v>20</v>
      </c>
      <c r="N1942" s="2" t="s">
        <v>26</v>
      </c>
      <c r="O1942" s="2" t="s">
        <v>12</v>
      </c>
      <c r="P1942" s="2" t="s">
        <v>59</v>
      </c>
      <c r="Q1942" s="2" t="s">
        <v>30</v>
      </c>
      <c r="R1942" s="2" t="s">
        <v>18</v>
      </c>
      <c r="S1942">
        <v>4</v>
      </c>
    </row>
    <row r="1943" spans="1:19" x14ac:dyDescent="0.3">
      <c r="A1943">
        <v>3315</v>
      </c>
      <c r="B1943">
        <f>YEAR(Cleaned_HR_Data_Analysis__2[[#This Row],[Joining_Date]])</f>
        <v>2018</v>
      </c>
      <c r="C1943" s="1">
        <v>43386</v>
      </c>
      <c r="D1943" s="1" t="str" cm="1">
        <f t="array" ref="D1943">_xlfn.IFS(E1943&lt;28, "17-27",
AND(E1943&gt;27, E1943&lt;38), "28-37",
AND(E1943&gt;37, E1943 &lt;48), "38-47",
AND(E1943&gt;47, E1943 &lt;58), "48-57",
AND(E1943&gt;57, E1943&lt;68), "58-67",
AND(E1943&gt;67, E1943&lt;78), "68-77",
E1943&gt;77,"Above than 77")</f>
        <v>58-67</v>
      </c>
      <c r="E1943">
        <v>61</v>
      </c>
      <c r="F1943" s="1">
        <v>20925</v>
      </c>
      <c r="G1943" s="1" t="str">
        <f>VLOOKUP(H1943,Table7[#All], 2, FALSE)</f>
        <v>Massachusetts</v>
      </c>
      <c r="H1943" s="2" t="s">
        <v>14</v>
      </c>
      <c r="I1943" s="2" t="s">
        <v>15</v>
      </c>
      <c r="J1943" s="2" t="s">
        <v>17</v>
      </c>
      <c r="K1943" s="2" t="s">
        <v>8</v>
      </c>
      <c r="L1943" s="2" t="s">
        <v>66</v>
      </c>
      <c r="M1943" s="2" t="s">
        <v>25</v>
      </c>
      <c r="N1943" s="2" t="s">
        <v>11</v>
      </c>
      <c r="O1943" s="2" t="s">
        <v>12</v>
      </c>
      <c r="P1943" s="2" t="s">
        <v>35</v>
      </c>
      <c r="Q1943" s="2" t="s">
        <v>30</v>
      </c>
      <c r="R1943" s="2" t="s">
        <v>18</v>
      </c>
      <c r="S1943">
        <v>3</v>
      </c>
    </row>
    <row r="1944" spans="1:19" x14ac:dyDescent="0.3">
      <c r="A1944">
        <v>3270</v>
      </c>
      <c r="B1944">
        <f>YEAR(Cleaned_HR_Data_Analysis__2[[#This Row],[Joining_Date]])</f>
        <v>2019</v>
      </c>
      <c r="C1944" s="1">
        <v>43769</v>
      </c>
      <c r="D1944" s="1" t="str" cm="1">
        <f t="array" ref="D1944">_xlfn.IFS(E1944&lt;28, "17-27",
AND(E1944&gt;27, E1944&lt;38), "28-37",
AND(E1944&gt;37, E1944 &lt;48), "38-47",
AND(E1944&gt;47, E1944 &lt;58), "48-57",
AND(E1944&gt;57, E1944&lt;68), "58-67",
AND(E1944&gt;67, E1944&lt;78), "68-77",
E1944&gt;77,"Above than 77")</f>
        <v>58-67</v>
      </c>
      <c r="E1944">
        <v>61</v>
      </c>
      <c r="F1944" s="1">
        <v>21284</v>
      </c>
      <c r="G1944" s="1" t="str">
        <f>VLOOKUP(H1944,Table7[#All], 2, FALSE)</f>
        <v>Massachusetts</v>
      </c>
      <c r="H1944" s="2" t="s">
        <v>14</v>
      </c>
      <c r="I1944" s="2" t="s">
        <v>22</v>
      </c>
      <c r="J1944" s="2" t="s">
        <v>31</v>
      </c>
      <c r="K1944" s="2" t="s">
        <v>8</v>
      </c>
      <c r="L1944" s="2" t="s">
        <v>9</v>
      </c>
      <c r="M1944" s="2" t="s">
        <v>25</v>
      </c>
      <c r="N1944" s="2" t="s">
        <v>26</v>
      </c>
      <c r="O1944" s="2" t="s">
        <v>12</v>
      </c>
      <c r="P1944" s="2" t="s">
        <v>49</v>
      </c>
      <c r="Q1944" s="2" t="s">
        <v>46</v>
      </c>
      <c r="R1944" s="2" t="s">
        <v>18</v>
      </c>
      <c r="S1944">
        <v>5</v>
      </c>
    </row>
    <row r="1945" spans="1:19" x14ac:dyDescent="0.3">
      <c r="A1945">
        <v>3268</v>
      </c>
      <c r="B1945">
        <f>YEAR(Cleaned_HR_Data_Analysis__2[[#This Row],[Joining_Date]])</f>
        <v>2023</v>
      </c>
      <c r="C1945" s="1">
        <v>45099</v>
      </c>
      <c r="D1945" s="1" t="str" cm="1">
        <f t="array" ref="D1945">_xlfn.IFS(E1945&lt;28, "17-27",
AND(E1945&gt;27, E1945&lt;38), "28-37",
AND(E1945&gt;37, E1945 &lt;48), "38-47",
AND(E1945&gt;47, E1945 &lt;58), "48-57",
AND(E1945&gt;57, E1945&lt;68), "58-67",
AND(E1945&gt;67, E1945&lt;78), "68-77",
E1945&gt;77,"Above than 77")</f>
        <v>58-67</v>
      </c>
      <c r="E1945">
        <v>61</v>
      </c>
      <c r="F1945" s="1">
        <v>22879</v>
      </c>
      <c r="G1945" s="1" t="str">
        <f>VLOOKUP(H1945,Table7[#All], 2, FALSE)</f>
        <v>Massachusetts</v>
      </c>
      <c r="H1945" s="2" t="s">
        <v>14</v>
      </c>
      <c r="I1945" s="2" t="s">
        <v>15</v>
      </c>
      <c r="J1945" s="2" t="s">
        <v>31</v>
      </c>
      <c r="K1945" s="2" t="s">
        <v>8</v>
      </c>
      <c r="L1945" s="2" t="s">
        <v>9</v>
      </c>
      <c r="M1945" s="2" t="s">
        <v>10</v>
      </c>
      <c r="N1945" s="2" t="s">
        <v>19</v>
      </c>
      <c r="O1945" s="2" t="s">
        <v>12</v>
      </c>
      <c r="P1945" s="2" t="s">
        <v>35</v>
      </c>
      <c r="Q1945" s="2" t="s">
        <v>46</v>
      </c>
      <c r="R1945" s="2" t="s">
        <v>18</v>
      </c>
      <c r="S1945">
        <v>5</v>
      </c>
    </row>
    <row r="1946" spans="1:19" x14ac:dyDescent="0.3">
      <c r="A1946">
        <v>3174</v>
      </c>
      <c r="B1946">
        <f>YEAR(Cleaned_HR_Data_Analysis__2[[#This Row],[Joining_Date]])</f>
        <v>2022</v>
      </c>
      <c r="C1946" s="1">
        <v>44846</v>
      </c>
      <c r="D1946" s="1" t="str" cm="1">
        <f t="array" ref="D1946">_xlfn.IFS(E1946&lt;28, "17-27",
AND(E1946&gt;27, E1946&lt;38), "28-37",
AND(E1946&gt;37, E1946 &lt;48), "38-47",
AND(E1946&gt;47, E1946 &lt;58), "48-57",
AND(E1946&gt;57, E1946&lt;68), "58-67",
AND(E1946&gt;67, E1946&lt;78), "68-77",
E1946&gt;77,"Above than 77")</f>
        <v>58-67</v>
      </c>
      <c r="E1946">
        <v>61</v>
      </c>
      <c r="F1946" s="1">
        <v>22445</v>
      </c>
      <c r="G1946" s="1" t="str">
        <f>VLOOKUP(H1946,Table7[#All], 2, FALSE)</f>
        <v>Massachusetts</v>
      </c>
      <c r="H1946" s="2" t="s">
        <v>14</v>
      </c>
      <c r="I1946" s="2" t="s">
        <v>15</v>
      </c>
      <c r="J1946" s="2" t="s">
        <v>31</v>
      </c>
      <c r="K1946" s="2" t="s">
        <v>8</v>
      </c>
      <c r="L1946" s="2" t="s">
        <v>9</v>
      </c>
      <c r="M1946" s="2" t="s">
        <v>25</v>
      </c>
      <c r="N1946" s="2" t="s">
        <v>11</v>
      </c>
      <c r="O1946" s="2" t="s">
        <v>12</v>
      </c>
      <c r="P1946" s="2" t="s">
        <v>60</v>
      </c>
      <c r="Q1946" s="2" t="s">
        <v>23</v>
      </c>
      <c r="R1946" s="2" t="s">
        <v>18</v>
      </c>
      <c r="S1946">
        <v>5</v>
      </c>
    </row>
    <row r="1947" spans="1:19" x14ac:dyDescent="0.3">
      <c r="A1947">
        <v>3091</v>
      </c>
      <c r="B1947">
        <f>YEAR(Cleaned_HR_Data_Analysis__2[[#This Row],[Joining_Date]])</f>
        <v>2019</v>
      </c>
      <c r="C1947" s="1">
        <v>43523</v>
      </c>
      <c r="D1947" s="1" t="str" cm="1">
        <f t="array" ref="D1947">_xlfn.IFS(E1947&lt;28, "17-27",
AND(E1947&gt;27, E1947&lt;38), "28-37",
AND(E1947&gt;37, E1947 &lt;48), "38-47",
AND(E1947&gt;47, E1947 &lt;58), "48-57",
AND(E1947&gt;57, E1947&lt;68), "58-67",
AND(E1947&gt;67, E1947&lt;78), "68-77",
E1947&gt;77,"Above than 77")</f>
        <v>58-67</v>
      </c>
      <c r="E1947">
        <v>61</v>
      </c>
      <c r="F1947" s="1">
        <v>21250</v>
      </c>
      <c r="G1947" s="1" t="str">
        <f>VLOOKUP(H1947,Table7[#All], 2, FALSE)</f>
        <v>Massachusetts</v>
      </c>
      <c r="H1947" s="2" t="s">
        <v>14</v>
      </c>
      <c r="I1947" s="2" t="s">
        <v>22</v>
      </c>
      <c r="J1947" s="2" t="s">
        <v>31</v>
      </c>
      <c r="K1947" s="2" t="s">
        <v>8</v>
      </c>
      <c r="L1947" s="2" t="s">
        <v>66</v>
      </c>
      <c r="M1947" s="2" t="s">
        <v>10</v>
      </c>
      <c r="N1947" s="2" t="s">
        <v>26</v>
      </c>
      <c r="O1947" s="2" t="s">
        <v>12</v>
      </c>
      <c r="P1947" s="2" t="s">
        <v>67</v>
      </c>
      <c r="Q1947" s="2" t="s">
        <v>16</v>
      </c>
      <c r="R1947" s="2" t="s">
        <v>18</v>
      </c>
      <c r="S1947">
        <v>2</v>
      </c>
    </row>
    <row r="1948" spans="1:19" x14ac:dyDescent="0.3">
      <c r="A1948">
        <v>3078</v>
      </c>
      <c r="B1948">
        <f>YEAR(Cleaned_HR_Data_Analysis__2[[#This Row],[Joining_Date]])</f>
        <v>2021</v>
      </c>
      <c r="C1948" s="1">
        <v>44204</v>
      </c>
      <c r="D1948" s="1" t="str" cm="1">
        <f t="array" ref="D1948">_xlfn.IFS(E1948&lt;28, "17-27",
AND(E1948&gt;27, E1948&lt;38), "28-37",
AND(E1948&gt;37, E1948 &lt;48), "38-47",
AND(E1948&gt;47, E1948 &lt;58), "48-57",
AND(E1948&gt;57, E1948&lt;68), "58-67",
AND(E1948&gt;67, E1948&lt;78), "68-77",
E1948&gt;77,"Above than 77")</f>
        <v>58-67</v>
      </c>
      <c r="E1948">
        <v>61</v>
      </c>
      <c r="F1948" s="1">
        <v>22020</v>
      </c>
      <c r="G1948" s="1" t="str">
        <f>VLOOKUP(H1948,Table7[#All], 2, FALSE)</f>
        <v>Massachusetts</v>
      </c>
      <c r="H1948" s="2" t="s">
        <v>14</v>
      </c>
      <c r="I1948" s="2" t="s">
        <v>22</v>
      </c>
      <c r="J1948" s="2" t="s">
        <v>17</v>
      </c>
      <c r="K1948" s="2" t="s">
        <v>8</v>
      </c>
      <c r="L1948" s="2" t="s">
        <v>9</v>
      </c>
      <c r="M1948" s="2" t="s">
        <v>10</v>
      </c>
      <c r="N1948" s="2" t="s">
        <v>26</v>
      </c>
      <c r="O1948" s="2" t="s">
        <v>12</v>
      </c>
      <c r="P1948" s="2" t="s">
        <v>32</v>
      </c>
      <c r="Q1948" s="2" t="s">
        <v>37</v>
      </c>
      <c r="R1948" s="2" t="s">
        <v>18</v>
      </c>
      <c r="S1948">
        <v>1</v>
      </c>
    </row>
    <row r="1949" spans="1:19" x14ac:dyDescent="0.3">
      <c r="A1949">
        <v>3064</v>
      </c>
      <c r="B1949">
        <f>YEAR(Cleaned_HR_Data_Analysis__2[[#This Row],[Joining_Date]])</f>
        <v>2023</v>
      </c>
      <c r="C1949" s="1">
        <v>45115</v>
      </c>
      <c r="D1949" s="1" t="str" cm="1">
        <f t="array" ref="D1949">_xlfn.IFS(E1949&lt;28, "17-27",
AND(E1949&gt;27, E1949&lt;38), "28-37",
AND(E1949&gt;37, E1949 &lt;48), "38-47",
AND(E1949&gt;47, E1949 &lt;58), "48-57",
AND(E1949&gt;57, E1949&lt;68), "58-67",
AND(E1949&gt;67, E1949&lt;78), "68-77",
E1949&gt;77,"Above than 77")</f>
        <v>58-67</v>
      </c>
      <c r="E1949">
        <v>61</v>
      </c>
      <c r="F1949" s="1">
        <v>22881</v>
      </c>
      <c r="G1949" s="1" t="str">
        <f>VLOOKUP(H1949,Table7[#All], 2, FALSE)</f>
        <v>Massachusetts</v>
      </c>
      <c r="H1949" s="2" t="s">
        <v>14</v>
      </c>
      <c r="I1949" s="2" t="s">
        <v>15</v>
      </c>
      <c r="J1949" s="2" t="s">
        <v>40</v>
      </c>
      <c r="K1949" s="2" t="s">
        <v>8</v>
      </c>
      <c r="L1949" s="2" t="s">
        <v>9</v>
      </c>
      <c r="M1949" s="2" t="s">
        <v>10</v>
      </c>
      <c r="N1949" s="2" t="s">
        <v>19</v>
      </c>
      <c r="O1949" s="2" t="s">
        <v>12</v>
      </c>
      <c r="P1949" s="2" t="s">
        <v>35</v>
      </c>
      <c r="Q1949" s="2" t="s">
        <v>30</v>
      </c>
      <c r="R1949" s="2" t="s">
        <v>18</v>
      </c>
      <c r="S1949">
        <v>2</v>
      </c>
    </row>
    <row r="1950" spans="1:19" x14ac:dyDescent="0.3">
      <c r="A1950">
        <v>2957</v>
      </c>
      <c r="B1950">
        <f>YEAR(Cleaned_HR_Data_Analysis__2[[#This Row],[Joining_Date]])</f>
        <v>2021</v>
      </c>
      <c r="C1950" s="1">
        <v>44235</v>
      </c>
      <c r="D1950" s="1" t="str" cm="1">
        <f t="array" ref="D1950">_xlfn.IFS(E1950&lt;28, "17-27",
AND(E1950&gt;27, E1950&lt;38), "28-37",
AND(E1950&gt;37, E1950 &lt;48), "38-47",
AND(E1950&gt;47, E1950 &lt;58), "48-57",
AND(E1950&gt;57, E1950&lt;68), "58-67",
AND(E1950&gt;67, E1950&lt;78), "68-77",
E1950&gt;77,"Above than 77")</f>
        <v>58-67</v>
      </c>
      <c r="E1950">
        <v>61</v>
      </c>
      <c r="F1950" s="1">
        <v>21928</v>
      </c>
      <c r="G1950" s="1" t="str">
        <f>VLOOKUP(H1950,Table7[#All], 2, FALSE)</f>
        <v>Massachusetts</v>
      </c>
      <c r="H1950" s="2" t="s">
        <v>14</v>
      </c>
      <c r="I1950" s="2" t="s">
        <v>22</v>
      </c>
      <c r="J1950" s="2" t="s">
        <v>31</v>
      </c>
      <c r="K1950" s="2" t="s">
        <v>8</v>
      </c>
      <c r="L1950" s="2" t="s">
        <v>9</v>
      </c>
      <c r="M1950" s="2" t="s">
        <v>20</v>
      </c>
      <c r="N1950" s="2" t="s">
        <v>26</v>
      </c>
      <c r="O1950" s="2" t="s">
        <v>12</v>
      </c>
      <c r="P1950" s="2" t="s">
        <v>35</v>
      </c>
      <c r="Q1950" s="2" t="s">
        <v>23</v>
      </c>
      <c r="R1950" s="2" t="s">
        <v>18</v>
      </c>
      <c r="S1950">
        <v>3</v>
      </c>
    </row>
    <row r="1951" spans="1:19" x14ac:dyDescent="0.3">
      <c r="A1951">
        <v>2955</v>
      </c>
      <c r="B1951">
        <f>YEAR(Cleaned_HR_Data_Analysis__2[[#This Row],[Joining_Date]])</f>
        <v>2020</v>
      </c>
      <c r="C1951" s="1">
        <v>44095</v>
      </c>
      <c r="D1951" s="1" t="str" cm="1">
        <f t="array" ref="D1951">_xlfn.IFS(E1951&lt;28, "17-27",
AND(E1951&gt;27, E1951&lt;38), "28-37",
AND(E1951&gt;37, E1951 &lt;48), "38-47",
AND(E1951&gt;47, E1951 &lt;58), "48-57",
AND(E1951&gt;57, E1951&lt;68), "58-67",
AND(E1951&gt;67, E1951&lt;78), "68-77",
E1951&gt;77,"Above than 77")</f>
        <v>58-67</v>
      </c>
      <c r="E1951">
        <v>61</v>
      </c>
      <c r="F1951" s="1">
        <v>21715</v>
      </c>
      <c r="G1951" s="1" t="str">
        <f>VLOOKUP(H1951,Table7[#All], 2, FALSE)</f>
        <v>Massachusetts</v>
      </c>
      <c r="H1951" s="2" t="s">
        <v>14</v>
      </c>
      <c r="I1951" s="2" t="s">
        <v>22</v>
      </c>
      <c r="J1951" s="2" t="s">
        <v>34</v>
      </c>
      <c r="K1951" s="2" t="s">
        <v>8</v>
      </c>
      <c r="L1951" s="2" t="s">
        <v>9</v>
      </c>
      <c r="M1951" s="2" t="s">
        <v>25</v>
      </c>
      <c r="N1951" s="2" t="s">
        <v>19</v>
      </c>
      <c r="O1951" s="2" t="s">
        <v>12</v>
      </c>
      <c r="P1951" s="2" t="s">
        <v>32</v>
      </c>
      <c r="Q1951" s="2" t="s">
        <v>30</v>
      </c>
      <c r="R1951" s="2" t="s">
        <v>18</v>
      </c>
      <c r="S1951">
        <v>2</v>
      </c>
    </row>
    <row r="1952" spans="1:19" x14ac:dyDescent="0.3">
      <c r="A1952">
        <v>2921</v>
      </c>
      <c r="B1952">
        <f>YEAR(Cleaned_HR_Data_Analysis__2[[#This Row],[Joining_Date]])</f>
        <v>2018</v>
      </c>
      <c r="C1952" s="1">
        <v>43365</v>
      </c>
      <c r="D1952" s="1" t="str" cm="1">
        <f t="array" ref="D1952">_xlfn.IFS(E1952&lt;28, "17-27",
AND(E1952&gt;27, E1952&lt;38), "28-37",
AND(E1952&gt;37, E1952 &lt;48), "38-47",
AND(E1952&gt;47, E1952 &lt;58), "48-57",
AND(E1952&gt;57, E1952&lt;68), "58-67",
AND(E1952&gt;67, E1952&lt;78), "68-77",
E1952&gt;77,"Above than 77")</f>
        <v>58-67</v>
      </c>
      <c r="E1952">
        <v>61</v>
      </c>
      <c r="F1952" s="1">
        <v>21040</v>
      </c>
      <c r="G1952" s="1" t="str">
        <f>VLOOKUP(H1952,Table7[#All], 2, FALSE)</f>
        <v>Massachusetts</v>
      </c>
      <c r="H1952" s="2" t="s">
        <v>14</v>
      </c>
      <c r="I1952" s="2" t="s">
        <v>15</v>
      </c>
      <c r="J1952" s="2" t="s">
        <v>40</v>
      </c>
      <c r="K1952" s="2" t="s">
        <v>8</v>
      </c>
      <c r="L1952" s="2" t="s">
        <v>9</v>
      </c>
      <c r="M1952" s="2" t="s">
        <v>25</v>
      </c>
      <c r="N1952" s="2" t="s">
        <v>26</v>
      </c>
      <c r="O1952" s="2" t="s">
        <v>12</v>
      </c>
      <c r="P1952" s="2" t="s">
        <v>21</v>
      </c>
      <c r="Q1952" s="2" t="s">
        <v>46</v>
      </c>
      <c r="R1952" s="2" t="s">
        <v>41</v>
      </c>
      <c r="S1952">
        <v>2</v>
      </c>
    </row>
    <row r="1953" spans="1:19" x14ac:dyDescent="0.3">
      <c r="A1953">
        <v>2920</v>
      </c>
      <c r="B1953">
        <f>YEAR(Cleaned_HR_Data_Analysis__2[[#This Row],[Joining_Date]])</f>
        <v>2020</v>
      </c>
      <c r="C1953" s="1">
        <v>43924</v>
      </c>
      <c r="D1953" s="1" t="str" cm="1">
        <f t="array" ref="D1953">_xlfn.IFS(E1953&lt;28, "17-27",
AND(E1953&gt;27, E1953&lt;38), "28-37",
AND(E1953&gt;37, E1953 &lt;48), "38-47",
AND(E1953&gt;47, E1953 &lt;58), "48-57",
AND(E1953&gt;57, E1953&lt;68), "58-67",
AND(E1953&gt;67, E1953&lt;78), "68-77",
E1953&gt;77,"Above than 77")</f>
        <v>58-67</v>
      </c>
      <c r="E1953">
        <v>61</v>
      </c>
      <c r="F1953" s="1">
        <v>21592</v>
      </c>
      <c r="G1953" s="1" t="str">
        <f>VLOOKUP(H1953,Table7[#All], 2, FALSE)</f>
        <v>Massachusetts</v>
      </c>
      <c r="H1953" s="2" t="s">
        <v>14</v>
      </c>
      <c r="I1953" s="2" t="s">
        <v>22</v>
      </c>
      <c r="J1953" s="2" t="s">
        <v>31</v>
      </c>
      <c r="K1953" s="2" t="s">
        <v>8</v>
      </c>
      <c r="L1953" s="2" t="s">
        <v>9</v>
      </c>
      <c r="M1953" s="2" t="s">
        <v>25</v>
      </c>
      <c r="N1953" s="2" t="s">
        <v>19</v>
      </c>
      <c r="O1953" s="2" t="s">
        <v>12</v>
      </c>
      <c r="P1953" s="2" t="s">
        <v>35</v>
      </c>
      <c r="Q1953" s="2" t="s">
        <v>23</v>
      </c>
      <c r="R1953" s="2" t="s">
        <v>41</v>
      </c>
      <c r="S1953">
        <v>4</v>
      </c>
    </row>
    <row r="1954" spans="1:19" x14ac:dyDescent="0.3">
      <c r="A1954">
        <v>2892</v>
      </c>
      <c r="B1954">
        <f>YEAR(Cleaned_HR_Data_Analysis__2[[#This Row],[Joining_Date]])</f>
        <v>2021</v>
      </c>
      <c r="C1954" s="1">
        <v>44296</v>
      </c>
      <c r="D1954" s="1" t="str" cm="1">
        <f t="array" ref="D1954">_xlfn.IFS(E1954&lt;28, "17-27",
AND(E1954&gt;27, E1954&lt;38), "28-37",
AND(E1954&gt;37, E1954 &lt;48), "38-47",
AND(E1954&gt;47, E1954 &lt;58), "48-57",
AND(E1954&gt;57, E1954&lt;68), "58-67",
AND(E1954&gt;67, E1954&lt;78), "68-77",
E1954&gt;77,"Above than 77")</f>
        <v>58-67</v>
      </c>
      <c r="E1954">
        <v>61</v>
      </c>
      <c r="F1954" s="1">
        <v>22256</v>
      </c>
      <c r="G1954" s="1" t="str">
        <f>VLOOKUP(H1954,Table7[#All], 2, FALSE)</f>
        <v>Massachusetts</v>
      </c>
      <c r="H1954" s="2" t="s">
        <v>14</v>
      </c>
      <c r="I1954" s="2" t="s">
        <v>22</v>
      </c>
      <c r="J1954" s="2" t="s">
        <v>40</v>
      </c>
      <c r="K1954" s="2" t="s">
        <v>8</v>
      </c>
      <c r="L1954" s="2" t="s">
        <v>9</v>
      </c>
      <c r="M1954" s="2" t="s">
        <v>10</v>
      </c>
      <c r="N1954" s="2" t="s">
        <v>19</v>
      </c>
      <c r="O1954" s="2" t="s">
        <v>12</v>
      </c>
      <c r="P1954" s="2" t="s">
        <v>60</v>
      </c>
      <c r="Q1954" s="2" t="s">
        <v>23</v>
      </c>
      <c r="R1954" s="2" t="s">
        <v>18</v>
      </c>
      <c r="S1954">
        <v>1</v>
      </c>
    </row>
    <row r="1955" spans="1:19" x14ac:dyDescent="0.3">
      <c r="A1955">
        <v>2158</v>
      </c>
      <c r="B1955">
        <f>YEAR(Cleaned_HR_Data_Analysis__2[[#This Row],[Joining_Date]])</f>
        <v>2023</v>
      </c>
      <c r="C1955" s="1">
        <v>44980</v>
      </c>
      <c r="D1955" s="1" t="str" cm="1">
        <f t="array" ref="D1955">_xlfn.IFS(E1955&lt;28, "17-27",
AND(E1955&gt;27, E1955&lt;38), "28-37",
AND(E1955&gt;37, E1955 &lt;48), "38-47",
AND(E1955&gt;47, E1955 &lt;58), "48-57",
AND(E1955&gt;57, E1955&lt;68), "58-67",
AND(E1955&gt;67, E1955&lt;78), "68-77",
E1955&gt;77,"Above than 77")</f>
        <v>58-67</v>
      </c>
      <c r="E1955">
        <v>61</v>
      </c>
      <c r="F1955" s="1">
        <v>22834</v>
      </c>
      <c r="G1955" s="1" t="str">
        <f>VLOOKUP(H1955,Table7[#All], 2, FALSE)</f>
        <v>Massachusetts</v>
      </c>
      <c r="H1955" s="2" t="s">
        <v>14</v>
      </c>
      <c r="I1955" s="2" t="s">
        <v>15</v>
      </c>
      <c r="J1955" s="2" t="s">
        <v>34</v>
      </c>
      <c r="K1955" s="2" t="s">
        <v>8</v>
      </c>
      <c r="L1955" s="2" t="s">
        <v>9</v>
      </c>
      <c r="M1955" s="2" t="s">
        <v>25</v>
      </c>
      <c r="N1955" s="2" t="s">
        <v>26</v>
      </c>
      <c r="O1955" s="2" t="s">
        <v>12</v>
      </c>
      <c r="P1955" s="2" t="s">
        <v>35</v>
      </c>
      <c r="Q1955" s="2" t="s">
        <v>16</v>
      </c>
      <c r="R1955" s="2" t="s">
        <v>41</v>
      </c>
      <c r="S1955">
        <v>4</v>
      </c>
    </row>
    <row r="1956" spans="1:19" x14ac:dyDescent="0.3">
      <c r="A1956">
        <v>1838</v>
      </c>
      <c r="B1956">
        <f>YEAR(Cleaned_HR_Data_Analysis__2[[#This Row],[Joining_Date]])</f>
        <v>2019</v>
      </c>
      <c r="C1956" s="1">
        <v>43654</v>
      </c>
      <c r="D1956" s="1" t="str" cm="1">
        <f t="array" ref="D1956">_xlfn.IFS(E1956&lt;28, "17-27",
AND(E1956&gt;27, E1956&lt;38), "28-37",
AND(E1956&gt;37, E1956 &lt;48), "38-47",
AND(E1956&gt;47, E1956 &lt;58), "48-57",
AND(E1956&gt;57, E1956&lt;68), "58-67",
AND(E1956&gt;67, E1956&lt;78), "68-77",
E1956&gt;77,"Above than 77")</f>
        <v>58-67</v>
      </c>
      <c r="E1956">
        <v>61</v>
      </c>
      <c r="F1956" s="1">
        <v>21444</v>
      </c>
      <c r="G1956" s="1" t="str">
        <f>VLOOKUP(H1956,Table7[#All], 2, FALSE)</f>
        <v>Massachusetts</v>
      </c>
      <c r="H1956" s="2" t="s">
        <v>14</v>
      </c>
      <c r="I1956" s="2" t="s">
        <v>15</v>
      </c>
      <c r="J1956" s="2" t="s">
        <v>17</v>
      </c>
      <c r="K1956" s="2" t="s">
        <v>8</v>
      </c>
      <c r="L1956" s="2" t="s">
        <v>9</v>
      </c>
      <c r="M1956" s="2" t="s">
        <v>20</v>
      </c>
      <c r="N1956" s="2" t="s">
        <v>19</v>
      </c>
      <c r="O1956" s="2" t="s">
        <v>12</v>
      </c>
      <c r="P1956" s="2" t="s">
        <v>21</v>
      </c>
      <c r="Q1956" s="2" t="s">
        <v>16</v>
      </c>
      <c r="R1956" s="2" t="s">
        <v>41</v>
      </c>
      <c r="S1956">
        <v>1</v>
      </c>
    </row>
    <row r="1957" spans="1:19" x14ac:dyDescent="0.3">
      <c r="A1957">
        <v>1823</v>
      </c>
      <c r="B1957">
        <f>YEAR(Cleaned_HR_Data_Analysis__2[[#This Row],[Joining_Date]])</f>
        <v>2021</v>
      </c>
      <c r="C1957" s="1">
        <v>44325</v>
      </c>
      <c r="D1957" s="1" t="str" cm="1">
        <f t="array" ref="D1957">_xlfn.IFS(E1957&lt;28, "17-27",
AND(E1957&gt;27, E1957&lt;38), "28-37",
AND(E1957&gt;37, E1957 &lt;48), "38-47",
AND(E1957&gt;47, E1957 &lt;58), "48-57",
AND(E1957&gt;57, E1957&lt;68), "58-67",
AND(E1957&gt;67, E1957&lt;78), "68-77",
E1957&gt;77,"Above than 77")</f>
        <v>58-67</v>
      </c>
      <c r="E1957">
        <v>61</v>
      </c>
      <c r="F1957" s="1">
        <v>22245</v>
      </c>
      <c r="G1957" s="1" t="str">
        <f>VLOOKUP(H1957,Table7[#All], 2, FALSE)</f>
        <v>Massachusetts</v>
      </c>
      <c r="H1957" s="2" t="s">
        <v>14</v>
      </c>
      <c r="I1957" s="2" t="s">
        <v>22</v>
      </c>
      <c r="J1957" s="2" t="s">
        <v>17</v>
      </c>
      <c r="K1957" s="2" t="s">
        <v>8</v>
      </c>
      <c r="L1957" s="2" t="s">
        <v>9</v>
      </c>
      <c r="M1957" s="2" t="s">
        <v>10</v>
      </c>
      <c r="N1957" s="2" t="s">
        <v>19</v>
      </c>
      <c r="O1957" s="2" t="s">
        <v>12</v>
      </c>
      <c r="P1957" s="2" t="s">
        <v>13</v>
      </c>
      <c r="Q1957" s="2" t="s">
        <v>37</v>
      </c>
      <c r="R1957" s="2" t="s">
        <v>18</v>
      </c>
      <c r="S1957">
        <v>4</v>
      </c>
    </row>
    <row r="1958" spans="1:19" x14ac:dyDescent="0.3">
      <c r="A1958">
        <v>1758</v>
      </c>
      <c r="B1958">
        <f>YEAR(Cleaned_HR_Data_Analysis__2[[#This Row],[Joining_Date]])</f>
        <v>2019</v>
      </c>
      <c r="C1958" s="1">
        <v>43468</v>
      </c>
      <c r="D1958" s="1" t="str" cm="1">
        <f t="array" ref="D1958">_xlfn.IFS(E1958&lt;28, "17-27",
AND(E1958&gt;27, E1958&lt;38), "28-37",
AND(E1958&gt;37, E1958 &lt;48), "38-47",
AND(E1958&gt;47, E1958 &lt;58), "48-57",
AND(E1958&gt;57, E1958&lt;68), "58-67",
AND(E1958&gt;67, E1958&lt;78), "68-77",
E1958&gt;77,"Above than 77")</f>
        <v>58-67</v>
      </c>
      <c r="E1958">
        <v>61</v>
      </c>
      <c r="F1958" s="1">
        <v>21327</v>
      </c>
      <c r="G1958" s="1" t="str">
        <f>VLOOKUP(H1958,Table7[#All], 2, FALSE)</f>
        <v>Massachusetts</v>
      </c>
      <c r="H1958" s="2" t="s">
        <v>14</v>
      </c>
      <c r="I1958" s="2" t="s">
        <v>22</v>
      </c>
      <c r="J1958" s="2" t="s">
        <v>31</v>
      </c>
      <c r="K1958" s="2" t="s">
        <v>8</v>
      </c>
      <c r="L1958" s="2" t="s">
        <v>9</v>
      </c>
      <c r="M1958" s="2" t="s">
        <v>20</v>
      </c>
      <c r="N1958" s="2" t="s">
        <v>26</v>
      </c>
      <c r="O1958" s="2" t="s">
        <v>12</v>
      </c>
      <c r="P1958" s="2" t="s">
        <v>49</v>
      </c>
      <c r="Q1958" s="2" t="s">
        <v>16</v>
      </c>
      <c r="R1958" s="2" t="s">
        <v>18</v>
      </c>
      <c r="S1958">
        <v>3</v>
      </c>
    </row>
    <row r="1959" spans="1:19" x14ac:dyDescent="0.3">
      <c r="A1959">
        <v>1756</v>
      </c>
      <c r="B1959">
        <f>YEAR(Cleaned_HR_Data_Analysis__2[[#This Row],[Joining_Date]])</f>
        <v>2022</v>
      </c>
      <c r="C1959" s="1">
        <v>44718</v>
      </c>
      <c r="D1959" s="1" t="str" cm="1">
        <f t="array" ref="D1959">_xlfn.IFS(E1959&lt;28, "17-27",
AND(E1959&gt;27, E1959&lt;38), "28-37",
AND(E1959&gt;37, E1959 &lt;48), "38-47",
AND(E1959&gt;47, E1959 &lt;58), "48-57",
AND(E1959&gt;57, E1959&lt;68), "58-67",
AND(E1959&gt;67, E1959&lt;78), "68-77",
E1959&gt;77,"Above than 77")</f>
        <v>58-67</v>
      </c>
      <c r="E1959">
        <v>61</v>
      </c>
      <c r="F1959" s="1">
        <v>22365</v>
      </c>
      <c r="G1959" s="1" t="str">
        <f>VLOOKUP(H1959,Table7[#All], 2, FALSE)</f>
        <v>Massachusetts</v>
      </c>
      <c r="H1959" s="2" t="s">
        <v>14</v>
      </c>
      <c r="I1959" s="2" t="s">
        <v>22</v>
      </c>
      <c r="J1959" s="2" t="s">
        <v>17</v>
      </c>
      <c r="K1959" s="2" t="s">
        <v>8</v>
      </c>
      <c r="L1959" s="2" t="s">
        <v>9</v>
      </c>
      <c r="M1959" s="2" t="s">
        <v>20</v>
      </c>
      <c r="N1959" s="2" t="s">
        <v>19</v>
      </c>
      <c r="O1959" s="2" t="s">
        <v>12</v>
      </c>
      <c r="P1959" s="2" t="s">
        <v>49</v>
      </c>
      <c r="Q1959" s="2" t="s">
        <v>37</v>
      </c>
      <c r="R1959" s="2" t="s">
        <v>18</v>
      </c>
      <c r="S1959">
        <v>4</v>
      </c>
    </row>
    <row r="1960" spans="1:19" x14ac:dyDescent="0.3">
      <c r="A1960">
        <v>1545</v>
      </c>
      <c r="B1960">
        <f>YEAR(Cleaned_HR_Data_Analysis__2[[#This Row],[Joining_Date]])</f>
        <v>2018</v>
      </c>
      <c r="C1960" s="1">
        <v>43363</v>
      </c>
      <c r="D1960" s="1" t="str" cm="1">
        <f t="array" ref="D1960">_xlfn.IFS(E1960&lt;28, "17-27",
AND(E1960&gt;27, E1960&lt;38), "28-37",
AND(E1960&gt;37, E1960 &lt;48), "38-47",
AND(E1960&gt;47, E1960 &lt;58), "48-57",
AND(E1960&gt;57, E1960&lt;68), "58-67",
AND(E1960&gt;67, E1960&lt;78), "68-77",
E1960&gt;77,"Above than 77")</f>
        <v>58-67</v>
      </c>
      <c r="E1960">
        <v>61</v>
      </c>
      <c r="F1960" s="1">
        <v>20948</v>
      </c>
      <c r="G1960" s="1" t="str">
        <f>VLOOKUP(H1960,Table7[#All], 2, FALSE)</f>
        <v>Massachusetts</v>
      </c>
      <c r="H1960" s="2" t="s">
        <v>14</v>
      </c>
      <c r="I1960" s="2" t="s">
        <v>15</v>
      </c>
      <c r="J1960" s="2" t="s">
        <v>34</v>
      </c>
      <c r="K1960" s="2" t="s">
        <v>8</v>
      </c>
      <c r="L1960" s="2" t="s">
        <v>9</v>
      </c>
      <c r="M1960" s="2" t="s">
        <v>10</v>
      </c>
      <c r="N1960" s="2" t="s">
        <v>19</v>
      </c>
      <c r="O1960" s="2" t="s">
        <v>12</v>
      </c>
      <c r="P1960" s="2" t="s">
        <v>35</v>
      </c>
      <c r="Q1960" s="2" t="s">
        <v>23</v>
      </c>
      <c r="R1960" s="2" t="s">
        <v>18</v>
      </c>
      <c r="S1960">
        <v>4</v>
      </c>
    </row>
    <row r="1961" spans="1:19" x14ac:dyDescent="0.3">
      <c r="A1961">
        <v>1483</v>
      </c>
      <c r="B1961">
        <f>YEAR(Cleaned_HR_Data_Analysis__2[[#This Row],[Joining_Date]])</f>
        <v>2022</v>
      </c>
      <c r="C1961" s="1">
        <v>44794</v>
      </c>
      <c r="D1961" s="1" t="str" cm="1">
        <f t="array" ref="D1961">_xlfn.IFS(E1961&lt;28, "17-27",
AND(E1961&gt;27, E1961&lt;38), "28-37",
AND(E1961&gt;37, E1961 &lt;48), "38-47",
AND(E1961&gt;47, E1961 &lt;58), "48-57",
AND(E1961&gt;57, E1961&lt;68), "58-67",
AND(E1961&gt;67, E1961&lt;78), "68-77",
E1961&gt;77,"Above than 77")</f>
        <v>58-67</v>
      </c>
      <c r="E1961">
        <v>61</v>
      </c>
      <c r="F1961" s="1">
        <v>22569</v>
      </c>
      <c r="G1961" s="1" t="str">
        <f>VLOOKUP(H1961,Table7[#All], 2, FALSE)</f>
        <v>Massachusetts</v>
      </c>
      <c r="H1961" s="2" t="s">
        <v>14</v>
      </c>
      <c r="I1961" s="2" t="s">
        <v>15</v>
      </c>
      <c r="J1961" s="2" t="s">
        <v>31</v>
      </c>
      <c r="K1961" s="2" t="s">
        <v>8</v>
      </c>
      <c r="L1961" s="2" t="s">
        <v>9</v>
      </c>
      <c r="M1961" s="2" t="s">
        <v>25</v>
      </c>
      <c r="N1961" s="2" t="s">
        <v>19</v>
      </c>
      <c r="O1961" s="2" t="s">
        <v>12</v>
      </c>
      <c r="P1961" s="2" t="s">
        <v>58</v>
      </c>
      <c r="Q1961" s="2" t="s">
        <v>23</v>
      </c>
      <c r="R1961" s="2" t="s">
        <v>41</v>
      </c>
      <c r="S1961">
        <v>5</v>
      </c>
    </row>
    <row r="1962" spans="1:19" x14ac:dyDescent="0.3">
      <c r="A1962">
        <v>1260</v>
      </c>
      <c r="B1962">
        <f>YEAR(Cleaned_HR_Data_Analysis__2[[#This Row],[Joining_Date]])</f>
        <v>2018</v>
      </c>
      <c r="C1962" s="1">
        <v>43328</v>
      </c>
      <c r="D1962" s="1" t="str" cm="1">
        <f t="array" ref="D1962">_xlfn.IFS(E1962&lt;28, "17-27",
AND(E1962&gt;27, E1962&lt;38), "28-37",
AND(E1962&gt;37, E1962 &lt;48), "38-47",
AND(E1962&gt;47, E1962 &lt;58), "48-57",
AND(E1962&gt;57, E1962&lt;68), "58-67",
AND(E1962&gt;67, E1962&lt;78), "68-77",
E1962&gt;77,"Above than 77")</f>
        <v>58-67</v>
      </c>
      <c r="E1962">
        <v>61</v>
      </c>
      <c r="F1962" s="1">
        <v>20989</v>
      </c>
      <c r="G1962" s="1" t="str">
        <f>VLOOKUP(H1962,Table7[#All], 2, FALSE)</f>
        <v>Massachusetts</v>
      </c>
      <c r="H1962" s="2" t="s">
        <v>14</v>
      </c>
      <c r="I1962" s="2" t="s">
        <v>15</v>
      </c>
      <c r="J1962" s="2" t="s">
        <v>34</v>
      </c>
      <c r="K1962" s="2" t="s">
        <v>8</v>
      </c>
      <c r="L1962" s="2" t="s">
        <v>9</v>
      </c>
      <c r="M1962" s="2" t="s">
        <v>25</v>
      </c>
      <c r="N1962" s="2" t="s">
        <v>26</v>
      </c>
      <c r="O1962" s="2" t="s">
        <v>12</v>
      </c>
      <c r="P1962" s="2" t="s">
        <v>54</v>
      </c>
      <c r="Q1962" s="2" t="s">
        <v>46</v>
      </c>
      <c r="R1962" s="2" t="s">
        <v>18</v>
      </c>
      <c r="S1962">
        <v>2</v>
      </c>
    </row>
    <row r="1963" spans="1:19" x14ac:dyDescent="0.3">
      <c r="A1963">
        <v>2377</v>
      </c>
      <c r="B1963">
        <f>YEAR(Cleaned_HR_Data_Analysis__2[[#This Row],[Joining_Date]])</f>
        <v>2021</v>
      </c>
      <c r="C1963" s="1">
        <v>44205</v>
      </c>
      <c r="D1963" s="1" t="str" cm="1">
        <f t="array" ref="D1963">_xlfn.IFS(E1963&lt;28, "17-27",
AND(E1963&gt;27, E1963&lt;38), "28-37",
AND(E1963&gt;37, E1963 &lt;48), "38-47",
AND(E1963&gt;47, E1963 &lt;58), "48-57",
AND(E1963&gt;57, E1963&lt;68), "58-67",
AND(E1963&gt;67, E1963&lt;78), "68-77",
E1963&gt;77,"Above than 77")</f>
        <v>58-67</v>
      </c>
      <c r="E1963">
        <v>61</v>
      </c>
      <c r="F1963" s="1">
        <v>22081</v>
      </c>
      <c r="G1963" s="1" t="str">
        <f>VLOOKUP(H1963,Table7[#All], 2, FALSE)</f>
        <v>Massachusetts</v>
      </c>
      <c r="H1963" s="2" t="s">
        <v>14</v>
      </c>
      <c r="I1963" s="2" t="s">
        <v>22</v>
      </c>
      <c r="J1963" s="2" t="s">
        <v>31</v>
      </c>
      <c r="K1963" s="2" t="s">
        <v>91</v>
      </c>
      <c r="L1963" s="2" t="s">
        <v>9</v>
      </c>
      <c r="M1963" s="2" t="s">
        <v>10</v>
      </c>
      <c r="N1963" s="2" t="s">
        <v>26</v>
      </c>
      <c r="O1963" s="2" t="s">
        <v>12</v>
      </c>
      <c r="P1963" s="2" t="s">
        <v>44</v>
      </c>
      <c r="Q1963" s="2" t="s">
        <v>16</v>
      </c>
      <c r="R1963" s="2" t="s">
        <v>18</v>
      </c>
      <c r="S1963">
        <v>2</v>
      </c>
    </row>
    <row r="1964" spans="1:19" x14ac:dyDescent="0.3">
      <c r="A1964">
        <v>2367</v>
      </c>
      <c r="B1964">
        <f>YEAR(Cleaned_HR_Data_Analysis__2[[#This Row],[Joining_Date]])</f>
        <v>2020</v>
      </c>
      <c r="C1964" s="1">
        <v>44066</v>
      </c>
      <c r="D1964" s="1" t="str" cm="1">
        <f t="array" ref="D1964">_xlfn.IFS(E1964&lt;28, "17-27",
AND(E1964&gt;27, E1964&lt;38), "28-37",
AND(E1964&gt;37, E1964 &lt;48), "38-47",
AND(E1964&gt;47, E1964 &lt;58), "48-57",
AND(E1964&gt;57, E1964&lt;68), "58-67",
AND(E1964&gt;67, E1964&lt;78), "68-77",
E1964&gt;77,"Above than 77")</f>
        <v>58-67</v>
      </c>
      <c r="E1964">
        <v>61</v>
      </c>
      <c r="F1964" s="1">
        <v>21760</v>
      </c>
      <c r="G1964" s="1" t="str">
        <f>VLOOKUP(H1964,Table7[#All], 2, FALSE)</f>
        <v>Massachusetts</v>
      </c>
      <c r="H1964" s="2" t="s">
        <v>14</v>
      </c>
      <c r="I1964" s="2" t="s">
        <v>15</v>
      </c>
      <c r="J1964" s="2" t="s">
        <v>17</v>
      </c>
      <c r="K1964" s="2" t="s">
        <v>91</v>
      </c>
      <c r="L1964" s="2" t="s">
        <v>9</v>
      </c>
      <c r="M1964" s="2" t="s">
        <v>10</v>
      </c>
      <c r="N1964" s="2" t="s">
        <v>11</v>
      </c>
      <c r="O1964" s="2" t="s">
        <v>12</v>
      </c>
      <c r="P1964" s="2" t="s">
        <v>59</v>
      </c>
      <c r="Q1964" s="2" t="s">
        <v>23</v>
      </c>
      <c r="R1964" s="2" t="s">
        <v>18</v>
      </c>
      <c r="S1964">
        <v>2</v>
      </c>
    </row>
    <row r="1965" spans="1:19" x14ac:dyDescent="0.3">
      <c r="A1965">
        <v>2287</v>
      </c>
      <c r="B1965">
        <f>YEAR(Cleaned_HR_Data_Analysis__2[[#This Row],[Joining_Date]])</f>
        <v>2022</v>
      </c>
      <c r="C1965" s="1">
        <v>44629</v>
      </c>
      <c r="D1965" s="1" t="str" cm="1">
        <f t="array" ref="D1965">_xlfn.IFS(E1965&lt;28, "17-27",
AND(E1965&gt;27, E1965&lt;38), "28-37",
AND(E1965&gt;37, E1965 &lt;48), "38-47",
AND(E1965&gt;47, E1965 &lt;58), "48-57",
AND(E1965&gt;57, E1965&lt;68), "58-67",
AND(E1965&gt;67, E1965&lt;78), "68-77",
E1965&gt;77,"Above than 77")</f>
        <v>58-67</v>
      </c>
      <c r="E1965">
        <v>61</v>
      </c>
      <c r="F1965" s="1">
        <v>22360</v>
      </c>
      <c r="G1965" s="1" t="str">
        <f>VLOOKUP(H1965,Table7[#All], 2, FALSE)</f>
        <v>Massachusetts</v>
      </c>
      <c r="H1965" s="2" t="s">
        <v>14</v>
      </c>
      <c r="I1965" s="2" t="s">
        <v>15</v>
      </c>
      <c r="J1965" s="2" t="s">
        <v>31</v>
      </c>
      <c r="K1965" s="2" t="s">
        <v>91</v>
      </c>
      <c r="L1965" s="2" t="s">
        <v>9</v>
      </c>
      <c r="M1965" s="2" t="s">
        <v>10</v>
      </c>
      <c r="N1965" s="2" t="s">
        <v>26</v>
      </c>
      <c r="O1965" s="2" t="s">
        <v>12</v>
      </c>
      <c r="P1965" s="2" t="s">
        <v>32</v>
      </c>
      <c r="Q1965" s="2" t="s">
        <v>16</v>
      </c>
      <c r="R1965" s="2" t="s">
        <v>18</v>
      </c>
      <c r="S1965">
        <v>4</v>
      </c>
    </row>
    <row r="1966" spans="1:19" x14ac:dyDescent="0.3">
      <c r="A1966">
        <v>3931</v>
      </c>
      <c r="B1966">
        <f>YEAR(Cleaned_HR_Data_Analysis__2[[#This Row],[Joining_Date]])</f>
        <v>2021</v>
      </c>
      <c r="C1966" s="1">
        <v>44463</v>
      </c>
      <c r="D1966" s="1" t="str" cm="1">
        <f t="array" ref="D1966">_xlfn.IFS(E1966&lt;28, "17-27",
AND(E1966&gt;27, E1966&lt;38), "28-37",
AND(E1966&gt;37, E1966 &lt;48), "38-47",
AND(E1966&gt;47, E1966 &lt;58), "48-57",
AND(E1966&gt;57, E1966&lt;68), "58-67",
AND(E1966&gt;67, E1966&lt;78), "68-77",
E1966&gt;77,"Above than 77")</f>
        <v>58-67</v>
      </c>
      <c r="E1966">
        <v>61</v>
      </c>
      <c r="F1966" s="1">
        <v>22093</v>
      </c>
      <c r="G1966" s="1" t="str">
        <f>VLOOKUP(H1966,Table7[#All], 2, FALSE)</f>
        <v>Massachusetts</v>
      </c>
      <c r="H1966" s="2" t="s">
        <v>14</v>
      </c>
      <c r="I1966" s="2" t="s">
        <v>22</v>
      </c>
      <c r="J1966" s="2" t="s">
        <v>17</v>
      </c>
      <c r="K1966" s="2" t="s">
        <v>71</v>
      </c>
      <c r="L1966" s="2" t="s">
        <v>9</v>
      </c>
      <c r="M1966" s="2" t="s">
        <v>20</v>
      </c>
      <c r="N1966" s="2" t="s">
        <v>19</v>
      </c>
      <c r="O1966" s="2" t="s">
        <v>53</v>
      </c>
      <c r="P1966" s="2" t="s">
        <v>42</v>
      </c>
      <c r="Q1966" s="2" t="s">
        <v>37</v>
      </c>
      <c r="R1966" s="2" t="s">
        <v>18</v>
      </c>
      <c r="S1966">
        <v>1</v>
      </c>
    </row>
    <row r="1967" spans="1:19" x14ac:dyDescent="0.3">
      <c r="A1967">
        <v>3866</v>
      </c>
      <c r="B1967">
        <f>YEAR(Cleaned_HR_Data_Analysis__2[[#This Row],[Joining_Date]])</f>
        <v>2020</v>
      </c>
      <c r="C1967" s="1">
        <v>44078</v>
      </c>
      <c r="D1967" s="1" t="str" cm="1">
        <f t="array" ref="D1967">_xlfn.IFS(E1967&lt;28, "17-27",
AND(E1967&gt;27, E1967&lt;38), "28-37",
AND(E1967&gt;37, E1967 &lt;48), "38-47",
AND(E1967&gt;47, E1967 &lt;58), "48-57",
AND(E1967&gt;57, E1967&lt;68), "58-67",
AND(E1967&gt;67, E1967&lt;78), "68-77",
E1967&gt;77,"Above than 77")</f>
        <v>58-67</v>
      </c>
      <c r="E1967">
        <v>61</v>
      </c>
      <c r="F1967" s="1">
        <v>21863</v>
      </c>
      <c r="G1967" s="1" t="str">
        <f>VLOOKUP(H1967,Table7[#All], 2, FALSE)</f>
        <v>Massachusetts</v>
      </c>
      <c r="H1967" s="2" t="s">
        <v>14</v>
      </c>
      <c r="I1967" s="2" t="s">
        <v>22</v>
      </c>
      <c r="J1967" s="2" t="s">
        <v>40</v>
      </c>
      <c r="K1967" s="2" t="s">
        <v>71</v>
      </c>
      <c r="L1967" s="2" t="s">
        <v>9</v>
      </c>
      <c r="M1967" s="2" t="s">
        <v>10</v>
      </c>
      <c r="N1967" s="2" t="s">
        <v>19</v>
      </c>
      <c r="O1967" s="2" t="s">
        <v>73</v>
      </c>
      <c r="P1967" s="2" t="s">
        <v>35</v>
      </c>
      <c r="Q1967" s="2" t="s">
        <v>30</v>
      </c>
      <c r="R1967" s="2" t="s">
        <v>18</v>
      </c>
      <c r="S1967">
        <v>1</v>
      </c>
    </row>
    <row r="1968" spans="1:19" x14ac:dyDescent="0.3">
      <c r="A1968">
        <v>2259</v>
      </c>
      <c r="B1968">
        <f>YEAR(Cleaned_HR_Data_Analysis__2[[#This Row],[Joining_Date]])</f>
        <v>2022</v>
      </c>
      <c r="C1968" s="1">
        <v>44593</v>
      </c>
      <c r="D1968" s="1" t="str" cm="1">
        <f t="array" ref="D1968">_xlfn.IFS(E1968&lt;28, "17-27",
AND(E1968&gt;27, E1968&lt;38), "28-37",
AND(E1968&gt;37, E1968 &lt;48), "38-47",
AND(E1968&gt;47, E1968 &lt;58), "48-57",
AND(E1968&gt;57, E1968&lt;68), "58-67",
AND(E1968&gt;67, E1968&lt;78), "68-77",
E1968&gt;77,"Above than 77")</f>
        <v>58-67</v>
      </c>
      <c r="E1968">
        <v>61</v>
      </c>
      <c r="F1968" s="1">
        <v>22364</v>
      </c>
      <c r="G1968" s="1" t="str">
        <f>VLOOKUP(H1968,Table7[#All], 2, FALSE)</f>
        <v>Massachusetts</v>
      </c>
      <c r="H1968" s="2" t="s">
        <v>14</v>
      </c>
      <c r="I1968" s="2" t="s">
        <v>15</v>
      </c>
      <c r="J1968" s="2" t="s">
        <v>40</v>
      </c>
      <c r="K1968" s="2" t="s">
        <v>70</v>
      </c>
      <c r="L1968" s="2" t="s">
        <v>9</v>
      </c>
      <c r="M1968" s="2" t="s">
        <v>20</v>
      </c>
      <c r="N1968" s="2" t="s">
        <v>19</v>
      </c>
      <c r="O1968" s="2" t="s">
        <v>53</v>
      </c>
      <c r="P1968" s="2" t="s">
        <v>38</v>
      </c>
      <c r="Q1968" s="2" t="s">
        <v>23</v>
      </c>
      <c r="R1968" s="2" t="s">
        <v>18</v>
      </c>
      <c r="S1968">
        <v>2</v>
      </c>
    </row>
    <row r="1969" spans="1:19" x14ac:dyDescent="0.3">
      <c r="A1969">
        <v>2220</v>
      </c>
      <c r="B1969">
        <f>YEAR(Cleaned_HR_Data_Analysis__2[[#This Row],[Joining_Date]])</f>
        <v>2022</v>
      </c>
      <c r="C1969" s="1">
        <v>44821</v>
      </c>
      <c r="D1969" s="1" t="str" cm="1">
        <f t="array" ref="D1969">_xlfn.IFS(E1969&lt;28, "17-27",
AND(E1969&gt;27, E1969&lt;38), "28-37",
AND(E1969&gt;37, E1969 &lt;48), "38-47",
AND(E1969&gt;47, E1969 &lt;58), "48-57",
AND(E1969&gt;57, E1969&lt;68), "58-67",
AND(E1969&gt;67, E1969&lt;78), "68-77",
E1969&gt;77,"Above than 77")</f>
        <v>58-67</v>
      </c>
      <c r="E1969">
        <v>61</v>
      </c>
      <c r="F1969" s="1">
        <v>22527</v>
      </c>
      <c r="G1969" s="1" t="str">
        <f>VLOOKUP(H1969,Table7[#All], 2, FALSE)</f>
        <v>Massachusetts</v>
      </c>
      <c r="H1969" s="2" t="s">
        <v>14</v>
      </c>
      <c r="I1969" s="2" t="s">
        <v>15</v>
      </c>
      <c r="J1969" s="2" t="s">
        <v>34</v>
      </c>
      <c r="K1969" s="2" t="s">
        <v>70</v>
      </c>
      <c r="L1969" s="2" t="s">
        <v>9</v>
      </c>
      <c r="M1969" s="2" t="s">
        <v>10</v>
      </c>
      <c r="N1969" s="2" t="s">
        <v>26</v>
      </c>
      <c r="O1969" s="2" t="s">
        <v>53</v>
      </c>
      <c r="P1969" s="2" t="s">
        <v>38</v>
      </c>
      <c r="Q1969" s="2" t="s">
        <v>46</v>
      </c>
      <c r="R1969" s="2" t="s">
        <v>41</v>
      </c>
      <c r="S1969">
        <v>3</v>
      </c>
    </row>
    <row r="1970" spans="1:19" x14ac:dyDescent="0.3">
      <c r="A1970">
        <v>2239</v>
      </c>
      <c r="B1970">
        <f>YEAR(Cleaned_HR_Data_Analysis__2[[#This Row],[Joining_Date]])</f>
        <v>2023</v>
      </c>
      <c r="C1970" s="1">
        <v>44995</v>
      </c>
      <c r="D1970" s="1" t="str" cm="1">
        <f t="array" ref="D1970">_xlfn.IFS(E1970&lt;28, "17-27",
AND(E1970&gt;27, E1970&lt;38), "28-37",
AND(E1970&gt;37, E1970 &lt;48), "38-47",
AND(E1970&gt;47, E1970 &lt;58), "48-57",
AND(E1970&gt;57, E1970&lt;68), "58-67",
AND(E1970&gt;67, E1970&lt;78), "68-77",
E1970&gt;77,"Above than 77")</f>
        <v>58-67</v>
      </c>
      <c r="E1970">
        <v>61</v>
      </c>
      <c r="F1970" s="1">
        <v>22991</v>
      </c>
      <c r="G1970" s="1" t="str">
        <f>VLOOKUP(H1970,Table7[#All], 2, FALSE)</f>
        <v>Massachusetts</v>
      </c>
      <c r="H1970" s="2" t="s">
        <v>14</v>
      </c>
      <c r="I1970" s="2" t="s">
        <v>22</v>
      </c>
      <c r="J1970" s="2" t="s">
        <v>40</v>
      </c>
      <c r="K1970" s="2" t="s">
        <v>103</v>
      </c>
      <c r="L1970" s="2" t="s">
        <v>9</v>
      </c>
      <c r="M1970" s="2" t="s">
        <v>25</v>
      </c>
      <c r="N1970" s="2" t="s">
        <v>11</v>
      </c>
      <c r="O1970" s="2" t="s">
        <v>53</v>
      </c>
      <c r="P1970" s="2" t="s">
        <v>60</v>
      </c>
      <c r="Q1970" s="2" t="s">
        <v>46</v>
      </c>
      <c r="R1970" s="2" t="s">
        <v>18</v>
      </c>
      <c r="S1970">
        <v>3</v>
      </c>
    </row>
    <row r="1971" spans="1:19" x14ac:dyDescent="0.3">
      <c r="A1971">
        <v>3992</v>
      </c>
      <c r="B1971">
        <f>YEAR(Cleaned_HR_Data_Analysis__2[[#This Row],[Joining_Date]])</f>
        <v>2022</v>
      </c>
      <c r="C1971" s="1">
        <v>44903</v>
      </c>
      <c r="D1971" s="1" t="str" cm="1">
        <f t="array" ref="D1971">_xlfn.IFS(E1971&lt;28, "17-27",
AND(E1971&gt;27, E1971&lt;38), "28-37",
AND(E1971&gt;37, E1971 &lt;48), "38-47",
AND(E1971&gt;47, E1971 &lt;58), "48-57",
AND(E1971&gt;57, E1971&lt;68), "58-67",
AND(E1971&gt;67, E1971&lt;78), "68-77",
E1971&gt;77,"Above than 77")</f>
        <v>58-67</v>
      </c>
      <c r="E1971">
        <v>61</v>
      </c>
      <c r="F1971" s="1">
        <v>22643</v>
      </c>
      <c r="G1971" s="1" t="str">
        <f>VLOOKUP(H1971,Table7[#All], 2, FALSE)</f>
        <v>Massachusetts</v>
      </c>
      <c r="H1971" s="2" t="s">
        <v>14</v>
      </c>
      <c r="I1971" s="2" t="s">
        <v>22</v>
      </c>
      <c r="J1971" s="2" t="s">
        <v>34</v>
      </c>
      <c r="K1971" s="2" t="s">
        <v>78</v>
      </c>
      <c r="L1971" s="2" t="s">
        <v>9</v>
      </c>
      <c r="M1971" s="2" t="s">
        <v>20</v>
      </c>
      <c r="N1971" s="2" t="s">
        <v>19</v>
      </c>
      <c r="O1971" s="2" t="s">
        <v>53</v>
      </c>
      <c r="P1971" s="2" t="s">
        <v>38</v>
      </c>
      <c r="Q1971" s="2" t="s">
        <v>37</v>
      </c>
      <c r="R1971" s="2" t="s">
        <v>18</v>
      </c>
      <c r="S1971">
        <v>3</v>
      </c>
    </row>
    <row r="1972" spans="1:19" x14ac:dyDescent="0.3">
      <c r="A1972">
        <v>2426</v>
      </c>
      <c r="B1972">
        <f>YEAR(Cleaned_HR_Data_Analysis__2[[#This Row],[Joining_Date]])</f>
        <v>2020</v>
      </c>
      <c r="C1972" s="1">
        <v>44032</v>
      </c>
      <c r="D1972" s="1" t="str" cm="1">
        <f t="array" ref="D1972">_xlfn.IFS(E1972&lt;28, "17-27",
AND(E1972&gt;27, E1972&lt;38), "28-37",
AND(E1972&gt;37, E1972 &lt;48), "38-47",
AND(E1972&gt;47, E1972 &lt;58), "48-57",
AND(E1972&gt;57, E1972&lt;68), "58-67",
AND(E1972&gt;67, E1972&lt;78), "68-77",
E1972&gt;77,"Above than 77")</f>
        <v>58-67</v>
      </c>
      <c r="E1972">
        <v>61</v>
      </c>
      <c r="F1972" s="1">
        <v>21612</v>
      </c>
      <c r="G1972" s="1" t="str">
        <f>VLOOKUP(H1972,Table7[#All], 2, FALSE)</f>
        <v>Massachusetts</v>
      </c>
      <c r="H1972" s="2" t="s">
        <v>14</v>
      </c>
      <c r="I1972" s="2" t="s">
        <v>15</v>
      </c>
      <c r="J1972" s="2" t="s">
        <v>17</v>
      </c>
      <c r="K1972" s="2" t="s">
        <v>78</v>
      </c>
      <c r="L1972" s="2" t="s">
        <v>9</v>
      </c>
      <c r="M1972" s="2" t="s">
        <v>25</v>
      </c>
      <c r="N1972" s="2" t="s">
        <v>11</v>
      </c>
      <c r="O1972" s="2" t="s">
        <v>12</v>
      </c>
      <c r="P1972" s="2" t="s">
        <v>32</v>
      </c>
      <c r="Q1972" s="2" t="s">
        <v>16</v>
      </c>
      <c r="R1972" s="2" t="s">
        <v>18</v>
      </c>
      <c r="S1972">
        <v>5</v>
      </c>
    </row>
    <row r="1973" spans="1:19" x14ac:dyDescent="0.3">
      <c r="A1973">
        <v>1663</v>
      </c>
      <c r="B1973">
        <f>YEAR(Cleaned_HR_Data_Analysis__2[[#This Row],[Joining_Date]])</f>
        <v>2022</v>
      </c>
      <c r="C1973" s="1">
        <v>44661</v>
      </c>
      <c r="D1973" s="1" t="str" cm="1">
        <f t="array" ref="D1973">_xlfn.IFS(E1973&lt;28, "17-27",
AND(E1973&gt;27, E1973&lt;38), "28-37",
AND(E1973&gt;37, E1973 &lt;48), "38-47",
AND(E1973&gt;47, E1973 &lt;58), "48-57",
AND(E1973&gt;57, E1973&lt;68), "58-67",
AND(E1973&gt;67, E1973&lt;78), "68-77",
E1973&gt;77,"Above than 77")</f>
        <v>58-67</v>
      </c>
      <c r="E1973">
        <v>61</v>
      </c>
      <c r="F1973" s="1">
        <v>22311</v>
      </c>
      <c r="G1973" s="1" t="str">
        <f>VLOOKUP(H1973,Table7[#All], 2, FALSE)</f>
        <v>Massachusetts</v>
      </c>
      <c r="H1973" s="2" t="s">
        <v>14</v>
      </c>
      <c r="I1973" s="2" t="s">
        <v>15</v>
      </c>
      <c r="J1973" s="2" t="s">
        <v>17</v>
      </c>
      <c r="K1973" s="2" t="s">
        <v>97</v>
      </c>
      <c r="L1973" s="2" t="s">
        <v>66</v>
      </c>
      <c r="M1973" s="2" t="s">
        <v>25</v>
      </c>
      <c r="N1973" s="2" t="s">
        <v>11</v>
      </c>
      <c r="O1973" s="2" t="s">
        <v>53</v>
      </c>
      <c r="P1973" s="2" t="s">
        <v>21</v>
      </c>
      <c r="Q1973" s="2" t="s">
        <v>46</v>
      </c>
      <c r="R1973" s="2" t="s">
        <v>18</v>
      </c>
      <c r="S1973">
        <v>2</v>
      </c>
    </row>
    <row r="1974" spans="1:19" x14ac:dyDescent="0.3">
      <c r="A1974">
        <v>1653</v>
      </c>
      <c r="B1974">
        <f>YEAR(Cleaned_HR_Data_Analysis__2[[#This Row],[Joining_Date]])</f>
        <v>2018</v>
      </c>
      <c r="C1974" s="1">
        <v>43410</v>
      </c>
      <c r="D1974" s="1" t="str" cm="1">
        <f t="array" ref="D1974">_xlfn.IFS(E1974&lt;28, "17-27",
AND(E1974&gt;27, E1974&lt;38), "28-37",
AND(E1974&gt;37, E1974 &lt;48), "38-47",
AND(E1974&gt;47, E1974 &lt;58), "48-57",
AND(E1974&gt;57, E1974&lt;68), "58-67",
AND(E1974&gt;67, E1974&lt;78), "68-77",
E1974&gt;77,"Above than 77")</f>
        <v>58-67</v>
      </c>
      <c r="E1974">
        <v>61</v>
      </c>
      <c r="F1974" s="1">
        <v>20827</v>
      </c>
      <c r="G1974" s="1" t="str">
        <f>VLOOKUP(H1974,Table7[#All], 2, FALSE)</f>
        <v>Massachusetts</v>
      </c>
      <c r="H1974" s="2" t="s">
        <v>14</v>
      </c>
      <c r="I1974" s="2" t="s">
        <v>22</v>
      </c>
      <c r="J1974" s="2" t="s">
        <v>34</v>
      </c>
      <c r="K1974" s="2" t="s">
        <v>24</v>
      </c>
      <c r="L1974" s="2" t="s">
        <v>9</v>
      </c>
      <c r="M1974" s="2" t="s">
        <v>20</v>
      </c>
      <c r="N1974" s="2" t="s">
        <v>26</v>
      </c>
      <c r="O1974" s="2" t="s">
        <v>53</v>
      </c>
      <c r="P1974" s="2" t="s">
        <v>35</v>
      </c>
      <c r="Q1974" s="2" t="s">
        <v>23</v>
      </c>
      <c r="R1974" s="2" t="s">
        <v>18</v>
      </c>
      <c r="S1974">
        <v>4</v>
      </c>
    </row>
    <row r="1975" spans="1:19" x14ac:dyDescent="0.3">
      <c r="A1975">
        <v>3478</v>
      </c>
      <c r="B1975">
        <f>YEAR(Cleaned_HR_Data_Analysis__2[[#This Row],[Joining_Date]])</f>
        <v>2018</v>
      </c>
      <c r="C1975" s="1">
        <v>43360</v>
      </c>
      <c r="D1975" s="1" t="str" cm="1">
        <f t="array" ref="D1975">_xlfn.IFS(E1975&lt;28, "17-27",
AND(E1975&gt;27, E1975&lt;38), "28-37",
AND(E1975&gt;37, E1975 &lt;48), "38-47",
AND(E1975&gt;47, E1975 &lt;58), "48-57",
AND(E1975&gt;57, E1975&lt;68), "58-67",
AND(E1975&gt;67, E1975&lt;78), "68-77",
E1975&gt;77,"Above than 77")</f>
        <v>58-67</v>
      </c>
      <c r="E1975">
        <v>61</v>
      </c>
      <c r="F1975" s="1">
        <v>21103</v>
      </c>
      <c r="G1975" s="1" t="str">
        <f>VLOOKUP(H1975,Table7[#All], 2, FALSE)</f>
        <v>Kentucky</v>
      </c>
      <c r="H1975" s="2" t="s">
        <v>51</v>
      </c>
      <c r="I1975" s="2" t="s">
        <v>15</v>
      </c>
      <c r="J1975" s="2" t="s">
        <v>34</v>
      </c>
      <c r="K1975" s="2" t="s">
        <v>24</v>
      </c>
      <c r="L1975" s="2" t="s">
        <v>9</v>
      </c>
      <c r="M1975" s="2" t="s">
        <v>25</v>
      </c>
      <c r="N1975" s="2" t="s">
        <v>11</v>
      </c>
      <c r="O1975" s="2" t="s">
        <v>27</v>
      </c>
      <c r="P1975" s="2" t="s">
        <v>59</v>
      </c>
      <c r="Q1975" s="2" t="s">
        <v>23</v>
      </c>
      <c r="R1975" s="2" t="s">
        <v>18</v>
      </c>
      <c r="S1975">
        <v>4</v>
      </c>
    </row>
    <row r="1976" spans="1:19" x14ac:dyDescent="0.3">
      <c r="A1976">
        <v>3554</v>
      </c>
      <c r="B1976">
        <f>YEAR(Cleaned_HR_Data_Analysis__2[[#This Row],[Joining_Date]])</f>
        <v>2019</v>
      </c>
      <c r="C1976" s="1">
        <v>43555</v>
      </c>
      <c r="D1976" s="1" t="str" cm="1">
        <f t="array" ref="D1976">_xlfn.IFS(E1976&lt;28, "17-27",
AND(E1976&gt;27, E1976&lt;38), "28-37",
AND(E1976&gt;37, E1976 &lt;48), "38-47",
AND(E1976&gt;47, E1976 &lt;58), "48-57",
AND(E1976&gt;57, E1976&lt;68), "58-67",
AND(E1976&gt;67, E1976&lt;78), "68-77",
E1976&gt;77,"Above than 77")</f>
        <v>58-67</v>
      </c>
      <c r="E1976">
        <v>61</v>
      </c>
      <c r="F1976" s="1">
        <v>21472</v>
      </c>
      <c r="G1976" s="1" t="str">
        <f>VLOOKUP(H1976,Table7[#All], 2, FALSE)</f>
        <v>Indiana</v>
      </c>
      <c r="H1976" s="2" t="s">
        <v>47</v>
      </c>
      <c r="I1976" s="2" t="s">
        <v>22</v>
      </c>
      <c r="J1976" s="2" t="s">
        <v>17</v>
      </c>
      <c r="K1976" s="2" t="s">
        <v>24</v>
      </c>
      <c r="L1976" s="2" t="s">
        <v>9</v>
      </c>
      <c r="M1976" s="2" t="s">
        <v>20</v>
      </c>
      <c r="N1976" s="2" t="s">
        <v>11</v>
      </c>
      <c r="O1976" s="2" t="s">
        <v>27</v>
      </c>
      <c r="P1976" s="2" t="s">
        <v>62</v>
      </c>
      <c r="Q1976" s="2" t="s">
        <v>46</v>
      </c>
      <c r="R1976" s="2" t="s">
        <v>18</v>
      </c>
      <c r="S1976">
        <v>1</v>
      </c>
    </row>
    <row r="1977" spans="1:19" x14ac:dyDescent="0.3">
      <c r="A1977">
        <v>2695</v>
      </c>
      <c r="B1977">
        <f>YEAR(Cleaned_HR_Data_Analysis__2[[#This Row],[Joining_Date]])</f>
        <v>2021</v>
      </c>
      <c r="C1977" s="1">
        <v>44434</v>
      </c>
      <c r="D1977" s="1" t="str" cm="1">
        <f t="array" ref="D1977">_xlfn.IFS(E1977&lt;28, "17-27",
AND(E1977&gt;27, E1977&lt;38), "28-37",
AND(E1977&gt;37, E1977 &lt;48), "38-47",
AND(E1977&gt;47, E1977 &lt;58), "48-57",
AND(E1977&gt;57, E1977&lt;68), "58-67",
AND(E1977&gt;67, E1977&lt;78), "68-77",
E1977&gt;77,"Above than 77")</f>
        <v>58-67</v>
      </c>
      <c r="E1977">
        <v>61</v>
      </c>
      <c r="F1977" s="1">
        <v>22213</v>
      </c>
      <c r="G1977" s="1" t="str">
        <f>VLOOKUP(H1977,Table7[#All], 2, FALSE)</f>
        <v>Idaho</v>
      </c>
      <c r="H1977" s="2" t="s">
        <v>111</v>
      </c>
      <c r="I1977" s="2" t="s">
        <v>22</v>
      </c>
      <c r="J1977" s="2" t="s">
        <v>34</v>
      </c>
      <c r="K1977" s="2" t="s">
        <v>24</v>
      </c>
      <c r="L1977" s="2" t="s">
        <v>9</v>
      </c>
      <c r="M1977" s="2" t="s">
        <v>25</v>
      </c>
      <c r="N1977" s="2" t="s">
        <v>19</v>
      </c>
      <c r="O1977" s="2" t="s">
        <v>27</v>
      </c>
      <c r="P1977" s="2" t="s">
        <v>69</v>
      </c>
      <c r="Q1977" s="2" t="s">
        <v>30</v>
      </c>
      <c r="R1977" s="2" t="s">
        <v>18</v>
      </c>
      <c r="S1977">
        <v>2</v>
      </c>
    </row>
    <row r="1978" spans="1:19" x14ac:dyDescent="0.3">
      <c r="A1978">
        <v>2656</v>
      </c>
      <c r="B1978">
        <f>YEAR(Cleaned_HR_Data_Analysis__2[[#This Row],[Joining_Date]])</f>
        <v>2018</v>
      </c>
      <c r="C1978" s="1">
        <v>43404</v>
      </c>
      <c r="D1978" s="1" t="str" cm="1">
        <f t="array" ref="D1978">_xlfn.IFS(E1978&lt;28, "17-27",
AND(E1978&gt;27, E1978&lt;38), "28-37",
AND(E1978&gt;37, E1978 &lt;48), "38-47",
AND(E1978&gt;47, E1978 &lt;58), "48-57",
AND(E1978&gt;57, E1978&lt;68), "58-67",
AND(E1978&gt;67, E1978&lt;78), "68-77",
E1978&gt;77,"Above than 77")</f>
        <v>58-67</v>
      </c>
      <c r="E1978">
        <v>61</v>
      </c>
      <c r="F1978" s="1">
        <v>20861</v>
      </c>
      <c r="G1978" s="1" t="str">
        <f>VLOOKUP(H1978,Table7[#All], 2, FALSE)</f>
        <v>Arizona</v>
      </c>
      <c r="H1978" s="2" t="s">
        <v>114</v>
      </c>
      <c r="I1978" s="2" t="s">
        <v>22</v>
      </c>
      <c r="J1978" s="2" t="s">
        <v>31</v>
      </c>
      <c r="K1978" s="2" t="s">
        <v>24</v>
      </c>
      <c r="L1978" s="2" t="s">
        <v>9</v>
      </c>
      <c r="M1978" s="2" t="s">
        <v>20</v>
      </c>
      <c r="N1978" s="2" t="s">
        <v>26</v>
      </c>
      <c r="O1978" s="2" t="s">
        <v>27</v>
      </c>
      <c r="P1978" s="2" t="s">
        <v>21</v>
      </c>
      <c r="Q1978" s="2" t="s">
        <v>23</v>
      </c>
      <c r="R1978" s="2" t="s">
        <v>18</v>
      </c>
      <c r="S1978">
        <v>4</v>
      </c>
    </row>
    <row r="1979" spans="1:19" x14ac:dyDescent="0.3">
      <c r="A1979">
        <v>1376</v>
      </c>
      <c r="B1979">
        <f>YEAR(Cleaned_HR_Data_Analysis__2[[#This Row],[Joining_Date]])</f>
        <v>2019</v>
      </c>
      <c r="C1979" s="1">
        <v>43802</v>
      </c>
      <c r="D1979" s="1" t="str" cm="1">
        <f t="array" ref="D1979">_xlfn.IFS(E1979&lt;28, "17-27",
AND(E1979&gt;27, E1979&lt;38), "28-37",
AND(E1979&gt;37, E1979 &lt;48), "38-47",
AND(E1979&gt;47, E1979 &lt;58), "48-57",
AND(E1979&gt;57, E1979&lt;68), "58-67",
AND(E1979&gt;67, E1979&lt;78), "68-77",
E1979&gt;77,"Above than 77")</f>
        <v>58-67</v>
      </c>
      <c r="E1979">
        <v>61</v>
      </c>
      <c r="F1979" s="1">
        <v>21527</v>
      </c>
      <c r="G1979" s="1" t="str">
        <f>VLOOKUP(H1979,Table7[#All], 2, FALSE)</f>
        <v>Massachusetts</v>
      </c>
      <c r="H1979" s="2" t="s">
        <v>14</v>
      </c>
      <c r="I1979" s="2" t="s">
        <v>15</v>
      </c>
      <c r="J1979" s="2" t="s">
        <v>31</v>
      </c>
      <c r="K1979" s="2" t="s">
        <v>95</v>
      </c>
      <c r="L1979" s="2" t="s">
        <v>9</v>
      </c>
      <c r="M1979" s="2" t="s">
        <v>25</v>
      </c>
      <c r="N1979" s="2" t="s">
        <v>26</v>
      </c>
      <c r="O1979" s="2" t="s">
        <v>27</v>
      </c>
      <c r="P1979" s="2" t="s">
        <v>35</v>
      </c>
      <c r="Q1979" s="2" t="s">
        <v>30</v>
      </c>
      <c r="R1979" s="2" t="s">
        <v>41</v>
      </c>
      <c r="S1979">
        <v>3</v>
      </c>
    </row>
    <row r="1980" spans="1:19" x14ac:dyDescent="0.3">
      <c r="A1980">
        <v>1343</v>
      </c>
      <c r="B1980">
        <f>YEAR(Cleaned_HR_Data_Analysis__2[[#This Row],[Joining_Date]])</f>
        <v>2019</v>
      </c>
      <c r="C1980" s="1">
        <v>43781</v>
      </c>
      <c r="D1980" s="1" t="str" cm="1">
        <f t="array" ref="D1980">_xlfn.IFS(E1980&lt;28, "17-27",
AND(E1980&gt;27, E1980&lt;38), "28-37",
AND(E1980&gt;37, E1980 &lt;48), "38-47",
AND(E1980&gt;47, E1980 &lt;58), "48-57",
AND(E1980&gt;57, E1980&lt;68), "58-67",
AND(E1980&gt;67, E1980&lt;78), "68-77",
E1980&gt;77,"Above than 77")</f>
        <v>58-67</v>
      </c>
      <c r="E1980">
        <v>61</v>
      </c>
      <c r="F1980" s="1">
        <v>21336</v>
      </c>
      <c r="G1980" s="1" t="str">
        <f>VLOOKUP(H1980,Table7[#All], 2, FALSE)</f>
        <v>Massachusetts</v>
      </c>
      <c r="H1980" s="2" t="s">
        <v>14</v>
      </c>
      <c r="I1980" s="2" t="s">
        <v>15</v>
      </c>
      <c r="J1980" s="2" t="s">
        <v>34</v>
      </c>
      <c r="K1980" s="2" t="s">
        <v>96</v>
      </c>
      <c r="L1980" s="2" t="s">
        <v>9</v>
      </c>
      <c r="M1980" s="2" t="s">
        <v>10</v>
      </c>
      <c r="N1980" s="2" t="s">
        <v>26</v>
      </c>
      <c r="O1980" s="2" t="s">
        <v>90</v>
      </c>
      <c r="P1980" s="2" t="s">
        <v>58</v>
      </c>
      <c r="Q1980" s="2" t="s">
        <v>16</v>
      </c>
      <c r="R1980" s="2" t="s">
        <v>18</v>
      </c>
      <c r="S1980">
        <v>2</v>
      </c>
    </row>
    <row r="1981" spans="1:19" x14ac:dyDescent="0.3">
      <c r="A1981">
        <v>2492</v>
      </c>
      <c r="B1981">
        <f>YEAR(Cleaned_HR_Data_Analysis__2[[#This Row],[Joining_Date]])</f>
        <v>2019</v>
      </c>
      <c r="C1981" s="1">
        <v>43666</v>
      </c>
      <c r="D1981" s="1" t="str" cm="1">
        <f t="array" ref="D1981">_xlfn.IFS(E1981&lt;28, "17-27",
AND(E1981&gt;27, E1981&lt;38), "28-37",
AND(E1981&gt;37, E1981 &lt;48), "38-47",
AND(E1981&gt;47, E1981 &lt;58), "48-57",
AND(E1981&gt;57, E1981&lt;68), "58-67",
AND(E1981&gt;67, E1981&lt;78), "68-77",
E1981&gt;77,"Above than 77")</f>
        <v>58-67</v>
      </c>
      <c r="E1981">
        <v>62</v>
      </c>
      <c r="F1981" s="1">
        <v>21158</v>
      </c>
      <c r="G1981" s="1" t="str">
        <f>VLOOKUP(H1981,Table7[#All], 2, FALSE)</f>
        <v>Massachusetts</v>
      </c>
      <c r="H1981" s="2" t="s">
        <v>14</v>
      </c>
      <c r="I1981" s="2" t="s">
        <v>22</v>
      </c>
      <c r="J1981" s="2" t="s">
        <v>34</v>
      </c>
      <c r="K1981" s="2" t="s">
        <v>86</v>
      </c>
      <c r="L1981" s="2" t="s">
        <v>9</v>
      </c>
      <c r="M1981" s="2" t="s">
        <v>25</v>
      </c>
      <c r="N1981" s="2" t="s">
        <v>11</v>
      </c>
      <c r="O1981" s="2" t="s">
        <v>87</v>
      </c>
      <c r="P1981" s="2" t="s">
        <v>32</v>
      </c>
      <c r="Q1981" s="2" t="s">
        <v>16</v>
      </c>
      <c r="R1981" s="2" t="s">
        <v>18</v>
      </c>
      <c r="S1981">
        <v>2</v>
      </c>
    </row>
    <row r="1982" spans="1:19" x14ac:dyDescent="0.3">
      <c r="A1982">
        <v>1006</v>
      </c>
      <c r="B1982">
        <f>YEAR(Cleaned_HR_Data_Analysis__2[[#This Row],[Joining_Date]])</f>
        <v>2021</v>
      </c>
      <c r="C1982" s="1">
        <v>44423</v>
      </c>
      <c r="D1982" s="1" t="str" cm="1">
        <f t="array" ref="D1982">_xlfn.IFS(E1982&lt;28, "17-27",
AND(E1982&gt;27, E1982&lt;38), "28-37",
AND(E1982&gt;37, E1982 &lt;48), "38-47",
AND(E1982&gt;47, E1982 &lt;58), "48-57",
AND(E1982&gt;57, E1982&lt;68), "58-67",
AND(E1982&gt;67, E1982&lt;78), "68-77",
E1982&gt;77,"Above than 77")</f>
        <v>58-67</v>
      </c>
      <c r="E1982">
        <v>62</v>
      </c>
      <c r="F1982" s="1">
        <v>21600</v>
      </c>
      <c r="G1982" s="1" t="str">
        <f>VLOOKUP(H1982,Table7[#All], 2, FALSE)</f>
        <v>Massachusetts</v>
      </c>
      <c r="H1982" s="2" t="s">
        <v>14</v>
      </c>
      <c r="I1982" s="2" t="s">
        <v>15</v>
      </c>
      <c r="J1982" s="2" t="s">
        <v>17</v>
      </c>
      <c r="K1982" s="2" t="s">
        <v>86</v>
      </c>
      <c r="L1982" s="2" t="s">
        <v>9</v>
      </c>
      <c r="M1982" s="2" t="s">
        <v>25</v>
      </c>
      <c r="N1982" s="2" t="s">
        <v>11</v>
      </c>
      <c r="O1982" s="2" t="s">
        <v>87</v>
      </c>
      <c r="P1982" s="2" t="s">
        <v>42</v>
      </c>
      <c r="Q1982" s="2" t="s">
        <v>16</v>
      </c>
      <c r="R1982" s="2" t="s">
        <v>18</v>
      </c>
      <c r="S1982">
        <v>2</v>
      </c>
    </row>
    <row r="1983" spans="1:19" x14ac:dyDescent="0.3">
      <c r="A1983">
        <v>1001</v>
      </c>
      <c r="B1983">
        <f>YEAR(Cleaned_HR_Data_Analysis__2[[#This Row],[Joining_Date]])</f>
        <v>2019</v>
      </c>
      <c r="C1983" s="1">
        <v>43706</v>
      </c>
      <c r="D1983" s="1" t="str" cm="1">
        <f t="array" ref="D1983">_xlfn.IFS(E1983&lt;28, "17-27",
AND(E1983&gt;27, E1983&lt;38), "28-37",
AND(E1983&gt;37, E1983 &lt;48), "38-47",
AND(E1983&gt;47, E1983 &lt;58), "48-57",
AND(E1983&gt;57, E1983&lt;68), "58-67",
AND(E1983&gt;67, E1983&lt;78), "68-77",
E1983&gt;77,"Above than 77")</f>
        <v>58-67</v>
      </c>
      <c r="E1983">
        <v>62</v>
      </c>
      <c r="F1983" s="1">
        <v>21084</v>
      </c>
      <c r="G1983" s="1" t="str">
        <f>VLOOKUP(H1983,Table7[#All], 2, FALSE)</f>
        <v>Massachusetts</v>
      </c>
      <c r="H1983" s="2" t="s">
        <v>14</v>
      </c>
      <c r="I1983" s="2" t="s">
        <v>15</v>
      </c>
      <c r="J1983" s="2" t="s">
        <v>34</v>
      </c>
      <c r="K1983" s="2" t="s">
        <v>86</v>
      </c>
      <c r="L1983" s="2" t="s">
        <v>9</v>
      </c>
      <c r="M1983" s="2" t="s">
        <v>20</v>
      </c>
      <c r="N1983" s="2" t="s">
        <v>19</v>
      </c>
      <c r="O1983" s="2" t="s">
        <v>87</v>
      </c>
      <c r="P1983" s="2" t="s">
        <v>42</v>
      </c>
      <c r="Q1983" s="2" t="s">
        <v>37</v>
      </c>
      <c r="R1983" s="2" t="s">
        <v>18</v>
      </c>
      <c r="S1983">
        <v>5</v>
      </c>
    </row>
    <row r="1984" spans="1:19" x14ac:dyDescent="0.3">
      <c r="A1984">
        <v>3053</v>
      </c>
      <c r="B1984">
        <f>YEAR(Cleaned_HR_Data_Analysis__2[[#This Row],[Joining_Date]])</f>
        <v>2020</v>
      </c>
      <c r="C1984" s="1">
        <v>43916</v>
      </c>
      <c r="D1984" s="1" t="str" cm="1">
        <f t="array" ref="D1984">_xlfn.IFS(E1984&lt;28, "17-27",
AND(E1984&gt;27, E1984&lt;38), "28-37",
AND(E1984&gt;37, E1984 &lt;48), "38-47",
AND(E1984&gt;47, E1984 &lt;58), "48-57",
AND(E1984&gt;57, E1984&lt;68), "58-67",
AND(E1984&gt;67, E1984&lt;78), "68-77",
E1984&gt;77,"Above than 77")</f>
        <v>58-67</v>
      </c>
      <c r="E1984">
        <v>62</v>
      </c>
      <c r="F1984" s="1">
        <v>21189</v>
      </c>
      <c r="G1984" s="1" t="str">
        <f>VLOOKUP(H1984,Table7[#All], 2, FALSE)</f>
        <v>Massachusetts</v>
      </c>
      <c r="H1984" s="2" t="s">
        <v>14</v>
      </c>
      <c r="I1984" s="2" t="s">
        <v>15</v>
      </c>
      <c r="J1984" s="2" t="s">
        <v>17</v>
      </c>
      <c r="K1984" s="2" t="s">
        <v>64</v>
      </c>
      <c r="L1984" s="2" t="s">
        <v>9</v>
      </c>
      <c r="M1984" s="2" t="s">
        <v>20</v>
      </c>
      <c r="N1984" s="2" t="s">
        <v>19</v>
      </c>
      <c r="O1984" s="2" t="s">
        <v>12</v>
      </c>
      <c r="P1984" s="2" t="s">
        <v>32</v>
      </c>
      <c r="Q1984" s="2" t="s">
        <v>46</v>
      </c>
      <c r="R1984" s="2" t="s">
        <v>18</v>
      </c>
      <c r="S1984">
        <v>1</v>
      </c>
    </row>
    <row r="1985" spans="1:19" x14ac:dyDescent="0.3">
      <c r="A1985">
        <v>3029</v>
      </c>
      <c r="B1985">
        <f>YEAR(Cleaned_HR_Data_Analysis__2[[#This Row],[Joining_Date]])</f>
        <v>2021</v>
      </c>
      <c r="C1985" s="1">
        <v>44493</v>
      </c>
      <c r="D1985" s="1" t="str" cm="1">
        <f t="array" ref="D1985">_xlfn.IFS(E1985&lt;28, "17-27",
AND(E1985&gt;27, E1985&lt;38), "28-37",
AND(E1985&gt;37, E1985 &lt;48), "38-47",
AND(E1985&gt;47, E1985 &lt;58), "48-57",
AND(E1985&gt;57, E1985&lt;68), "58-67",
AND(E1985&gt;67, E1985&lt;78), "68-77",
E1985&gt;77,"Above than 77")</f>
        <v>58-67</v>
      </c>
      <c r="E1985">
        <v>62</v>
      </c>
      <c r="F1985" s="1">
        <v>21715</v>
      </c>
      <c r="G1985" s="1" t="str">
        <f>VLOOKUP(H1985,Table7[#All], 2, FALSE)</f>
        <v>Massachusetts</v>
      </c>
      <c r="H1985" s="2" t="s">
        <v>14</v>
      </c>
      <c r="I1985" s="2" t="s">
        <v>15</v>
      </c>
      <c r="J1985" s="2" t="s">
        <v>17</v>
      </c>
      <c r="K1985" s="2" t="s">
        <v>64</v>
      </c>
      <c r="L1985" s="2" t="s">
        <v>9</v>
      </c>
      <c r="M1985" s="2" t="s">
        <v>10</v>
      </c>
      <c r="N1985" s="2" t="s">
        <v>11</v>
      </c>
      <c r="O1985" s="2" t="s">
        <v>12</v>
      </c>
      <c r="P1985" s="2" t="s">
        <v>13</v>
      </c>
      <c r="Q1985" s="2" t="s">
        <v>46</v>
      </c>
      <c r="R1985" s="2" t="s">
        <v>18</v>
      </c>
      <c r="S1985">
        <v>1</v>
      </c>
    </row>
    <row r="1986" spans="1:19" x14ac:dyDescent="0.3">
      <c r="A1986">
        <v>1450</v>
      </c>
      <c r="B1986">
        <f>YEAR(Cleaned_HR_Data_Analysis__2[[#This Row],[Joining_Date]])</f>
        <v>2020</v>
      </c>
      <c r="C1986" s="1">
        <v>43868</v>
      </c>
      <c r="D1986" s="1" t="str" cm="1">
        <f t="array" ref="D1986">_xlfn.IFS(E1986&lt;28, "17-27",
AND(E1986&gt;27, E1986&lt;38), "28-37",
AND(E1986&gt;37, E1986 &lt;48), "38-47",
AND(E1986&gt;47, E1986 &lt;58), "48-57",
AND(E1986&gt;57, E1986&lt;68), "58-67",
AND(E1986&gt;67, E1986&lt;78), "68-77",
E1986&gt;77,"Above than 77")</f>
        <v>58-67</v>
      </c>
      <c r="E1986">
        <v>62</v>
      </c>
      <c r="F1986" s="1">
        <v>21236</v>
      </c>
      <c r="G1986" s="1" t="str">
        <f>VLOOKUP(H1986,Table7[#All], 2, FALSE)</f>
        <v>Massachusetts</v>
      </c>
      <c r="H1986" s="2" t="s">
        <v>14</v>
      </c>
      <c r="I1986" s="2" t="s">
        <v>22</v>
      </c>
      <c r="J1986" s="2" t="s">
        <v>31</v>
      </c>
      <c r="K1986" s="2" t="s">
        <v>64</v>
      </c>
      <c r="L1986" s="2" t="s">
        <v>66</v>
      </c>
      <c r="M1986" s="2" t="s">
        <v>25</v>
      </c>
      <c r="N1986" s="2" t="s">
        <v>11</v>
      </c>
      <c r="O1986" s="2" t="s">
        <v>12</v>
      </c>
      <c r="P1986" s="2" t="s">
        <v>35</v>
      </c>
      <c r="Q1986" s="2" t="s">
        <v>16</v>
      </c>
      <c r="R1986" s="2" t="s">
        <v>56</v>
      </c>
      <c r="S1986">
        <v>1</v>
      </c>
    </row>
    <row r="1987" spans="1:19" x14ac:dyDescent="0.3">
      <c r="A1987">
        <v>3677</v>
      </c>
      <c r="B1987">
        <f>YEAR(Cleaned_HR_Data_Analysis__2[[#This Row],[Joining_Date]])</f>
        <v>2022</v>
      </c>
      <c r="C1987" s="1">
        <v>44835</v>
      </c>
      <c r="D1987" s="1" t="str" cm="1">
        <f t="array" ref="D1987">_xlfn.IFS(E1987&lt;28, "17-27",
AND(E1987&gt;27, E1987&lt;38), "28-37",
AND(E1987&gt;37, E1987 &lt;48), "38-47",
AND(E1987&gt;47, E1987 &lt;58), "48-57",
AND(E1987&gt;57, E1987&lt;68), "58-67",
AND(E1987&gt;67, E1987&lt;78), "68-77",
E1987&gt;77,"Above than 77")</f>
        <v>58-67</v>
      </c>
      <c r="E1987">
        <v>62</v>
      </c>
      <c r="F1987" s="1">
        <v>21950</v>
      </c>
      <c r="G1987" s="1" t="str">
        <f>VLOOKUP(H1987,Table7[#All], 2, FALSE)</f>
        <v>Massachusetts</v>
      </c>
      <c r="H1987" s="2" t="s">
        <v>14</v>
      </c>
      <c r="I1987" s="2" t="s">
        <v>22</v>
      </c>
      <c r="J1987" s="2" t="s">
        <v>31</v>
      </c>
      <c r="K1987" s="2" t="s">
        <v>8</v>
      </c>
      <c r="L1987" s="2" t="s">
        <v>9</v>
      </c>
      <c r="M1987" s="2" t="s">
        <v>25</v>
      </c>
      <c r="N1987" s="2" t="s">
        <v>19</v>
      </c>
      <c r="O1987" s="2" t="s">
        <v>12</v>
      </c>
      <c r="P1987" s="2" t="s">
        <v>35</v>
      </c>
      <c r="Q1987" s="2" t="s">
        <v>23</v>
      </c>
      <c r="R1987" s="2" t="s">
        <v>18</v>
      </c>
      <c r="S1987">
        <v>5</v>
      </c>
    </row>
    <row r="1988" spans="1:19" x14ac:dyDescent="0.3">
      <c r="A1988">
        <v>3617</v>
      </c>
      <c r="B1988">
        <f>YEAR(Cleaned_HR_Data_Analysis__2[[#This Row],[Joining_Date]])</f>
        <v>2023</v>
      </c>
      <c r="C1988" s="1">
        <v>44958</v>
      </c>
      <c r="D1988" s="1" t="str" cm="1">
        <f t="array" ref="D1988">_xlfn.IFS(E1988&lt;28, "17-27",
AND(E1988&gt;27, E1988&lt;38), "28-37",
AND(E1988&gt;37, E1988 &lt;48), "38-47",
AND(E1988&gt;47, E1988 &lt;58), "48-57",
AND(E1988&gt;57, E1988&lt;68), "58-67",
AND(E1988&gt;67, E1988&lt;78), "68-77",
E1988&gt;77,"Above than 77")</f>
        <v>58-67</v>
      </c>
      <c r="E1988">
        <v>62</v>
      </c>
      <c r="F1988" s="1">
        <v>22330</v>
      </c>
      <c r="G1988" s="1" t="str">
        <f>VLOOKUP(H1988,Table7[#All], 2, FALSE)</f>
        <v>Massachusetts</v>
      </c>
      <c r="H1988" s="2" t="s">
        <v>14</v>
      </c>
      <c r="I1988" s="2" t="s">
        <v>15</v>
      </c>
      <c r="J1988" s="2" t="s">
        <v>34</v>
      </c>
      <c r="K1988" s="2" t="s">
        <v>8</v>
      </c>
      <c r="L1988" s="2" t="s">
        <v>9</v>
      </c>
      <c r="M1988" s="2" t="s">
        <v>25</v>
      </c>
      <c r="N1988" s="2" t="s">
        <v>11</v>
      </c>
      <c r="O1988" s="2" t="s">
        <v>12</v>
      </c>
      <c r="P1988" s="2" t="s">
        <v>59</v>
      </c>
      <c r="Q1988" s="2" t="s">
        <v>23</v>
      </c>
      <c r="R1988" s="2" t="s">
        <v>18</v>
      </c>
      <c r="S1988">
        <v>3</v>
      </c>
    </row>
    <row r="1989" spans="1:19" x14ac:dyDescent="0.3">
      <c r="A1989">
        <v>3578</v>
      </c>
      <c r="B1989">
        <f>YEAR(Cleaned_HR_Data_Analysis__2[[#This Row],[Joining_Date]])</f>
        <v>2019</v>
      </c>
      <c r="C1989" s="1">
        <v>43589</v>
      </c>
      <c r="D1989" s="1" t="str" cm="1">
        <f t="array" ref="D1989">_xlfn.IFS(E1989&lt;28, "17-27",
AND(E1989&gt;27, E1989&lt;38), "28-37",
AND(E1989&gt;37, E1989 &lt;48), "38-47",
AND(E1989&gt;47, E1989 &lt;58), "48-57",
AND(E1989&gt;57, E1989&lt;68), "58-67",
AND(E1989&gt;67, E1989&lt;78), "68-77",
E1989&gt;77,"Above than 77")</f>
        <v>58-67</v>
      </c>
      <c r="E1989">
        <v>62</v>
      </c>
      <c r="F1989" s="1">
        <v>20970</v>
      </c>
      <c r="G1989" s="1" t="str">
        <f>VLOOKUP(H1989,Table7[#All], 2, FALSE)</f>
        <v>Massachusetts</v>
      </c>
      <c r="H1989" s="2" t="s">
        <v>14</v>
      </c>
      <c r="I1989" s="2" t="s">
        <v>22</v>
      </c>
      <c r="J1989" s="2" t="s">
        <v>34</v>
      </c>
      <c r="K1989" s="2" t="s">
        <v>8</v>
      </c>
      <c r="L1989" s="2" t="s">
        <v>9</v>
      </c>
      <c r="M1989" s="2" t="s">
        <v>25</v>
      </c>
      <c r="N1989" s="2" t="s">
        <v>19</v>
      </c>
      <c r="O1989" s="2" t="s">
        <v>12</v>
      </c>
      <c r="P1989" s="2" t="s">
        <v>35</v>
      </c>
      <c r="Q1989" s="2" t="s">
        <v>23</v>
      </c>
      <c r="R1989" s="2" t="s">
        <v>41</v>
      </c>
      <c r="S1989">
        <v>4</v>
      </c>
    </row>
    <row r="1990" spans="1:19" x14ac:dyDescent="0.3">
      <c r="A1990">
        <v>3577</v>
      </c>
      <c r="B1990">
        <f>YEAR(Cleaned_HR_Data_Analysis__2[[#This Row],[Joining_Date]])</f>
        <v>2019</v>
      </c>
      <c r="C1990" s="1">
        <v>43723</v>
      </c>
      <c r="D1990" s="1" t="str" cm="1">
        <f t="array" ref="D1990">_xlfn.IFS(E1990&lt;28, "17-27",
AND(E1990&gt;27, E1990&lt;38), "28-37",
AND(E1990&gt;37, E1990 &lt;48), "38-47",
AND(E1990&gt;47, E1990 &lt;58), "48-57",
AND(E1990&gt;57, E1990&lt;68), "58-67",
AND(E1990&gt;67, E1990&lt;78), "68-77",
E1990&gt;77,"Above than 77")</f>
        <v>58-67</v>
      </c>
      <c r="E1990">
        <v>62</v>
      </c>
      <c r="F1990" s="1">
        <v>20970</v>
      </c>
      <c r="G1990" s="1" t="str">
        <f>VLOOKUP(H1990,Table7[#All], 2, FALSE)</f>
        <v>Massachusetts</v>
      </c>
      <c r="H1990" s="2" t="s">
        <v>14</v>
      </c>
      <c r="I1990" s="2" t="s">
        <v>22</v>
      </c>
      <c r="J1990" s="2" t="s">
        <v>17</v>
      </c>
      <c r="K1990" s="2" t="s">
        <v>8</v>
      </c>
      <c r="L1990" s="2" t="s">
        <v>9</v>
      </c>
      <c r="M1990" s="2" t="s">
        <v>20</v>
      </c>
      <c r="N1990" s="2" t="s">
        <v>11</v>
      </c>
      <c r="O1990" s="2" t="s">
        <v>12</v>
      </c>
      <c r="P1990" s="2" t="s">
        <v>35</v>
      </c>
      <c r="Q1990" s="2" t="s">
        <v>16</v>
      </c>
      <c r="R1990" s="2" t="s">
        <v>18</v>
      </c>
      <c r="S1990">
        <v>4</v>
      </c>
    </row>
    <row r="1991" spans="1:19" x14ac:dyDescent="0.3">
      <c r="A1991">
        <v>3255</v>
      </c>
      <c r="B1991">
        <f>YEAR(Cleaned_HR_Data_Analysis__2[[#This Row],[Joining_Date]])</f>
        <v>2023</v>
      </c>
      <c r="C1991" s="1">
        <v>45007</v>
      </c>
      <c r="D1991" s="1" t="str" cm="1">
        <f t="array" ref="D1991">_xlfn.IFS(E1991&lt;28, "17-27",
AND(E1991&gt;27, E1991&lt;38), "28-37",
AND(E1991&gt;37, E1991 &lt;48), "38-47",
AND(E1991&gt;47, E1991 &lt;58), "48-57",
AND(E1991&gt;57, E1991&lt;68), "58-67",
AND(E1991&gt;67, E1991&lt;78), "68-77",
E1991&gt;77,"Above than 77")</f>
        <v>58-67</v>
      </c>
      <c r="E1991">
        <v>62</v>
      </c>
      <c r="F1991" s="1">
        <v>22407</v>
      </c>
      <c r="G1991" s="1" t="str">
        <f>VLOOKUP(H1991,Table7[#All], 2, FALSE)</f>
        <v>Massachusetts</v>
      </c>
      <c r="H1991" s="2" t="s">
        <v>14</v>
      </c>
      <c r="I1991" s="2" t="s">
        <v>22</v>
      </c>
      <c r="J1991" s="2" t="s">
        <v>17</v>
      </c>
      <c r="K1991" s="2" t="s">
        <v>8</v>
      </c>
      <c r="L1991" s="2" t="s">
        <v>9</v>
      </c>
      <c r="M1991" s="2" t="s">
        <v>10</v>
      </c>
      <c r="N1991" s="2" t="s">
        <v>11</v>
      </c>
      <c r="O1991" s="2" t="s">
        <v>12</v>
      </c>
      <c r="P1991" s="2" t="s">
        <v>63</v>
      </c>
      <c r="Q1991" s="2" t="s">
        <v>30</v>
      </c>
      <c r="R1991" s="2" t="s">
        <v>18</v>
      </c>
      <c r="S1991">
        <v>4</v>
      </c>
    </row>
    <row r="1992" spans="1:19" x14ac:dyDescent="0.3">
      <c r="A1992">
        <v>3234</v>
      </c>
      <c r="B1992">
        <f>YEAR(Cleaned_HR_Data_Analysis__2[[#This Row],[Joining_Date]])</f>
        <v>2021</v>
      </c>
      <c r="C1992" s="1">
        <v>44431</v>
      </c>
      <c r="D1992" s="1" t="str" cm="1">
        <f t="array" ref="D1992">_xlfn.IFS(E1992&lt;28, "17-27",
AND(E1992&gt;27, E1992&lt;38), "28-37",
AND(E1992&gt;37, E1992 &lt;48), "38-47",
AND(E1992&gt;47, E1992 &lt;58), "48-57",
AND(E1992&gt;57, E1992&lt;68), "58-67",
AND(E1992&gt;67, E1992&lt;78), "68-77",
E1992&gt;77,"Above than 77")</f>
        <v>58-67</v>
      </c>
      <c r="E1992">
        <v>62</v>
      </c>
      <c r="F1992" s="1">
        <v>21665</v>
      </c>
      <c r="G1992" s="1" t="str">
        <f>VLOOKUP(H1992,Table7[#All], 2, FALSE)</f>
        <v>Massachusetts</v>
      </c>
      <c r="H1992" s="2" t="s">
        <v>14</v>
      </c>
      <c r="I1992" s="2" t="s">
        <v>22</v>
      </c>
      <c r="J1992" s="2" t="s">
        <v>17</v>
      </c>
      <c r="K1992" s="2" t="s">
        <v>8</v>
      </c>
      <c r="L1992" s="2" t="s">
        <v>9</v>
      </c>
      <c r="M1992" s="2" t="s">
        <v>20</v>
      </c>
      <c r="N1992" s="2" t="s">
        <v>26</v>
      </c>
      <c r="O1992" s="2" t="s">
        <v>12</v>
      </c>
      <c r="P1992" s="2" t="s">
        <v>32</v>
      </c>
      <c r="Q1992" s="2" t="s">
        <v>37</v>
      </c>
      <c r="R1992" s="2" t="s">
        <v>18</v>
      </c>
      <c r="S1992">
        <v>3</v>
      </c>
    </row>
    <row r="1993" spans="1:19" x14ac:dyDescent="0.3">
      <c r="A1993">
        <v>3101</v>
      </c>
      <c r="B1993">
        <f>YEAR(Cleaned_HR_Data_Analysis__2[[#This Row],[Joining_Date]])</f>
        <v>2023</v>
      </c>
      <c r="C1993" s="1">
        <v>44949</v>
      </c>
      <c r="D1993" s="1" t="str" cm="1">
        <f t="array" ref="D1993">_xlfn.IFS(E1993&lt;28, "17-27",
AND(E1993&gt;27, E1993&lt;38), "28-37",
AND(E1993&gt;37, E1993 &lt;48), "38-47",
AND(E1993&gt;47, E1993 &lt;58), "48-57",
AND(E1993&gt;57, E1993&lt;68), "58-67",
AND(E1993&gt;67, E1993&lt;78), "68-77",
E1993&gt;77,"Above than 77")</f>
        <v>58-67</v>
      </c>
      <c r="E1993">
        <v>62</v>
      </c>
      <c r="F1993" s="1">
        <v>22349</v>
      </c>
      <c r="G1993" s="1" t="str">
        <f>VLOOKUP(H1993,Table7[#All], 2, FALSE)</f>
        <v>Massachusetts</v>
      </c>
      <c r="H1993" s="2" t="s">
        <v>14</v>
      </c>
      <c r="I1993" s="2" t="s">
        <v>15</v>
      </c>
      <c r="J1993" s="2" t="s">
        <v>31</v>
      </c>
      <c r="K1993" s="2" t="s">
        <v>8</v>
      </c>
      <c r="L1993" s="2" t="s">
        <v>9</v>
      </c>
      <c r="M1993" s="2" t="s">
        <v>25</v>
      </c>
      <c r="N1993" s="2" t="s">
        <v>26</v>
      </c>
      <c r="O1993" s="2" t="s">
        <v>12</v>
      </c>
      <c r="P1993" s="2" t="s">
        <v>32</v>
      </c>
      <c r="Q1993" s="2" t="s">
        <v>46</v>
      </c>
      <c r="R1993" s="2" t="s">
        <v>18</v>
      </c>
      <c r="S1993">
        <v>4</v>
      </c>
    </row>
    <row r="1994" spans="1:19" x14ac:dyDescent="0.3">
      <c r="A1994">
        <v>3042</v>
      </c>
      <c r="B1994">
        <f>YEAR(Cleaned_HR_Data_Analysis__2[[#This Row],[Joining_Date]])</f>
        <v>2023</v>
      </c>
      <c r="C1994" s="1">
        <v>45086</v>
      </c>
      <c r="D1994" s="1" t="str" cm="1">
        <f t="array" ref="D1994">_xlfn.IFS(E1994&lt;28, "17-27",
AND(E1994&gt;27, E1994&lt;38), "28-37",
AND(E1994&gt;37, E1994 &lt;48), "38-47",
AND(E1994&gt;47, E1994 &lt;58), "48-57",
AND(E1994&gt;57, E1994&lt;68), "58-67",
AND(E1994&gt;67, E1994&lt;78), "68-77",
E1994&gt;77,"Above than 77")</f>
        <v>58-67</v>
      </c>
      <c r="E1994">
        <v>62</v>
      </c>
      <c r="F1994" s="1">
        <v>22456</v>
      </c>
      <c r="G1994" s="1" t="str">
        <f>VLOOKUP(H1994,Table7[#All], 2, FALSE)</f>
        <v>Massachusetts</v>
      </c>
      <c r="H1994" s="2" t="s">
        <v>14</v>
      </c>
      <c r="I1994" s="2" t="s">
        <v>15</v>
      </c>
      <c r="J1994" s="2" t="s">
        <v>17</v>
      </c>
      <c r="K1994" s="2" t="s">
        <v>8</v>
      </c>
      <c r="L1994" s="2" t="s">
        <v>9</v>
      </c>
      <c r="M1994" s="2" t="s">
        <v>10</v>
      </c>
      <c r="N1994" s="2" t="s">
        <v>26</v>
      </c>
      <c r="O1994" s="2" t="s">
        <v>12</v>
      </c>
      <c r="P1994" s="2" t="s">
        <v>55</v>
      </c>
      <c r="Q1994" s="2" t="s">
        <v>16</v>
      </c>
      <c r="R1994" s="2" t="s">
        <v>41</v>
      </c>
      <c r="S1994">
        <v>1</v>
      </c>
    </row>
    <row r="1995" spans="1:19" x14ac:dyDescent="0.3">
      <c r="A1995">
        <v>3031</v>
      </c>
      <c r="B1995">
        <f>YEAR(Cleaned_HR_Data_Analysis__2[[#This Row],[Joining_Date]])</f>
        <v>2022</v>
      </c>
      <c r="C1995" s="1">
        <v>44583</v>
      </c>
      <c r="D1995" s="1" t="str" cm="1">
        <f t="array" ref="D1995">_xlfn.IFS(E1995&lt;28, "17-27",
AND(E1995&gt;27, E1995&lt;38), "28-37",
AND(E1995&gt;37, E1995 &lt;48), "38-47",
AND(E1995&gt;47, E1995 &lt;58), "48-57",
AND(E1995&gt;57, E1995&lt;68), "58-67",
AND(E1995&gt;67, E1995&lt;78), "68-77",
E1995&gt;77,"Above than 77")</f>
        <v>58-67</v>
      </c>
      <c r="E1995">
        <v>62</v>
      </c>
      <c r="F1995" s="1">
        <v>22110</v>
      </c>
      <c r="G1995" s="1" t="str">
        <f>VLOOKUP(H1995,Table7[#All], 2, FALSE)</f>
        <v>Massachusetts</v>
      </c>
      <c r="H1995" s="2" t="s">
        <v>14</v>
      </c>
      <c r="I1995" s="2" t="s">
        <v>22</v>
      </c>
      <c r="J1995" s="2" t="s">
        <v>34</v>
      </c>
      <c r="K1995" s="2" t="s">
        <v>8</v>
      </c>
      <c r="L1995" s="2" t="s">
        <v>9</v>
      </c>
      <c r="M1995" s="2" t="s">
        <v>10</v>
      </c>
      <c r="N1995" s="2" t="s">
        <v>26</v>
      </c>
      <c r="O1995" s="2" t="s">
        <v>12</v>
      </c>
      <c r="P1995" s="2" t="s">
        <v>54</v>
      </c>
      <c r="Q1995" s="2" t="s">
        <v>46</v>
      </c>
      <c r="R1995" s="2" t="s">
        <v>18</v>
      </c>
      <c r="S1995">
        <v>3</v>
      </c>
    </row>
    <row r="1996" spans="1:19" x14ac:dyDescent="0.3">
      <c r="A1996">
        <v>2980</v>
      </c>
      <c r="B1996">
        <f>YEAR(Cleaned_HR_Data_Analysis__2[[#This Row],[Joining_Date]])</f>
        <v>2019</v>
      </c>
      <c r="C1996" s="1">
        <v>43829</v>
      </c>
      <c r="D1996" s="1" t="str" cm="1">
        <f t="array" ref="D1996">_xlfn.IFS(E1996&lt;28, "17-27",
AND(E1996&gt;27, E1996&lt;38), "28-37",
AND(E1996&gt;37, E1996 &lt;48), "38-47",
AND(E1996&gt;47, E1996 &lt;58), "48-57",
AND(E1996&gt;57, E1996&lt;68), "58-67",
AND(E1996&gt;67, E1996&lt;78), "68-77",
E1996&gt;77,"Above than 77")</f>
        <v>58-67</v>
      </c>
      <c r="E1996">
        <v>62</v>
      </c>
      <c r="F1996" s="1">
        <v>21072</v>
      </c>
      <c r="G1996" s="1" t="str">
        <f>VLOOKUP(H1996,Table7[#All], 2, FALSE)</f>
        <v>Massachusetts</v>
      </c>
      <c r="H1996" s="2" t="s">
        <v>14</v>
      </c>
      <c r="I1996" s="2" t="s">
        <v>15</v>
      </c>
      <c r="J1996" s="2" t="s">
        <v>40</v>
      </c>
      <c r="K1996" s="2" t="s">
        <v>8</v>
      </c>
      <c r="L1996" s="2" t="s">
        <v>9</v>
      </c>
      <c r="M1996" s="2" t="s">
        <v>20</v>
      </c>
      <c r="N1996" s="2" t="s">
        <v>19</v>
      </c>
      <c r="O1996" s="2" t="s">
        <v>12</v>
      </c>
      <c r="P1996" s="2" t="s">
        <v>32</v>
      </c>
      <c r="Q1996" s="2" t="s">
        <v>23</v>
      </c>
      <c r="R1996" s="2" t="s">
        <v>18</v>
      </c>
      <c r="S1996">
        <v>3</v>
      </c>
    </row>
    <row r="1997" spans="1:19" x14ac:dyDescent="0.3">
      <c r="A1997">
        <v>2953</v>
      </c>
      <c r="B1997">
        <f>YEAR(Cleaned_HR_Data_Analysis__2[[#This Row],[Joining_Date]])</f>
        <v>2019</v>
      </c>
      <c r="C1997" s="1">
        <v>43774</v>
      </c>
      <c r="D1997" s="1" t="str" cm="1">
        <f t="array" ref="D1997">_xlfn.IFS(E1997&lt;28, "17-27",
AND(E1997&gt;27, E1997&lt;38), "28-37",
AND(E1997&gt;37, E1997 &lt;48), "38-47",
AND(E1997&gt;47, E1997 &lt;58), "48-57",
AND(E1997&gt;57, E1997&lt;68), "58-67",
AND(E1997&gt;67, E1997&lt;78), "68-77",
E1997&gt;77,"Above than 77")</f>
        <v>58-67</v>
      </c>
      <c r="E1997">
        <v>62</v>
      </c>
      <c r="F1997" s="1">
        <v>20898</v>
      </c>
      <c r="G1997" s="1" t="str">
        <f>VLOOKUP(H1997,Table7[#All], 2, FALSE)</f>
        <v>Massachusetts</v>
      </c>
      <c r="H1997" s="2" t="s">
        <v>14</v>
      </c>
      <c r="I1997" s="2" t="s">
        <v>22</v>
      </c>
      <c r="J1997" s="2" t="s">
        <v>17</v>
      </c>
      <c r="K1997" s="2" t="s">
        <v>8</v>
      </c>
      <c r="L1997" s="2" t="s">
        <v>9</v>
      </c>
      <c r="M1997" s="2" t="s">
        <v>25</v>
      </c>
      <c r="N1997" s="2" t="s">
        <v>26</v>
      </c>
      <c r="O1997" s="2" t="s">
        <v>12</v>
      </c>
      <c r="P1997" s="2" t="s">
        <v>35</v>
      </c>
      <c r="Q1997" s="2" t="s">
        <v>30</v>
      </c>
      <c r="R1997" s="2" t="s">
        <v>18</v>
      </c>
      <c r="S1997">
        <v>3</v>
      </c>
    </row>
    <row r="1998" spans="1:19" x14ac:dyDescent="0.3">
      <c r="A1998">
        <v>2860</v>
      </c>
      <c r="B1998">
        <f>YEAR(Cleaned_HR_Data_Analysis__2[[#This Row],[Joining_Date]])</f>
        <v>2023</v>
      </c>
      <c r="C1998" s="1">
        <v>45029</v>
      </c>
      <c r="D1998" s="1" t="str" cm="1">
        <f t="array" ref="D1998">_xlfn.IFS(E1998&lt;28, "17-27",
AND(E1998&gt;27, E1998&lt;38), "28-37",
AND(E1998&gt;37, E1998 &lt;48), "38-47",
AND(E1998&gt;47, E1998 &lt;58), "48-57",
AND(E1998&gt;57, E1998&lt;68), "58-67",
AND(E1998&gt;67, E1998&lt;78), "68-77",
E1998&gt;77,"Above than 77")</f>
        <v>58-67</v>
      </c>
      <c r="E1998">
        <v>62</v>
      </c>
      <c r="F1998" s="1">
        <v>22585</v>
      </c>
      <c r="G1998" s="1" t="str">
        <f>VLOOKUP(H1998,Table7[#All], 2, FALSE)</f>
        <v>Massachusetts</v>
      </c>
      <c r="H1998" s="2" t="s">
        <v>14</v>
      </c>
      <c r="I1998" s="2" t="s">
        <v>22</v>
      </c>
      <c r="J1998" s="2" t="s">
        <v>34</v>
      </c>
      <c r="K1998" s="2" t="s">
        <v>8</v>
      </c>
      <c r="L1998" s="2" t="s">
        <v>9</v>
      </c>
      <c r="M1998" s="2" t="s">
        <v>20</v>
      </c>
      <c r="N1998" s="2" t="s">
        <v>11</v>
      </c>
      <c r="O1998" s="2" t="s">
        <v>12</v>
      </c>
      <c r="P1998" s="2" t="s">
        <v>32</v>
      </c>
      <c r="Q1998" s="2" t="s">
        <v>37</v>
      </c>
      <c r="R1998" s="2" t="s">
        <v>18</v>
      </c>
      <c r="S1998">
        <v>1</v>
      </c>
    </row>
    <row r="1999" spans="1:19" x14ac:dyDescent="0.3">
      <c r="A1999">
        <v>2080</v>
      </c>
      <c r="B1999">
        <f>YEAR(Cleaned_HR_Data_Analysis__2[[#This Row],[Joining_Date]])</f>
        <v>2022</v>
      </c>
      <c r="C1999" s="1">
        <v>44819</v>
      </c>
      <c r="D1999" s="1" t="str" cm="1">
        <f t="array" ref="D1999">_xlfn.IFS(E1999&lt;28, "17-27",
AND(E1999&gt;27, E1999&lt;38), "28-37",
AND(E1999&gt;37, E1999 &lt;48), "38-47",
AND(E1999&gt;47, E1999 &lt;58), "48-57",
AND(E1999&gt;57, E1999&lt;68), "58-67",
AND(E1999&gt;67, E1999&lt;78), "68-77",
E1999&gt;77,"Above than 77")</f>
        <v>58-67</v>
      </c>
      <c r="E1999">
        <v>62</v>
      </c>
      <c r="F1999" s="1">
        <v>22223</v>
      </c>
      <c r="G1999" s="1" t="str">
        <f>VLOOKUP(H1999,Table7[#All], 2, FALSE)</f>
        <v>Massachusetts</v>
      </c>
      <c r="H1999" s="2" t="s">
        <v>14</v>
      </c>
      <c r="I1999" s="2" t="s">
        <v>15</v>
      </c>
      <c r="J1999" s="2" t="s">
        <v>34</v>
      </c>
      <c r="K1999" s="2" t="s">
        <v>8</v>
      </c>
      <c r="L1999" s="2" t="s">
        <v>9</v>
      </c>
      <c r="M1999" s="2" t="s">
        <v>10</v>
      </c>
      <c r="N1999" s="2" t="s">
        <v>26</v>
      </c>
      <c r="O1999" s="2" t="s">
        <v>12</v>
      </c>
      <c r="P1999" s="2" t="s">
        <v>60</v>
      </c>
      <c r="Q1999" s="2" t="s">
        <v>30</v>
      </c>
      <c r="R1999" s="2" t="s">
        <v>18</v>
      </c>
      <c r="S1999">
        <v>1</v>
      </c>
    </row>
    <row r="2000" spans="1:19" x14ac:dyDescent="0.3">
      <c r="A2000">
        <v>1922</v>
      </c>
      <c r="B2000">
        <f>YEAR(Cleaned_HR_Data_Analysis__2[[#This Row],[Joining_Date]])</f>
        <v>2020</v>
      </c>
      <c r="C2000" s="1">
        <v>44041</v>
      </c>
      <c r="D2000" s="1" t="str" cm="1">
        <f t="array" ref="D2000">_xlfn.IFS(E2000&lt;28, "17-27",
AND(E2000&gt;27, E2000&lt;38), "28-37",
AND(E2000&gt;37, E2000 &lt;48), "38-47",
AND(E2000&gt;47, E2000 &lt;58), "48-57",
AND(E2000&gt;57, E2000&lt;68), "58-67",
AND(E2000&gt;67, E2000&lt;78), "68-77",
E2000&gt;77,"Above than 77")</f>
        <v>58-67</v>
      </c>
      <c r="E2000">
        <v>62</v>
      </c>
      <c r="F2000" s="1">
        <v>21227</v>
      </c>
      <c r="G2000" s="1" t="str">
        <f>VLOOKUP(H2000,Table7[#All], 2, FALSE)</f>
        <v>Massachusetts</v>
      </c>
      <c r="H2000" s="2" t="s">
        <v>14</v>
      </c>
      <c r="I2000" s="2" t="s">
        <v>22</v>
      </c>
      <c r="J2000" s="2" t="s">
        <v>40</v>
      </c>
      <c r="K2000" s="2" t="s">
        <v>8</v>
      </c>
      <c r="L2000" s="2" t="s">
        <v>9</v>
      </c>
      <c r="M2000" s="2" t="s">
        <v>25</v>
      </c>
      <c r="N2000" s="2" t="s">
        <v>19</v>
      </c>
      <c r="O2000" s="2" t="s">
        <v>12</v>
      </c>
      <c r="P2000" s="2" t="s">
        <v>32</v>
      </c>
      <c r="Q2000" s="2" t="s">
        <v>46</v>
      </c>
      <c r="R2000" s="2" t="s">
        <v>18</v>
      </c>
      <c r="S2000">
        <v>1</v>
      </c>
    </row>
    <row r="2001" spans="1:19" x14ac:dyDescent="0.3">
      <c r="A2001">
        <v>1849</v>
      </c>
      <c r="B2001">
        <f>YEAR(Cleaned_HR_Data_Analysis__2[[#This Row],[Joining_Date]])</f>
        <v>2022</v>
      </c>
      <c r="C2001" s="1">
        <v>44589</v>
      </c>
      <c r="D2001" s="1" t="str" cm="1">
        <f t="array" ref="D2001">_xlfn.IFS(E2001&lt;28, "17-27",
AND(E2001&gt;27, E2001&lt;38), "28-37",
AND(E2001&gt;37, E2001 &lt;48), "38-47",
AND(E2001&gt;47, E2001 &lt;58), "48-57",
AND(E2001&gt;57, E2001&lt;68), "58-67",
AND(E2001&gt;67, E2001&lt;78), "68-77",
E2001&gt;77,"Above than 77")</f>
        <v>58-67</v>
      </c>
      <c r="E2001">
        <v>62</v>
      </c>
      <c r="F2001" s="1">
        <v>22064</v>
      </c>
      <c r="G2001" s="1" t="str">
        <f>VLOOKUP(H2001,Table7[#All], 2, FALSE)</f>
        <v>Massachusetts</v>
      </c>
      <c r="H2001" s="2" t="s">
        <v>14</v>
      </c>
      <c r="I2001" s="2" t="s">
        <v>15</v>
      </c>
      <c r="J2001" s="2" t="s">
        <v>40</v>
      </c>
      <c r="K2001" s="2" t="s">
        <v>8</v>
      </c>
      <c r="L2001" s="2" t="s">
        <v>9</v>
      </c>
      <c r="M2001" s="2" t="s">
        <v>20</v>
      </c>
      <c r="N2001" s="2" t="s">
        <v>26</v>
      </c>
      <c r="O2001" s="2" t="s">
        <v>12</v>
      </c>
      <c r="P2001" s="2" t="s">
        <v>54</v>
      </c>
      <c r="Q2001" s="2" t="s">
        <v>23</v>
      </c>
      <c r="R2001" s="2" t="s">
        <v>65</v>
      </c>
      <c r="S2001">
        <v>4</v>
      </c>
    </row>
    <row r="2002" spans="1:19" x14ac:dyDescent="0.3">
      <c r="A2002">
        <v>1779</v>
      </c>
      <c r="B2002">
        <f>YEAR(Cleaned_HR_Data_Analysis__2[[#This Row],[Joining_Date]])</f>
        <v>2023</v>
      </c>
      <c r="C2002" s="1">
        <v>45122</v>
      </c>
      <c r="D2002" s="1" t="str" cm="1">
        <f t="array" ref="D2002">_xlfn.IFS(E2002&lt;28, "17-27",
AND(E2002&gt;27, E2002&lt;38), "28-37",
AND(E2002&gt;37, E2002 &lt;48), "38-47",
AND(E2002&gt;47, E2002 &lt;58), "48-57",
AND(E2002&gt;57, E2002&lt;68), "58-67",
AND(E2002&gt;67, E2002&lt;78), "68-77",
E2002&gt;77,"Above than 77")</f>
        <v>58-67</v>
      </c>
      <c r="E2002">
        <v>62</v>
      </c>
      <c r="F2002" s="1">
        <v>22405</v>
      </c>
      <c r="G2002" s="1" t="str">
        <f>VLOOKUP(H2002,Table7[#All], 2, FALSE)</f>
        <v>Massachusetts</v>
      </c>
      <c r="H2002" s="2" t="s">
        <v>14</v>
      </c>
      <c r="I2002" s="2" t="s">
        <v>15</v>
      </c>
      <c r="J2002" s="2" t="s">
        <v>34</v>
      </c>
      <c r="K2002" s="2" t="s">
        <v>8</v>
      </c>
      <c r="L2002" s="2" t="s">
        <v>9</v>
      </c>
      <c r="M2002" s="2" t="s">
        <v>25</v>
      </c>
      <c r="N2002" s="2" t="s">
        <v>19</v>
      </c>
      <c r="O2002" s="2" t="s">
        <v>12</v>
      </c>
      <c r="P2002" s="2" t="s">
        <v>54</v>
      </c>
      <c r="Q2002" s="2" t="s">
        <v>30</v>
      </c>
      <c r="R2002" s="2" t="s">
        <v>18</v>
      </c>
      <c r="S2002">
        <v>3</v>
      </c>
    </row>
    <row r="2003" spans="1:19" x14ac:dyDescent="0.3">
      <c r="A2003">
        <v>1766</v>
      </c>
      <c r="B2003">
        <f>YEAR(Cleaned_HR_Data_Analysis__2[[#This Row],[Joining_Date]])</f>
        <v>2019</v>
      </c>
      <c r="C2003" s="1">
        <v>43638</v>
      </c>
      <c r="D2003" s="1" t="str" cm="1">
        <f t="array" ref="D2003">_xlfn.IFS(E2003&lt;28, "17-27",
AND(E2003&gt;27, E2003&lt;38), "28-37",
AND(E2003&gt;37, E2003 &lt;48), "38-47",
AND(E2003&gt;47, E2003 &lt;58), "48-57",
AND(E2003&gt;57, E2003&lt;68), "58-67",
AND(E2003&gt;67, E2003&lt;78), "68-77",
E2003&gt;77,"Above than 77")</f>
        <v>58-67</v>
      </c>
      <c r="E2003">
        <v>62</v>
      </c>
      <c r="F2003" s="1">
        <v>21016</v>
      </c>
      <c r="G2003" s="1" t="str">
        <f>VLOOKUP(H2003,Table7[#All], 2, FALSE)</f>
        <v>Massachusetts</v>
      </c>
      <c r="H2003" s="2" t="s">
        <v>14</v>
      </c>
      <c r="I2003" s="2" t="s">
        <v>15</v>
      </c>
      <c r="J2003" s="2" t="s">
        <v>34</v>
      </c>
      <c r="K2003" s="2" t="s">
        <v>8</v>
      </c>
      <c r="L2003" s="2" t="s">
        <v>9</v>
      </c>
      <c r="M2003" s="2" t="s">
        <v>10</v>
      </c>
      <c r="N2003" s="2" t="s">
        <v>26</v>
      </c>
      <c r="O2003" s="2" t="s">
        <v>12</v>
      </c>
      <c r="P2003" s="2" t="s">
        <v>35</v>
      </c>
      <c r="Q2003" s="2" t="s">
        <v>46</v>
      </c>
      <c r="R2003" s="2" t="s">
        <v>18</v>
      </c>
      <c r="S2003">
        <v>5</v>
      </c>
    </row>
    <row r="2004" spans="1:19" x14ac:dyDescent="0.3">
      <c r="A2004">
        <v>1565</v>
      </c>
      <c r="B2004">
        <f>YEAR(Cleaned_HR_Data_Analysis__2[[#This Row],[Joining_Date]])</f>
        <v>2022</v>
      </c>
      <c r="C2004" s="1">
        <v>44679</v>
      </c>
      <c r="D2004" s="1" t="str" cm="1">
        <f t="array" ref="D2004">_xlfn.IFS(E2004&lt;28, "17-27",
AND(E2004&gt;27, E2004&lt;38), "28-37",
AND(E2004&gt;37, E2004 &lt;48), "38-47",
AND(E2004&gt;47, E2004 &lt;58), "48-57",
AND(E2004&gt;57, E2004&lt;68), "58-67",
AND(E2004&gt;67, E2004&lt;78), "68-77",
E2004&gt;77,"Above than 77")</f>
        <v>58-67</v>
      </c>
      <c r="E2004">
        <v>62</v>
      </c>
      <c r="F2004" s="1">
        <v>22182</v>
      </c>
      <c r="G2004" s="1" t="str">
        <f>VLOOKUP(H2004,Table7[#All], 2, FALSE)</f>
        <v>Massachusetts</v>
      </c>
      <c r="H2004" s="2" t="s">
        <v>14</v>
      </c>
      <c r="I2004" s="2" t="s">
        <v>22</v>
      </c>
      <c r="J2004" s="2" t="s">
        <v>17</v>
      </c>
      <c r="K2004" s="2" t="s">
        <v>8</v>
      </c>
      <c r="L2004" s="2" t="s">
        <v>9</v>
      </c>
      <c r="M2004" s="2" t="s">
        <v>25</v>
      </c>
      <c r="N2004" s="2" t="s">
        <v>11</v>
      </c>
      <c r="O2004" s="2" t="s">
        <v>12</v>
      </c>
      <c r="P2004" s="2" t="s">
        <v>35</v>
      </c>
      <c r="Q2004" s="2" t="s">
        <v>46</v>
      </c>
      <c r="R2004" s="2" t="s">
        <v>18</v>
      </c>
      <c r="S2004">
        <v>4</v>
      </c>
    </row>
    <row r="2005" spans="1:19" x14ac:dyDescent="0.3">
      <c r="A2005">
        <v>1563</v>
      </c>
      <c r="B2005">
        <f>YEAR(Cleaned_HR_Data_Analysis__2[[#This Row],[Joining_Date]])</f>
        <v>2022</v>
      </c>
      <c r="C2005" s="1">
        <v>44814</v>
      </c>
      <c r="D2005" s="1" t="str" cm="1">
        <f t="array" ref="D2005">_xlfn.IFS(E2005&lt;28, "17-27",
AND(E2005&gt;27, E2005&lt;38), "28-37",
AND(E2005&gt;37, E2005 &lt;48), "38-47",
AND(E2005&gt;47, E2005 &lt;58), "48-57",
AND(E2005&gt;57, E2005&lt;68), "58-67",
AND(E2005&gt;67, E2005&lt;78), "68-77",
E2005&gt;77,"Above than 77")</f>
        <v>58-67</v>
      </c>
      <c r="E2005">
        <v>62</v>
      </c>
      <c r="F2005" s="1">
        <v>22246</v>
      </c>
      <c r="G2005" s="1" t="str">
        <f>VLOOKUP(H2005,Table7[#All], 2, FALSE)</f>
        <v>Massachusetts</v>
      </c>
      <c r="H2005" s="2" t="s">
        <v>14</v>
      </c>
      <c r="I2005" s="2" t="s">
        <v>15</v>
      </c>
      <c r="J2005" s="2" t="s">
        <v>17</v>
      </c>
      <c r="K2005" s="2" t="s">
        <v>8</v>
      </c>
      <c r="L2005" s="2" t="s">
        <v>9</v>
      </c>
      <c r="M2005" s="2" t="s">
        <v>10</v>
      </c>
      <c r="N2005" s="2" t="s">
        <v>11</v>
      </c>
      <c r="O2005" s="2" t="s">
        <v>12</v>
      </c>
      <c r="P2005" s="2" t="s">
        <v>35</v>
      </c>
      <c r="Q2005" s="2" t="s">
        <v>37</v>
      </c>
      <c r="R2005" s="2" t="s">
        <v>18</v>
      </c>
      <c r="S2005">
        <v>4</v>
      </c>
    </row>
    <row r="2006" spans="1:19" x14ac:dyDescent="0.3">
      <c r="A2006">
        <v>1553</v>
      </c>
      <c r="B2006">
        <f>YEAR(Cleaned_HR_Data_Analysis__2[[#This Row],[Joining_Date]])</f>
        <v>2022</v>
      </c>
      <c r="C2006" s="1">
        <v>44912</v>
      </c>
      <c r="D2006" s="1" t="str" cm="1">
        <f t="array" ref="D2006">_xlfn.IFS(E2006&lt;28, "17-27",
AND(E2006&gt;27, E2006&lt;38), "28-37",
AND(E2006&gt;37, E2006 &lt;48), "38-47",
AND(E2006&gt;47, E2006 &lt;58), "48-57",
AND(E2006&gt;57, E2006&lt;68), "58-67",
AND(E2006&gt;67, E2006&lt;78), "68-77",
E2006&gt;77,"Above than 77")</f>
        <v>58-67</v>
      </c>
      <c r="E2006">
        <v>62</v>
      </c>
      <c r="F2006" s="1">
        <v>22193</v>
      </c>
      <c r="G2006" s="1" t="str">
        <f>VLOOKUP(H2006,Table7[#All], 2, FALSE)</f>
        <v>Massachusetts</v>
      </c>
      <c r="H2006" s="2" t="s">
        <v>14</v>
      </c>
      <c r="I2006" s="2" t="s">
        <v>15</v>
      </c>
      <c r="J2006" s="2" t="s">
        <v>31</v>
      </c>
      <c r="K2006" s="2" t="s">
        <v>8</v>
      </c>
      <c r="L2006" s="2" t="s">
        <v>9</v>
      </c>
      <c r="M2006" s="2" t="s">
        <v>20</v>
      </c>
      <c r="N2006" s="2" t="s">
        <v>11</v>
      </c>
      <c r="O2006" s="2" t="s">
        <v>12</v>
      </c>
      <c r="P2006" s="2" t="s">
        <v>35</v>
      </c>
      <c r="Q2006" s="2" t="s">
        <v>30</v>
      </c>
      <c r="R2006" s="2" t="s">
        <v>18</v>
      </c>
      <c r="S2006">
        <v>1</v>
      </c>
    </row>
    <row r="2007" spans="1:19" x14ac:dyDescent="0.3">
      <c r="A2007">
        <v>1509</v>
      </c>
      <c r="B2007">
        <f>YEAR(Cleaned_HR_Data_Analysis__2[[#This Row],[Joining_Date]])</f>
        <v>2022</v>
      </c>
      <c r="C2007" s="1">
        <v>44697</v>
      </c>
      <c r="D2007" s="1" t="str" cm="1">
        <f t="array" ref="D2007">_xlfn.IFS(E2007&lt;28, "17-27",
AND(E2007&gt;27, E2007&lt;38), "28-37",
AND(E2007&gt;37, E2007 &lt;48), "38-47",
AND(E2007&gt;47, E2007 &lt;58), "48-57",
AND(E2007&gt;57, E2007&lt;68), "58-67",
AND(E2007&gt;67, E2007&lt;78), "68-77",
E2007&gt;77,"Above than 77")</f>
        <v>58-67</v>
      </c>
      <c r="E2007">
        <v>62</v>
      </c>
      <c r="F2007" s="1">
        <v>21939</v>
      </c>
      <c r="G2007" s="1" t="str">
        <f>VLOOKUP(H2007,Table7[#All], 2, FALSE)</f>
        <v>Massachusetts</v>
      </c>
      <c r="H2007" s="2" t="s">
        <v>14</v>
      </c>
      <c r="I2007" s="2" t="s">
        <v>15</v>
      </c>
      <c r="J2007" s="2" t="s">
        <v>31</v>
      </c>
      <c r="K2007" s="2" t="s">
        <v>8</v>
      </c>
      <c r="L2007" s="2" t="s">
        <v>9</v>
      </c>
      <c r="M2007" s="2" t="s">
        <v>25</v>
      </c>
      <c r="N2007" s="2" t="s">
        <v>11</v>
      </c>
      <c r="O2007" s="2" t="s">
        <v>12</v>
      </c>
      <c r="P2007" s="2" t="s">
        <v>28</v>
      </c>
      <c r="Q2007" s="2" t="s">
        <v>30</v>
      </c>
      <c r="R2007" s="2" t="s">
        <v>18</v>
      </c>
      <c r="S2007">
        <v>1</v>
      </c>
    </row>
    <row r="2008" spans="1:19" x14ac:dyDescent="0.3">
      <c r="A2008">
        <v>1465</v>
      </c>
      <c r="B2008">
        <f>YEAR(Cleaned_HR_Data_Analysis__2[[#This Row],[Joining_Date]])</f>
        <v>2020</v>
      </c>
      <c r="C2008" s="1">
        <v>44182</v>
      </c>
      <c r="D2008" s="1" t="str" cm="1">
        <f t="array" ref="D2008">_xlfn.IFS(E2008&lt;28, "17-27",
AND(E2008&gt;27, E2008&lt;38), "28-37",
AND(E2008&gt;37, E2008 &lt;48), "38-47",
AND(E2008&gt;47, E2008 &lt;58), "48-57",
AND(E2008&gt;57, E2008&lt;68), "58-67",
AND(E2008&gt;67, E2008&lt;78), "68-77",
E2008&gt;77,"Above than 77")</f>
        <v>58-67</v>
      </c>
      <c r="E2008">
        <v>62</v>
      </c>
      <c r="F2008" s="1">
        <v>21358</v>
      </c>
      <c r="G2008" s="1" t="str">
        <f>VLOOKUP(H2008,Table7[#All], 2, FALSE)</f>
        <v>Massachusetts</v>
      </c>
      <c r="H2008" s="2" t="s">
        <v>14</v>
      </c>
      <c r="I2008" s="2" t="s">
        <v>15</v>
      </c>
      <c r="J2008" s="2" t="s">
        <v>31</v>
      </c>
      <c r="K2008" s="2" t="s">
        <v>8</v>
      </c>
      <c r="L2008" s="2" t="s">
        <v>9</v>
      </c>
      <c r="M2008" s="2" t="s">
        <v>20</v>
      </c>
      <c r="N2008" s="2" t="s">
        <v>19</v>
      </c>
      <c r="O2008" s="2" t="s">
        <v>12</v>
      </c>
      <c r="P2008" s="2" t="s">
        <v>68</v>
      </c>
      <c r="Q2008" s="2" t="s">
        <v>30</v>
      </c>
      <c r="R2008" s="2" t="s">
        <v>41</v>
      </c>
      <c r="S2008">
        <v>1</v>
      </c>
    </row>
    <row r="2009" spans="1:19" x14ac:dyDescent="0.3">
      <c r="A2009">
        <v>1464</v>
      </c>
      <c r="B2009">
        <f>YEAR(Cleaned_HR_Data_Analysis__2[[#This Row],[Joining_Date]])</f>
        <v>2019</v>
      </c>
      <c r="C2009" s="1">
        <v>43492</v>
      </c>
      <c r="D2009" s="1" t="str" cm="1">
        <f t="array" ref="D2009">_xlfn.IFS(E2009&lt;28, "17-27",
AND(E2009&gt;27, E2009&lt;38), "28-37",
AND(E2009&gt;37, E2009 &lt;48), "38-47",
AND(E2009&gt;47, E2009 &lt;58), "48-57",
AND(E2009&gt;57, E2009&lt;68), "58-67",
AND(E2009&gt;67, E2009&lt;78), "68-77",
E2009&gt;77,"Above than 77")</f>
        <v>58-67</v>
      </c>
      <c r="E2009">
        <v>62</v>
      </c>
      <c r="F2009" s="1">
        <v>21094</v>
      </c>
      <c r="G2009" s="1" t="str">
        <f>VLOOKUP(H2009,Table7[#All], 2, FALSE)</f>
        <v>Massachusetts</v>
      </c>
      <c r="H2009" s="2" t="s">
        <v>14</v>
      </c>
      <c r="I2009" s="2" t="s">
        <v>15</v>
      </c>
      <c r="J2009" s="2" t="s">
        <v>34</v>
      </c>
      <c r="K2009" s="2" t="s">
        <v>8</v>
      </c>
      <c r="L2009" s="2" t="s">
        <v>9</v>
      </c>
      <c r="M2009" s="2" t="s">
        <v>20</v>
      </c>
      <c r="N2009" s="2" t="s">
        <v>11</v>
      </c>
      <c r="O2009" s="2" t="s">
        <v>12</v>
      </c>
      <c r="P2009" s="2" t="s">
        <v>28</v>
      </c>
      <c r="Q2009" s="2" t="s">
        <v>46</v>
      </c>
      <c r="R2009" s="2" t="s">
        <v>41</v>
      </c>
      <c r="S2009">
        <v>5</v>
      </c>
    </row>
    <row r="2010" spans="1:19" x14ac:dyDescent="0.3">
      <c r="A2010">
        <v>1268</v>
      </c>
      <c r="B2010">
        <f>YEAR(Cleaned_HR_Data_Analysis__2[[#This Row],[Joining_Date]])</f>
        <v>2023</v>
      </c>
      <c r="C2010" s="1">
        <v>44982</v>
      </c>
      <c r="D2010" s="1" t="str" cm="1">
        <f t="array" ref="D2010">_xlfn.IFS(E2010&lt;28, "17-27",
AND(E2010&gt;27, E2010&lt;38), "28-37",
AND(E2010&gt;37, E2010 &lt;48), "38-47",
AND(E2010&gt;47, E2010 &lt;58), "48-57",
AND(E2010&gt;57, E2010&lt;68), "58-67",
AND(E2010&gt;67, E2010&lt;78), "68-77",
E2010&gt;77,"Above than 77")</f>
        <v>58-67</v>
      </c>
      <c r="E2010">
        <v>62</v>
      </c>
      <c r="F2010" s="1">
        <v>22641</v>
      </c>
      <c r="G2010" s="1" t="str">
        <f>VLOOKUP(H2010,Table7[#All], 2, FALSE)</f>
        <v>Massachusetts</v>
      </c>
      <c r="H2010" s="2" t="s">
        <v>14</v>
      </c>
      <c r="I2010" s="2" t="s">
        <v>15</v>
      </c>
      <c r="J2010" s="2" t="s">
        <v>31</v>
      </c>
      <c r="K2010" s="2" t="s">
        <v>8</v>
      </c>
      <c r="L2010" s="2" t="s">
        <v>9</v>
      </c>
      <c r="M2010" s="2" t="s">
        <v>20</v>
      </c>
      <c r="N2010" s="2" t="s">
        <v>19</v>
      </c>
      <c r="O2010" s="2" t="s">
        <v>12</v>
      </c>
      <c r="P2010" s="2" t="s">
        <v>32</v>
      </c>
      <c r="Q2010" s="2" t="s">
        <v>30</v>
      </c>
      <c r="R2010" s="2" t="s">
        <v>18</v>
      </c>
      <c r="S2010">
        <v>1</v>
      </c>
    </row>
    <row r="2011" spans="1:19" x14ac:dyDescent="0.3">
      <c r="A2011">
        <v>1206</v>
      </c>
      <c r="B2011">
        <f>YEAR(Cleaned_HR_Data_Analysis__2[[#This Row],[Joining_Date]])</f>
        <v>2018</v>
      </c>
      <c r="C2011" s="1">
        <v>43462</v>
      </c>
      <c r="D2011" s="1" t="str" cm="1">
        <f t="array" ref="D2011">_xlfn.IFS(E2011&lt;28, "17-27",
AND(E2011&gt;27, E2011&lt;38), "28-37",
AND(E2011&gt;37, E2011 &lt;48), "38-47",
AND(E2011&gt;47, E2011 &lt;58), "48-57",
AND(E2011&gt;57, E2011&lt;68), "58-67",
AND(E2011&gt;67, E2011&lt;78), "68-77",
E2011&gt;77,"Above than 77")</f>
        <v>58-67</v>
      </c>
      <c r="E2011">
        <v>62</v>
      </c>
      <c r="F2011" s="1">
        <v>20500</v>
      </c>
      <c r="G2011" s="1" t="str">
        <f>VLOOKUP(H2011,Table7[#All], 2, FALSE)</f>
        <v>Massachusetts</v>
      </c>
      <c r="H2011" s="2" t="s">
        <v>14</v>
      </c>
      <c r="I2011" s="2" t="s">
        <v>15</v>
      </c>
      <c r="J2011" s="2" t="s">
        <v>40</v>
      </c>
      <c r="K2011" s="2" t="s">
        <v>8</v>
      </c>
      <c r="L2011" s="2" t="s">
        <v>9</v>
      </c>
      <c r="M2011" s="2" t="s">
        <v>20</v>
      </c>
      <c r="N2011" s="2" t="s">
        <v>11</v>
      </c>
      <c r="O2011" s="2" t="s">
        <v>12</v>
      </c>
      <c r="P2011" s="2" t="s">
        <v>42</v>
      </c>
      <c r="Q2011" s="2" t="s">
        <v>16</v>
      </c>
      <c r="R2011" s="2" t="s">
        <v>18</v>
      </c>
      <c r="S2011">
        <v>4</v>
      </c>
    </row>
    <row r="2012" spans="1:19" x14ac:dyDescent="0.3">
      <c r="A2012">
        <v>1197</v>
      </c>
      <c r="B2012">
        <f>YEAR(Cleaned_HR_Data_Analysis__2[[#This Row],[Joining_Date]])</f>
        <v>2020</v>
      </c>
      <c r="C2012" s="1">
        <v>43995</v>
      </c>
      <c r="D2012" s="1" t="str" cm="1">
        <f t="array" ref="D2012">_xlfn.IFS(E2012&lt;28, "17-27",
AND(E2012&gt;27, E2012&lt;38), "28-37",
AND(E2012&gt;37, E2012 &lt;48), "38-47",
AND(E2012&gt;47, E2012 &lt;58), "48-57",
AND(E2012&gt;57, E2012&lt;68), "58-67",
AND(E2012&gt;67, E2012&lt;78), "68-77",
E2012&gt;77,"Above than 77")</f>
        <v>58-67</v>
      </c>
      <c r="E2012">
        <v>62</v>
      </c>
      <c r="F2012" s="1">
        <v>21348</v>
      </c>
      <c r="G2012" s="1" t="str">
        <f>VLOOKUP(H2012,Table7[#All], 2, FALSE)</f>
        <v>Massachusetts</v>
      </c>
      <c r="H2012" s="2" t="s">
        <v>14</v>
      </c>
      <c r="I2012" s="2" t="s">
        <v>15</v>
      </c>
      <c r="J2012" s="2" t="s">
        <v>40</v>
      </c>
      <c r="K2012" s="2" t="s">
        <v>8</v>
      </c>
      <c r="L2012" s="2" t="s">
        <v>9</v>
      </c>
      <c r="M2012" s="2" t="s">
        <v>25</v>
      </c>
      <c r="N2012" s="2" t="s">
        <v>26</v>
      </c>
      <c r="O2012" s="2" t="s">
        <v>12</v>
      </c>
      <c r="P2012" s="2" t="s">
        <v>93</v>
      </c>
      <c r="Q2012" s="2" t="s">
        <v>23</v>
      </c>
      <c r="R2012" s="2" t="s">
        <v>18</v>
      </c>
      <c r="S2012">
        <v>5</v>
      </c>
    </row>
    <row r="2013" spans="1:19" x14ac:dyDescent="0.3">
      <c r="A2013">
        <v>1178</v>
      </c>
      <c r="B2013">
        <f>YEAR(Cleaned_HR_Data_Analysis__2[[#This Row],[Joining_Date]])</f>
        <v>2021</v>
      </c>
      <c r="C2013" s="1">
        <v>44472</v>
      </c>
      <c r="D2013" s="1" t="str" cm="1">
        <f t="array" ref="D2013">_xlfn.IFS(E2013&lt;28, "17-27",
AND(E2013&gt;27, E2013&lt;38), "28-37",
AND(E2013&gt;37, E2013 &lt;48), "38-47",
AND(E2013&gt;47, E2013 &lt;58), "48-57",
AND(E2013&gt;57, E2013&lt;68), "58-67",
AND(E2013&gt;67, E2013&lt;78), "68-77",
E2013&gt;77,"Above than 77")</f>
        <v>58-67</v>
      </c>
      <c r="E2013">
        <v>62</v>
      </c>
      <c r="F2013" s="1">
        <v>21677</v>
      </c>
      <c r="G2013" s="1" t="str">
        <f>VLOOKUP(H2013,Table7[#All], 2, FALSE)</f>
        <v>Massachusetts</v>
      </c>
      <c r="H2013" s="2" t="s">
        <v>14</v>
      </c>
      <c r="I2013" s="2" t="s">
        <v>22</v>
      </c>
      <c r="J2013" s="2" t="s">
        <v>31</v>
      </c>
      <c r="K2013" s="2" t="s">
        <v>8</v>
      </c>
      <c r="L2013" s="2" t="s">
        <v>66</v>
      </c>
      <c r="M2013" s="2" t="s">
        <v>10</v>
      </c>
      <c r="N2013" s="2" t="s">
        <v>11</v>
      </c>
      <c r="O2013" s="2" t="s">
        <v>12</v>
      </c>
      <c r="P2013" s="2" t="s">
        <v>35</v>
      </c>
      <c r="Q2013" s="2" t="s">
        <v>30</v>
      </c>
      <c r="R2013" s="2" t="s">
        <v>18</v>
      </c>
      <c r="S2013">
        <v>1</v>
      </c>
    </row>
    <row r="2014" spans="1:19" x14ac:dyDescent="0.3">
      <c r="A2014">
        <v>1176</v>
      </c>
      <c r="B2014">
        <f>YEAR(Cleaned_HR_Data_Analysis__2[[#This Row],[Joining_Date]])</f>
        <v>2022</v>
      </c>
      <c r="C2014" s="1">
        <v>44863</v>
      </c>
      <c r="D2014" s="1" t="str" cm="1">
        <f t="array" ref="D2014">_xlfn.IFS(E2014&lt;28, "17-27",
AND(E2014&gt;27, E2014&lt;38), "28-37",
AND(E2014&gt;37, E2014 &lt;48), "38-47",
AND(E2014&gt;47, E2014 &lt;58), "48-57",
AND(E2014&gt;57, E2014&lt;68), "58-67",
AND(E2014&gt;67, E2014&lt;78), "68-77",
E2014&gt;77,"Above than 77")</f>
        <v>58-67</v>
      </c>
      <c r="E2014">
        <v>62</v>
      </c>
      <c r="F2014" s="1">
        <v>22277</v>
      </c>
      <c r="G2014" s="1" t="str">
        <f>VLOOKUP(H2014,Table7[#All], 2, FALSE)</f>
        <v>Massachusetts</v>
      </c>
      <c r="H2014" s="2" t="s">
        <v>14</v>
      </c>
      <c r="I2014" s="2" t="s">
        <v>15</v>
      </c>
      <c r="J2014" s="2" t="s">
        <v>34</v>
      </c>
      <c r="K2014" s="2" t="s">
        <v>8</v>
      </c>
      <c r="L2014" s="2" t="s">
        <v>9</v>
      </c>
      <c r="M2014" s="2" t="s">
        <v>10</v>
      </c>
      <c r="N2014" s="2" t="s">
        <v>19</v>
      </c>
      <c r="O2014" s="2" t="s">
        <v>12</v>
      </c>
      <c r="P2014" s="2" t="s">
        <v>42</v>
      </c>
      <c r="Q2014" s="2" t="s">
        <v>16</v>
      </c>
      <c r="R2014" s="2" t="s">
        <v>18</v>
      </c>
      <c r="S2014">
        <v>2</v>
      </c>
    </row>
    <row r="2015" spans="1:19" x14ac:dyDescent="0.3">
      <c r="A2015">
        <v>2468</v>
      </c>
      <c r="B2015">
        <f>YEAR(Cleaned_HR_Data_Analysis__2[[#This Row],[Joining_Date]])</f>
        <v>2019</v>
      </c>
      <c r="C2015" s="1">
        <v>43591</v>
      </c>
      <c r="D2015" s="1" t="str" cm="1">
        <f t="array" ref="D2015">_xlfn.IFS(E2015&lt;28, "17-27",
AND(E2015&gt;27, E2015&lt;38), "28-37",
AND(E2015&gt;37, E2015 &lt;48), "38-47",
AND(E2015&gt;47, E2015 &lt;58), "48-57",
AND(E2015&gt;57, E2015&lt;68), "58-67",
AND(E2015&gt;67, E2015&lt;78), "68-77",
E2015&gt;77,"Above than 77")</f>
        <v>58-67</v>
      </c>
      <c r="E2015">
        <v>62</v>
      </c>
      <c r="F2015" s="1">
        <v>21139</v>
      </c>
      <c r="G2015" s="1" t="str">
        <f>VLOOKUP(H2015,Table7[#All], 2, FALSE)</f>
        <v>Massachusetts</v>
      </c>
      <c r="H2015" s="2" t="s">
        <v>14</v>
      </c>
      <c r="I2015" s="2" t="s">
        <v>22</v>
      </c>
      <c r="J2015" s="2" t="s">
        <v>34</v>
      </c>
      <c r="K2015" s="2" t="s">
        <v>91</v>
      </c>
      <c r="L2015" s="2" t="s">
        <v>9</v>
      </c>
      <c r="M2015" s="2" t="s">
        <v>20</v>
      </c>
      <c r="N2015" s="2" t="s">
        <v>19</v>
      </c>
      <c r="O2015" s="2" t="s">
        <v>12</v>
      </c>
      <c r="P2015" s="2" t="s">
        <v>32</v>
      </c>
      <c r="Q2015" s="2" t="s">
        <v>23</v>
      </c>
      <c r="R2015" s="2" t="s">
        <v>18</v>
      </c>
      <c r="S2015">
        <v>4</v>
      </c>
    </row>
    <row r="2016" spans="1:19" x14ac:dyDescent="0.3">
      <c r="A2016">
        <v>2403</v>
      </c>
      <c r="B2016">
        <f>YEAR(Cleaned_HR_Data_Analysis__2[[#This Row],[Joining_Date]])</f>
        <v>2020</v>
      </c>
      <c r="C2016" s="1">
        <v>44049</v>
      </c>
      <c r="D2016" s="1" t="str" cm="1">
        <f t="array" ref="D2016">_xlfn.IFS(E2016&lt;28, "17-27",
AND(E2016&gt;27, E2016&lt;38), "28-37",
AND(E2016&gt;37, E2016 &lt;48), "38-47",
AND(E2016&gt;47, E2016 &lt;58), "48-57",
AND(E2016&gt;57, E2016&lt;68), "58-67",
AND(E2016&gt;67, E2016&lt;78), "68-77",
E2016&gt;77,"Above than 77")</f>
        <v>58-67</v>
      </c>
      <c r="E2016">
        <v>62</v>
      </c>
      <c r="F2016" s="1">
        <v>21266</v>
      </c>
      <c r="G2016" s="1" t="str">
        <f>VLOOKUP(H2016,Table7[#All], 2, FALSE)</f>
        <v>Massachusetts</v>
      </c>
      <c r="H2016" s="2" t="s">
        <v>14</v>
      </c>
      <c r="I2016" s="2" t="s">
        <v>15</v>
      </c>
      <c r="J2016" s="2" t="s">
        <v>34</v>
      </c>
      <c r="K2016" s="2" t="s">
        <v>91</v>
      </c>
      <c r="L2016" s="2" t="s">
        <v>9</v>
      </c>
      <c r="M2016" s="2" t="s">
        <v>25</v>
      </c>
      <c r="N2016" s="2" t="s">
        <v>11</v>
      </c>
      <c r="O2016" s="2" t="s">
        <v>12</v>
      </c>
      <c r="P2016" s="2" t="s">
        <v>13</v>
      </c>
      <c r="Q2016" s="2" t="s">
        <v>23</v>
      </c>
      <c r="R2016" s="2" t="s">
        <v>18</v>
      </c>
      <c r="S2016">
        <v>3</v>
      </c>
    </row>
    <row r="2017" spans="1:19" x14ac:dyDescent="0.3">
      <c r="A2017">
        <v>2396</v>
      </c>
      <c r="B2017">
        <f>YEAR(Cleaned_HR_Data_Analysis__2[[#This Row],[Joining_Date]])</f>
        <v>2022</v>
      </c>
      <c r="C2017" s="1">
        <v>44742</v>
      </c>
      <c r="D2017" s="1" t="str" cm="1">
        <f t="array" ref="D2017">_xlfn.IFS(E2017&lt;28, "17-27",
AND(E2017&gt;27, E2017&lt;38), "28-37",
AND(E2017&gt;37, E2017 &lt;48), "38-47",
AND(E2017&gt;47, E2017 &lt;58), "48-57",
AND(E2017&gt;57, E2017&lt;68), "58-67",
AND(E2017&gt;67, E2017&lt;78), "68-77",
E2017&gt;77,"Above than 77")</f>
        <v>58-67</v>
      </c>
      <c r="E2017">
        <v>62</v>
      </c>
      <c r="F2017" s="1">
        <v>22115</v>
      </c>
      <c r="G2017" s="1" t="str">
        <f>VLOOKUP(H2017,Table7[#All], 2, FALSE)</f>
        <v>Massachusetts</v>
      </c>
      <c r="H2017" s="2" t="s">
        <v>14</v>
      </c>
      <c r="I2017" s="2" t="s">
        <v>15</v>
      </c>
      <c r="J2017" s="2" t="s">
        <v>31</v>
      </c>
      <c r="K2017" s="2" t="s">
        <v>91</v>
      </c>
      <c r="L2017" s="2" t="s">
        <v>66</v>
      </c>
      <c r="M2017" s="2" t="s">
        <v>10</v>
      </c>
      <c r="N2017" s="2" t="s">
        <v>11</v>
      </c>
      <c r="O2017" s="2" t="s">
        <v>12</v>
      </c>
      <c r="P2017" s="2" t="s">
        <v>38</v>
      </c>
      <c r="Q2017" s="2" t="s">
        <v>30</v>
      </c>
      <c r="R2017" s="2" t="s">
        <v>18</v>
      </c>
      <c r="S2017">
        <v>4</v>
      </c>
    </row>
    <row r="2018" spans="1:19" x14ac:dyDescent="0.3">
      <c r="A2018">
        <v>2323</v>
      </c>
      <c r="B2018">
        <f>YEAR(Cleaned_HR_Data_Analysis__2[[#This Row],[Joining_Date]])</f>
        <v>2021</v>
      </c>
      <c r="C2018" s="1">
        <v>44307</v>
      </c>
      <c r="D2018" s="1" t="str" cm="1">
        <f t="array" ref="D2018">_xlfn.IFS(E2018&lt;28, "17-27",
AND(E2018&gt;27, E2018&lt;38), "28-37",
AND(E2018&gt;37, E2018 &lt;48), "38-47",
AND(E2018&gt;47, E2018 &lt;58), "48-57",
AND(E2018&gt;57, E2018&lt;68), "58-67",
AND(E2018&gt;67, E2018&lt;78), "68-77",
E2018&gt;77,"Above than 77")</f>
        <v>58-67</v>
      </c>
      <c r="E2018">
        <v>62</v>
      </c>
      <c r="F2018" s="1">
        <v>21736</v>
      </c>
      <c r="G2018" s="1" t="str">
        <f>VLOOKUP(H2018,Table7[#All], 2, FALSE)</f>
        <v>Massachusetts</v>
      </c>
      <c r="H2018" s="2" t="s">
        <v>14</v>
      </c>
      <c r="I2018" s="2" t="s">
        <v>15</v>
      </c>
      <c r="J2018" s="2" t="s">
        <v>40</v>
      </c>
      <c r="K2018" s="2" t="s">
        <v>91</v>
      </c>
      <c r="L2018" s="2" t="s">
        <v>9</v>
      </c>
      <c r="M2018" s="2" t="s">
        <v>20</v>
      </c>
      <c r="N2018" s="2" t="s">
        <v>11</v>
      </c>
      <c r="O2018" s="2" t="s">
        <v>12</v>
      </c>
      <c r="P2018" s="2" t="s">
        <v>54</v>
      </c>
      <c r="Q2018" s="2" t="s">
        <v>46</v>
      </c>
      <c r="R2018" s="2" t="s">
        <v>18</v>
      </c>
      <c r="S2018">
        <v>1</v>
      </c>
    </row>
    <row r="2019" spans="1:19" x14ac:dyDescent="0.3">
      <c r="A2019">
        <v>2303</v>
      </c>
      <c r="B2019">
        <f>YEAR(Cleaned_HR_Data_Analysis__2[[#This Row],[Joining_Date]])</f>
        <v>2019</v>
      </c>
      <c r="C2019" s="1">
        <v>43764</v>
      </c>
      <c r="D2019" s="1" t="str" cm="1">
        <f t="array" ref="D2019">_xlfn.IFS(E2019&lt;28, "17-27",
AND(E2019&gt;27, E2019&lt;38), "28-37",
AND(E2019&gt;37, E2019 &lt;48), "38-47",
AND(E2019&gt;47, E2019 &lt;58), "48-57",
AND(E2019&gt;57, E2019&lt;68), "58-67",
AND(E2019&gt;67, E2019&lt;78), "68-77",
E2019&gt;77,"Above than 77")</f>
        <v>58-67</v>
      </c>
      <c r="E2019">
        <v>62</v>
      </c>
      <c r="F2019" s="1">
        <v>21181</v>
      </c>
      <c r="G2019" s="1" t="str">
        <f>VLOOKUP(H2019,Table7[#All], 2, FALSE)</f>
        <v>Massachusetts</v>
      </c>
      <c r="H2019" s="2" t="s">
        <v>14</v>
      </c>
      <c r="I2019" s="2" t="s">
        <v>15</v>
      </c>
      <c r="J2019" s="2" t="s">
        <v>40</v>
      </c>
      <c r="K2019" s="2" t="s">
        <v>91</v>
      </c>
      <c r="L2019" s="2" t="s">
        <v>66</v>
      </c>
      <c r="M2019" s="2" t="s">
        <v>10</v>
      </c>
      <c r="N2019" s="2" t="s">
        <v>11</v>
      </c>
      <c r="O2019" s="2" t="s">
        <v>12</v>
      </c>
      <c r="P2019" s="2" t="s">
        <v>35</v>
      </c>
      <c r="Q2019" s="2" t="s">
        <v>37</v>
      </c>
      <c r="R2019" s="2" t="s">
        <v>18</v>
      </c>
      <c r="S2019">
        <v>5</v>
      </c>
    </row>
    <row r="2020" spans="1:19" x14ac:dyDescent="0.3">
      <c r="A2020">
        <v>3914</v>
      </c>
      <c r="B2020">
        <f>YEAR(Cleaned_HR_Data_Analysis__2[[#This Row],[Joining_Date]])</f>
        <v>2020</v>
      </c>
      <c r="C2020" s="1">
        <v>43865</v>
      </c>
      <c r="D2020" s="1" t="str" cm="1">
        <f t="array" ref="D2020">_xlfn.IFS(E2020&lt;28, "17-27",
AND(E2020&gt;27, E2020&lt;38), "28-37",
AND(E2020&gt;37, E2020 &lt;48), "38-47",
AND(E2020&gt;47, E2020 &lt;58), "48-57",
AND(E2020&gt;57, E2020&lt;68), "58-67",
AND(E2020&gt;67, E2020&lt;78), "68-77",
E2020&gt;77,"Above than 77")</f>
        <v>58-67</v>
      </c>
      <c r="E2020">
        <v>62</v>
      </c>
      <c r="F2020" s="1">
        <v>21388</v>
      </c>
      <c r="G2020" s="1" t="str">
        <f>VLOOKUP(H2020,Table7[#All], 2, FALSE)</f>
        <v>Massachusetts</v>
      </c>
      <c r="H2020" s="2" t="s">
        <v>14</v>
      </c>
      <c r="I2020" s="2" t="s">
        <v>22</v>
      </c>
      <c r="J2020" s="2" t="s">
        <v>31</v>
      </c>
      <c r="K2020" s="2" t="s">
        <v>71</v>
      </c>
      <c r="L2020" s="2" t="s">
        <v>9</v>
      </c>
      <c r="M2020" s="2" t="s">
        <v>10</v>
      </c>
      <c r="N2020" s="2" t="s">
        <v>11</v>
      </c>
      <c r="O2020" s="2" t="s">
        <v>73</v>
      </c>
      <c r="P2020" s="2" t="s">
        <v>42</v>
      </c>
      <c r="Q2020" s="2" t="s">
        <v>30</v>
      </c>
      <c r="R2020" s="2" t="s">
        <v>41</v>
      </c>
      <c r="S2020">
        <v>5</v>
      </c>
    </row>
    <row r="2021" spans="1:19" x14ac:dyDescent="0.3">
      <c r="A2021">
        <v>3905</v>
      </c>
      <c r="B2021">
        <f>YEAR(Cleaned_HR_Data_Analysis__2[[#This Row],[Joining_Date]])</f>
        <v>2020</v>
      </c>
      <c r="C2021" s="1">
        <v>44047</v>
      </c>
      <c r="D2021" s="1" t="str" cm="1">
        <f t="array" ref="D2021">_xlfn.IFS(E2021&lt;28, "17-27",
AND(E2021&gt;27, E2021&lt;38), "28-37",
AND(E2021&gt;37, E2021 &lt;48), "38-47",
AND(E2021&gt;47, E2021 &lt;58), "48-57",
AND(E2021&gt;57, E2021&lt;68), "58-67",
AND(E2021&gt;67, E2021&lt;78), "68-77",
E2021&gt;77,"Above than 77")</f>
        <v>58-67</v>
      </c>
      <c r="E2021">
        <v>62</v>
      </c>
      <c r="F2021" s="1">
        <v>21344</v>
      </c>
      <c r="G2021" s="1" t="str">
        <f>VLOOKUP(H2021,Table7[#All], 2, FALSE)</f>
        <v>Massachusetts</v>
      </c>
      <c r="H2021" s="2" t="s">
        <v>14</v>
      </c>
      <c r="I2021" s="2" t="s">
        <v>15</v>
      </c>
      <c r="J2021" s="2" t="s">
        <v>17</v>
      </c>
      <c r="K2021" s="2" t="s">
        <v>71</v>
      </c>
      <c r="L2021" s="2" t="s">
        <v>9</v>
      </c>
      <c r="M2021" s="2" t="s">
        <v>25</v>
      </c>
      <c r="N2021" s="2" t="s">
        <v>19</v>
      </c>
      <c r="O2021" s="2" t="s">
        <v>53</v>
      </c>
      <c r="P2021" s="2" t="s">
        <v>67</v>
      </c>
      <c r="Q2021" s="2" t="s">
        <v>37</v>
      </c>
      <c r="R2021" s="2" t="s">
        <v>18</v>
      </c>
      <c r="S2021">
        <v>5</v>
      </c>
    </row>
    <row r="2022" spans="1:19" x14ac:dyDescent="0.3">
      <c r="A2022">
        <v>3891</v>
      </c>
      <c r="B2022">
        <f>YEAR(Cleaned_HR_Data_Analysis__2[[#This Row],[Joining_Date]])</f>
        <v>2022</v>
      </c>
      <c r="C2022" s="1">
        <v>44707</v>
      </c>
      <c r="D2022" s="1" t="str" cm="1">
        <f t="array" ref="D2022">_xlfn.IFS(E2022&lt;28, "17-27",
AND(E2022&gt;27, E2022&lt;38), "28-37",
AND(E2022&gt;37, E2022 &lt;48), "38-47",
AND(E2022&gt;47, E2022 &lt;58), "48-57",
AND(E2022&gt;57, E2022&lt;68), "58-67",
AND(E2022&gt;67, E2022&lt;78), "68-77",
E2022&gt;77,"Above than 77")</f>
        <v>58-67</v>
      </c>
      <c r="E2022">
        <v>62</v>
      </c>
      <c r="F2022" s="1">
        <v>22101</v>
      </c>
      <c r="G2022" s="1" t="str">
        <f>VLOOKUP(H2022,Table7[#All], 2, FALSE)</f>
        <v>Massachusetts</v>
      </c>
      <c r="H2022" s="2" t="s">
        <v>14</v>
      </c>
      <c r="I2022" s="2" t="s">
        <v>22</v>
      </c>
      <c r="J2022" s="2" t="s">
        <v>31</v>
      </c>
      <c r="K2022" s="2" t="s">
        <v>71</v>
      </c>
      <c r="L2022" s="2" t="s">
        <v>9</v>
      </c>
      <c r="M2022" s="2" t="s">
        <v>25</v>
      </c>
      <c r="N2022" s="2" t="s">
        <v>11</v>
      </c>
      <c r="O2022" s="2" t="s">
        <v>53</v>
      </c>
      <c r="P2022" s="2" t="s">
        <v>42</v>
      </c>
      <c r="Q2022" s="2" t="s">
        <v>30</v>
      </c>
      <c r="R2022" s="2" t="s">
        <v>18</v>
      </c>
      <c r="S2022">
        <v>2</v>
      </c>
    </row>
    <row r="2023" spans="1:19" x14ac:dyDescent="0.3">
      <c r="A2023">
        <v>3946</v>
      </c>
      <c r="B2023">
        <f>YEAR(Cleaned_HR_Data_Analysis__2[[#This Row],[Joining_Date]])</f>
        <v>2019</v>
      </c>
      <c r="C2023" s="1">
        <v>43631</v>
      </c>
      <c r="D2023" s="1" t="str" cm="1">
        <f t="array" ref="D2023">_xlfn.IFS(E2023&lt;28, "17-27",
AND(E2023&gt;27, E2023&lt;38), "28-37",
AND(E2023&gt;37, E2023 &lt;48), "38-47",
AND(E2023&gt;47, E2023 &lt;58), "48-57",
AND(E2023&gt;57, E2023&lt;68), "58-67",
AND(E2023&gt;67, E2023&lt;78), "68-77",
E2023&gt;77,"Above than 77")</f>
        <v>58-67</v>
      </c>
      <c r="E2023">
        <v>62</v>
      </c>
      <c r="F2023" s="1">
        <v>21021</v>
      </c>
      <c r="G2023" s="1" t="str">
        <f>VLOOKUP(H2023,Table7[#All], 2, FALSE)</f>
        <v>Massachusetts</v>
      </c>
      <c r="H2023" s="2" t="s">
        <v>14</v>
      </c>
      <c r="I2023" s="2" t="s">
        <v>15</v>
      </c>
      <c r="J2023" s="2" t="s">
        <v>34</v>
      </c>
      <c r="K2023" s="2" t="s">
        <v>77</v>
      </c>
      <c r="L2023" s="2" t="s">
        <v>9</v>
      </c>
      <c r="M2023" s="2" t="s">
        <v>10</v>
      </c>
      <c r="N2023" s="2" t="s">
        <v>19</v>
      </c>
      <c r="O2023" s="2" t="s">
        <v>53</v>
      </c>
      <c r="P2023" s="2" t="s">
        <v>58</v>
      </c>
      <c r="Q2023" s="2" t="s">
        <v>16</v>
      </c>
      <c r="R2023" s="2" t="s">
        <v>18</v>
      </c>
      <c r="S2023">
        <v>3</v>
      </c>
    </row>
    <row r="2024" spans="1:19" x14ac:dyDescent="0.3">
      <c r="A2024">
        <v>2284</v>
      </c>
      <c r="B2024">
        <f>YEAR(Cleaned_HR_Data_Analysis__2[[#This Row],[Joining_Date]])</f>
        <v>2022</v>
      </c>
      <c r="C2024" s="1">
        <v>44726</v>
      </c>
      <c r="D2024" s="1" t="str" cm="1">
        <f t="array" ref="D2024">_xlfn.IFS(E2024&lt;28, "17-27",
AND(E2024&gt;27, E2024&lt;38), "28-37",
AND(E2024&gt;37, E2024 &lt;48), "38-47",
AND(E2024&gt;47, E2024 &lt;58), "48-57",
AND(E2024&gt;57, E2024&lt;68), "58-67",
AND(E2024&gt;67, E2024&lt;78), "68-77",
E2024&gt;77,"Above than 77")</f>
        <v>58-67</v>
      </c>
      <c r="E2024">
        <v>62</v>
      </c>
      <c r="F2024" s="1">
        <v>22182</v>
      </c>
      <c r="G2024" s="1" t="str">
        <f>VLOOKUP(H2024,Table7[#All], 2, FALSE)</f>
        <v>Massachusetts</v>
      </c>
      <c r="H2024" s="2" t="s">
        <v>14</v>
      </c>
      <c r="I2024" s="2" t="s">
        <v>15</v>
      </c>
      <c r="J2024" s="2" t="s">
        <v>17</v>
      </c>
      <c r="K2024" s="2" t="s">
        <v>82</v>
      </c>
      <c r="L2024" s="2" t="s">
        <v>9</v>
      </c>
      <c r="M2024" s="2" t="s">
        <v>20</v>
      </c>
      <c r="N2024" s="2" t="s">
        <v>11</v>
      </c>
      <c r="O2024" s="2" t="s">
        <v>53</v>
      </c>
      <c r="P2024" s="2" t="s">
        <v>59</v>
      </c>
      <c r="Q2024" s="2" t="s">
        <v>30</v>
      </c>
      <c r="R2024" s="2" t="s">
        <v>18</v>
      </c>
      <c r="S2024">
        <v>4</v>
      </c>
    </row>
    <row r="2025" spans="1:19" x14ac:dyDescent="0.3">
      <c r="A2025">
        <v>1717</v>
      </c>
      <c r="B2025">
        <f>YEAR(Cleaned_HR_Data_Analysis__2[[#This Row],[Joining_Date]])</f>
        <v>2021</v>
      </c>
      <c r="C2025" s="1">
        <v>44310</v>
      </c>
      <c r="D2025" s="1" t="str" cm="1">
        <f t="array" ref="D2025">_xlfn.IFS(E2025&lt;28, "17-27",
AND(E2025&gt;27, E2025&lt;38), "28-37",
AND(E2025&gt;37, E2025 &lt;48), "38-47",
AND(E2025&gt;47, E2025 &lt;58), "48-57",
AND(E2025&gt;57, E2025&lt;68), "58-67",
AND(E2025&gt;67, E2025&lt;78), "68-77",
E2025&gt;77,"Above than 77")</f>
        <v>58-67</v>
      </c>
      <c r="E2025">
        <v>62</v>
      </c>
      <c r="F2025" s="1">
        <v>21880</v>
      </c>
      <c r="G2025" s="1" t="str">
        <f>VLOOKUP(H2025,Table7[#All], 2, FALSE)</f>
        <v>Massachusetts</v>
      </c>
      <c r="H2025" s="2" t="s">
        <v>14</v>
      </c>
      <c r="I2025" s="2" t="s">
        <v>22</v>
      </c>
      <c r="J2025" s="2" t="s">
        <v>17</v>
      </c>
      <c r="K2025" s="2" t="s">
        <v>97</v>
      </c>
      <c r="L2025" s="2" t="s">
        <v>9</v>
      </c>
      <c r="M2025" s="2" t="s">
        <v>20</v>
      </c>
      <c r="N2025" s="2" t="s">
        <v>26</v>
      </c>
      <c r="O2025" s="2" t="s">
        <v>53</v>
      </c>
      <c r="P2025" s="2" t="s">
        <v>32</v>
      </c>
      <c r="Q2025" s="2" t="s">
        <v>46</v>
      </c>
      <c r="R2025" s="2" t="s">
        <v>18</v>
      </c>
      <c r="S2025">
        <v>2</v>
      </c>
    </row>
    <row r="2026" spans="1:19" x14ac:dyDescent="0.3">
      <c r="A2026">
        <v>3514</v>
      </c>
      <c r="B2026">
        <f>YEAR(Cleaned_HR_Data_Analysis__2[[#This Row],[Joining_Date]])</f>
        <v>2020</v>
      </c>
      <c r="C2026" s="1">
        <v>43936</v>
      </c>
      <c r="D2026" s="1" t="str" cm="1">
        <f t="array" ref="D2026">_xlfn.IFS(E2026&lt;28, "17-27",
AND(E2026&gt;27, E2026&lt;38), "28-37",
AND(E2026&gt;37, E2026 &lt;48), "38-47",
AND(E2026&gt;47, E2026 &lt;58), "48-57",
AND(E2026&gt;57, E2026&lt;68), "58-67",
AND(E2026&gt;67, E2026&lt;78), "68-77",
E2026&gt;77,"Above than 77")</f>
        <v>58-67</v>
      </c>
      <c r="E2026">
        <v>62</v>
      </c>
      <c r="F2026" s="1">
        <v>21188</v>
      </c>
      <c r="G2026" s="1" t="str">
        <f>VLOOKUP(H2026,Table7[#All], 2, FALSE)</f>
        <v>Texas</v>
      </c>
      <c r="H2026" s="2" t="s">
        <v>45</v>
      </c>
      <c r="I2026" s="2" t="s">
        <v>22</v>
      </c>
      <c r="J2026" s="2" t="s">
        <v>34</v>
      </c>
      <c r="K2026" s="2" t="s">
        <v>24</v>
      </c>
      <c r="L2026" s="2" t="s">
        <v>9</v>
      </c>
      <c r="M2026" s="2" t="s">
        <v>25</v>
      </c>
      <c r="N2026" s="2" t="s">
        <v>26</v>
      </c>
      <c r="O2026" s="2" t="s">
        <v>27</v>
      </c>
      <c r="P2026" s="2" t="s">
        <v>59</v>
      </c>
      <c r="Q2026" s="2" t="s">
        <v>46</v>
      </c>
      <c r="R2026" s="2" t="s">
        <v>18</v>
      </c>
      <c r="S2026">
        <v>1</v>
      </c>
    </row>
    <row r="2027" spans="1:19" x14ac:dyDescent="0.3">
      <c r="A2027">
        <v>2738</v>
      </c>
      <c r="B2027">
        <f>YEAR(Cleaned_HR_Data_Analysis__2[[#This Row],[Joining_Date]])</f>
        <v>2019</v>
      </c>
      <c r="C2027" s="1">
        <v>43503</v>
      </c>
      <c r="D2027" s="1" t="str" cm="1">
        <f t="array" ref="D2027">_xlfn.IFS(E2027&lt;28, "17-27",
AND(E2027&gt;27, E2027&lt;38), "28-37",
AND(E2027&gt;37, E2027 &lt;48), "38-47",
AND(E2027&gt;47, E2027 &lt;58), "48-57",
AND(E2027&gt;57, E2027&lt;68), "58-67",
AND(E2027&gt;67, E2027&lt;78), "68-77",
E2027&gt;77,"Above than 77")</f>
        <v>58-67</v>
      </c>
      <c r="E2027">
        <v>62</v>
      </c>
      <c r="F2027" s="1">
        <v>21086</v>
      </c>
      <c r="G2027" s="1" t="str">
        <f>VLOOKUP(H2027,Table7[#All], 2, FALSE)</f>
        <v>Tennessee</v>
      </c>
      <c r="H2027" s="2" t="s">
        <v>120</v>
      </c>
      <c r="I2027" s="2" t="s">
        <v>22</v>
      </c>
      <c r="J2027" s="2" t="s">
        <v>34</v>
      </c>
      <c r="K2027" s="2" t="s">
        <v>24</v>
      </c>
      <c r="L2027" s="2" t="s">
        <v>9</v>
      </c>
      <c r="M2027" s="2" t="s">
        <v>25</v>
      </c>
      <c r="N2027" s="2" t="s">
        <v>11</v>
      </c>
      <c r="O2027" s="2" t="s">
        <v>27</v>
      </c>
      <c r="P2027" s="2" t="s">
        <v>35</v>
      </c>
      <c r="Q2027" s="2" t="s">
        <v>23</v>
      </c>
      <c r="R2027" s="2" t="s">
        <v>18</v>
      </c>
      <c r="S2027">
        <v>3</v>
      </c>
    </row>
    <row r="2028" spans="1:19" x14ac:dyDescent="0.3">
      <c r="A2028">
        <v>2635</v>
      </c>
      <c r="B2028">
        <f>YEAR(Cleaned_HR_Data_Analysis__2[[#This Row],[Joining_Date]])</f>
        <v>2019</v>
      </c>
      <c r="C2028" s="1">
        <v>43586</v>
      </c>
      <c r="D2028" s="1" t="str" cm="1">
        <f t="array" ref="D2028">_xlfn.IFS(E2028&lt;28, "17-27",
AND(E2028&gt;27, E2028&lt;38), "28-37",
AND(E2028&gt;37, E2028 &lt;48), "38-47",
AND(E2028&gt;47, E2028 &lt;58), "48-57",
AND(E2028&gt;57, E2028&lt;68), "58-67",
AND(E2028&gt;67, E2028&lt;78), "68-77",
E2028&gt;77,"Above than 77")</f>
        <v>58-67</v>
      </c>
      <c r="E2028">
        <v>62</v>
      </c>
      <c r="F2028" s="1">
        <v>21027</v>
      </c>
      <c r="G2028" s="1" t="str">
        <f>VLOOKUP(H2028,Table7[#All], 2, FALSE)</f>
        <v>Massachusetts</v>
      </c>
      <c r="H2028" s="2" t="s">
        <v>14</v>
      </c>
      <c r="I2028" s="2" t="s">
        <v>15</v>
      </c>
      <c r="J2028" s="2" t="s">
        <v>40</v>
      </c>
      <c r="K2028" s="2" t="s">
        <v>96</v>
      </c>
      <c r="L2028" s="2" t="s">
        <v>9</v>
      </c>
      <c r="M2028" s="2" t="s">
        <v>25</v>
      </c>
      <c r="N2028" s="2" t="s">
        <v>26</v>
      </c>
      <c r="O2028" s="2" t="s">
        <v>90</v>
      </c>
      <c r="P2028" s="2" t="s">
        <v>32</v>
      </c>
      <c r="Q2028" s="2" t="s">
        <v>46</v>
      </c>
      <c r="R2028" s="2" t="s">
        <v>18</v>
      </c>
      <c r="S2028">
        <v>1</v>
      </c>
    </row>
    <row r="2029" spans="1:19" x14ac:dyDescent="0.3">
      <c r="A2029">
        <v>3829</v>
      </c>
      <c r="B2029">
        <f>YEAR(Cleaned_HR_Data_Analysis__2[[#This Row],[Joining_Date]])</f>
        <v>2019</v>
      </c>
      <c r="C2029" s="1">
        <v>43492</v>
      </c>
      <c r="D2029" s="1" t="str" cm="1">
        <f t="array" ref="D2029">_xlfn.IFS(E2029&lt;28, "17-27",
AND(E2029&gt;27, E2029&lt;38), "28-37",
AND(E2029&gt;37, E2029 &lt;48), "38-47",
AND(E2029&gt;47, E2029 &lt;58), "48-57",
AND(E2029&gt;57, E2029&lt;68), "58-67",
AND(E2029&gt;67, E2029&lt;78), "68-77",
E2029&gt;77,"Above than 77")</f>
        <v>58-67</v>
      </c>
      <c r="E2029">
        <v>63</v>
      </c>
      <c r="F2029" s="1">
        <v>20526</v>
      </c>
      <c r="G2029" s="1" t="str">
        <f>VLOOKUP(H2029,Table7[#All], 2, FALSE)</f>
        <v>Massachusetts</v>
      </c>
      <c r="H2029" s="2" t="s">
        <v>14</v>
      </c>
      <c r="I2029" s="2" t="s">
        <v>22</v>
      </c>
      <c r="J2029" s="2" t="s">
        <v>34</v>
      </c>
      <c r="K2029" s="2" t="s">
        <v>72</v>
      </c>
      <c r="L2029" s="2" t="s">
        <v>9</v>
      </c>
      <c r="M2029" s="2" t="s">
        <v>20</v>
      </c>
      <c r="N2029" s="2" t="s">
        <v>11</v>
      </c>
      <c r="O2029" s="2" t="s">
        <v>53</v>
      </c>
      <c r="P2029" s="2" t="s">
        <v>54</v>
      </c>
      <c r="Q2029" s="2" t="s">
        <v>30</v>
      </c>
      <c r="R2029" s="2" t="s">
        <v>41</v>
      </c>
      <c r="S2029">
        <v>2</v>
      </c>
    </row>
    <row r="2030" spans="1:19" x14ac:dyDescent="0.3">
      <c r="A2030">
        <v>3897</v>
      </c>
      <c r="B2030">
        <f>YEAR(Cleaned_HR_Data_Analysis__2[[#This Row],[Joining_Date]])</f>
        <v>2019</v>
      </c>
      <c r="C2030" s="1">
        <v>43549</v>
      </c>
      <c r="D2030" s="1" t="str" cm="1">
        <f t="array" ref="D2030">_xlfn.IFS(E2030&lt;28, "17-27",
AND(E2030&gt;27, E2030&lt;38), "28-37",
AND(E2030&gt;37, E2030 &lt;48), "38-47",
AND(E2030&gt;47, E2030 &lt;58), "48-57",
AND(E2030&gt;57, E2030&lt;68), "58-67",
AND(E2030&gt;67, E2030&lt;78), "68-77",
E2030&gt;77,"Above than 77")</f>
        <v>58-67</v>
      </c>
      <c r="E2030">
        <v>63</v>
      </c>
      <c r="F2030" s="1">
        <v>20545</v>
      </c>
      <c r="G2030" s="1" t="str">
        <f>VLOOKUP(H2030,Table7[#All], 2, FALSE)</f>
        <v>Connecticut</v>
      </c>
      <c r="H2030" s="2" t="s">
        <v>36</v>
      </c>
      <c r="I2030" s="2" t="s">
        <v>15</v>
      </c>
      <c r="J2030" s="2" t="s">
        <v>34</v>
      </c>
      <c r="K2030" s="2" t="s">
        <v>72</v>
      </c>
      <c r="L2030" s="2" t="s">
        <v>9</v>
      </c>
      <c r="M2030" s="2" t="s">
        <v>20</v>
      </c>
      <c r="N2030" s="2" t="s">
        <v>19</v>
      </c>
      <c r="O2030" s="2" t="s">
        <v>53</v>
      </c>
      <c r="P2030" s="2" t="s">
        <v>21</v>
      </c>
      <c r="Q2030" s="2" t="s">
        <v>37</v>
      </c>
      <c r="R2030" s="2" t="s">
        <v>18</v>
      </c>
      <c r="S2030">
        <v>4</v>
      </c>
    </row>
    <row r="2031" spans="1:19" x14ac:dyDescent="0.3">
      <c r="A2031">
        <v>1048</v>
      </c>
      <c r="B2031">
        <f>YEAR(Cleaned_HR_Data_Analysis__2[[#This Row],[Joining_Date]])</f>
        <v>2019</v>
      </c>
      <c r="C2031" s="1">
        <v>43798</v>
      </c>
      <c r="D2031" s="1" t="str" cm="1">
        <f t="array" ref="D2031">_xlfn.IFS(E2031&lt;28, "17-27",
AND(E2031&gt;27, E2031&lt;38), "28-37",
AND(E2031&gt;37, E2031 &lt;48), "38-47",
AND(E2031&gt;47, E2031 &lt;58), "48-57",
AND(E2031&gt;57, E2031&lt;68), "58-67",
AND(E2031&gt;67, E2031&lt;78), "68-77",
E2031&gt;77,"Above than 77")</f>
        <v>58-67</v>
      </c>
      <c r="E2031">
        <v>63</v>
      </c>
      <c r="F2031" s="1">
        <v>20655</v>
      </c>
      <c r="G2031" s="1" t="str">
        <f>VLOOKUP(H2031,Table7[#All], 2, FALSE)</f>
        <v>Massachusetts</v>
      </c>
      <c r="H2031" s="2" t="s">
        <v>14</v>
      </c>
      <c r="I2031" s="2" t="s">
        <v>22</v>
      </c>
      <c r="J2031" s="2" t="s">
        <v>17</v>
      </c>
      <c r="K2031" s="2" t="s">
        <v>86</v>
      </c>
      <c r="L2031" s="2" t="s">
        <v>9</v>
      </c>
      <c r="M2031" s="2" t="s">
        <v>20</v>
      </c>
      <c r="N2031" s="2" t="s">
        <v>19</v>
      </c>
      <c r="O2031" s="2" t="s">
        <v>87</v>
      </c>
      <c r="P2031" s="2" t="s">
        <v>32</v>
      </c>
      <c r="Q2031" s="2" t="s">
        <v>46</v>
      </c>
      <c r="R2031" s="2" t="s">
        <v>18</v>
      </c>
      <c r="S2031">
        <v>1</v>
      </c>
    </row>
    <row r="2032" spans="1:19" x14ac:dyDescent="0.3">
      <c r="A2032">
        <v>1004</v>
      </c>
      <c r="B2032">
        <f>YEAR(Cleaned_HR_Data_Analysis__2[[#This Row],[Joining_Date]])</f>
        <v>2020</v>
      </c>
      <c r="C2032" s="1">
        <v>43980</v>
      </c>
      <c r="D2032" s="1" t="str" cm="1">
        <f t="array" ref="D2032">_xlfn.IFS(E2032&lt;28, "17-27",
AND(E2032&gt;27, E2032&lt;38), "28-37",
AND(E2032&gt;37, E2032 &lt;48), "38-47",
AND(E2032&gt;47, E2032 &lt;58), "48-57",
AND(E2032&gt;57, E2032&lt;68), "58-67",
AND(E2032&gt;67, E2032&lt;78), "68-77",
E2032&gt;77,"Above than 77")</f>
        <v>58-67</v>
      </c>
      <c r="E2032">
        <v>63</v>
      </c>
      <c r="F2032" s="1">
        <v>20847</v>
      </c>
      <c r="G2032" s="1" t="str">
        <f>VLOOKUP(H2032,Table7[#All], 2, FALSE)</f>
        <v>Massachusetts</v>
      </c>
      <c r="H2032" s="2" t="s">
        <v>14</v>
      </c>
      <c r="I2032" s="2" t="s">
        <v>22</v>
      </c>
      <c r="J2032" s="2" t="s">
        <v>31</v>
      </c>
      <c r="K2032" s="2" t="s">
        <v>86</v>
      </c>
      <c r="L2032" s="2" t="s">
        <v>9</v>
      </c>
      <c r="M2032" s="2" t="s">
        <v>20</v>
      </c>
      <c r="N2032" s="2" t="s">
        <v>11</v>
      </c>
      <c r="O2032" s="2" t="s">
        <v>87</v>
      </c>
      <c r="P2032" s="2" t="s">
        <v>54</v>
      </c>
      <c r="Q2032" s="2" t="s">
        <v>37</v>
      </c>
      <c r="R2032" s="2" t="s">
        <v>18</v>
      </c>
      <c r="S2032">
        <v>5</v>
      </c>
    </row>
    <row r="2033" spans="1:19" x14ac:dyDescent="0.3">
      <c r="A2033">
        <v>1025</v>
      </c>
      <c r="B2033">
        <f>YEAR(Cleaned_HR_Data_Analysis__2[[#This Row],[Joining_Date]])</f>
        <v>2023</v>
      </c>
      <c r="C2033" s="1">
        <v>45057</v>
      </c>
      <c r="D2033" s="1" t="str" cm="1">
        <f t="array" ref="D2033">_xlfn.IFS(E2033&lt;28, "17-27",
AND(E2033&gt;27, E2033&lt;38), "28-37",
AND(E2033&gt;37, E2033 &lt;48), "38-47",
AND(E2033&gt;47, E2033 &lt;58), "48-57",
AND(E2033&gt;57, E2033&lt;68), "58-67",
AND(E2033&gt;67, E2033&lt;78), "68-77",
E2033&gt;77,"Above than 77")</f>
        <v>58-67</v>
      </c>
      <c r="E2033">
        <v>63</v>
      </c>
      <c r="F2033" s="1">
        <v>22233</v>
      </c>
      <c r="G2033" s="1" t="str">
        <f>VLOOKUP(H2033,Table7[#All], 2, FALSE)</f>
        <v>Massachusetts</v>
      </c>
      <c r="H2033" s="2" t="s">
        <v>14</v>
      </c>
      <c r="I2033" s="2" t="s">
        <v>15</v>
      </c>
      <c r="J2033" s="2" t="s">
        <v>40</v>
      </c>
      <c r="K2033" s="2" t="s">
        <v>89</v>
      </c>
      <c r="L2033" s="2" t="s">
        <v>9</v>
      </c>
      <c r="M2033" s="2" t="s">
        <v>25</v>
      </c>
      <c r="N2033" s="2" t="s">
        <v>19</v>
      </c>
      <c r="O2033" s="2" t="s">
        <v>90</v>
      </c>
      <c r="P2033" s="2" t="s">
        <v>35</v>
      </c>
      <c r="Q2033" s="2" t="s">
        <v>30</v>
      </c>
      <c r="R2033" s="2" t="s">
        <v>18</v>
      </c>
      <c r="S2033">
        <v>1</v>
      </c>
    </row>
    <row r="2034" spans="1:19" x14ac:dyDescent="0.3">
      <c r="A2034">
        <v>1946</v>
      </c>
      <c r="B2034">
        <f>YEAR(Cleaned_HR_Data_Analysis__2[[#This Row],[Joining_Date]])</f>
        <v>2019</v>
      </c>
      <c r="C2034" s="1">
        <v>43668</v>
      </c>
      <c r="D2034" s="1" t="str" cm="1">
        <f t="array" ref="D2034">_xlfn.IFS(E2034&lt;28, "17-27",
AND(E2034&gt;27, E2034&lt;38), "28-37",
AND(E2034&gt;37, E2034 &lt;48), "38-47",
AND(E2034&gt;47, E2034 &lt;58), "48-57",
AND(E2034&gt;57, E2034&lt;68), "58-67",
AND(E2034&gt;67, E2034&lt;78), "68-77",
E2034&gt;77,"Above than 77")</f>
        <v>58-67</v>
      </c>
      <c r="E2034">
        <v>63</v>
      </c>
      <c r="F2034" s="1">
        <v>20658</v>
      </c>
      <c r="G2034" s="1" t="str">
        <f>VLOOKUP(H2034,Table7[#All], 2, FALSE)</f>
        <v>Pennsylvania</v>
      </c>
      <c r="H2034" s="2" t="s">
        <v>100</v>
      </c>
      <c r="I2034" s="2" t="s">
        <v>15</v>
      </c>
      <c r="J2034" s="2" t="s">
        <v>17</v>
      </c>
      <c r="K2034" s="2" t="s">
        <v>64</v>
      </c>
      <c r="L2034" s="2" t="s">
        <v>9</v>
      </c>
      <c r="M2034" s="2" t="s">
        <v>25</v>
      </c>
      <c r="N2034" s="2" t="s">
        <v>19</v>
      </c>
      <c r="O2034" s="2" t="s">
        <v>27</v>
      </c>
      <c r="P2034" s="2" t="s">
        <v>21</v>
      </c>
      <c r="Q2034" s="2" t="s">
        <v>30</v>
      </c>
      <c r="R2034" s="2" t="s">
        <v>18</v>
      </c>
      <c r="S2034">
        <v>5</v>
      </c>
    </row>
    <row r="2035" spans="1:19" x14ac:dyDescent="0.3">
      <c r="A2035">
        <v>3344</v>
      </c>
      <c r="B2035">
        <f>YEAR(Cleaned_HR_Data_Analysis__2[[#This Row],[Joining_Date]])</f>
        <v>2021</v>
      </c>
      <c r="C2035" s="1">
        <v>44437</v>
      </c>
      <c r="D2035" s="1" t="str" cm="1">
        <f t="array" ref="D2035">_xlfn.IFS(E2035&lt;28, "17-27",
AND(E2035&gt;27, E2035&lt;38), "28-37",
AND(E2035&gt;37, E2035 &lt;48), "38-47",
AND(E2035&gt;47, E2035 &lt;58), "48-57",
AND(E2035&gt;57, E2035&lt;68), "58-67",
AND(E2035&gt;67, E2035&lt;78), "68-77",
E2035&gt;77,"Above than 77")</f>
        <v>58-67</v>
      </c>
      <c r="E2035">
        <v>63</v>
      </c>
      <c r="F2035" s="1">
        <v>21256</v>
      </c>
      <c r="G2035" s="1" t="str">
        <f>VLOOKUP(H2035,Table7[#All], 2, FALSE)</f>
        <v>Massachusetts</v>
      </c>
      <c r="H2035" s="2" t="s">
        <v>14</v>
      </c>
      <c r="I2035" s="2" t="s">
        <v>22</v>
      </c>
      <c r="J2035" s="2" t="s">
        <v>34</v>
      </c>
      <c r="K2035" s="2" t="s">
        <v>64</v>
      </c>
      <c r="L2035" s="2" t="s">
        <v>9</v>
      </c>
      <c r="M2035" s="2" t="s">
        <v>10</v>
      </c>
      <c r="N2035" s="2" t="s">
        <v>26</v>
      </c>
      <c r="O2035" s="2" t="s">
        <v>12</v>
      </c>
      <c r="P2035" s="2" t="s">
        <v>32</v>
      </c>
      <c r="Q2035" s="2" t="s">
        <v>16</v>
      </c>
      <c r="R2035" s="2" t="s">
        <v>18</v>
      </c>
      <c r="S2035">
        <v>4</v>
      </c>
    </row>
    <row r="2036" spans="1:19" x14ac:dyDescent="0.3">
      <c r="A2036">
        <v>3118</v>
      </c>
      <c r="B2036">
        <f>YEAR(Cleaned_HR_Data_Analysis__2[[#This Row],[Joining_Date]])</f>
        <v>2019</v>
      </c>
      <c r="C2036" s="1">
        <v>43493</v>
      </c>
      <c r="D2036" s="1" t="str" cm="1">
        <f t="array" ref="D2036">_xlfn.IFS(E2036&lt;28, "17-27",
AND(E2036&gt;27, E2036&lt;38), "28-37",
AND(E2036&gt;37, E2036 &lt;48), "38-47",
AND(E2036&gt;47, E2036 &lt;58), "48-57",
AND(E2036&gt;57, E2036&lt;68), "58-67",
AND(E2036&gt;67, E2036&lt;78), "68-77",
E2036&gt;77,"Above than 77")</f>
        <v>58-67</v>
      </c>
      <c r="E2036">
        <v>63</v>
      </c>
      <c r="F2036" s="1">
        <v>20803</v>
      </c>
      <c r="G2036" s="1" t="str">
        <f>VLOOKUP(H2036,Table7[#All], 2, FALSE)</f>
        <v>Massachusetts</v>
      </c>
      <c r="H2036" s="2" t="s">
        <v>14</v>
      </c>
      <c r="I2036" s="2" t="s">
        <v>15</v>
      </c>
      <c r="J2036" s="2" t="s">
        <v>40</v>
      </c>
      <c r="K2036" s="2" t="s">
        <v>64</v>
      </c>
      <c r="L2036" s="2" t="s">
        <v>66</v>
      </c>
      <c r="M2036" s="2" t="s">
        <v>20</v>
      </c>
      <c r="N2036" s="2" t="s">
        <v>19</v>
      </c>
      <c r="O2036" s="2" t="s">
        <v>12</v>
      </c>
      <c r="P2036" s="2" t="s">
        <v>60</v>
      </c>
      <c r="Q2036" s="2" t="s">
        <v>37</v>
      </c>
      <c r="R2036" s="2" t="s">
        <v>18</v>
      </c>
      <c r="S2036">
        <v>2</v>
      </c>
    </row>
    <row r="2037" spans="1:19" x14ac:dyDescent="0.3">
      <c r="A2037">
        <v>2947</v>
      </c>
      <c r="B2037">
        <f>YEAR(Cleaned_HR_Data_Analysis__2[[#This Row],[Joining_Date]])</f>
        <v>2021</v>
      </c>
      <c r="C2037" s="1">
        <v>44357</v>
      </c>
      <c r="D2037" s="1" t="str" cm="1">
        <f t="array" ref="D2037">_xlfn.IFS(E2037&lt;28, "17-27",
AND(E2037&gt;27, E2037&lt;38), "28-37",
AND(E2037&gt;37, E2037 &lt;48), "38-47",
AND(E2037&gt;47, E2037 &lt;58), "48-57",
AND(E2037&gt;57, E2037&lt;68), "58-67",
AND(E2037&gt;67, E2037&lt;78), "68-77",
E2037&gt;77,"Above than 77")</f>
        <v>58-67</v>
      </c>
      <c r="E2037">
        <v>63</v>
      </c>
      <c r="F2037" s="1">
        <v>21415</v>
      </c>
      <c r="G2037" s="1" t="str">
        <f>VLOOKUP(H2037,Table7[#All], 2, FALSE)</f>
        <v>Massachusetts</v>
      </c>
      <c r="H2037" s="2" t="s">
        <v>14</v>
      </c>
      <c r="I2037" s="2" t="s">
        <v>22</v>
      </c>
      <c r="J2037" s="2" t="s">
        <v>40</v>
      </c>
      <c r="K2037" s="2" t="s">
        <v>64</v>
      </c>
      <c r="L2037" s="2" t="s">
        <v>9</v>
      </c>
      <c r="M2037" s="2" t="s">
        <v>20</v>
      </c>
      <c r="N2037" s="2" t="s">
        <v>11</v>
      </c>
      <c r="O2037" s="2" t="s">
        <v>12</v>
      </c>
      <c r="P2037" s="2" t="s">
        <v>59</v>
      </c>
      <c r="Q2037" s="2" t="s">
        <v>46</v>
      </c>
      <c r="R2037" s="2" t="s">
        <v>18</v>
      </c>
      <c r="S2037">
        <v>4</v>
      </c>
    </row>
    <row r="2038" spans="1:19" x14ac:dyDescent="0.3">
      <c r="A2038">
        <v>2016</v>
      </c>
      <c r="B2038">
        <f>YEAR(Cleaned_HR_Data_Analysis__2[[#This Row],[Joining_Date]])</f>
        <v>2021</v>
      </c>
      <c r="C2038" s="1">
        <v>44294</v>
      </c>
      <c r="D2038" s="1" t="str" cm="1">
        <f t="array" ref="D2038">_xlfn.IFS(E2038&lt;28, "17-27",
AND(E2038&gt;27, E2038&lt;38), "28-37",
AND(E2038&gt;37, E2038 &lt;48), "38-47",
AND(E2038&gt;47, E2038 &lt;58), "48-57",
AND(E2038&gt;57, E2038&lt;68), "58-67",
AND(E2038&gt;67, E2038&lt;78), "68-77",
E2038&gt;77,"Above than 77")</f>
        <v>58-67</v>
      </c>
      <c r="E2038">
        <v>63</v>
      </c>
      <c r="F2038" s="1">
        <v>21459</v>
      </c>
      <c r="G2038" s="1" t="str">
        <f>VLOOKUP(H2038,Table7[#All], 2, FALSE)</f>
        <v>Massachusetts</v>
      </c>
      <c r="H2038" s="2" t="s">
        <v>14</v>
      </c>
      <c r="I2038" s="2" t="s">
        <v>15</v>
      </c>
      <c r="J2038" s="2" t="s">
        <v>17</v>
      </c>
      <c r="K2038" s="2" t="s">
        <v>64</v>
      </c>
      <c r="L2038" s="2" t="s">
        <v>9</v>
      </c>
      <c r="M2038" s="2" t="s">
        <v>10</v>
      </c>
      <c r="N2038" s="2" t="s">
        <v>11</v>
      </c>
      <c r="O2038" s="2" t="s">
        <v>12</v>
      </c>
      <c r="P2038" s="2" t="s">
        <v>35</v>
      </c>
      <c r="Q2038" s="2" t="s">
        <v>16</v>
      </c>
      <c r="R2038" s="2" t="s">
        <v>18</v>
      </c>
      <c r="S2038">
        <v>3</v>
      </c>
    </row>
    <row r="2039" spans="1:19" x14ac:dyDescent="0.3">
      <c r="A2039">
        <v>1938</v>
      </c>
      <c r="B2039">
        <f>YEAR(Cleaned_HR_Data_Analysis__2[[#This Row],[Joining_Date]])</f>
        <v>2020</v>
      </c>
      <c r="C2039" s="1">
        <v>43913</v>
      </c>
      <c r="D2039" s="1" t="str" cm="1">
        <f t="array" ref="D2039">_xlfn.IFS(E2039&lt;28, "17-27",
AND(E2039&gt;27, E2039&lt;38), "28-37",
AND(E2039&gt;37, E2039 &lt;48), "38-47",
AND(E2039&gt;47, E2039 &lt;58), "48-57",
AND(E2039&gt;57, E2039&lt;68), "58-67",
AND(E2039&gt;67, E2039&lt;78), "68-77",
E2039&gt;77,"Above than 77")</f>
        <v>58-67</v>
      </c>
      <c r="E2039">
        <v>63</v>
      </c>
      <c r="F2039" s="1">
        <v>20897</v>
      </c>
      <c r="G2039" s="1" t="str">
        <f>VLOOKUP(H2039,Table7[#All], 2, FALSE)</f>
        <v>Massachusetts</v>
      </c>
      <c r="H2039" s="2" t="s">
        <v>14</v>
      </c>
      <c r="I2039" s="2" t="s">
        <v>15</v>
      </c>
      <c r="J2039" s="2" t="s">
        <v>31</v>
      </c>
      <c r="K2039" s="2" t="s">
        <v>64</v>
      </c>
      <c r="L2039" s="2" t="s">
        <v>9</v>
      </c>
      <c r="M2039" s="2" t="s">
        <v>20</v>
      </c>
      <c r="N2039" s="2" t="s">
        <v>19</v>
      </c>
      <c r="O2039" s="2" t="s">
        <v>27</v>
      </c>
      <c r="P2039" s="2" t="s">
        <v>49</v>
      </c>
      <c r="Q2039" s="2" t="s">
        <v>30</v>
      </c>
      <c r="R2039" s="2" t="s">
        <v>18</v>
      </c>
      <c r="S2039">
        <v>4</v>
      </c>
    </row>
    <row r="2040" spans="1:19" x14ac:dyDescent="0.3">
      <c r="A2040">
        <v>1400</v>
      </c>
      <c r="B2040">
        <f>YEAR(Cleaned_HR_Data_Analysis__2[[#This Row],[Joining_Date]])</f>
        <v>2018</v>
      </c>
      <c r="C2040" s="1">
        <v>43341</v>
      </c>
      <c r="D2040" s="1" t="str" cm="1">
        <f t="array" ref="D2040">_xlfn.IFS(E2040&lt;28, "17-27",
AND(E2040&gt;27, E2040&lt;38), "28-37",
AND(E2040&gt;37, E2040 &lt;48), "38-47",
AND(E2040&gt;47, E2040 &lt;58), "48-57",
AND(E2040&gt;57, E2040&lt;68), "58-67",
AND(E2040&gt;67, E2040&lt;78), "68-77",
E2040&gt;77,"Above than 77")</f>
        <v>58-67</v>
      </c>
      <c r="E2040">
        <v>63</v>
      </c>
      <c r="F2040" s="1">
        <v>20182</v>
      </c>
      <c r="G2040" s="1" t="str">
        <f>VLOOKUP(H2040,Table7[#All], 2, FALSE)</f>
        <v>Massachusetts</v>
      </c>
      <c r="H2040" s="2" t="s">
        <v>14</v>
      </c>
      <c r="I2040" s="2" t="s">
        <v>15</v>
      </c>
      <c r="J2040" s="2" t="s">
        <v>40</v>
      </c>
      <c r="K2040" s="2" t="s">
        <v>64</v>
      </c>
      <c r="L2040" s="2" t="s">
        <v>9</v>
      </c>
      <c r="M2040" s="2" t="s">
        <v>25</v>
      </c>
      <c r="N2040" s="2" t="s">
        <v>26</v>
      </c>
      <c r="O2040" s="2" t="s">
        <v>12</v>
      </c>
      <c r="P2040" s="2" t="s">
        <v>35</v>
      </c>
      <c r="Q2040" s="2" t="s">
        <v>16</v>
      </c>
      <c r="R2040" s="2" t="s">
        <v>41</v>
      </c>
      <c r="S2040">
        <v>3</v>
      </c>
    </row>
    <row r="2041" spans="1:19" x14ac:dyDescent="0.3">
      <c r="A2041">
        <v>1129</v>
      </c>
      <c r="B2041">
        <f>YEAR(Cleaned_HR_Data_Analysis__2[[#This Row],[Joining_Date]])</f>
        <v>2019</v>
      </c>
      <c r="C2041" s="1">
        <v>43727</v>
      </c>
      <c r="D2041" s="1" t="str" cm="1">
        <f t="array" ref="D2041">_xlfn.IFS(E2041&lt;28, "17-27",
AND(E2041&gt;27, E2041&lt;38), "28-37",
AND(E2041&gt;37, E2041 &lt;48), "38-47",
AND(E2041&gt;47, E2041 &lt;58), "48-57",
AND(E2041&gt;57, E2041&lt;68), "58-67",
AND(E2041&gt;67, E2041&lt;78), "68-77",
E2041&gt;77,"Above than 77")</f>
        <v>58-67</v>
      </c>
      <c r="E2041">
        <v>63</v>
      </c>
      <c r="F2041" s="1">
        <v>20592</v>
      </c>
      <c r="G2041" s="1" t="str">
        <f>VLOOKUP(H2041,Table7[#All], 2, FALSE)</f>
        <v>Massachusetts</v>
      </c>
      <c r="H2041" s="2" t="s">
        <v>14</v>
      </c>
      <c r="I2041" s="2" t="s">
        <v>15</v>
      </c>
      <c r="J2041" s="2" t="s">
        <v>34</v>
      </c>
      <c r="K2041" s="2" t="s">
        <v>64</v>
      </c>
      <c r="L2041" s="2" t="s">
        <v>66</v>
      </c>
      <c r="M2041" s="2" t="s">
        <v>25</v>
      </c>
      <c r="N2041" s="2" t="s">
        <v>26</v>
      </c>
      <c r="O2041" s="2" t="s">
        <v>12</v>
      </c>
      <c r="P2041" s="2" t="s">
        <v>35</v>
      </c>
      <c r="Q2041" s="2" t="s">
        <v>30</v>
      </c>
      <c r="R2041" s="2" t="s">
        <v>18</v>
      </c>
      <c r="S2041">
        <v>1</v>
      </c>
    </row>
    <row r="2042" spans="1:19" x14ac:dyDescent="0.3">
      <c r="A2042">
        <v>3583</v>
      </c>
      <c r="B2042">
        <f>YEAR(Cleaned_HR_Data_Analysis__2[[#This Row],[Joining_Date]])</f>
        <v>2021</v>
      </c>
      <c r="C2042" s="1">
        <v>44314</v>
      </c>
      <c r="D2042" s="1" t="str" cm="1">
        <f t="array" ref="D2042">_xlfn.IFS(E2042&lt;28, "17-27",
AND(E2042&gt;27, E2042&lt;38), "28-37",
AND(E2042&gt;37, E2042 &lt;48), "38-47",
AND(E2042&gt;47, E2042 &lt;58), "48-57",
AND(E2042&gt;57, E2042&lt;68), "58-67",
AND(E2042&gt;67, E2042&lt;78), "68-77",
E2042&gt;77,"Above than 77")</f>
        <v>58-67</v>
      </c>
      <c r="E2042">
        <v>63</v>
      </c>
      <c r="F2042" s="1">
        <v>21509</v>
      </c>
      <c r="G2042" s="1" t="str">
        <f>VLOOKUP(H2042,Table7[#All], 2, FALSE)</f>
        <v>Massachusetts</v>
      </c>
      <c r="H2042" s="2" t="s">
        <v>14</v>
      </c>
      <c r="I2042" s="2" t="s">
        <v>15</v>
      </c>
      <c r="J2042" s="2" t="s">
        <v>34</v>
      </c>
      <c r="K2042" s="2" t="s">
        <v>8</v>
      </c>
      <c r="L2042" s="2" t="s">
        <v>9</v>
      </c>
      <c r="M2042" s="2" t="s">
        <v>25</v>
      </c>
      <c r="N2042" s="2" t="s">
        <v>11</v>
      </c>
      <c r="O2042" s="2" t="s">
        <v>12</v>
      </c>
      <c r="P2042" s="2" t="s">
        <v>35</v>
      </c>
      <c r="Q2042" s="2" t="s">
        <v>16</v>
      </c>
      <c r="R2042" s="2" t="s">
        <v>56</v>
      </c>
      <c r="S2042">
        <v>1</v>
      </c>
    </row>
    <row r="2043" spans="1:19" x14ac:dyDescent="0.3">
      <c r="A2043">
        <v>3421</v>
      </c>
      <c r="B2043">
        <f>YEAR(Cleaned_HR_Data_Analysis__2[[#This Row],[Joining_Date]])</f>
        <v>2022</v>
      </c>
      <c r="C2043" s="1">
        <v>44690</v>
      </c>
      <c r="D2043" s="1" t="str" cm="1">
        <f t="array" ref="D2043">_xlfn.IFS(E2043&lt;28, "17-27",
AND(E2043&gt;27, E2043&lt;38), "28-37",
AND(E2043&gt;37, E2043 &lt;48), "38-47",
AND(E2043&gt;47, E2043 &lt;58), "48-57",
AND(E2043&gt;57, E2043&lt;68), "58-67",
AND(E2043&gt;67, E2043&lt;78), "68-77",
E2043&gt;77,"Above than 77")</f>
        <v>58-67</v>
      </c>
      <c r="E2043">
        <v>63</v>
      </c>
      <c r="F2043" s="1">
        <v>21712</v>
      </c>
      <c r="G2043" s="1" t="str">
        <f>VLOOKUP(H2043,Table7[#All], 2, FALSE)</f>
        <v>Massachusetts</v>
      </c>
      <c r="H2043" s="2" t="s">
        <v>14</v>
      </c>
      <c r="I2043" s="2" t="s">
        <v>15</v>
      </c>
      <c r="J2043" s="2" t="s">
        <v>40</v>
      </c>
      <c r="K2043" s="2" t="s">
        <v>8</v>
      </c>
      <c r="L2043" s="2" t="s">
        <v>9</v>
      </c>
      <c r="M2043" s="2" t="s">
        <v>20</v>
      </c>
      <c r="N2043" s="2" t="s">
        <v>19</v>
      </c>
      <c r="O2043" s="2" t="s">
        <v>12</v>
      </c>
      <c r="P2043" s="2" t="s">
        <v>61</v>
      </c>
      <c r="Q2043" s="2" t="s">
        <v>30</v>
      </c>
      <c r="R2043" s="2" t="s">
        <v>18</v>
      </c>
      <c r="S2043">
        <v>4</v>
      </c>
    </row>
    <row r="2044" spans="1:19" x14ac:dyDescent="0.3">
      <c r="A2044">
        <v>3398</v>
      </c>
      <c r="B2044">
        <f>YEAR(Cleaned_HR_Data_Analysis__2[[#This Row],[Joining_Date]])</f>
        <v>2019</v>
      </c>
      <c r="C2044" s="1">
        <v>43778</v>
      </c>
      <c r="D2044" s="1" t="str" cm="1">
        <f t="array" ref="D2044">_xlfn.IFS(E2044&lt;28, "17-27",
AND(E2044&gt;27, E2044&lt;38), "28-37",
AND(E2044&gt;37, E2044 &lt;48), "38-47",
AND(E2044&gt;47, E2044 &lt;58), "48-57",
AND(E2044&gt;57, E2044&lt;68), "58-67",
AND(E2044&gt;67, E2044&lt;78), "68-77",
E2044&gt;77,"Above than 77")</f>
        <v>58-67</v>
      </c>
      <c r="E2044">
        <v>63</v>
      </c>
      <c r="F2044" s="1">
        <v>20800</v>
      </c>
      <c r="G2044" s="1" t="str">
        <f>VLOOKUP(H2044,Table7[#All], 2, FALSE)</f>
        <v>Massachusetts</v>
      </c>
      <c r="H2044" s="2" t="s">
        <v>14</v>
      </c>
      <c r="I2044" s="2" t="s">
        <v>15</v>
      </c>
      <c r="J2044" s="2" t="s">
        <v>31</v>
      </c>
      <c r="K2044" s="2" t="s">
        <v>8</v>
      </c>
      <c r="L2044" s="2" t="s">
        <v>9</v>
      </c>
      <c r="M2044" s="2" t="s">
        <v>20</v>
      </c>
      <c r="N2044" s="2" t="s">
        <v>19</v>
      </c>
      <c r="O2044" s="2" t="s">
        <v>12</v>
      </c>
      <c r="P2044" s="2" t="s">
        <v>32</v>
      </c>
      <c r="Q2044" s="2" t="s">
        <v>30</v>
      </c>
      <c r="R2044" s="2" t="s">
        <v>18</v>
      </c>
      <c r="S2044">
        <v>2</v>
      </c>
    </row>
    <row r="2045" spans="1:19" x14ac:dyDescent="0.3">
      <c r="A2045">
        <v>3349</v>
      </c>
      <c r="B2045">
        <f>YEAR(Cleaned_HR_Data_Analysis__2[[#This Row],[Joining_Date]])</f>
        <v>2022</v>
      </c>
      <c r="C2045" s="1">
        <v>44872</v>
      </c>
      <c r="D2045" s="1" t="str" cm="1">
        <f t="array" ref="D2045">_xlfn.IFS(E2045&lt;28, "17-27",
AND(E2045&gt;27, E2045&lt;38), "28-37",
AND(E2045&gt;37, E2045 &lt;48), "38-47",
AND(E2045&gt;47, E2045 &lt;58), "48-57",
AND(E2045&gt;57, E2045&lt;68), "58-67",
AND(E2045&gt;67, E2045&lt;78), "68-77",
E2045&gt;77,"Above than 77")</f>
        <v>58-67</v>
      </c>
      <c r="E2045">
        <v>63</v>
      </c>
      <c r="F2045" s="1">
        <v>21608</v>
      </c>
      <c r="G2045" s="1" t="str">
        <f>VLOOKUP(H2045,Table7[#All], 2, FALSE)</f>
        <v>Massachusetts</v>
      </c>
      <c r="H2045" s="2" t="s">
        <v>14</v>
      </c>
      <c r="I2045" s="2" t="s">
        <v>22</v>
      </c>
      <c r="J2045" s="2" t="s">
        <v>40</v>
      </c>
      <c r="K2045" s="2" t="s">
        <v>8</v>
      </c>
      <c r="L2045" s="2" t="s">
        <v>9</v>
      </c>
      <c r="M2045" s="2" t="s">
        <v>10</v>
      </c>
      <c r="N2045" s="2" t="s">
        <v>19</v>
      </c>
      <c r="O2045" s="2" t="s">
        <v>12</v>
      </c>
      <c r="P2045" s="2" t="s">
        <v>38</v>
      </c>
      <c r="Q2045" s="2" t="s">
        <v>23</v>
      </c>
      <c r="R2045" s="2" t="s">
        <v>18</v>
      </c>
      <c r="S2045">
        <v>4</v>
      </c>
    </row>
    <row r="2046" spans="1:19" x14ac:dyDescent="0.3">
      <c r="A2046">
        <v>3251</v>
      </c>
      <c r="B2046">
        <f>YEAR(Cleaned_HR_Data_Analysis__2[[#This Row],[Joining_Date]])</f>
        <v>2019</v>
      </c>
      <c r="C2046" s="1">
        <v>43511</v>
      </c>
      <c r="D2046" s="1" t="str" cm="1">
        <f t="array" ref="D2046">_xlfn.IFS(E2046&lt;28, "17-27",
AND(E2046&gt;27, E2046&lt;38), "28-37",
AND(E2046&gt;37, E2046 &lt;48), "38-47",
AND(E2046&gt;47, E2046 &lt;58), "48-57",
AND(E2046&gt;57, E2046&lt;68), "58-67",
AND(E2046&gt;67, E2046&lt;78), "68-77",
E2046&gt;77,"Above than 77")</f>
        <v>58-67</v>
      </c>
      <c r="E2046">
        <v>63</v>
      </c>
      <c r="F2046" s="1">
        <v>20557</v>
      </c>
      <c r="G2046" s="1" t="str">
        <f>VLOOKUP(H2046,Table7[#All], 2, FALSE)</f>
        <v>Massachusetts</v>
      </c>
      <c r="H2046" s="2" t="s">
        <v>14</v>
      </c>
      <c r="I2046" s="2" t="s">
        <v>22</v>
      </c>
      <c r="J2046" s="2" t="s">
        <v>40</v>
      </c>
      <c r="K2046" s="2" t="s">
        <v>8</v>
      </c>
      <c r="L2046" s="2" t="s">
        <v>66</v>
      </c>
      <c r="M2046" s="2" t="s">
        <v>10</v>
      </c>
      <c r="N2046" s="2" t="s">
        <v>19</v>
      </c>
      <c r="O2046" s="2" t="s">
        <v>12</v>
      </c>
      <c r="P2046" s="2" t="s">
        <v>35</v>
      </c>
      <c r="Q2046" s="2" t="s">
        <v>16</v>
      </c>
      <c r="R2046" s="2" t="s">
        <v>18</v>
      </c>
      <c r="S2046">
        <v>1</v>
      </c>
    </row>
    <row r="2047" spans="1:19" x14ac:dyDescent="0.3">
      <c r="A2047">
        <v>3036</v>
      </c>
      <c r="B2047">
        <f>YEAR(Cleaned_HR_Data_Analysis__2[[#This Row],[Joining_Date]])</f>
        <v>2020</v>
      </c>
      <c r="C2047" s="1">
        <v>44017</v>
      </c>
      <c r="D2047" s="1" t="str" cm="1">
        <f t="array" ref="D2047">_xlfn.IFS(E2047&lt;28, "17-27",
AND(E2047&gt;27, E2047&lt;38), "28-37",
AND(E2047&gt;37, E2047 &lt;48), "38-47",
AND(E2047&gt;47, E2047 &lt;58), "48-57",
AND(E2047&gt;57, E2047&lt;68), "58-67",
AND(E2047&gt;67, E2047&lt;78), "68-77",
E2047&gt;77,"Above than 77")</f>
        <v>58-67</v>
      </c>
      <c r="E2047">
        <v>63</v>
      </c>
      <c r="F2047" s="1">
        <v>20999</v>
      </c>
      <c r="G2047" s="1" t="str">
        <f>VLOOKUP(H2047,Table7[#All], 2, FALSE)</f>
        <v>Massachusetts</v>
      </c>
      <c r="H2047" s="2" t="s">
        <v>14</v>
      </c>
      <c r="I2047" s="2" t="s">
        <v>15</v>
      </c>
      <c r="J2047" s="2" t="s">
        <v>17</v>
      </c>
      <c r="K2047" s="2" t="s">
        <v>8</v>
      </c>
      <c r="L2047" s="2" t="s">
        <v>9</v>
      </c>
      <c r="M2047" s="2" t="s">
        <v>25</v>
      </c>
      <c r="N2047" s="2" t="s">
        <v>26</v>
      </c>
      <c r="O2047" s="2" t="s">
        <v>12</v>
      </c>
      <c r="P2047" s="2" t="s">
        <v>68</v>
      </c>
      <c r="Q2047" s="2" t="s">
        <v>16</v>
      </c>
      <c r="R2047" s="2" t="s">
        <v>18</v>
      </c>
      <c r="S2047">
        <v>4</v>
      </c>
    </row>
    <row r="2048" spans="1:19" x14ac:dyDescent="0.3">
      <c r="A2048">
        <v>2964</v>
      </c>
      <c r="B2048">
        <f>YEAR(Cleaned_HR_Data_Analysis__2[[#This Row],[Joining_Date]])</f>
        <v>2021</v>
      </c>
      <c r="C2048" s="1">
        <v>44331</v>
      </c>
      <c r="D2048" s="1" t="str" cm="1">
        <f t="array" ref="D2048">_xlfn.IFS(E2048&lt;28, "17-27",
AND(E2048&gt;27, E2048&lt;38), "28-37",
AND(E2048&gt;37, E2048 &lt;48), "38-47",
AND(E2048&gt;47, E2048 &lt;58), "48-57",
AND(E2048&gt;57, E2048&lt;68), "58-67",
AND(E2048&gt;67, E2048&lt;78), "68-77",
E2048&gt;77,"Above than 77")</f>
        <v>58-67</v>
      </c>
      <c r="E2048">
        <v>63</v>
      </c>
      <c r="F2048" s="1">
        <v>21338</v>
      </c>
      <c r="G2048" s="1" t="str">
        <f>VLOOKUP(H2048,Table7[#All], 2, FALSE)</f>
        <v>Massachusetts</v>
      </c>
      <c r="H2048" s="2" t="s">
        <v>14</v>
      </c>
      <c r="I2048" s="2" t="s">
        <v>15</v>
      </c>
      <c r="J2048" s="2" t="s">
        <v>40</v>
      </c>
      <c r="K2048" s="2" t="s">
        <v>8</v>
      </c>
      <c r="L2048" s="2" t="s">
        <v>9</v>
      </c>
      <c r="M2048" s="2" t="s">
        <v>20</v>
      </c>
      <c r="N2048" s="2" t="s">
        <v>26</v>
      </c>
      <c r="O2048" s="2" t="s">
        <v>12</v>
      </c>
      <c r="P2048" s="2" t="s">
        <v>35</v>
      </c>
      <c r="Q2048" s="2" t="s">
        <v>30</v>
      </c>
      <c r="R2048" s="2" t="s">
        <v>18</v>
      </c>
      <c r="S2048">
        <v>1</v>
      </c>
    </row>
    <row r="2049" spans="1:19" x14ac:dyDescent="0.3">
      <c r="A2049">
        <v>2810</v>
      </c>
      <c r="B2049">
        <f>YEAR(Cleaned_HR_Data_Analysis__2[[#This Row],[Joining_Date]])</f>
        <v>2022</v>
      </c>
      <c r="C2049" s="1">
        <v>44882</v>
      </c>
      <c r="D2049" s="1" t="str" cm="1">
        <f t="array" ref="D2049">_xlfn.IFS(E2049&lt;28, "17-27",
AND(E2049&gt;27, E2049&lt;38), "28-37",
AND(E2049&gt;37, E2049 &lt;48), "38-47",
AND(E2049&gt;47, E2049 &lt;58), "48-57",
AND(E2049&gt;57, E2049&lt;68), "58-67",
AND(E2049&gt;67, E2049&lt;78), "68-77",
E2049&gt;77,"Above than 77")</f>
        <v>58-67</v>
      </c>
      <c r="E2049">
        <v>63</v>
      </c>
      <c r="F2049" s="1">
        <v>21650</v>
      </c>
      <c r="G2049" s="1" t="str">
        <f>VLOOKUP(H2049,Table7[#All], 2, FALSE)</f>
        <v>Massachusetts</v>
      </c>
      <c r="H2049" s="2" t="s">
        <v>14</v>
      </c>
      <c r="I2049" s="2" t="s">
        <v>22</v>
      </c>
      <c r="J2049" s="2" t="s">
        <v>34</v>
      </c>
      <c r="K2049" s="2" t="s">
        <v>8</v>
      </c>
      <c r="L2049" s="2" t="s">
        <v>9</v>
      </c>
      <c r="M2049" s="2" t="s">
        <v>25</v>
      </c>
      <c r="N2049" s="2" t="s">
        <v>19</v>
      </c>
      <c r="O2049" s="2" t="s">
        <v>12</v>
      </c>
      <c r="P2049" s="2" t="s">
        <v>35</v>
      </c>
      <c r="Q2049" s="2" t="s">
        <v>30</v>
      </c>
      <c r="R2049" s="2" t="s">
        <v>18</v>
      </c>
      <c r="S2049">
        <v>5</v>
      </c>
    </row>
    <row r="2050" spans="1:19" x14ac:dyDescent="0.3">
      <c r="A2050">
        <v>2056</v>
      </c>
      <c r="B2050">
        <f>YEAR(Cleaned_HR_Data_Analysis__2[[#This Row],[Joining_Date]])</f>
        <v>2020</v>
      </c>
      <c r="C2050" s="1">
        <v>43938</v>
      </c>
      <c r="D2050" s="1" t="str" cm="1">
        <f t="array" ref="D2050">_xlfn.IFS(E2050&lt;28, "17-27",
AND(E2050&gt;27, E2050&lt;38), "28-37",
AND(E2050&gt;37, E2050 &lt;48), "38-47",
AND(E2050&gt;47, E2050 &lt;58), "48-57",
AND(E2050&gt;57, E2050&lt;68), "58-67",
AND(E2050&gt;67, E2050&lt;78), "68-77",
E2050&gt;77,"Above than 77")</f>
        <v>58-67</v>
      </c>
      <c r="E2050">
        <v>63</v>
      </c>
      <c r="F2050" s="1">
        <v>21026</v>
      </c>
      <c r="G2050" s="1" t="str">
        <f>VLOOKUP(H2050,Table7[#All], 2, FALSE)</f>
        <v>Massachusetts</v>
      </c>
      <c r="H2050" s="2" t="s">
        <v>14</v>
      </c>
      <c r="I2050" s="2" t="s">
        <v>15</v>
      </c>
      <c r="J2050" s="2" t="s">
        <v>40</v>
      </c>
      <c r="K2050" s="2" t="s">
        <v>8</v>
      </c>
      <c r="L2050" s="2" t="s">
        <v>9</v>
      </c>
      <c r="M2050" s="2" t="s">
        <v>10</v>
      </c>
      <c r="N2050" s="2" t="s">
        <v>19</v>
      </c>
      <c r="O2050" s="2" t="s">
        <v>12</v>
      </c>
      <c r="P2050" s="2" t="s">
        <v>35</v>
      </c>
      <c r="Q2050" s="2" t="s">
        <v>16</v>
      </c>
      <c r="R2050" s="2" t="s">
        <v>18</v>
      </c>
      <c r="S2050">
        <v>4</v>
      </c>
    </row>
    <row r="2051" spans="1:19" x14ac:dyDescent="0.3">
      <c r="A2051">
        <v>1956</v>
      </c>
      <c r="B2051">
        <f>YEAR(Cleaned_HR_Data_Analysis__2[[#This Row],[Joining_Date]])</f>
        <v>2021</v>
      </c>
      <c r="C2051" s="1">
        <v>44331</v>
      </c>
      <c r="D2051" s="1" t="str" cm="1">
        <f t="array" ref="D2051">_xlfn.IFS(E2051&lt;28, "17-27",
AND(E2051&gt;27, E2051&lt;38), "28-37",
AND(E2051&gt;37, E2051 &lt;48), "38-47",
AND(E2051&gt;47, E2051 &lt;58), "48-57",
AND(E2051&gt;57, E2051&lt;68), "58-67",
AND(E2051&gt;67, E2051&lt;78), "68-77",
E2051&gt;77,"Above than 77")</f>
        <v>58-67</v>
      </c>
      <c r="E2051">
        <v>63</v>
      </c>
      <c r="F2051" s="1">
        <v>21537</v>
      </c>
      <c r="G2051" s="1" t="str">
        <f>VLOOKUP(H2051,Table7[#All], 2, FALSE)</f>
        <v>Massachusetts</v>
      </c>
      <c r="H2051" s="2" t="s">
        <v>14</v>
      </c>
      <c r="I2051" s="2" t="s">
        <v>15</v>
      </c>
      <c r="J2051" s="2" t="s">
        <v>34</v>
      </c>
      <c r="K2051" s="2" t="s">
        <v>8</v>
      </c>
      <c r="L2051" s="2" t="s">
        <v>9</v>
      </c>
      <c r="M2051" s="2" t="s">
        <v>20</v>
      </c>
      <c r="N2051" s="2" t="s">
        <v>19</v>
      </c>
      <c r="O2051" s="2" t="s">
        <v>12</v>
      </c>
      <c r="P2051" s="2" t="s">
        <v>67</v>
      </c>
      <c r="Q2051" s="2" t="s">
        <v>37</v>
      </c>
      <c r="R2051" s="2" t="s">
        <v>18</v>
      </c>
      <c r="S2051">
        <v>5</v>
      </c>
    </row>
    <row r="2052" spans="1:19" x14ac:dyDescent="0.3">
      <c r="A2052">
        <v>1889</v>
      </c>
      <c r="B2052">
        <f>YEAR(Cleaned_HR_Data_Analysis__2[[#This Row],[Joining_Date]])</f>
        <v>2020</v>
      </c>
      <c r="C2052" s="1">
        <v>44158</v>
      </c>
      <c r="D2052" s="1" t="str" cm="1">
        <f t="array" ref="D2052">_xlfn.IFS(E2052&lt;28, "17-27",
AND(E2052&gt;27, E2052&lt;38), "28-37",
AND(E2052&gt;37, E2052 &lt;48), "38-47",
AND(E2052&gt;47, E2052 &lt;58), "48-57",
AND(E2052&gt;57, E2052&lt;68), "58-67",
AND(E2052&gt;67, E2052&lt;78), "68-77",
E2052&gt;77,"Above than 77")</f>
        <v>58-67</v>
      </c>
      <c r="E2052">
        <v>63</v>
      </c>
      <c r="F2052" s="1">
        <v>20865</v>
      </c>
      <c r="G2052" s="1" t="str">
        <f>VLOOKUP(H2052,Table7[#All], 2, FALSE)</f>
        <v>Massachusetts</v>
      </c>
      <c r="H2052" s="2" t="s">
        <v>14</v>
      </c>
      <c r="I2052" s="2" t="s">
        <v>15</v>
      </c>
      <c r="J2052" s="2" t="s">
        <v>40</v>
      </c>
      <c r="K2052" s="2" t="s">
        <v>8</v>
      </c>
      <c r="L2052" s="2" t="s">
        <v>9</v>
      </c>
      <c r="M2052" s="2" t="s">
        <v>10</v>
      </c>
      <c r="N2052" s="2" t="s">
        <v>26</v>
      </c>
      <c r="O2052" s="2" t="s">
        <v>12</v>
      </c>
      <c r="P2052" s="2" t="s">
        <v>32</v>
      </c>
      <c r="Q2052" s="2" t="s">
        <v>30</v>
      </c>
      <c r="R2052" s="2" t="s">
        <v>18</v>
      </c>
      <c r="S2052">
        <v>4</v>
      </c>
    </row>
    <row r="2053" spans="1:19" x14ac:dyDescent="0.3">
      <c r="A2053">
        <v>1832</v>
      </c>
      <c r="B2053">
        <f>YEAR(Cleaned_HR_Data_Analysis__2[[#This Row],[Joining_Date]])</f>
        <v>2019</v>
      </c>
      <c r="C2053" s="1">
        <v>43772</v>
      </c>
      <c r="D2053" s="1" t="str" cm="1">
        <f t="array" ref="D2053">_xlfn.IFS(E2053&lt;28, "17-27",
AND(E2053&gt;27, E2053&lt;38), "28-37",
AND(E2053&gt;37, E2053 &lt;48), "38-47",
AND(E2053&gt;47, E2053 &lt;58), "48-57",
AND(E2053&gt;57, E2053&lt;68), "58-67",
AND(E2053&gt;67, E2053&lt;78), "68-77",
E2053&gt;77,"Above than 77")</f>
        <v>58-67</v>
      </c>
      <c r="E2053">
        <v>63</v>
      </c>
      <c r="F2053" s="1">
        <v>20607</v>
      </c>
      <c r="G2053" s="1" t="str">
        <f>VLOOKUP(H2053,Table7[#All], 2, FALSE)</f>
        <v>Massachusetts</v>
      </c>
      <c r="H2053" s="2" t="s">
        <v>14</v>
      </c>
      <c r="I2053" s="2" t="s">
        <v>15</v>
      </c>
      <c r="J2053" s="2" t="s">
        <v>34</v>
      </c>
      <c r="K2053" s="2" t="s">
        <v>8</v>
      </c>
      <c r="L2053" s="2" t="s">
        <v>9</v>
      </c>
      <c r="M2053" s="2" t="s">
        <v>10</v>
      </c>
      <c r="N2053" s="2" t="s">
        <v>19</v>
      </c>
      <c r="O2053" s="2" t="s">
        <v>12</v>
      </c>
      <c r="P2053" s="2" t="s">
        <v>42</v>
      </c>
      <c r="Q2053" s="2" t="s">
        <v>16</v>
      </c>
      <c r="R2053" s="2" t="s">
        <v>56</v>
      </c>
      <c r="S2053">
        <v>2</v>
      </c>
    </row>
    <row r="2054" spans="1:19" x14ac:dyDescent="0.3">
      <c r="A2054">
        <v>1787</v>
      </c>
      <c r="B2054">
        <f>YEAR(Cleaned_HR_Data_Analysis__2[[#This Row],[Joining_Date]])</f>
        <v>2019</v>
      </c>
      <c r="C2054" s="1">
        <v>43561</v>
      </c>
      <c r="D2054" s="1" t="str" cm="1">
        <f t="array" ref="D2054">_xlfn.IFS(E2054&lt;28, "17-27",
AND(E2054&gt;27, E2054&lt;38), "28-37",
AND(E2054&gt;37, E2054 &lt;48), "38-47",
AND(E2054&gt;47, E2054 &lt;58), "48-57",
AND(E2054&gt;57, E2054&lt;68), "58-67",
AND(E2054&gt;67, E2054&lt;78), "68-77",
E2054&gt;77,"Above than 77")</f>
        <v>58-67</v>
      </c>
      <c r="E2054">
        <v>63</v>
      </c>
      <c r="F2054" s="1">
        <v>20646</v>
      </c>
      <c r="G2054" s="1" t="str">
        <f>VLOOKUP(H2054,Table7[#All], 2, FALSE)</f>
        <v>Massachusetts</v>
      </c>
      <c r="H2054" s="2" t="s">
        <v>14</v>
      </c>
      <c r="I2054" s="2" t="s">
        <v>22</v>
      </c>
      <c r="J2054" s="2" t="s">
        <v>40</v>
      </c>
      <c r="K2054" s="2" t="s">
        <v>8</v>
      </c>
      <c r="L2054" s="2" t="s">
        <v>9</v>
      </c>
      <c r="M2054" s="2" t="s">
        <v>10</v>
      </c>
      <c r="N2054" s="2" t="s">
        <v>26</v>
      </c>
      <c r="O2054" s="2" t="s">
        <v>12</v>
      </c>
      <c r="P2054" s="2" t="s">
        <v>42</v>
      </c>
      <c r="Q2054" s="2" t="s">
        <v>23</v>
      </c>
      <c r="R2054" s="2" t="s">
        <v>18</v>
      </c>
      <c r="S2054">
        <v>5</v>
      </c>
    </row>
    <row r="2055" spans="1:19" x14ac:dyDescent="0.3">
      <c r="A2055">
        <v>1615</v>
      </c>
      <c r="B2055">
        <f>YEAR(Cleaned_HR_Data_Analysis__2[[#This Row],[Joining_Date]])</f>
        <v>2023</v>
      </c>
      <c r="C2055" s="1">
        <v>44945</v>
      </c>
      <c r="D2055" s="1" t="str" cm="1">
        <f t="array" ref="D2055">_xlfn.IFS(E2055&lt;28, "17-27",
AND(E2055&gt;27, E2055&lt;38), "28-37",
AND(E2055&gt;37, E2055 &lt;48), "38-47",
AND(E2055&gt;47, E2055 &lt;58), "48-57",
AND(E2055&gt;57, E2055&lt;68), "58-67",
AND(E2055&gt;67, E2055&lt;78), "68-77",
E2055&gt;77,"Above than 77")</f>
        <v>58-67</v>
      </c>
      <c r="E2055">
        <v>63</v>
      </c>
      <c r="F2055" s="1">
        <v>21931</v>
      </c>
      <c r="G2055" s="1" t="str">
        <f>VLOOKUP(H2055,Table7[#All], 2, FALSE)</f>
        <v>Massachusetts</v>
      </c>
      <c r="H2055" s="2" t="s">
        <v>14</v>
      </c>
      <c r="I2055" s="2" t="s">
        <v>22</v>
      </c>
      <c r="J2055" s="2" t="s">
        <v>34</v>
      </c>
      <c r="K2055" s="2" t="s">
        <v>8</v>
      </c>
      <c r="L2055" s="2" t="s">
        <v>9</v>
      </c>
      <c r="M2055" s="2" t="s">
        <v>20</v>
      </c>
      <c r="N2055" s="2" t="s">
        <v>11</v>
      </c>
      <c r="O2055" s="2" t="s">
        <v>12</v>
      </c>
      <c r="P2055" s="2" t="s">
        <v>32</v>
      </c>
      <c r="Q2055" s="2" t="s">
        <v>16</v>
      </c>
      <c r="R2055" s="2" t="s">
        <v>41</v>
      </c>
      <c r="S2055">
        <v>1</v>
      </c>
    </row>
    <row r="2056" spans="1:19" x14ac:dyDescent="0.3">
      <c r="A2056">
        <v>1605</v>
      </c>
      <c r="B2056">
        <f>YEAR(Cleaned_HR_Data_Analysis__2[[#This Row],[Joining_Date]])</f>
        <v>2019</v>
      </c>
      <c r="C2056" s="1">
        <v>43582</v>
      </c>
      <c r="D2056" s="1" t="str" cm="1">
        <f t="array" ref="D2056">_xlfn.IFS(E2056&lt;28, "17-27",
AND(E2056&gt;27, E2056&lt;38), "28-37",
AND(E2056&gt;37, E2056 &lt;48), "38-47",
AND(E2056&gt;47, E2056 &lt;58), "48-57",
AND(E2056&gt;57, E2056&lt;68), "58-67",
AND(E2056&gt;67, E2056&lt;78), "68-77",
E2056&gt;77,"Above than 77")</f>
        <v>58-67</v>
      </c>
      <c r="E2056">
        <v>63</v>
      </c>
      <c r="F2056" s="1">
        <v>20748</v>
      </c>
      <c r="G2056" s="1" t="str">
        <f>VLOOKUP(H2056,Table7[#All], 2, FALSE)</f>
        <v>Massachusetts</v>
      </c>
      <c r="H2056" s="2" t="s">
        <v>14</v>
      </c>
      <c r="I2056" s="2" t="s">
        <v>15</v>
      </c>
      <c r="J2056" s="2" t="s">
        <v>31</v>
      </c>
      <c r="K2056" s="2" t="s">
        <v>8</v>
      </c>
      <c r="L2056" s="2" t="s">
        <v>66</v>
      </c>
      <c r="M2056" s="2" t="s">
        <v>25</v>
      </c>
      <c r="N2056" s="2" t="s">
        <v>26</v>
      </c>
      <c r="O2056" s="2" t="s">
        <v>12</v>
      </c>
      <c r="P2056" s="2" t="s">
        <v>35</v>
      </c>
      <c r="Q2056" s="2" t="s">
        <v>37</v>
      </c>
      <c r="R2056" s="2" t="s">
        <v>41</v>
      </c>
      <c r="S2056">
        <v>3</v>
      </c>
    </row>
    <row r="2057" spans="1:19" x14ac:dyDescent="0.3">
      <c r="A2057">
        <v>1462</v>
      </c>
      <c r="B2057">
        <f>YEAR(Cleaned_HR_Data_Analysis__2[[#This Row],[Joining_Date]])</f>
        <v>2023</v>
      </c>
      <c r="C2057" s="1">
        <v>45120</v>
      </c>
      <c r="D2057" s="1" t="str" cm="1">
        <f t="array" ref="D2057">_xlfn.IFS(E2057&lt;28, "17-27",
AND(E2057&gt;27, E2057&lt;38), "28-37",
AND(E2057&gt;37, E2057 &lt;48), "38-47",
AND(E2057&gt;47, E2057 &lt;58), "48-57",
AND(E2057&gt;57, E2057&lt;68), "58-67",
AND(E2057&gt;67, E2057&lt;78), "68-77",
E2057&gt;77,"Above than 77")</f>
        <v>58-67</v>
      </c>
      <c r="E2057">
        <v>63</v>
      </c>
      <c r="F2057" s="1">
        <v>21982</v>
      </c>
      <c r="G2057" s="1" t="str">
        <f>VLOOKUP(H2057,Table7[#All], 2, FALSE)</f>
        <v>Massachusetts</v>
      </c>
      <c r="H2057" s="2" t="s">
        <v>14</v>
      </c>
      <c r="I2057" s="2" t="s">
        <v>15</v>
      </c>
      <c r="J2057" s="2" t="s">
        <v>17</v>
      </c>
      <c r="K2057" s="2" t="s">
        <v>8</v>
      </c>
      <c r="L2057" s="2" t="s">
        <v>9</v>
      </c>
      <c r="M2057" s="2" t="s">
        <v>10</v>
      </c>
      <c r="N2057" s="2" t="s">
        <v>11</v>
      </c>
      <c r="O2057" s="2" t="s">
        <v>12</v>
      </c>
      <c r="P2057" s="2" t="s">
        <v>55</v>
      </c>
      <c r="Q2057" s="2" t="s">
        <v>30</v>
      </c>
      <c r="R2057" s="2" t="s">
        <v>41</v>
      </c>
      <c r="S2057">
        <v>5</v>
      </c>
    </row>
    <row r="2058" spans="1:19" x14ac:dyDescent="0.3">
      <c r="A2058">
        <v>1456</v>
      </c>
      <c r="B2058">
        <f>YEAR(Cleaned_HR_Data_Analysis__2[[#This Row],[Joining_Date]])</f>
        <v>2019</v>
      </c>
      <c r="C2058" s="1">
        <v>43641</v>
      </c>
      <c r="D2058" s="1" t="str" cm="1">
        <f t="array" ref="D2058">_xlfn.IFS(E2058&lt;28, "17-27",
AND(E2058&gt;27, E2058&lt;38), "28-37",
AND(E2058&gt;37, E2058 &lt;48), "38-47",
AND(E2058&gt;47, E2058 &lt;58), "48-57",
AND(E2058&gt;57, E2058&lt;68), "58-67",
AND(E2058&gt;67, E2058&lt;78), "68-77",
E2058&gt;77,"Above than 77")</f>
        <v>58-67</v>
      </c>
      <c r="E2058">
        <v>63</v>
      </c>
      <c r="F2058" s="1">
        <v>20736</v>
      </c>
      <c r="G2058" s="1" t="str">
        <f>VLOOKUP(H2058,Table7[#All], 2, FALSE)</f>
        <v>Massachusetts</v>
      </c>
      <c r="H2058" s="2" t="s">
        <v>14</v>
      </c>
      <c r="I2058" s="2" t="s">
        <v>15</v>
      </c>
      <c r="J2058" s="2" t="s">
        <v>34</v>
      </c>
      <c r="K2058" s="2" t="s">
        <v>8</v>
      </c>
      <c r="L2058" s="2" t="s">
        <v>9</v>
      </c>
      <c r="M2058" s="2" t="s">
        <v>25</v>
      </c>
      <c r="N2058" s="2" t="s">
        <v>26</v>
      </c>
      <c r="O2058" s="2" t="s">
        <v>12</v>
      </c>
      <c r="P2058" s="2" t="s">
        <v>42</v>
      </c>
      <c r="Q2058" s="2" t="s">
        <v>23</v>
      </c>
      <c r="R2058" s="2" t="s">
        <v>41</v>
      </c>
      <c r="S2058">
        <v>1</v>
      </c>
    </row>
    <row r="2059" spans="1:19" x14ac:dyDescent="0.3">
      <c r="A2059">
        <v>1396</v>
      </c>
      <c r="B2059">
        <f>YEAR(Cleaned_HR_Data_Analysis__2[[#This Row],[Joining_Date]])</f>
        <v>2019</v>
      </c>
      <c r="C2059" s="1">
        <v>43589</v>
      </c>
      <c r="D2059" s="1" t="str" cm="1">
        <f t="array" ref="D2059">_xlfn.IFS(E2059&lt;28, "17-27",
AND(E2059&gt;27, E2059&lt;38), "28-37",
AND(E2059&gt;37, E2059 &lt;48), "38-47",
AND(E2059&gt;47, E2059 &lt;58), "48-57",
AND(E2059&gt;57, E2059&lt;68), "58-67",
AND(E2059&gt;67, E2059&lt;78), "68-77",
E2059&gt;77,"Above than 77")</f>
        <v>58-67</v>
      </c>
      <c r="E2059">
        <v>63</v>
      </c>
      <c r="F2059" s="1">
        <v>20705</v>
      </c>
      <c r="G2059" s="1" t="str">
        <f>VLOOKUP(H2059,Table7[#All], 2, FALSE)</f>
        <v>Massachusetts</v>
      </c>
      <c r="H2059" s="2" t="s">
        <v>14</v>
      </c>
      <c r="I2059" s="2" t="s">
        <v>15</v>
      </c>
      <c r="J2059" s="2" t="s">
        <v>34</v>
      </c>
      <c r="K2059" s="2" t="s">
        <v>8</v>
      </c>
      <c r="L2059" s="2" t="s">
        <v>9</v>
      </c>
      <c r="M2059" s="2" t="s">
        <v>20</v>
      </c>
      <c r="N2059" s="2" t="s">
        <v>19</v>
      </c>
      <c r="O2059" s="2" t="s">
        <v>12</v>
      </c>
      <c r="P2059" s="2" t="s">
        <v>38</v>
      </c>
      <c r="Q2059" s="2" t="s">
        <v>23</v>
      </c>
      <c r="R2059" s="2" t="s">
        <v>41</v>
      </c>
      <c r="S2059">
        <v>1</v>
      </c>
    </row>
    <row r="2060" spans="1:19" x14ac:dyDescent="0.3">
      <c r="A2060">
        <v>1303</v>
      </c>
      <c r="B2060">
        <f>YEAR(Cleaned_HR_Data_Analysis__2[[#This Row],[Joining_Date]])</f>
        <v>2020</v>
      </c>
      <c r="C2060" s="1">
        <v>43966</v>
      </c>
      <c r="D2060" s="1" t="str" cm="1">
        <f t="array" ref="D2060">_xlfn.IFS(E2060&lt;28, "17-27",
AND(E2060&gt;27, E2060&lt;38), "28-37",
AND(E2060&gt;37, E2060 &lt;48), "38-47",
AND(E2060&gt;47, E2060 &lt;58), "48-57",
AND(E2060&gt;57, E2060&lt;68), "58-67",
AND(E2060&gt;67, E2060&lt;78), "68-77",
E2060&gt;77,"Above than 77")</f>
        <v>58-67</v>
      </c>
      <c r="E2060">
        <v>63</v>
      </c>
      <c r="F2060" s="1">
        <v>20852</v>
      </c>
      <c r="G2060" s="1" t="str">
        <f>VLOOKUP(H2060,Table7[#All], 2, FALSE)</f>
        <v>Massachusetts</v>
      </c>
      <c r="H2060" s="2" t="s">
        <v>14</v>
      </c>
      <c r="I2060" s="2" t="s">
        <v>15</v>
      </c>
      <c r="J2060" s="2" t="s">
        <v>31</v>
      </c>
      <c r="K2060" s="2" t="s">
        <v>8</v>
      </c>
      <c r="L2060" s="2" t="s">
        <v>9</v>
      </c>
      <c r="M2060" s="2" t="s">
        <v>10</v>
      </c>
      <c r="N2060" s="2" t="s">
        <v>19</v>
      </c>
      <c r="O2060" s="2" t="s">
        <v>12</v>
      </c>
      <c r="P2060" s="2" t="s">
        <v>13</v>
      </c>
      <c r="Q2060" s="2" t="s">
        <v>23</v>
      </c>
      <c r="R2060" s="2" t="s">
        <v>18</v>
      </c>
      <c r="S2060">
        <v>3</v>
      </c>
    </row>
    <row r="2061" spans="1:19" x14ac:dyDescent="0.3">
      <c r="A2061">
        <v>1207</v>
      </c>
      <c r="B2061">
        <f>YEAR(Cleaned_HR_Data_Analysis__2[[#This Row],[Joining_Date]])</f>
        <v>2019</v>
      </c>
      <c r="C2061" s="1">
        <v>43739</v>
      </c>
      <c r="D2061" s="1" t="str" cm="1">
        <f t="array" ref="D2061">_xlfn.IFS(E2061&lt;28, "17-27",
AND(E2061&gt;27, E2061&lt;38), "28-37",
AND(E2061&gt;37, E2061 &lt;48), "38-47",
AND(E2061&gt;47, E2061 &lt;58), "48-57",
AND(E2061&gt;57, E2061&lt;68), "58-67",
AND(E2061&gt;67, E2061&lt;78), "68-77",
E2061&gt;77,"Above than 77")</f>
        <v>58-67</v>
      </c>
      <c r="E2061">
        <v>63</v>
      </c>
      <c r="F2061" s="1">
        <v>20644</v>
      </c>
      <c r="G2061" s="1" t="str">
        <f>VLOOKUP(H2061,Table7[#All], 2, FALSE)</f>
        <v>Massachusetts</v>
      </c>
      <c r="H2061" s="2" t="s">
        <v>14</v>
      </c>
      <c r="I2061" s="2" t="s">
        <v>15</v>
      </c>
      <c r="J2061" s="2" t="s">
        <v>40</v>
      </c>
      <c r="K2061" s="2" t="s">
        <v>8</v>
      </c>
      <c r="L2061" s="2" t="s">
        <v>9</v>
      </c>
      <c r="M2061" s="2" t="s">
        <v>10</v>
      </c>
      <c r="N2061" s="2" t="s">
        <v>26</v>
      </c>
      <c r="O2061" s="2" t="s">
        <v>12</v>
      </c>
      <c r="P2061" s="2" t="s">
        <v>59</v>
      </c>
      <c r="Q2061" s="2" t="s">
        <v>16</v>
      </c>
      <c r="R2061" s="2" t="s">
        <v>18</v>
      </c>
      <c r="S2061">
        <v>1</v>
      </c>
    </row>
    <row r="2062" spans="1:19" x14ac:dyDescent="0.3">
      <c r="A2062">
        <v>2471</v>
      </c>
      <c r="B2062">
        <f>YEAR(Cleaned_HR_Data_Analysis__2[[#This Row],[Joining_Date]])</f>
        <v>2022</v>
      </c>
      <c r="C2062" s="1">
        <v>44567</v>
      </c>
      <c r="D2062" s="1" t="str" cm="1">
        <f t="array" ref="D2062">_xlfn.IFS(E2062&lt;28, "17-27",
AND(E2062&gt;27, E2062&lt;38), "28-37",
AND(E2062&gt;37, E2062 &lt;48), "38-47",
AND(E2062&gt;47, E2062 &lt;58), "48-57",
AND(E2062&gt;57, E2062&lt;68), "58-67",
AND(E2062&gt;67, E2062&lt;78), "68-77",
E2062&gt;77,"Above than 77")</f>
        <v>58-67</v>
      </c>
      <c r="E2062">
        <v>63</v>
      </c>
      <c r="F2062" s="1">
        <v>21756</v>
      </c>
      <c r="G2062" s="1" t="str">
        <f>VLOOKUP(H2062,Table7[#All], 2, FALSE)</f>
        <v>Massachusetts</v>
      </c>
      <c r="H2062" s="2" t="s">
        <v>14</v>
      </c>
      <c r="I2062" s="2" t="s">
        <v>22</v>
      </c>
      <c r="J2062" s="2" t="s">
        <v>40</v>
      </c>
      <c r="K2062" s="2" t="s">
        <v>91</v>
      </c>
      <c r="L2062" s="2" t="s">
        <v>9</v>
      </c>
      <c r="M2062" s="2" t="s">
        <v>20</v>
      </c>
      <c r="N2062" s="2" t="s">
        <v>11</v>
      </c>
      <c r="O2062" s="2" t="s">
        <v>12</v>
      </c>
      <c r="P2062" s="2" t="s">
        <v>55</v>
      </c>
      <c r="Q2062" s="2" t="s">
        <v>30</v>
      </c>
      <c r="R2062" s="2" t="s">
        <v>18</v>
      </c>
      <c r="S2062">
        <v>5</v>
      </c>
    </row>
    <row r="2063" spans="1:19" x14ac:dyDescent="0.3">
      <c r="A2063">
        <v>1273</v>
      </c>
      <c r="B2063">
        <f>YEAR(Cleaned_HR_Data_Analysis__2[[#This Row],[Joining_Date]])</f>
        <v>2020</v>
      </c>
      <c r="C2063" s="1">
        <v>44133</v>
      </c>
      <c r="D2063" s="1" t="str" cm="1">
        <f t="array" ref="D2063">_xlfn.IFS(E2063&lt;28, "17-27",
AND(E2063&gt;27, E2063&lt;38), "28-37",
AND(E2063&gt;37, E2063 &lt;48), "38-47",
AND(E2063&gt;47, E2063 &lt;58), "48-57",
AND(E2063&gt;57, E2063&lt;68), "58-67",
AND(E2063&gt;67, E2063&lt;78), "68-77",
E2063&gt;77,"Above than 77")</f>
        <v>58-67</v>
      </c>
      <c r="E2063">
        <v>63</v>
      </c>
      <c r="F2063" s="1">
        <v>20893</v>
      </c>
      <c r="G2063" s="1" t="str">
        <f>VLOOKUP(H2063,Table7[#All], 2, FALSE)</f>
        <v>Massachusetts</v>
      </c>
      <c r="H2063" s="2" t="s">
        <v>14</v>
      </c>
      <c r="I2063" s="2" t="s">
        <v>15</v>
      </c>
      <c r="J2063" s="2" t="s">
        <v>31</v>
      </c>
      <c r="K2063" s="2" t="s">
        <v>91</v>
      </c>
      <c r="L2063" s="2" t="s">
        <v>9</v>
      </c>
      <c r="M2063" s="2" t="s">
        <v>10</v>
      </c>
      <c r="N2063" s="2" t="s">
        <v>19</v>
      </c>
      <c r="O2063" s="2" t="s">
        <v>12</v>
      </c>
      <c r="P2063" s="2" t="s">
        <v>28</v>
      </c>
      <c r="Q2063" s="2" t="s">
        <v>46</v>
      </c>
      <c r="R2063" s="2" t="s">
        <v>18</v>
      </c>
      <c r="S2063">
        <v>4</v>
      </c>
    </row>
    <row r="2064" spans="1:19" x14ac:dyDescent="0.3">
      <c r="A2064">
        <v>3819</v>
      </c>
      <c r="B2064">
        <f>YEAR(Cleaned_HR_Data_Analysis__2[[#This Row],[Joining_Date]])</f>
        <v>2020</v>
      </c>
      <c r="C2064" s="1">
        <v>43850</v>
      </c>
      <c r="D2064" s="1" t="str" cm="1">
        <f t="array" ref="D2064">_xlfn.IFS(E2064&lt;28, "17-27",
AND(E2064&gt;27, E2064&lt;38), "28-37",
AND(E2064&gt;37, E2064 &lt;48), "38-47",
AND(E2064&gt;47, E2064 &lt;58), "48-57",
AND(E2064&gt;57, E2064&lt;68), "58-67",
AND(E2064&gt;67, E2064&lt;78), "68-77",
E2064&gt;77,"Above than 77")</f>
        <v>58-67</v>
      </c>
      <c r="E2064">
        <v>63</v>
      </c>
      <c r="F2064" s="1">
        <v>21150</v>
      </c>
      <c r="G2064" s="1" t="str">
        <f>VLOOKUP(H2064,Table7[#All], 2, FALSE)</f>
        <v>Massachusetts</v>
      </c>
      <c r="H2064" s="2" t="s">
        <v>14</v>
      </c>
      <c r="I2064" s="2" t="s">
        <v>15</v>
      </c>
      <c r="J2064" s="2" t="s">
        <v>31</v>
      </c>
      <c r="K2064" s="2" t="s">
        <v>71</v>
      </c>
      <c r="L2064" s="2" t="s">
        <v>9</v>
      </c>
      <c r="M2064" s="2" t="s">
        <v>25</v>
      </c>
      <c r="N2064" s="2" t="s">
        <v>26</v>
      </c>
      <c r="O2064" s="2" t="s">
        <v>53</v>
      </c>
      <c r="P2064" s="2" t="s">
        <v>21</v>
      </c>
      <c r="Q2064" s="2" t="s">
        <v>46</v>
      </c>
      <c r="R2064" s="2" t="s">
        <v>18</v>
      </c>
      <c r="S2064">
        <v>1</v>
      </c>
    </row>
    <row r="2065" spans="1:19" x14ac:dyDescent="0.3">
      <c r="A2065">
        <v>2567</v>
      </c>
      <c r="B2065">
        <f>YEAR(Cleaned_HR_Data_Analysis__2[[#This Row],[Joining_Date]])</f>
        <v>2022</v>
      </c>
      <c r="C2065" s="1">
        <v>44917</v>
      </c>
      <c r="D2065" s="1" t="str" cm="1">
        <f t="array" ref="D2065">_xlfn.IFS(E2065&lt;28, "17-27",
AND(E2065&gt;27, E2065&lt;38), "28-37",
AND(E2065&gt;37, E2065 &lt;48), "38-47",
AND(E2065&gt;47, E2065 &lt;58), "48-57",
AND(E2065&gt;57, E2065&lt;68), "58-67",
AND(E2065&gt;67, E2065&lt;78), "68-77",
E2065&gt;77,"Above than 77")</f>
        <v>58-67</v>
      </c>
      <c r="E2065">
        <v>63</v>
      </c>
      <c r="F2065" s="1">
        <v>21838</v>
      </c>
      <c r="G2065" s="1" t="str">
        <f>VLOOKUP(H2065,Table7[#All], 2, FALSE)</f>
        <v>Massachusetts</v>
      </c>
      <c r="H2065" s="2" t="s">
        <v>14</v>
      </c>
      <c r="I2065" s="2" t="s">
        <v>22</v>
      </c>
      <c r="J2065" s="2" t="s">
        <v>17</v>
      </c>
      <c r="K2065" s="2" t="s">
        <v>102</v>
      </c>
      <c r="L2065" s="2" t="s">
        <v>9</v>
      </c>
      <c r="M2065" s="2" t="s">
        <v>25</v>
      </c>
      <c r="N2065" s="2" t="s">
        <v>26</v>
      </c>
      <c r="O2065" s="2" t="s">
        <v>53</v>
      </c>
      <c r="P2065" s="2" t="s">
        <v>35</v>
      </c>
      <c r="Q2065" s="2" t="s">
        <v>37</v>
      </c>
      <c r="R2065" s="2" t="s">
        <v>18</v>
      </c>
      <c r="S2065">
        <v>3</v>
      </c>
    </row>
    <row r="2066" spans="1:19" x14ac:dyDescent="0.3">
      <c r="A2066">
        <v>2555</v>
      </c>
      <c r="B2066">
        <f>YEAR(Cleaned_HR_Data_Analysis__2[[#This Row],[Joining_Date]])</f>
        <v>2019</v>
      </c>
      <c r="C2066" s="1">
        <v>43691</v>
      </c>
      <c r="D2066" s="1" t="str" cm="1">
        <f t="array" ref="D2066">_xlfn.IFS(E2066&lt;28, "17-27",
AND(E2066&gt;27, E2066&lt;38), "28-37",
AND(E2066&gt;37, E2066 &lt;48), "38-47",
AND(E2066&gt;47, E2066 &lt;58), "48-57",
AND(E2066&gt;57, E2066&lt;68), "58-67",
AND(E2066&gt;67, E2066&lt;78), "68-77",
E2066&gt;77,"Above than 77")</f>
        <v>58-67</v>
      </c>
      <c r="E2066">
        <v>63</v>
      </c>
      <c r="F2066" s="1">
        <v>20754</v>
      </c>
      <c r="G2066" s="1" t="str">
        <f>VLOOKUP(H2066,Table7[#All], 2, FALSE)</f>
        <v>Massachusetts</v>
      </c>
      <c r="H2066" s="2" t="s">
        <v>14</v>
      </c>
      <c r="I2066" s="2" t="s">
        <v>22</v>
      </c>
      <c r="J2066" s="2" t="s">
        <v>17</v>
      </c>
      <c r="K2066" s="2" t="s">
        <v>108</v>
      </c>
      <c r="L2066" s="2" t="s">
        <v>9</v>
      </c>
      <c r="M2066" s="2" t="s">
        <v>25</v>
      </c>
      <c r="N2066" s="2" t="s">
        <v>19</v>
      </c>
      <c r="O2066" s="2" t="s">
        <v>53</v>
      </c>
      <c r="P2066" s="2" t="s">
        <v>61</v>
      </c>
      <c r="Q2066" s="2" t="s">
        <v>30</v>
      </c>
      <c r="R2066" s="2" t="s">
        <v>18</v>
      </c>
      <c r="S2066">
        <v>1</v>
      </c>
    </row>
    <row r="2067" spans="1:19" x14ac:dyDescent="0.3">
      <c r="A2067">
        <v>3971</v>
      </c>
      <c r="B2067">
        <f>YEAR(Cleaned_HR_Data_Analysis__2[[#This Row],[Joining_Date]])</f>
        <v>2021</v>
      </c>
      <c r="C2067" s="1">
        <v>44225</v>
      </c>
      <c r="D2067" s="1" t="str" cm="1">
        <f t="array" ref="D2067">_xlfn.IFS(E2067&lt;28, "17-27",
AND(E2067&gt;27, E2067&lt;38), "28-37",
AND(E2067&gt;37, E2067 &lt;48), "38-47",
AND(E2067&gt;47, E2067 &lt;58), "48-57",
AND(E2067&gt;57, E2067&lt;68), "58-67",
AND(E2067&gt;67, E2067&lt;78), "68-77",
E2067&gt;77,"Above than 77")</f>
        <v>58-67</v>
      </c>
      <c r="E2067">
        <v>63</v>
      </c>
      <c r="F2067" s="1">
        <v>21489</v>
      </c>
      <c r="G2067" s="1" t="str">
        <f>VLOOKUP(H2067,Table7[#All], 2, FALSE)</f>
        <v>Texas</v>
      </c>
      <c r="H2067" s="2" t="s">
        <v>45</v>
      </c>
      <c r="I2067" s="2" t="s">
        <v>15</v>
      </c>
      <c r="J2067" s="2" t="s">
        <v>17</v>
      </c>
      <c r="K2067" s="2" t="s">
        <v>77</v>
      </c>
      <c r="L2067" s="2" t="s">
        <v>9</v>
      </c>
      <c r="M2067" s="2" t="s">
        <v>20</v>
      </c>
      <c r="N2067" s="2" t="s">
        <v>19</v>
      </c>
      <c r="O2067" s="2" t="s">
        <v>53</v>
      </c>
      <c r="P2067" s="2" t="s">
        <v>32</v>
      </c>
      <c r="Q2067" s="2" t="s">
        <v>30</v>
      </c>
      <c r="R2067" s="2" t="s">
        <v>18</v>
      </c>
      <c r="S2067">
        <v>3</v>
      </c>
    </row>
    <row r="2068" spans="1:19" x14ac:dyDescent="0.3">
      <c r="A2068">
        <v>3967</v>
      </c>
      <c r="B2068">
        <f>YEAR(Cleaned_HR_Data_Analysis__2[[#This Row],[Joining_Date]])</f>
        <v>2018</v>
      </c>
      <c r="C2068" s="1">
        <v>43437</v>
      </c>
      <c r="D2068" s="1" t="str" cm="1">
        <f t="array" ref="D2068">_xlfn.IFS(E2068&lt;28, "17-27",
AND(E2068&gt;27, E2068&lt;38), "28-37",
AND(E2068&gt;37, E2068 &lt;48), "38-47",
AND(E2068&gt;47, E2068 &lt;58), "48-57",
AND(E2068&gt;57, E2068&lt;68), "58-67",
AND(E2068&gt;67, E2068&lt;78), "68-77",
E2068&gt;77,"Above than 77")</f>
        <v>58-67</v>
      </c>
      <c r="E2068">
        <v>63</v>
      </c>
      <c r="F2068" s="1">
        <v>20289</v>
      </c>
      <c r="G2068" s="1" t="str">
        <f>VLOOKUP(H2068,Table7[#All], 2, FALSE)</f>
        <v>Massachusetts</v>
      </c>
      <c r="H2068" s="2" t="s">
        <v>14</v>
      </c>
      <c r="I2068" s="2" t="s">
        <v>15</v>
      </c>
      <c r="J2068" s="2" t="s">
        <v>34</v>
      </c>
      <c r="K2068" s="2" t="s">
        <v>78</v>
      </c>
      <c r="L2068" s="2" t="s">
        <v>9</v>
      </c>
      <c r="M2068" s="2" t="s">
        <v>25</v>
      </c>
      <c r="N2068" s="2" t="s">
        <v>19</v>
      </c>
      <c r="O2068" s="2" t="s">
        <v>53</v>
      </c>
      <c r="P2068" s="2" t="s">
        <v>13</v>
      </c>
      <c r="Q2068" s="2" t="s">
        <v>37</v>
      </c>
      <c r="R2068" s="2" t="s">
        <v>18</v>
      </c>
      <c r="S2068">
        <v>3</v>
      </c>
    </row>
    <row r="2069" spans="1:19" x14ac:dyDescent="0.3">
      <c r="A2069">
        <v>2611</v>
      </c>
      <c r="B2069">
        <f>YEAR(Cleaned_HR_Data_Analysis__2[[#This Row],[Joining_Date]])</f>
        <v>2019</v>
      </c>
      <c r="C2069" s="1">
        <v>43825</v>
      </c>
      <c r="D2069" s="1" t="str" cm="1">
        <f t="array" ref="D2069">_xlfn.IFS(E2069&lt;28, "17-27",
AND(E2069&gt;27, E2069&lt;38), "28-37",
AND(E2069&gt;37, E2069 &lt;48), "38-47",
AND(E2069&gt;47, E2069 &lt;58), "48-57",
AND(E2069&gt;57, E2069&lt;68), "58-67",
AND(E2069&gt;67, E2069&lt;78), "68-77",
E2069&gt;77,"Above than 77")</f>
        <v>58-67</v>
      </c>
      <c r="E2069">
        <v>63</v>
      </c>
      <c r="F2069" s="1">
        <v>20720</v>
      </c>
      <c r="G2069" s="1" t="str">
        <f>VLOOKUP(H2069,Table7[#All], 2, FALSE)</f>
        <v>Tennessee</v>
      </c>
      <c r="H2069" s="2" t="s">
        <v>120</v>
      </c>
      <c r="I2069" s="2" t="s">
        <v>22</v>
      </c>
      <c r="J2069" s="2" t="s">
        <v>17</v>
      </c>
      <c r="K2069" s="2" t="s">
        <v>24</v>
      </c>
      <c r="L2069" s="2" t="s">
        <v>9</v>
      </c>
      <c r="M2069" s="2" t="s">
        <v>20</v>
      </c>
      <c r="N2069" s="2" t="s">
        <v>19</v>
      </c>
      <c r="O2069" s="2" t="s">
        <v>27</v>
      </c>
      <c r="P2069" s="2" t="s">
        <v>59</v>
      </c>
      <c r="Q2069" s="2" t="s">
        <v>37</v>
      </c>
      <c r="R2069" s="2" t="s">
        <v>18</v>
      </c>
      <c r="S2069">
        <v>3</v>
      </c>
    </row>
    <row r="2070" spans="1:19" x14ac:dyDescent="0.3">
      <c r="A2070">
        <v>3434</v>
      </c>
      <c r="B2070">
        <f>YEAR(Cleaned_HR_Data_Analysis__2[[#This Row],[Joining_Date]])</f>
        <v>2020</v>
      </c>
      <c r="C2070" s="1">
        <v>44141</v>
      </c>
      <c r="D2070" s="1" t="str" cm="1">
        <f t="array" ref="D2070">_xlfn.IFS(E2070&lt;28, "17-27",
AND(E2070&gt;27, E2070&lt;38), "28-37",
AND(E2070&gt;37, E2070 &lt;48), "38-47",
AND(E2070&gt;47, E2070 &lt;58), "48-57",
AND(E2070&gt;57, E2070&lt;68), "58-67",
AND(E2070&gt;67, E2070&lt;78), "68-77",
E2070&gt;77,"Above than 77")</f>
        <v>58-67</v>
      </c>
      <c r="E2070">
        <v>63</v>
      </c>
      <c r="F2070" s="1">
        <v>20886</v>
      </c>
      <c r="G2070" s="1" t="str">
        <f>VLOOKUP(H2070,Table7[#All], 2, FALSE)</f>
        <v>Oregon</v>
      </c>
      <c r="H2070" s="2" t="s">
        <v>43</v>
      </c>
      <c r="I2070" s="2" t="s">
        <v>15</v>
      </c>
      <c r="J2070" s="2" t="s">
        <v>40</v>
      </c>
      <c r="K2070" s="2" t="s">
        <v>24</v>
      </c>
      <c r="L2070" s="2" t="s">
        <v>9</v>
      </c>
      <c r="M2070" s="2" t="s">
        <v>10</v>
      </c>
      <c r="N2070" s="2" t="s">
        <v>11</v>
      </c>
      <c r="O2070" s="2" t="s">
        <v>27</v>
      </c>
      <c r="P2070" s="2" t="s">
        <v>42</v>
      </c>
      <c r="Q2070" s="2" t="s">
        <v>16</v>
      </c>
      <c r="R2070" s="2" t="s">
        <v>18</v>
      </c>
      <c r="S2070">
        <v>4</v>
      </c>
    </row>
    <row r="2071" spans="1:19" x14ac:dyDescent="0.3">
      <c r="A2071">
        <v>3549</v>
      </c>
      <c r="B2071">
        <f>YEAR(Cleaned_HR_Data_Analysis__2[[#This Row],[Joining_Date]])</f>
        <v>2018</v>
      </c>
      <c r="C2071" s="1">
        <v>43388</v>
      </c>
      <c r="D2071" s="1" t="str" cm="1">
        <f t="array" ref="D2071">_xlfn.IFS(E2071&lt;28, "17-27",
AND(E2071&gt;27, E2071&lt;38), "28-37",
AND(E2071&gt;37, E2071 &lt;48), "38-47",
AND(E2071&gt;47, E2071 &lt;58), "48-57",
AND(E2071&gt;57, E2071&lt;68), "58-67",
AND(E2071&gt;67, E2071&lt;78), "68-77",
E2071&gt;77,"Above than 77")</f>
        <v>58-67</v>
      </c>
      <c r="E2071">
        <v>63</v>
      </c>
      <c r="F2071" s="1">
        <v>20165</v>
      </c>
      <c r="G2071" s="1" t="str">
        <f>VLOOKUP(H2071,Table7[#All], 2, FALSE)</f>
        <v>Georgia</v>
      </c>
      <c r="H2071" s="2" t="s">
        <v>48</v>
      </c>
      <c r="I2071" s="2" t="s">
        <v>15</v>
      </c>
      <c r="J2071" s="2" t="s">
        <v>40</v>
      </c>
      <c r="K2071" s="2" t="s">
        <v>24</v>
      </c>
      <c r="L2071" s="2" t="s">
        <v>9</v>
      </c>
      <c r="M2071" s="2" t="s">
        <v>25</v>
      </c>
      <c r="N2071" s="2" t="s">
        <v>11</v>
      </c>
      <c r="O2071" s="2" t="s">
        <v>27</v>
      </c>
      <c r="P2071" s="2" t="s">
        <v>35</v>
      </c>
      <c r="Q2071" s="2" t="s">
        <v>37</v>
      </c>
      <c r="R2071" s="2" t="s">
        <v>18</v>
      </c>
      <c r="S2071">
        <v>4</v>
      </c>
    </row>
    <row r="2072" spans="1:19" x14ac:dyDescent="0.3">
      <c r="A2072">
        <v>2658</v>
      </c>
      <c r="B2072">
        <f>YEAR(Cleaned_HR_Data_Analysis__2[[#This Row],[Joining_Date]])</f>
        <v>2023</v>
      </c>
      <c r="C2072" s="1">
        <v>45108</v>
      </c>
      <c r="D2072" s="1" t="str" cm="1">
        <f t="array" ref="D2072">_xlfn.IFS(E2072&lt;28, "17-27",
AND(E2072&gt;27, E2072&lt;38), "28-37",
AND(E2072&gt;37, E2072 &lt;48), "38-47",
AND(E2072&gt;47, E2072 &lt;58), "48-57",
AND(E2072&gt;57, E2072&lt;68), "58-67",
AND(E2072&gt;67, E2072&lt;78), "68-77",
E2072&gt;77,"Above than 77")</f>
        <v>58-67</v>
      </c>
      <c r="E2072">
        <v>63</v>
      </c>
      <c r="F2072" s="1">
        <v>22003</v>
      </c>
      <c r="G2072" s="1" t="str">
        <f>VLOOKUP(H2072,Table7[#All], 2, FALSE)</f>
        <v>Arizona</v>
      </c>
      <c r="H2072" s="2" t="s">
        <v>114</v>
      </c>
      <c r="I2072" s="2" t="s">
        <v>22</v>
      </c>
      <c r="J2072" s="2" t="s">
        <v>34</v>
      </c>
      <c r="K2072" s="2" t="s">
        <v>24</v>
      </c>
      <c r="L2072" s="2" t="s">
        <v>9</v>
      </c>
      <c r="M2072" s="2" t="s">
        <v>25</v>
      </c>
      <c r="N2072" s="2" t="s">
        <v>19</v>
      </c>
      <c r="O2072" s="2" t="s">
        <v>27</v>
      </c>
      <c r="P2072" s="2" t="s">
        <v>42</v>
      </c>
      <c r="Q2072" s="2" t="s">
        <v>37</v>
      </c>
      <c r="R2072" s="2" t="s">
        <v>18</v>
      </c>
      <c r="S2072">
        <v>1</v>
      </c>
    </row>
    <row r="2073" spans="1:19" x14ac:dyDescent="0.3">
      <c r="A2073">
        <v>1321</v>
      </c>
      <c r="B2073">
        <f>YEAR(Cleaned_HR_Data_Analysis__2[[#This Row],[Joining_Date]])</f>
        <v>2021</v>
      </c>
      <c r="C2073" s="1">
        <v>44343</v>
      </c>
      <c r="D2073" s="1" t="str" cm="1">
        <f t="array" ref="D2073">_xlfn.IFS(E2073&lt;28, "17-27",
AND(E2073&gt;27, E2073&lt;38), "28-37",
AND(E2073&gt;37, E2073 &lt;48), "38-47",
AND(E2073&gt;47, E2073 &lt;58), "48-57",
AND(E2073&gt;57, E2073&lt;68), "58-67",
AND(E2073&gt;67, E2073&lt;78), "68-77",
E2073&gt;77,"Above than 77")</f>
        <v>58-67</v>
      </c>
      <c r="E2073">
        <v>63</v>
      </c>
      <c r="F2073" s="1">
        <v>21260</v>
      </c>
      <c r="G2073" s="1" t="str">
        <f>VLOOKUP(H2073,Table7[#All], 2, FALSE)</f>
        <v>Massachusetts</v>
      </c>
      <c r="H2073" s="2" t="s">
        <v>14</v>
      </c>
      <c r="I2073" s="2" t="s">
        <v>22</v>
      </c>
      <c r="J2073" s="2" t="s">
        <v>31</v>
      </c>
      <c r="K2073" s="2" t="s">
        <v>96</v>
      </c>
      <c r="L2073" s="2" t="s">
        <v>9</v>
      </c>
      <c r="M2073" s="2" t="s">
        <v>10</v>
      </c>
      <c r="N2073" s="2" t="s">
        <v>19</v>
      </c>
      <c r="O2073" s="2" t="s">
        <v>90</v>
      </c>
      <c r="P2073" s="2" t="s">
        <v>54</v>
      </c>
      <c r="Q2073" s="2" t="s">
        <v>37</v>
      </c>
      <c r="R2073" s="2" t="s">
        <v>18</v>
      </c>
      <c r="S2073">
        <v>5</v>
      </c>
    </row>
    <row r="2074" spans="1:19" x14ac:dyDescent="0.3">
      <c r="A2074">
        <v>3811</v>
      </c>
      <c r="B2074">
        <f>YEAR(Cleaned_HR_Data_Analysis__2[[#This Row],[Joining_Date]])</f>
        <v>2022</v>
      </c>
      <c r="C2074" s="1">
        <v>44695</v>
      </c>
      <c r="D2074" s="1" t="str" cm="1">
        <f t="array" ref="D2074">_xlfn.IFS(E2074&lt;28, "17-27",
AND(E2074&gt;27, E2074&lt;38), "28-37",
AND(E2074&gt;37, E2074 &lt;48), "38-47",
AND(E2074&gt;47, E2074 &lt;58), "48-57",
AND(E2074&gt;57, E2074&lt;68), "58-67",
AND(E2074&gt;67, E2074&lt;78), "68-77",
E2074&gt;77,"Above than 77")</f>
        <v>58-67</v>
      </c>
      <c r="E2074">
        <v>64</v>
      </c>
      <c r="F2074" s="1">
        <v>21255</v>
      </c>
      <c r="G2074" s="1" t="str">
        <f>VLOOKUP(H2074,Table7[#All], 2, FALSE)</f>
        <v>Connecticut</v>
      </c>
      <c r="H2074" s="2" t="s">
        <v>36</v>
      </c>
      <c r="I2074" s="2" t="s">
        <v>22</v>
      </c>
      <c r="J2074" s="2" t="s">
        <v>17</v>
      </c>
      <c r="K2074" s="2" t="s">
        <v>72</v>
      </c>
      <c r="L2074" s="2" t="s">
        <v>9</v>
      </c>
      <c r="M2074" s="2" t="s">
        <v>20</v>
      </c>
      <c r="N2074" s="2" t="s">
        <v>26</v>
      </c>
      <c r="O2074" s="2" t="s">
        <v>53</v>
      </c>
      <c r="P2074" s="2" t="s">
        <v>55</v>
      </c>
      <c r="Q2074" s="2" t="s">
        <v>23</v>
      </c>
      <c r="R2074" s="2" t="s">
        <v>18</v>
      </c>
      <c r="S2074">
        <v>1</v>
      </c>
    </row>
    <row r="2075" spans="1:19" x14ac:dyDescent="0.3">
      <c r="A2075">
        <v>1315</v>
      </c>
      <c r="B2075">
        <f>YEAR(Cleaned_HR_Data_Analysis__2[[#This Row],[Joining_Date]])</f>
        <v>2020</v>
      </c>
      <c r="C2075" s="1">
        <v>44114</v>
      </c>
      <c r="D2075" s="1" t="str" cm="1">
        <f t="array" ref="D2075">_xlfn.IFS(E2075&lt;28, "17-27",
AND(E2075&gt;27, E2075&lt;38), "28-37",
AND(E2075&gt;37, E2075 &lt;48), "38-47",
AND(E2075&gt;47, E2075 &lt;58), "48-57",
AND(E2075&gt;57, E2075&lt;68), "58-67",
AND(E2075&gt;67, E2075&lt;78), "68-77",
E2075&gt;77,"Above than 77")</f>
        <v>58-67</v>
      </c>
      <c r="E2075">
        <v>64</v>
      </c>
      <c r="F2075" s="1">
        <v>20810</v>
      </c>
      <c r="G2075" s="1" t="str">
        <f>VLOOKUP(H2075,Table7[#All], 2, FALSE)</f>
        <v>Massachusetts</v>
      </c>
      <c r="H2075" s="2" t="s">
        <v>14</v>
      </c>
      <c r="I2075" s="2" t="s">
        <v>15</v>
      </c>
      <c r="J2075" s="2" t="s">
        <v>17</v>
      </c>
      <c r="K2075" s="2" t="s">
        <v>84</v>
      </c>
      <c r="L2075" s="2" t="s">
        <v>9</v>
      </c>
      <c r="M2075" s="2" t="s">
        <v>20</v>
      </c>
      <c r="N2075" s="2" t="s">
        <v>19</v>
      </c>
      <c r="O2075" s="2" t="s">
        <v>90</v>
      </c>
      <c r="P2075" s="2" t="s">
        <v>49</v>
      </c>
      <c r="Q2075" s="2" t="s">
        <v>46</v>
      </c>
      <c r="R2075" s="2" t="s">
        <v>18</v>
      </c>
      <c r="S2075">
        <v>1</v>
      </c>
    </row>
    <row r="2076" spans="1:19" x14ac:dyDescent="0.3">
      <c r="A2076">
        <v>2542</v>
      </c>
      <c r="B2076">
        <f>YEAR(Cleaned_HR_Data_Analysis__2[[#This Row],[Joining_Date]])</f>
        <v>2023</v>
      </c>
      <c r="C2076" s="1">
        <v>44991</v>
      </c>
      <c r="D2076" s="1" t="str" cm="1">
        <f t="array" ref="D2076">_xlfn.IFS(E2076&lt;28, "17-27",
AND(E2076&gt;27, E2076&lt;38), "28-37",
AND(E2076&gt;37, E2076 &lt;48), "38-47",
AND(E2076&gt;47, E2076 &lt;58), "48-57",
AND(E2076&gt;57, E2076&lt;68), "58-67",
AND(E2076&gt;67, E2076&lt;78), "68-77",
E2076&gt;77,"Above than 77")</f>
        <v>58-67</v>
      </c>
      <c r="E2076">
        <v>64</v>
      </c>
      <c r="F2076" s="1">
        <v>21794</v>
      </c>
      <c r="G2076" s="1" t="str">
        <f>VLOOKUP(H2076,Table7[#All], 2, FALSE)</f>
        <v>Massachusetts</v>
      </c>
      <c r="H2076" s="2" t="s">
        <v>14</v>
      </c>
      <c r="I2076" s="2" t="s">
        <v>22</v>
      </c>
      <c r="J2076" s="2" t="s">
        <v>31</v>
      </c>
      <c r="K2076" s="2" t="s">
        <v>86</v>
      </c>
      <c r="L2076" s="2" t="s">
        <v>9</v>
      </c>
      <c r="M2076" s="2" t="s">
        <v>20</v>
      </c>
      <c r="N2076" s="2" t="s">
        <v>19</v>
      </c>
      <c r="O2076" s="2" t="s">
        <v>87</v>
      </c>
      <c r="P2076" s="2" t="s">
        <v>42</v>
      </c>
      <c r="Q2076" s="2" t="s">
        <v>37</v>
      </c>
      <c r="R2076" s="2" t="s">
        <v>18</v>
      </c>
      <c r="S2076">
        <v>1</v>
      </c>
    </row>
    <row r="2077" spans="1:19" x14ac:dyDescent="0.3">
      <c r="A2077">
        <v>1329</v>
      </c>
      <c r="B2077">
        <f>YEAR(Cleaned_HR_Data_Analysis__2[[#This Row],[Joining_Date]])</f>
        <v>2022</v>
      </c>
      <c r="C2077" s="1">
        <v>44890</v>
      </c>
      <c r="D2077" s="1" t="str" cm="1">
        <f t="array" ref="D2077">_xlfn.IFS(E2077&lt;28, "17-27",
AND(E2077&gt;27, E2077&lt;38), "28-37",
AND(E2077&gt;37, E2077 &lt;48), "38-47",
AND(E2077&gt;47, E2077 &lt;58), "48-57",
AND(E2077&gt;57, E2077&lt;68), "58-67",
AND(E2077&gt;67, E2077&lt;78), "68-77",
E2077&gt;77,"Above than 77")</f>
        <v>58-67</v>
      </c>
      <c r="E2077">
        <v>64</v>
      </c>
      <c r="F2077" s="1">
        <v>21490</v>
      </c>
      <c r="G2077" s="1" t="str">
        <f>VLOOKUP(H2077,Table7[#All], 2, FALSE)</f>
        <v>Massachusetts</v>
      </c>
      <c r="H2077" s="2" t="s">
        <v>14</v>
      </c>
      <c r="I2077" s="2" t="s">
        <v>22</v>
      </c>
      <c r="J2077" s="2" t="s">
        <v>17</v>
      </c>
      <c r="K2077" s="2" t="s">
        <v>86</v>
      </c>
      <c r="L2077" s="2" t="s">
        <v>9</v>
      </c>
      <c r="M2077" s="2" t="s">
        <v>10</v>
      </c>
      <c r="N2077" s="2" t="s">
        <v>26</v>
      </c>
      <c r="O2077" s="2" t="s">
        <v>87</v>
      </c>
      <c r="P2077" s="2" t="s">
        <v>35</v>
      </c>
      <c r="Q2077" s="2" t="s">
        <v>37</v>
      </c>
      <c r="R2077" s="2" t="s">
        <v>18</v>
      </c>
      <c r="S2077">
        <v>2</v>
      </c>
    </row>
    <row r="2078" spans="1:19" x14ac:dyDescent="0.3">
      <c r="A2078">
        <v>1030</v>
      </c>
      <c r="B2078">
        <f>YEAR(Cleaned_HR_Data_Analysis__2[[#This Row],[Joining_Date]])</f>
        <v>2019</v>
      </c>
      <c r="C2078" s="1">
        <v>43767</v>
      </c>
      <c r="D2078" s="1" t="str" cm="1">
        <f t="array" ref="D2078">_xlfn.IFS(E2078&lt;28, "17-27",
AND(E2078&gt;27, E2078&lt;38), "28-37",
AND(E2078&gt;37, E2078 &lt;48), "38-47",
AND(E2078&gt;47, E2078 &lt;58), "48-57",
AND(E2078&gt;57, E2078&lt;68), "58-67",
AND(E2078&gt;67, E2078&lt;78), "68-77",
E2078&gt;77,"Above than 77")</f>
        <v>58-67</v>
      </c>
      <c r="E2078">
        <v>64</v>
      </c>
      <c r="F2078" s="1">
        <v>20276</v>
      </c>
      <c r="G2078" s="1" t="str">
        <f>VLOOKUP(H2078,Table7[#All], 2, FALSE)</f>
        <v>Massachusetts</v>
      </c>
      <c r="H2078" s="2" t="s">
        <v>14</v>
      </c>
      <c r="I2078" s="2" t="s">
        <v>22</v>
      </c>
      <c r="J2078" s="2" t="s">
        <v>31</v>
      </c>
      <c r="K2078" s="2" t="s">
        <v>86</v>
      </c>
      <c r="L2078" s="2" t="s">
        <v>9</v>
      </c>
      <c r="M2078" s="2" t="s">
        <v>10</v>
      </c>
      <c r="N2078" s="2" t="s">
        <v>11</v>
      </c>
      <c r="O2078" s="2" t="s">
        <v>87</v>
      </c>
      <c r="P2078" s="2" t="s">
        <v>35</v>
      </c>
      <c r="Q2078" s="2" t="s">
        <v>37</v>
      </c>
      <c r="R2078" s="2" t="s">
        <v>18</v>
      </c>
      <c r="S2078">
        <v>4</v>
      </c>
    </row>
    <row r="2079" spans="1:19" x14ac:dyDescent="0.3">
      <c r="A2079">
        <v>1044</v>
      </c>
      <c r="B2079">
        <f>YEAR(Cleaned_HR_Data_Analysis__2[[#This Row],[Joining_Date]])</f>
        <v>2020</v>
      </c>
      <c r="C2079" s="1">
        <v>44089</v>
      </c>
      <c r="D2079" s="1" t="str" cm="1">
        <f t="array" ref="D2079">_xlfn.IFS(E2079&lt;28, "17-27",
AND(E2079&gt;27, E2079&lt;38), "28-37",
AND(E2079&gt;37, E2079 &lt;48), "38-47",
AND(E2079&gt;47, E2079 &lt;58), "48-57",
AND(E2079&gt;57, E2079&lt;68), "58-67",
AND(E2079&gt;67, E2079&lt;78), "68-77",
E2079&gt;77,"Above than 77")</f>
        <v>58-67</v>
      </c>
      <c r="E2079">
        <v>64</v>
      </c>
      <c r="F2079" s="1">
        <v>20714</v>
      </c>
      <c r="G2079" s="1" t="str">
        <f>VLOOKUP(H2079,Table7[#All], 2, FALSE)</f>
        <v>Massachusetts</v>
      </c>
      <c r="H2079" s="2" t="s">
        <v>14</v>
      </c>
      <c r="I2079" s="2" t="s">
        <v>15</v>
      </c>
      <c r="J2079" s="2" t="s">
        <v>40</v>
      </c>
      <c r="K2079" s="2" t="s">
        <v>88</v>
      </c>
      <c r="L2079" s="2" t="s">
        <v>9</v>
      </c>
      <c r="M2079" s="2" t="s">
        <v>10</v>
      </c>
      <c r="N2079" s="2" t="s">
        <v>19</v>
      </c>
      <c r="O2079" s="2" t="s">
        <v>87</v>
      </c>
      <c r="P2079" s="2" t="s">
        <v>35</v>
      </c>
      <c r="Q2079" s="2" t="s">
        <v>23</v>
      </c>
      <c r="R2079" s="2" t="s">
        <v>18</v>
      </c>
      <c r="S2079">
        <v>4</v>
      </c>
    </row>
    <row r="2080" spans="1:19" x14ac:dyDescent="0.3">
      <c r="A2080">
        <v>1016</v>
      </c>
      <c r="B2080">
        <f>YEAR(Cleaned_HR_Data_Analysis__2[[#This Row],[Joining_Date]])</f>
        <v>2020</v>
      </c>
      <c r="C2080" s="1">
        <v>43882</v>
      </c>
      <c r="D2080" s="1" t="str" cm="1">
        <f t="array" ref="D2080">_xlfn.IFS(E2080&lt;28, "17-27",
AND(E2080&gt;27, E2080&lt;38), "28-37",
AND(E2080&gt;37, E2080 &lt;48), "38-47",
AND(E2080&gt;47, E2080 &lt;58), "48-57",
AND(E2080&gt;57, E2080&lt;68), "58-67",
AND(E2080&gt;67, E2080&lt;78), "68-77",
E2080&gt;77,"Above than 77")</f>
        <v>58-67</v>
      </c>
      <c r="E2080">
        <v>64</v>
      </c>
      <c r="F2080" s="1">
        <v>20522</v>
      </c>
      <c r="G2080" s="1" t="str">
        <f>VLOOKUP(H2080,Table7[#All], 2, FALSE)</f>
        <v>Massachusetts</v>
      </c>
      <c r="H2080" s="2" t="s">
        <v>14</v>
      </c>
      <c r="I2080" s="2" t="s">
        <v>15</v>
      </c>
      <c r="J2080" s="2" t="s">
        <v>31</v>
      </c>
      <c r="K2080" s="2" t="s">
        <v>89</v>
      </c>
      <c r="L2080" s="2" t="s">
        <v>9</v>
      </c>
      <c r="M2080" s="2" t="s">
        <v>20</v>
      </c>
      <c r="N2080" s="2" t="s">
        <v>26</v>
      </c>
      <c r="O2080" s="2" t="s">
        <v>90</v>
      </c>
      <c r="P2080" s="2" t="s">
        <v>58</v>
      </c>
      <c r="Q2080" s="2" t="s">
        <v>16</v>
      </c>
      <c r="R2080" s="2" t="s">
        <v>18</v>
      </c>
      <c r="S2080">
        <v>3</v>
      </c>
    </row>
    <row r="2081" spans="1:19" x14ac:dyDescent="0.3">
      <c r="A2081">
        <v>3561</v>
      </c>
      <c r="B2081">
        <f>YEAR(Cleaned_HR_Data_Analysis__2[[#This Row],[Joining_Date]])</f>
        <v>2023</v>
      </c>
      <c r="C2081" s="1">
        <v>45013</v>
      </c>
      <c r="D2081" s="1" t="str" cm="1">
        <f t="array" ref="D2081">_xlfn.IFS(E2081&lt;28, "17-27",
AND(E2081&gt;27, E2081&lt;38), "28-37",
AND(E2081&gt;37, E2081 &lt;48), "38-47",
AND(E2081&gt;47, E2081 &lt;58), "48-57",
AND(E2081&gt;57, E2081&lt;68), "58-67",
AND(E2081&gt;67, E2081&lt;78), "68-77",
E2081&gt;77,"Above than 77")</f>
        <v>58-67</v>
      </c>
      <c r="E2081">
        <v>64</v>
      </c>
      <c r="F2081" s="1">
        <v>21581</v>
      </c>
      <c r="G2081" s="1" t="str">
        <f>VLOOKUP(H2081,Table7[#All], 2, FALSE)</f>
        <v>Massachusetts</v>
      </c>
      <c r="H2081" s="2" t="s">
        <v>14</v>
      </c>
      <c r="I2081" s="2" t="s">
        <v>15</v>
      </c>
      <c r="J2081" s="2" t="s">
        <v>34</v>
      </c>
      <c r="K2081" s="2" t="s">
        <v>64</v>
      </c>
      <c r="L2081" s="2" t="s">
        <v>9</v>
      </c>
      <c r="M2081" s="2" t="s">
        <v>20</v>
      </c>
      <c r="N2081" s="2" t="s">
        <v>11</v>
      </c>
      <c r="O2081" s="2" t="s">
        <v>12</v>
      </c>
      <c r="P2081" s="2" t="s">
        <v>32</v>
      </c>
      <c r="Q2081" s="2" t="s">
        <v>16</v>
      </c>
      <c r="R2081" s="2" t="s">
        <v>18</v>
      </c>
      <c r="S2081">
        <v>1</v>
      </c>
    </row>
    <row r="2082" spans="1:19" x14ac:dyDescent="0.3">
      <c r="A2082">
        <v>3370</v>
      </c>
      <c r="B2082">
        <f>YEAR(Cleaned_HR_Data_Analysis__2[[#This Row],[Joining_Date]])</f>
        <v>2022</v>
      </c>
      <c r="C2082" s="1">
        <v>44732</v>
      </c>
      <c r="D2082" s="1" t="str" cm="1">
        <f t="array" ref="D2082">_xlfn.IFS(E2082&lt;28, "17-27",
AND(E2082&gt;27, E2082&lt;38), "28-37",
AND(E2082&gt;37, E2082 &lt;48), "38-47",
AND(E2082&gt;47, E2082 &lt;58), "48-57",
AND(E2082&gt;57, E2082&lt;68), "58-67",
AND(E2082&gt;67, E2082&lt;78), "68-77",
E2082&gt;77,"Above than 77")</f>
        <v>58-67</v>
      </c>
      <c r="E2082">
        <v>64</v>
      </c>
      <c r="F2082" s="1">
        <v>21424</v>
      </c>
      <c r="G2082" s="1" t="str">
        <f>VLOOKUP(H2082,Table7[#All], 2, FALSE)</f>
        <v>Massachusetts</v>
      </c>
      <c r="H2082" s="2" t="s">
        <v>14</v>
      </c>
      <c r="I2082" s="2" t="s">
        <v>15</v>
      </c>
      <c r="J2082" s="2" t="s">
        <v>17</v>
      </c>
      <c r="K2082" s="2" t="s">
        <v>64</v>
      </c>
      <c r="L2082" s="2" t="s">
        <v>9</v>
      </c>
      <c r="M2082" s="2" t="s">
        <v>10</v>
      </c>
      <c r="N2082" s="2" t="s">
        <v>11</v>
      </c>
      <c r="O2082" s="2" t="s">
        <v>12</v>
      </c>
      <c r="P2082" s="2" t="s">
        <v>32</v>
      </c>
      <c r="Q2082" s="2" t="s">
        <v>46</v>
      </c>
      <c r="R2082" s="2" t="s">
        <v>41</v>
      </c>
      <c r="S2082">
        <v>5</v>
      </c>
    </row>
    <row r="2083" spans="1:19" x14ac:dyDescent="0.3">
      <c r="A2083">
        <v>2846</v>
      </c>
      <c r="B2083">
        <f>YEAR(Cleaned_HR_Data_Analysis__2[[#This Row],[Joining_Date]])</f>
        <v>2019</v>
      </c>
      <c r="C2083" s="1">
        <v>43752</v>
      </c>
      <c r="D2083" s="1" t="str" cm="1">
        <f t="array" ref="D2083">_xlfn.IFS(E2083&lt;28, "17-27",
AND(E2083&gt;27, E2083&lt;38), "28-37",
AND(E2083&gt;37, E2083 &lt;48), "38-47",
AND(E2083&gt;47, E2083 &lt;58), "48-57",
AND(E2083&gt;57, E2083&lt;68), "58-67",
AND(E2083&gt;67, E2083&lt;78), "68-77",
E2083&gt;77,"Above than 77")</f>
        <v>58-67</v>
      </c>
      <c r="E2083">
        <v>64</v>
      </c>
      <c r="F2083" s="1">
        <v>20334</v>
      </c>
      <c r="G2083" s="1" t="str">
        <f>VLOOKUP(H2083,Table7[#All], 2, FALSE)</f>
        <v>Massachusetts</v>
      </c>
      <c r="H2083" s="2" t="s">
        <v>14</v>
      </c>
      <c r="I2083" s="2" t="s">
        <v>15</v>
      </c>
      <c r="J2083" s="2" t="s">
        <v>40</v>
      </c>
      <c r="K2083" s="2" t="s">
        <v>64</v>
      </c>
      <c r="L2083" s="2" t="s">
        <v>66</v>
      </c>
      <c r="M2083" s="2" t="s">
        <v>10</v>
      </c>
      <c r="N2083" s="2" t="s">
        <v>11</v>
      </c>
      <c r="O2083" s="2" t="s">
        <v>12</v>
      </c>
      <c r="P2083" s="2" t="s">
        <v>61</v>
      </c>
      <c r="Q2083" s="2" t="s">
        <v>16</v>
      </c>
      <c r="R2083" s="2" t="s">
        <v>18</v>
      </c>
      <c r="S2083">
        <v>1</v>
      </c>
    </row>
    <row r="2084" spans="1:19" x14ac:dyDescent="0.3">
      <c r="A2084">
        <v>1894</v>
      </c>
      <c r="B2084">
        <f>YEAR(Cleaned_HR_Data_Analysis__2[[#This Row],[Joining_Date]])</f>
        <v>2023</v>
      </c>
      <c r="C2084" s="1">
        <v>44927</v>
      </c>
      <c r="D2084" s="1" t="str" cm="1">
        <f t="array" ref="D2084">_xlfn.IFS(E2084&lt;28, "17-27",
AND(E2084&gt;27, E2084&lt;38), "28-37",
AND(E2084&gt;37, E2084 &lt;48), "38-47",
AND(E2084&gt;47, E2084 &lt;58), "48-57",
AND(E2084&gt;57, E2084&lt;68), "58-67",
AND(E2084&gt;67, E2084&lt;78), "68-77",
E2084&gt;77,"Above than 77")</f>
        <v>58-67</v>
      </c>
      <c r="E2084">
        <v>64</v>
      </c>
      <c r="F2084" s="1">
        <v>21693</v>
      </c>
      <c r="G2084" s="1" t="str">
        <f>VLOOKUP(H2084,Table7[#All], 2, FALSE)</f>
        <v>Massachusetts</v>
      </c>
      <c r="H2084" s="2" t="s">
        <v>14</v>
      </c>
      <c r="I2084" s="2" t="s">
        <v>22</v>
      </c>
      <c r="J2084" s="2" t="s">
        <v>31</v>
      </c>
      <c r="K2084" s="2" t="s">
        <v>64</v>
      </c>
      <c r="L2084" s="2" t="s">
        <v>9</v>
      </c>
      <c r="M2084" s="2" t="s">
        <v>25</v>
      </c>
      <c r="N2084" s="2" t="s">
        <v>19</v>
      </c>
      <c r="O2084" s="2" t="s">
        <v>12</v>
      </c>
      <c r="P2084" s="2" t="s">
        <v>35</v>
      </c>
      <c r="Q2084" s="2" t="s">
        <v>30</v>
      </c>
      <c r="R2084" s="2" t="s">
        <v>18</v>
      </c>
      <c r="S2084">
        <v>1</v>
      </c>
    </row>
    <row r="2085" spans="1:19" x14ac:dyDescent="0.3">
      <c r="A2085">
        <v>1430</v>
      </c>
      <c r="B2085">
        <f>YEAR(Cleaned_HR_Data_Analysis__2[[#This Row],[Joining_Date]])</f>
        <v>2023</v>
      </c>
      <c r="C2085" s="1">
        <v>44970</v>
      </c>
      <c r="D2085" s="1" t="str" cm="1">
        <f t="array" ref="D2085">_xlfn.IFS(E2085&lt;28, "17-27",
AND(E2085&gt;27, E2085&lt;38), "28-37",
AND(E2085&gt;37, E2085 &lt;48), "38-47",
AND(E2085&gt;47, E2085 &lt;58), "48-57",
AND(E2085&gt;57, E2085&lt;68), "58-67",
AND(E2085&gt;67, E2085&lt;78), "68-77",
E2085&gt;77,"Above than 77")</f>
        <v>58-67</v>
      </c>
      <c r="E2085">
        <v>64</v>
      </c>
      <c r="F2085" s="1">
        <v>21569</v>
      </c>
      <c r="G2085" s="1" t="str">
        <f>VLOOKUP(H2085,Table7[#All], 2, FALSE)</f>
        <v>Massachusetts</v>
      </c>
      <c r="H2085" s="2" t="s">
        <v>14</v>
      </c>
      <c r="I2085" s="2" t="s">
        <v>15</v>
      </c>
      <c r="J2085" s="2" t="s">
        <v>31</v>
      </c>
      <c r="K2085" s="2" t="s">
        <v>64</v>
      </c>
      <c r="L2085" s="2" t="s">
        <v>66</v>
      </c>
      <c r="M2085" s="2" t="s">
        <v>20</v>
      </c>
      <c r="N2085" s="2" t="s">
        <v>19</v>
      </c>
      <c r="O2085" s="2" t="s">
        <v>12</v>
      </c>
      <c r="P2085" s="2" t="s">
        <v>63</v>
      </c>
      <c r="Q2085" s="2" t="s">
        <v>46</v>
      </c>
      <c r="R2085" s="2" t="s">
        <v>56</v>
      </c>
      <c r="S2085">
        <v>2</v>
      </c>
    </row>
    <row r="2086" spans="1:19" x14ac:dyDescent="0.3">
      <c r="A2086">
        <v>3759</v>
      </c>
      <c r="B2086">
        <f>YEAR(Cleaned_HR_Data_Analysis__2[[#This Row],[Joining_Date]])</f>
        <v>2022</v>
      </c>
      <c r="C2086" s="1">
        <v>44682</v>
      </c>
      <c r="D2086" s="1" t="str" cm="1">
        <f t="array" ref="D2086">_xlfn.IFS(E2086&lt;28, "17-27",
AND(E2086&gt;27, E2086&lt;38), "28-37",
AND(E2086&gt;37, E2086 &lt;48), "38-47",
AND(E2086&gt;47, E2086 &lt;58), "48-57",
AND(E2086&gt;57, E2086&lt;68), "58-67",
AND(E2086&gt;67, E2086&lt;78), "68-77",
E2086&gt;77,"Above than 77")</f>
        <v>58-67</v>
      </c>
      <c r="E2086">
        <v>64</v>
      </c>
      <c r="F2086" s="1">
        <v>21479</v>
      </c>
      <c r="G2086" s="1" t="str">
        <f>VLOOKUP(H2086,Table7[#All], 2, FALSE)</f>
        <v>Massachusetts</v>
      </c>
      <c r="H2086" s="2" t="s">
        <v>14</v>
      </c>
      <c r="I2086" s="2" t="s">
        <v>22</v>
      </c>
      <c r="J2086" s="2" t="s">
        <v>34</v>
      </c>
      <c r="K2086" s="2" t="s">
        <v>8</v>
      </c>
      <c r="L2086" s="2" t="s">
        <v>9</v>
      </c>
      <c r="M2086" s="2" t="s">
        <v>10</v>
      </c>
      <c r="N2086" s="2" t="s">
        <v>26</v>
      </c>
      <c r="O2086" s="2" t="s">
        <v>12</v>
      </c>
      <c r="P2086" s="2" t="s">
        <v>63</v>
      </c>
      <c r="Q2086" s="2" t="s">
        <v>37</v>
      </c>
      <c r="R2086" s="2" t="s">
        <v>18</v>
      </c>
      <c r="S2086">
        <v>4</v>
      </c>
    </row>
    <row r="2087" spans="1:19" x14ac:dyDescent="0.3">
      <c r="A2087">
        <v>3725</v>
      </c>
      <c r="B2087">
        <f>YEAR(Cleaned_HR_Data_Analysis__2[[#This Row],[Joining_Date]])</f>
        <v>2019</v>
      </c>
      <c r="C2087" s="1">
        <v>43562</v>
      </c>
      <c r="D2087" s="1" t="str" cm="1">
        <f t="array" ref="D2087">_xlfn.IFS(E2087&lt;28, "17-27",
AND(E2087&gt;27, E2087&lt;38), "28-37",
AND(E2087&gt;37, E2087 &lt;48), "38-47",
AND(E2087&gt;47, E2087 &lt;58), "48-57",
AND(E2087&gt;57, E2087&lt;68), "58-67",
AND(E2087&gt;67, E2087&lt;78), "68-77",
E2087&gt;77,"Above than 77")</f>
        <v>58-67</v>
      </c>
      <c r="E2087">
        <v>64</v>
      </c>
      <c r="F2087" s="1">
        <v>20322</v>
      </c>
      <c r="G2087" s="1" t="str">
        <f>VLOOKUP(H2087,Table7[#All], 2, FALSE)</f>
        <v>Massachusetts</v>
      </c>
      <c r="H2087" s="2" t="s">
        <v>14</v>
      </c>
      <c r="I2087" s="2" t="s">
        <v>22</v>
      </c>
      <c r="J2087" s="2" t="s">
        <v>17</v>
      </c>
      <c r="K2087" s="2" t="s">
        <v>8</v>
      </c>
      <c r="L2087" s="2" t="s">
        <v>9</v>
      </c>
      <c r="M2087" s="2" t="s">
        <v>10</v>
      </c>
      <c r="N2087" s="2" t="s">
        <v>26</v>
      </c>
      <c r="O2087" s="2" t="s">
        <v>12</v>
      </c>
      <c r="P2087" s="2" t="s">
        <v>21</v>
      </c>
      <c r="Q2087" s="2" t="s">
        <v>46</v>
      </c>
      <c r="R2087" s="2" t="s">
        <v>18</v>
      </c>
      <c r="S2087">
        <v>3</v>
      </c>
    </row>
    <row r="2088" spans="1:19" x14ac:dyDescent="0.3">
      <c r="A2088">
        <v>3314</v>
      </c>
      <c r="B2088">
        <f>YEAR(Cleaned_HR_Data_Analysis__2[[#This Row],[Joining_Date]])</f>
        <v>2019</v>
      </c>
      <c r="C2088" s="1">
        <v>43466</v>
      </c>
      <c r="D2088" s="1" t="str" cm="1">
        <f t="array" ref="D2088">_xlfn.IFS(E2088&lt;28, "17-27",
AND(E2088&gt;27, E2088&lt;38), "28-37",
AND(E2088&gt;37, E2088 &lt;48), "38-47",
AND(E2088&gt;47, E2088 &lt;58), "48-57",
AND(E2088&gt;57, E2088&lt;68), "58-67",
AND(E2088&gt;67, E2088&lt;78), "68-77",
E2088&gt;77,"Above than 77")</f>
        <v>58-67</v>
      </c>
      <c r="E2088">
        <v>64</v>
      </c>
      <c r="F2088" s="1">
        <v>20356</v>
      </c>
      <c r="G2088" s="1" t="str">
        <f>VLOOKUP(H2088,Table7[#All], 2, FALSE)</f>
        <v>Massachusetts</v>
      </c>
      <c r="H2088" s="2" t="s">
        <v>14</v>
      </c>
      <c r="I2088" s="2" t="s">
        <v>22</v>
      </c>
      <c r="J2088" s="2" t="s">
        <v>17</v>
      </c>
      <c r="K2088" s="2" t="s">
        <v>8</v>
      </c>
      <c r="L2088" s="2" t="s">
        <v>9</v>
      </c>
      <c r="M2088" s="2" t="s">
        <v>20</v>
      </c>
      <c r="N2088" s="2" t="s">
        <v>19</v>
      </c>
      <c r="O2088" s="2" t="s">
        <v>12</v>
      </c>
      <c r="P2088" s="2" t="s">
        <v>38</v>
      </c>
      <c r="Q2088" s="2" t="s">
        <v>30</v>
      </c>
      <c r="R2088" s="2" t="s">
        <v>18</v>
      </c>
      <c r="S2088">
        <v>4</v>
      </c>
    </row>
    <row r="2089" spans="1:19" x14ac:dyDescent="0.3">
      <c r="A2089">
        <v>3272</v>
      </c>
      <c r="B2089">
        <f>YEAR(Cleaned_HR_Data_Analysis__2[[#This Row],[Joining_Date]])</f>
        <v>2023</v>
      </c>
      <c r="C2089" s="1">
        <v>44967</v>
      </c>
      <c r="D2089" s="1" t="str" cm="1">
        <f t="array" ref="D2089">_xlfn.IFS(E2089&lt;28, "17-27",
AND(E2089&gt;27, E2089&lt;38), "28-37",
AND(E2089&gt;37, E2089 &lt;48), "38-47",
AND(E2089&gt;47, E2089 &lt;58), "48-57",
AND(E2089&gt;57, E2089&lt;68), "58-67",
AND(E2089&gt;67, E2089&lt;78), "68-77",
E2089&gt;77,"Above than 77")</f>
        <v>58-67</v>
      </c>
      <c r="E2089">
        <v>64</v>
      </c>
      <c r="F2089" s="1">
        <v>21784</v>
      </c>
      <c r="G2089" s="1" t="str">
        <f>VLOOKUP(H2089,Table7[#All], 2, FALSE)</f>
        <v>Massachusetts</v>
      </c>
      <c r="H2089" s="2" t="s">
        <v>14</v>
      </c>
      <c r="I2089" s="2" t="s">
        <v>22</v>
      </c>
      <c r="J2089" s="2" t="s">
        <v>17</v>
      </c>
      <c r="K2089" s="2" t="s">
        <v>8</v>
      </c>
      <c r="L2089" s="2" t="s">
        <v>9</v>
      </c>
      <c r="M2089" s="2" t="s">
        <v>10</v>
      </c>
      <c r="N2089" s="2" t="s">
        <v>11</v>
      </c>
      <c r="O2089" s="2" t="s">
        <v>12</v>
      </c>
      <c r="P2089" s="2" t="s">
        <v>21</v>
      </c>
      <c r="Q2089" s="2" t="s">
        <v>30</v>
      </c>
      <c r="R2089" s="2" t="s">
        <v>18</v>
      </c>
      <c r="S2089">
        <v>5</v>
      </c>
    </row>
    <row r="2090" spans="1:19" x14ac:dyDescent="0.3">
      <c r="A2090">
        <v>3204</v>
      </c>
      <c r="B2090">
        <f>YEAR(Cleaned_HR_Data_Analysis__2[[#This Row],[Joining_Date]])</f>
        <v>2023</v>
      </c>
      <c r="C2090" s="1">
        <v>45081</v>
      </c>
      <c r="D2090" s="1" t="str" cm="1">
        <f t="array" ref="D2090">_xlfn.IFS(E2090&lt;28, "17-27",
AND(E2090&gt;27, E2090&lt;38), "28-37",
AND(E2090&gt;37, E2090 &lt;48), "38-47",
AND(E2090&gt;47, E2090 &lt;58), "48-57",
AND(E2090&gt;57, E2090&lt;68), "58-67",
AND(E2090&gt;67, E2090&lt;78), "68-77",
E2090&gt;77,"Above than 77")</f>
        <v>58-67</v>
      </c>
      <c r="E2090">
        <v>64</v>
      </c>
      <c r="F2090" s="1">
        <v>21866</v>
      </c>
      <c r="G2090" s="1" t="str">
        <f>VLOOKUP(H2090,Table7[#All], 2, FALSE)</f>
        <v>Massachusetts</v>
      </c>
      <c r="H2090" s="2" t="s">
        <v>14</v>
      </c>
      <c r="I2090" s="2" t="s">
        <v>22</v>
      </c>
      <c r="J2090" s="2" t="s">
        <v>31</v>
      </c>
      <c r="K2090" s="2" t="s">
        <v>8</v>
      </c>
      <c r="L2090" s="2" t="s">
        <v>9</v>
      </c>
      <c r="M2090" s="2" t="s">
        <v>10</v>
      </c>
      <c r="N2090" s="2" t="s">
        <v>11</v>
      </c>
      <c r="O2090" s="2" t="s">
        <v>12</v>
      </c>
      <c r="P2090" s="2" t="s">
        <v>28</v>
      </c>
      <c r="Q2090" s="2" t="s">
        <v>16</v>
      </c>
      <c r="R2090" s="2" t="s">
        <v>18</v>
      </c>
      <c r="S2090">
        <v>1</v>
      </c>
    </row>
    <row r="2091" spans="1:19" x14ac:dyDescent="0.3">
      <c r="A2091">
        <v>3133</v>
      </c>
      <c r="B2091">
        <f>YEAR(Cleaned_HR_Data_Analysis__2[[#This Row],[Joining_Date]])</f>
        <v>2022</v>
      </c>
      <c r="C2091" s="1">
        <v>44617</v>
      </c>
      <c r="D2091" s="1" t="str" cm="1">
        <f t="array" ref="D2091">_xlfn.IFS(E2091&lt;28, "17-27",
AND(E2091&gt;27, E2091&lt;38), "28-37",
AND(E2091&gt;37, E2091 &lt;48), "38-47",
AND(E2091&gt;47, E2091 &lt;58), "48-57",
AND(E2091&gt;57, E2091&lt;68), "58-67",
AND(E2091&gt;67, E2091&lt;78), "68-77",
E2091&gt;77,"Above than 77")</f>
        <v>58-67</v>
      </c>
      <c r="E2091">
        <v>64</v>
      </c>
      <c r="F2091" s="1">
        <v>21481</v>
      </c>
      <c r="G2091" s="1" t="str">
        <f>VLOOKUP(H2091,Table7[#All], 2, FALSE)</f>
        <v>Massachusetts</v>
      </c>
      <c r="H2091" s="2" t="s">
        <v>14</v>
      </c>
      <c r="I2091" s="2" t="s">
        <v>22</v>
      </c>
      <c r="J2091" s="2" t="s">
        <v>34</v>
      </c>
      <c r="K2091" s="2" t="s">
        <v>8</v>
      </c>
      <c r="L2091" s="2" t="s">
        <v>66</v>
      </c>
      <c r="M2091" s="2" t="s">
        <v>10</v>
      </c>
      <c r="N2091" s="2" t="s">
        <v>11</v>
      </c>
      <c r="O2091" s="2" t="s">
        <v>12</v>
      </c>
      <c r="P2091" s="2" t="s">
        <v>54</v>
      </c>
      <c r="Q2091" s="2" t="s">
        <v>16</v>
      </c>
      <c r="R2091" s="2" t="s">
        <v>18</v>
      </c>
      <c r="S2091">
        <v>5</v>
      </c>
    </row>
    <row r="2092" spans="1:19" x14ac:dyDescent="0.3">
      <c r="A2092">
        <v>3077</v>
      </c>
      <c r="B2092">
        <f>YEAR(Cleaned_HR_Data_Analysis__2[[#This Row],[Joining_Date]])</f>
        <v>2022</v>
      </c>
      <c r="C2092" s="1">
        <v>44821</v>
      </c>
      <c r="D2092" s="1" t="str" cm="1">
        <f t="array" ref="D2092">_xlfn.IFS(E2092&lt;28, "17-27",
AND(E2092&gt;27, E2092&lt;38), "28-37",
AND(E2092&gt;37, E2092 &lt;48), "38-47",
AND(E2092&gt;47, E2092 &lt;58), "48-57",
AND(E2092&gt;57, E2092&lt;68), "58-67",
AND(E2092&gt;67, E2092&lt;78), "68-77",
E2092&gt;77,"Above than 77")</f>
        <v>58-67</v>
      </c>
      <c r="E2092">
        <v>64</v>
      </c>
      <c r="F2092" s="1">
        <v>21413</v>
      </c>
      <c r="G2092" s="1" t="str">
        <f>VLOOKUP(H2092,Table7[#All], 2, FALSE)</f>
        <v>Massachusetts</v>
      </c>
      <c r="H2092" s="2" t="s">
        <v>14</v>
      </c>
      <c r="I2092" s="2" t="s">
        <v>22</v>
      </c>
      <c r="J2092" s="2" t="s">
        <v>34</v>
      </c>
      <c r="K2092" s="2" t="s">
        <v>8</v>
      </c>
      <c r="L2092" s="2" t="s">
        <v>9</v>
      </c>
      <c r="M2092" s="2" t="s">
        <v>10</v>
      </c>
      <c r="N2092" s="2" t="s">
        <v>19</v>
      </c>
      <c r="O2092" s="2" t="s">
        <v>12</v>
      </c>
      <c r="P2092" s="2" t="s">
        <v>32</v>
      </c>
      <c r="Q2092" s="2" t="s">
        <v>23</v>
      </c>
      <c r="R2092" s="2" t="s">
        <v>18</v>
      </c>
      <c r="S2092">
        <v>1</v>
      </c>
    </row>
    <row r="2093" spans="1:19" x14ac:dyDescent="0.3">
      <c r="A2093">
        <v>2995</v>
      </c>
      <c r="B2093">
        <f>YEAR(Cleaned_HR_Data_Analysis__2[[#This Row],[Joining_Date]])</f>
        <v>2018</v>
      </c>
      <c r="C2093" s="1">
        <v>43346</v>
      </c>
      <c r="D2093" s="1" t="str" cm="1">
        <f t="array" ref="D2093">_xlfn.IFS(E2093&lt;28, "17-27",
AND(E2093&gt;27, E2093&lt;38), "28-37",
AND(E2093&gt;37, E2093 &lt;48), "38-47",
AND(E2093&gt;47, E2093 &lt;58), "48-57",
AND(E2093&gt;57, E2093&lt;68), "58-67",
AND(E2093&gt;67, E2093&lt;78), "68-77",
E2093&gt;77,"Above than 77")</f>
        <v>58-67</v>
      </c>
      <c r="E2093">
        <v>64</v>
      </c>
      <c r="F2093" s="1">
        <v>20014</v>
      </c>
      <c r="G2093" s="1" t="str">
        <f>VLOOKUP(H2093,Table7[#All], 2, FALSE)</f>
        <v>Massachusetts</v>
      </c>
      <c r="H2093" s="2" t="s">
        <v>14</v>
      </c>
      <c r="I2093" s="2" t="s">
        <v>22</v>
      </c>
      <c r="J2093" s="2" t="s">
        <v>31</v>
      </c>
      <c r="K2093" s="2" t="s">
        <v>8</v>
      </c>
      <c r="L2093" s="2" t="s">
        <v>9</v>
      </c>
      <c r="M2093" s="2" t="s">
        <v>25</v>
      </c>
      <c r="N2093" s="2" t="s">
        <v>19</v>
      </c>
      <c r="O2093" s="2" t="s">
        <v>12</v>
      </c>
      <c r="P2093" s="2" t="s">
        <v>32</v>
      </c>
      <c r="Q2093" s="2" t="s">
        <v>30</v>
      </c>
      <c r="R2093" s="2" t="s">
        <v>56</v>
      </c>
      <c r="S2093">
        <v>5</v>
      </c>
    </row>
    <row r="2094" spans="1:19" x14ac:dyDescent="0.3">
      <c r="A2094">
        <v>2954</v>
      </c>
      <c r="B2094">
        <f>YEAR(Cleaned_HR_Data_Analysis__2[[#This Row],[Joining_Date]])</f>
        <v>2019</v>
      </c>
      <c r="C2094" s="1">
        <v>43668</v>
      </c>
      <c r="D2094" s="1" t="str" cm="1">
        <f t="array" ref="D2094">_xlfn.IFS(E2094&lt;28, "17-27",
AND(E2094&gt;27, E2094&lt;38), "28-37",
AND(E2094&gt;37, E2094 &lt;48), "38-47",
AND(E2094&gt;47, E2094 &lt;58), "48-57",
AND(E2094&gt;57, E2094&lt;68), "58-67",
AND(E2094&gt;67, E2094&lt;78), "68-77",
E2094&gt;77,"Above than 77")</f>
        <v>58-67</v>
      </c>
      <c r="E2094">
        <v>64</v>
      </c>
      <c r="F2094" s="1">
        <v>20311</v>
      </c>
      <c r="G2094" s="1" t="str">
        <f>VLOOKUP(H2094,Table7[#All], 2, FALSE)</f>
        <v>Massachusetts</v>
      </c>
      <c r="H2094" s="2" t="s">
        <v>14</v>
      </c>
      <c r="I2094" s="2" t="s">
        <v>15</v>
      </c>
      <c r="J2094" s="2" t="s">
        <v>17</v>
      </c>
      <c r="K2094" s="2" t="s">
        <v>8</v>
      </c>
      <c r="L2094" s="2" t="s">
        <v>9</v>
      </c>
      <c r="M2094" s="2" t="s">
        <v>20</v>
      </c>
      <c r="N2094" s="2" t="s">
        <v>26</v>
      </c>
      <c r="O2094" s="2" t="s">
        <v>12</v>
      </c>
      <c r="P2094" s="2" t="s">
        <v>35</v>
      </c>
      <c r="Q2094" s="2" t="s">
        <v>37</v>
      </c>
      <c r="R2094" s="2" t="s">
        <v>18</v>
      </c>
      <c r="S2094">
        <v>2</v>
      </c>
    </row>
    <row r="2095" spans="1:19" x14ac:dyDescent="0.3">
      <c r="A2095">
        <v>2878</v>
      </c>
      <c r="B2095">
        <f>YEAR(Cleaned_HR_Data_Analysis__2[[#This Row],[Joining_Date]])</f>
        <v>2021</v>
      </c>
      <c r="C2095" s="1">
        <v>44320</v>
      </c>
      <c r="D2095" s="1" t="str" cm="1">
        <f t="array" ref="D2095">_xlfn.IFS(E2095&lt;28, "17-27",
AND(E2095&gt;27, E2095&lt;38), "28-37",
AND(E2095&gt;37, E2095 &lt;48), "38-47",
AND(E2095&gt;47, E2095 &lt;58), "48-57",
AND(E2095&gt;57, E2095&lt;68), "58-67",
AND(E2095&gt;67, E2095&lt;78), "68-77",
E2095&gt;77,"Above than 77")</f>
        <v>58-67</v>
      </c>
      <c r="E2095">
        <v>64</v>
      </c>
      <c r="F2095" s="1">
        <v>21043</v>
      </c>
      <c r="G2095" s="1" t="str">
        <f>VLOOKUP(H2095,Table7[#All], 2, FALSE)</f>
        <v>Massachusetts</v>
      </c>
      <c r="H2095" s="2" t="s">
        <v>14</v>
      </c>
      <c r="I2095" s="2" t="s">
        <v>22</v>
      </c>
      <c r="J2095" s="2" t="s">
        <v>34</v>
      </c>
      <c r="K2095" s="2" t="s">
        <v>8</v>
      </c>
      <c r="L2095" s="2" t="s">
        <v>9</v>
      </c>
      <c r="M2095" s="2" t="s">
        <v>20</v>
      </c>
      <c r="N2095" s="2" t="s">
        <v>19</v>
      </c>
      <c r="O2095" s="2" t="s">
        <v>12</v>
      </c>
      <c r="P2095" s="2" t="s">
        <v>28</v>
      </c>
      <c r="Q2095" s="2" t="s">
        <v>37</v>
      </c>
      <c r="R2095" s="2" t="s">
        <v>18</v>
      </c>
      <c r="S2095">
        <v>3</v>
      </c>
    </row>
    <row r="2096" spans="1:19" x14ac:dyDescent="0.3">
      <c r="A2096">
        <v>2779</v>
      </c>
      <c r="B2096">
        <f>YEAR(Cleaned_HR_Data_Analysis__2[[#This Row],[Joining_Date]])</f>
        <v>2021</v>
      </c>
      <c r="C2096" s="1">
        <v>44538</v>
      </c>
      <c r="D2096" s="1" t="str" cm="1">
        <f t="array" ref="D2096">_xlfn.IFS(E2096&lt;28, "17-27",
AND(E2096&gt;27, E2096&lt;38), "28-37",
AND(E2096&gt;37, E2096 &lt;48), "38-47",
AND(E2096&gt;47, E2096 &lt;58), "48-57",
AND(E2096&gt;57, E2096&lt;68), "58-67",
AND(E2096&gt;67, E2096&lt;78), "68-77",
E2096&gt;77,"Above than 77")</f>
        <v>58-67</v>
      </c>
      <c r="E2096">
        <v>64</v>
      </c>
      <c r="F2096" s="1">
        <v>21017</v>
      </c>
      <c r="G2096" s="1" t="str">
        <f>VLOOKUP(H2096,Table7[#All], 2, FALSE)</f>
        <v>Massachusetts</v>
      </c>
      <c r="H2096" s="2" t="s">
        <v>14</v>
      </c>
      <c r="I2096" s="2" t="s">
        <v>22</v>
      </c>
      <c r="J2096" s="2" t="s">
        <v>34</v>
      </c>
      <c r="K2096" s="2" t="s">
        <v>8</v>
      </c>
      <c r="L2096" s="2" t="s">
        <v>9</v>
      </c>
      <c r="M2096" s="2" t="s">
        <v>10</v>
      </c>
      <c r="N2096" s="2" t="s">
        <v>19</v>
      </c>
      <c r="O2096" s="2" t="s">
        <v>12</v>
      </c>
      <c r="P2096" s="2" t="s">
        <v>35</v>
      </c>
      <c r="Q2096" s="2" t="s">
        <v>23</v>
      </c>
      <c r="R2096" s="2" t="s">
        <v>18</v>
      </c>
      <c r="S2096">
        <v>1</v>
      </c>
    </row>
    <row r="2097" spans="1:19" x14ac:dyDescent="0.3">
      <c r="A2097">
        <v>2152</v>
      </c>
      <c r="B2097">
        <f>YEAR(Cleaned_HR_Data_Analysis__2[[#This Row],[Joining_Date]])</f>
        <v>2020</v>
      </c>
      <c r="C2097" s="1">
        <v>44111</v>
      </c>
      <c r="D2097" s="1" t="str" cm="1">
        <f t="array" ref="D2097">_xlfn.IFS(E2097&lt;28, "17-27",
AND(E2097&gt;27, E2097&lt;38), "28-37",
AND(E2097&gt;37, E2097 &lt;48), "38-47",
AND(E2097&gt;47, E2097 &lt;58), "48-57",
AND(E2097&gt;57, E2097&lt;68), "58-67",
AND(E2097&gt;67, E2097&lt;78), "68-77",
E2097&gt;77,"Above than 77")</f>
        <v>58-67</v>
      </c>
      <c r="E2097">
        <v>64</v>
      </c>
      <c r="F2097" s="1">
        <v>20461</v>
      </c>
      <c r="G2097" s="1" t="str">
        <f>VLOOKUP(H2097,Table7[#All], 2, FALSE)</f>
        <v>Massachusetts</v>
      </c>
      <c r="H2097" s="2" t="s">
        <v>14</v>
      </c>
      <c r="I2097" s="2" t="s">
        <v>15</v>
      </c>
      <c r="J2097" s="2" t="s">
        <v>17</v>
      </c>
      <c r="K2097" s="2" t="s">
        <v>8</v>
      </c>
      <c r="L2097" s="2" t="s">
        <v>9</v>
      </c>
      <c r="M2097" s="2" t="s">
        <v>20</v>
      </c>
      <c r="N2097" s="2" t="s">
        <v>11</v>
      </c>
      <c r="O2097" s="2" t="s">
        <v>12</v>
      </c>
      <c r="P2097" s="2" t="s">
        <v>42</v>
      </c>
      <c r="Q2097" s="2" t="s">
        <v>16</v>
      </c>
      <c r="R2097" s="2" t="s">
        <v>41</v>
      </c>
      <c r="S2097">
        <v>1</v>
      </c>
    </row>
    <row r="2098" spans="1:19" x14ac:dyDescent="0.3">
      <c r="A2098">
        <v>2052</v>
      </c>
      <c r="B2098">
        <f>YEAR(Cleaned_HR_Data_Analysis__2[[#This Row],[Joining_Date]])</f>
        <v>2020</v>
      </c>
      <c r="C2098" s="1">
        <v>43992</v>
      </c>
      <c r="D2098" s="1" t="str" cm="1">
        <f t="array" ref="D2098">_xlfn.IFS(E2098&lt;28, "17-27",
AND(E2098&gt;27, E2098&lt;38), "28-37",
AND(E2098&gt;37, E2098 &lt;48), "38-47",
AND(E2098&gt;47, E2098 &lt;58), "48-57",
AND(E2098&gt;57, E2098&lt;68), "58-67",
AND(E2098&gt;67, E2098&lt;78), "68-77",
E2098&gt;77,"Above than 77")</f>
        <v>58-67</v>
      </c>
      <c r="E2098">
        <v>64</v>
      </c>
      <c r="F2098" s="1">
        <v>20587</v>
      </c>
      <c r="G2098" s="1" t="str">
        <f>VLOOKUP(H2098,Table7[#All], 2, FALSE)</f>
        <v>Massachusetts</v>
      </c>
      <c r="H2098" s="2" t="s">
        <v>14</v>
      </c>
      <c r="I2098" s="2" t="s">
        <v>15</v>
      </c>
      <c r="J2098" s="2" t="s">
        <v>34</v>
      </c>
      <c r="K2098" s="2" t="s">
        <v>8</v>
      </c>
      <c r="L2098" s="2" t="s">
        <v>9</v>
      </c>
      <c r="M2098" s="2" t="s">
        <v>20</v>
      </c>
      <c r="N2098" s="2" t="s">
        <v>26</v>
      </c>
      <c r="O2098" s="2" t="s">
        <v>12</v>
      </c>
      <c r="P2098" s="2" t="s">
        <v>35</v>
      </c>
      <c r="Q2098" s="2" t="s">
        <v>23</v>
      </c>
      <c r="R2098" s="2" t="s">
        <v>18</v>
      </c>
      <c r="S2098">
        <v>4</v>
      </c>
    </row>
    <row r="2099" spans="1:19" x14ac:dyDescent="0.3">
      <c r="A2099">
        <v>1983</v>
      </c>
      <c r="B2099">
        <f>YEAR(Cleaned_HR_Data_Analysis__2[[#This Row],[Joining_Date]])</f>
        <v>2020</v>
      </c>
      <c r="C2099" s="1">
        <v>43904</v>
      </c>
      <c r="D2099" s="1" t="str" cm="1">
        <f t="array" ref="D2099">_xlfn.IFS(E2099&lt;28, "17-27",
AND(E2099&gt;27, E2099&lt;38), "28-37",
AND(E2099&gt;37, E2099 &lt;48), "38-47",
AND(E2099&gt;47, E2099 &lt;58), "48-57",
AND(E2099&gt;57, E2099&lt;68), "58-67",
AND(E2099&gt;67, E2099&lt;78), "68-77",
E2099&gt;77,"Above than 77")</f>
        <v>58-67</v>
      </c>
      <c r="E2099">
        <v>64</v>
      </c>
      <c r="F2099" s="1">
        <v>20785</v>
      </c>
      <c r="G2099" s="1" t="str">
        <f>VLOOKUP(H2099,Table7[#All], 2, FALSE)</f>
        <v>Massachusetts</v>
      </c>
      <c r="H2099" s="2" t="s">
        <v>14</v>
      </c>
      <c r="I2099" s="2" t="s">
        <v>15</v>
      </c>
      <c r="J2099" s="2" t="s">
        <v>17</v>
      </c>
      <c r="K2099" s="2" t="s">
        <v>8</v>
      </c>
      <c r="L2099" s="2" t="s">
        <v>9</v>
      </c>
      <c r="M2099" s="2" t="s">
        <v>20</v>
      </c>
      <c r="N2099" s="2" t="s">
        <v>11</v>
      </c>
      <c r="O2099" s="2" t="s">
        <v>12</v>
      </c>
      <c r="P2099" s="2" t="s">
        <v>32</v>
      </c>
      <c r="Q2099" s="2" t="s">
        <v>46</v>
      </c>
      <c r="R2099" s="2" t="s">
        <v>18</v>
      </c>
      <c r="S2099">
        <v>5</v>
      </c>
    </row>
    <row r="2100" spans="1:19" x14ac:dyDescent="0.3">
      <c r="A2100">
        <v>1968</v>
      </c>
      <c r="B2100">
        <f>YEAR(Cleaned_HR_Data_Analysis__2[[#This Row],[Joining_Date]])</f>
        <v>2019</v>
      </c>
      <c r="C2100" s="1">
        <v>43709</v>
      </c>
      <c r="D2100" s="1" t="str" cm="1">
        <f t="array" ref="D2100">_xlfn.IFS(E2100&lt;28, "17-27",
AND(E2100&gt;27, E2100&lt;38), "28-37",
AND(E2100&gt;37, E2100 &lt;48), "38-47",
AND(E2100&gt;47, E2100 &lt;58), "48-57",
AND(E2100&gt;57, E2100&lt;68), "58-67",
AND(E2100&gt;67, E2100&lt;78), "68-77",
E2100&gt;77,"Above than 77")</f>
        <v>58-67</v>
      </c>
      <c r="E2100">
        <v>64</v>
      </c>
      <c r="F2100" s="1">
        <v>20269</v>
      </c>
      <c r="G2100" s="1" t="str">
        <f>VLOOKUP(H2100,Table7[#All], 2, FALSE)</f>
        <v>Massachusetts</v>
      </c>
      <c r="H2100" s="2" t="s">
        <v>14</v>
      </c>
      <c r="I2100" s="2" t="s">
        <v>15</v>
      </c>
      <c r="J2100" s="2" t="s">
        <v>17</v>
      </c>
      <c r="K2100" s="2" t="s">
        <v>8</v>
      </c>
      <c r="L2100" s="2" t="s">
        <v>9</v>
      </c>
      <c r="M2100" s="2" t="s">
        <v>25</v>
      </c>
      <c r="N2100" s="2" t="s">
        <v>26</v>
      </c>
      <c r="O2100" s="2" t="s">
        <v>12</v>
      </c>
      <c r="P2100" s="2" t="s">
        <v>32</v>
      </c>
      <c r="Q2100" s="2" t="s">
        <v>46</v>
      </c>
      <c r="R2100" s="2" t="s">
        <v>18</v>
      </c>
      <c r="S2100">
        <v>4</v>
      </c>
    </row>
    <row r="2101" spans="1:19" x14ac:dyDescent="0.3">
      <c r="A2101">
        <v>1901</v>
      </c>
      <c r="B2101">
        <f>YEAR(Cleaned_HR_Data_Analysis__2[[#This Row],[Joining_Date]])</f>
        <v>2023</v>
      </c>
      <c r="C2101" s="1">
        <v>44956</v>
      </c>
      <c r="D2101" s="1" t="str" cm="1">
        <f t="array" ref="D2101">_xlfn.IFS(E2101&lt;28, "17-27",
AND(E2101&gt;27, E2101&lt;38), "28-37",
AND(E2101&gt;37, E2101 &lt;48), "38-47",
AND(E2101&gt;47, E2101 &lt;58), "48-57",
AND(E2101&gt;57, E2101&lt;68), "58-67",
AND(E2101&gt;67, E2101&lt;78), "68-77",
E2101&gt;77,"Above than 77")</f>
        <v>58-67</v>
      </c>
      <c r="E2101">
        <v>64</v>
      </c>
      <c r="F2101" s="1">
        <v>21771</v>
      </c>
      <c r="G2101" s="1" t="str">
        <f>VLOOKUP(H2101,Table7[#All], 2, FALSE)</f>
        <v>Massachusetts</v>
      </c>
      <c r="H2101" s="2" t="s">
        <v>14</v>
      </c>
      <c r="I2101" s="2" t="s">
        <v>15</v>
      </c>
      <c r="J2101" s="2" t="s">
        <v>40</v>
      </c>
      <c r="K2101" s="2" t="s">
        <v>8</v>
      </c>
      <c r="L2101" s="2" t="s">
        <v>9</v>
      </c>
      <c r="M2101" s="2" t="s">
        <v>25</v>
      </c>
      <c r="N2101" s="2" t="s">
        <v>26</v>
      </c>
      <c r="O2101" s="2" t="s">
        <v>12</v>
      </c>
      <c r="P2101" s="2" t="s">
        <v>42</v>
      </c>
      <c r="Q2101" s="2" t="s">
        <v>16</v>
      </c>
      <c r="R2101" s="2" t="s">
        <v>18</v>
      </c>
      <c r="S2101">
        <v>1</v>
      </c>
    </row>
    <row r="2102" spans="1:19" x14ac:dyDescent="0.3">
      <c r="A2102">
        <v>1804</v>
      </c>
      <c r="B2102">
        <f>YEAR(Cleaned_HR_Data_Analysis__2[[#This Row],[Joining_Date]])</f>
        <v>2021</v>
      </c>
      <c r="C2102" s="1">
        <v>44535</v>
      </c>
      <c r="D2102" s="1" t="str" cm="1">
        <f t="array" ref="D2102">_xlfn.IFS(E2102&lt;28, "17-27",
AND(E2102&gt;27, E2102&lt;38), "28-37",
AND(E2102&gt;37, E2102 &lt;48), "38-47",
AND(E2102&gt;47, E2102 &lt;58), "48-57",
AND(E2102&gt;57, E2102&lt;68), "58-67",
AND(E2102&gt;67, E2102&lt;78), "68-77",
E2102&gt;77,"Above than 77")</f>
        <v>58-67</v>
      </c>
      <c r="E2102">
        <v>64</v>
      </c>
      <c r="F2102" s="1">
        <v>21021</v>
      </c>
      <c r="G2102" s="1" t="str">
        <f>VLOOKUP(H2102,Table7[#All], 2, FALSE)</f>
        <v>Massachusetts</v>
      </c>
      <c r="H2102" s="2" t="s">
        <v>14</v>
      </c>
      <c r="I2102" s="2" t="s">
        <v>22</v>
      </c>
      <c r="J2102" s="2" t="s">
        <v>17</v>
      </c>
      <c r="K2102" s="2" t="s">
        <v>8</v>
      </c>
      <c r="L2102" s="2" t="s">
        <v>9</v>
      </c>
      <c r="M2102" s="2" t="s">
        <v>20</v>
      </c>
      <c r="N2102" s="2" t="s">
        <v>19</v>
      </c>
      <c r="O2102" s="2" t="s">
        <v>12</v>
      </c>
      <c r="P2102" s="2" t="s">
        <v>35</v>
      </c>
      <c r="Q2102" s="2" t="s">
        <v>23</v>
      </c>
      <c r="R2102" s="2" t="s">
        <v>18</v>
      </c>
      <c r="S2102">
        <v>3</v>
      </c>
    </row>
    <row r="2103" spans="1:19" x14ac:dyDescent="0.3">
      <c r="A2103">
        <v>1772</v>
      </c>
      <c r="B2103">
        <f>YEAR(Cleaned_HR_Data_Analysis__2[[#This Row],[Joining_Date]])</f>
        <v>2018</v>
      </c>
      <c r="C2103" s="1">
        <v>43462</v>
      </c>
      <c r="D2103" s="1" t="str" cm="1">
        <f t="array" ref="D2103">_xlfn.IFS(E2103&lt;28, "17-27",
AND(E2103&gt;27, E2103&lt;38), "28-37",
AND(E2103&gt;37, E2103 &lt;48), "38-47",
AND(E2103&gt;47, E2103 &lt;58), "48-57",
AND(E2103&gt;57, E2103&lt;68), "58-67",
AND(E2103&gt;67, E2103&lt;78), "68-77",
E2103&gt;77,"Above than 77")</f>
        <v>58-67</v>
      </c>
      <c r="E2103">
        <v>64</v>
      </c>
      <c r="F2103" s="1">
        <v>19903</v>
      </c>
      <c r="G2103" s="1" t="str">
        <f>VLOOKUP(H2103,Table7[#All], 2, FALSE)</f>
        <v>Massachusetts</v>
      </c>
      <c r="H2103" s="2" t="s">
        <v>14</v>
      </c>
      <c r="I2103" s="2" t="s">
        <v>22</v>
      </c>
      <c r="J2103" s="2" t="s">
        <v>17</v>
      </c>
      <c r="K2103" s="2" t="s">
        <v>8</v>
      </c>
      <c r="L2103" s="2" t="s">
        <v>9</v>
      </c>
      <c r="M2103" s="2" t="s">
        <v>10</v>
      </c>
      <c r="N2103" s="2" t="s">
        <v>19</v>
      </c>
      <c r="O2103" s="2" t="s">
        <v>12</v>
      </c>
      <c r="P2103" s="2" t="s">
        <v>32</v>
      </c>
      <c r="Q2103" s="2" t="s">
        <v>46</v>
      </c>
      <c r="R2103" s="2" t="s">
        <v>18</v>
      </c>
      <c r="S2103">
        <v>4</v>
      </c>
    </row>
    <row r="2104" spans="1:19" x14ac:dyDescent="0.3">
      <c r="A2104">
        <v>1736</v>
      </c>
      <c r="B2104">
        <f>YEAR(Cleaned_HR_Data_Analysis__2[[#This Row],[Joining_Date]])</f>
        <v>2019</v>
      </c>
      <c r="C2104" s="1">
        <v>43494</v>
      </c>
      <c r="D2104" s="1" t="str" cm="1">
        <f t="array" ref="D2104">_xlfn.IFS(E2104&lt;28, "17-27",
AND(E2104&gt;27, E2104&lt;38), "28-37",
AND(E2104&gt;37, E2104 &lt;48), "38-47",
AND(E2104&gt;47, E2104 &lt;58), "48-57",
AND(E2104&gt;57, E2104&lt;68), "58-67",
AND(E2104&gt;67, E2104&lt;78), "68-77",
E2104&gt;77,"Above than 77")</f>
        <v>58-67</v>
      </c>
      <c r="E2104">
        <v>64</v>
      </c>
      <c r="F2104" s="1">
        <v>20326</v>
      </c>
      <c r="G2104" s="1" t="str">
        <f>VLOOKUP(H2104,Table7[#All], 2, FALSE)</f>
        <v>Massachusetts</v>
      </c>
      <c r="H2104" s="2" t="s">
        <v>14</v>
      </c>
      <c r="I2104" s="2" t="s">
        <v>22</v>
      </c>
      <c r="J2104" s="2" t="s">
        <v>34</v>
      </c>
      <c r="K2104" s="2" t="s">
        <v>8</v>
      </c>
      <c r="L2104" s="2" t="s">
        <v>9</v>
      </c>
      <c r="M2104" s="2" t="s">
        <v>10</v>
      </c>
      <c r="N2104" s="2" t="s">
        <v>19</v>
      </c>
      <c r="O2104" s="2" t="s">
        <v>12</v>
      </c>
      <c r="P2104" s="2" t="s">
        <v>35</v>
      </c>
      <c r="Q2104" s="2" t="s">
        <v>30</v>
      </c>
      <c r="R2104" s="2" t="s">
        <v>18</v>
      </c>
      <c r="S2104">
        <v>1</v>
      </c>
    </row>
    <row r="2105" spans="1:19" x14ac:dyDescent="0.3">
      <c r="A2105">
        <v>1392</v>
      </c>
      <c r="B2105">
        <f>YEAR(Cleaned_HR_Data_Analysis__2[[#This Row],[Joining_Date]])</f>
        <v>2019</v>
      </c>
      <c r="C2105" s="1">
        <v>43623</v>
      </c>
      <c r="D2105" s="1" t="str" cm="1">
        <f t="array" ref="D2105">_xlfn.IFS(E2105&lt;28, "17-27",
AND(E2105&gt;27, E2105&lt;38), "28-37",
AND(E2105&gt;37, E2105 &lt;48), "38-47",
AND(E2105&gt;47, E2105 &lt;58), "48-57",
AND(E2105&gt;57, E2105&lt;68), "58-67",
AND(E2105&gt;67, E2105&lt;78), "68-77",
E2105&gt;77,"Above than 77")</f>
        <v>58-67</v>
      </c>
      <c r="E2105">
        <v>64</v>
      </c>
      <c r="F2105" s="1">
        <v>20145</v>
      </c>
      <c r="G2105" s="1" t="str">
        <f>VLOOKUP(H2105,Table7[#All], 2, FALSE)</f>
        <v>Massachusetts</v>
      </c>
      <c r="H2105" s="2" t="s">
        <v>14</v>
      </c>
      <c r="I2105" s="2" t="s">
        <v>15</v>
      </c>
      <c r="J2105" s="2" t="s">
        <v>17</v>
      </c>
      <c r="K2105" s="2" t="s">
        <v>8</v>
      </c>
      <c r="L2105" s="2" t="s">
        <v>9</v>
      </c>
      <c r="M2105" s="2" t="s">
        <v>20</v>
      </c>
      <c r="N2105" s="2" t="s">
        <v>19</v>
      </c>
      <c r="O2105" s="2" t="s">
        <v>12</v>
      </c>
      <c r="P2105" s="2" t="s">
        <v>35</v>
      </c>
      <c r="Q2105" s="2" t="s">
        <v>23</v>
      </c>
      <c r="R2105" s="2" t="s">
        <v>41</v>
      </c>
      <c r="S2105">
        <v>4</v>
      </c>
    </row>
    <row r="2106" spans="1:19" x14ac:dyDescent="0.3">
      <c r="A2106">
        <v>1390</v>
      </c>
      <c r="B2106">
        <f>YEAR(Cleaned_HR_Data_Analysis__2[[#This Row],[Joining_Date]])</f>
        <v>2019</v>
      </c>
      <c r="C2106" s="1">
        <v>43476</v>
      </c>
      <c r="D2106" s="1" t="str" cm="1">
        <f t="array" ref="D2106">_xlfn.IFS(E2106&lt;28, "17-27",
AND(E2106&gt;27, E2106&lt;38), "28-37",
AND(E2106&gt;37, E2106 &lt;48), "38-47",
AND(E2106&gt;47, E2106 &lt;58), "48-57",
AND(E2106&gt;57, E2106&lt;68), "58-67",
AND(E2106&gt;67, E2106&lt;78), "68-77",
E2106&gt;77,"Above than 77")</f>
        <v>58-67</v>
      </c>
      <c r="E2106">
        <v>64</v>
      </c>
      <c r="F2106" s="1">
        <v>20444</v>
      </c>
      <c r="G2106" s="1" t="str">
        <f>VLOOKUP(H2106,Table7[#All], 2, FALSE)</f>
        <v>Massachusetts</v>
      </c>
      <c r="H2106" s="2" t="s">
        <v>14</v>
      </c>
      <c r="I2106" s="2" t="s">
        <v>22</v>
      </c>
      <c r="J2106" s="2" t="s">
        <v>34</v>
      </c>
      <c r="K2106" s="2" t="s">
        <v>8</v>
      </c>
      <c r="L2106" s="2" t="s">
        <v>9</v>
      </c>
      <c r="M2106" s="2" t="s">
        <v>10</v>
      </c>
      <c r="N2106" s="2" t="s">
        <v>11</v>
      </c>
      <c r="O2106" s="2" t="s">
        <v>12</v>
      </c>
      <c r="P2106" s="2" t="s">
        <v>32</v>
      </c>
      <c r="Q2106" s="2" t="s">
        <v>46</v>
      </c>
      <c r="R2106" s="2" t="s">
        <v>41</v>
      </c>
      <c r="S2106">
        <v>3</v>
      </c>
    </row>
    <row r="2107" spans="1:19" x14ac:dyDescent="0.3">
      <c r="A2107">
        <v>1242</v>
      </c>
      <c r="B2107">
        <f>YEAR(Cleaned_HR_Data_Analysis__2[[#This Row],[Joining_Date]])</f>
        <v>2023</v>
      </c>
      <c r="C2107" s="1">
        <v>45040</v>
      </c>
      <c r="D2107" s="1" t="str" cm="1">
        <f t="array" ref="D2107">_xlfn.IFS(E2107&lt;28, "17-27",
AND(E2107&gt;27, E2107&lt;38), "28-37",
AND(E2107&gt;37, E2107 &lt;48), "38-47",
AND(E2107&gt;47, E2107 &lt;58), "48-57",
AND(E2107&gt;57, E2107&lt;68), "58-67",
AND(E2107&gt;67, E2107&lt;78), "68-77",
E2107&gt;77,"Above than 77")</f>
        <v>58-67</v>
      </c>
      <c r="E2107">
        <v>64</v>
      </c>
      <c r="F2107" s="1">
        <v>21627</v>
      </c>
      <c r="G2107" s="1" t="str">
        <f>VLOOKUP(H2107,Table7[#All], 2, FALSE)</f>
        <v>Massachusetts</v>
      </c>
      <c r="H2107" s="2" t="s">
        <v>14</v>
      </c>
      <c r="I2107" s="2" t="s">
        <v>15</v>
      </c>
      <c r="J2107" s="2" t="s">
        <v>34</v>
      </c>
      <c r="K2107" s="2" t="s">
        <v>8</v>
      </c>
      <c r="L2107" s="2" t="s">
        <v>9</v>
      </c>
      <c r="M2107" s="2" t="s">
        <v>25</v>
      </c>
      <c r="N2107" s="2" t="s">
        <v>11</v>
      </c>
      <c r="O2107" s="2" t="s">
        <v>12</v>
      </c>
      <c r="P2107" s="2" t="s">
        <v>59</v>
      </c>
      <c r="Q2107" s="2" t="s">
        <v>16</v>
      </c>
      <c r="R2107" s="2" t="s">
        <v>18</v>
      </c>
      <c r="S2107">
        <v>4</v>
      </c>
    </row>
    <row r="2108" spans="1:19" x14ac:dyDescent="0.3">
      <c r="A2108">
        <v>1205</v>
      </c>
      <c r="B2108">
        <f>YEAR(Cleaned_HR_Data_Analysis__2[[#This Row],[Joining_Date]])</f>
        <v>2020</v>
      </c>
      <c r="C2108" s="1">
        <v>44035</v>
      </c>
      <c r="D2108" s="1" t="str" cm="1">
        <f t="array" ref="D2108">_xlfn.IFS(E2108&lt;28, "17-27",
AND(E2108&gt;27, E2108&lt;38), "28-37",
AND(E2108&gt;37, E2108 &lt;48), "38-47",
AND(E2108&gt;47, E2108 &lt;58), "48-57",
AND(E2108&gt;57, E2108&lt;68), "58-67",
AND(E2108&gt;67, E2108&lt;78), "68-77",
E2108&gt;77,"Above than 77")</f>
        <v>58-67</v>
      </c>
      <c r="E2108">
        <v>64</v>
      </c>
      <c r="F2108" s="1">
        <v>20579</v>
      </c>
      <c r="G2108" s="1" t="str">
        <f>VLOOKUP(H2108,Table7[#All], 2, FALSE)</f>
        <v>Massachusetts</v>
      </c>
      <c r="H2108" s="2" t="s">
        <v>14</v>
      </c>
      <c r="I2108" s="2" t="s">
        <v>15</v>
      </c>
      <c r="J2108" s="2" t="s">
        <v>31</v>
      </c>
      <c r="K2108" s="2" t="s">
        <v>8</v>
      </c>
      <c r="L2108" s="2" t="s">
        <v>9</v>
      </c>
      <c r="M2108" s="2" t="s">
        <v>25</v>
      </c>
      <c r="N2108" s="2" t="s">
        <v>11</v>
      </c>
      <c r="O2108" s="2" t="s">
        <v>12</v>
      </c>
      <c r="P2108" s="2" t="s">
        <v>63</v>
      </c>
      <c r="Q2108" s="2" t="s">
        <v>23</v>
      </c>
      <c r="R2108" s="2" t="s">
        <v>18</v>
      </c>
      <c r="S2108">
        <v>1</v>
      </c>
    </row>
    <row r="2109" spans="1:19" x14ac:dyDescent="0.3">
      <c r="A2109">
        <v>1103</v>
      </c>
      <c r="B2109">
        <f>YEAR(Cleaned_HR_Data_Analysis__2[[#This Row],[Joining_Date]])</f>
        <v>2021</v>
      </c>
      <c r="C2109" s="1">
        <v>44297</v>
      </c>
      <c r="D2109" s="1" t="str" cm="1">
        <f t="array" ref="D2109">_xlfn.IFS(E2109&lt;28, "17-27",
AND(E2109&gt;27, E2109&lt;38), "28-37",
AND(E2109&gt;37, E2109 &lt;48), "38-47",
AND(E2109&gt;47, E2109 &lt;58), "48-57",
AND(E2109&gt;57, E2109&lt;68), "58-67",
AND(E2109&gt;67, E2109&lt;78), "68-77",
E2109&gt;77,"Above than 77")</f>
        <v>58-67</v>
      </c>
      <c r="E2109">
        <v>64</v>
      </c>
      <c r="F2109" s="1">
        <v>20912</v>
      </c>
      <c r="G2109" s="1" t="str">
        <f>VLOOKUP(H2109,Table7[#All], 2, FALSE)</f>
        <v>Massachusetts</v>
      </c>
      <c r="H2109" s="2" t="s">
        <v>14</v>
      </c>
      <c r="I2109" s="2" t="s">
        <v>22</v>
      </c>
      <c r="J2109" s="2" t="s">
        <v>17</v>
      </c>
      <c r="K2109" s="2" t="s">
        <v>8</v>
      </c>
      <c r="L2109" s="2" t="s">
        <v>66</v>
      </c>
      <c r="M2109" s="2" t="s">
        <v>25</v>
      </c>
      <c r="N2109" s="2" t="s">
        <v>11</v>
      </c>
      <c r="O2109" s="2" t="s">
        <v>12</v>
      </c>
      <c r="P2109" s="2" t="s">
        <v>49</v>
      </c>
      <c r="Q2109" s="2" t="s">
        <v>46</v>
      </c>
      <c r="R2109" s="2" t="s">
        <v>18</v>
      </c>
      <c r="S2109">
        <v>3</v>
      </c>
    </row>
    <row r="2110" spans="1:19" x14ac:dyDescent="0.3">
      <c r="A2110">
        <v>2474</v>
      </c>
      <c r="B2110">
        <f>YEAR(Cleaned_HR_Data_Analysis__2[[#This Row],[Joining_Date]])</f>
        <v>2023</v>
      </c>
      <c r="C2110" s="1">
        <v>44997</v>
      </c>
      <c r="D2110" s="1" t="str" cm="1">
        <f t="array" ref="D2110">_xlfn.IFS(E2110&lt;28, "17-27",
AND(E2110&gt;27, E2110&lt;38), "28-37",
AND(E2110&gt;37, E2110 &lt;48), "38-47",
AND(E2110&gt;47, E2110 &lt;58), "48-57",
AND(E2110&gt;57, E2110&lt;68), "58-67",
AND(E2110&gt;67, E2110&lt;78), "68-77",
E2110&gt;77,"Above than 77")</f>
        <v>58-67</v>
      </c>
      <c r="E2110">
        <v>64</v>
      </c>
      <c r="F2110" s="1">
        <v>21563</v>
      </c>
      <c r="G2110" s="1" t="str">
        <f>VLOOKUP(H2110,Table7[#All], 2, FALSE)</f>
        <v>Massachusetts</v>
      </c>
      <c r="H2110" s="2" t="s">
        <v>14</v>
      </c>
      <c r="I2110" s="2" t="s">
        <v>22</v>
      </c>
      <c r="J2110" s="2" t="s">
        <v>34</v>
      </c>
      <c r="K2110" s="2" t="s">
        <v>91</v>
      </c>
      <c r="L2110" s="2" t="s">
        <v>9</v>
      </c>
      <c r="M2110" s="2" t="s">
        <v>10</v>
      </c>
      <c r="N2110" s="2" t="s">
        <v>19</v>
      </c>
      <c r="O2110" s="2" t="s">
        <v>12</v>
      </c>
      <c r="P2110" s="2" t="s">
        <v>35</v>
      </c>
      <c r="Q2110" s="2" t="s">
        <v>37</v>
      </c>
      <c r="R2110" s="2" t="s">
        <v>18</v>
      </c>
      <c r="S2110">
        <v>5</v>
      </c>
    </row>
    <row r="2111" spans="1:19" x14ac:dyDescent="0.3">
      <c r="A2111">
        <v>2436</v>
      </c>
      <c r="B2111">
        <f>YEAR(Cleaned_HR_Data_Analysis__2[[#This Row],[Joining_Date]])</f>
        <v>2022</v>
      </c>
      <c r="C2111" s="1">
        <v>44925</v>
      </c>
      <c r="D2111" s="1" t="str" cm="1">
        <f t="array" ref="D2111">_xlfn.IFS(E2111&lt;28, "17-27",
AND(E2111&gt;27, E2111&lt;38), "28-37",
AND(E2111&gt;37, E2111 &lt;48), "38-47",
AND(E2111&gt;47, E2111 &lt;58), "48-57",
AND(E2111&gt;57, E2111&lt;68), "58-67",
AND(E2111&gt;67, E2111&lt;78), "68-77",
E2111&gt;77,"Above than 77")</f>
        <v>58-67</v>
      </c>
      <c r="E2111">
        <v>64</v>
      </c>
      <c r="F2111" s="1">
        <v>21298</v>
      </c>
      <c r="G2111" s="1" t="str">
        <f>VLOOKUP(H2111,Table7[#All], 2, FALSE)</f>
        <v>Massachusetts</v>
      </c>
      <c r="H2111" s="2" t="s">
        <v>14</v>
      </c>
      <c r="I2111" s="2" t="s">
        <v>22</v>
      </c>
      <c r="J2111" s="2" t="s">
        <v>17</v>
      </c>
      <c r="K2111" s="2" t="s">
        <v>91</v>
      </c>
      <c r="L2111" s="2" t="s">
        <v>66</v>
      </c>
      <c r="M2111" s="2" t="s">
        <v>25</v>
      </c>
      <c r="N2111" s="2" t="s">
        <v>26</v>
      </c>
      <c r="O2111" s="2" t="s">
        <v>12</v>
      </c>
      <c r="P2111" s="2" t="s">
        <v>35</v>
      </c>
      <c r="Q2111" s="2" t="s">
        <v>46</v>
      </c>
      <c r="R2111" s="2" t="s">
        <v>18</v>
      </c>
      <c r="S2111">
        <v>3</v>
      </c>
    </row>
    <row r="2112" spans="1:19" x14ac:dyDescent="0.3">
      <c r="A2112">
        <v>2304</v>
      </c>
      <c r="B2112">
        <f>YEAR(Cleaned_HR_Data_Analysis__2[[#This Row],[Joining_Date]])</f>
        <v>2021</v>
      </c>
      <c r="C2112" s="1">
        <v>44297</v>
      </c>
      <c r="D2112" s="1" t="str" cm="1">
        <f t="array" ref="D2112">_xlfn.IFS(E2112&lt;28, "17-27",
AND(E2112&gt;27, E2112&lt;38), "28-37",
AND(E2112&gt;37, E2112 &lt;48), "38-47",
AND(E2112&gt;47, E2112 &lt;58), "48-57",
AND(E2112&gt;57, E2112&lt;68), "58-67",
AND(E2112&gt;67, E2112&lt;78), "68-77",
E2112&gt;77,"Above than 77")</f>
        <v>58-67</v>
      </c>
      <c r="E2112">
        <v>64</v>
      </c>
      <c r="F2112" s="1">
        <v>20931</v>
      </c>
      <c r="G2112" s="1" t="str">
        <f>VLOOKUP(H2112,Table7[#All], 2, FALSE)</f>
        <v>Massachusetts</v>
      </c>
      <c r="H2112" s="2" t="s">
        <v>14</v>
      </c>
      <c r="I2112" s="2" t="s">
        <v>15</v>
      </c>
      <c r="J2112" s="2" t="s">
        <v>40</v>
      </c>
      <c r="K2112" s="2" t="s">
        <v>94</v>
      </c>
      <c r="L2112" s="2" t="s">
        <v>9</v>
      </c>
      <c r="M2112" s="2" t="s">
        <v>25</v>
      </c>
      <c r="N2112" s="2" t="s">
        <v>26</v>
      </c>
      <c r="O2112" s="2" t="s">
        <v>12</v>
      </c>
      <c r="P2112" s="2" t="s">
        <v>32</v>
      </c>
      <c r="Q2112" s="2" t="s">
        <v>16</v>
      </c>
      <c r="R2112" s="2" t="s">
        <v>18</v>
      </c>
      <c r="S2112">
        <v>1</v>
      </c>
    </row>
    <row r="2113" spans="1:19" x14ac:dyDescent="0.3">
      <c r="A2113">
        <v>1316</v>
      </c>
      <c r="B2113">
        <f>YEAR(Cleaned_HR_Data_Analysis__2[[#This Row],[Joining_Date]])</f>
        <v>2019</v>
      </c>
      <c r="C2113" s="1">
        <v>43485</v>
      </c>
      <c r="D2113" s="1" t="str" cm="1">
        <f t="array" ref="D2113">_xlfn.IFS(E2113&lt;28, "17-27",
AND(E2113&gt;27, E2113&lt;38), "28-37",
AND(E2113&gt;37, E2113 &lt;48), "38-47",
AND(E2113&gt;47, E2113 &lt;58), "48-57",
AND(E2113&gt;57, E2113&lt;68), "58-67",
AND(E2113&gt;67, E2113&lt;78), "68-77",
E2113&gt;77,"Above than 77")</f>
        <v>58-67</v>
      </c>
      <c r="E2113">
        <v>64</v>
      </c>
      <c r="F2113" s="1">
        <v>20386</v>
      </c>
      <c r="G2113" s="1" t="str">
        <f>VLOOKUP(H2113,Table7[#All], 2, FALSE)</f>
        <v>Massachusetts</v>
      </c>
      <c r="H2113" s="2" t="s">
        <v>14</v>
      </c>
      <c r="I2113" s="2" t="s">
        <v>15</v>
      </c>
      <c r="J2113" s="2" t="s">
        <v>31</v>
      </c>
      <c r="K2113" s="2" t="s">
        <v>94</v>
      </c>
      <c r="L2113" s="2" t="s">
        <v>9</v>
      </c>
      <c r="M2113" s="2" t="s">
        <v>20</v>
      </c>
      <c r="N2113" s="2" t="s">
        <v>19</v>
      </c>
      <c r="O2113" s="2" t="s">
        <v>73</v>
      </c>
      <c r="P2113" s="2" t="s">
        <v>21</v>
      </c>
      <c r="Q2113" s="2" t="s">
        <v>46</v>
      </c>
      <c r="R2113" s="2" t="s">
        <v>18</v>
      </c>
      <c r="S2113">
        <v>4</v>
      </c>
    </row>
    <row r="2114" spans="1:19" x14ac:dyDescent="0.3">
      <c r="A2114">
        <v>3894</v>
      </c>
      <c r="B2114">
        <f>YEAR(Cleaned_HR_Data_Analysis__2[[#This Row],[Joining_Date]])</f>
        <v>2023</v>
      </c>
      <c r="C2114" s="1">
        <v>45075</v>
      </c>
      <c r="D2114" s="1" t="str" cm="1">
        <f t="array" ref="D2114">_xlfn.IFS(E2114&lt;28, "17-27",
AND(E2114&gt;27, E2114&lt;38), "28-37",
AND(E2114&gt;37, E2114 &lt;48), "38-47",
AND(E2114&gt;47, E2114 &lt;58), "48-57",
AND(E2114&gt;57, E2114&lt;68), "58-67",
AND(E2114&gt;67, E2114&lt;78), "68-77",
E2114&gt;77,"Above than 77")</f>
        <v>58-67</v>
      </c>
      <c r="E2114">
        <v>64</v>
      </c>
      <c r="F2114" s="1">
        <v>21611</v>
      </c>
      <c r="G2114" s="1" t="str">
        <f>VLOOKUP(H2114,Table7[#All], 2, FALSE)</f>
        <v>Massachusetts</v>
      </c>
      <c r="H2114" s="2" t="s">
        <v>14</v>
      </c>
      <c r="I2114" s="2" t="s">
        <v>15</v>
      </c>
      <c r="J2114" s="2" t="s">
        <v>34</v>
      </c>
      <c r="K2114" s="2" t="s">
        <v>70</v>
      </c>
      <c r="L2114" s="2" t="s">
        <v>9</v>
      </c>
      <c r="M2114" s="2" t="s">
        <v>25</v>
      </c>
      <c r="N2114" s="2" t="s">
        <v>19</v>
      </c>
      <c r="O2114" s="2" t="s">
        <v>53</v>
      </c>
      <c r="P2114" s="2" t="s">
        <v>21</v>
      </c>
      <c r="Q2114" s="2" t="s">
        <v>37</v>
      </c>
      <c r="R2114" s="2" t="s">
        <v>18</v>
      </c>
      <c r="S2114">
        <v>3</v>
      </c>
    </row>
    <row r="2115" spans="1:19" x14ac:dyDescent="0.3">
      <c r="A2115">
        <v>2254</v>
      </c>
      <c r="B2115">
        <f>YEAR(Cleaned_HR_Data_Analysis__2[[#This Row],[Joining_Date]])</f>
        <v>2021</v>
      </c>
      <c r="C2115" s="1">
        <v>44214</v>
      </c>
      <c r="D2115" s="1" t="str" cm="1">
        <f t="array" ref="D2115">_xlfn.IFS(E2115&lt;28, "17-27",
AND(E2115&gt;27, E2115&lt;38), "28-37",
AND(E2115&gt;37, E2115 &lt;48), "38-47",
AND(E2115&gt;47, E2115 &lt;58), "48-57",
AND(E2115&gt;57, E2115&lt;68), "58-67",
AND(E2115&gt;67, E2115&lt;78), "68-77",
E2115&gt;77,"Above than 77")</f>
        <v>58-67</v>
      </c>
      <c r="E2115">
        <v>64</v>
      </c>
      <c r="F2115" s="1">
        <v>21120</v>
      </c>
      <c r="G2115" s="1" t="str">
        <f>VLOOKUP(H2115,Table7[#All], 2, FALSE)</f>
        <v>Massachusetts</v>
      </c>
      <c r="H2115" s="2" t="s">
        <v>14</v>
      </c>
      <c r="I2115" s="2" t="s">
        <v>15</v>
      </c>
      <c r="J2115" s="2" t="s">
        <v>31</v>
      </c>
      <c r="K2115" s="2" t="s">
        <v>70</v>
      </c>
      <c r="L2115" s="2" t="s">
        <v>9</v>
      </c>
      <c r="M2115" s="2" t="s">
        <v>25</v>
      </c>
      <c r="N2115" s="2" t="s">
        <v>19</v>
      </c>
      <c r="O2115" s="2" t="s">
        <v>53</v>
      </c>
      <c r="P2115" s="2" t="s">
        <v>28</v>
      </c>
      <c r="Q2115" s="2" t="s">
        <v>23</v>
      </c>
      <c r="R2115" s="2" t="s">
        <v>18</v>
      </c>
      <c r="S2115">
        <v>2</v>
      </c>
    </row>
    <row r="2116" spans="1:19" x14ac:dyDescent="0.3">
      <c r="A2116">
        <v>2273</v>
      </c>
      <c r="B2116">
        <f>YEAR(Cleaned_HR_Data_Analysis__2[[#This Row],[Joining_Date]])</f>
        <v>2020</v>
      </c>
      <c r="C2116" s="1">
        <v>43856</v>
      </c>
      <c r="D2116" s="1" t="str" cm="1">
        <f t="array" ref="D2116">_xlfn.IFS(E2116&lt;28, "17-27",
AND(E2116&gt;27, E2116&lt;38), "28-37",
AND(E2116&gt;37, E2116 &lt;48), "38-47",
AND(E2116&gt;47, E2116 &lt;58), "48-57",
AND(E2116&gt;57, E2116&lt;68), "58-67",
AND(E2116&gt;67, E2116&lt;78), "68-77",
E2116&gt;77,"Above than 77")</f>
        <v>58-67</v>
      </c>
      <c r="E2116">
        <v>64</v>
      </c>
      <c r="F2116" s="1">
        <v>20591</v>
      </c>
      <c r="G2116" s="1" t="str">
        <f>VLOOKUP(H2116,Table7[#All], 2, FALSE)</f>
        <v>Connecticut</v>
      </c>
      <c r="H2116" s="2" t="s">
        <v>36</v>
      </c>
      <c r="I2116" s="2" t="s">
        <v>22</v>
      </c>
      <c r="J2116" s="2" t="s">
        <v>40</v>
      </c>
      <c r="K2116" s="2" t="s">
        <v>70</v>
      </c>
      <c r="L2116" s="2" t="s">
        <v>9</v>
      </c>
      <c r="M2116" s="2" t="s">
        <v>25</v>
      </c>
      <c r="N2116" s="2" t="s">
        <v>19</v>
      </c>
      <c r="O2116" s="2" t="s">
        <v>53</v>
      </c>
      <c r="P2116" s="2" t="s">
        <v>57</v>
      </c>
      <c r="Q2116" s="2" t="s">
        <v>30</v>
      </c>
      <c r="R2116" s="2" t="s">
        <v>18</v>
      </c>
      <c r="S2116">
        <v>2</v>
      </c>
    </row>
    <row r="2117" spans="1:19" x14ac:dyDescent="0.3">
      <c r="A2117">
        <v>2261</v>
      </c>
      <c r="B2117">
        <f>YEAR(Cleaned_HR_Data_Analysis__2[[#This Row],[Joining_Date]])</f>
        <v>2022</v>
      </c>
      <c r="C2117" s="1">
        <v>44713</v>
      </c>
      <c r="D2117" s="1" t="str" cm="1">
        <f t="array" ref="D2117">_xlfn.IFS(E2117&lt;28, "17-27",
AND(E2117&gt;27, E2117&lt;38), "28-37",
AND(E2117&gt;37, E2117 &lt;48), "38-47",
AND(E2117&gt;47, E2117 &lt;58), "48-57",
AND(E2117&gt;57, E2117&lt;68), "58-67",
AND(E2117&gt;67, E2117&lt;78), "68-77",
E2117&gt;77,"Above than 77")</f>
        <v>58-67</v>
      </c>
      <c r="E2117">
        <v>64</v>
      </c>
      <c r="F2117" s="1">
        <v>21337</v>
      </c>
      <c r="G2117" s="1" t="str">
        <f>VLOOKUP(H2117,Table7[#All], 2, FALSE)</f>
        <v>Connecticut</v>
      </c>
      <c r="H2117" s="2" t="s">
        <v>36</v>
      </c>
      <c r="I2117" s="2" t="s">
        <v>15</v>
      </c>
      <c r="J2117" s="2" t="s">
        <v>40</v>
      </c>
      <c r="K2117" s="2" t="s">
        <v>70</v>
      </c>
      <c r="L2117" s="2" t="s">
        <v>9</v>
      </c>
      <c r="M2117" s="2" t="s">
        <v>25</v>
      </c>
      <c r="N2117" s="2" t="s">
        <v>26</v>
      </c>
      <c r="O2117" s="2" t="s">
        <v>53</v>
      </c>
      <c r="P2117" s="2" t="s">
        <v>59</v>
      </c>
      <c r="Q2117" s="2" t="s">
        <v>37</v>
      </c>
      <c r="R2117" s="2" t="s">
        <v>18</v>
      </c>
      <c r="S2117">
        <v>1</v>
      </c>
    </row>
    <row r="2118" spans="1:19" x14ac:dyDescent="0.3">
      <c r="A2118">
        <v>2427</v>
      </c>
      <c r="B2118">
        <f>YEAR(Cleaned_HR_Data_Analysis__2[[#This Row],[Joining_Date]])</f>
        <v>2020</v>
      </c>
      <c r="C2118" s="1">
        <v>43847</v>
      </c>
      <c r="D2118" s="1" t="str" cm="1">
        <f t="array" ref="D2118">_xlfn.IFS(E2118&lt;28, "17-27",
AND(E2118&gt;27, E2118&lt;38), "28-37",
AND(E2118&gt;37, E2118 &lt;48), "38-47",
AND(E2118&gt;47, E2118 &lt;58), "48-57",
AND(E2118&gt;57, E2118&lt;68), "58-67",
AND(E2118&gt;67, E2118&lt;78), "68-77",
E2118&gt;77,"Above than 77")</f>
        <v>58-67</v>
      </c>
      <c r="E2118">
        <v>64</v>
      </c>
      <c r="F2118" s="1">
        <v>20781</v>
      </c>
      <c r="G2118" s="1" t="str">
        <f>VLOOKUP(H2118,Table7[#All], 2, FALSE)</f>
        <v>Massachusetts</v>
      </c>
      <c r="H2118" s="2" t="s">
        <v>14</v>
      </c>
      <c r="I2118" s="2" t="s">
        <v>15</v>
      </c>
      <c r="J2118" s="2" t="s">
        <v>40</v>
      </c>
      <c r="K2118" s="2" t="s">
        <v>78</v>
      </c>
      <c r="L2118" s="2" t="s">
        <v>9</v>
      </c>
      <c r="M2118" s="2" t="s">
        <v>20</v>
      </c>
      <c r="N2118" s="2" t="s">
        <v>11</v>
      </c>
      <c r="O2118" s="2" t="s">
        <v>53</v>
      </c>
      <c r="P2118" s="2" t="s">
        <v>35</v>
      </c>
      <c r="Q2118" s="2" t="s">
        <v>46</v>
      </c>
      <c r="R2118" s="2" t="s">
        <v>18</v>
      </c>
      <c r="S2118">
        <v>2</v>
      </c>
    </row>
    <row r="2119" spans="1:19" x14ac:dyDescent="0.3">
      <c r="A2119">
        <v>2330</v>
      </c>
      <c r="B2119">
        <f>YEAR(Cleaned_HR_Data_Analysis__2[[#This Row],[Joining_Date]])</f>
        <v>2021</v>
      </c>
      <c r="C2119" s="1">
        <v>44485</v>
      </c>
      <c r="D2119" s="1" t="str" cm="1">
        <f t="array" ref="D2119">_xlfn.IFS(E2119&lt;28, "17-27",
AND(E2119&gt;27, E2119&lt;38), "28-37",
AND(E2119&gt;37, E2119 &lt;48), "38-47",
AND(E2119&gt;47, E2119 &lt;58), "48-57",
AND(E2119&gt;57, E2119&lt;68), "58-67",
AND(E2119&gt;67, E2119&lt;78), "68-77",
E2119&gt;77,"Above than 77")</f>
        <v>58-67</v>
      </c>
      <c r="E2119">
        <v>64</v>
      </c>
      <c r="F2119" s="1">
        <v>21167</v>
      </c>
      <c r="G2119" s="1" t="str">
        <f>VLOOKUP(H2119,Table7[#All], 2, FALSE)</f>
        <v>Massachusetts</v>
      </c>
      <c r="H2119" s="2" t="s">
        <v>14</v>
      </c>
      <c r="I2119" s="2" t="s">
        <v>22</v>
      </c>
      <c r="J2119" s="2" t="s">
        <v>34</v>
      </c>
      <c r="K2119" s="2" t="s">
        <v>78</v>
      </c>
      <c r="L2119" s="2" t="s">
        <v>9</v>
      </c>
      <c r="M2119" s="2" t="s">
        <v>25</v>
      </c>
      <c r="N2119" s="2" t="s">
        <v>11</v>
      </c>
      <c r="O2119" s="2" t="s">
        <v>12</v>
      </c>
      <c r="P2119" s="2" t="s">
        <v>44</v>
      </c>
      <c r="Q2119" s="2" t="s">
        <v>30</v>
      </c>
      <c r="R2119" s="2" t="s">
        <v>18</v>
      </c>
      <c r="S2119">
        <v>4</v>
      </c>
    </row>
    <row r="2120" spans="1:19" x14ac:dyDescent="0.3">
      <c r="A2120">
        <v>1724</v>
      </c>
      <c r="B2120">
        <f>YEAR(Cleaned_HR_Data_Analysis__2[[#This Row],[Joining_Date]])</f>
        <v>2021</v>
      </c>
      <c r="C2120" s="1">
        <v>44329</v>
      </c>
      <c r="D2120" s="1" t="str" cm="1">
        <f t="array" ref="D2120">_xlfn.IFS(E2120&lt;28, "17-27",
AND(E2120&gt;27, E2120&lt;38), "28-37",
AND(E2120&gt;37, E2120 &lt;48), "38-47",
AND(E2120&gt;47, E2120 &lt;58), "48-57",
AND(E2120&gt;57, E2120&lt;68), "58-67",
AND(E2120&gt;67, E2120&lt;78), "68-77",
E2120&gt;77,"Above than 77")</f>
        <v>58-67</v>
      </c>
      <c r="E2120">
        <v>64</v>
      </c>
      <c r="F2120" s="1">
        <v>21113</v>
      </c>
      <c r="G2120" s="1" t="str">
        <f>VLOOKUP(H2120,Table7[#All], 2, FALSE)</f>
        <v>Massachusetts</v>
      </c>
      <c r="H2120" s="2" t="s">
        <v>14</v>
      </c>
      <c r="I2120" s="2" t="s">
        <v>15</v>
      </c>
      <c r="J2120" s="2" t="s">
        <v>40</v>
      </c>
      <c r="K2120" s="2" t="s">
        <v>82</v>
      </c>
      <c r="L2120" s="2" t="s">
        <v>9</v>
      </c>
      <c r="M2120" s="2" t="s">
        <v>20</v>
      </c>
      <c r="N2120" s="2" t="s">
        <v>11</v>
      </c>
      <c r="O2120" s="2" t="s">
        <v>53</v>
      </c>
      <c r="P2120" s="2" t="s">
        <v>63</v>
      </c>
      <c r="Q2120" s="2" t="s">
        <v>30</v>
      </c>
      <c r="R2120" s="2" t="s">
        <v>18</v>
      </c>
      <c r="S2120">
        <v>2</v>
      </c>
    </row>
    <row r="2121" spans="1:19" x14ac:dyDescent="0.3">
      <c r="A2121">
        <v>1639</v>
      </c>
      <c r="B2121">
        <f>YEAR(Cleaned_HR_Data_Analysis__2[[#This Row],[Joining_Date]])</f>
        <v>2022</v>
      </c>
      <c r="C2121" s="1">
        <v>44650</v>
      </c>
      <c r="D2121" s="1" t="str" cm="1">
        <f t="array" ref="D2121">_xlfn.IFS(E2121&lt;28, "17-27",
AND(E2121&gt;27, E2121&lt;38), "28-37",
AND(E2121&gt;37, E2121 &lt;48), "38-47",
AND(E2121&gt;47, E2121 &lt;58), "48-57",
AND(E2121&gt;57, E2121&lt;68), "58-67",
AND(E2121&gt;67, E2121&lt;78), "68-77",
E2121&gt;77,"Above than 77")</f>
        <v>58-67</v>
      </c>
      <c r="E2121">
        <v>64</v>
      </c>
      <c r="F2121" s="1">
        <v>21195</v>
      </c>
      <c r="G2121" s="1" t="str">
        <f>VLOOKUP(H2121,Table7[#All], 2, FALSE)</f>
        <v>Massachusetts</v>
      </c>
      <c r="H2121" s="2" t="s">
        <v>14</v>
      </c>
      <c r="I2121" s="2" t="s">
        <v>22</v>
      </c>
      <c r="J2121" s="2" t="s">
        <v>34</v>
      </c>
      <c r="K2121" s="2" t="s">
        <v>83</v>
      </c>
      <c r="L2121" s="2" t="s">
        <v>66</v>
      </c>
      <c r="M2121" s="2" t="s">
        <v>25</v>
      </c>
      <c r="N2121" s="2" t="s">
        <v>19</v>
      </c>
      <c r="O2121" s="2" t="s">
        <v>53</v>
      </c>
      <c r="P2121" s="2" t="s">
        <v>35</v>
      </c>
      <c r="Q2121" s="2" t="s">
        <v>37</v>
      </c>
      <c r="R2121" s="2" t="s">
        <v>18</v>
      </c>
      <c r="S2121">
        <v>2</v>
      </c>
    </row>
    <row r="2122" spans="1:19" x14ac:dyDescent="0.3">
      <c r="A2122">
        <v>2548</v>
      </c>
      <c r="B2122">
        <f>YEAR(Cleaned_HR_Data_Analysis__2[[#This Row],[Joining_Date]])</f>
        <v>2018</v>
      </c>
      <c r="C2122" s="1">
        <v>43418</v>
      </c>
      <c r="D2122" s="1" t="str" cm="1">
        <f t="array" ref="D2122">_xlfn.IFS(E2122&lt;28, "17-27",
AND(E2122&gt;27, E2122&lt;38), "28-37",
AND(E2122&gt;37, E2122 &lt;48), "38-47",
AND(E2122&gt;47, E2122 &lt;58), "48-57",
AND(E2122&gt;57, E2122&lt;68), "58-67",
AND(E2122&gt;67, E2122&lt;78), "68-77",
E2122&gt;77,"Above than 77")</f>
        <v>58-67</v>
      </c>
      <c r="E2122">
        <v>64</v>
      </c>
      <c r="F2122" s="1">
        <v>19771</v>
      </c>
      <c r="G2122" s="1" t="str">
        <f>VLOOKUP(H2122,Table7[#All], 2, FALSE)</f>
        <v>Massachusetts</v>
      </c>
      <c r="H2122" s="2" t="s">
        <v>14</v>
      </c>
      <c r="I2122" s="2" t="s">
        <v>15</v>
      </c>
      <c r="J2122" s="2" t="s">
        <v>40</v>
      </c>
      <c r="K2122" s="2" t="s">
        <v>97</v>
      </c>
      <c r="L2122" s="2" t="s">
        <v>9</v>
      </c>
      <c r="M2122" s="2" t="s">
        <v>10</v>
      </c>
      <c r="N2122" s="2" t="s">
        <v>19</v>
      </c>
      <c r="O2122" s="2" t="s">
        <v>53</v>
      </c>
      <c r="P2122" s="2" t="s">
        <v>28</v>
      </c>
      <c r="Q2122" s="2" t="s">
        <v>30</v>
      </c>
      <c r="R2122" s="2" t="s">
        <v>18</v>
      </c>
      <c r="S2122">
        <v>5</v>
      </c>
    </row>
    <row r="2123" spans="1:19" x14ac:dyDescent="0.3">
      <c r="A2123">
        <v>2728</v>
      </c>
      <c r="B2123">
        <f>YEAR(Cleaned_HR_Data_Analysis__2[[#This Row],[Joining_Date]])</f>
        <v>2020</v>
      </c>
      <c r="C2123" s="1">
        <v>43959</v>
      </c>
      <c r="D2123" s="1" t="str" cm="1">
        <f t="array" ref="D2123">_xlfn.IFS(E2123&lt;28, "17-27",
AND(E2123&gt;27, E2123&lt;38), "28-37",
AND(E2123&gt;37, E2123 &lt;48), "38-47",
AND(E2123&gt;47, E2123 &lt;58), "48-57",
AND(E2123&gt;57, E2123&lt;68), "58-67",
AND(E2123&gt;67, E2123&lt;78), "68-77",
E2123&gt;77,"Above than 77")</f>
        <v>58-67</v>
      </c>
      <c r="E2123">
        <v>64</v>
      </c>
      <c r="F2123" s="1">
        <v>20705</v>
      </c>
      <c r="G2123" s="1" t="str">
        <f>VLOOKUP(H2123,Table7[#All], 2, FALSE)</f>
        <v>Washington</v>
      </c>
      <c r="H2123" s="2" t="s">
        <v>113</v>
      </c>
      <c r="I2123" s="2" t="s">
        <v>22</v>
      </c>
      <c r="J2123" s="2" t="s">
        <v>31</v>
      </c>
      <c r="K2123" s="2" t="s">
        <v>24</v>
      </c>
      <c r="L2123" s="2" t="s">
        <v>9</v>
      </c>
      <c r="M2123" s="2" t="s">
        <v>25</v>
      </c>
      <c r="N2123" s="2" t="s">
        <v>26</v>
      </c>
      <c r="O2123" s="2" t="s">
        <v>27</v>
      </c>
      <c r="P2123" s="2" t="s">
        <v>49</v>
      </c>
      <c r="Q2123" s="2" t="s">
        <v>23</v>
      </c>
      <c r="R2123" s="2" t="s">
        <v>18</v>
      </c>
      <c r="S2123">
        <v>2</v>
      </c>
    </row>
    <row r="2124" spans="1:19" x14ac:dyDescent="0.3">
      <c r="A2124">
        <v>3551</v>
      </c>
      <c r="B2124">
        <f>YEAR(Cleaned_HR_Data_Analysis__2[[#This Row],[Joining_Date]])</f>
        <v>2018</v>
      </c>
      <c r="C2124" s="1">
        <v>43323</v>
      </c>
      <c r="D2124" s="1" t="str" cm="1">
        <f t="array" ref="D2124">_xlfn.IFS(E2124&lt;28, "17-27",
AND(E2124&gt;27, E2124&lt;38), "28-37",
AND(E2124&gt;37, E2124 &lt;48), "38-47",
AND(E2124&gt;47, E2124 &lt;58), "48-57",
AND(E2124&gt;57, E2124&lt;68), "58-67",
AND(E2124&gt;67, E2124&lt;78), "68-77",
E2124&gt;77,"Above than 77")</f>
        <v>58-67</v>
      </c>
      <c r="E2124">
        <v>64</v>
      </c>
      <c r="F2124" s="1">
        <v>19909</v>
      </c>
      <c r="G2124" s="1" t="str">
        <f>VLOOKUP(H2124,Table7[#All], 2, FALSE)</f>
        <v>Texas</v>
      </c>
      <c r="H2124" s="2" t="s">
        <v>45</v>
      </c>
      <c r="I2124" s="2" t="s">
        <v>22</v>
      </c>
      <c r="J2124" s="2" t="s">
        <v>34</v>
      </c>
      <c r="K2124" s="2" t="s">
        <v>24</v>
      </c>
      <c r="L2124" s="2" t="s">
        <v>9</v>
      </c>
      <c r="M2124" s="2" t="s">
        <v>20</v>
      </c>
      <c r="N2124" s="2" t="s">
        <v>11</v>
      </c>
      <c r="O2124" s="2" t="s">
        <v>27</v>
      </c>
      <c r="P2124" s="2" t="s">
        <v>42</v>
      </c>
      <c r="Q2124" s="2" t="s">
        <v>37</v>
      </c>
      <c r="R2124" s="2" t="s">
        <v>56</v>
      </c>
      <c r="S2124">
        <v>4</v>
      </c>
    </row>
    <row r="2125" spans="1:19" x14ac:dyDescent="0.3">
      <c r="A2125">
        <v>1688</v>
      </c>
      <c r="B2125">
        <f>YEAR(Cleaned_HR_Data_Analysis__2[[#This Row],[Joining_Date]])</f>
        <v>2020</v>
      </c>
      <c r="C2125" s="1">
        <v>43920</v>
      </c>
      <c r="D2125" s="1" t="str" cm="1">
        <f t="array" ref="D2125">_xlfn.IFS(E2125&lt;28, "17-27",
AND(E2125&gt;27, E2125&lt;38), "28-37",
AND(E2125&gt;37, E2125 &lt;48), "38-47",
AND(E2125&gt;47, E2125 &lt;58), "48-57",
AND(E2125&gt;57, E2125&lt;68), "58-67",
AND(E2125&gt;67, E2125&lt;78), "68-77",
E2125&gt;77,"Above than 77")</f>
        <v>58-67</v>
      </c>
      <c r="E2125">
        <v>64</v>
      </c>
      <c r="F2125" s="1">
        <v>20659</v>
      </c>
      <c r="G2125" s="1" t="str">
        <f>VLOOKUP(H2125,Table7[#All], 2, FALSE)</f>
        <v>Oregon</v>
      </c>
      <c r="H2125" s="2" t="s">
        <v>43</v>
      </c>
      <c r="I2125" s="2" t="s">
        <v>22</v>
      </c>
      <c r="J2125" s="2" t="s">
        <v>40</v>
      </c>
      <c r="K2125" s="2" t="s">
        <v>24</v>
      </c>
      <c r="L2125" s="2" t="s">
        <v>9</v>
      </c>
      <c r="M2125" s="2" t="s">
        <v>25</v>
      </c>
      <c r="N2125" s="2" t="s">
        <v>19</v>
      </c>
      <c r="O2125" s="2" t="s">
        <v>53</v>
      </c>
      <c r="P2125" s="2" t="s">
        <v>58</v>
      </c>
      <c r="Q2125" s="2" t="s">
        <v>30</v>
      </c>
      <c r="R2125" s="2" t="s">
        <v>18</v>
      </c>
      <c r="S2125">
        <v>4</v>
      </c>
    </row>
    <row r="2126" spans="1:19" x14ac:dyDescent="0.3">
      <c r="A2126">
        <v>2654</v>
      </c>
      <c r="B2126">
        <f>YEAR(Cleaned_HR_Data_Analysis__2[[#This Row],[Joining_Date]])</f>
        <v>2019</v>
      </c>
      <c r="C2126" s="1">
        <v>43699</v>
      </c>
      <c r="D2126" s="1" t="str" cm="1">
        <f t="array" ref="D2126">_xlfn.IFS(E2126&lt;28, "17-27",
AND(E2126&gt;27, E2126&lt;38), "28-37",
AND(E2126&gt;37, E2126 &lt;48), "38-47",
AND(E2126&gt;47, E2126 &lt;58), "48-57",
AND(E2126&gt;57, E2126&lt;68), "58-67",
AND(E2126&gt;67, E2126&lt;78), "68-77",
E2126&gt;77,"Above than 77")</f>
        <v>58-67</v>
      </c>
      <c r="E2126">
        <v>64</v>
      </c>
      <c r="F2126" s="1">
        <v>20279</v>
      </c>
      <c r="G2126" s="1" t="str">
        <f>VLOOKUP(H2126,Table7[#All], 2, FALSE)</f>
        <v>Massachusetts</v>
      </c>
      <c r="H2126" s="2" t="s">
        <v>14</v>
      </c>
      <c r="I2126" s="2" t="s">
        <v>22</v>
      </c>
      <c r="J2126" s="2" t="s">
        <v>40</v>
      </c>
      <c r="K2126" s="2" t="s">
        <v>24</v>
      </c>
      <c r="L2126" s="2" t="s">
        <v>9</v>
      </c>
      <c r="M2126" s="2" t="s">
        <v>25</v>
      </c>
      <c r="N2126" s="2" t="s">
        <v>11</v>
      </c>
      <c r="O2126" s="2" t="s">
        <v>27</v>
      </c>
      <c r="P2126" s="2" t="s">
        <v>32</v>
      </c>
      <c r="Q2126" s="2" t="s">
        <v>37</v>
      </c>
      <c r="R2126" s="2" t="s">
        <v>18</v>
      </c>
      <c r="S2126">
        <v>1</v>
      </c>
    </row>
    <row r="2127" spans="1:19" x14ac:dyDescent="0.3">
      <c r="A2127">
        <v>1675</v>
      </c>
      <c r="B2127">
        <f>YEAR(Cleaned_HR_Data_Analysis__2[[#This Row],[Joining_Date]])</f>
        <v>2023</v>
      </c>
      <c r="C2127" s="1">
        <v>44960</v>
      </c>
      <c r="D2127" s="1" t="str" cm="1">
        <f t="array" ref="D2127">_xlfn.IFS(E2127&lt;28, "17-27",
AND(E2127&gt;27, E2127&lt;38), "28-37",
AND(E2127&gt;37, E2127 &lt;48), "38-47",
AND(E2127&gt;47, E2127 &lt;58), "48-57",
AND(E2127&gt;57, E2127&lt;68), "58-67",
AND(E2127&gt;67, E2127&lt;78), "68-77",
E2127&gt;77,"Above than 77")</f>
        <v>58-67</v>
      </c>
      <c r="E2127">
        <v>64</v>
      </c>
      <c r="F2127" s="1">
        <v>21856</v>
      </c>
      <c r="G2127" s="1" t="str">
        <f>VLOOKUP(H2127,Table7[#All], 2, FALSE)</f>
        <v>Massachusetts</v>
      </c>
      <c r="H2127" s="2" t="s">
        <v>14</v>
      </c>
      <c r="I2127" s="2" t="s">
        <v>22</v>
      </c>
      <c r="J2127" s="2" t="s">
        <v>17</v>
      </c>
      <c r="K2127" s="2" t="s">
        <v>24</v>
      </c>
      <c r="L2127" s="2" t="s">
        <v>9</v>
      </c>
      <c r="M2127" s="2" t="s">
        <v>25</v>
      </c>
      <c r="N2127" s="2" t="s">
        <v>19</v>
      </c>
      <c r="O2127" s="2" t="s">
        <v>53</v>
      </c>
      <c r="P2127" s="2" t="s">
        <v>35</v>
      </c>
      <c r="Q2127" s="2" t="s">
        <v>23</v>
      </c>
      <c r="R2127" s="2" t="s">
        <v>18</v>
      </c>
      <c r="S2127">
        <v>1</v>
      </c>
    </row>
    <row r="2128" spans="1:19" x14ac:dyDescent="0.3">
      <c r="A2128">
        <v>3510</v>
      </c>
      <c r="B2128">
        <f>YEAR(Cleaned_HR_Data_Analysis__2[[#This Row],[Joining_Date]])</f>
        <v>2020</v>
      </c>
      <c r="C2128" s="1">
        <v>43871</v>
      </c>
      <c r="D2128" s="1" t="str" cm="1">
        <f t="array" ref="D2128">_xlfn.IFS(E2128&lt;28, "17-27",
AND(E2128&gt;27, E2128&lt;38), "28-37",
AND(E2128&gt;37, E2128 &lt;48), "38-47",
AND(E2128&gt;47, E2128 &lt;58), "48-57",
AND(E2128&gt;57, E2128&lt;68), "58-67",
AND(E2128&gt;67, E2128&lt;78), "68-77",
E2128&gt;77,"Above than 77")</f>
        <v>58-67</v>
      </c>
      <c r="E2128">
        <v>64</v>
      </c>
      <c r="F2128" s="1">
        <v>20745</v>
      </c>
      <c r="G2128" s="1" t="str">
        <f>VLOOKUP(H2128,Table7[#All], 2, FALSE)</f>
        <v>Kentucky</v>
      </c>
      <c r="H2128" s="2" t="s">
        <v>51</v>
      </c>
      <c r="I2128" s="2" t="s">
        <v>15</v>
      </c>
      <c r="J2128" s="2" t="s">
        <v>34</v>
      </c>
      <c r="K2128" s="2" t="s">
        <v>24</v>
      </c>
      <c r="L2128" s="2" t="s">
        <v>9</v>
      </c>
      <c r="M2128" s="2" t="s">
        <v>20</v>
      </c>
      <c r="N2128" s="2" t="s">
        <v>19</v>
      </c>
      <c r="O2128" s="2" t="s">
        <v>27</v>
      </c>
      <c r="P2128" s="2" t="s">
        <v>32</v>
      </c>
      <c r="Q2128" s="2" t="s">
        <v>23</v>
      </c>
      <c r="R2128" s="2" t="s">
        <v>18</v>
      </c>
      <c r="S2128">
        <v>4</v>
      </c>
    </row>
    <row r="2129" spans="1:19" x14ac:dyDescent="0.3">
      <c r="A2129">
        <v>3475</v>
      </c>
      <c r="B2129">
        <f>YEAR(Cleaned_HR_Data_Analysis__2[[#This Row],[Joining_Date]])</f>
        <v>2021</v>
      </c>
      <c r="C2129" s="1">
        <v>44460</v>
      </c>
      <c r="D2129" s="1" t="str" cm="1">
        <f t="array" ref="D2129">_xlfn.IFS(E2129&lt;28, "17-27",
AND(E2129&gt;27, E2129&lt;38), "28-37",
AND(E2129&gt;37, E2129 &lt;48), "38-47",
AND(E2129&gt;47, E2129 &lt;58), "48-57",
AND(E2129&gt;57, E2129&lt;68), "58-67",
AND(E2129&gt;67, E2129&lt;78), "68-77",
E2129&gt;77,"Above than 77")</f>
        <v>58-67</v>
      </c>
      <c r="E2129">
        <v>64</v>
      </c>
      <c r="F2129" s="1">
        <v>21179</v>
      </c>
      <c r="G2129" s="1" t="str">
        <f>VLOOKUP(H2129,Table7[#All], 2, FALSE)</f>
        <v>Indiana</v>
      </c>
      <c r="H2129" s="2" t="s">
        <v>47</v>
      </c>
      <c r="I2129" s="2" t="s">
        <v>22</v>
      </c>
      <c r="J2129" s="2" t="s">
        <v>17</v>
      </c>
      <c r="K2129" s="2" t="s">
        <v>24</v>
      </c>
      <c r="L2129" s="2" t="s">
        <v>9</v>
      </c>
      <c r="M2129" s="2" t="s">
        <v>25</v>
      </c>
      <c r="N2129" s="2" t="s">
        <v>11</v>
      </c>
      <c r="O2129" s="2" t="s">
        <v>27</v>
      </c>
      <c r="P2129" s="2" t="s">
        <v>32</v>
      </c>
      <c r="Q2129" s="2" t="s">
        <v>46</v>
      </c>
      <c r="R2129" s="2" t="s">
        <v>18</v>
      </c>
      <c r="S2129">
        <v>3</v>
      </c>
    </row>
    <row r="2130" spans="1:19" x14ac:dyDescent="0.3">
      <c r="A2130">
        <v>2638</v>
      </c>
      <c r="B2130">
        <f>YEAR(Cleaned_HR_Data_Analysis__2[[#This Row],[Joining_Date]])</f>
        <v>2021</v>
      </c>
      <c r="C2130" s="1">
        <v>44520</v>
      </c>
      <c r="D2130" s="1" t="str" cm="1">
        <f t="array" ref="D2130">_xlfn.IFS(E2130&lt;28, "17-27",
AND(E2130&gt;27, E2130&lt;38), "28-37",
AND(E2130&gt;37, E2130 &lt;48), "38-47",
AND(E2130&gt;47, E2130 &lt;58), "48-57",
AND(E2130&gt;57, E2130&lt;68), "58-67",
AND(E2130&gt;67, E2130&lt;78), "68-77",
E2130&gt;77,"Above than 77")</f>
        <v>58-67</v>
      </c>
      <c r="E2130">
        <v>64</v>
      </c>
      <c r="F2130" s="1">
        <v>20830</v>
      </c>
      <c r="G2130" s="1" t="str">
        <f>VLOOKUP(H2130,Table7[#All], 2, FALSE)</f>
        <v>Arizona</v>
      </c>
      <c r="H2130" s="2" t="s">
        <v>114</v>
      </c>
      <c r="I2130" s="2" t="s">
        <v>22</v>
      </c>
      <c r="J2130" s="2" t="s">
        <v>40</v>
      </c>
      <c r="K2130" s="2" t="s">
        <v>24</v>
      </c>
      <c r="L2130" s="2" t="s">
        <v>9</v>
      </c>
      <c r="M2130" s="2" t="s">
        <v>10</v>
      </c>
      <c r="N2130" s="2" t="s">
        <v>26</v>
      </c>
      <c r="O2130" s="2" t="s">
        <v>27</v>
      </c>
      <c r="P2130" s="2" t="s">
        <v>60</v>
      </c>
      <c r="Q2130" s="2" t="s">
        <v>46</v>
      </c>
      <c r="R2130" s="2" t="s">
        <v>18</v>
      </c>
      <c r="S2130">
        <v>2</v>
      </c>
    </row>
    <row r="2131" spans="1:19" x14ac:dyDescent="0.3">
      <c r="A2131">
        <v>1384</v>
      </c>
      <c r="B2131">
        <f>YEAR(Cleaned_HR_Data_Analysis__2[[#This Row],[Joining_Date]])</f>
        <v>2020</v>
      </c>
      <c r="C2131" s="1">
        <v>44013</v>
      </c>
      <c r="D2131" s="1" t="str" cm="1">
        <f t="array" ref="D2131">_xlfn.IFS(E2131&lt;28, "17-27",
AND(E2131&gt;27, E2131&lt;38), "28-37",
AND(E2131&gt;37, E2131 &lt;48), "38-47",
AND(E2131&gt;47, E2131 &lt;58), "48-57",
AND(E2131&gt;57, E2131&lt;68), "58-67",
AND(E2131&gt;67, E2131&lt;78), "68-77",
E2131&gt;77,"Above than 77")</f>
        <v>58-67</v>
      </c>
      <c r="E2131">
        <v>64</v>
      </c>
      <c r="F2131" s="1">
        <v>20526</v>
      </c>
      <c r="G2131" s="1" t="str">
        <f>VLOOKUP(H2131,Table7[#All], 2, FALSE)</f>
        <v>Massachusetts</v>
      </c>
      <c r="H2131" s="2" t="s">
        <v>14</v>
      </c>
      <c r="I2131" s="2" t="s">
        <v>15</v>
      </c>
      <c r="J2131" s="2" t="s">
        <v>31</v>
      </c>
      <c r="K2131" s="2" t="s">
        <v>95</v>
      </c>
      <c r="L2131" s="2" t="s">
        <v>9</v>
      </c>
      <c r="M2131" s="2" t="s">
        <v>20</v>
      </c>
      <c r="N2131" s="2" t="s">
        <v>26</v>
      </c>
      <c r="O2131" s="2" t="s">
        <v>90</v>
      </c>
      <c r="P2131" s="2" t="s">
        <v>35</v>
      </c>
      <c r="Q2131" s="2" t="s">
        <v>30</v>
      </c>
      <c r="R2131" s="2" t="s">
        <v>65</v>
      </c>
      <c r="S2131">
        <v>3</v>
      </c>
    </row>
    <row r="2132" spans="1:19" x14ac:dyDescent="0.3">
      <c r="A2132">
        <v>1371</v>
      </c>
      <c r="B2132">
        <f>YEAR(Cleaned_HR_Data_Analysis__2[[#This Row],[Joining_Date]])</f>
        <v>2021</v>
      </c>
      <c r="C2132" s="1">
        <v>44436</v>
      </c>
      <c r="D2132" s="1" t="str" cm="1">
        <f t="array" ref="D2132">_xlfn.IFS(E2132&lt;28, "17-27",
AND(E2132&gt;27, E2132&lt;38), "28-37",
AND(E2132&gt;37, E2132 &lt;48), "38-47",
AND(E2132&gt;47, E2132 &lt;58), "48-57",
AND(E2132&gt;57, E2132&lt;68), "58-67",
AND(E2132&gt;67, E2132&lt;78), "68-77",
E2132&gt;77,"Above than 77")</f>
        <v>58-67</v>
      </c>
      <c r="E2132">
        <v>64</v>
      </c>
      <c r="F2132" s="1">
        <v>20947</v>
      </c>
      <c r="G2132" s="1" t="str">
        <f>VLOOKUP(H2132,Table7[#All], 2, FALSE)</f>
        <v>Massachusetts</v>
      </c>
      <c r="H2132" s="2" t="s">
        <v>14</v>
      </c>
      <c r="I2132" s="2" t="s">
        <v>15</v>
      </c>
      <c r="J2132" s="2" t="s">
        <v>34</v>
      </c>
      <c r="K2132" s="2" t="s">
        <v>96</v>
      </c>
      <c r="L2132" s="2" t="s">
        <v>9</v>
      </c>
      <c r="M2132" s="2" t="s">
        <v>10</v>
      </c>
      <c r="N2132" s="2" t="s">
        <v>19</v>
      </c>
      <c r="O2132" s="2" t="s">
        <v>90</v>
      </c>
      <c r="P2132" s="2" t="s">
        <v>35</v>
      </c>
      <c r="Q2132" s="2" t="s">
        <v>37</v>
      </c>
      <c r="R2132" s="2" t="s">
        <v>41</v>
      </c>
      <c r="S2132">
        <v>1</v>
      </c>
    </row>
    <row r="2133" spans="1:19" x14ac:dyDescent="0.3">
      <c r="A2133">
        <v>2559</v>
      </c>
      <c r="B2133">
        <f>YEAR(Cleaned_HR_Data_Analysis__2[[#This Row],[Joining_Date]])</f>
        <v>2022</v>
      </c>
      <c r="C2133" s="1">
        <v>44680</v>
      </c>
      <c r="D2133" s="1" t="str" cm="1">
        <f t="array" ref="D2133">_xlfn.IFS(E2133&lt;28, "17-27",
AND(E2133&gt;27, E2133&lt;38), "28-37",
AND(E2133&gt;37, E2133 &lt;48), "38-47",
AND(E2133&gt;47, E2133 &lt;58), "48-57",
AND(E2133&gt;57, E2133&lt;68), "58-67",
AND(E2133&gt;67, E2133&lt;78), "68-77",
E2133&gt;77,"Above than 77")</f>
        <v>58-67</v>
      </c>
      <c r="E2133">
        <v>65</v>
      </c>
      <c r="F2133" s="1">
        <v>21147</v>
      </c>
      <c r="G2133" s="1" t="str">
        <f>VLOOKUP(H2133,Table7[#All], 2, FALSE)</f>
        <v>Massachusetts</v>
      </c>
      <c r="H2133" s="2" t="s">
        <v>14</v>
      </c>
      <c r="I2133" s="2" t="s">
        <v>22</v>
      </c>
      <c r="J2133" s="2" t="s">
        <v>17</v>
      </c>
      <c r="K2133" s="2" t="s">
        <v>86</v>
      </c>
      <c r="L2133" s="2" t="s">
        <v>9</v>
      </c>
      <c r="M2133" s="2" t="s">
        <v>20</v>
      </c>
      <c r="N2133" s="2" t="s">
        <v>26</v>
      </c>
      <c r="O2133" s="2" t="s">
        <v>87</v>
      </c>
      <c r="P2133" s="2" t="s">
        <v>35</v>
      </c>
      <c r="Q2133" s="2" t="s">
        <v>16</v>
      </c>
      <c r="R2133" s="2" t="s">
        <v>18</v>
      </c>
      <c r="S2133">
        <v>5</v>
      </c>
    </row>
    <row r="2134" spans="1:19" x14ac:dyDescent="0.3">
      <c r="A2134">
        <v>1049</v>
      </c>
      <c r="B2134">
        <f>YEAR(Cleaned_HR_Data_Analysis__2[[#This Row],[Joining_Date]])</f>
        <v>2019</v>
      </c>
      <c r="C2134" s="1">
        <v>43615</v>
      </c>
      <c r="D2134" s="1" t="str" cm="1">
        <f t="array" ref="D2134">_xlfn.IFS(E2134&lt;28, "17-27",
AND(E2134&gt;27, E2134&lt;38), "28-37",
AND(E2134&gt;37, E2134 &lt;48), "38-47",
AND(E2134&gt;47, E2134 &lt;58), "48-57",
AND(E2134&gt;57, E2134&lt;68), "58-67",
AND(E2134&gt;67, E2134&lt;78), "68-77",
E2134&gt;77,"Above than 77")</f>
        <v>58-67</v>
      </c>
      <c r="E2134">
        <v>65</v>
      </c>
      <c r="F2134" s="1">
        <v>19993</v>
      </c>
      <c r="G2134" s="1" t="str">
        <f>VLOOKUP(H2134,Table7[#All], 2, FALSE)</f>
        <v>Massachusetts</v>
      </c>
      <c r="H2134" s="2" t="s">
        <v>14</v>
      </c>
      <c r="I2134" s="2" t="s">
        <v>22</v>
      </c>
      <c r="J2134" s="2" t="s">
        <v>34</v>
      </c>
      <c r="K2134" s="2" t="s">
        <v>86</v>
      </c>
      <c r="L2134" s="2" t="s">
        <v>66</v>
      </c>
      <c r="M2134" s="2" t="s">
        <v>20</v>
      </c>
      <c r="N2134" s="2" t="s">
        <v>26</v>
      </c>
      <c r="O2134" s="2" t="s">
        <v>87</v>
      </c>
      <c r="P2134" s="2" t="s">
        <v>35</v>
      </c>
      <c r="Q2134" s="2" t="s">
        <v>16</v>
      </c>
      <c r="R2134" s="2" t="s">
        <v>18</v>
      </c>
      <c r="S2134">
        <v>5</v>
      </c>
    </row>
    <row r="2135" spans="1:19" x14ac:dyDescent="0.3">
      <c r="A2135">
        <v>1701</v>
      </c>
      <c r="B2135">
        <f>YEAR(Cleaned_HR_Data_Analysis__2[[#This Row],[Joining_Date]])</f>
        <v>2019</v>
      </c>
      <c r="C2135" s="1">
        <v>43669</v>
      </c>
      <c r="D2135" s="1" t="str" cm="1">
        <f t="array" ref="D2135">_xlfn.IFS(E2135&lt;28, "17-27",
AND(E2135&gt;27, E2135&lt;38), "28-37",
AND(E2135&gt;37, E2135 &lt;48), "38-47",
AND(E2135&gt;47, E2135 &lt;58), "48-57",
AND(E2135&gt;57, E2135&lt;68), "58-67",
AND(E2135&gt;67, E2135&lt;78), "68-77",
E2135&gt;77,"Above than 77")</f>
        <v>58-67</v>
      </c>
      <c r="E2135">
        <v>65</v>
      </c>
      <c r="F2135" s="1">
        <v>20034</v>
      </c>
      <c r="G2135" s="1" t="str">
        <f>VLOOKUP(H2135,Table7[#All], 2, FALSE)</f>
        <v>Massachusetts</v>
      </c>
      <c r="H2135" s="2" t="s">
        <v>14</v>
      </c>
      <c r="I2135" s="2" t="s">
        <v>22</v>
      </c>
      <c r="J2135" s="2" t="s">
        <v>31</v>
      </c>
      <c r="K2135" s="2" t="s">
        <v>89</v>
      </c>
      <c r="L2135" s="2" t="s">
        <v>9</v>
      </c>
      <c r="M2135" s="2" t="s">
        <v>10</v>
      </c>
      <c r="N2135" s="2" t="s">
        <v>19</v>
      </c>
      <c r="O2135" s="2" t="s">
        <v>53</v>
      </c>
      <c r="P2135" s="2" t="s">
        <v>54</v>
      </c>
      <c r="Q2135" s="2" t="s">
        <v>30</v>
      </c>
      <c r="R2135" s="2" t="s">
        <v>18</v>
      </c>
      <c r="S2135">
        <v>3</v>
      </c>
    </row>
    <row r="2136" spans="1:19" x14ac:dyDescent="0.3">
      <c r="A2136">
        <v>1950</v>
      </c>
      <c r="B2136">
        <f>YEAR(Cleaned_HR_Data_Analysis__2[[#This Row],[Joining_Date]])</f>
        <v>2023</v>
      </c>
      <c r="C2136" s="1">
        <v>45128</v>
      </c>
      <c r="D2136" s="1" t="str" cm="1">
        <f t="array" ref="D2136">_xlfn.IFS(E2136&lt;28, "17-27",
AND(E2136&gt;27, E2136&lt;38), "28-37",
AND(E2136&gt;37, E2136 &lt;48), "38-47",
AND(E2136&gt;47, E2136 &lt;58), "48-57",
AND(E2136&gt;57, E2136&lt;68), "58-67",
AND(E2136&gt;67, E2136&lt;78), "68-77",
E2136&gt;77,"Above than 77")</f>
        <v>58-67</v>
      </c>
      <c r="E2136">
        <v>65</v>
      </c>
      <c r="F2136" s="1">
        <v>21268</v>
      </c>
      <c r="G2136" s="1" t="str">
        <f>VLOOKUP(H2136,Table7[#All], 2, FALSE)</f>
        <v>Pennsylvania</v>
      </c>
      <c r="H2136" s="2" t="s">
        <v>100</v>
      </c>
      <c r="I2136" s="2" t="s">
        <v>15</v>
      </c>
      <c r="J2136" s="2" t="s">
        <v>34</v>
      </c>
      <c r="K2136" s="2" t="s">
        <v>64</v>
      </c>
      <c r="L2136" s="2" t="s">
        <v>66</v>
      </c>
      <c r="M2136" s="2" t="s">
        <v>10</v>
      </c>
      <c r="N2136" s="2" t="s">
        <v>11</v>
      </c>
      <c r="O2136" s="2" t="s">
        <v>12</v>
      </c>
      <c r="P2136" s="2" t="s">
        <v>49</v>
      </c>
      <c r="Q2136" s="2" t="s">
        <v>46</v>
      </c>
      <c r="R2136" s="2" t="s">
        <v>18</v>
      </c>
      <c r="S2136">
        <v>2</v>
      </c>
    </row>
    <row r="2137" spans="1:19" x14ac:dyDescent="0.3">
      <c r="A2137">
        <v>1937</v>
      </c>
      <c r="B2137">
        <f>YEAR(Cleaned_HR_Data_Analysis__2[[#This Row],[Joining_Date]])</f>
        <v>2022</v>
      </c>
      <c r="C2137" s="1">
        <v>44650</v>
      </c>
      <c r="D2137" s="1" t="str" cm="1">
        <f t="array" ref="D2137">_xlfn.IFS(E2137&lt;28, "17-27",
AND(E2137&gt;27, E2137&lt;38), "28-37",
AND(E2137&gt;37, E2137 &lt;48), "38-47",
AND(E2137&gt;47, E2137 &lt;58), "48-57",
AND(E2137&gt;57, E2137&lt;68), "58-67",
AND(E2137&gt;67, E2137&lt;78), "68-77",
E2137&gt;77,"Above than 77")</f>
        <v>58-67</v>
      </c>
      <c r="E2137">
        <v>65</v>
      </c>
      <c r="F2137" s="1">
        <v>20904</v>
      </c>
      <c r="G2137" s="1" t="str">
        <f>VLOOKUP(H2137,Table7[#All], 2, FALSE)</f>
        <v>Pennsylvania</v>
      </c>
      <c r="H2137" s="2" t="s">
        <v>100</v>
      </c>
      <c r="I2137" s="2" t="s">
        <v>15</v>
      </c>
      <c r="J2137" s="2" t="s">
        <v>31</v>
      </c>
      <c r="K2137" s="2" t="s">
        <v>64</v>
      </c>
      <c r="L2137" s="2" t="s">
        <v>66</v>
      </c>
      <c r="M2137" s="2" t="s">
        <v>25</v>
      </c>
      <c r="N2137" s="2" t="s">
        <v>19</v>
      </c>
      <c r="O2137" s="2" t="s">
        <v>27</v>
      </c>
      <c r="P2137" s="2" t="s">
        <v>42</v>
      </c>
      <c r="Q2137" s="2" t="s">
        <v>46</v>
      </c>
      <c r="R2137" s="2" t="s">
        <v>18</v>
      </c>
      <c r="S2137">
        <v>5</v>
      </c>
    </row>
    <row r="2138" spans="1:19" x14ac:dyDescent="0.3">
      <c r="A2138">
        <v>3281</v>
      </c>
      <c r="B2138">
        <f>YEAR(Cleaned_HR_Data_Analysis__2[[#This Row],[Joining_Date]])</f>
        <v>2019</v>
      </c>
      <c r="C2138" s="1">
        <v>43693</v>
      </c>
      <c r="D2138" s="1" t="str" cm="1">
        <f t="array" ref="D2138">_xlfn.IFS(E2138&lt;28, "17-27",
AND(E2138&gt;27, E2138&lt;38), "28-37",
AND(E2138&gt;37, E2138 &lt;48), "38-47",
AND(E2138&gt;47, E2138 &lt;58), "48-57",
AND(E2138&gt;57, E2138&lt;68), "58-67",
AND(E2138&gt;67, E2138&lt;78), "68-77",
E2138&gt;77,"Above than 77")</f>
        <v>58-67</v>
      </c>
      <c r="E2138">
        <v>65</v>
      </c>
      <c r="F2138" s="1">
        <v>19928</v>
      </c>
      <c r="G2138" s="1" t="str">
        <f>VLOOKUP(H2138,Table7[#All], 2, FALSE)</f>
        <v>Massachusetts</v>
      </c>
      <c r="H2138" s="2" t="s">
        <v>14</v>
      </c>
      <c r="I2138" s="2" t="s">
        <v>22</v>
      </c>
      <c r="J2138" s="2" t="s">
        <v>40</v>
      </c>
      <c r="K2138" s="2" t="s">
        <v>64</v>
      </c>
      <c r="L2138" s="2" t="s">
        <v>9</v>
      </c>
      <c r="M2138" s="2" t="s">
        <v>10</v>
      </c>
      <c r="N2138" s="2" t="s">
        <v>26</v>
      </c>
      <c r="O2138" s="2" t="s">
        <v>12</v>
      </c>
      <c r="P2138" s="2" t="s">
        <v>32</v>
      </c>
      <c r="Q2138" s="2" t="s">
        <v>23</v>
      </c>
      <c r="R2138" s="2" t="s">
        <v>18</v>
      </c>
      <c r="S2138">
        <v>4</v>
      </c>
    </row>
    <row r="2139" spans="1:19" x14ac:dyDescent="0.3">
      <c r="A2139">
        <v>1857</v>
      </c>
      <c r="B2139">
        <f>YEAR(Cleaned_HR_Data_Analysis__2[[#This Row],[Joining_Date]])</f>
        <v>2021</v>
      </c>
      <c r="C2139" s="1">
        <v>44513</v>
      </c>
      <c r="D2139" s="1" t="str" cm="1">
        <f t="array" ref="D2139">_xlfn.IFS(E2139&lt;28, "17-27",
AND(E2139&gt;27, E2139&lt;38), "28-37",
AND(E2139&gt;37, E2139 &lt;48), "38-47",
AND(E2139&gt;47, E2139 &lt;58), "48-57",
AND(E2139&gt;57, E2139&lt;68), "58-67",
AND(E2139&gt;67, E2139&lt;78), "68-77",
E2139&gt;77,"Above than 77")</f>
        <v>58-67</v>
      </c>
      <c r="E2139">
        <v>65</v>
      </c>
      <c r="F2139" s="1">
        <v>20610</v>
      </c>
      <c r="G2139" s="1" t="str">
        <f>VLOOKUP(H2139,Table7[#All], 2, FALSE)</f>
        <v>Massachusetts</v>
      </c>
      <c r="H2139" s="2" t="s">
        <v>14</v>
      </c>
      <c r="I2139" s="2" t="s">
        <v>22</v>
      </c>
      <c r="J2139" s="2" t="s">
        <v>40</v>
      </c>
      <c r="K2139" s="2" t="s">
        <v>64</v>
      </c>
      <c r="L2139" s="2" t="s">
        <v>66</v>
      </c>
      <c r="M2139" s="2" t="s">
        <v>10</v>
      </c>
      <c r="N2139" s="2" t="s">
        <v>11</v>
      </c>
      <c r="O2139" s="2" t="s">
        <v>12</v>
      </c>
      <c r="P2139" s="2" t="s">
        <v>67</v>
      </c>
      <c r="Q2139" s="2" t="s">
        <v>30</v>
      </c>
      <c r="R2139" s="2" t="s">
        <v>41</v>
      </c>
      <c r="S2139">
        <v>4</v>
      </c>
    </row>
    <row r="2140" spans="1:19" x14ac:dyDescent="0.3">
      <c r="A2140">
        <v>1853</v>
      </c>
      <c r="B2140">
        <f>YEAR(Cleaned_HR_Data_Analysis__2[[#This Row],[Joining_Date]])</f>
        <v>2022</v>
      </c>
      <c r="C2140" s="1">
        <v>44651</v>
      </c>
      <c r="D2140" s="1" t="str" cm="1">
        <f t="array" ref="D2140">_xlfn.IFS(E2140&lt;28, "17-27",
AND(E2140&gt;27, E2140&lt;38), "28-37",
AND(E2140&gt;37, E2140 &lt;48), "38-47",
AND(E2140&gt;47, E2140 &lt;58), "48-57",
AND(E2140&gt;57, E2140&lt;68), "58-67",
AND(E2140&gt;67, E2140&lt;78), "68-77",
E2140&gt;77,"Above than 77")</f>
        <v>58-67</v>
      </c>
      <c r="E2140">
        <v>65</v>
      </c>
      <c r="F2140" s="1">
        <v>21178</v>
      </c>
      <c r="G2140" s="1" t="str">
        <f>VLOOKUP(H2140,Table7[#All], 2, FALSE)</f>
        <v>Massachusetts</v>
      </c>
      <c r="H2140" s="2" t="s">
        <v>14</v>
      </c>
      <c r="I2140" s="2" t="s">
        <v>15</v>
      </c>
      <c r="J2140" s="2" t="s">
        <v>40</v>
      </c>
      <c r="K2140" s="2" t="s">
        <v>64</v>
      </c>
      <c r="L2140" s="2" t="s">
        <v>9</v>
      </c>
      <c r="M2140" s="2" t="s">
        <v>10</v>
      </c>
      <c r="N2140" s="2" t="s">
        <v>26</v>
      </c>
      <c r="O2140" s="2" t="s">
        <v>12</v>
      </c>
      <c r="P2140" s="2" t="s">
        <v>59</v>
      </c>
      <c r="Q2140" s="2" t="s">
        <v>30</v>
      </c>
      <c r="R2140" s="2" t="s">
        <v>65</v>
      </c>
      <c r="S2140">
        <v>3</v>
      </c>
    </row>
    <row r="2141" spans="1:19" x14ac:dyDescent="0.3">
      <c r="A2141">
        <v>1818</v>
      </c>
      <c r="B2141">
        <f>YEAR(Cleaned_HR_Data_Analysis__2[[#This Row],[Joining_Date]])</f>
        <v>2021</v>
      </c>
      <c r="C2141" s="1">
        <v>44385</v>
      </c>
      <c r="D2141" s="1" t="str" cm="1">
        <f t="array" ref="D2141">_xlfn.IFS(E2141&lt;28, "17-27",
AND(E2141&gt;27, E2141&lt;38), "28-37",
AND(E2141&gt;37, E2141 &lt;48), "38-47",
AND(E2141&gt;47, E2141 &lt;58), "48-57",
AND(E2141&gt;57, E2141&lt;68), "58-67",
AND(E2141&gt;67, E2141&lt;78), "68-77",
E2141&gt;77,"Above than 77")</f>
        <v>58-67</v>
      </c>
      <c r="E2141">
        <v>65</v>
      </c>
      <c r="F2141" s="1">
        <v>20461</v>
      </c>
      <c r="G2141" s="1" t="str">
        <f>VLOOKUP(H2141,Table7[#All], 2, FALSE)</f>
        <v>Massachusetts</v>
      </c>
      <c r="H2141" s="2" t="s">
        <v>14</v>
      </c>
      <c r="I2141" s="2" t="s">
        <v>22</v>
      </c>
      <c r="J2141" s="2" t="s">
        <v>17</v>
      </c>
      <c r="K2141" s="2" t="s">
        <v>64</v>
      </c>
      <c r="L2141" s="2" t="s">
        <v>9</v>
      </c>
      <c r="M2141" s="2" t="s">
        <v>10</v>
      </c>
      <c r="N2141" s="2" t="s">
        <v>11</v>
      </c>
      <c r="O2141" s="2" t="s">
        <v>12</v>
      </c>
      <c r="P2141" s="2" t="s">
        <v>63</v>
      </c>
      <c r="Q2141" s="2" t="s">
        <v>23</v>
      </c>
      <c r="R2141" s="2" t="s">
        <v>18</v>
      </c>
      <c r="S2141">
        <v>1</v>
      </c>
    </row>
    <row r="2142" spans="1:19" x14ac:dyDescent="0.3">
      <c r="A2142">
        <v>1492</v>
      </c>
      <c r="B2142">
        <f>YEAR(Cleaned_HR_Data_Analysis__2[[#This Row],[Joining_Date]])</f>
        <v>2020</v>
      </c>
      <c r="C2142" s="1">
        <v>43957</v>
      </c>
      <c r="D2142" s="1" t="str" cm="1">
        <f t="array" ref="D2142">_xlfn.IFS(E2142&lt;28, "17-27",
AND(E2142&gt;27, E2142&lt;38), "28-37",
AND(E2142&gt;37, E2142 &lt;48), "38-47",
AND(E2142&gt;47, E2142 &lt;58), "48-57",
AND(E2142&gt;57, E2142&lt;68), "58-67",
AND(E2142&gt;67, E2142&lt;78), "68-77",
E2142&gt;77,"Above than 77")</f>
        <v>58-67</v>
      </c>
      <c r="E2142">
        <v>65</v>
      </c>
      <c r="F2142" s="1">
        <v>20431</v>
      </c>
      <c r="G2142" s="1" t="str">
        <f>VLOOKUP(H2142,Table7[#All], 2, FALSE)</f>
        <v>Massachusetts</v>
      </c>
      <c r="H2142" s="2" t="s">
        <v>14</v>
      </c>
      <c r="I2142" s="2" t="s">
        <v>22</v>
      </c>
      <c r="J2142" s="2" t="s">
        <v>40</v>
      </c>
      <c r="K2142" s="2" t="s">
        <v>64</v>
      </c>
      <c r="L2142" s="2" t="s">
        <v>9</v>
      </c>
      <c r="M2142" s="2" t="s">
        <v>25</v>
      </c>
      <c r="N2142" s="2" t="s">
        <v>26</v>
      </c>
      <c r="O2142" s="2" t="s">
        <v>12</v>
      </c>
      <c r="P2142" s="2" t="s">
        <v>42</v>
      </c>
      <c r="Q2142" s="2" t="s">
        <v>30</v>
      </c>
      <c r="R2142" s="2" t="s">
        <v>41</v>
      </c>
      <c r="S2142">
        <v>5</v>
      </c>
    </row>
    <row r="2143" spans="1:19" x14ac:dyDescent="0.3">
      <c r="A2143">
        <v>1278</v>
      </c>
      <c r="B2143">
        <f>YEAR(Cleaned_HR_Data_Analysis__2[[#This Row],[Joining_Date]])</f>
        <v>2020</v>
      </c>
      <c r="C2143" s="1">
        <v>44130</v>
      </c>
      <c r="D2143" s="1" t="str" cm="1">
        <f t="array" ref="D2143">_xlfn.IFS(E2143&lt;28, "17-27",
AND(E2143&gt;27, E2143&lt;38), "28-37",
AND(E2143&gt;37, E2143 &lt;48), "38-47",
AND(E2143&gt;47, E2143 &lt;58), "48-57",
AND(E2143&gt;57, E2143&lt;68), "58-67",
AND(E2143&gt;67, E2143&lt;78), "68-77",
E2143&gt;77,"Above than 77")</f>
        <v>58-67</v>
      </c>
      <c r="E2143">
        <v>65</v>
      </c>
      <c r="F2143" s="1">
        <v>20314</v>
      </c>
      <c r="G2143" s="1" t="str">
        <f>VLOOKUP(H2143,Table7[#All], 2, FALSE)</f>
        <v>Massachusetts</v>
      </c>
      <c r="H2143" s="2" t="s">
        <v>14</v>
      </c>
      <c r="I2143" s="2" t="s">
        <v>15</v>
      </c>
      <c r="J2143" s="2" t="s">
        <v>40</v>
      </c>
      <c r="K2143" s="2" t="s">
        <v>64</v>
      </c>
      <c r="L2143" s="2" t="s">
        <v>9</v>
      </c>
      <c r="M2143" s="2" t="s">
        <v>25</v>
      </c>
      <c r="N2143" s="2" t="s">
        <v>19</v>
      </c>
      <c r="O2143" s="2" t="s">
        <v>12</v>
      </c>
      <c r="P2143" s="2" t="s">
        <v>35</v>
      </c>
      <c r="Q2143" s="2" t="s">
        <v>16</v>
      </c>
      <c r="R2143" s="2" t="s">
        <v>18</v>
      </c>
      <c r="S2143">
        <v>4</v>
      </c>
    </row>
    <row r="2144" spans="1:19" x14ac:dyDescent="0.3">
      <c r="A2144">
        <v>3750</v>
      </c>
      <c r="B2144">
        <f>YEAR(Cleaned_HR_Data_Analysis__2[[#This Row],[Joining_Date]])</f>
        <v>2020</v>
      </c>
      <c r="C2144" s="1">
        <v>43878</v>
      </c>
      <c r="D2144" s="1" t="str" cm="1">
        <f t="array" ref="D2144">_xlfn.IFS(E2144&lt;28, "17-27",
AND(E2144&gt;27, E2144&lt;38), "28-37",
AND(E2144&gt;37, E2144 &lt;48), "38-47",
AND(E2144&gt;47, E2144 &lt;58), "48-57",
AND(E2144&gt;57, E2144&lt;68), "58-67",
AND(E2144&gt;67, E2144&lt;78), "68-77",
E2144&gt;77,"Above than 77")</f>
        <v>58-67</v>
      </c>
      <c r="E2144">
        <v>65</v>
      </c>
      <c r="F2144" s="1">
        <v>20136</v>
      </c>
      <c r="G2144" s="1" t="str">
        <f>VLOOKUP(H2144,Table7[#All], 2, FALSE)</f>
        <v>Massachusetts</v>
      </c>
      <c r="H2144" s="2" t="s">
        <v>14</v>
      </c>
      <c r="I2144" s="2" t="s">
        <v>22</v>
      </c>
      <c r="J2144" s="2" t="s">
        <v>31</v>
      </c>
      <c r="K2144" s="2" t="s">
        <v>8</v>
      </c>
      <c r="L2144" s="2" t="s">
        <v>9</v>
      </c>
      <c r="M2144" s="2" t="s">
        <v>25</v>
      </c>
      <c r="N2144" s="2" t="s">
        <v>11</v>
      </c>
      <c r="O2144" s="2" t="s">
        <v>12</v>
      </c>
      <c r="P2144" s="2" t="s">
        <v>42</v>
      </c>
      <c r="Q2144" s="2" t="s">
        <v>37</v>
      </c>
      <c r="R2144" s="2" t="s">
        <v>18</v>
      </c>
      <c r="S2144">
        <v>1</v>
      </c>
    </row>
    <row r="2145" spans="1:19" x14ac:dyDescent="0.3">
      <c r="A2145">
        <v>3684</v>
      </c>
      <c r="B2145">
        <f>YEAR(Cleaned_HR_Data_Analysis__2[[#This Row],[Joining_Date]])</f>
        <v>2019</v>
      </c>
      <c r="C2145" s="1">
        <v>43800</v>
      </c>
      <c r="D2145" s="1" t="str" cm="1">
        <f t="array" ref="D2145">_xlfn.IFS(E2145&lt;28, "17-27",
AND(E2145&gt;27, E2145&lt;38), "28-37",
AND(E2145&gt;37, E2145 &lt;48), "38-47",
AND(E2145&gt;47, E2145 &lt;58), "48-57",
AND(E2145&gt;57, E2145&lt;68), "58-67",
AND(E2145&gt;67, E2145&lt;78), "68-77",
E2145&gt;77,"Above than 77")</f>
        <v>58-67</v>
      </c>
      <c r="E2145">
        <v>65</v>
      </c>
      <c r="F2145" s="1">
        <v>19939</v>
      </c>
      <c r="G2145" s="1" t="str">
        <f>VLOOKUP(H2145,Table7[#All], 2, FALSE)</f>
        <v>Massachusetts</v>
      </c>
      <c r="H2145" s="2" t="s">
        <v>14</v>
      </c>
      <c r="I2145" s="2" t="s">
        <v>22</v>
      </c>
      <c r="J2145" s="2" t="s">
        <v>17</v>
      </c>
      <c r="K2145" s="2" t="s">
        <v>8</v>
      </c>
      <c r="L2145" s="2" t="s">
        <v>9</v>
      </c>
      <c r="M2145" s="2" t="s">
        <v>10</v>
      </c>
      <c r="N2145" s="2" t="s">
        <v>11</v>
      </c>
      <c r="O2145" s="2" t="s">
        <v>12</v>
      </c>
      <c r="P2145" s="2" t="s">
        <v>35</v>
      </c>
      <c r="Q2145" s="2" t="s">
        <v>23</v>
      </c>
      <c r="R2145" s="2" t="s">
        <v>18</v>
      </c>
      <c r="S2145">
        <v>5</v>
      </c>
    </row>
    <row r="2146" spans="1:19" x14ac:dyDescent="0.3">
      <c r="A2146">
        <v>3683</v>
      </c>
      <c r="B2146">
        <f>YEAR(Cleaned_HR_Data_Analysis__2[[#This Row],[Joining_Date]])</f>
        <v>2021</v>
      </c>
      <c r="C2146" s="1">
        <v>44502</v>
      </c>
      <c r="D2146" s="1" t="str" cm="1">
        <f t="array" ref="D2146">_xlfn.IFS(E2146&lt;28, "17-27",
AND(E2146&gt;27, E2146&lt;38), "28-37",
AND(E2146&gt;37, E2146 &lt;48), "38-47",
AND(E2146&gt;47, E2146 &lt;58), "48-57",
AND(E2146&gt;57, E2146&lt;68), "58-67",
AND(E2146&gt;67, E2146&lt;78), "68-77",
E2146&gt;77,"Above than 77")</f>
        <v>58-67</v>
      </c>
      <c r="E2146">
        <v>65</v>
      </c>
      <c r="F2146" s="1">
        <v>20460</v>
      </c>
      <c r="G2146" s="1" t="str">
        <f>VLOOKUP(H2146,Table7[#All], 2, FALSE)</f>
        <v>Massachusetts</v>
      </c>
      <c r="H2146" s="2" t="s">
        <v>14</v>
      </c>
      <c r="I2146" s="2" t="s">
        <v>22</v>
      </c>
      <c r="J2146" s="2" t="s">
        <v>40</v>
      </c>
      <c r="K2146" s="2" t="s">
        <v>8</v>
      </c>
      <c r="L2146" s="2" t="s">
        <v>9</v>
      </c>
      <c r="M2146" s="2" t="s">
        <v>20</v>
      </c>
      <c r="N2146" s="2" t="s">
        <v>11</v>
      </c>
      <c r="O2146" s="2" t="s">
        <v>12</v>
      </c>
      <c r="P2146" s="2" t="s">
        <v>13</v>
      </c>
      <c r="Q2146" s="2" t="s">
        <v>30</v>
      </c>
      <c r="R2146" s="2" t="s">
        <v>18</v>
      </c>
      <c r="S2146">
        <v>1</v>
      </c>
    </row>
    <row r="2147" spans="1:19" x14ac:dyDescent="0.3">
      <c r="A2147">
        <v>3425</v>
      </c>
      <c r="B2147">
        <f>YEAR(Cleaned_HR_Data_Analysis__2[[#This Row],[Joining_Date]])</f>
        <v>2019</v>
      </c>
      <c r="C2147" s="1">
        <v>43613</v>
      </c>
      <c r="D2147" s="1" t="str" cm="1">
        <f t="array" ref="D2147">_xlfn.IFS(E2147&lt;28, "17-27",
AND(E2147&gt;27, E2147&lt;38), "28-37",
AND(E2147&gt;37, E2147 &lt;48), "38-47",
AND(E2147&gt;47, E2147 &lt;58), "48-57",
AND(E2147&gt;57, E2147&lt;68), "58-67",
AND(E2147&gt;67, E2147&lt;78), "68-77",
E2147&gt;77,"Above than 77")</f>
        <v>58-67</v>
      </c>
      <c r="E2147">
        <v>65</v>
      </c>
      <c r="F2147" s="1">
        <v>19872</v>
      </c>
      <c r="G2147" s="1" t="str">
        <f>VLOOKUP(H2147,Table7[#All], 2, FALSE)</f>
        <v>Massachusetts</v>
      </c>
      <c r="H2147" s="2" t="s">
        <v>14</v>
      </c>
      <c r="I2147" s="2" t="s">
        <v>15</v>
      </c>
      <c r="J2147" s="2" t="s">
        <v>40</v>
      </c>
      <c r="K2147" s="2" t="s">
        <v>8</v>
      </c>
      <c r="L2147" s="2" t="s">
        <v>66</v>
      </c>
      <c r="M2147" s="2" t="s">
        <v>10</v>
      </c>
      <c r="N2147" s="2" t="s">
        <v>26</v>
      </c>
      <c r="O2147" s="2" t="s">
        <v>12</v>
      </c>
      <c r="P2147" s="2" t="s">
        <v>21</v>
      </c>
      <c r="Q2147" s="2" t="s">
        <v>23</v>
      </c>
      <c r="R2147" s="2" t="s">
        <v>18</v>
      </c>
      <c r="S2147">
        <v>2</v>
      </c>
    </row>
    <row r="2148" spans="1:19" x14ac:dyDescent="0.3">
      <c r="A2148">
        <v>3406</v>
      </c>
      <c r="B2148">
        <f>YEAR(Cleaned_HR_Data_Analysis__2[[#This Row],[Joining_Date]])</f>
        <v>2020</v>
      </c>
      <c r="C2148" s="1">
        <v>43915</v>
      </c>
      <c r="D2148" s="1" t="str" cm="1">
        <f t="array" ref="D2148">_xlfn.IFS(E2148&lt;28, "17-27",
AND(E2148&gt;27, E2148&lt;38), "28-37",
AND(E2148&gt;37, E2148 &lt;48), "38-47",
AND(E2148&gt;47, E2148 &lt;58), "48-57",
AND(E2148&gt;57, E2148&lt;68), "58-67",
AND(E2148&gt;67, E2148&lt;78), "68-77",
E2148&gt;77,"Above than 77")</f>
        <v>58-67</v>
      </c>
      <c r="E2148">
        <v>65</v>
      </c>
      <c r="F2148" s="1">
        <v>20226</v>
      </c>
      <c r="G2148" s="1" t="str">
        <f>VLOOKUP(H2148,Table7[#All], 2, FALSE)</f>
        <v>Massachusetts</v>
      </c>
      <c r="H2148" s="2" t="s">
        <v>14</v>
      </c>
      <c r="I2148" s="2" t="s">
        <v>15</v>
      </c>
      <c r="J2148" s="2" t="s">
        <v>31</v>
      </c>
      <c r="K2148" s="2" t="s">
        <v>8</v>
      </c>
      <c r="L2148" s="2" t="s">
        <v>66</v>
      </c>
      <c r="M2148" s="2" t="s">
        <v>10</v>
      </c>
      <c r="N2148" s="2" t="s">
        <v>11</v>
      </c>
      <c r="O2148" s="2" t="s">
        <v>12</v>
      </c>
      <c r="P2148" s="2" t="s">
        <v>13</v>
      </c>
      <c r="Q2148" s="2" t="s">
        <v>30</v>
      </c>
      <c r="R2148" s="2" t="s">
        <v>18</v>
      </c>
      <c r="S2148">
        <v>5</v>
      </c>
    </row>
    <row r="2149" spans="1:19" x14ac:dyDescent="0.3">
      <c r="A2149">
        <v>3363</v>
      </c>
      <c r="B2149">
        <f>YEAR(Cleaned_HR_Data_Analysis__2[[#This Row],[Joining_Date]])</f>
        <v>2022</v>
      </c>
      <c r="C2149" s="1">
        <v>44650</v>
      </c>
      <c r="D2149" s="1" t="str" cm="1">
        <f t="array" ref="D2149">_xlfn.IFS(E2149&lt;28, "17-27",
AND(E2149&gt;27, E2149&lt;38), "28-37",
AND(E2149&gt;37, E2149 &lt;48), "38-47",
AND(E2149&gt;47, E2149 &lt;58), "48-57",
AND(E2149&gt;57, E2149&lt;68), "58-67",
AND(E2149&gt;67, E2149&lt;78), "68-77",
E2149&gt;77,"Above than 77")</f>
        <v>58-67</v>
      </c>
      <c r="E2149">
        <v>65</v>
      </c>
      <c r="F2149" s="1">
        <v>21027</v>
      </c>
      <c r="G2149" s="1" t="str">
        <f>VLOOKUP(H2149,Table7[#All], 2, FALSE)</f>
        <v>Massachusetts</v>
      </c>
      <c r="H2149" s="2" t="s">
        <v>14</v>
      </c>
      <c r="I2149" s="2" t="s">
        <v>22</v>
      </c>
      <c r="J2149" s="2" t="s">
        <v>34</v>
      </c>
      <c r="K2149" s="2" t="s">
        <v>8</v>
      </c>
      <c r="L2149" s="2" t="s">
        <v>9</v>
      </c>
      <c r="M2149" s="2" t="s">
        <v>20</v>
      </c>
      <c r="N2149" s="2" t="s">
        <v>19</v>
      </c>
      <c r="O2149" s="2" t="s">
        <v>12</v>
      </c>
      <c r="P2149" s="2" t="s">
        <v>35</v>
      </c>
      <c r="Q2149" s="2" t="s">
        <v>37</v>
      </c>
      <c r="R2149" s="2" t="s">
        <v>41</v>
      </c>
      <c r="S2149">
        <v>4</v>
      </c>
    </row>
    <row r="2150" spans="1:19" x14ac:dyDescent="0.3">
      <c r="A2150">
        <v>3295</v>
      </c>
      <c r="B2150">
        <f>YEAR(Cleaned_HR_Data_Analysis__2[[#This Row],[Joining_Date]])</f>
        <v>2019</v>
      </c>
      <c r="C2150" s="1">
        <v>43616</v>
      </c>
      <c r="D2150" s="1" t="str" cm="1">
        <f t="array" ref="D2150">_xlfn.IFS(E2150&lt;28, "17-27",
AND(E2150&gt;27, E2150&lt;38), "28-37",
AND(E2150&gt;37, E2150 &lt;48), "38-47",
AND(E2150&gt;47, E2150 &lt;58), "48-57",
AND(E2150&gt;57, E2150&lt;68), "58-67",
AND(E2150&gt;67, E2150&lt;78), "68-77",
E2150&gt;77,"Above than 77")</f>
        <v>58-67</v>
      </c>
      <c r="E2150">
        <v>65</v>
      </c>
      <c r="F2150" s="1">
        <v>20046</v>
      </c>
      <c r="G2150" s="1" t="str">
        <f>VLOOKUP(H2150,Table7[#All], 2, FALSE)</f>
        <v>Massachusetts</v>
      </c>
      <c r="H2150" s="2" t="s">
        <v>14</v>
      </c>
      <c r="I2150" s="2" t="s">
        <v>15</v>
      </c>
      <c r="J2150" s="2" t="s">
        <v>40</v>
      </c>
      <c r="K2150" s="2" t="s">
        <v>8</v>
      </c>
      <c r="L2150" s="2" t="s">
        <v>9</v>
      </c>
      <c r="M2150" s="2" t="s">
        <v>20</v>
      </c>
      <c r="N2150" s="2" t="s">
        <v>11</v>
      </c>
      <c r="O2150" s="2" t="s">
        <v>12</v>
      </c>
      <c r="P2150" s="2" t="s">
        <v>21</v>
      </c>
      <c r="Q2150" s="2" t="s">
        <v>37</v>
      </c>
      <c r="R2150" s="2" t="s">
        <v>18</v>
      </c>
      <c r="S2150">
        <v>2</v>
      </c>
    </row>
    <row r="2151" spans="1:19" x14ac:dyDescent="0.3">
      <c r="A2151">
        <v>3256</v>
      </c>
      <c r="B2151">
        <f>YEAR(Cleaned_HR_Data_Analysis__2[[#This Row],[Joining_Date]])</f>
        <v>2019</v>
      </c>
      <c r="C2151" s="1">
        <v>43489</v>
      </c>
      <c r="D2151" s="1" t="str" cm="1">
        <f t="array" ref="D2151">_xlfn.IFS(E2151&lt;28, "17-27",
AND(E2151&gt;27, E2151&lt;38), "28-37",
AND(E2151&gt;37, E2151 &lt;48), "38-47",
AND(E2151&gt;47, E2151 &lt;58), "48-57",
AND(E2151&gt;57, E2151&lt;68), "58-67",
AND(E2151&gt;67, E2151&lt;78), "68-77",
E2151&gt;77,"Above than 77")</f>
        <v>58-67</v>
      </c>
      <c r="E2151">
        <v>65</v>
      </c>
      <c r="F2151" s="1">
        <v>20043</v>
      </c>
      <c r="G2151" s="1" t="str">
        <f>VLOOKUP(H2151,Table7[#All], 2, FALSE)</f>
        <v>Massachusetts</v>
      </c>
      <c r="H2151" s="2" t="s">
        <v>14</v>
      </c>
      <c r="I2151" s="2" t="s">
        <v>22</v>
      </c>
      <c r="J2151" s="2" t="s">
        <v>40</v>
      </c>
      <c r="K2151" s="2" t="s">
        <v>8</v>
      </c>
      <c r="L2151" s="2" t="s">
        <v>9</v>
      </c>
      <c r="M2151" s="2" t="s">
        <v>20</v>
      </c>
      <c r="N2151" s="2" t="s">
        <v>26</v>
      </c>
      <c r="O2151" s="2" t="s">
        <v>12</v>
      </c>
      <c r="P2151" s="2" t="s">
        <v>32</v>
      </c>
      <c r="Q2151" s="2" t="s">
        <v>37</v>
      </c>
      <c r="R2151" s="2" t="s">
        <v>18</v>
      </c>
      <c r="S2151">
        <v>1</v>
      </c>
    </row>
    <row r="2152" spans="1:19" x14ac:dyDescent="0.3">
      <c r="A2152">
        <v>3243</v>
      </c>
      <c r="B2152">
        <f>YEAR(Cleaned_HR_Data_Analysis__2[[#This Row],[Joining_Date]])</f>
        <v>2020</v>
      </c>
      <c r="C2152" s="1">
        <v>44178</v>
      </c>
      <c r="D2152" s="1" t="str" cm="1">
        <f t="array" ref="D2152">_xlfn.IFS(E2152&lt;28, "17-27",
AND(E2152&gt;27, E2152&lt;38), "28-37",
AND(E2152&gt;37, E2152 &lt;48), "38-47",
AND(E2152&gt;47, E2152 &lt;58), "48-57",
AND(E2152&gt;57, E2152&lt;68), "58-67",
AND(E2152&gt;67, E2152&lt;78), "68-77",
E2152&gt;77,"Above than 77")</f>
        <v>58-67</v>
      </c>
      <c r="E2152">
        <v>65</v>
      </c>
      <c r="F2152" s="1">
        <v>20128</v>
      </c>
      <c r="G2152" s="1" t="str">
        <f>VLOOKUP(H2152,Table7[#All], 2, FALSE)</f>
        <v>Massachusetts</v>
      </c>
      <c r="H2152" s="2" t="s">
        <v>14</v>
      </c>
      <c r="I2152" s="2" t="s">
        <v>22</v>
      </c>
      <c r="J2152" s="2" t="s">
        <v>34</v>
      </c>
      <c r="K2152" s="2" t="s">
        <v>8</v>
      </c>
      <c r="L2152" s="2" t="s">
        <v>9</v>
      </c>
      <c r="M2152" s="2" t="s">
        <v>25</v>
      </c>
      <c r="N2152" s="2" t="s">
        <v>11</v>
      </c>
      <c r="O2152" s="2" t="s">
        <v>12</v>
      </c>
      <c r="P2152" s="2" t="s">
        <v>49</v>
      </c>
      <c r="Q2152" s="2" t="s">
        <v>23</v>
      </c>
      <c r="R2152" s="2" t="s">
        <v>18</v>
      </c>
      <c r="S2152">
        <v>3</v>
      </c>
    </row>
    <row r="2153" spans="1:19" x14ac:dyDescent="0.3">
      <c r="A2153">
        <v>3173</v>
      </c>
      <c r="B2153">
        <f>YEAR(Cleaned_HR_Data_Analysis__2[[#This Row],[Joining_Date]])</f>
        <v>2022</v>
      </c>
      <c r="C2153" s="1">
        <v>44916</v>
      </c>
      <c r="D2153" s="1" t="str" cm="1">
        <f t="array" ref="D2153">_xlfn.IFS(E2153&lt;28, "17-27",
AND(E2153&gt;27, E2153&lt;38), "28-37",
AND(E2153&gt;37, E2153 &lt;48), "38-47",
AND(E2153&gt;47, E2153 &lt;58), "48-57",
AND(E2153&gt;57, E2153&lt;68), "58-67",
AND(E2153&gt;67, E2153&lt;78), "68-77",
E2153&gt;77,"Above than 77")</f>
        <v>58-67</v>
      </c>
      <c r="E2153">
        <v>65</v>
      </c>
      <c r="F2153" s="1">
        <v>20893</v>
      </c>
      <c r="G2153" s="1" t="str">
        <f>VLOOKUP(H2153,Table7[#All], 2, FALSE)</f>
        <v>Massachusetts</v>
      </c>
      <c r="H2153" s="2" t="s">
        <v>14</v>
      </c>
      <c r="I2153" s="2" t="s">
        <v>15</v>
      </c>
      <c r="J2153" s="2" t="s">
        <v>34</v>
      </c>
      <c r="K2153" s="2" t="s">
        <v>8</v>
      </c>
      <c r="L2153" s="2" t="s">
        <v>9</v>
      </c>
      <c r="M2153" s="2" t="s">
        <v>10</v>
      </c>
      <c r="N2153" s="2" t="s">
        <v>19</v>
      </c>
      <c r="O2153" s="2" t="s">
        <v>12</v>
      </c>
      <c r="P2153" s="2" t="s">
        <v>67</v>
      </c>
      <c r="Q2153" s="2" t="s">
        <v>46</v>
      </c>
      <c r="R2153" s="2" t="s">
        <v>18</v>
      </c>
      <c r="S2153">
        <v>4</v>
      </c>
    </row>
    <row r="2154" spans="1:19" x14ac:dyDescent="0.3">
      <c r="A2154">
        <v>3144</v>
      </c>
      <c r="B2154">
        <f>YEAR(Cleaned_HR_Data_Analysis__2[[#This Row],[Joining_Date]])</f>
        <v>2021</v>
      </c>
      <c r="C2154" s="1">
        <v>44236</v>
      </c>
      <c r="D2154" s="1" t="str" cm="1">
        <f t="array" ref="D2154">_xlfn.IFS(E2154&lt;28, "17-27",
AND(E2154&gt;27, E2154&lt;38), "28-37",
AND(E2154&gt;37, E2154 &lt;48), "38-47",
AND(E2154&gt;47, E2154 &lt;58), "48-57",
AND(E2154&gt;57, E2154&lt;68), "58-67",
AND(E2154&gt;67, E2154&lt;78), "68-77",
E2154&gt;77,"Above than 77")</f>
        <v>58-67</v>
      </c>
      <c r="E2154">
        <v>65</v>
      </c>
      <c r="F2154" s="1">
        <v>20717</v>
      </c>
      <c r="G2154" s="1" t="str">
        <f>VLOOKUP(H2154,Table7[#All], 2, FALSE)</f>
        <v>Massachusetts</v>
      </c>
      <c r="H2154" s="2" t="s">
        <v>14</v>
      </c>
      <c r="I2154" s="2" t="s">
        <v>22</v>
      </c>
      <c r="J2154" s="2" t="s">
        <v>34</v>
      </c>
      <c r="K2154" s="2" t="s">
        <v>8</v>
      </c>
      <c r="L2154" s="2" t="s">
        <v>9</v>
      </c>
      <c r="M2154" s="2" t="s">
        <v>10</v>
      </c>
      <c r="N2154" s="2" t="s">
        <v>11</v>
      </c>
      <c r="O2154" s="2" t="s">
        <v>12</v>
      </c>
      <c r="P2154" s="2" t="s">
        <v>42</v>
      </c>
      <c r="Q2154" s="2" t="s">
        <v>23</v>
      </c>
      <c r="R2154" s="2" t="s">
        <v>41</v>
      </c>
      <c r="S2154">
        <v>4</v>
      </c>
    </row>
    <row r="2155" spans="1:19" x14ac:dyDescent="0.3">
      <c r="A2155">
        <v>3038</v>
      </c>
      <c r="B2155">
        <f>YEAR(Cleaned_HR_Data_Analysis__2[[#This Row],[Joining_Date]])</f>
        <v>2020</v>
      </c>
      <c r="C2155" s="1">
        <v>44146</v>
      </c>
      <c r="D2155" s="1" t="str" cm="1">
        <f t="array" ref="D2155">_xlfn.IFS(E2155&lt;28, "17-27",
AND(E2155&gt;27, E2155&lt;38), "28-37",
AND(E2155&gt;37, E2155 &lt;48), "38-47",
AND(E2155&gt;47, E2155 &lt;58), "48-57",
AND(E2155&gt;57, E2155&lt;68), "58-67",
AND(E2155&gt;67, E2155&lt;78), "68-77",
E2155&gt;77,"Above than 77")</f>
        <v>58-67</v>
      </c>
      <c r="E2155">
        <v>65</v>
      </c>
      <c r="F2155" s="1">
        <v>20321</v>
      </c>
      <c r="G2155" s="1" t="str">
        <f>VLOOKUP(H2155,Table7[#All], 2, FALSE)</f>
        <v>Massachusetts</v>
      </c>
      <c r="H2155" s="2" t="s">
        <v>14</v>
      </c>
      <c r="I2155" s="2" t="s">
        <v>22</v>
      </c>
      <c r="J2155" s="2" t="s">
        <v>40</v>
      </c>
      <c r="K2155" s="2" t="s">
        <v>8</v>
      </c>
      <c r="L2155" s="2" t="s">
        <v>9</v>
      </c>
      <c r="M2155" s="2" t="s">
        <v>20</v>
      </c>
      <c r="N2155" s="2" t="s">
        <v>26</v>
      </c>
      <c r="O2155" s="2" t="s">
        <v>12</v>
      </c>
      <c r="P2155" s="2" t="s">
        <v>35</v>
      </c>
      <c r="Q2155" s="2" t="s">
        <v>16</v>
      </c>
      <c r="R2155" s="2" t="s">
        <v>18</v>
      </c>
      <c r="S2155">
        <v>5</v>
      </c>
    </row>
    <row r="2156" spans="1:19" x14ac:dyDescent="0.3">
      <c r="A2156">
        <v>2778</v>
      </c>
      <c r="B2156">
        <f>YEAR(Cleaned_HR_Data_Analysis__2[[#This Row],[Joining_Date]])</f>
        <v>2020</v>
      </c>
      <c r="C2156" s="1">
        <v>44167</v>
      </c>
      <c r="D2156" s="1" t="str" cm="1">
        <f t="array" ref="D2156">_xlfn.IFS(E2156&lt;28, "17-27",
AND(E2156&gt;27, E2156&lt;38), "28-37",
AND(E2156&gt;37, E2156 &lt;48), "38-47",
AND(E2156&gt;47, E2156 &lt;58), "48-57",
AND(E2156&gt;57, E2156&lt;68), "58-67",
AND(E2156&gt;67, E2156&lt;78), "68-77",
E2156&gt;77,"Above than 77")</f>
        <v>58-67</v>
      </c>
      <c r="E2156">
        <v>65</v>
      </c>
      <c r="F2156" s="1">
        <v>20148</v>
      </c>
      <c r="G2156" s="1" t="str">
        <f>VLOOKUP(H2156,Table7[#All], 2, FALSE)</f>
        <v>Massachusetts</v>
      </c>
      <c r="H2156" s="2" t="s">
        <v>14</v>
      </c>
      <c r="I2156" s="2" t="s">
        <v>22</v>
      </c>
      <c r="J2156" s="2" t="s">
        <v>40</v>
      </c>
      <c r="K2156" s="2" t="s">
        <v>8</v>
      </c>
      <c r="L2156" s="2" t="s">
        <v>9</v>
      </c>
      <c r="M2156" s="2" t="s">
        <v>20</v>
      </c>
      <c r="N2156" s="2" t="s">
        <v>11</v>
      </c>
      <c r="O2156" s="2" t="s">
        <v>12</v>
      </c>
      <c r="P2156" s="2" t="s">
        <v>61</v>
      </c>
      <c r="Q2156" s="2" t="s">
        <v>46</v>
      </c>
      <c r="R2156" s="2" t="s">
        <v>18</v>
      </c>
      <c r="S2156">
        <v>1</v>
      </c>
    </row>
    <row r="2157" spans="1:19" x14ac:dyDescent="0.3">
      <c r="A2157">
        <v>2111</v>
      </c>
      <c r="B2157">
        <f>YEAR(Cleaned_HR_Data_Analysis__2[[#This Row],[Joining_Date]])</f>
        <v>2022</v>
      </c>
      <c r="C2157" s="1">
        <v>44649</v>
      </c>
      <c r="D2157" s="1" t="str" cm="1">
        <f t="array" ref="D2157">_xlfn.IFS(E2157&lt;28, "17-27",
AND(E2157&gt;27, E2157&lt;38), "28-37",
AND(E2157&gt;37, E2157 &lt;48), "38-47",
AND(E2157&gt;47, E2157 &lt;58), "48-57",
AND(E2157&gt;57, E2157&lt;68), "58-67",
AND(E2157&gt;67, E2157&lt;78), "68-77",
E2157&gt;77,"Above than 77")</f>
        <v>58-67</v>
      </c>
      <c r="E2157">
        <v>65</v>
      </c>
      <c r="F2157" s="1">
        <v>20957</v>
      </c>
      <c r="G2157" s="1" t="str">
        <f>VLOOKUP(H2157,Table7[#All], 2, FALSE)</f>
        <v>Massachusetts</v>
      </c>
      <c r="H2157" s="2" t="s">
        <v>14</v>
      </c>
      <c r="I2157" s="2" t="s">
        <v>15</v>
      </c>
      <c r="J2157" s="2" t="s">
        <v>31</v>
      </c>
      <c r="K2157" s="2" t="s">
        <v>8</v>
      </c>
      <c r="L2157" s="2" t="s">
        <v>9</v>
      </c>
      <c r="M2157" s="2" t="s">
        <v>25</v>
      </c>
      <c r="N2157" s="2" t="s">
        <v>19</v>
      </c>
      <c r="O2157" s="2" t="s">
        <v>12</v>
      </c>
      <c r="P2157" s="2" t="s">
        <v>32</v>
      </c>
      <c r="Q2157" s="2" t="s">
        <v>46</v>
      </c>
      <c r="R2157" s="2" t="s">
        <v>56</v>
      </c>
      <c r="S2157">
        <v>3</v>
      </c>
    </row>
    <row r="2158" spans="1:19" x14ac:dyDescent="0.3">
      <c r="A2158">
        <v>2039</v>
      </c>
      <c r="B2158">
        <f>YEAR(Cleaned_HR_Data_Analysis__2[[#This Row],[Joining_Date]])</f>
        <v>2022</v>
      </c>
      <c r="C2158" s="1">
        <v>44673</v>
      </c>
      <c r="D2158" s="1" t="str" cm="1">
        <f t="array" ref="D2158">_xlfn.IFS(E2158&lt;28, "17-27",
AND(E2158&gt;27, E2158&lt;38), "28-37",
AND(E2158&gt;37, E2158 &lt;48), "38-47",
AND(E2158&gt;47, E2158 &lt;58), "48-57",
AND(E2158&gt;57, E2158&lt;68), "58-67",
AND(E2158&gt;67, E2158&lt;78), "68-77",
E2158&gt;77,"Above than 77")</f>
        <v>58-67</v>
      </c>
      <c r="E2158">
        <v>65</v>
      </c>
      <c r="F2158" s="1">
        <v>21097</v>
      </c>
      <c r="G2158" s="1" t="str">
        <f>VLOOKUP(H2158,Table7[#All], 2, FALSE)</f>
        <v>Massachusetts</v>
      </c>
      <c r="H2158" s="2" t="s">
        <v>14</v>
      </c>
      <c r="I2158" s="2" t="s">
        <v>15</v>
      </c>
      <c r="J2158" s="2" t="s">
        <v>31</v>
      </c>
      <c r="K2158" s="2" t="s">
        <v>8</v>
      </c>
      <c r="L2158" s="2" t="s">
        <v>9</v>
      </c>
      <c r="M2158" s="2" t="s">
        <v>25</v>
      </c>
      <c r="N2158" s="2" t="s">
        <v>26</v>
      </c>
      <c r="O2158" s="2" t="s">
        <v>12</v>
      </c>
      <c r="P2158" s="2" t="s">
        <v>35</v>
      </c>
      <c r="Q2158" s="2" t="s">
        <v>16</v>
      </c>
      <c r="R2158" s="2" t="s">
        <v>18</v>
      </c>
      <c r="S2158">
        <v>2</v>
      </c>
    </row>
    <row r="2159" spans="1:19" x14ac:dyDescent="0.3">
      <c r="A2159">
        <v>1609</v>
      </c>
      <c r="B2159">
        <f>YEAR(Cleaned_HR_Data_Analysis__2[[#This Row],[Joining_Date]])</f>
        <v>2018</v>
      </c>
      <c r="C2159" s="1">
        <v>43355</v>
      </c>
      <c r="D2159" s="1" t="str" cm="1">
        <f t="array" ref="D2159">_xlfn.IFS(E2159&lt;28, "17-27",
AND(E2159&gt;27, E2159&lt;38), "28-37",
AND(E2159&gt;37, E2159 &lt;48), "38-47",
AND(E2159&gt;47, E2159 &lt;58), "48-57",
AND(E2159&gt;57, E2159&lt;68), "58-67",
AND(E2159&gt;67, E2159&lt;78), "68-77",
E2159&gt;77,"Above than 77")</f>
        <v>58-67</v>
      </c>
      <c r="E2159">
        <v>65</v>
      </c>
      <c r="F2159" s="1">
        <v>19689</v>
      </c>
      <c r="G2159" s="1" t="str">
        <f>VLOOKUP(H2159,Table7[#All], 2, FALSE)</f>
        <v>Massachusetts</v>
      </c>
      <c r="H2159" s="2" t="s">
        <v>14</v>
      </c>
      <c r="I2159" s="2" t="s">
        <v>22</v>
      </c>
      <c r="J2159" s="2" t="s">
        <v>34</v>
      </c>
      <c r="K2159" s="2" t="s">
        <v>8</v>
      </c>
      <c r="L2159" s="2" t="s">
        <v>9</v>
      </c>
      <c r="M2159" s="2" t="s">
        <v>10</v>
      </c>
      <c r="N2159" s="2" t="s">
        <v>19</v>
      </c>
      <c r="O2159" s="2" t="s">
        <v>12</v>
      </c>
      <c r="P2159" s="2" t="s">
        <v>38</v>
      </c>
      <c r="Q2159" s="2" t="s">
        <v>37</v>
      </c>
      <c r="R2159" s="2" t="s">
        <v>65</v>
      </c>
      <c r="S2159">
        <v>5</v>
      </c>
    </row>
    <row r="2160" spans="1:19" x14ac:dyDescent="0.3">
      <c r="A2160">
        <v>1561</v>
      </c>
      <c r="B2160">
        <f>YEAR(Cleaned_HR_Data_Analysis__2[[#This Row],[Joining_Date]])</f>
        <v>2021</v>
      </c>
      <c r="C2160" s="1">
        <v>44239</v>
      </c>
      <c r="D2160" s="1" t="str" cm="1">
        <f t="array" ref="D2160">_xlfn.IFS(E2160&lt;28, "17-27",
AND(E2160&gt;27, E2160&lt;38), "28-37",
AND(E2160&gt;37, E2160 &lt;48), "38-47",
AND(E2160&gt;47, E2160 &lt;58), "48-57",
AND(E2160&gt;57, E2160&lt;68), "58-67",
AND(E2160&gt;67, E2160&lt;78), "68-77",
E2160&gt;77,"Above than 77")</f>
        <v>58-67</v>
      </c>
      <c r="E2160">
        <v>65</v>
      </c>
      <c r="F2160" s="1">
        <v>20604</v>
      </c>
      <c r="G2160" s="1" t="str">
        <f>VLOOKUP(H2160,Table7[#All], 2, FALSE)</f>
        <v>Massachusetts</v>
      </c>
      <c r="H2160" s="2" t="s">
        <v>14</v>
      </c>
      <c r="I2160" s="2" t="s">
        <v>15</v>
      </c>
      <c r="J2160" s="2" t="s">
        <v>31</v>
      </c>
      <c r="K2160" s="2" t="s">
        <v>8</v>
      </c>
      <c r="L2160" s="2" t="s">
        <v>9</v>
      </c>
      <c r="M2160" s="2" t="s">
        <v>10</v>
      </c>
      <c r="N2160" s="2" t="s">
        <v>11</v>
      </c>
      <c r="O2160" s="2" t="s">
        <v>12</v>
      </c>
      <c r="P2160" s="2" t="s">
        <v>32</v>
      </c>
      <c r="Q2160" s="2" t="s">
        <v>23</v>
      </c>
      <c r="R2160" s="2" t="s">
        <v>18</v>
      </c>
      <c r="S2160">
        <v>1</v>
      </c>
    </row>
    <row r="2161" spans="1:19" x14ac:dyDescent="0.3">
      <c r="A2161">
        <v>1139</v>
      </c>
      <c r="B2161">
        <f>YEAR(Cleaned_HR_Data_Analysis__2[[#This Row],[Joining_Date]])</f>
        <v>2018</v>
      </c>
      <c r="C2161" s="1">
        <v>43322</v>
      </c>
      <c r="D2161" s="1" t="str" cm="1">
        <f t="array" ref="D2161">_xlfn.IFS(E2161&lt;28, "17-27",
AND(E2161&gt;27, E2161&lt;38), "28-37",
AND(E2161&gt;37, E2161 &lt;48), "38-47",
AND(E2161&gt;47, E2161 &lt;58), "48-57",
AND(E2161&gt;57, E2161&lt;68), "58-67",
AND(E2161&gt;67, E2161&lt;78), "68-77",
E2161&gt;77,"Above than 77")</f>
        <v>58-67</v>
      </c>
      <c r="E2161">
        <v>65</v>
      </c>
      <c r="F2161" s="1">
        <v>19460</v>
      </c>
      <c r="G2161" s="1" t="str">
        <f>VLOOKUP(H2161,Table7[#All], 2, FALSE)</f>
        <v>Massachusetts</v>
      </c>
      <c r="H2161" s="2" t="s">
        <v>14</v>
      </c>
      <c r="I2161" s="2" t="s">
        <v>22</v>
      </c>
      <c r="J2161" s="2" t="s">
        <v>34</v>
      </c>
      <c r="K2161" s="2" t="s">
        <v>8</v>
      </c>
      <c r="L2161" s="2" t="s">
        <v>9</v>
      </c>
      <c r="M2161" s="2" t="s">
        <v>10</v>
      </c>
      <c r="N2161" s="2" t="s">
        <v>19</v>
      </c>
      <c r="O2161" s="2" t="s">
        <v>12</v>
      </c>
      <c r="P2161" s="2" t="s">
        <v>49</v>
      </c>
      <c r="Q2161" s="2" t="s">
        <v>23</v>
      </c>
      <c r="R2161" s="2" t="s">
        <v>18</v>
      </c>
      <c r="S2161">
        <v>4</v>
      </c>
    </row>
    <row r="2162" spans="1:19" x14ac:dyDescent="0.3">
      <c r="A2162">
        <v>1137</v>
      </c>
      <c r="B2162">
        <f>YEAR(Cleaned_HR_Data_Analysis__2[[#This Row],[Joining_Date]])</f>
        <v>2019</v>
      </c>
      <c r="C2162" s="1">
        <v>43614</v>
      </c>
      <c r="D2162" s="1" t="str" cm="1">
        <f t="array" ref="D2162">_xlfn.IFS(E2162&lt;28, "17-27",
AND(E2162&gt;27, E2162&lt;38), "28-37",
AND(E2162&gt;37, E2162 &lt;48), "38-47",
AND(E2162&gt;47, E2162 &lt;58), "48-57",
AND(E2162&gt;57, E2162&lt;68), "58-67",
AND(E2162&gt;67, E2162&lt;78), "68-77",
E2162&gt;77,"Above than 77")</f>
        <v>58-67</v>
      </c>
      <c r="E2162">
        <v>65</v>
      </c>
      <c r="F2162" s="1">
        <v>19783</v>
      </c>
      <c r="G2162" s="1" t="str">
        <f>VLOOKUP(H2162,Table7[#All], 2, FALSE)</f>
        <v>Massachusetts</v>
      </c>
      <c r="H2162" s="2" t="s">
        <v>14</v>
      </c>
      <c r="I2162" s="2" t="s">
        <v>22</v>
      </c>
      <c r="J2162" s="2" t="s">
        <v>31</v>
      </c>
      <c r="K2162" s="2" t="s">
        <v>8</v>
      </c>
      <c r="L2162" s="2" t="s">
        <v>9</v>
      </c>
      <c r="M2162" s="2" t="s">
        <v>25</v>
      </c>
      <c r="N2162" s="2" t="s">
        <v>11</v>
      </c>
      <c r="O2162" s="2" t="s">
        <v>12</v>
      </c>
      <c r="P2162" s="2" t="s">
        <v>35</v>
      </c>
      <c r="Q2162" s="2" t="s">
        <v>37</v>
      </c>
      <c r="R2162" s="2" t="s">
        <v>18</v>
      </c>
      <c r="S2162">
        <v>3</v>
      </c>
    </row>
    <row r="2163" spans="1:19" x14ac:dyDescent="0.3">
      <c r="A2163">
        <v>2399</v>
      </c>
      <c r="B2163">
        <f>YEAR(Cleaned_HR_Data_Analysis__2[[#This Row],[Joining_Date]])</f>
        <v>2023</v>
      </c>
      <c r="C2163" s="1">
        <v>45071</v>
      </c>
      <c r="D2163" s="1" t="str" cm="1">
        <f t="array" ref="D2163">_xlfn.IFS(E2163&lt;28, "17-27",
AND(E2163&gt;27, E2163&lt;38), "28-37",
AND(E2163&gt;37, E2163 &lt;48), "38-47",
AND(E2163&gt;47, E2163 &lt;58), "48-57",
AND(E2163&gt;57, E2163&lt;68), "58-67",
AND(E2163&gt;67, E2163&lt;78), "68-77",
E2163&gt;77,"Above than 77")</f>
        <v>58-67</v>
      </c>
      <c r="E2163">
        <v>65</v>
      </c>
      <c r="F2163" s="1">
        <v>21349</v>
      </c>
      <c r="G2163" s="1" t="str">
        <f>VLOOKUP(H2163,Table7[#All], 2, FALSE)</f>
        <v>Massachusetts</v>
      </c>
      <c r="H2163" s="2" t="s">
        <v>14</v>
      </c>
      <c r="I2163" s="2" t="s">
        <v>22</v>
      </c>
      <c r="J2163" s="2" t="s">
        <v>34</v>
      </c>
      <c r="K2163" s="2" t="s">
        <v>91</v>
      </c>
      <c r="L2163" s="2" t="s">
        <v>9</v>
      </c>
      <c r="M2163" s="2" t="s">
        <v>25</v>
      </c>
      <c r="N2163" s="2" t="s">
        <v>26</v>
      </c>
      <c r="O2163" s="2" t="s">
        <v>12</v>
      </c>
      <c r="P2163" s="2" t="s">
        <v>59</v>
      </c>
      <c r="Q2163" s="2" t="s">
        <v>16</v>
      </c>
      <c r="R2163" s="2" t="s">
        <v>18</v>
      </c>
      <c r="S2163">
        <v>4</v>
      </c>
    </row>
    <row r="2164" spans="1:19" x14ac:dyDescent="0.3">
      <c r="A2164">
        <v>2365</v>
      </c>
      <c r="B2164">
        <f>YEAR(Cleaned_HR_Data_Analysis__2[[#This Row],[Joining_Date]])</f>
        <v>2018</v>
      </c>
      <c r="C2164" s="1">
        <v>43433</v>
      </c>
      <c r="D2164" s="1" t="str" cm="1">
        <f t="array" ref="D2164">_xlfn.IFS(E2164&lt;28, "17-27",
AND(E2164&gt;27, E2164&lt;38), "28-37",
AND(E2164&gt;37, E2164 &lt;48), "38-47",
AND(E2164&gt;47, E2164 &lt;58), "48-57",
AND(E2164&gt;57, E2164&lt;68), "58-67",
AND(E2164&gt;67, E2164&lt;78), "68-77",
E2164&gt;77,"Above than 77")</f>
        <v>58-67</v>
      </c>
      <c r="E2164">
        <v>65</v>
      </c>
      <c r="F2164" s="1">
        <v>19596</v>
      </c>
      <c r="G2164" s="1" t="str">
        <f>VLOOKUP(H2164,Table7[#All], 2, FALSE)</f>
        <v>Massachusetts</v>
      </c>
      <c r="H2164" s="2" t="s">
        <v>14</v>
      </c>
      <c r="I2164" s="2" t="s">
        <v>15</v>
      </c>
      <c r="J2164" s="2" t="s">
        <v>34</v>
      </c>
      <c r="K2164" s="2" t="s">
        <v>91</v>
      </c>
      <c r="L2164" s="2" t="s">
        <v>66</v>
      </c>
      <c r="M2164" s="2" t="s">
        <v>10</v>
      </c>
      <c r="N2164" s="2" t="s">
        <v>19</v>
      </c>
      <c r="O2164" s="2" t="s">
        <v>12</v>
      </c>
      <c r="P2164" s="2" t="s">
        <v>42</v>
      </c>
      <c r="Q2164" s="2" t="s">
        <v>37</v>
      </c>
      <c r="R2164" s="2" t="s">
        <v>18</v>
      </c>
      <c r="S2164">
        <v>1</v>
      </c>
    </row>
    <row r="2165" spans="1:19" x14ac:dyDescent="0.3">
      <c r="A2165">
        <v>2318</v>
      </c>
      <c r="B2165">
        <f>YEAR(Cleaned_HR_Data_Analysis__2[[#This Row],[Joining_Date]])</f>
        <v>2022</v>
      </c>
      <c r="C2165" s="1">
        <v>44612</v>
      </c>
      <c r="D2165" s="1" t="str" cm="1">
        <f t="array" ref="D2165">_xlfn.IFS(E2165&lt;28, "17-27",
AND(E2165&gt;27, E2165&lt;38), "28-37",
AND(E2165&gt;37, E2165 &lt;48), "38-47",
AND(E2165&gt;47, E2165 &lt;58), "48-57",
AND(E2165&gt;57, E2165&lt;68), "58-67",
AND(E2165&gt;67, E2165&lt;78), "68-77",
E2165&gt;77,"Above than 77")</f>
        <v>58-67</v>
      </c>
      <c r="E2165">
        <v>65</v>
      </c>
      <c r="F2165" s="1">
        <v>20904</v>
      </c>
      <c r="G2165" s="1" t="str">
        <f>VLOOKUP(H2165,Table7[#All], 2, FALSE)</f>
        <v>Massachusetts</v>
      </c>
      <c r="H2165" s="2" t="s">
        <v>14</v>
      </c>
      <c r="I2165" s="2" t="s">
        <v>15</v>
      </c>
      <c r="J2165" s="2" t="s">
        <v>17</v>
      </c>
      <c r="K2165" s="2" t="s">
        <v>91</v>
      </c>
      <c r="L2165" s="2" t="s">
        <v>9</v>
      </c>
      <c r="M2165" s="2" t="s">
        <v>20</v>
      </c>
      <c r="N2165" s="2" t="s">
        <v>19</v>
      </c>
      <c r="O2165" s="2" t="s">
        <v>12</v>
      </c>
      <c r="P2165" s="2" t="s">
        <v>35</v>
      </c>
      <c r="Q2165" s="2" t="s">
        <v>16</v>
      </c>
      <c r="R2165" s="2" t="s">
        <v>18</v>
      </c>
      <c r="S2165">
        <v>1</v>
      </c>
    </row>
    <row r="2166" spans="1:19" x14ac:dyDescent="0.3">
      <c r="A2166">
        <v>2298</v>
      </c>
      <c r="B2166">
        <f>YEAR(Cleaned_HR_Data_Analysis__2[[#This Row],[Joining_Date]])</f>
        <v>2023</v>
      </c>
      <c r="C2166" s="1">
        <v>45143</v>
      </c>
      <c r="D2166" s="1" t="str" cm="1">
        <f t="array" ref="D2166">_xlfn.IFS(E2166&lt;28, "17-27",
AND(E2166&gt;27, E2166&lt;38), "28-37",
AND(E2166&gt;37, E2166 &lt;48), "38-47",
AND(E2166&gt;47, E2166 &lt;58), "48-57",
AND(E2166&gt;57, E2166&lt;68), "58-67",
AND(E2166&gt;67, E2166&lt;78), "68-77",
E2166&gt;77,"Above than 77")</f>
        <v>58-67</v>
      </c>
      <c r="E2166">
        <v>65</v>
      </c>
      <c r="F2166" s="1">
        <v>21302</v>
      </c>
      <c r="G2166" s="1" t="str">
        <f>VLOOKUP(H2166,Table7[#All], 2, FALSE)</f>
        <v>Massachusetts</v>
      </c>
      <c r="H2166" s="2" t="s">
        <v>14</v>
      </c>
      <c r="I2166" s="2" t="s">
        <v>15</v>
      </c>
      <c r="J2166" s="2" t="s">
        <v>34</v>
      </c>
      <c r="K2166" s="2" t="s">
        <v>91</v>
      </c>
      <c r="L2166" s="2" t="s">
        <v>9</v>
      </c>
      <c r="M2166" s="2" t="s">
        <v>25</v>
      </c>
      <c r="N2166" s="2" t="s">
        <v>26</v>
      </c>
      <c r="O2166" s="2" t="s">
        <v>12</v>
      </c>
      <c r="P2166" s="2" t="s">
        <v>35</v>
      </c>
      <c r="Q2166" s="2" t="s">
        <v>30</v>
      </c>
      <c r="R2166" s="2" t="s">
        <v>18</v>
      </c>
      <c r="S2166">
        <v>2</v>
      </c>
    </row>
    <row r="2167" spans="1:19" x14ac:dyDescent="0.3">
      <c r="A2167">
        <v>3928</v>
      </c>
      <c r="B2167">
        <f>YEAR(Cleaned_HR_Data_Analysis__2[[#This Row],[Joining_Date]])</f>
        <v>2021</v>
      </c>
      <c r="C2167" s="1">
        <v>44223</v>
      </c>
      <c r="D2167" s="1" t="str" cm="1">
        <f t="array" ref="D2167">_xlfn.IFS(E2167&lt;28, "17-27",
AND(E2167&gt;27, E2167&lt;38), "28-37",
AND(E2167&gt;37, E2167 &lt;48), "38-47",
AND(E2167&gt;47, E2167 &lt;58), "48-57",
AND(E2167&gt;57, E2167&lt;68), "58-67",
AND(E2167&gt;67, E2167&lt;78), "68-77",
E2167&gt;77,"Above than 77")</f>
        <v>58-67</v>
      </c>
      <c r="E2167">
        <v>65</v>
      </c>
      <c r="F2167" s="1">
        <v>20647</v>
      </c>
      <c r="G2167" s="1" t="str">
        <f>VLOOKUP(H2167,Table7[#All], 2, FALSE)</f>
        <v>Massachusetts</v>
      </c>
      <c r="H2167" s="2" t="s">
        <v>14</v>
      </c>
      <c r="I2167" s="2" t="s">
        <v>22</v>
      </c>
      <c r="J2167" s="2" t="s">
        <v>17</v>
      </c>
      <c r="K2167" s="2" t="s">
        <v>71</v>
      </c>
      <c r="L2167" s="2" t="s">
        <v>9</v>
      </c>
      <c r="M2167" s="2" t="s">
        <v>25</v>
      </c>
      <c r="N2167" s="2" t="s">
        <v>19</v>
      </c>
      <c r="O2167" s="2" t="s">
        <v>53</v>
      </c>
      <c r="P2167" s="2" t="s">
        <v>32</v>
      </c>
      <c r="Q2167" s="2" t="s">
        <v>16</v>
      </c>
      <c r="R2167" s="2" t="s">
        <v>18</v>
      </c>
      <c r="S2167">
        <v>2</v>
      </c>
    </row>
    <row r="2168" spans="1:19" x14ac:dyDescent="0.3">
      <c r="A2168">
        <v>3816</v>
      </c>
      <c r="B2168">
        <f>YEAR(Cleaned_HR_Data_Analysis__2[[#This Row],[Joining_Date]])</f>
        <v>2021</v>
      </c>
      <c r="C2168" s="1">
        <v>44317</v>
      </c>
      <c r="D2168" s="1" t="str" cm="1">
        <f t="array" ref="D2168">_xlfn.IFS(E2168&lt;28, "17-27",
AND(E2168&gt;27, E2168&lt;38), "28-37",
AND(E2168&gt;37, E2168 &lt;48), "38-47",
AND(E2168&gt;47, E2168 &lt;58), "48-57",
AND(E2168&gt;57, E2168&lt;68), "58-67",
AND(E2168&gt;67, E2168&lt;78), "68-77",
E2168&gt;77,"Above than 77")</f>
        <v>58-67</v>
      </c>
      <c r="E2168">
        <v>65</v>
      </c>
      <c r="F2168" s="1">
        <v>20677</v>
      </c>
      <c r="G2168" s="1" t="str">
        <f>VLOOKUP(H2168,Table7[#All], 2, FALSE)</f>
        <v>Massachusetts</v>
      </c>
      <c r="H2168" s="2" t="s">
        <v>14</v>
      </c>
      <c r="I2168" s="2" t="s">
        <v>22</v>
      </c>
      <c r="J2168" s="2" t="s">
        <v>31</v>
      </c>
      <c r="K2168" s="2" t="s">
        <v>70</v>
      </c>
      <c r="L2168" s="2" t="s">
        <v>9</v>
      </c>
      <c r="M2168" s="2" t="s">
        <v>25</v>
      </c>
      <c r="N2168" s="2" t="s">
        <v>19</v>
      </c>
      <c r="O2168" s="2" t="s">
        <v>53</v>
      </c>
      <c r="P2168" s="2" t="s">
        <v>35</v>
      </c>
      <c r="Q2168" s="2" t="s">
        <v>23</v>
      </c>
      <c r="R2168" s="2" t="s">
        <v>18</v>
      </c>
      <c r="S2168">
        <v>1</v>
      </c>
    </row>
    <row r="2169" spans="1:19" x14ac:dyDescent="0.3">
      <c r="A2169">
        <v>2561</v>
      </c>
      <c r="B2169">
        <f>YEAR(Cleaned_HR_Data_Analysis__2[[#This Row],[Joining_Date]])</f>
        <v>2021</v>
      </c>
      <c r="C2169" s="1">
        <v>44392</v>
      </c>
      <c r="D2169" s="1" t="str" cm="1">
        <f t="array" ref="D2169">_xlfn.IFS(E2169&lt;28, "17-27",
AND(E2169&gt;27, E2169&lt;38), "28-37",
AND(E2169&gt;37, E2169 &lt;48), "38-47",
AND(E2169&gt;47, E2169 &lt;58), "48-57",
AND(E2169&gt;57, E2169&lt;68), "58-67",
AND(E2169&gt;67, E2169&lt;78), "68-77",
E2169&gt;77,"Above than 77")</f>
        <v>58-67</v>
      </c>
      <c r="E2169">
        <v>65</v>
      </c>
      <c r="F2169" s="1">
        <v>20617</v>
      </c>
      <c r="G2169" s="1" t="str">
        <f>VLOOKUP(H2169,Table7[#All], 2, FALSE)</f>
        <v>Massachusetts</v>
      </c>
      <c r="H2169" s="2" t="s">
        <v>14</v>
      </c>
      <c r="I2169" s="2" t="s">
        <v>22</v>
      </c>
      <c r="J2169" s="2" t="s">
        <v>34</v>
      </c>
      <c r="K2169" s="2" t="s">
        <v>103</v>
      </c>
      <c r="L2169" s="2" t="s">
        <v>9</v>
      </c>
      <c r="M2169" s="2" t="s">
        <v>10</v>
      </c>
      <c r="N2169" s="2" t="s">
        <v>26</v>
      </c>
      <c r="O2169" s="2" t="s">
        <v>53</v>
      </c>
      <c r="P2169" s="2" t="s">
        <v>32</v>
      </c>
      <c r="Q2169" s="2" t="s">
        <v>23</v>
      </c>
      <c r="R2169" s="2" t="s">
        <v>18</v>
      </c>
      <c r="S2169">
        <v>5</v>
      </c>
    </row>
    <row r="2170" spans="1:19" x14ac:dyDescent="0.3">
      <c r="A2170">
        <v>2514</v>
      </c>
      <c r="B2170">
        <f>YEAR(Cleaned_HR_Data_Analysis__2[[#This Row],[Joining_Date]])</f>
        <v>2022</v>
      </c>
      <c r="C2170" s="1">
        <v>44575</v>
      </c>
      <c r="D2170" s="1" t="str" cm="1">
        <f t="array" ref="D2170">_xlfn.IFS(E2170&lt;28, "17-27",
AND(E2170&gt;27, E2170&lt;38), "28-37",
AND(E2170&gt;37, E2170 &lt;48), "38-47",
AND(E2170&gt;47, E2170 &lt;58), "48-57",
AND(E2170&gt;57, E2170&lt;68), "58-67",
AND(E2170&gt;67, E2170&lt;78), "68-77",
E2170&gt;77,"Above than 77")</f>
        <v>58-67</v>
      </c>
      <c r="E2170">
        <v>65</v>
      </c>
      <c r="F2170" s="1">
        <v>21072</v>
      </c>
      <c r="G2170" s="1" t="str">
        <f>VLOOKUP(H2170,Table7[#All], 2, FALSE)</f>
        <v>Massachusetts</v>
      </c>
      <c r="H2170" s="2" t="s">
        <v>14</v>
      </c>
      <c r="I2170" s="2" t="s">
        <v>22</v>
      </c>
      <c r="J2170" s="2" t="s">
        <v>31</v>
      </c>
      <c r="K2170" s="2" t="s">
        <v>108</v>
      </c>
      <c r="L2170" s="2" t="s">
        <v>9</v>
      </c>
      <c r="M2170" s="2" t="s">
        <v>20</v>
      </c>
      <c r="N2170" s="2" t="s">
        <v>19</v>
      </c>
      <c r="O2170" s="2" t="s">
        <v>53</v>
      </c>
      <c r="P2170" s="2" t="s">
        <v>42</v>
      </c>
      <c r="Q2170" s="2" t="s">
        <v>16</v>
      </c>
      <c r="R2170" s="2" t="s">
        <v>18</v>
      </c>
      <c r="S2170">
        <v>2</v>
      </c>
    </row>
    <row r="2171" spans="1:19" x14ac:dyDescent="0.3">
      <c r="A2171">
        <v>3982</v>
      </c>
      <c r="B2171">
        <f>YEAR(Cleaned_HR_Data_Analysis__2[[#This Row],[Joining_Date]])</f>
        <v>2022</v>
      </c>
      <c r="C2171" s="1">
        <v>44782</v>
      </c>
      <c r="D2171" s="1" t="str" cm="1">
        <f t="array" ref="D2171">_xlfn.IFS(E2171&lt;28, "17-27",
AND(E2171&gt;27, E2171&lt;38), "28-37",
AND(E2171&gt;37, E2171 &lt;48), "38-47",
AND(E2171&gt;47, E2171 &lt;58), "48-57",
AND(E2171&gt;57, E2171&lt;68), "58-67",
AND(E2171&gt;67, E2171&lt;78), "68-77",
E2171&gt;77,"Above than 77")</f>
        <v>58-67</v>
      </c>
      <c r="E2171">
        <v>65</v>
      </c>
      <c r="F2171" s="1">
        <v>20983</v>
      </c>
      <c r="G2171" s="1" t="str">
        <f>VLOOKUP(H2171,Table7[#All], 2, FALSE)</f>
        <v>Massachusetts</v>
      </c>
      <c r="H2171" s="2" t="s">
        <v>14</v>
      </c>
      <c r="I2171" s="2" t="s">
        <v>15</v>
      </c>
      <c r="J2171" s="2" t="s">
        <v>34</v>
      </c>
      <c r="K2171" s="2" t="s">
        <v>77</v>
      </c>
      <c r="L2171" s="2" t="s">
        <v>9</v>
      </c>
      <c r="M2171" s="2" t="s">
        <v>20</v>
      </c>
      <c r="N2171" s="2" t="s">
        <v>26</v>
      </c>
      <c r="O2171" s="2" t="s">
        <v>53</v>
      </c>
      <c r="P2171" s="2" t="s">
        <v>21</v>
      </c>
      <c r="Q2171" s="2" t="s">
        <v>30</v>
      </c>
      <c r="R2171" s="2" t="s">
        <v>56</v>
      </c>
      <c r="S2171">
        <v>1</v>
      </c>
    </row>
    <row r="2172" spans="1:19" x14ac:dyDescent="0.3">
      <c r="A2172">
        <v>3938</v>
      </c>
      <c r="B2172">
        <f>YEAR(Cleaned_HR_Data_Analysis__2[[#This Row],[Joining_Date]])</f>
        <v>2020</v>
      </c>
      <c r="C2172" s="1">
        <v>43941</v>
      </c>
      <c r="D2172" s="1" t="str" cm="1">
        <f t="array" ref="D2172">_xlfn.IFS(E2172&lt;28, "17-27",
AND(E2172&gt;27, E2172&lt;38), "28-37",
AND(E2172&gt;37, E2172 &lt;48), "38-47",
AND(E2172&gt;47, E2172 &lt;58), "48-57",
AND(E2172&gt;57, E2172&lt;68), "58-67",
AND(E2172&gt;67, E2172&lt;78), "68-77",
E2172&gt;77,"Above than 77")</f>
        <v>58-67</v>
      </c>
      <c r="E2172">
        <v>65</v>
      </c>
      <c r="F2172" s="1">
        <v>20237</v>
      </c>
      <c r="G2172" s="1" t="str">
        <f>VLOOKUP(H2172,Table7[#All], 2, FALSE)</f>
        <v>Massachusetts</v>
      </c>
      <c r="H2172" s="2" t="s">
        <v>14</v>
      </c>
      <c r="I2172" s="2" t="s">
        <v>15</v>
      </c>
      <c r="J2172" s="2" t="s">
        <v>34</v>
      </c>
      <c r="K2172" s="2" t="s">
        <v>78</v>
      </c>
      <c r="L2172" s="2" t="s">
        <v>9</v>
      </c>
      <c r="M2172" s="2" t="s">
        <v>20</v>
      </c>
      <c r="N2172" s="2" t="s">
        <v>26</v>
      </c>
      <c r="O2172" s="2" t="s">
        <v>53</v>
      </c>
      <c r="P2172" s="2" t="s">
        <v>35</v>
      </c>
      <c r="Q2172" s="2" t="s">
        <v>23</v>
      </c>
      <c r="R2172" s="2" t="s">
        <v>18</v>
      </c>
      <c r="S2172">
        <v>1</v>
      </c>
    </row>
    <row r="2173" spans="1:19" x14ac:dyDescent="0.3">
      <c r="A2173">
        <v>2410</v>
      </c>
      <c r="B2173">
        <f>YEAR(Cleaned_HR_Data_Analysis__2[[#This Row],[Joining_Date]])</f>
        <v>2022</v>
      </c>
      <c r="C2173" s="1">
        <v>44855</v>
      </c>
      <c r="D2173" s="1" t="str" cm="1">
        <f t="array" ref="D2173">_xlfn.IFS(E2173&lt;28, "17-27",
AND(E2173&gt;27, E2173&lt;38), "28-37",
AND(E2173&gt;37, E2173 &lt;48), "38-47",
AND(E2173&gt;47, E2173 &lt;58), "48-57",
AND(E2173&gt;57, E2173&lt;68), "58-67",
AND(E2173&gt;67, E2173&lt;78), "68-77",
E2173&gt;77,"Above than 77")</f>
        <v>58-67</v>
      </c>
      <c r="E2173">
        <v>65</v>
      </c>
      <c r="F2173" s="1">
        <v>21143</v>
      </c>
      <c r="G2173" s="1" t="str">
        <f>VLOOKUP(H2173,Table7[#All], 2, FALSE)</f>
        <v>Massachusetts</v>
      </c>
      <c r="H2173" s="2" t="s">
        <v>14</v>
      </c>
      <c r="I2173" s="2" t="s">
        <v>22</v>
      </c>
      <c r="J2173" s="2" t="s">
        <v>40</v>
      </c>
      <c r="K2173" s="2" t="s">
        <v>78</v>
      </c>
      <c r="L2173" s="2" t="s">
        <v>9</v>
      </c>
      <c r="M2173" s="2" t="s">
        <v>25</v>
      </c>
      <c r="N2173" s="2" t="s">
        <v>26</v>
      </c>
      <c r="O2173" s="2" t="s">
        <v>53</v>
      </c>
      <c r="P2173" s="2" t="s">
        <v>42</v>
      </c>
      <c r="Q2173" s="2" t="s">
        <v>16</v>
      </c>
      <c r="R2173" s="2" t="s">
        <v>18</v>
      </c>
      <c r="S2173">
        <v>4</v>
      </c>
    </row>
    <row r="2174" spans="1:19" x14ac:dyDescent="0.3">
      <c r="A2174">
        <v>1337</v>
      </c>
      <c r="B2174">
        <f>YEAR(Cleaned_HR_Data_Analysis__2[[#This Row],[Joining_Date]])</f>
        <v>2018</v>
      </c>
      <c r="C2174" s="1">
        <v>43322</v>
      </c>
      <c r="D2174" s="1" t="str" cm="1">
        <f t="array" ref="D2174">_xlfn.IFS(E2174&lt;28, "17-27",
AND(E2174&gt;27, E2174&lt;38), "28-37",
AND(E2174&gt;37, E2174 &lt;48), "38-47",
AND(E2174&gt;47, E2174 &lt;58), "48-57",
AND(E2174&gt;57, E2174&lt;68), "58-67",
AND(E2174&gt;67, E2174&lt;78), "68-77",
E2174&gt;77,"Above than 77")</f>
        <v>58-67</v>
      </c>
      <c r="E2174">
        <v>65</v>
      </c>
      <c r="F2174" s="1">
        <v>19448</v>
      </c>
      <c r="G2174" s="1" t="str">
        <f>VLOOKUP(H2174,Table7[#All], 2, FALSE)</f>
        <v>Massachusetts</v>
      </c>
      <c r="H2174" s="2" t="s">
        <v>14</v>
      </c>
      <c r="I2174" s="2" t="s">
        <v>15</v>
      </c>
      <c r="J2174" s="2" t="s">
        <v>31</v>
      </c>
      <c r="K2174" s="2" t="s">
        <v>96</v>
      </c>
      <c r="L2174" s="2" t="s">
        <v>9</v>
      </c>
      <c r="M2174" s="2" t="s">
        <v>25</v>
      </c>
      <c r="N2174" s="2" t="s">
        <v>19</v>
      </c>
      <c r="O2174" s="2" t="s">
        <v>90</v>
      </c>
      <c r="P2174" s="2" t="s">
        <v>32</v>
      </c>
      <c r="Q2174" s="2" t="s">
        <v>16</v>
      </c>
      <c r="R2174" s="2" t="s">
        <v>18</v>
      </c>
      <c r="S2174">
        <v>3</v>
      </c>
    </row>
    <row r="2175" spans="1:19" x14ac:dyDescent="0.3">
      <c r="A2175">
        <v>3923</v>
      </c>
      <c r="B2175">
        <f>YEAR(Cleaned_HR_Data_Analysis__2[[#This Row],[Joining_Date]])</f>
        <v>2021</v>
      </c>
      <c r="C2175" s="1">
        <v>44555</v>
      </c>
      <c r="D2175" s="1" t="str" cm="1">
        <f t="array" ref="D2175">_xlfn.IFS(E2175&lt;28, "17-27",
AND(E2175&gt;27, E2175&lt;38), "28-37",
AND(E2175&gt;37, E2175 &lt;48), "38-47",
AND(E2175&gt;47, E2175 &lt;58), "48-57",
AND(E2175&gt;57, E2175&lt;68), "58-67",
AND(E2175&gt;67, E2175&lt;78), "68-77",
E2175&gt;77,"Above than 77")</f>
        <v>58-67</v>
      </c>
      <c r="E2175">
        <v>66</v>
      </c>
      <c r="F2175" s="1">
        <v>20164</v>
      </c>
      <c r="G2175" s="1" t="str">
        <f>VLOOKUP(H2175,Table7[#All], 2, FALSE)</f>
        <v>Massachusetts</v>
      </c>
      <c r="H2175" s="2" t="s">
        <v>14</v>
      </c>
      <c r="I2175" s="2" t="s">
        <v>15</v>
      </c>
      <c r="J2175" s="2" t="s">
        <v>31</v>
      </c>
      <c r="K2175" s="2" t="s">
        <v>72</v>
      </c>
      <c r="L2175" s="2" t="s">
        <v>9</v>
      </c>
      <c r="M2175" s="2" t="s">
        <v>25</v>
      </c>
      <c r="N2175" s="2" t="s">
        <v>11</v>
      </c>
      <c r="O2175" s="2" t="s">
        <v>53</v>
      </c>
      <c r="P2175" s="2" t="s">
        <v>21</v>
      </c>
      <c r="Q2175" s="2" t="s">
        <v>23</v>
      </c>
      <c r="R2175" s="2" t="s">
        <v>41</v>
      </c>
      <c r="S2175">
        <v>4</v>
      </c>
    </row>
    <row r="2176" spans="1:19" x14ac:dyDescent="0.3">
      <c r="A2176">
        <v>1943</v>
      </c>
      <c r="B2176">
        <f>YEAR(Cleaned_HR_Data_Analysis__2[[#This Row],[Joining_Date]])</f>
        <v>2022</v>
      </c>
      <c r="C2176" s="1">
        <v>44689</v>
      </c>
      <c r="D2176" s="1" t="str" cm="1">
        <f t="array" ref="D2176">_xlfn.IFS(E2176&lt;28, "17-27",
AND(E2176&gt;27, E2176&lt;38), "28-37",
AND(E2176&gt;37, E2176 &lt;48), "38-47",
AND(E2176&gt;47, E2176 &lt;58), "48-57",
AND(E2176&gt;57, E2176&lt;68), "58-67",
AND(E2176&gt;67, E2176&lt;78), "68-77",
E2176&gt;77,"Above than 77")</f>
        <v>58-67</v>
      </c>
      <c r="E2176">
        <v>66</v>
      </c>
      <c r="F2176" s="1">
        <v>20537</v>
      </c>
      <c r="G2176" s="1" t="str">
        <f>VLOOKUP(H2176,Table7[#All], 2, FALSE)</f>
        <v>Pennsylvania</v>
      </c>
      <c r="H2176" s="2" t="s">
        <v>100</v>
      </c>
      <c r="I2176" s="2" t="s">
        <v>15</v>
      </c>
      <c r="J2176" s="2" t="s">
        <v>17</v>
      </c>
      <c r="K2176" s="2" t="s">
        <v>64</v>
      </c>
      <c r="L2176" s="2" t="s">
        <v>66</v>
      </c>
      <c r="M2176" s="2" t="s">
        <v>10</v>
      </c>
      <c r="N2176" s="2" t="s">
        <v>19</v>
      </c>
      <c r="O2176" s="2" t="s">
        <v>27</v>
      </c>
      <c r="P2176" s="2" t="s">
        <v>58</v>
      </c>
      <c r="Q2176" s="2" t="s">
        <v>16</v>
      </c>
      <c r="R2176" s="2" t="s">
        <v>18</v>
      </c>
      <c r="S2176">
        <v>5</v>
      </c>
    </row>
    <row r="2177" spans="1:19" x14ac:dyDescent="0.3">
      <c r="A2177">
        <v>3071</v>
      </c>
      <c r="B2177">
        <f>YEAR(Cleaned_HR_Data_Analysis__2[[#This Row],[Joining_Date]])</f>
        <v>2022</v>
      </c>
      <c r="C2177" s="1">
        <v>44869</v>
      </c>
      <c r="D2177" s="1" t="str" cm="1">
        <f t="array" ref="D2177">_xlfn.IFS(E2177&lt;28, "17-27",
AND(E2177&gt;27, E2177&lt;38), "28-37",
AND(E2177&gt;37, E2177 &lt;48), "38-47",
AND(E2177&gt;47, E2177 &lt;58), "48-57",
AND(E2177&gt;57, E2177&lt;68), "58-67",
AND(E2177&gt;67, E2177&lt;78), "68-77",
E2177&gt;77,"Above than 77")</f>
        <v>58-67</v>
      </c>
      <c r="E2177">
        <v>66</v>
      </c>
      <c r="F2177" s="1">
        <v>20480</v>
      </c>
      <c r="G2177" s="1" t="str">
        <f>VLOOKUP(H2177,Table7[#All], 2, FALSE)</f>
        <v>Massachusetts</v>
      </c>
      <c r="H2177" s="2" t="s">
        <v>14</v>
      </c>
      <c r="I2177" s="2" t="s">
        <v>15</v>
      </c>
      <c r="J2177" s="2" t="s">
        <v>34</v>
      </c>
      <c r="K2177" s="2" t="s">
        <v>64</v>
      </c>
      <c r="L2177" s="2" t="s">
        <v>9</v>
      </c>
      <c r="M2177" s="2" t="s">
        <v>25</v>
      </c>
      <c r="N2177" s="2" t="s">
        <v>26</v>
      </c>
      <c r="O2177" s="2" t="s">
        <v>12</v>
      </c>
      <c r="P2177" s="2" t="s">
        <v>32</v>
      </c>
      <c r="Q2177" s="2" t="s">
        <v>37</v>
      </c>
      <c r="R2177" s="2" t="s">
        <v>18</v>
      </c>
      <c r="S2177">
        <v>4</v>
      </c>
    </row>
    <row r="2178" spans="1:19" x14ac:dyDescent="0.3">
      <c r="A2178">
        <v>2982</v>
      </c>
      <c r="B2178">
        <f>YEAR(Cleaned_HR_Data_Analysis__2[[#This Row],[Joining_Date]])</f>
        <v>2018</v>
      </c>
      <c r="C2178" s="1">
        <v>43387</v>
      </c>
      <c r="D2178" s="1" t="str" cm="1">
        <f t="array" ref="D2178">_xlfn.IFS(E2178&lt;28, "17-27",
AND(E2178&gt;27, E2178&lt;38), "28-37",
AND(E2178&gt;37, E2178 &lt;48), "38-47",
AND(E2178&gt;47, E2178 &lt;58), "48-57",
AND(E2178&gt;57, E2178&lt;68), "58-67",
AND(E2178&gt;67, E2178&lt;78), "68-77",
E2178&gt;77,"Above than 77")</f>
        <v>58-67</v>
      </c>
      <c r="E2178">
        <v>66</v>
      </c>
      <c r="F2178" s="1">
        <v>19017</v>
      </c>
      <c r="G2178" s="1" t="str">
        <f>VLOOKUP(H2178,Table7[#All], 2, FALSE)</f>
        <v>Massachusetts</v>
      </c>
      <c r="H2178" s="2" t="s">
        <v>14</v>
      </c>
      <c r="I2178" s="2" t="s">
        <v>15</v>
      </c>
      <c r="J2178" s="2" t="s">
        <v>34</v>
      </c>
      <c r="K2178" s="2" t="s">
        <v>64</v>
      </c>
      <c r="L2178" s="2" t="s">
        <v>9</v>
      </c>
      <c r="M2178" s="2" t="s">
        <v>25</v>
      </c>
      <c r="N2178" s="2" t="s">
        <v>26</v>
      </c>
      <c r="O2178" s="2" t="s">
        <v>12</v>
      </c>
      <c r="P2178" s="2" t="s">
        <v>35</v>
      </c>
      <c r="Q2178" s="2" t="s">
        <v>30</v>
      </c>
      <c r="R2178" s="2" t="s">
        <v>18</v>
      </c>
      <c r="S2178">
        <v>4</v>
      </c>
    </row>
    <row r="2179" spans="1:19" x14ac:dyDescent="0.3">
      <c r="A2179">
        <v>2804</v>
      </c>
      <c r="B2179">
        <f>YEAR(Cleaned_HR_Data_Analysis__2[[#This Row],[Joining_Date]])</f>
        <v>2019</v>
      </c>
      <c r="C2179" s="1">
        <v>43534</v>
      </c>
      <c r="D2179" s="1" t="str" cm="1">
        <f t="array" ref="D2179">_xlfn.IFS(E2179&lt;28, "17-27",
AND(E2179&gt;27, E2179&lt;38), "28-37",
AND(E2179&gt;37, E2179 &lt;48), "38-47",
AND(E2179&gt;47, E2179 &lt;58), "48-57",
AND(E2179&gt;57, E2179&lt;68), "58-67",
AND(E2179&gt;67, E2179&lt;78), "68-77",
E2179&gt;77,"Above than 77")</f>
        <v>58-67</v>
      </c>
      <c r="E2179">
        <v>66</v>
      </c>
      <c r="F2179" s="1">
        <v>19419</v>
      </c>
      <c r="G2179" s="1" t="str">
        <f>VLOOKUP(H2179,Table7[#All], 2, FALSE)</f>
        <v>Massachusetts</v>
      </c>
      <c r="H2179" s="2" t="s">
        <v>14</v>
      </c>
      <c r="I2179" s="2" t="s">
        <v>22</v>
      </c>
      <c r="J2179" s="2" t="s">
        <v>34</v>
      </c>
      <c r="K2179" s="2" t="s">
        <v>64</v>
      </c>
      <c r="L2179" s="2" t="s">
        <v>9</v>
      </c>
      <c r="M2179" s="2" t="s">
        <v>20</v>
      </c>
      <c r="N2179" s="2" t="s">
        <v>26</v>
      </c>
      <c r="O2179" s="2" t="s">
        <v>12</v>
      </c>
      <c r="P2179" s="2" t="s">
        <v>54</v>
      </c>
      <c r="Q2179" s="2" t="s">
        <v>23</v>
      </c>
      <c r="R2179" s="2" t="s">
        <v>18</v>
      </c>
      <c r="S2179">
        <v>4</v>
      </c>
    </row>
    <row r="2180" spans="1:19" x14ac:dyDescent="0.3">
      <c r="A2180">
        <v>1452</v>
      </c>
      <c r="B2180">
        <f>YEAR(Cleaned_HR_Data_Analysis__2[[#This Row],[Joining_Date]])</f>
        <v>2019</v>
      </c>
      <c r="C2180" s="1">
        <v>43550</v>
      </c>
      <c r="D2180" s="1" t="str" cm="1">
        <f t="array" ref="D2180">_xlfn.IFS(E2180&lt;28, "17-27",
AND(E2180&gt;27, E2180&lt;38), "28-37",
AND(E2180&gt;37, E2180 &lt;48), "38-47",
AND(E2180&gt;47, E2180 &lt;58), "48-57",
AND(E2180&gt;57, E2180&lt;68), "58-67",
AND(E2180&gt;67, E2180&lt;78), "68-77",
E2180&gt;77,"Above than 77")</f>
        <v>58-67</v>
      </c>
      <c r="E2180">
        <v>66</v>
      </c>
      <c r="F2180" s="1">
        <v>19447</v>
      </c>
      <c r="G2180" s="1" t="str">
        <f>VLOOKUP(H2180,Table7[#All], 2, FALSE)</f>
        <v>Massachusetts</v>
      </c>
      <c r="H2180" s="2" t="s">
        <v>14</v>
      </c>
      <c r="I2180" s="2" t="s">
        <v>15</v>
      </c>
      <c r="J2180" s="2" t="s">
        <v>31</v>
      </c>
      <c r="K2180" s="2" t="s">
        <v>64</v>
      </c>
      <c r="L2180" s="2" t="s">
        <v>9</v>
      </c>
      <c r="M2180" s="2" t="s">
        <v>25</v>
      </c>
      <c r="N2180" s="2" t="s">
        <v>26</v>
      </c>
      <c r="O2180" s="2" t="s">
        <v>12</v>
      </c>
      <c r="P2180" s="2" t="s">
        <v>35</v>
      </c>
      <c r="Q2180" s="2" t="s">
        <v>16</v>
      </c>
      <c r="R2180" s="2" t="s">
        <v>56</v>
      </c>
      <c r="S2180">
        <v>4</v>
      </c>
    </row>
    <row r="2181" spans="1:19" x14ac:dyDescent="0.3">
      <c r="A2181">
        <v>1427</v>
      </c>
      <c r="B2181">
        <f>YEAR(Cleaned_HR_Data_Analysis__2[[#This Row],[Joining_Date]])</f>
        <v>2019</v>
      </c>
      <c r="C2181" s="1">
        <v>43518</v>
      </c>
      <c r="D2181" s="1" t="str" cm="1">
        <f t="array" ref="D2181">_xlfn.IFS(E2181&lt;28, "17-27",
AND(E2181&gt;27, E2181&lt;38), "28-37",
AND(E2181&gt;37, E2181 &lt;48), "38-47",
AND(E2181&gt;47, E2181 &lt;58), "48-57",
AND(E2181&gt;57, E2181&lt;68), "58-67",
AND(E2181&gt;67, E2181&lt;78), "68-77",
E2181&gt;77,"Above than 77")</f>
        <v>58-67</v>
      </c>
      <c r="E2181">
        <v>66</v>
      </c>
      <c r="F2181" s="1">
        <v>19488</v>
      </c>
      <c r="G2181" s="1" t="str">
        <f>VLOOKUP(H2181,Table7[#All], 2, FALSE)</f>
        <v>Massachusetts</v>
      </c>
      <c r="H2181" s="2" t="s">
        <v>14</v>
      </c>
      <c r="I2181" s="2" t="s">
        <v>22</v>
      </c>
      <c r="J2181" s="2" t="s">
        <v>40</v>
      </c>
      <c r="K2181" s="2" t="s">
        <v>64</v>
      </c>
      <c r="L2181" s="2" t="s">
        <v>9</v>
      </c>
      <c r="M2181" s="2" t="s">
        <v>25</v>
      </c>
      <c r="N2181" s="2" t="s">
        <v>19</v>
      </c>
      <c r="O2181" s="2" t="s">
        <v>12</v>
      </c>
      <c r="P2181" s="2" t="s">
        <v>42</v>
      </c>
      <c r="Q2181" s="2" t="s">
        <v>46</v>
      </c>
      <c r="R2181" s="2" t="s">
        <v>56</v>
      </c>
      <c r="S2181">
        <v>2</v>
      </c>
    </row>
    <row r="2182" spans="1:19" x14ac:dyDescent="0.3">
      <c r="A2182">
        <v>1167</v>
      </c>
      <c r="B2182">
        <f>YEAR(Cleaned_HR_Data_Analysis__2[[#This Row],[Joining_Date]])</f>
        <v>2021</v>
      </c>
      <c r="C2182" s="1">
        <v>44501</v>
      </c>
      <c r="D2182" s="1" t="str" cm="1">
        <f t="array" ref="D2182">_xlfn.IFS(E2182&lt;28, "17-27",
AND(E2182&gt;27, E2182&lt;38), "28-37",
AND(E2182&gt;37, E2182 &lt;48), "38-47",
AND(E2182&gt;47, E2182 &lt;58), "48-57",
AND(E2182&gt;57, E2182&lt;68), "58-67",
AND(E2182&gt;67, E2182&lt;78), "68-77",
E2182&gt;77,"Above than 77")</f>
        <v>58-67</v>
      </c>
      <c r="E2182">
        <v>66</v>
      </c>
      <c r="F2182" s="1">
        <v>20333</v>
      </c>
      <c r="G2182" s="1" t="str">
        <f>VLOOKUP(H2182,Table7[#All], 2, FALSE)</f>
        <v>Massachusetts</v>
      </c>
      <c r="H2182" s="2" t="s">
        <v>14</v>
      </c>
      <c r="I2182" s="2" t="s">
        <v>15</v>
      </c>
      <c r="J2182" s="2" t="s">
        <v>31</v>
      </c>
      <c r="K2182" s="2" t="s">
        <v>64</v>
      </c>
      <c r="L2182" s="2" t="s">
        <v>9</v>
      </c>
      <c r="M2182" s="2" t="s">
        <v>10</v>
      </c>
      <c r="N2182" s="2" t="s">
        <v>26</v>
      </c>
      <c r="O2182" s="2" t="s">
        <v>12</v>
      </c>
      <c r="P2182" s="2" t="s">
        <v>35</v>
      </c>
      <c r="Q2182" s="2" t="s">
        <v>30</v>
      </c>
      <c r="R2182" s="2" t="s">
        <v>18</v>
      </c>
      <c r="S2182">
        <v>3</v>
      </c>
    </row>
    <row r="2183" spans="1:19" x14ac:dyDescent="0.3">
      <c r="A2183">
        <v>1128</v>
      </c>
      <c r="B2183">
        <f>YEAR(Cleaned_HR_Data_Analysis__2[[#This Row],[Joining_Date]])</f>
        <v>2023</v>
      </c>
      <c r="C2183" s="1">
        <v>45037</v>
      </c>
      <c r="D2183" s="1" t="str" cm="1">
        <f t="array" ref="D2183">_xlfn.IFS(E2183&lt;28, "17-27",
AND(E2183&gt;27, E2183&lt;38), "28-37",
AND(E2183&gt;37, E2183 &lt;48), "38-47",
AND(E2183&gt;47, E2183 &lt;58), "48-57",
AND(E2183&gt;57, E2183&lt;68), "58-67",
AND(E2183&gt;67, E2183&lt;78), "68-77",
E2183&gt;77,"Above than 77")</f>
        <v>58-67</v>
      </c>
      <c r="E2183">
        <v>66</v>
      </c>
      <c r="F2183" s="1">
        <v>20991</v>
      </c>
      <c r="G2183" s="1" t="str">
        <f>VLOOKUP(H2183,Table7[#All], 2, FALSE)</f>
        <v>Massachusetts</v>
      </c>
      <c r="H2183" s="2" t="s">
        <v>14</v>
      </c>
      <c r="I2183" s="2" t="s">
        <v>15</v>
      </c>
      <c r="J2183" s="2" t="s">
        <v>34</v>
      </c>
      <c r="K2183" s="2" t="s">
        <v>64</v>
      </c>
      <c r="L2183" s="2" t="s">
        <v>9</v>
      </c>
      <c r="M2183" s="2" t="s">
        <v>20</v>
      </c>
      <c r="N2183" s="2" t="s">
        <v>26</v>
      </c>
      <c r="O2183" s="2" t="s">
        <v>12</v>
      </c>
      <c r="P2183" s="2" t="s">
        <v>32</v>
      </c>
      <c r="Q2183" s="2" t="s">
        <v>23</v>
      </c>
      <c r="R2183" s="2" t="s">
        <v>18</v>
      </c>
      <c r="S2183">
        <v>2</v>
      </c>
    </row>
    <row r="2184" spans="1:19" x14ac:dyDescent="0.3">
      <c r="A2184">
        <v>1102</v>
      </c>
      <c r="B2184">
        <f>YEAR(Cleaned_HR_Data_Analysis__2[[#This Row],[Joining_Date]])</f>
        <v>2019</v>
      </c>
      <c r="C2184" s="1">
        <v>43681</v>
      </c>
      <c r="D2184" s="1" t="str" cm="1">
        <f t="array" ref="D2184">_xlfn.IFS(E2184&lt;28, "17-27",
AND(E2184&gt;27, E2184&lt;38), "28-37",
AND(E2184&gt;37, E2184 &lt;48), "38-47",
AND(E2184&gt;47, E2184 &lt;58), "48-57",
AND(E2184&gt;57, E2184&lt;68), "58-67",
AND(E2184&gt;67, E2184&lt;78), "68-77",
E2184&gt;77,"Above than 77")</f>
        <v>58-67</v>
      </c>
      <c r="E2184">
        <v>66</v>
      </c>
      <c r="F2184" s="1">
        <v>19621</v>
      </c>
      <c r="G2184" s="1" t="str">
        <f>VLOOKUP(H2184,Table7[#All], 2, FALSE)</f>
        <v>Massachusetts</v>
      </c>
      <c r="H2184" s="2" t="s">
        <v>14</v>
      </c>
      <c r="I2184" s="2" t="s">
        <v>15</v>
      </c>
      <c r="J2184" s="2" t="s">
        <v>31</v>
      </c>
      <c r="K2184" s="2" t="s">
        <v>64</v>
      </c>
      <c r="L2184" s="2" t="s">
        <v>9</v>
      </c>
      <c r="M2184" s="2" t="s">
        <v>20</v>
      </c>
      <c r="N2184" s="2" t="s">
        <v>19</v>
      </c>
      <c r="O2184" s="2" t="s">
        <v>12</v>
      </c>
      <c r="P2184" s="2" t="s">
        <v>32</v>
      </c>
      <c r="Q2184" s="2" t="s">
        <v>37</v>
      </c>
      <c r="R2184" s="2" t="s">
        <v>18</v>
      </c>
      <c r="S2184">
        <v>1</v>
      </c>
    </row>
    <row r="2185" spans="1:19" x14ac:dyDescent="0.3">
      <c r="A2185">
        <v>3732</v>
      </c>
      <c r="B2185">
        <f>YEAR(Cleaned_HR_Data_Analysis__2[[#This Row],[Joining_Date]])</f>
        <v>2020</v>
      </c>
      <c r="C2185" s="1">
        <v>43982</v>
      </c>
      <c r="D2185" s="1" t="str" cm="1">
        <f t="array" ref="D2185">_xlfn.IFS(E2185&lt;28, "17-27",
AND(E2185&gt;27, E2185&lt;38), "28-37",
AND(E2185&gt;37, E2185 &lt;48), "38-47",
AND(E2185&gt;47, E2185 &lt;58), "48-57",
AND(E2185&gt;57, E2185&lt;68), "58-67",
AND(E2185&gt;67, E2185&lt;78), "68-77",
E2185&gt;77,"Above than 77")</f>
        <v>58-67</v>
      </c>
      <c r="E2185">
        <v>66</v>
      </c>
      <c r="F2185" s="1">
        <v>19908</v>
      </c>
      <c r="G2185" s="1" t="str">
        <f>VLOOKUP(H2185,Table7[#All], 2, FALSE)</f>
        <v>Massachusetts</v>
      </c>
      <c r="H2185" s="2" t="s">
        <v>14</v>
      </c>
      <c r="I2185" s="2" t="s">
        <v>22</v>
      </c>
      <c r="J2185" s="2" t="s">
        <v>17</v>
      </c>
      <c r="K2185" s="2" t="s">
        <v>8</v>
      </c>
      <c r="L2185" s="2" t="s">
        <v>9</v>
      </c>
      <c r="M2185" s="2" t="s">
        <v>20</v>
      </c>
      <c r="N2185" s="2" t="s">
        <v>26</v>
      </c>
      <c r="O2185" s="2" t="s">
        <v>12</v>
      </c>
      <c r="P2185" s="2" t="s">
        <v>35</v>
      </c>
      <c r="Q2185" s="2" t="s">
        <v>37</v>
      </c>
      <c r="R2185" s="2" t="s">
        <v>18</v>
      </c>
      <c r="S2185">
        <v>4</v>
      </c>
    </row>
    <row r="2186" spans="1:19" x14ac:dyDescent="0.3">
      <c r="A2186">
        <v>3666</v>
      </c>
      <c r="B2186">
        <f>YEAR(Cleaned_HR_Data_Analysis__2[[#This Row],[Joining_Date]])</f>
        <v>2022</v>
      </c>
      <c r="C2186" s="1">
        <v>44680</v>
      </c>
      <c r="D2186" s="1" t="str" cm="1">
        <f t="array" ref="D2186">_xlfn.IFS(E2186&lt;28, "17-27",
AND(E2186&gt;27, E2186&lt;38), "28-37",
AND(E2186&gt;37, E2186 &lt;48), "38-47",
AND(E2186&gt;47, E2186 &lt;58), "48-57",
AND(E2186&gt;57, E2186&lt;68), "58-67",
AND(E2186&gt;67, E2186&lt;78), "68-77",
E2186&gt;77,"Above than 77")</f>
        <v>58-67</v>
      </c>
      <c r="E2186">
        <v>66</v>
      </c>
      <c r="F2186" s="1">
        <v>20594</v>
      </c>
      <c r="G2186" s="1" t="str">
        <f>VLOOKUP(H2186,Table7[#All], 2, FALSE)</f>
        <v>Massachusetts</v>
      </c>
      <c r="H2186" s="2" t="s">
        <v>14</v>
      </c>
      <c r="I2186" s="2" t="s">
        <v>22</v>
      </c>
      <c r="J2186" s="2" t="s">
        <v>31</v>
      </c>
      <c r="K2186" s="2" t="s">
        <v>8</v>
      </c>
      <c r="L2186" s="2" t="s">
        <v>9</v>
      </c>
      <c r="M2186" s="2" t="s">
        <v>25</v>
      </c>
      <c r="N2186" s="2" t="s">
        <v>19</v>
      </c>
      <c r="O2186" s="2" t="s">
        <v>12</v>
      </c>
      <c r="P2186" s="2" t="s">
        <v>35</v>
      </c>
      <c r="Q2186" s="2" t="s">
        <v>23</v>
      </c>
      <c r="R2186" s="2" t="s">
        <v>18</v>
      </c>
      <c r="S2186">
        <v>2</v>
      </c>
    </row>
    <row r="2187" spans="1:19" x14ac:dyDescent="0.3">
      <c r="A2187">
        <v>3291</v>
      </c>
      <c r="B2187">
        <f>YEAR(Cleaned_HR_Data_Analysis__2[[#This Row],[Joining_Date]])</f>
        <v>2023</v>
      </c>
      <c r="C2187" s="1">
        <v>45139</v>
      </c>
      <c r="D2187" s="1" t="str" cm="1">
        <f t="array" ref="D2187">_xlfn.IFS(E2187&lt;28, "17-27",
AND(E2187&gt;27, E2187&lt;38), "28-37",
AND(E2187&gt;37, E2187 &lt;48), "38-47",
AND(E2187&gt;47, E2187 &lt;58), "48-57",
AND(E2187&gt;57, E2187&lt;68), "58-67",
AND(E2187&gt;67, E2187&lt;78), "68-77",
E2187&gt;77,"Above than 77")</f>
        <v>58-67</v>
      </c>
      <c r="E2187">
        <v>66</v>
      </c>
      <c r="F2187" s="1">
        <v>21041</v>
      </c>
      <c r="G2187" s="1" t="str">
        <f>VLOOKUP(H2187,Table7[#All], 2, FALSE)</f>
        <v>Massachusetts</v>
      </c>
      <c r="H2187" s="2" t="s">
        <v>14</v>
      </c>
      <c r="I2187" s="2" t="s">
        <v>22</v>
      </c>
      <c r="J2187" s="2" t="s">
        <v>34</v>
      </c>
      <c r="K2187" s="2" t="s">
        <v>8</v>
      </c>
      <c r="L2187" s="2" t="s">
        <v>9</v>
      </c>
      <c r="M2187" s="2" t="s">
        <v>10</v>
      </c>
      <c r="N2187" s="2" t="s">
        <v>11</v>
      </c>
      <c r="O2187" s="2" t="s">
        <v>12</v>
      </c>
      <c r="P2187" s="2" t="s">
        <v>32</v>
      </c>
      <c r="Q2187" s="2" t="s">
        <v>23</v>
      </c>
      <c r="R2187" s="2" t="s">
        <v>18</v>
      </c>
      <c r="S2187">
        <v>1</v>
      </c>
    </row>
    <row r="2188" spans="1:19" x14ac:dyDescent="0.3">
      <c r="A2188">
        <v>3242</v>
      </c>
      <c r="B2188">
        <f>YEAR(Cleaned_HR_Data_Analysis__2[[#This Row],[Joining_Date]])</f>
        <v>2021</v>
      </c>
      <c r="C2188" s="1">
        <v>44523</v>
      </c>
      <c r="D2188" s="1" t="str" cm="1">
        <f t="array" ref="D2188">_xlfn.IFS(E2188&lt;28, "17-27",
AND(E2188&gt;27, E2188&lt;38), "28-37",
AND(E2188&gt;37, E2188 &lt;48), "38-47",
AND(E2188&gt;47, E2188 &lt;58), "48-57",
AND(E2188&gt;57, E2188&lt;68), "58-67",
AND(E2188&gt;67, E2188&lt;78), "68-77",
E2188&gt;77,"Above than 77")</f>
        <v>58-67</v>
      </c>
      <c r="E2188">
        <v>66</v>
      </c>
      <c r="F2188" s="1">
        <v>20192</v>
      </c>
      <c r="G2188" s="1" t="str">
        <f>VLOOKUP(H2188,Table7[#All], 2, FALSE)</f>
        <v>Massachusetts</v>
      </c>
      <c r="H2188" s="2" t="s">
        <v>14</v>
      </c>
      <c r="I2188" s="2" t="s">
        <v>22</v>
      </c>
      <c r="J2188" s="2" t="s">
        <v>31</v>
      </c>
      <c r="K2188" s="2" t="s">
        <v>8</v>
      </c>
      <c r="L2188" s="2" t="s">
        <v>66</v>
      </c>
      <c r="M2188" s="2" t="s">
        <v>10</v>
      </c>
      <c r="N2188" s="2" t="s">
        <v>11</v>
      </c>
      <c r="O2188" s="2" t="s">
        <v>12</v>
      </c>
      <c r="P2188" s="2" t="s">
        <v>21</v>
      </c>
      <c r="Q2188" s="2" t="s">
        <v>23</v>
      </c>
      <c r="R2188" s="2" t="s">
        <v>18</v>
      </c>
      <c r="S2188">
        <v>3</v>
      </c>
    </row>
    <row r="2189" spans="1:19" x14ac:dyDescent="0.3">
      <c r="A2189">
        <v>3213</v>
      </c>
      <c r="B2189">
        <f>YEAR(Cleaned_HR_Data_Analysis__2[[#This Row],[Joining_Date]])</f>
        <v>2018</v>
      </c>
      <c r="C2189" s="1">
        <v>43421</v>
      </c>
      <c r="D2189" s="1" t="str" cm="1">
        <f t="array" ref="D2189">_xlfn.IFS(E2189&lt;28, "17-27",
AND(E2189&gt;27, E2189&lt;38), "28-37",
AND(E2189&gt;37, E2189 &lt;48), "38-47",
AND(E2189&gt;47, E2189 &lt;58), "48-57",
AND(E2189&gt;57, E2189&lt;68), "58-67",
AND(E2189&gt;67, E2189&lt;78), "68-77",
E2189&gt;77,"Above than 77")</f>
        <v>58-67</v>
      </c>
      <c r="E2189">
        <v>66</v>
      </c>
      <c r="F2189" s="1">
        <v>19173</v>
      </c>
      <c r="G2189" s="1" t="str">
        <f>VLOOKUP(H2189,Table7[#All], 2, FALSE)</f>
        <v>Massachusetts</v>
      </c>
      <c r="H2189" s="2" t="s">
        <v>14</v>
      </c>
      <c r="I2189" s="2" t="s">
        <v>22</v>
      </c>
      <c r="J2189" s="2" t="s">
        <v>17</v>
      </c>
      <c r="K2189" s="2" t="s">
        <v>8</v>
      </c>
      <c r="L2189" s="2" t="s">
        <v>9</v>
      </c>
      <c r="M2189" s="2" t="s">
        <v>25</v>
      </c>
      <c r="N2189" s="2" t="s">
        <v>19</v>
      </c>
      <c r="O2189" s="2" t="s">
        <v>12</v>
      </c>
      <c r="P2189" s="2" t="s">
        <v>35</v>
      </c>
      <c r="Q2189" s="2" t="s">
        <v>23</v>
      </c>
      <c r="R2189" s="2" t="s">
        <v>18</v>
      </c>
      <c r="S2189">
        <v>5</v>
      </c>
    </row>
    <row r="2190" spans="1:19" x14ac:dyDescent="0.3">
      <c r="A2190">
        <v>3110</v>
      </c>
      <c r="B2190">
        <f>YEAR(Cleaned_HR_Data_Analysis__2[[#This Row],[Joining_Date]])</f>
        <v>2022</v>
      </c>
      <c r="C2190" s="1">
        <v>44636</v>
      </c>
      <c r="D2190" s="1" t="str" cm="1">
        <f t="array" ref="D2190">_xlfn.IFS(E2190&lt;28, "17-27",
AND(E2190&gt;27, E2190&lt;38), "28-37",
AND(E2190&gt;37, E2190 &lt;48), "38-47",
AND(E2190&gt;47, E2190 &lt;58), "48-57",
AND(E2190&gt;57, E2190&lt;68), "58-67",
AND(E2190&gt;67, E2190&lt;78), "68-77",
E2190&gt;77,"Above than 77")</f>
        <v>58-67</v>
      </c>
      <c r="E2190">
        <v>66</v>
      </c>
      <c r="F2190" s="1">
        <v>20496</v>
      </c>
      <c r="G2190" s="1" t="str">
        <f>VLOOKUP(H2190,Table7[#All], 2, FALSE)</f>
        <v>Massachusetts</v>
      </c>
      <c r="H2190" s="2" t="s">
        <v>14</v>
      </c>
      <c r="I2190" s="2" t="s">
        <v>15</v>
      </c>
      <c r="J2190" s="2" t="s">
        <v>31</v>
      </c>
      <c r="K2190" s="2" t="s">
        <v>8</v>
      </c>
      <c r="L2190" s="2" t="s">
        <v>9</v>
      </c>
      <c r="M2190" s="2" t="s">
        <v>10</v>
      </c>
      <c r="N2190" s="2" t="s">
        <v>11</v>
      </c>
      <c r="O2190" s="2" t="s">
        <v>12</v>
      </c>
      <c r="P2190" s="2" t="s">
        <v>59</v>
      </c>
      <c r="Q2190" s="2" t="s">
        <v>23</v>
      </c>
      <c r="R2190" s="2" t="s">
        <v>18</v>
      </c>
      <c r="S2190">
        <v>2</v>
      </c>
    </row>
    <row r="2191" spans="1:19" x14ac:dyDescent="0.3">
      <c r="A2191">
        <v>3090</v>
      </c>
      <c r="B2191">
        <f>YEAR(Cleaned_HR_Data_Analysis__2[[#This Row],[Joining_Date]])</f>
        <v>2023</v>
      </c>
      <c r="C2191" s="1">
        <v>44993</v>
      </c>
      <c r="D2191" s="1" t="str" cm="1">
        <f t="array" ref="D2191">_xlfn.IFS(E2191&lt;28, "17-27",
AND(E2191&gt;27, E2191&lt;38), "28-37",
AND(E2191&gt;37, E2191 &lt;48), "38-47",
AND(E2191&gt;47, E2191 &lt;58), "48-57",
AND(E2191&gt;57, E2191&lt;68), "58-67",
AND(E2191&gt;67, E2191&lt;78), "68-77",
E2191&gt;77,"Above than 77")</f>
        <v>58-67</v>
      </c>
      <c r="E2191">
        <v>66</v>
      </c>
      <c r="F2191" s="1">
        <v>20865</v>
      </c>
      <c r="G2191" s="1" t="str">
        <f>VLOOKUP(H2191,Table7[#All], 2, FALSE)</f>
        <v>Massachusetts</v>
      </c>
      <c r="H2191" s="2" t="s">
        <v>14</v>
      </c>
      <c r="I2191" s="2" t="s">
        <v>22</v>
      </c>
      <c r="J2191" s="2" t="s">
        <v>34</v>
      </c>
      <c r="K2191" s="2" t="s">
        <v>8</v>
      </c>
      <c r="L2191" s="2" t="s">
        <v>9</v>
      </c>
      <c r="M2191" s="2" t="s">
        <v>20</v>
      </c>
      <c r="N2191" s="2" t="s">
        <v>26</v>
      </c>
      <c r="O2191" s="2" t="s">
        <v>12</v>
      </c>
      <c r="P2191" s="2" t="s">
        <v>35</v>
      </c>
      <c r="Q2191" s="2" t="s">
        <v>37</v>
      </c>
      <c r="R2191" s="2" t="s">
        <v>18</v>
      </c>
      <c r="S2191">
        <v>2</v>
      </c>
    </row>
    <row r="2192" spans="1:19" x14ac:dyDescent="0.3">
      <c r="A2192">
        <v>2965</v>
      </c>
      <c r="B2192">
        <f>YEAR(Cleaned_HR_Data_Analysis__2[[#This Row],[Joining_Date]])</f>
        <v>2023</v>
      </c>
      <c r="C2192" s="1">
        <v>44953</v>
      </c>
      <c r="D2192" s="1" t="str" cm="1">
        <f t="array" ref="D2192">_xlfn.IFS(E2192&lt;28, "17-27",
AND(E2192&gt;27, E2192&lt;38), "28-37",
AND(E2192&gt;37, E2192 &lt;48), "38-47",
AND(E2192&gt;47, E2192 &lt;58), "48-57",
AND(E2192&gt;57, E2192&lt;68), "58-67",
AND(E2192&gt;67, E2192&lt;78), "68-77",
E2192&gt;77,"Above than 77")</f>
        <v>58-67</v>
      </c>
      <c r="E2192">
        <v>66</v>
      </c>
      <c r="F2192" s="1">
        <v>20824</v>
      </c>
      <c r="G2192" s="1" t="str">
        <f>VLOOKUP(H2192,Table7[#All], 2, FALSE)</f>
        <v>Massachusetts</v>
      </c>
      <c r="H2192" s="2" t="s">
        <v>14</v>
      </c>
      <c r="I2192" s="2" t="s">
        <v>15</v>
      </c>
      <c r="J2192" s="2" t="s">
        <v>40</v>
      </c>
      <c r="K2192" s="2" t="s">
        <v>8</v>
      </c>
      <c r="L2192" s="2" t="s">
        <v>9</v>
      </c>
      <c r="M2192" s="2" t="s">
        <v>10</v>
      </c>
      <c r="N2192" s="2" t="s">
        <v>26</v>
      </c>
      <c r="O2192" s="2" t="s">
        <v>12</v>
      </c>
      <c r="P2192" s="2" t="s">
        <v>35</v>
      </c>
      <c r="Q2192" s="2" t="s">
        <v>23</v>
      </c>
      <c r="R2192" s="2" t="s">
        <v>18</v>
      </c>
      <c r="S2192">
        <v>4</v>
      </c>
    </row>
    <row r="2193" spans="1:19" x14ac:dyDescent="0.3">
      <c r="A2193">
        <v>2911</v>
      </c>
      <c r="B2193">
        <f>YEAR(Cleaned_HR_Data_Analysis__2[[#This Row],[Joining_Date]])</f>
        <v>2018</v>
      </c>
      <c r="C2193" s="1">
        <v>43319</v>
      </c>
      <c r="D2193" s="1" t="str" cm="1">
        <f t="array" ref="D2193">_xlfn.IFS(E2193&lt;28, "17-27",
AND(E2193&gt;27, E2193&lt;38), "28-37",
AND(E2193&gt;37, E2193 &lt;48), "38-47",
AND(E2193&gt;47, E2193 &lt;58), "48-57",
AND(E2193&gt;57, E2193&lt;68), "58-67",
AND(E2193&gt;67, E2193&lt;78), "68-77",
E2193&gt;77,"Above than 77")</f>
        <v>58-67</v>
      </c>
      <c r="E2193">
        <v>66</v>
      </c>
      <c r="F2193" s="1">
        <v>19345</v>
      </c>
      <c r="G2193" s="1" t="str">
        <f>VLOOKUP(H2193,Table7[#All], 2, FALSE)</f>
        <v>Massachusetts</v>
      </c>
      <c r="H2193" s="2" t="s">
        <v>14</v>
      </c>
      <c r="I2193" s="2" t="s">
        <v>22</v>
      </c>
      <c r="J2193" s="2" t="s">
        <v>40</v>
      </c>
      <c r="K2193" s="2" t="s">
        <v>8</v>
      </c>
      <c r="L2193" s="2" t="s">
        <v>9</v>
      </c>
      <c r="M2193" s="2" t="s">
        <v>20</v>
      </c>
      <c r="N2193" s="2" t="s">
        <v>19</v>
      </c>
      <c r="O2193" s="2" t="s">
        <v>12</v>
      </c>
      <c r="P2193" s="2" t="s">
        <v>13</v>
      </c>
      <c r="Q2193" s="2" t="s">
        <v>46</v>
      </c>
      <c r="R2193" s="2" t="s">
        <v>41</v>
      </c>
      <c r="S2193">
        <v>2</v>
      </c>
    </row>
    <row r="2194" spans="1:19" x14ac:dyDescent="0.3">
      <c r="A2194">
        <v>2876</v>
      </c>
      <c r="B2194">
        <f>YEAR(Cleaned_HR_Data_Analysis__2[[#This Row],[Joining_Date]])</f>
        <v>2023</v>
      </c>
      <c r="C2194" s="1">
        <v>45043</v>
      </c>
      <c r="D2194" s="1" t="str" cm="1">
        <f t="array" ref="D2194">_xlfn.IFS(E2194&lt;28, "17-27",
AND(E2194&gt;27, E2194&lt;38), "28-37",
AND(E2194&gt;37, E2194 &lt;48), "38-47",
AND(E2194&gt;47, E2194 &lt;58), "48-57",
AND(E2194&gt;57, E2194&lt;68), "58-67",
AND(E2194&gt;67, E2194&lt;78), "68-77",
E2194&gt;77,"Above than 77")</f>
        <v>58-67</v>
      </c>
      <c r="E2194">
        <v>66</v>
      </c>
      <c r="F2194" s="1">
        <v>20919</v>
      </c>
      <c r="G2194" s="1" t="str">
        <f>VLOOKUP(H2194,Table7[#All], 2, FALSE)</f>
        <v>Massachusetts</v>
      </c>
      <c r="H2194" s="2" t="s">
        <v>14</v>
      </c>
      <c r="I2194" s="2" t="s">
        <v>15</v>
      </c>
      <c r="J2194" s="2" t="s">
        <v>40</v>
      </c>
      <c r="K2194" s="2" t="s">
        <v>8</v>
      </c>
      <c r="L2194" s="2" t="s">
        <v>9</v>
      </c>
      <c r="M2194" s="2" t="s">
        <v>20</v>
      </c>
      <c r="N2194" s="2" t="s">
        <v>19</v>
      </c>
      <c r="O2194" s="2" t="s">
        <v>12</v>
      </c>
      <c r="P2194" s="2" t="s">
        <v>35</v>
      </c>
      <c r="Q2194" s="2" t="s">
        <v>46</v>
      </c>
      <c r="R2194" s="2" t="s">
        <v>18</v>
      </c>
      <c r="S2194">
        <v>3</v>
      </c>
    </row>
    <row r="2195" spans="1:19" x14ac:dyDescent="0.3">
      <c r="A2195">
        <v>2135</v>
      </c>
      <c r="B2195">
        <f>YEAR(Cleaned_HR_Data_Analysis__2[[#This Row],[Joining_Date]])</f>
        <v>2021</v>
      </c>
      <c r="C2195" s="1">
        <v>44494</v>
      </c>
      <c r="D2195" s="1" t="str" cm="1">
        <f t="array" ref="D2195">_xlfn.IFS(E2195&lt;28, "17-27",
AND(E2195&gt;27, E2195&lt;38), "28-37",
AND(E2195&gt;37, E2195 &lt;48), "38-47",
AND(E2195&gt;47, E2195 &lt;58), "48-57",
AND(E2195&gt;57, E2195&lt;68), "58-67",
AND(E2195&gt;67, E2195&lt;78), "68-77",
E2195&gt;77,"Above than 77")</f>
        <v>58-67</v>
      </c>
      <c r="E2195">
        <v>66</v>
      </c>
      <c r="F2195" s="1">
        <v>20204</v>
      </c>
      <c r="G2195" s="1" t="str">
        <f>VLOOKUP(H2195,Table7[#All], 2, FALSE)</f>
        <v>Massachusetts</v>
      </c>
      <c r="H2195" s="2" t="s">
        <v>14</v>
      </c>
      <c r="I2195" s="2" t="s">
        <v>15</v>
      </c>
      <c r="J2195" s="2" t="s">
        <v>34</v>
      </c>
      <c r="K2195" s="2" t="s">
        <v>8</v>
      </c>
      <c r="L2195" s="2" t="s">
        <v>9</v>
      </c>
      <c r="M2195" s="2" t="s">
        <v>10</v>
      </c>
      <c r="N2195" s="2" t="s">
        <v>19</v>
      </c>
      <c r="O2195" s="2" t="s">
        <v>12</v>
      </c>
      <c r="P2195" s="2" t="s">
        <v>42</v>
      </c>
      <c r="Q2195" s="2" t="s">
        <v>46</v>
      </c>
      <c r="R2195" s="2" t="s">
        <v>41</v>
      </c>
      <c r="S2195">
        <v>2</v>
      </c>
    </row>
    <row r="2196" spans="1:19" x14ac:dyDescent="0.3">
      <c r="A2196">
        <v>2127</v>
      </c>
      <c r="B2196">
        <f>YEAR(Cleaned_HR_Data_Analysis__2[[#This Row],[Joining_Date]])</f>
        <v>2019</v>
      </c>
      <c r="C2196" s="1">
        <v>43666</v>
      </c>
      <c r="D2196" s="1" t="str" cm="1">
        <f t="array" ref="D2196">_xlfn.IFS(E2196&lt;28, "17-27",
AND(E2196&gt;27, E2196&lt;38), "28-37",
AND(E2196&gt;37, E2196 &lt;48), "38-47",
AND(E2196&gt;47, E2196 &lt;58), "48-57",
AND(E2196&gt;57, E2196&lt;68), "58-67",
AND(E2196&gt;67, E2196&lt;78), "68-77",
E2196&gt;77,"Above than 77")</f>
        <v>58-67</v>
      </c>
      <c r="E2196">
        <v>66</v>
      </c>
      <c r="F2196" s="1">
        <v>19689</v>
      </c>
      <c r="G2196" s="1" t="str">
        <f>VLOOKUP(H2196,Table7[#All], 2, FALSE)</f>
        <v>Massachusetts</v>
      </c>
      <c r="H2196" s="2" t="s">
        <v>14</v>
      </c>
      <c r="I2196" s="2" t="s">
        <v>15</v>
      </c>
      <c r="J2196" s="2" t="s">
        <v>31</v>
      </c>
      <c r="K2196" s="2" t="s">
        <v>8</v>
      </c>
      <c r="L2196" s="2" t="s">
        <v>9</v>
      </c>
      <c r="M2196" s="2" t="s">
        <v>10</v>
      </c>
      <c r="N2196" s="2" t="s">
        <v>19</v>
      </c>
      <c r="O2196" s="2" t="s">
        <v>12</v>
      </c>
      <c r="P2196" s="2" t="s">
        <v>35</v>
      </c>
      <c r="Q2196" s="2" t="s">
        <v>37</v>
      </c>
      <c r="R2196" s="2" t="s">
        <v>56</v>
      </c>
      <c r="S2196">
        <v>2</v>
      </c>
    </row>
    <row r="2197" spans="1:19" x14ac:dyDescent="0.3">
      <c r="A2197">
        <v>2079</v>
      </c>
      <c r="B2197">
        <f>YEAR(Cleaned_HR_Data_Analysis__2[[#This Row],[Joining_Date]])</f>
        <v>2022</v>
      </c>
      <c r="C2197" s="1">
        <v>44731</v>
      </c>
      <c r="D2197" s="1" t="str" cm="1">
        <f t="array" ref="D2197">_xlfn.IFS(E2197&lt;28, "17-27",
AND(E2197&gt;27, E2197&lt;38), "28-37",
AND(E2197&gt;37, E2197 &lt;48), "38-47",
AND(E2197&gt;47, E2197 &lt;58), "48-57",
AND(E2197&gt;57, E2197&lt;68), "58-67",
AND(E2197&gt;67, E2197&lt;78), "68-77",
E2197&gt;77,"Above than 77")</f>
        <v>58-67</v>
      </c>
      <c r="E2197">
        <v>66</v>
      </c>
      <c r="F2197" s="1">
        <v>20618</v>
      </c>
      <c r="G2197" s="1" t="str">
        <f>VLOOKUP(H2197,Table7[#All], 2, FALSE)</f>
        <v>Massachusetts</v>
      </c>
      <c r="H2197" s="2" t="s">
        <v>14</v>
      </c>
      <c r="I2197" s="2" t="s">
        <v>15</v>
      </c>
      <c r="J2197" s="2" t="s">
        <v>34</v>
      </c>
      <c r="K2197" s="2" t="s">
        <v>8</v>
      </c>
      <c r="L2197" s="2" t="s">
        <v>9</v>
      </c>
      <c r="M2197" s="2" t="s">
        <v>20</v>
      </c>
      <c r="N2197" s="2" t="s">
        <v>26</v>
      </c>
      <c r="O2197" s="2" t="s">
        <v>12</v>
      </c>
      <c r="P2197" s="2" t="s">
        <v>32</v>
      </c>
      <c r="Q2197" s="2" t="s">
        <v>16</v>
      </c>
      <c r="R2197" s="2" t="s">
        <v>18</v>
      </c>
      <c r="S2197">
        <v>2</v>
      </c>
    </row>
    <row r="2198" spans="1:19" x14ac:dyDescent="0.3">
      <c r="A2198">
        <v>1790</v>
      </c>
      <c r="B2198">
        <f>YEAR(Cleaned_HR_Data_Analysis__2[[#This Row],[Joining_Date]])</f>
        <v>2022</v>
      </c>
      <c r="C2198" s="1">
        <v>44897</v>
      </c>
      <c r="D2198" s="1" t="str" cm="1">
        <f t="array" ref="D2198">_xlfn.IFS(E2198&lt;28, "17-27",
AND(E2198&gt;27, E2198&lt;38), "28-37",
AND(E2198&gt;37, E2198 &lt;48), "38-47",
AND(E2198&gt;47, E2198 &lt;58), "48-57",
AND(E2198&gt;57, E2198&lt;68), "58-67",
AND(E2198&gt;67, E2198&lt;78), "68-77",
E2198&gt;77,"Above than 77")</f>
        <v>58-67</v>
      </c>
      <c r="E2198">
        <v>66</v>
      </c>
      <c r="F2198" s="1">
        <v>20523</v>
      </c>
      <c r="G2198" s="1" t="str">
        <f>VLOOKUP(H2198,Table7[#All], 2, FALSE)</f>
        <v>Massachusetts</v>
      </c>
      <c r="H2198" s="2" t="s">
        <v>14</v>
      </c>
      <c r="I2198" s="2" t="s">
        <v>15</v>
      </c>
      <c r="J2198" s="2" t="s">
        <v>40</v>
      </c>
      <c r="K2198" s="2" t="s">
        <v>8</v>
      </c>
      <c r="L2198" s="2" t="s">
        <v>9</v>
      </c>
      <c r="M2198" s="2" t="s">
        <v>20</v>
      </c>
      <c r="N2198" s="2" t="s">
        <v>26</v>
      </c>
      <c r="O2198" s="2" t="s">
        <v>12</v>
      </c>
      <c r="P2198" s="2" t="s">
        <v>21</v>
      </c>
      <c r="Q2198" s="2" t="s">
        <v>46</v>
      </c>
      <c r="R2198" s="2" t="s">
        <v>18</v>
      </c>
      <c r="S2198">
        <v>5</v>
      </c>
    </row>
    <row r="2199" spans="1:19" x14ac:dyDescent="0.3">
      <c r="A2199">
        <v>1776</v>
      </c>
      <c r="B2199">
        <f>YEAR(Cleaned_HR_Data_Analysis__2[[#This Row],[Joining_Date]])</f>
        <v>2021</v>
      </c>
      <c r="C2199" s="1">
        <v>44411</v>
      </c>
      <c r="D2199" s="1" t="str" cm="1">
        <f t="array" ref="D2199">_xlfn.IFS(E2199&lt;28, "17-27",
AND(E2199&gt;27, E2199&lt;38), "28-37",
AND(E2199&gt;37, E2199 &lt;48), "38-47",
AND(E2199&gt;47, E2199 &lt;58), "48-57",
AND(E2199&gt;57, E2199&lt;68), "58-67",
AND(E2199&gt;67, E2199&lt;78), "68-77",
E2199&gt;77,"Above than 77")</f>
        <v>58-67</v>
      </c>
      <c r="E2199">
        <v>66</v>
      </c>
      <c r="F2199" s="1">
        <v>20159</v>
      </c>
      <c r="G2199" s="1" t="str">
        <f>VLOOKUP(H2199,Table7[#All], 2, FALSE)</f>
        <v>Massachusetts</v>
      </c>
      <c r="H2199" s="2" t="s">
        <v>14</v>
      </c>
      <c r="I2199" s="2" t="s">
        <v>22</v>
      </c>
      <c r="J2199" s="2" t="s">
        <v>40</v>
      </c>
      <c r="K2199" s="2" t="s">
        <v>8</v>
      </c>
      <c r="L2199" s="2" t="s">
        <v>9</v>
      </c>
      <c r="M2199" s="2" t="s">
        <v>25</v>
      </c>
      <c r="N2199" s="2" t="s">
        <v>11</v>
      </c>
      <c r="O2199" s="2" t="s">
        <v>12</v>
      </c>
      <c r="P2199" s="2" t="s">
        <v>54</v>
      </c>
      <c r="Q2199" s="2" t="s">
        <v>46</v>
      </c>
      <c r="R2199" s="2" t="s">
        <v>18</v>
      </c>
      <c r="S2199">
        <v>2</v>
      </c>
    </row>
    <row r="2200" spans="1:19" x14ac:dyDescent="0.3">
      <c r="A2200">
        <v>1591</v>
      </c>
      <c r="B2200">
        <f>YEAR(Cleaned_HR_Data_Analysis__2[[#This Row],[Joining_Date]])</f>
        <v>2023</v>
      </c>
      <c r="C2200" s="1">
        <v>44967</v>
      </c>
      <c r="D2200" s="1" t="str" cm="1">
        <f t="array" ref="D2200">_xlfn.IFS(E2200&lt;28, "17-27",
AND(E2200&gt;27, E2200&lt;38), "28-37",
AND(E2200&gt;37, E2200 &lt;48), "38-47",
AND(E2200&gt;47, E2200 &lt;58), "48-57",
AND(E2200&gt;57, E2200&lt;68), "58-67",
AND(E2200&gt;67, E2200&lt;78), "68-77",
E2200&gt;77,"Above than 77")</f>
        <v>58-67</v>
      </c>
      <c r="E2200">
        <v>66</v>
      </c>
      <c r="F2200" s="1">
        <v>21113</v>
      </c>
      <c r="G2200" s="1" t="str">
        <f>VLOOKUP(H2200,Table7[#All], 2, FALSE)</f>
        <v>Massachusetts</v>
      </c>
      <c r="H2200" s="2" t="s">
        <v>14</v>
      </c>
      <c r="I2200" s="2" t="s">
        <v>15</v>
      </c>
      <c r="J2200" s="2" t="s">
        <v>40</v>
      </c>
      <c r="K2200" s="2" t="s">
        <v>8</v>
      </c>
      <c r="L2200" s="2" t="s">
        <v>9</v>
      </c>
      <c r="M2200" s="2" t="s">
        <v>10</v>
      </c>
      <c r="N2200" s="2" t="s">
        <v>19</v>
      </c>
      <c r="O2200" s="2" t="s">
        <v>12</v>
      </c>
      <c r="P2200" s="2" t="s">
        <v>32</v>
      </c>
      <c r="Q2200" s="2" t="s">
        <v>46</v>
      </c>
      <c r="R2200" s="2" t="s">
        <v>18</v>
      </c>
      <c r="S2200">
        <v>3</v>
      </c>
    </row>
    <row r="2201" spans="1:19" x14ac:dyDescent="0.3">
      <c r="A2201">
        <v>1585</v>
      </c>
      <c r="B2201">
        <f>YEAR(Cleaned_HR_Data_Analysis__2[[#This Row],[Joining_Date]])</f>
        <v>2022</v>
      </c>
      <c r="C2201" s="1">
        <v>44821</v>
      </c>
      <c r="D2201" s="1" t="str" cm="1">
        <f t="array" ref="D2201">_xlfn.IFS(E2201&lt;28, "17-27",
AND(E2201&gt;27, E2201&lt;38), "28-37",
AND(E2201&gt;37, E2201 &lt;48), "38-47",
AND(E2201&gt;47, E2201 &lt;58), "48-57",
AND(E2201&gt;57, E2201&lt;68), "58-67",
AND(E2201&gt;67, E2201&lt;78), "68-77",
E2201&gt;77,"Above than 77")</f>
        <v>58-67</v>
      </c>
      <c r="E2201">
        <v>66</v>
      </c>
      <c r="F2201" s="1">
        <v>20579</v>
      </c>
      <c r="G2201" s="1" t="str">
        <f>VLOOKUP(H2201,Table7[#All], 2, FALSE)</f>
        <v>Massachusetts</v>
      </c>
      <c r="H2201" s="2" t="s">
        <v>14</v>
      </c>
      <c r="I2201" s="2" t="s">
        <v>15</v>
      </c>
      <c r="J2201" s="2" t="s">
        <v>31</v>
      </c>
      <c r="K2201" s="2" t="s">
        <v>8</v>
      </c>
      <c r="L2201" s="2" t="s">
        <v>9</v>
      </c>
      <c r="M2201" s="2" t="s">
        <v>20</v>
      </c>
      <c r="N2201" s="2" t="s">
        <v>19</v>
      </c>
      <c r="O2201" s="2" t="s">
        <v>12</v>
      </c>
      <c r="P2201" s="2" t="s">
        <v>49</v>
      </c>
      <c r="Q2201" s="2" t="s">
        <v>37</v>
      </c>
      <c r="R2201" s="2" t="s">
        <v>18</v>
      </c>
      <c r="S2201">
        <v>4</v>
      </c>
    </row>
    <row r="2202" spans="1:19" x14ac:dyDescent="0.3">
      <c r="A2202">
        <v>1460</v>
      </c>
      <c r="B2202">
        <f>YEAR(Cleaned_HR_Data_Analysis__2[[#This Row],[Joining_Date]])</f>
        <v>2021</v>
      </c>
      <c r="C2202" s="1">
        <v>44251</v>
      </c>
      <c r="D2202" s="1" t="str" cm="1">
        <f t="array" ref="D2202">_xlfn.IFS(E2202&lt;28, "17-27",
AND(E2202&gt;27, E2202&lt;38), "28-37",
AND(E2202&gt;37, E2202 &lt;48), "38-47",
AND(E2202&gt;47, E2202 &lt;58), "48-57",
AND(E2202&gt;57, E2202&lt;68), "58-67",
AND(E2202&gt;67, E2202&lt;78), "68-77",
E2202&gt;77,"Above than 77")</f>
        <v>58-67</v>
      </c>
      <c r="E2202">
        <v>66</v>
      </c>
      <c r="F2202" s="1">
        <v>20238</v>
      </c>
      <c r="G2202" s="1" t="str">
        <f>VLOOKUP(H2202,Table7[#All], 2, FALSE)</f>
        <v>Massachusetts</v>
      </c>
      <c r="H2202" s="2" t="s">
        <v>14</v>
      </c>
      <c r="I2202" s="2" t="s">
        <v>22</v>
      </c>
      <c r="J2202" s="2" t="s">
        <v>40</v>
      </c>
      <c r="K2202" s="2" t="s">
        <v>8</v>
      </c>
      <c r="L2202" s="2" t="s">
        <v>9</v>
      </c>
      <c r="M2202" s="2" t="s">
        <v>25</v>
      </c>
      <c r="N2202" s="2" t="s">
        <v>19</v>
      </c>
      <c r="O2202" s="2" t="s">
        <v>12</v>
      </c>
      <c r="P2202" s="2" t="s">
        <v>59</v>
      </c>
      <c r="Q2202" s="2" t="s">
        <v>30</v>
      </c>
      <c r="R2202" s="2" t="s">
        <v>41</v>
      </c>
      <c r="S2202">
        <v>3</v>
      </c>
    </row>
    <row r="2203" spans="1:19" x14ac:dyDescent="0.3">
      <c r="A2203">
        <v>1313</v>
      </c>
      <c r="B2203">
        <f>YEAR(Cleaned_HR_Data_Analysis__2[[#This Row],[Joining_Date]])</f>
        <v>2023</v>
      </c>
      <c r="C2203" s="1">
        <v>45034</v>
      </c>
      <c r="D2203" s="1" t="str" cm="1">
        <f t="array" ref="D2203">_xlfn.IFS(E2203&lt;28, "17-27",
AND(E2203&gt;27, E2203&lt;38), "28-37",
AND(E2203&gt;37, E2203 &lt;48), "38-47",
AND(E2203&gt;47, E2203 &lt;58), "48-57",
AND(E2203&gt;57, E2203&lt;68), "58-67",
AND(E2203&gt;67, E2203&lt;78), "68-77",
E2203&gt;77,"Above than 77")</f>
        <v>58-67</v>
      </c>
      <c r="E2203">
        <v>66</v>
      </c>
      <c r="F2203" s="1">
        <v>21158</v>
      </c>
      <c r="G2203" s="1" t="str">
        <f>VLOOKUP(H2203,Table7[#All], 2, FALSE)</f>
        <v>Massachusetts</v>
      </c>
      <c r="H2203" s="2" t="s">
        <v>14</v>
      </c>
      <c r="I2203" s="2" t="s">
        <v>15</v>
      </c>
      <c r="J2203" s="2" t="s">
        <v>31</v>
      </c>
      <c r="K2203" s="2" t="s">
        <v>8</v>
      </c>
      <c r="L2203" s="2" t="s">
        <v>9</v>
      </c>
      <c r="M2203" s="2" t="s">
        <v>10</v>
      </c>
      <c r="N2203" s="2" t="s">
        <v>11</v>
      </c>
      <c r="O2203" s="2" t="s">
        <v>12</v>
      </c>
      <c r="P2203" s="2" t="s">
        <v>35</v>
      </c>
      <c r="Q2203" s="2" t="s">
        <v>23</v>
      </c>
      <c r="R2203" s="2" t="s">
        <v>18</v>
      </c>
      <c r="S2203">
        <v>4</v>
      </c>
    </row>
    <row r="2204" spans="1:19" x14ac:dyDescent="0.3">
      <c r="A2204">
        <v>1259</v>
      </c>
      <c r="B2204">
        <f>YEAR(Cleaned_HR_Data_Analysis__2[[#This Row],[Joining_Date]])</f>
        <v>2022</v>
      </c>
      <c r="C2204" s="1">
        <v>44682</v>
      </c>
      <c r="D2204" s="1" t="str" cm="1">
        <f t="array" ref="D2204">_xlfn.IFS(E2204&lt;28, "17-27",
AND(E2204&gt;27, E2204&lt;38), "28-37",
AND(E2204&gt;37, E2204 &lt;48), "38-47",
AND(E2204&gt;47, E2204 &lt;58), "48-57",
AND(E2204&gt;57, E2204&lt;68), "58-67",
AND(E2204&gt;67, E2204&lt;78), "68-77",
E2204&gt;77,"Above than 77")</f>
        <v>58-67</v>
      </c>
      <c r="E2204">
        <v>66</v>
      </c>
      <c r="F2204" s="1">
        <v>20650</v>
      </c>
      <c r="G2204" s="1" t="str">
        <f>VLOOKUP(H2204,Table7[#All], 2, FALSE)</f>
        <v>Massachusetts</v>
      </c>
      <c r="H2204" s="2" t="s">
        <v>14</v>
      </c>
      <c r="I2204" s="2" t="s">
        <v>22</v>
      </c>
      <c r="J2204" s="2" t="s">
        <v>31</v>
      </c>
      <c r="K2204" s="2" t="s">
        <v>8</v>
      </c>
      <c r="L2204" s="2" t="s">
        <v>66</v>
      </c>
      <c r="M2204" s="2" t="s">
        <v>25</v>
      </c>
      <c r="N2204" s="2" t="s">
        <v>19</v>
      </c>
      <c r="O2204" s="2" t="s">
        <v>12</v>
      </c>
      <c r="P2204" s="2" t="s">
        <v>32</v>
      </c>
      <c r="Q2204" s="2" t="s">
        <v>16</v>
      </c>
      <c r="R2204" s="2" t="s">
        <v>18</v>
      </c>
      <c r="S2204">
        <v>3</v>
      </c>
    </row>
    <row r="2205" spans="1:19" x14ac:dyDescent="0.3">
      <c r="A2205">
        <v>1225</v>
      </c>
      <c r="B2205">
        <f>YEAR(Cleaned_HR_Data_Analysis__2[[#This Row],[Joining_Date]])</f>
        <v>2023</v>
      </c>
      <c r="C2205" s="1">
        <v>45061</v>
      </c>
      <c r="D2205" s="1" t="str" cm="1">
        <f t="array" ref="D2205">_xlfn.IFS(E2205&lt;28, "17-27",
AND(E2205&gt;27, E2205&lt;38), "28-37",
AND(E2205&gt;37, E2205 &lt;48), "38-47",
AND(E2205&gt;47, E2205 &lt;58), "48-57",
AND(E2205&gt;57, E2205&lt;68), "58-67",
AND(E2205&gt;67, E2205&lt;78), "68-77",
E2205&gt;77,"Above than 77")</f>
        <v>58-67</v>
      </c>
      <c r="E2205">
        <v>66</v>
      </c>
      <c r="F2205" s="1">
        <v>20834</v>
      </c>
      <c r="G2205" s="1" t="str">
        <f>VLOOKUP(H2205,Table7[#All], 2, FALSE)</f>
        <v>Massachusetts</v>
      </c>
      <c r="H2205" s="2" t="s">
        <v>14</v>
      </c>
      <c r="I2205" s="2" t="s">
        <v>22</v>
      </c>
      <c r="J2205" s="2" t="s">
        <v>34</v>
      </c>
      <c r="K2205" s="2" t="s">
        <v>8</v>
      </c>
      <c r="L2205" s="2" t="s">
        <v>9</v>
      </c>
      <c r="M2205" s="2" t="s">
        <v>10</v>
      </c>
      <c r="N2205" s="2" t="s">
        <v>11</v>
      </c>
      <c r="O2205" s="2" t="s">
        <v>12</v>
      </c>
      <c r="P2205" s="2" t="s">
        <v>13</v>
      </c>
      <c r="Q2205" s="2" t="s">
        <v>46</v>
      </c>
      <c r="R2205" s="2" t="s">
        <v>18</v>
      </c>
      <c r="S2205">
        <v>2</v>
      </c>
    </row>
    <row r="2206" spans="1:19" x14ac:dyDescent="0.3">
      <c r="A2206">
        <v>1194</v>
      </c>
      <c r="B2206">
        <f>YEAR(Cleaned_HR_Data_Analysis__2[[#This Row],[Joining_Date]])</f>
        <v>2019</v>
      </c>
      <c r="C2206" s="1">
        <v>43479</v>
      </c>
      <c r="D2206" s="1" t="str" cm="1">
        <f t="array" ref="D2206">_xlfn.IFS(E2206&lt;28, "17-27",
AND(E2206&gt;27, E2206&lt;38), "28-37",
AND(E2206&gt;37, E2206 &lt;48), "38-47",
AND(E2206&gt;47, E2206 &lt;58), "48-57",
AND(E2206&gt;57, E2206&lt;68), "58-67",
AND(E2206&gt;67, E2206&lt;78), "68-77",
E2206&gt;77,"Above than 77")</f>
        <v>58-67</v>
      </c>
      <c r="E2206">
        <v>66</v>
      </c>
      <c r="F2206" s="1">
        <v>19426</v>
      </c>
      <c r="G2206" s="1" t="str">
        <f>VLOOKUP(H2206,Table7[#All], 2, FALSE)</f>
        <v>Massachusetts</v>
      </c>
      <c r="H2206" s="2" t="s">
        <v>14</v>
      </c>
      <c r="I2206" s="2" t="s">
        <v>22</v>
      </c>
      <c r="J2206" s="2" t="s">
        <v>17</v>
      </c>
      <c r="K2206" s="2" t="s">
        <v>8</v>
      </c>
      <c r="L2206" s="2" t="s">
        <v>66</v>
      </c>
      <c r="M2206" s="2" t="s">
        <v>25</v>
      </c>
      <c r="N2206" s="2" t="s">
        <v>11</v>
      </c>
      <c r="O2206" s="2" t="s">
        <v>12</v>
      </c>
      <c r="P2206" s="2" t="s">
        <v>35</v>
      </c>
      <c r="Q2206" s="2" t="s">
        <v>46</v>
      </c>
      <c r="R2206" s="2" t="s">
        <v>18</v>
      </c>
      <c r="S2206">
        <v>4</v>
      </c>
    </row>
    <row r="2207" spans="1:19" x14ac:dyDescent="0.3">
      <c r="A2207">
        <v>1161</v>
      </c>
      <c r="B2207">
        <f>YEAR(Cleaned_HR_Data_Analysis__2[[#This Row],[Joining_Date]])</f>
        <v>2020</v>
      </c>
      <c r="C2207" s="1">
        <v>43996</v>
      </c>
      <c r="D2207" s="1" t="str" cm="1">
        <f t="array" ref="D2207">_xlfn.IFS(E2207&lt;28, "17-27",
AND(E2207&gt;27, E2207&lt;38), "28-37",
AND(E2207&gt;37, E2207 &lt;48), "38-47",
AND(E2207&gt;47, E2207 &lt;58), "48-57",
AND(E2207&gt;57, E2207&lt;68), "58-67",
AND(E2207&gt;67, E2207&lt;78), "68-77",
E2207&gt;77,"Above than 77")</f>
        <v>58-67</v>
      </c>
      <c r="E2207">
        <v>66</v>
      </c>
      <c r="F2207" s="1">
        <v>19966</v>
      </c>
      <c r="G2207" s="1" t="str">
        <f>VLOOKUP(H2207,Table7[#All], 2, FALSE)</f>
        <v>Massachusetts</v>
      </c>
      <c r="H2207" s="2" t="s">
        <v>14</v>
      </c>
      <c r="I2207" s="2" t="s">
        <v>15</v>
      </c>
      <c r="J2207" s="2" t="s">
        <v>17</v>
      </c>
      <c r="K2207" s="2" t="s">
        <v>8</v>
      </c>
      <c r="L2207" s="2" t="s">
        <v>9</v>
      </c>
      <c r="M2207" s="2" t="s">
        <v>10</v>
      </c>
      <c r="N2207" s="2" t="s">
        <v>26</v>
      </c>
      <c r="O2207" s="2" t="s">
        <v>12</v>
      </c>
      <c r="P2207" s="2" t="s">
        <v>63</v>
      </c>
      <c r="Q2207" s="2" t="s">
        <v>30</v>
      </c>
      <c r="R2207" s="2" t="s">
        <v>18</v>
      </c>
      <c r="S2207">
        <v>4</v>
      </c>
    </row>
    <row r="2208" spans="1:19" x14ac:dyDescent="0.3">
      <c r="A2208">
        <v>3837</v>
      </c>
      <c r="B2208">
        <f>YEAR(Cleaned_HR_Data_Analysis__2[[#This Row],[Joining_Date]])</f>
        <v>2022</v>
      </c>
      <c r="C2208" s="1">
        <v>44836</v>
      </c>
      <c r="D2208" s="1" t="str" cm="1">
        <f t="array" ref="D2208">_xlfn.IFS(E2208&lt;28, "17-27",
AND(E2208&gt;27, E2208&lt;38), "28-37",
AND(E2208&gt;37, E2208 &lt;48), "38-47",
AND(E2208&gt;47, E2208 &lt;58), "48-57",
AND(E2208&gt;57, E2208&lt;68), "58-67",
AND(E2208&gt;67, E2208&lt;78), "68-77",
E2208&gt;77,"Above than 77")</f>
        <v>58-67</v>
      </c>
      <c r="E2208">
        <v>66</v>
      </c>
      <c r="F2208" s="1">
        <v>20694</v>
      </c>
      <c r="G2208" s="1" t="str">
        <f>VLOOKUP(H2208,Table7[#All], 2, FALSE)</f>
        <v>Massachusetts</v>
      </c>
      <c r="H2208" s="2" t="s">
        <v>14</v>
      </c>
      <c r="I2208" s="2" t="s">
        <v>22</v>
      </c>
      <c r="J2208" s="2" t="s">
        <v>31</v>
      </c>
      <c r="K2208" s="2" t="s">
        <v>70</v>
      </c>
      <c r="L2208" s="2" t="s">
        <v>9</v>
      </c>
      <c r="M2208" s="2" t="s">
        <v>20</v>
      </c>
      <c r="N2208" s="2" t="s">
        <v>19</v>
      </c>
      <c r="O2208" s="2" t="s">
        <v>53</v>
      </c>
      <c r="P2208" s="2" t="s">
        <v>13</v>
      </c>
      <c r="Q2208" s="2" t="s">
        <v>30</v>
      </c>
      <c r="R2208" s="2" t="s">
        <v>65</v>
      </c>
      <c r="S2208">
        <v>3</v>
      </c>
    </row>
    <row r="2209" spans="1:19" x14ac:dyDescent="0.3">
      <c r="A2209">
        <v>2497</v>
      </c>
      <c r="B2209">
        <f>YEAR(Cleaned_HR_Data_Analysis__2[[#This Row],[Joining_Date]])</f>
        <v>2021</v>
      </c>
      <c r="C2209" s="1">
        <v>44391</v>
      </c>
      <c r="D2209" s="1" t="str" cm="1">
        <f t="array" ref="D2209">_xlfn.IFS(E2209&lt;28, "17-27",
AND(E2209&gt;27, E2209&lt;38), "28-37",
AND(E2209&gt;37, E2209 &lt;48), "38-47",
AND(E2209&gt;47, E2209 &lt;58), "48-57",
AND(E2209&gt;57, E2209&lt;68), "58-67",
AND(E2209&gt;67, E2209&lt;78), "68-77",
E2209&gt;77,"Above than 77")</f>
        <v>58-67</v>
      </c>
      <c r="E2209">
        <v>66</v>
      </c>
      <c r="F2209" s="1">
        <v>20337</v>
      </c>
      <c r="G2209" s="1" t="str">
        <f>VLOOKUP(H2209,Table7[#All], 2, FALSE)</f>
        <v>Massachusetts</v>
      </c>
      <c r="H2209" s="2" t="s">
        <v>14</v>
      </c>
      <c r="I2209" s="2" t="s">
        <v>22</v>
      </c>
      <c r="J2209" s="2" t="s">
        <v>31</v>
      </c>
      <c r="K2209" s="2" t="s">
        <v>106</v>
      </c>
      <c r="L2209" s="2" t="s">
        <v>9</v>
      </c>
      <c r="M2209" s="2" t="s">
        <v>25</v>
      </c>
      <c r="N2209" s="2" t="s">
        <v>11</v>
      </c>
      <c r="O2209" s="2" t="s">
        <v>53</v>
      </c>
      <c r="P2209" s="2" t="s">
        <v>35</v>
      </c>
      <c r="Q2209" s="2" t="s">
        <v>16</v>
      </c>
      <c r="R2209" s="2" t="s">
        <v>18</v>
      </c>
      <c r="S2209">
        <v>2</v>
      </c>
    </row>
    <row r="2210" spans="1:19" x14ac:dyDescent="0.3">
      <c r="A2210">
        <v>2444</v>
      </c>
      <c r="B2210">
        <f>YEAR(Cleaned_HR_Data_Analysis__2[[#This Row],[Joining_Date]])</f>
        <v>2023</v>
      </c>
      <c r="C2210" s="1">
        <v>45032</v>
      </c>
      <c r="D2210" s="1" t="str" cm="1">
        <f t="array" ref="D2210">_xlfn.IFS(E2210&lt;28, "17-27",
AND(E2210&gt;27, E2210&lt;38), "28-37",
AND(E2210&gt;37, E2210 &lt;48), "38-47",
AND(E2210&gt;47, E2210 &lt;58), "48-57",
AND(E2210&gt;57, E2210&lt;68), "58-67",
AND(E2210&gt;67, E2210&lt;78), "68-77",
E2210&gt;77,"Above than 77")</f>
        <v>58-67</v>
      </c>
      <c r="E2210">
        <v>66</v>
      </c>
      <c r="F2210" s="1">
        <v>21070</v>
      </c>
      <c r="G2210" s="1" t="str">
        <f>VLOOKUP(H2210,Table7[#All], 2, FALSE)</f>
        <v>Massachusetts</v>
      </c>
      <c r="H2210" s="2" t="s">
        <v>14</v>
      </c>
      <c r="I2210" s="2" t="s">
        <v>15</v>
      </c>
      <c r="J2210" s="2" t="s">
        <v>31</v>
      </c>
      <c r="K2210" s="2" t="s">
        <v>78</v>
      </c>
      <c r="L2210" s="2" t="s">
        <v>9</v>
      </c>
      <c r="M2210" s="2" t="s">
        <v>20</v>
      </c>
      <c r="N2210" s="2" t="s">
        <v>11</v>
      </c>
      <c r="O2210" s="2" t="s">
        <v>53</v>
      </c>
      <c r="P2210" s="2" t="s">
        <v>59</v>
      </c>
      <c r="Q2210" s="2" t="s">
        <v>37</v>
      </c>
      <c r="R2210" s="2" t="s">
        <v>18</v>
      </c>
      <c r="S2210">
        <v>1</v>
      </c>
    </row>
    <row r="2211" spans="1:19" x14ac:dyDescent="0.3">
      <c r="A2211">
        <v>2407</v>
      </c>
      <c r="B2211">
        <f>YEAR(Cleaned_HR_Data_Analysis__2[[#This Row],[Joining_Date]])</f>
        <v>2019</v>
      </c>
      <c r="C2211" s="1">
        <v>43744</v>
      </c>
      <c r="D2211" s="1" t="str" cm="1">
        <f t="array" ref="D2211">_xlfn.IFS(E2211&lt;28, "17-27",
AND(E2211&gt;27, E2211&lt;38), "28-37",
AND(E2211&gt;37, E2211 &lt;48), "38-47",
AND(E2211&gt;47, E2211 &lt;58), "48-57",
AND(E2211&gt;57, E2211&lt;68), "58-67",
AND(E2211&gt;67, E2211&lt;78), "68-77",
E2211&gt;77,"Above than 77")</f>
        <v>58-67</v>
      </c>
      <c r="E2211">
        <v>66</v>
      </c>
      <c r="F2211" s="1">
        <v>19466</v>
      </c>
      <c r="G2211" s="1" t="str">
        <f>VLOOKUP(H2211,Table7[#All], 2, FALSE)</f>
        <v>Massachusetts</v>
      </c>
      <c r="H2211" s="2" t="s">
        <v>14</v>
      </c>
      <c r="I2211" s="2" t="s">
        <v>22</v>
      </c>
      <c r="J2211" s="2" t="s">
        <v>17</v>
      </c>
      <c r="K2211" s="2" t="s">
        <v>78</v>
      </c>
      <c r="L2211" s="2" t="s">
        <v>9</v>
      </c>
      <c r="M2211" s="2" t="s">
        <v>25</v>
      </c>
      <c r="N2211" s="2" t="s">
        <v>11</v>
      </c>
      <c r="O2211" s="2" t="s">
        <v>12</v>
      </c>
      <c r="P2211" s="2" t="s">
        <v>13</v>
      </c>
      <c r="Q2211" s="2" t="s">
        <v>30</v>
      </c>
      <c r="R2211" s="2" t="s">
        <v>18</v>
      </c>
      <c r="S2211">
        <v>5</v>
      </c>
    </row>
    <row r="2212" spans="1:19" x14ac:dyDescent="0.3">
      <c r="A2212">
        <v>2356</v>
      </c>
      <c r="B2212">
        <f>YEAR(Cleaned_HR_Data_Analysis__2[[#This Row],[Joining_Date]])</f>
        <v>2021</v>
      </c>
      <c r="C2212" s="1">
        <v>44518</v>
      </c>
      <c r="D2212" s="1" t="str" cm="1">
        <f t="array" ref="D2212">_xlfn.IFS(E2212&lt;28, "17-27",
AND(E2212&gt;27, E2212&lt;38), "28-37",
AND(E2212&gt;37, E2212 &lt;48), "38-47",
AND(E2212&gt;47, E2212 &lt;58), "48-57",
AND(E2212&gt;57, E2212&lt;68), "58-67",
AND(E2212&gt;67, E2212&lt;78), "68-77",
E2212&gt;77,"Above than 77")</f>
        <v>58-67</v>
      </c>
      <c r="E2212">
        <v>66</v>
      </c>
      <c r="F2212" s="1">
        <v>20284</v>
      </c>
      <c r="G2212" s="1" t="str">
        <f>VLOOKUP(H2212,Table7[#All], 2, FALSE)</f>
        <v>Massachusetts</v>
      </c>
      <c r="H2212" s="2" t="s">
        <v>14</v>
      </c>
      <c r="I2212" s="2" t="s">
        <v>22</v>
      </c>
      <c r="J2212" s="2" t="s">
        <v>31</v>
      </c>
      <c r="K2212" s="2" t="s">
        <v>78</v>
      </c>
      <c r="L2212" s="2" t="s">
        <v>9</v>
      </c>
      <c r="M2212" s="2" t="s">
        <v>20</v>
      </c>
      <c r="N2212" s="2" t="s">
        <v>11</v>
      </c>
      <c r="O2212" s="2" t="s">
        <v>53</v>
      </c>
      <c r="P2212" s="2" t="s">
        <v>60</v>
      </c>
      <c r="Q2212" s="2" t="s">
        <v>37</v>
      </c>
      <c r="R2212" s="2" t="s">
        <v>18</v>
      </c>
      <c r="S2212">
        <v>1</v>
      </c>
    </row>
    <row r="2213" spans="1:19" x14ac:dyDescent="0.3">
      <c r="A2213">
        <v>2539</v>
      </c>
      <c r="B2213">
        <f>YEAR(Cleaned_HR_Data_Analysis__2[[#This Row],[Joining_Date]])</f>
        <v>2019</v>
      </c>
      <c r="C2213" s="1">
        <v>43543</v>
      </c>
      <c r="D2213" s="1" t="str" cm="1">
        <f t="array" ref="D2213">_xlfn.IFS(E2213&lt;28, "17-27",
AND(E2213&gt;27, E2213&lt;38), "28-37",
AND(E2213&gt;37, E2213 &lt;48), "38-47",
AND(E2213&gt;47, E2213 &lt;58), "48-57",
AND(E2213&gt;57, E2213&lt;68), "58-67",
AND(E2213&gt;67, E2213&lt;78), "68-77",
E2213&gt;77,"Above than 77")</f>
        <v>58-67</v>
      </c>
      <c r="E2213">
        <v>66</v>
      </c>
      <c r="F2213" s="1">
        <v>19636</v>
      </c>
      <c r="G2213" s="1" t="str">
        <f>VLOOKUP(H2213,Table7[#All], 2, FALSE)</f>
        <v>Massachusetts</v>
      </c>
      <c r="H2213" s="2" t="s">
        <v>14</v>
      </c>
      <c r="I2213" s="2" t="s">
        <v>22</v>
      </c>
      <c r="J2213" s="2" t="s">
        <v>34</v>
      </c>
      <c r="K2213" s="2" t="s">
        <v>97</v>
      </c>
      <c r="L2213" s="2" t="s">
        <v>9</v>
      </c>
      <c r="M2213" s="2" t="s">
        <v>20</v>
      </c>
      <c r="N2213" s="2" t="s">
        <v>26</v>
      </c>
      <c r="O2213" s="2" t="s">
        <v>53</v>
      </c>
      <c r="P2213" s="2" t="s">
        <v>59</v>
      </c>
      <c r="Q2213" s="2" t="s">
        <v>37</v>
      </c>
      <c r="R2213" s="2" t="s">
        <v>18</v>
      </c>
      <c r="S2213">
        <v>2</v>
      </c>
    </row>
    <row r="2214" spans="1:19" x14ac:dyDescent="0.3">
      <c r="A2214">
        <v>2744</v>
      </c>
      <c r="B2214">
        <f>YEAR(Cleaned_HR_Data_Analysis__2[[#This Row],[Joining_Date]])</f>
        <v>2020</v>
      </c>
      <c r="C2214" s="1">
        <v>43994</v>
      </c>
      <c r="D2214" s="1" t="str" cm="1">
        <f t="array" ref="D2214">_xlfn.IFS(E2214&lt;28, "17-27",
AND(E2214&gt;27, E2214&lt;38), "28-37",
AND(E2214&gt;37, E2214 &lt;48), "38-47",
AND(E2214&gt;47, E2214 &lt;58), "48-57",
AND(E2214&gt;57, E2214&lt;68), "58-67",
AND(E2214&gt;67, E2214&lt;78), "68-77",
E2214&gt;77,"Above than 77")</f>
        <v>58-67</v>
      </c>
      <c r="E2214">
        <v>66</v>
      </c>
      <c r="F2214" s="1">
        <v>19926</v>
      </c>
      <c r="G2214" s="1" t="str">
        <f>VLOOKUP(H2214,Table7[#All], 2, FALSE)</f>
        <v>Vermont</v>
      </c>
      <c r="H2214" s="2" t="s">
        <v>99</v>
      </c>
      <c r="I2214" s="2" t="s">
        <v>15</v>
      </c>
      <c r="J2214" s="2" t="s">
        <v>34</v>
      </c>
      <c r="K2214" s="2" t="s">
        <v>24</v>
      </c>
      <c r="L2214" s="2" t="s">
        <v>9</v>
      </c>
      <c r="M2214" s="2" t="s">
        <v>10</v>
      </c>
      <c r="N2214" s="2" t="s">
        <v>11</v>
      </c>
      <c r="O2214" s="2" t="s">
        <v>27</v>
      </c>
      <c r="P2214" s="2" t="s">
        <v>35</v>
      </c>
      <c r="Q2214" s="2" t="s">
        <v>46</v>
      </c>
      <c r="R2214" s="2" t="s">
        <v>18</v>
      </c>
      <c r="S2214">
        <v>4</v>
      </c>
    </row>
    <row r="2215" spans="1:19" x14ac:dyDescent="0.3">
      <c r="A2215">
        <v>2580</v>
      </c>
      <c r="B2215">
        <f>YEAR(Cleaned_HR_Data_Analysis__2[[#This Row],[Joining_Date]])</f>
        <v>2020</v>
      </c>
      <c r="C2215" s="1">
        <v>43950</v>
      </c>
      <c r="D2215" s="1" t="str" cm="1">
        <f t="array" ref="D2215">_xlfn.IFS(E2215&lt;28, "17-27",
AND(E2215&gt;27, E2215&lt;38), "28-37",
AND(E2215&gt;37, E2215 &lt;48), "38-47",
AND(E2215&gt;47, E2215 &lt;58), "48-57",
AND(E2215&gt;57, E2215&lt;68), "58-67",
AND(E2215&gt;67, E2215&lt;78), "68-77",
E2215&gt;77,"Above than 77")</f>
        <v>58-67</v>
      </c>
      <c r="E2215">
        <v>66</v>
      </c>
      <c r="F2215" s="1">
        <v>19821</v>
      </c>
      <c r="G2215" s="1" t="str">
        <f>VLOOKUP(H2215,Table7[#All], 2, FALSE)</f>
        <v>New Hampshire</v>
      </c>
      <c r="H2215" s="2" t="s">
        <v>115</v>
      </c>
      <c r="I2215" s="2" t="s">
        <v>22</v>
      </c>
      <c r="J2215" s="2" t="s">
        <v>31</v>
      </c>
      <c r="K2215" s="2" t="s">
        <v>24</v>
      </c>
      <c r="L2215" s="2" t="s">
        <v>9</v>
      </c>
      <c r="M2215" s="2" t="s">
        <v>25</v>
      </c>
      <c r="N2215" s="2" t="s">
        <v>19</v>
      </c>
      <c r="O2215" s="2" t="s">
        <v>27</v>
      </c>
      <c r="P2215" s="2" t="s">
        <v>13</v>
      </c>
      <c r="Q2215" s="2" t="s">
        <v>16</v>
      </c>
      <c r="R2215" s="2" t="s">
        <v>18</v>
      </c>
      <c r="S2215">
        <v>2</v>
      </c>
    </row>
    <row r="2216" spans="1:19" x14ac:dyDescent="0.3">
      <c r="A2216">
        <v>2686</v>
      </c>
      <c r="B2216">
        <f>YEAR(Cleaned_HR_Data_Analysis__2[[#This Row],[Joining_Date]])</f>
        <v>2021</v>
      </c>
      <c r="C2216" s="1">
        <v>44423</v>
      </c>
      <c r="D2216" s="1" t="str" cm="1">
        <f t="array" ref="D2216">_xlfn.IFS(E2216&lt;28, "17-27",
AND(E2216&gt;27, E2216&lt;38), "28-37",
AND(E2216&gt;37, E2216 &lt;48), "38-47",
AND(E2216&gt;47, E2216 &lt;58), "48-57",
AND(E2216&gt;57, E2216&lt;68), "58-67",
AND(E2216&gt;67, E2216&lt;78), "68-77",
E2216&gt;77,"Above than 77")</f>
        <v>58-67</v>
      </c>
      <c r="E2216">
        <v>66</v>
      </c>
      <c r="F2216" s="1">
        <v>20218</v>
      </c>
      <c r="G2216" s="1" t="str">
        <f>VLOOKUP(H2216,Table7[#All], 2, FALSE)</f>
        <v>Massachusetts</v>
      </c>
      <c r="H2216" s="2" t="s">
        <v>14</v>
      </c>
      <c r="I2216" s="2" t="s">
        <v>22</v>
      </c>
      <c r="J2216" s="2" t="s">
        <v>31</v>
      </c>
      <c r="K2216" s="2" t="s">
        <v>24</v>
      </c>
      <c r="L2216" s="2" t="s">
        <v>9</v>
      </c>
      <c r="M2216" s="2" t="s">
        <v>10</v>
      </c>
      <c r="N2216" s="2" t="s">
        <v>11</v>
      </c>
      <c r="O2216" s="2" t="s">
        <v>27</v>
      </c>
      <c r="P2216" s="2" t="s">
        <v>54</v>
      </c>
      <c r="Q2216" s="2" t="s">
        <v>30</v>
      </c>
      <c r="R2216" s="2" t="s">
        <v>18</v>
      </c>
      <c r="S2216">
        <v>3</v>
      </c>
    </row>
    <row r="2217" spans="1:19" x14ac:dyDescent="0.3">
      <c r="A2217">
        <v>2689</v>
      </c>
      <c r="B2217">
        <f>YEAR(Cleaned_HR_Data_Analysis__2[[#This Row],[Joining_Date]])</f>
        <v>2020</v>
      </c>
      <c r="C2217" s="1">
        <v>44193</v>
      </c>
      <c r="D2217" s="1" t="str" cm="1">
        <f t="array" ref="D2217">_xlfn.IFS(E2217&lt;28, "17-27",
AND(E2217&gt;27, E2217&lt;38), "28-37",
AND(E2217&gt;37, E2217 &lt;48), "38-47",
AND(E2217&gt;47, E2217 &lt;58), "48-57",
AND(E2217&gt;57, E2217&lt;68), "58-67",
AND(E2217&gt;67, E2217&lt;78), "68-77",
E2217&gt;77,"Above than 77")</f>
        <v>58-67</v>
      </c>
      <c r="E2217">
        <v>66</v>
      </c>
      <c r="F2217" s="1">
        <v>19853</v>
      </c>
      <c r="G2217" s="1" t="str">
        <f>VLOOKUP(H2217,Table7[#All], 2, FALSE)</f>
        <v>Arizona</v>
      </c>
      <c r="H2217" s="2" t="s">
        <v>114</v>
      </c>
      <c r="I2217" s="2" t="s">
        <v>22</v>
      </c>
      <c r="J2217" s="2" t="s">
        <v>31</v>
      </c>
      <c r="K2217" s="2" t="s">
        <v>24</v>
      </c>
      <c r="L2217" s="2" t="s">
        <v>9</v>
      </c>
      <c r="M2217" s="2" t="s">
        <v>20</v>
      </c>
      <c r="N2217" s="2" t="s">
        <v>11</v>
      </c>
      <c r="O2217" s="2" t="s">
        <v>27</v>
      </c>
      <c r="P2217" s="2" t="s">
        <v>59</v>
      </c>
      <c r="Q2217" s="2" t="s">
        <v>30</v>
      </c>
      <c r="R2217" s="2" t="s">
        <v>18</v>
      </c>
      <c r="S2217">
        <v>1</v>
      </c>
    </row>
    <row r="2218" spans="1:19" x14ac:dyDescent="0.3">
      <c r="A2218">
        <v>2669</v>
      </c>
      <c r="B2218">
        <f>YEAR(Cleaned_HR_Data_Analysis__2[[#This Row],[Joining_Date]])</f>
        <v>2018</v>
      </c>
      <c r="C2218" s="1">
        <v>43456</v>
      </c>
      <c r="D2218" s="1" t="str" cm="1">
        <f t="array" ref="D2218">_xlfn.IFS(E2218&lt;28, "17-27",
AND(E2218&gt;27, E2218&lt;38), "28-37",
AND(E2218&gt;37, E2218 &lt;48), "38-47",
AND(E2218&gt;47, E2218 &lt;58), "48-57",
AND(E2218&gt;57, E2218&lt;68), "58-67",
AND(E2218&gt;67, E2218&lt;78), "68-77",
E2218&gt;77,"Above than 77")</f>
        <v>58-67</v>
      </c>
      <c r="E2218">
        <v>66</v>
      </c>
      <c r="F2218" s="1">
        <v>19012</v>
      </c>
      <c r="G2218" s="1" t="str">
        <f>VLOOKUP(H2218,Table7[#All], 2, FALSE)</f>
        <v>Massachusetts</v>
      </c>
      <c r="H2218" s="2" t="s">
        <v>14</v>
      </c>
      <c r="I2218" s="2" t="s">
        <v>15</v>
      </c>
      <c r="J2218" s="2" t="s">
        <v>31</v>
      </c>
      <c r="K2218" s="2" t="s">
        <v>95</v>
      </c>
      <c r="L2218" s="2" t="s">
        <v>9</v>
      </c>
      <c r="M2218" s="2" t="s">
        <v>20</v>
      </c>
      <c r="N2218" s="2" t="s">
        <v>11</v>
      </c>
      <c r="O2218" s="2" t="s">
        <v>27</v>
      </c>
      <c r="P2218" s="2" t="s">
        <v>35</v>
      </c>
      <c r="Q2218" s="2" t="s">
        <v>37</v>
      </c>
      <c r="R2218" s="2" t="s">
        <v>18</v>
      </c>
      <c r="S2218">
        <v>2</v>
      </c>
    </row>
    <row r="2219" spans="1:19" x14ac:dyDescent="0.3">
      <c r="A2219">
        <v>3850</v>
      </c>
      <c r="B2219">
        <f>YEAR(Cleaned_HR_Data_Analysis__2[[#This Row],[Joining_Date]])</f>
        <v>2020</v>
      </c>
      <c r="C2219" s="1">
        <v>43835</v>
      </c>
      <c r="D2219" s="1" t="str" cm="1">
        <f t="array" ref="D2219">_xlfn.IFS(E2219&lt;28, "17-27",
AND(E2219&gt;27, E2219&lt;38), "28-37",
AND(E2219&gt;37, E2219 &lt;48), "38-47",
AND(E2219&gt;47, E2219 &lt;58), "48-57",
AND(E2219&gt;57, E2219&lt;68), "58-67",
AND(E2219&gt;67, E2219&lt;78), "68-77",
E2219&gt;77,"Above than 77")</f>
        <v>58-67</v>
      </c>
      <c r="E2219">
        <v>67</v>
      </c>
      <c r="F2219" s="1">
        <v>19588</v>
      </c>
      <c r="G2219" s="1" t="str">
        <f>VLOOKUP(H2219,Table7[#All], 2, FALSE)</f>
        <v>Massachusetts</v>
      </c>
      <c r="H2219" s="2" t="s">
        <v>14</v>
      </c>
      <c r="I2219" s="2" t="s">
        <v>22</v>
      </c>
      <c r="J2219" s="2" t="s">
        <v>31</v>
      </c>
      <c r="K2219" s="2" t="s">
        <v>72</v>
      </c>
      <c r="L2219" s="2" t="s">
        <v>9</v>
      </c>
      <c r="M2219" s="2" t="s">
        <v>20</v>
      </c>
      <c r="N2219" s="2" t="s">
        <v>26</v>
      </c>
      <c r="O2219" s="2" t="s">
        <v>53</v>
      </c>
      <c r="P2219" s="2" t="s">
        <v>63</v>
      </c>
      <c r="Q2219" s="2" t="s">
        <v>23</v>
      </c>
      <c r="R2219" s="2" t="s">
        <v>18</v>
      </c>
      <c r="S2219">
        <v>3</v>
      </c>
    </row>
    <row r="2220" spans="1:19" x14ac:dyDescent="0.3">
      <c r="A2220">
        <v>1043</v>
      </c>
      <c r="B2220">
        <f>YEAR(Cleaned_HR_Data_Analysis__2[[#This Row],[Joining_Date]])</f>
        <v>2022</v>
      </c>
      <c r="C2220" s="1">
        <v>44914</v>
      </c>
      <c r="D2220" s="1" t="str" cm="1">
        <f t="array" ref="D2220">_xlfn.IFS(E2220&lt;28, "17-27",
AND(E2220&gt;27, E2220&lt;38), "28-37",
AND(E2220&gt;37, E2220 &lt;48), "38-47",
AND(E2220&gt;47, E2220 &lt;58), "48-57",
AND(E2220&gt;57, E2220&lt;68), "58-67",
AND(E2220&gt;67, E2220&lt;78), "68-77",
E2220&gt;77,"Above than 77")</f>
        <v>58-67</v>
      </c>
      <c r="E2220">
        <v>67</v>
      </c>
      <c r="F2220" s="1">
        <v>20439</v>
      </c>
      <c r="G2220" s="1" t="str">
        <f>VLOOKUP(H2220,Table7[#All], 2, FALSE)</f>
        <v>Massachusetts</v>
      </c>
      <c r="H2220" s="2" t="s">
        <v>14</v>
      </c>
      <c r="I2220" s="2" t="s">
        <v>15</v>
      </c>
      <c r="J2220" s="2" t="s">
        <v>34</v>
      </c>
      <c r="K2220" s="2" t="s">
        <v>88</v>
      </c>
      <c r="L2220" s="2" t="s">
        <v>9</v>
      </c>
      <c r="M2220" s="2" t="s">
        <v>25</v>
      </c>
      <c r="N2220" s="2" t="s">
        <v>11</v>
      </c>
      <c r="O2220" s="2" t="s">
        <v>87</v>
      </c>
      <c r="P2220" s="2" t="s">
        <v>49</v>
      </c>
      <c r="Q2220" s="2" t="s">
        <v>16</v>
      </c>
      <c r="R2220" s="2" t="s">
        <v>18</v>
      </c>
      <c r="S2220">
        <v>1</v>
      </c>
    </row>
    <row r="2221" spans="1:19" x14ac:dyDescent="0.3">
      <c r="A2221">
        <v>3739</v>
      </c>
      <c r="B2221">
        <f>YEAR(Cleaned_HR_Data_Analysis__2[[#This Row],[Joining_Date]])</f>
        <v>2018</v>
      </c>
      <c r="C2221" s="1">
        <v>43336</v>
      </c>
      <c r="D2221" s="1" t="str" cm="1">
        <f t="array" ref="D2221">_xlfn.IFS(E2221&lt;28, "17-27",
AND(E2221&gt;27, E2221&lt;38), "28-37",
AND(E2221&gt;37, E2221 &lt;48), "38-47",
AND(E2221&gt;47, E2221 &lt;58), "48-57",
AND(E2221&gt;57, E2221&lt;68), "58-67",
AND(E2221&gt;67, E2221&lt;78), "68-77",
E2221&gt;77,"Above than 77")</f>
        <v>58-67</v>
      </c>
      <c r="E2221">
        <v>67</v>
      </c>
      <c r="F2221" s="1">
        <v>18696</v>
      </c>
      <c r="G2221" s="1" t="str">
        <f>VLOOKUP(H2221,Table7[#All], 2, FALSE)</f>
        <v>Massachusetts</v>
      </c>
      <c r="H2221" s="2" t="s">
        <v>14</v>
      </c>
      <c r="I2221" s="2" t="s">
        <v>15</v>
      </c>
      <c r="J2221" s="2" t="s">
        <v>40</v>
      </c>
      <c r="K2221" s="2" t="s">
        <v>64</v>
      </c>
      <c r="L2221" s="2" t="s">
        <v>66</v>
      </c>
      <c r="M2221" s="2" t="s">
        <v>25</v>
      </c>
      <c r="N2221" s="2" t="s">
        <v>26</v>
      </c>
      <c r="O2221" s="2" t="s">
        <v>12</v>
      </c>
      <c r="P2221" s="2" t="s">
        <v>35</v>
      </c>
      <c r="Q2221" s="2" t="s">
        <v>46</v>
      </c>
      <c r="R2221" s="2" t="s">
        <v>18</v>
      </c>
      <c r="S2221">
        <v>3</v>
      </c>
    </row>
    <row r="2222" spans="1:19" x14ac:dyDescent="0.3">
      <c r="A2222">
        <v>3341</v>
      </c>
      <c r="B2222">
        <f>YEAR(Cleaned_HR_Data_Analysis__2[[#This Row],[Joining_Date]])</f>
        <v>2022</v>
      </c>
      <c r="C2222" s="1">
        <v>44849</v>
      </c>
      <c r="D2222" s="1" t="str" cm="1">
        <f t="array" ref="D2222">_xlfn.IFS(E2222&lt;28, "17-27",
AND(E2222&gt;27, E2222&lt;38), "28-37",
AND(E2222&gt;37, E2222 &lt;48), "38-47",
AND(E2222&gt;47, E2222 &lt;58), "48-57",
AND(E2222&gt;57, E2222&lt;68), "58-67",
AND(E2222&gt;67, E2222&lt;78), "68-77",
E2222&gt;77,"Above than 77")</f>
        <v>58-67</v>
      </c>
      <c r="E2222">
        <v>67</v>
      </c>
      <c r="F2222" s="1">
        <v>20117</v>
      </c>
      <c r="G2222" s="1" t="str">
        <f>VLOOKUP(H2222,Table7[#All], 2, FALSE)</f>
        <v>Massachusetts</v>
      </c>
      <c r="H2222" s="2" t="s">
        <v>14</v>
      </c>
      <c r="I2222" s="2" t="s">
        <v>15</v>
      </c>
      <c r="J2222" s="2" t="s">
        <v>31</v>
      </c>
      <c r="K2222" s="2" t="s">
        <v>64</v>
      </c>
      <c r="L2222" s="2" t="s">
        <v>9</v>
      </c>
      <c r="M2222" s="2" t="s">
        <v>25</v>
      </c>
      <c r="N2222" s="2" t="s">
        <v>11</v>
      </c>
      <c r="O2222" s="2" t="s">
        <v>12</v>
      </c>
      <c r="P2222" s="2" t="s">
        <v>32</v>
      </c>
      <c r="Q2222" s="2" t="s">
        <v>16</v>
      </c>
      <c r="R2222" s="2" t="s">
        <v>18</v>
      </c>
      <c r="S2222">
        <v>5</v>
      </c>
    </row>
    <row r="2223" spans="1:19" x14ac:dyDescent="0.3">
      <c r="A2223">
        <v>2952</v>
      </c>
      <c r="B2223">
        <f>YEAR(Cleaned_HR_Data_Analysis__2[[#This Row],[Joining_Date]])</f>
        <v>2019</v>
      </c>
      <c r="C2223" s="1">
        <v>43651</v>
      </c>
      <c r="D2223" s="1" t="str" cm="1">
        <f t="array" ref="D2223">_xlfn.IFS(E2223&lt;28, "17-27",
AND(E2223&gt;27, E2223&lt;38), "28-37",
AND(E2223&gt;37, E2223 &lt;48), "38-47",
AND(E2223&gt;47, E2223 &lt;58), "48-57",
AND(E2223&gt;57, E2223&lt;68), "58-67",
AND(E2223&gt;67, E2223&lt;78), "68-77",
E2223&gt;77,"Above than 77")</f>
        <v>58-67</v>
      </c>
      <c r="E2223">
        <v>67</v>
      </c>
      <c r="F2223" s="1">
        <v>19110</v>
      </c>
      <c r="G2223" s="1" t="str">
        <f>VLOOKUP(H2223,Table7[#All], 2, FALSE)</f>
        <v>Massachusetts</v>
      </c>
      <c r="H2223" s="2" t="s">
        <v>14</v>
      </c>
      <c r="I2223" s="2" t="s">
        <v>15</v>
      </c>
      <c r="J2223" s="2" t="s">
        <v>17</v>
      </c>
      <c r="K2223" s="2" t="s">
        <v>64</v>
      </c>
      <c r="L2223" s="2" t="s">
        <v>9</v>
      </c>
      <c r="M2223" s="2" t="s">
        <v>10</v>
      </c>
      <c r="N2223" s="2" t="s">
        <v>11</v>
      </c>
      <c r="O2223" s="2" t="s">
        <v>12</v>
      </c>
      <c r="P2223" s="2" t="s">
        <v>38</v>
      </c>
      <c r="Q2223" s="2" t="s">
        <v>37</v>
      </c>
      <c r="R2223" s="2" t="s">
        <v>18</v>
      </c>
      <c r="S2223">
        <v>3</v>
      </c>
    </row>
    <row r="2224" spans="1:19" x14ac:dyDescent="0.3">
      <c r="A2224">
        <v>2073</v>
      </c>
      <c r="B2224">
        <f>YEAR(Cleaned_HR_Data_Analysis__2[[#This Row],[Joining_Date]])</f>
        <v>2023</v>
      </c>
      <c r="C2224" s="1">
        <v>44988</v>
      </c>
      <c r="D2224" s="1" t="str" cm="1">
        <f t="array" ref="D2224">_xlfn.IFS(E2224&lt;28, "17-27",
AND(E2224&gt;27, E2224&lt;38), "28-37",
AND(E2224&gt;37, E2224 &lt;48), "38-47",
AND(E2224&gt;47, E2224 &lt;58), "48-57",
AND(E2224&gt;57, E2224&lt;68), "58-67",
AND(E2224&gt;67, E2224&lt;78), "68-77",
E2224&gt;77,"Above than 77")</f>
        <v>58-67</v>
      </c>
      <c r="E2224">
        <v>67</v>
      </c>
      <c r="F2224" s="1">
        <v>20654</v>
      </c>
      <c r="G2224" s="1" t="str">
        <f>VLOOKUP(H2224,Table7[#All], 2, FALSE)</f>
        <v>Massachusetts</v>
      </c>
      <c r="H2224" s="2" t="s">
        <v>14</v>
      </c>
      <c r="I2224" s="2" t="s">
        <v>15</v>
      </c>
      <c r="J2224" s="2" t="s">
        <v>31</v>
      </c>
      <c r="K2224" s="2" t="s">
        <v>64</v>
      </c>
      <c r="L2224" s="2" t="s">
        <v>9</v>
      </c>
      <c r="M2224" s="2" t="s">
        <v>20</v>
      </c>
      <c r="N2224" s="2" t="s">
        <v>26</v>
      </c>
      <c r="O2224" s="2" t="s">
        <v>12</v>
      </c>
      <c r="P2224" s="2" t="s">
        <v>35</v>
      </c>
      <c r="Q2224" s="2" t="s">
        <v>23</v>
      </c>
      <c r="R2224" s="2" t="s">
        <v>18</v>
      </c>
      <c r="S2224">
        <v>2</v>
      </c>
    </row>
    <row r="2225" spans="1:19" x14ac:dyDescent="0.3">
      <c r="A2225">
        <v>2021</v>
      </c>
      <c r="B2225">
        <f>YEAR(Cleaned_HR_Data_Analysis__2[[#This Row],[Joining_Date]])</f>
        <v>2022</v>
      </c>
      <c r="C2225" s="1">
        <v>44894</v>
      </c>
      <c r="D2225" s="1" t="str" cm="1">
        <f t="array" ref="D2225">_xlfn.IFS(E2225&lt;28, "17-27",
AND(E2225&gt;27, E2225&lt;38), "28-37",
AND(E2225&gt;37, E2225 &lt;48), "38-47",
AND(E2225&gt;47, E2225 &lt;58), "48-57",
AND(E2225&gt;57, E2225&lt;68), "58-67",
AND(E2225&gt;67, E2225&lt;78), "68-77",
E2225&gt;77,"Above than 77")</f>
        <v>58-67</v>
      </c>
      <c r="E2225">
        <v>67</v>
      </c>
      <c r="F2225" s="1">
        <v>20434</v>
      </c>
      <c r="G2225" s="1" t="str">
        <f>VLOOKUP(H2225,Table7[#All], 2, FALSE)</f>
        <v>Massachusetts</v>
      </c>
      <c r="H2225" s="2" t="s">
        <v>14</v>
      </c>
      <c r="I2225" s="2" t="s">
        <v>15</v>
      </c>
      <c r="J2225" s="2" t="s">
        <v>17</v>
      </c>
      <c r="K2225" s="2" t="s">
        <v>64</v>
      </c>
      <c r="L2225" s="2" t="s">
        <v>9</v>
      </c>
      <c r="M2225" s="2" t="s">
        <v>20</v>
      </c>
      <c r="N2225" s="2" t="s">
        <v>19</v>
      </c>
      <c r="O2225" s="2" t="s">
        <v>12</v>
      </c>
      <c r="P2225" s="2" t="s">
        <v>35</v>
      </c>
      <c r="Q2225" s="2" t="s">
        <v>46</v>
      </c>
      <c r="R2225" s="2" t="s">
        <v>18</v>
      </c>
      <c r="S2225">
        <v>3</v>
      </c>
    </row>
    <row r="2226" spans="1:19" x14ac:dyDescent="0.3">
      <c r="A2226">
        <v>1536</v>
      </c>
      <c r="B2226">
        <f>YEAR(Cleaned_HR_Data_Analysis__2[[#This Row],[Joining_Date]])</f>
        <v>2022</v>
      </c>
      <c r="C2226" s="1">
        <v>44922</v>
      </c>
      <c r="D2226" s="1" t="str" cm="1">
        <f t="array" ref="D2226">_xlfn.IFS(E2226&lt;28, "17-27",
AND(E2226&gt;27, E2226&lt;38), "28-37",
AND(E2226&gt;37, E2226 &lt;48), "38-47",
AND(E2226&gt;47, E2226 &lt;58), "48-57",
AND(E2226&gt;57, E2226&lt;68), "58-67",
AND(E2226&gt;67, E2226&lt;78), "68-77",
E2226&gt;77,"Above than 77")</f>
        <v>58-67</v>
      </c>
      <c r="E2226">
        <v>67</v>
      </c>
      <c r="F2226" s="1">
        <v>20442</v>
      </c>
      <c r="G2226" s="1" t="str">
        <f>VLOOKUP(H2226,Table7[#All], 2, FALSE)</f>
        <v>Massachusetts</v>
      </c>
      <c r="H2226" s="2" t="s">
        <v>14</v>
      </c>
      <c r="I2226" s="2" t="s">
        <v>15</v>
      </c>
      <c r="J2226" s="2" t="s">
        <v>31</v>
      </c>
      <c r="K2226" s="2" t="s">
        <v>64</v>
      </c>
      <c r="L2226" s="2" t="s">
        <v>9</v>
      </c>
      <c r="M2226" s="2" t="s">
        <v>10</v>
      </c>
      <c r="N2226" s="2" t="s">
        <v>11</v>
      </c>
      <c r="O2226" s="2" t="s">
        <v>12</v>
      </c>
      <c r="P2226" s="2" t="s">
        <v>32</v>
      </c>
      <c r="Q2226" s="2" t="s">
        <v>46</v>
      </c>
      <c r="R2226" s="2" t="s">
        <v>18</v>
      </c>
      <c r="S2226">
        <v>3</v>
      </c>
    </row>
    <row r="2227" spans="1:19" x14ac:dyDescent="0.3">
      <c r="A2227">
        <v>1299</v>
      </c>
      <c r="B2227">
        <f>YEAR(Cleaned_HR_Data_Analysis__2[[#This Row],[Joining_Date]])</f>
        <v>2020</v>
      </c>
      <c r="C2227" s="1">
        <v>43914</v>
      </c>
      <c r="D2227" s="1" t="str" cm="1">
        <f t="array" ref="D2227">_xlfn.IFS(E2227&lt;28, "17-27",
AND(E2227&gt;27, E2227&lt;38), "28-37",
AND(E2227&gt;37, E2227 &lt;48), "38-47",
AND(E2227&gt;47, E2227 &lt;58), "48-57",
AND(E2227&gt;57, E2227&lt;68), "58-67",
AND(E2227&gt;67, E2227&lt;78), "68-77",
E2227&gt;77,"Above than 77")</f>
        <v>58-67</v>
      </c>
      <c r="E2227">
        <v>67</v>
      </c>
      <c r="F2227" s="1">
        <v>19642</v>
      </c>
      <c r="G2227" s="1" t="str">
        <f>VLOOKUP(H2227,Table7[#All], 2, FALSE)</f>
        <v>Massachusetts</v>
      </c>
      <c r="H2227" s="2" t="s">
        <v>14</v>
      </c>
      <c r="I2227" s="2" t="s">
        <v>15</v>
      </c>
      <c r="J2227" s="2" t="s">
        <v>17</v>
      </c>
      <c r="K2227" s="2" t="s">
        <v>64</v>
      </c>
      <c r="L2227" s="2" t="s">
        <v>9</v>
      </c>
      <c r="M2227" s="2" t="s">
        <v>10</v>
      </c>
      <c r="N2227" s="2" t="s">
        <v>26</v>
      </c>
      <c r="O2227" s="2" t="s">
        <v>12</v>
      </c>
      <c r="P2227" s="2" t="s">
        <v>21</v>
      </c>
      <c r="Q2227" s="2" t="s">
        <v>46</v>
      </c>
      <c r="R2227" s="2" t="s">
        <v>18</v>
      </c>
      <c r="S2227">
        <v>2</v>
      </c>
    </row>
    <row r="2228" spans="1:19" x14ac:dyDescent="0.3">
      <c r="A2228">
        <v>3793</v>
      </c>
      <c r="B2228">
        <f>YEAR(Cleaned_HR_Data_Analysis__2[[#This Row],[Joining_Date]])</f>
        <v>2019</v>
      </c>
      <c r="C2228" s="1">
        <v>43575</v>
      </c>
      <c r="D2228" s="1" t="str" cm="1">
        <f t="array" ref="D2228">_xlfn.IFS(E2228&lt;28, "17-27",
AND(E2228&gt;27, E2228&lt;38), "28-37",
AND(E2228&gt;37, E2228 &lt;48), "38-47",
AND(E2228&gt;47, E2228 &lt;58), "48-57",
AND(E2228&gt;57, E2228&lt;68), "58-67",
AND(E2228&gt;67, E2228&lt;78), "68-77",
E2228&gt;77,"Above than 77")</f>
        <v>58-67</v>
      </c>
      <c r="E2228">
        <v>67</v>
      </c>
      <c r="F2228" s="1">
        <v>19008</v>
      </c>
      <c r="G2228" s="1" t="str">
        <f>VLOOKUP(H2228,Table7[#All], 2, FALSE)</f>
        <v>Massachusetts</v>
      </c>
      <c r="H2228" s="2" t="s">
        <v>14</v>
      </c>
      <c r="I2228" s="2" t="s">
        <v>22</v>
      </c>
      <c r="J2228" s="2" t="s">
        <v>34</v>
      </c>
      <c r="K2228" s="2" t="s">
        <v>8</v>
      </c>
      <c r="L2228" s="2" t="s">
        <v>9</v>
      </c>
      <c r="M2228" s="2" t="s">
        <v>25</v>
      </c>
      <c r="N2228" s="2" t="s">
        <v>26</v>
      </c>
      <c r="O2228" s="2" t="s">
        <v>12</v>
      </c>
      <c r="P2228" s="2" t="s">
        <v>32</v>
      </c>
      <c r="Q2228" s="2" t="s">
        <v>46</v>
      </c>
      <c r="R2228" s="2" t="s">
        <v>18</v>
      </c>
      <c r="S2228">
        <v>3</v>
      </c>
    </row>
    <row r="2229" spans="1:19" x14ac:dyDescent="0.3">
      <c r="A2229">
        <v>3419</v>
      </c>
      <c r="B2229">
        <f>YEAR(Cleaned_HR_Data_Analysis__2[[#This Row],[Joining_Date]])</f>
        <v>2019</v>
      </c>
      <c r="C2229" s="1">
        <v>43752</v>
      </c>
      <c r="D2229" s="1" t="str" cm="1">
        <f t="array" ref="D2229">_xlfn.IFS(E2229&lt;28, "17-27",
AND(E2229&gt;27, E2229&lt;38), "28-37",
AND(E2229&gt;37, E2229 &lt;48), "38-47",
AND(E2229&gt;47, E2229 &lt;58), "48-57",
AND(E2229&gt;57, E2229&lt;68), "58-67",
AND(E2229&gt;67, E2229&lt;78), "68-77",
E2229&gt;77,"Above than 77")</f>
        <v>58-67</v>
      </c>
      <c r="E2229">
        <v>67</v>
      </c>
      <c r="F2229" s="1">
        <v>19333</v>
      </c>
      <c r="G2229" s="1" t="str">
        <f>VLOOKUP(H2229,Table7[#All], 2, FALSE)</f>
        <v>Massachusetts</v>
      </c>
      <c r="H2229" s="2" t="s">
        <v>14</v>
      </c>
      <c r="I2229" s="2" t="s">
        <v>15</v>
      </c>
      <c r="J2229" s="2" t="s">
        <v>40</v>
      </c>
      <c r="K2229" s="2" t="s">
        <v>8</v>
      </c>
      <c r="L2229" s="2" t="s">
        <v>9</v>
      </c>
      <c r="M2229" s="2" t="s">
        <v>10</v>
      </c>
      <c r="N2229" s="2" t="s">
        <v>11</v>
      </c>
      <c r="O2229" s="2" t="s">
        <v>12</v>
      </c>
      <c r="P2229" s="2" t="s">
        <v>32</v>
      </c>
      <c r="Q2229" s="2" t="s">
        <v>37</v>
      </c>
      <c r="R2229" s="2" t="s">
        <v>18</v>
      </c>
      <c r="S2229">
        <v>5</v>
      </c>
    </row>
    <row r="2230" spans="1:19" x14ac:dyDescent="0.3">
      <c r="A2230">
        <v>3285</v>
      </c>
      <c r="B2230">
        <f>YEAR(Cleaned_HR_Data_Analysis__2[[#This Row],[Joining_Date]])</f>
        <v>2021</v>
      </c>
      <c r="C2230" s="1">
        <v>44393</v>
      </c>
      <c r="D2230" s="1" t="str" cm="1">
        <f t="array" ref="D2230">_xlfn.IFS(E2230&lt;28, "17-27",
AND(E2230&gt;27, E2230&lt;38), "28-37",
AND(E2230&gt;37, E2230 &lt;48), "38-47",
AND(E2230&gt;47, E2230 &lt;58), "48-57",
AND(E2230&gt;57, E2230&lt;68), "58-67",
AND(E2230&gt;67, E2230&lt;78), "68-77",
E2230&gt;77,"Above than 77")</f>
        <v>58-67</v>
      </c>
      <c r="E2230">
        <v>67</v>
      </c>
      <c r="F2230" s="1">
        <v>19739</v>
      </c>
      <c r="G2230" s="1" t="str">
        <f>VLOOKUP(H2230,Table7[#All], 2, FALSE)</f>
        <v>Massachusetts</v>
      </c>
      <c r="H2230" s="2" t="s">
        <v>14</v>
      </c>
      <c r="I2230" s="2" t="s">
        <v>22</v>
      </c>
      <c r="J2230" s="2" t="s">
        <v>31</v>
      </c>
      <c r="K2230" s="2" t="s">
        <v>8</v>
      </c>
      <c r="L2230" s="2" t="s">
        <v>66</v>
      </c>
      <c r="M2230" s="2" t="s">
        <v>10</v>
      </c>
      <c r="N2230" s="2" t="s">
        <v>26</v>
      </c>
      <c r="O2230" s="2" t="s">
        <v>12</v>
      </c>
      <c r="P2230" s="2" t="s">
        <v>59</v>
      </c>
      <c r="Q2230" s="2" t="s">
        <v>30</v>
      </c>
      <c r="R2230" s="2" t="s">
        <v>65</v>
      </c>
      <c r="S2230">
        <v>3</v>
      </c>
    </row>
    <row r="2231" spans="1:19" x14ac:dyDescent="0.3">
      <c r="A2231">
        <v>3150</v>
      </c>
      <c r="B2231">
        <f>YEAR(Cleaned_HR_Data_Analysis__2[[#This Row],[Joining_Date]])</f>
        <v>2022</v>
      </c>
      <c r="C2231" s="1">
        <v>44604</v>
      </c>
      <c r="D2231" s="1" t="str" cm="1">
        <f t="array" ref="D2231">_xlfn.IFS(E2231&lt;28, "17-27",
AND(E2231&gt;27, E2231&lt;38), "28-37",
AND(E2231&gt;37, E2231 &lt;48), "38-47",
AND(E2231&gt;47, E2231 &lt;58), "48-57",
AND(E2231&gt;57, E2231&lt;68), "58-67",
AND(E2231&gt;67, E2231&lt;78), "68-77",
E2231&gt;77,"Above than 77")</f>
        <v>58-67</v>
      </c>
      <c r="E2231">
        <v>67</v>
      </c>
      <c r="F2231" s="1">
        <v>20303</v>
      </c>
      <c r="G2231" s="1" t="str">
        <f>VLOOKUP(H2231,Table7[#All], 2, FALSE)</f>
        <v>Massachusetts</v>
      </c>
      <c r="H2231" s="2" t="s">
        <v>14</v>
      </c>
      <c r="I2231" s="2" t="s">
        <v>15</v>
      </c>
      <c r="J2231" s="2" t="s">
        <v>17</v>
      </c>
      <c r="K2231" s="2" t="s">
        <v>8</v>
      </c>
      <c r="L2231" s="2" t="s">
        <v>9</v>
      </c>
      <c r="M2231" s="2" t="s">
        <v>25</v>
      </c>
      <c r="N2231" s="2" t="s">
        <v>11</v>
      </c>
      <c r="O2231" s="2" t="s">
        <v>12</v>
      </c>
      <c r="P2231" s="2" t="s">
        <v>21</v>
      </c>
      <c r="Q2231" s="2" t="s">
        <v>46</v>
      </c>
      <c r="R2231" s="2" t="s">
        <v>18</v>
      </c>
      <c r="S2231">
        <v>2</v>
      </c>
    </row>
    <row r="2232" spans="1:19" x14ac:dyDescent="0.3">
      <c r="A2232">
        <v>3131</v>
      </c>
      <c r="B2232">
        <f>YEAR(Cleaned_HR_Data_Analysis__2[[#This Row],[Joining_Date]])</f>
        <v>2021</v>
      </c>
      <c r="C2232" s="1">
        <v>44299</v>
      </c>
      <c r="D2232" s="1" t="str" cm="1">
        <f t="array" ref="D2232">_xlfn.IFS(E2232&lt;28, "17-27",
AND(E2232&gt;27, E2232&lt;38), "28-37",
AND(E2232&gt;37, E2232 &lt;48), "38-47",
AND(E2232&gt;47, E2232 &lt;58), "48-57",
AND(E2232&gt;57, E2232&lt;68), "58-67",
AND(E2232&gt;67, E2232&lt;78), "68-77",
E2232&gt;77,"Above than 77")</f>
        <v>58-67</v>
      </c>
      <c r="E2232">
        <v>67</v>
      </c>
      <c r="F2232" s="1">
        <v>19752</v>
      </c>
      <c r="G2232" s="1" t="str">
        <f>VLOOKUP(H2232,Table7[#All], 2, FALSE)</f>
        <v>Massachusetts</v>
      </c>
      <c r="H2232" s="2" t="s">
        <v>14</v>
      </c>
      <c r="I2232" s="2" t="s">
        <v>15</v>
      </c>
      <c r="J2232" s="2" t="s">
        <v>31</v>
      </c>
      <c r="K2232" s="2" t="s">
        <v>8</v>
      </c>
      <c r="L2232" s="2" t="s">
        <v>9</v>
      </c>
      <c r="M2232" s="2" t="s">
        <v>10</v>
      </c>
      <c r="N2232" s="2" t="s">
        <v>11</v>
      </c>
      <c r="O2232" s="2" t="s">
        <v>12</v>
      </c>
      <c r="P2232" s="2" t="s">
        <v>59</v>
      </c>
      <c r="Q2232" s="2" t="s">
        <v>23</v>
      </c>
      <c r="R2232" s="2" t="s">
        <v>18</v>
      </c>
      <c r="S2232">
        <v>2</v>
      </c>
    </row>
    <row r="2233" spans="1:19" x14ac:dyDescent="0.3">
      <c r="A2233">
        <v>3061</v>
      </c>
      <c r="B2233">
        <f>YEAR(Cleaned_HR_Data_Analysis__2[[#This Row],[Joining_Date]])</f>
        <v>2023</v>
      </c>
      <c r="C2233" s="1">
        <v>44929</v>
      </c>
      <c r="D2233" s="1" t="str" cm="1">
        <f t="array" ref="D2233">_xlfn.IFS(E2233&lt;28, "17-27",
AND(E2233&gt;27, E2233&lt;38), "28-37",
AND(E2233&gt;37, E2233 &lt;48), "38-47",
AND(E2233&gt;47, E2233 &lt;58), "48-57",
AND(E2233&gt;57, E2233&lt;68), "58-67",
AND(E2233&gt;67, E2233&lt;78), "68-77",
E2233&gt;77,"Above than 77")</f>
        <v>58-67</v>
      </c>
      <c r="E2233">
        <v>67</v>
      </c>
      <c r="F2233" s="1">
        <v>20724</v>
      </c>
      <c r="G2233" s="1" t="str">
        <f>VLOOKUP(H2233,Table7[#All], 2, FALSE)</f>
        <v>Massachusetts</v>
      </c>
      <c r="H2233" s="2" t="s">
        <v>14</v>
      </c>
      <c r="I2233" s="2" t="s">
        <v>22</v>
      </c>
      <c r="J2233" s="2" t="s">
        <v>34</v>
      </c>
      <c r="K2233" s="2" t="s">
        <v>8</v>
      </c>
      <c r="L2233" s="2" t="s">
        <v>9</v>
      </c>
      <c r="M2233" s="2" t="s">
        <v>20</v>
      </c>
      <c r="N2233" s="2" t="s">
        <v>11</v>
      </c>
      <c r="O2233" s="2" t="s">
        <v>12</v>
      </c>
      <c r="P2233" s="2" t="s">
        <v>59</v>
      </c>
      <c r="Q2233" s="2" t="s">
        <v>30</v>
      </c>
      <c r="R2233" s="2" t="s">
        <v>18</v>
      </c>
      <c r="S2233">
        <v>1</v>
      </c>
    </row>
    <row r="2234" spans="1:19" x14ac:dyDescent="0.3">
      <c r="A2234">
        <v>2944</v>
      </c>
      <c r="B2234">
        <f>YEAR(Cleaned_HR_Data_Analysis__2[[#This Row],[Joining_Date]])</f>
        <v>2019</v>
      </c>
      <c r="C2234" s="1">
        <v>43595</v>
      </c>
      <c r="D2234" s="1" t="str" cm="1">
        <f t="array" ref="D2234">_xlfn.IFS(E2234&lt;28, "17-27",
AND(E2234&gt;27, E2234&lt;38), "28-37",
AND(E2234&gt;37, E2234 &lt;48), "38-47",
AND(E2234&gt;47, E2234 &lt;58), "48-57",
AND(E2234&gt;57, E2234&lt;68), "58-67",
AND(E2234&gt;67, E2234&lt;78), "68-77",
E2234&gt;77,"Above than 77")</f>
        <v>58-67</v>
      </c>
      <c r="E2234">
        <v>67</v>
      </c>
      <c r="F2234" s="1">
        <v>19092</v>
      </c>
      <c r="G2234" s="1" t="str">
        <f>VLOOKUP(H2234,Table7[#All], 2, FALSE)</f>
        <v>Massachusetts</v>
      </c>
      <c r="H2234" s="2" t="s">
        <v>14</v>
      </c>
      <c r="I2234" s="2" t="s">
        <v>15</v>
      </c>
      <c r="J2234" s="2" t="s">
        <v>17</v>
      </c>
      <c r="K2234" s="2" t="s">
        <v>8</v>
      </c>
      <c r="L2234" s="2" t="s">
        <v>9</v>
      </c>
      <c r="M2234" s="2" t="s">
        <v>20</v>
      </c>
      <c r="N2234" s="2" t="s">
        <v>11</v>
      </c>
      <c r="O2234" s="2" t="s">
        <v>12</v>
      </c>
      <c r="P2234" s="2" t="s">
        <v>38</v>
      </c>
      <c r="Q2234" s="2" t="s">
        <v>30</v>
      </c>
      <c r="R2234" s="2" t="s">
        <v>56</v>
      </c>
      <c r="S2234">
        <v>4</v>
      </c>
    </row>
    <row r="2235" spans="1:19" x14ac:dyDescent="0.3">
      <c r="A2235">
        <v>2916</v>
      </c>
      <c r="B2235">
        <f>YEAR(Cleaned_HR_Data_Analysis__2[[#This Row],[Joining_Date]])</f>
        <v>2020</v>
      </c>
      <c r="C2235" s="1">
        <v>44016</v>
      </c>
      <c r="D2235" s="1" t="str" cm="1">
        <f t="array" ref="D2235">_xlfn.IFS(E2235&lt;28, "17-27",
AND(E2235&gt;27, E2235&lt;38), "28-37",
AND(E2235&gt;37, E2235 &lt;48), "38-47",
AND(E2235&gt;47, E2235 &lt;58), "48-57",
AND(E2235&gt;57, E2235&lt;68), "58-67",
AND(E2235&gt;67, E2235&lt;78), "68-77",
E2235&gt;77,"Above than 77")</f>
        <v>58-67</v>
      </c>
      <c r="E2235">
        <v>67</v>
      </c>
      <c r="F2235" s="1">
        <v>19386</v>
      </c>
      <c r="G2235" s="1" t="str">
        <f>VLOOKUP(H2235,Table7[#All], 2, FALSE)</f>
        <v>Massachusetts</v>
      </c>
      <c r="H2235" s="2" t="s">
        <v>14</v>
      </c>
      <c r="I2235" s="2" t="s">
        <v>22</v>
      </c>
      <c r="J2235" s="2" t="s">
        <v>31</v>
      </c>
      <c r="K2235" s="2" t="s">
        <v>8</v>
      </c>
      <c r="L2235" s="2" t="s">
        <v>66</v>
      </c>
      <c r="M2235" s="2" t="s">
        <v>20</v>
      </c>
      <c r="N2235" s="2" t="s">
        <v>11</v>
      </c>
      <c r="O2235" s="2" t="s">
        <v>12</v>
      </c>
      <c r="P2235" s="2" t="s">
        <v>28</v>
      </c>
      <c r="Q2235" s="2" t="s">
        <v>16</v>
      </c>
      <c r="R2235" s="2" t="s">
        <v>56</v>
      </c>
      <c r="S2235">
        <v>4</v>
      </c>
    </row>
    <row r="2236" spans="1:19" x14ac:dyDescent="0.3">
      <c r="A2236">
        <v>2881</v>
      </c>
      <c r="B2236">
        <f>YEAR(Cleaned_HR_Data_Analysis__2[[#This Row],[Joining_Date]])</f>
        <v>2023</v>
      </c>
      <c r="C2236" s="1">
        <v>45084</v>
      </c>
      <c r="D2236" s="1" t="str" cm="1">
        <f t="array" ref="D2236">_xlfn.IFS(E2236&lt;28, "17-27",
AND(E2236&gt;27, E2236&lt;38), "28-37",
AND(E2236&gt;37, E2236 &lt;48), "38-47",
AND(E2236&gt;47, E2236 &lt;58), "48-57",
AND(E2236&gt;57, E2236&lt;68), "58-67",
AND(E2236&gt;67, E2236&lt;78), "68-77",
E2236&gt;77,"Above than 77")</f>
        <v>58-67</v>
      </c>
      <c r="E2236">
        <v>67</v>
      </c>
      <c r="F2236" s="1">
        <v>20567</v>
      </c>
      <c r="G2236" s="1" t="str">
        <f>VLOOKUP(H2236,Table7[#All], 2, FALSE)</f>
        <v>Massachusetts</v>
      </c>
      <c r="H2236" s="2" t="s">
        <v>14</v>
      </c>
      <c r="I2236" s="2" t="s">
        <v>22</v>
      </c>
      <c r="J2236" s="2" t="s">
        <v>40</v>
      </c>
      <c r="K2236" s="2" t="s">
        <v>8</v>
      </c>
      <c r="L2236" s="2" t="s">
        <v>9</v>
      </c>
      <c r="M2236" s="2" t="s">
        <v>10</v>
      </c>
      <c r="N2236" s="2" t="s">
        <v>26</v>
      </c>
      <c r="O2236" s="2" t="s">
        <v>12</v>
      </c>
      <c r="P2236" s="2" t="s">
        <v>35</v>
      </c>
      <c r="Q2236" s="2" t="s">
        <v>46</v>
      </c>
      <c r="R2236" s="2" t="s">
        <v>18</v>
      </c>
      <c r="S2236">
        <v>4</v>
      </c>
    </row>
    <row r="2237" spans="1:19" x14ac:dyDescent="0.3">
      <c r="A2237">
        <v>2755</v>
      </c>
      <c r="B2237">
        <f>YEAR(Cleaned_HR_Data_Analysis__2[[#This Row],[Joining_Date]])</f>
        <v>2022</v>
      </c>
      <c r="C2237" s="1">
        <v>44707</v>
      </c>
      <c r="D2237" s="1" t="str" cm="1">
        <f t="array" ref="D2237">_xlfn.IFS(E2237&lt;28, "17-27",
AND(E2237&gt;27, E2237&lt;38), "28-37",
AND(E2237&gt;37, E2237 &lt;48), "38-47",
AND(E2237&gt;47, E2237 &lt;58), "48-57",
AND(E2237&gt;57, E2237&lt;68), "58-67",
AND(E2237&gt;67, E2237&lt;78), "68-77",
E2237&gt;77,"Above than 77")</f>
        <v>58-67</v>
      </c>
      <c r="E2237">
        <v>67</v>
      </c>
      <c r="F2237" s="1">
        <v>20413</v>
      </c>
      <c r="G2237" s="1" t="str">
        <f>VLOOKUP(H2237,Table7[#All], 2, FALSE)</f>
        <v>Massachusetts</v>
      </c>
      <c r="H2237" s="2" t="s">
        <v>14</v>
      </c>
      <c r="I2237" s="2" t="s">
        <v>22</v>
      </c>
      <c r="J2237" s="2" t="s">
        <v>31</v>
      </c>
      <c r="K2237" s="2" t="s">
        <v>8</v>
      </c>
      <c r="L2237" s="2" t="s">
        <v>9</v>
      </c>
      <c r="M2237" s="2" t="s">
        <v>10</v>
      </c>
      <c r="N2237" s="2" t="s">
        <v>26</v>
      </c>
      <c r="O2237" s="2" t="s">
        <v>12</v>
      </c>
      <c r="P2237" s="2" t="s">
        <v>32</v>
      </c>
      <c r="Q2237" s="2" t="s">
        <v>30</v>
      </c>
      <c r="R2237" s="2" t="s">
        <v>18</v>
      </c>
      <c r="S2237">
        <v>5</v>
      </c>
    </row>
    <row r="2238" spans="1:19" x14ac:dyDescent="0.3">
      <c r="A2238">
        <v>2013</v>
      </c>
      <c r="B2238">
        <f>YEAR(Cleaned_HR_Data_Analysis__2[[#This Row],[Joining_Date]])</f>
        <v>2019</v>
      </c>
      <c r="C2238" s="1">
        <v>43653</v>
      </c>
      <c r="D2238" s="1" t="str" cm="1">
        <f t="array" ref="D2238">_xlfn.IFS(E2238&lt;28, "17-27",
AND(E2238&gt;27, E2238&lt;38), "28-37",
AND(E2238&gt;37, E2238 &lt;48), "38-47",
AND(E2238&gt;47, E2238 &lt;58), "48-57",
AND(E2238&gt;57, E2238&lt;68), "58-67",
AND(E2238&gt;67, E2238&lt;78), "68-77",
E2238&gt;77,"Above than 77")</f>
        <v>58-67</v>
      </c>
      <c r="E2238">
        <v>67</v>
      </c>
      <c r="F2238" s="1">
        <v>19092</v>
      </c>
      <c r="G2238" s="1" t="str">
        <f>VLOOKUP(H2238,Table7[#All], 2, FALSE)</f>
        <v>Massachusetts</v>
      </c>
      <c r="H2238" s="2" t="s">
        <v>14</v>
      </c>
      <c r="I2238" s="2" t="s">
        <v>15</v>
      </c>
      <c r="J2238" s="2" t="s">
        <v>17</v>
      </c>
      <c r="K2238" s="2" t="s">
        <v>8</v>
      </c>
      <c r="L2238" s="2" t="s">
        <v>9</v>
      </c>
      <c r="M2238" s="2" t="s">
        <v>10</v>
      </c>
      <c r="N2238" s="2" t="s">
        <v>19</v>
      </c>
      <c r="O2238" s="2" t="s">
        <v>12</v>
      </c>
      <c r="P2238" s="2" t="s">
        <v>32</v>
      </c>
      <c r="Q2238" s="2" t="s">
        <v>37</v>
      </c>
      <c r="R2238" s="2" t="s">
        <v>18</v>
      </c>
      <c r="S2238">
        <v>5</v>
      </c>
    </row>
    <row r="2239" spans="1:19" x14ac:dyDescent="0.3">
      <c r="A2239">
        <v>1482</v>
      </c>
      <c r="B2239">
        <f>YEAR(Cleaned_HR_Data_Analysis__2[[#This Row],[Joining_Date]])</f>
        <v>2019</v>
      </c>
      <c r="C2239" s="1">
        <v>43780</v>
      </c>
      <c r="D2239" s="1" t="str" cm="1">
        <f t="array" ref="D2239">_xlfn.IFS(E2239&lt;28, "17-27",
AND(E2239&gt;27, E2239&lt;38), "28-37",
AND(E2239&gt;37, E2239 &lt;48), "38-47",
AND(E2239&gt;47, E2239 &lt;58), "48-57",
AND(E2239&gt;57, E2239&lt;68), "58-67",
AND(E2239&gt;67, E2239&lt;78), "68-77",
E2239&gt;77,"Above than 77")</f>
        <v>58-67</v>
      </c>
      <c r="E2239">
        <v>67</v>
      </c>
      <c r="F2239" s="1">
        <v>19026</v>
      </c>
      <c r="G2239" s="1" t="str">
        <f>VLOOKUP(H2239,Table7[#All], 2, FALSE)</f>
        <v>Massachusetts</v>
      </c>
      <c r="H2239" s="2" t="s">
        <v>14</v>
      </c>
      <c r="I2239" s="2" t="s">
        <v>15</v>
      </c>
      <c r="J2239" s="2" t="s">
        <v>17</v>
      </c>
      <c r="K2239" s="2" t="s">
        <v>8</v>
      </c>
      <c r="L2239" s="2" t="s">
        <v>9</v>
      </c>
      <c r="M2239" s="2" t="s">
        <v>10</v>
      </c>
      <c r="N2239" s="2" t="s">
        <v>11</v>
      </c>
      <c r="O2239" s="2" t="s">
        <v>12</v>
      </c>
      <c r="P2239" s="2" t="s">
        <v>13</v>
      </c>
      <c r="Q2239" s="2" t="s">
        <v>46</v>
      </c>
      <c r="R2239" s="2" t="s">
        <v>41</v>
      </c>
      <c r="S2239">
        <v>1</v>
      </c>
    </row>
    <row r="2240" spans="1:19" x14ac:dyDescent="0.3">
      <c r="A2240">
        <v>1416</v>
      </c>
      <c r="B2240">
        <f>YEAR(Cleaned_HR_Data_Analysis__2[[#This Row],[Joining_Date]])</f>
        <v>2020</v>
      </c>
      <c r="C2240" s="1">
        <v>43930</v>
      </c>
      <c r="D2240" s="1" t="str" cm="1">
        <f t="array" ref="D2240">_xlfn.IFS(E2240&lt;28, "17-27",
AND(E2240&gt;27, E2240&lt;38), "28-37",
AND(E2240&gt;37, E2240 &lt;48), "38-47",
AND(E2240&gt;47, E2240 &lt;58), "48-57",
AND(E2240&gt;57, E2240&lt;68), "58-67",
AND(E2240&gt;67, E2240&lt;78), "68-77",
E2240&gt;77,"Above than 77")</f>
        <v>58-67</v>
      </c>
      <c r="E2240">
        <v>67</v>
      </c>
      <c r="F2240" s="1">
        <v>19614</v>
      </c>
      <c r="G2240" s="1" t="str">
        <f>VLOOKUP(H2240,Table7[#All], 2, FALSE)</f>
        <v>Massachusetts</v>
      </c>
      <c r="H2240" s="2" t="s">
        <v>14</v>
      </c>
      <c r="I2240" s="2" t="s">
        <v>22</v>
      </c>
      <c r="J2240" s="2" t="s">
        <v>17</v>
      </c>
      <c r="K2240" s="2" t="s">
        <v>8</v>
      </c>
      <c r="L2240" s="2" t="s">
        <v>9</v>
      </c>
      <c r="M2240" s="2" t="s">
        <v>20</v>
      </c>
      <c r="N2240" s="2" t="s">
        <v>26</v>
      </c>
      <c r="O2240" s="2" t="s">
        <v>12</v>
      </c>
      <c r="P2240" s="2" t="s">
        <v>35</v>
      </c>
      <c r="Q2240" s="2" t="s">
        <v>46</v>
      </c>
      <c r="R2240" s="2" t="s">
        <v>41</v>
      </c>
      <c r="S2240">
        <v>4</v>
      </c>
    </row>
    <row r="2241" spans="1:19" x14ac:dyDescent="0.3">
      <c r="A2241">
        <v>1198</v>
      </c>
      <c r="B2241">
        <f>YEAR(Cleaned_HR_Data_Analysis__2[[#This Row],[Joining_Date]])</f>
        <v>2019</v>
      </c>
      <c r="C2241" s="1">
        <v>43487</v>
      </c>
      <c r="D2241" s="1" t="str" cm="1">
        <f t="array" ref="D2241">_xlfn.IFS(E2241&lt;28, "17-27",
AND(E2241&gt;27, E2241&lt;38), "28-37",
AND(E2241&gt;37, E2241 &lt;48), "38-47",
AND(E2241&gt;47, E2241 &lt;58), "48-57",
AND(E2241&gt;57, E2241&lt;68), "58-67",
AND(E2241&gt;67, E2241&lt;78), "68-77",
E2241&gt;77,"Above than 77")</f>
        <v>58-67</v>
      </c>
      <c r="E2241">
        <v>67</v>
      </c>
      <c r="F2241" s="1">
        <v>19265</v>
      </c>
      <c r="G2241" s="1" t="str">
        <f>VLOOKUP(H2241,Table7[#All], 2, FALSE)</f>
        <v>Massachusetts</v>
      </c>
      <c r="H2241" s="2" t="s">
        <v>14</v>
      </c>
      <c r="I2241" s="2" t="s">
        <v>15</v>
      </c>
      <c r="J2241" s="2" t="s">
        <v>34</v>
      </c>
      <c r="K2241" s="2" t="s">
        <v>8</v>
      </c>
      <c r="L2241" s="2" t="s">
        <v>9</v>
      </c>
      <c r="M2241" s="2" t="s">
        <v>10</v>
      </c>
      <c r="N2241" s="2" t="s">
        <v>26</v>
      </c>
      <c r="O2241" s="2" t="s">
        <v>12</v>
      </c>
      <c r="P2241" s="2" t="s">
        <v>35</v>
      </c>
      <c r="Q2241" s="2" t="s">
        <v>46</v>
      </c>
      <c r="R2241" s="2" t="s">
        <v>18</v>
      </c>
      <c r="S2241">
        <v>2</v>
      </c>
    </row>
    <row r="2242" spans="1:19" x14ac:dyDescent="0.3">
      <c r="A2242">
        <v>1155</v>
      </c>
      <c r="B2242">
        <f>YEAR(Cleaned_HR_Data_Analysis__2[[#This Row],[Joining_Date]])</f>
        <v>2018</v>
      </c>
      <c r="C2242" s="1">
        <v>43421</v>
      </c>
      <c r="D2242" s="1" t="str" cm="1">
        <f t="array" ref="D2242">_xlfn.IFS(E2242&lt;28, "17-27",
AND(E2242&gt;27, E2242&lt;38), "28-37",
AND(E2242&gt;37, E2242 &lt;48), "38-47",
AND(E2242&gt;47, E2242 &lt;58), "48-57",
AND(E2242&gt;57, E2242&lt;68), "58-67",
AND(E2242&gt;67, E2242&lt;78), "68-77",
E2242&gt;77,"Above than 77")</f>
        <v>58-67</v>
      </c>
      <c r="E2242">
        <v>67</v>
      </c>
      <c r="F2242" s="1">
        <v>18938</v>
      </c>
      <c r="G2242" s="1" t="str">
        <f>VLOOKUP(H2242,Table7[#All], 2, FALSE)</f>
        <v>Massachusetts</v>
      </c>
      <c r="H2242" s="2" t="s">
        <v>14</v>
      </c>
      <c r="I2242" s="2" t="s">
        <v>15</v>
      </c>
      <c r="J2242" s="2" t="s">
        <v>34</v>
      </c>
      <c r="K2242" s="2" t="s">
        <v>8</v>
      </c>
      <c r="L2242" s="2" t="s">
        <v>66</v>
      </c>
      <c r="M2242" s="2" t="s">
        <v>10</v>
      </c>
      <c r="N2242" s="2" t="s">
        <v>19</v>
      </c>
      <c r="O2242" s="2" t="s">
        <v>12</v>
      </c>
      <c r="P2242" s="2" t="s">
        <v>13</v>
      </c>
      <c r="Q2242" s="2" t="s">
        <v>30</v>
      </c>
      <c r="R2242" s="2" t="s">
        <v>18</v>
      </c>
      <c r="S2242">
        <v>3</v>
      </c>
    </row>
    <row r="2243" spans="1:19" x14ac:dyDescent="0.3">
      <c r="A2243">
        <v>1111</v>
      </c>
      <c r="B2243">
        <f>YEAR(Cleaned_HR_Data_Analysis__2[[#This Row],[Joining_Date]])</f>
        <v>2019</v>
      </c>
      <c r="C2243" s="1">
        <v>43716</v>
      </c>
      <c r="D2243" s="1" t="str" cm="1">
        <f t="array" ref="D2243">_xlfn.IFS(E2243&lt;28, "17-27",
AND(E2243&gt;27, E2243&lt;38), "28-37",
AND(E2243&gt;37, E2243 &lt;48), "38-47",
AND(E2243&gt;47, E2243 &lt;58), "48-57",
AND(E2243&gt;57, E2243&lt;68), "58-67",
AND(E2243&gt;67, E2243&lt;78), "68-77",
E2243&gt;77,"Above than 77")</f>
        <v>58-67</v>
      </c>
      <c r="E2243">
        <v>67</v>
      </c>
      <c r="F2243" s="1">
        <v>19145</v>
      </c>
      <c r="G2243" s="1" t="str">
        <f>VLOOKUP(H2243,Table7[#All], 2, FALSE)</f>
        <v>Massachusetts</v>
      </c>
      <c r="H2243" s="2" t="s">
        <v>14</v>
      </c>
      <c r="I2243" s="2" t="s">
        <v>15</v>
      </c>
      <c r="J2243" s="2" t="s">
        <v>17</v>
      </c>
      <c r="K2243" s="2" t="s">
        <v>8</v>
      </c>
      <c r="L2243" s="2" t="s">
        <v>66</v>
      </c>
      <c r="M2243" s="2" t="s">
        <v>25</v>
      </c>
      <c r="N2243" s="2" t="s">
        <v>19</v>
      </c>
      <c r="O2243" s="2" t="s">
        <v>12</v>
      </c>
      <c r="P2243" s="2" t="s">
        <v>49</v>
      </c>
      <c r="Q2243" s="2" t="s">
        <v>16</v>
      </c>
      <c r="R2243" s="2" t="s">
        <v>18</v>
      </c>
      <c r="S2243">
        <v>1</v>
      </c>
    </row>
    <row r="2244" spans="1:19" x14ac:dyDescent="0.3">
      <c r="A2244">
        <v>2464</v>
      </c>
      <c r="B2244">
        <f>YEAR(Cleaned_HR_Data_Analysis__2[[#This Row],[Joining_Date]])</f>
        <v>2022</v>
      </c>
      <c r="C2244" s="1">
        <v>44784</v>
      </c>
      <c r="D2244" s="1" t="str" cm="1">
        <f t="array" ref="D2244">_xlfn.IFS(E2244&lt;28, "17-27",
AND(E2244&gt;27, E2244&lt;38), "28-37",
AND(E2244&gt;37, E2244 &lt;48), "38-47",
AND(E2244&gt;47, E2244 &lt;58), "48-57",
AND(E2244&gt;57, E2244&lt;68), "58-67",
AND(E2244&gt;67, E2244&lt;78), "68-77",
E2244&gt;77,"Above than 77")</f>
        <v>58-67</v>
      </c>
      <c r="E2244">
        <v>67</v>
      </c>
      <c r="F2244" s="1">
        <v>20233</v>
      </c>
      <c r="G2244" s="1" t="str">
        <f>VLOOKUP(H2244,Table7[#All], 2, FALSE)</f>
        <v>Massachusetts</v>
      </c>
      <c r="H2244" s="2" t="s">
        <v>14</v>
      </c>
      <c r="I2244" s="2" t="s">
        <v>22</v>
      </c>
      <c r="J2244" s="2" t="s">
        <v>17</v>
      </c>
      <c r="K2244" s="2" t="s">
        <v>91</v>
      </c>
      <c r="L2244" s="2" t="s">
        <v>9</v>
      </c>
      <c r="M2244" s="2" t="s">
        <v>25</v>
      </c>
      <c r="N2244" s="2" t="s">
        <v>26</v>
      </c>
      <c r="O2244" s="2" t="s">
        <v>12</v>
      </c>
      <c r="P2244" s="2" t="s">
        <v>35</v>
      </c>
      <c r="Q2244" s="2" t="s">
        <v>16</v>
      </c>
      <c r="R2244" s="2" t="s">
        <v>18</v>
      </c>
      <c r="S2244">
        <v>3</v>
      </c>
    </row>
    <row r="2245" spans="1:19" x14ac:dyDescent="0.3">
      <c r="A2245">
        <v>2385</v>
      </c>
      <c r="B2245">
        <f>YEAR(Cleaned_HR_Data_Analysis__2[[#This Row],[Joining_Date]])</f>
        <v>2020</v>
      </c>
      <c r="C2245" s="1">
        <v>43931</v>
      </c>
      <c r="D2245" s="1" t="str" cm="1">
        <f t="array" ref="D2245">_xlfn.IFS(E2245&lt;28, "17-27",
AND(E2245&gt;27, E2245&lt;38), "28-37",
AND(E2245&gt;37, E2245 &lt;48), "38-47",
AND(E2245&gt;47, E2245 &lt;58), "48-57",
AND(E2245&gt;57, E2245&lt;68), "58-67",
AND(E2245&gt;67, E2245&lt;78), "68-77",
E2245&gt;77,"Above than 77")</f>
        <v>58-67</v>
      </c>
      <c r="E2245">
        <v>67</v>
      </c>
      <c r="F2245" s="1">
        <v>19682</v>
      </c>
      <c r="G2245" s="1" t="str">
        <f>VLOOKUP(H2245,Table7[#All], 2, FALSE)</f>
        <v>Massachusetts</v>
      </c>
      <c r="H2245" s="2" t="s">
        <v>14</v>
      </c>
      <c r="I2245" s="2" t="s">
        <v>15</v>
      </c>
      <c r="J2245" s="2" t="s">
        <v>31</v>
      </c>
      <c r="K2245" s="2" t="s">
        <v>91</v>
      </c>
      <c r="L2245" s="2" t="s">
        <v>9</v>
      </c>
      <c r="M2245" s="2" t="s">
        <v>10</v>
      </c>
      <c r="N2245" s="2" t="s">
        <v>19</v>
      </c>
      <c r="O2245" s="2" t="s">
        <v>12</v>
      </c>
      <c r="P2245" s="2" t="s">
        <v>63</v>
      </c>
      <c r="Q2245" s="2" t="s">
        <v>46</v>
      </c>
      <c r="R2245" s="2" t="s">
        <v>18</v>
      </c>
      <c r="S2245">
        <v>1</v>
      </c>
    </row>
    <row r="2246" spans="1:19" x14ac:dyDescent="0.3">
      <c r="A2246">
        <v>2380</v>
      </c>
      <c r="B2246">
        <f>YEAR(Cleaned_HR_Data_Analysis__2[[#This Row],[Joining_Date]])</f>
        <v>2023</v>
      </c>
      <c r="C2246" s="1">
        <v>45109</v>
      </c>
      <c r="D2246" s="1" t="str" cm="1">
        <f t="array" ref="D2246">_xlfn.IFS(E2246&lt;28, "17-27",
AND(E2246&gt;27, E2246&lt;38), "28-37",
AND(E2246&gt;37, E2246 &lt;48), "38-47",
AND(E2246&gt;47, E2246 &lt;58), "48-57",
AND(E2246&gt;57, E2246&lt;68), "58-67",
AND(E2246&gt;67, E2246&lt;78), "68-77",
E2246&gt;77,"Above than 77")</f>
        <v>58-67</v>
      </c>
      <c r="E2246">
        <v>67</v>
      </c>
      <c r="F2246" s="1">
        <v>20808</v>
      </c>
      <c r="G2246" s="1" t="str">
        <f>VLOOKUP(H2246,Table7[#All], 2, FALSE)</f>
        <v>Massachusetts</v>
      </c>
      <c r="H2246" s="2" t="s">
        <v>14</v>
      </c>
      <c r="I2246" s="2" t="s">
        <v>15</v>
      </c>
      <c r="J2246" s="2" t="s">
        <v>34</v>
      </c>
      <c r="K2246" s="2" t="s">
        <v>91</v>
      </c>
      <c r="L2246" s="2" t="s">
        <v>9</v>
      </c>
      <c r="M2246" s="2" t="s">
        <v>25</v>
      </c>
      <c r="N2246" s="2" t="s">
        <v>19</v>
      </c>
      <c r="O2246" s="2" t="s">
        <v>12</v>
      </c>
      <c r="P2246" s="2" t="s">
        <v>32</v>
      </c>
      <c r="Q2246" s="2" t="s">
        <v>30</v>
      </c>
      <c r="R2246" s="2" t="s">
        <v>18</v>
      </c>
      <c r="S2246">
        <v>1</v>
      </c>
    </row>
    <row r="2247" spans="1:19" x14ac:dyDescent="0.3">
      <c r="A2247">
        <v>3942</v>
      </c>
      <c r="B2247">
        <f>YEAR(Cleaned_HR_Data_Analysis__2[[#This Row],[Joining_Date]])</f>
        <v>2018</v>
      </c>
      <c r="C2247" s="1">
        <v>43408</v>
      </c>
      <c r="D2247" s="1" t="str" cm="1">
        <f t="array" ref="D2247">_xlfn.IFS(E2247&lt;28, "17-27",
AND(E2247&gt;27, E2247&lt;38), "28-37",
AND(E2247&gt;37, E2247 &lt;48), "38-47",
AND(E2247&gt;47, E2247 &lt;58), "48-57",
AND(E2247&gt;57, E2247&lt;68), "58-67",
AND(E2247&gt;67, E2247&lt;78), "68-77",
E2247&gt;77,"Above than 77")</f>
        <v>58-67</v>
      </c>
      <c r="E2247">
        <v>67</v>
      </c>
      <c r="F2247" s="1">
        <v>18875</v>
      </c>
      <c r="G2247" s="1" t="str">
        <f>VLOOKUP(H2247,Table7[#All], 2, FALSE)</f>
        <v>Massachusetts</v>
      </c>
      <c r="H2247" s="2" t="s">
        <v>14</v>
      </c>
      <c r="I2247" s="2" t="s">
        <v>15</v>
      </c>
      <c r="J2247" s="2" t="s">
        <v>34</v>
      </c>
      <c r="K2247" s="2" t="s">
        <v>74</v>
      </c>
      <c r="L2247" s="2" t="s">
        <v>66</v>
      </c>
      <c r="M2247" s="2" t="s">
        <v>10</v>
      </c>
      <c r="N2247" s="2" t="s">
        <v>26</v>
      </c>
      <c r="O2247" s="2" t="s">
        <v>53</v>
      </c>
      <c r="P2247" s="2" t="s">
        <v>60</v>
      </c>
      <c r="Q2247" s="2" t="s">
        <v>46</v>
      </c>
      <c r="R2247" s="2" t="s">
        <v>65</v>
      </c>
      <c r="S2247">
        <v>4</v>
      </c>
    </row>
    <row r="2248" spans="1:19" x14ac:dyDescent="0.3">
      <c r="A2248">
        <v>3876</v>
      </c>
      <c r="B2248">
        <f>YEAR(Cleaned_HR_Data_Analysis__2[[#This Row],[Joining_Date]])</f>
        <v>2021</v>
      </c>
      <c r="C2248" s="1">
        <v>44493</v>
      </c>
      <c r="D2248" s="1" t="str" cm="1">
        <f t="array" ref="D2248">_xlfn.IFS(E2248&lt;28, "17-27",
AND(E2248&gt;27, E2248&lt;38), "28-37",
AND(E2248&gt;37, E2248 &lt;48), "38-47",
AND(E2248&gt;47, E2248 &lt;58), "48-57",
AND(E2248&gt;57, E2248&lt;68), "58-67",
AND(E2248&gt;67, E2248&lt;78), "68-77",
E2248&gt;77,"Above than 77")</f>
        <v>58-67</v>
      </c>
      <c r="E2248">
        <v>67</v>
      </c>
      <c r="F2248" s="1">
        <v>19874</v>
      </c>
      <c r="G2248" s="1" t="str">
        <f>VLOOKUP(H2248,Table7[#All], 2, FALSE)</f>
        <v>Massachusetts</v>
      </c>
      <c r="H2248" s="2" t="s">
        <v>14</v>
      </c>
      <c r="I2248" s="2" t="s">
        <v>15</v>
      </c>
      <c r="J2248" s="2" t="s">
        <v>31</v>
      </c>
      <c r="K2248" s="2" t="s">
        <v>74</v>
      </c>
      <c r="L2248" s="2" t="s">
        <v>9</v>
      </c>
      <c r="M2248" s="2" t="s">
        <v>10</v>
      </c>
      <c r="N2248" s="2" t="s">
        <v>11</v>
      </c>
      <c r="O2248" s="2" t="s">
        <v>53</v>
      </c>
      <c r="P2248" s="2" t="s">
        <v>32</v>
      </c>
      <c r="Q2248" s="2" t="s">
        <v>23</v>
      </c>
      <c r="R2248" s="2" t="s">
        <v>65</v>
      </c>
      <c r="S2248">
        <v>2</v>
      </c>
    </row>
    <row r="2249" spans="1:19" x14ac:dyDescent="0.3">
      <c r="A2249">
        <v>2388</v>
      </c>
      <c r="B2249">
        <f>YEAR(Cleaned_HR_Data_Analysis__2[[#This Row],[Joining_Date]])</f>
        <v>2020</v>
      </c>
      <c r="C2249" s="1">
        <v>44081</v>
      </c>
      <c r="D2249" s="1" t="str" cm="1">
        <f t="array" ref="D2249">_xlfn.IFS(E2249&lt;28, "17-27",
AND(E2249&gt;27, E2249&lt;38), "28-37",
AND(E2249&gt;37, E2249 &lt;48), "38-47",
AND(E2249&gt;47, E2249 &lt;58), "48-57",
AND(E2249&gt;57, E2249&lt;68), "58-67",
AND(E2249&gt;67, E2249&lt;78), "68-77",
E2249&gt;77,"Above than 77")</f>
        <v>58-67</v>
      </c>
      <c r="E2249">
        <v>67</v>
      </c>
      <c r="F2249" s="1">
        <v>19494</v>
      </c>
      <c r="G2249" s="1" t="str">
        <f>VLOOKUP(H2249,Table7[#All], 2, FALSE)</f>
        <v>Massachusetts</v>
      </c>
      <c r="H2249" s="2" t="s">
        <v>14</v>
      </c>
      <c r="I2249" s="2" t="s">
        <v>22</v>
      </c>
      <c r="J2249" s="2" t="s">
        <v>31</v>
      </c>
      <c r="K2249" s="2" t="s">
        <v>71</v>
      </c>
      <c r="L2249" s="2" t="s">
        <v>9</v>
      </c>
      <c r="M2249" s="2" t="s">
        <v>10</v>
      </c>
      <c r="N2249" s="2" t="s">
        <v>11</v>
      </c>
      <c r="O2249" s="2" t="s">
        <v>12</v>
      </c>
      <c r="P2249" s="2" t="s">
        <v>55</v>
      </c>
      <c r="Q2249" s="2" t="s">
        <v>30</v>
      </c>
      <c r="R2249" s="2" t="s">
        <v>18</v>
      </c>
      <c r="S2249">
        <v>2</v>
      </c>
    </row>
    <row r="2250" spans="1:19" x14ac:dyDescent="0.3">
      <c r="A2250">
        <v>2349</v>
      </c>
      <c r="B2250">
        <f>YEAR(Cleaned_HR_Data_Analysis__2[[#This Row],[Joining_Date]])</f>
        <v>2023</v>
      </c>
      <c r="C2250" s="1">
        <v>44952</v>
      </c>
      <c r="D2250" s="1" t="str" cm="1">
        <f t="array" ref="D2250">_xlfn.IFS(E2250&lt;28, "17-27",
AND(E2250&gt;27, E2250&lt;38), "28-37",
AND(E2250&gt;37, E2250 &lt;48), "38-47",
AND(E2250&gt;47, E2250 &lt;58), "48-57",
AND(E2250&gt;57, E2250&lt;68), "58-67",
AND(E2250&gt;67, E2250&lt;78), "68-77",
E2250&gt;77,"Above than 77")</f>
        <v>58-67</v>
      </c>
      <c r="E2250">
        <v>67</v>
      </c>
      <c r="F2250" s="1">
        <v>20609</v>
      </c>
      <c r="G2250" s="1" t="str">
        <f>VLOOKUP(H2250,Table7[#All], 2, FALSE)</f>
        <v>Massachusetts</v>
      </c>
      <c r="H2250" s="2" t="s">
        <v>14</v>
      </c>
      <c r="I2250" s="2" t="s">
        <v>22</v>
      </c>
      <c r="J2250" s="2" t="s">
        <v>17</v>
      </c>
      <c r="K2250" s="2" t="s">
        <v>71</v>
      </c>
      <c r="L2250" s="2" t="s">
        <v>9</v>
      </c>
      <c r="M2250" s="2" t="s">
        <v>20</v>
      </c>
      <c r="N2250" s="2" t="s">
        <v>11</v>
      </c>
      <c r="O2250" s="2" t="s">
        <v>12</v>
      </c>
      <c r="P2250" s="2" t="s">
        <v>32</v>
      </c>
      <c r="Q2250" s="2" t="s">
        <v>37</v>
      </c>
      <c r="R2250" s="2" t="s">
        <v>18</v>
      </c>
      <c r="S2250">
        <v>5</v>
      </c>
    </row>
    <row r="2251" spans="1:19" x14ac:dyDescent="0.3">
      <c r="A2251">
        <v>3813</v>
      </c>
      <c r="B2251">
        <f>YEAR(Cleaned_HR_Data_Analysis__2[[#This Row],[Joining_Date]])</f>
        <v>2022</v>
      </c>
      <c r="C2251" s="1">
        <v>44797</v>
      </c>
      <c r="D2251" s="1" t="str" cm="1">
        <f t="array" ref="D2251">_xlfn.IFS(E2251&lt;28, "17-27",
AND(E2251&gt;27, E2251&lt;38), "28-37",
AND(E2251&gt;37, E2251 &lt;48), "38-47",
AND(E2251&gt;47, E2251 &lt;58), "48-57",
AND(E2251&gt;57, E2251&lt;68), "58-67",
AND(E2251&gt;67, E2251&lt;78), "68-77",
E2251&gt;77,"Above than 77")</f>
        <v>58-67</v>
      </c>
      <c r="E2251">
        <v>67</v>
      </c>
      <c r="F2251" s="1">
        <v>20145</v>
      </c>
      <c r="G2251" s="1" t="str">
        <f>VLOOKUP(H2251,Table7[#All], 2, FALSE)</f>
        <v>Massachusetts</v>
      </c>
      <c r="H2251" s="2" t="s">
        <v>14</v>
      </c>
      <c r="I2251" s="2" t="s">
        <v>22</v>
      </c>
      <c r="J2251" s="2" t="s">
        <v>17</v>
      </c>
      <c r="K2251" s="2" t="s">
        <v>70</v>
      </c>
      <c r="L2251" s="2" t="s">
        <v>9</v>
      </c>
      <c r="M2251" s="2" t="s">
        <v>20</v>
      </c>
      <c r="N2251" s="2" t="s">
        <v>19</v>
      </c>
      <c r="O2251" s="2" t="s">
        <v>53</v>
      </c>
      <c r="P2251" s="2" t="s">
        <v>42</v>
      </c>
      <c r="Q2251" s="2" t="s">
        <v>23</v>
      </c>
      <c r="R2251" s="2" t="s">
        <v>18</v>
      </c>
      <c r="S2251">
        <v>3</v>
      </c>
    </row>
    <row r="2252" spans="1:19" x14ac:dyDescent="0.3">
      <c r="A2252">
        <v>2270</v>
      </c>
      <c r="B2252">
        <f>YEAR(Cleaned_HR_Data_Analysis__2[[#This Row],[Joining_Date]])</f>
        <v>2019</v>
      </c>
      <c r="C2252" s="1">
        <v>43571</v>
      </c>
      <c r="D2252" s="1" t="str" cm="1">
        <f t="array" ref="D2252">_xlfn.IFS(E2252&lt;28, "17-27",
AND(E2252&gt;27, E2252&lt;38), "28-37",
AND(E2252&gt;37, E2252 &lt;48), "38-47",
AND(E2252&gt;47, E2252 &lt;58), "48-57",
AND(E2252&gt;57, E2252&lt;68), "58-67",
AND(E2252&gt;67, E2252&lt;78), "68-77",
E2252&gt;77,"Above than 77")</f>
        <v>58-67</v>
      </c>
      <c r="E2252">
        <v>67</v>
      </c>
      <c r="F2252" s="1">
        <v>19256</v>
      </c>
      <c r="G2252" s="1" t="str">
        <f>VLOOKUP(H2252,Table7[#All], 2, FALSE)</f>
        <v>Massachusetts</v>
      </c>
      <c r="H2252" s="2" t="s">
        <v>14</v>
      </c>
      <c r="I2252" s="2" t="s">
        <v>15</v>
      </c>
      <c r="J2252" s="2" t="s">
        <v>31</v>
      </c>
      <c r="K2252" s="2" t="s">
        <v>70</v>
      </c>
      <c r="L2252" s="2" t="s">
        <v>9</v>
      </c>
      <c r="M2252" s="2" t="s">
        <v>10</v>
      </c>
      <c r="N2252" s="2" t="s">
        <v>11</v>
      </c>
      <c r="O2252" s="2" t="s">
        <v>53</v>
      </c>
      <c r="P2252" s="2" t="s">
        <v>54</v>
      </c>
      <c r="Q2252" s="2" t="s">
        <v>46</v>
      </c>
      <c r="R2252" s="2" t="s">
        <v>18</v>
      </c>
      <c r="S2252">
        <v>4</v>
      </c>
    </row>
    <row r="2253" spans="1:19" x14ac:dyDescent="0.3">
      <c r="A2253">
        <v>2545</v>
      </c>
      <c r="B2253">
        <f>YEAR(Cleaned_HR_Data_Analysis__2[[#This Row],[Joining_Date]])</f>
        <v>2018</v>
      </c>
      <c r="C2253" s="1">
        <v>43456</v>
      </c>
      <c r="D2253" s="1" t="str" cm="1">
        <f t="array" ref="D2253">_xlfn.IFS(E2253&lt;28, "17-27",
AND(E2253&gt;27, E2253&lt;38), "28-37",
AND(E2253&gt;37, E2253 &lt;48), "38-47",
AND(E2253&gt;47, E2253 &lt;58), "48-57",
AND(E2253&gt;57, E2253&lt;68), "58-67",
AND(E2253&gt;67, E2253&lt;78), "68-77",
E2253&gt;77,"Above than 77")</f>
        <v>58-67</v>
      </c>
      <c r="E2253">
        <v>67</v>
      </c>
      <c r="F2253" s="1">
        <v>18909</v>
      </c>
      <c r="G2253" s="1" t="str">
        <f>VLOOKUP(H2253,Table7[#All], 2, FALSE)</f>
        <v>Massachusetts</v>
      </c>
      <c r="H2253" s="2" t="s">
        <v>14</v>
      </c>
      <c r="I2253" s="2" t="s">
        <v>22</v>
      </c>
      <c r="J2253" s="2" t="s">
        <v>17</v>
      </c>
      <c r="K2253" s="2" t="s">
        <v>103</v>
      </c>
      <c r="L2253" s="2" t="s">
        <v>9</v>
      </c>
      <c r="M2253" s="2" t="s">
        <v>10</v>
      </c>
      <c r="N2253" s="2" t="s">
        <v>26</v>
      </c>
      <c r="O2253" s="2" t="s">
        <v>53</v>
      </c>
      <c r="P2253" s="2" t="s">
        <v>54</v>
      </c>
      <c r="Q2253" s="2" t="s">
        <v>23</v>
      </c>
      <c r="R2253" s="2" t="s">
        <v>18</v>
      </c>
      <c r="S2253">
        <v>2</v>
      </c>
    </row>
    <row r="2254" spans="1:19" x14ac:dyDescent="0.3">
      <c r="A2254">
        <v>2563</v>
      </c>
      <c r="B2254">
        <f>YEAR(Cleaned_HR_Data_Analysis__2[[#This Row],[Joining_Date]])</f>
        <v>2020</v>
      </c>
      <c r="C2254" s="1">
        <v>44173</v>
      </c>
      <c r="D2254" s="1" t="str" cm="1">
        <f t="array" ref="D2254">_xlfn.IFS(E2254&lt;28, "17-27",
AND(E2254&gt;27, E2254&lt;38), "28-37",
AND(E2254&gt;37, E2254 &lt;48), "38-47",
AND(E2254&gt;47, E2254 &lt;58), "48-57",
AND(E2254&gt;57, E2254&lt;68), "58-67",
AND(E2254&gt;67, E2254&lt;78), "68-77",
E2254&gt;77,"Above than 77")</f>
        <v>58-67</v>
      </c>
      <c r="E2254">
        <v>67</v>
      </c>
      <c r="F2254" s="1">
        <v>19680</v>
      </c>
      <c r="G2254" s="1" t="str">
        <f>VLOOKUP(H2254,Table7[#All], 2, FALSE)</f>
        <v>Massachusetts</v>
      </c>
      <c r="H2254" s="2" t="s">
        <v>14</v>
      </c>
      <c r="I2254" s="2" t="s">
        <v>22</v>
      </c>
      <c r="J2254" s="2" t="s">
        <v>17</v>
      </c>
      <c r="K2254" s="2" t="s">
        <v>108</v>
      </c>
      <c r="L2254" s="2" t="s">
        <v>9</v>
      </c>
      <c r="M2254" s="2" t="s">
        <v>10</v>
      </c>
      <c r="N2254" s="2" t="s">
        <v>26</v>
      </c>
      <c r="O2254" s="2" t="s">
        <v>53</v>
      </c>
      <c r="P2254" s="2" t="s">
        <v>55</v>
      </c>
      <c r="Q2254" s="2" t="s">
        <v>30</v>
      </c>
      <c r="R2254" s="2" t="s">
        <v>18</v>
      </c>
      <c r="S2254">
        <v>2</v>
      </c>
    </row>
    <row r="2255" spans="1:19" x14ac:dyDescent="0.3">
      <c r="A2255">
        <v>2489</v>
      </c>
      <c r="B2255">
        <f>YEAR(Cleaned_HR_Data_Analysis__2[[#This Row],[Joining_Date]])</f>
        <v>2021</v>
      </c>
      <c r="C2255" s="1">
        <v>44401</v>
      </c>
      <c r="D2255" s="1" t="str" cm="1">
        <f t="array" ref="D2255">_xlfn.IFS(E2255&lt;28, "17-27",
AND(E2255&gt;27, E2255&lt;38), "28-37",
AND(E2255&gt;37, E2255 &lt;48), "38-47",
AND(E2255&gt;47, E2255 &lt;58), "48-57",
AND(E2255&gt;57, E2255&lt;68), "58-67",
AND(E2255&gt;67, E2255&lt;78), "68-77",
E2255&gt;77,"Above than 77")</f>
        <v>58-67</v>
      </c>
      <c r="E2255">
        <v>67</v>
      </c>
      <c r="F2255" s="1">
        <v>19928</v>
      </c>
      <c r="G2255" s="1" t="str">
        <f>VLOOKUP(H2255,Table7[#All], 2, FALSE)</f>
        <v>Massachusetts</v>
      </c>
      <c r="H2255" s="2" t="s">
        <v>14</v>
      </c>
      <c r="I2255" s="2" t="s">
        <v>22</v>
      </c>
      <c r="J2255" s="2" t="s">
        <v>31</v>
      </c>
      <c r="K2255" s="2" t="s">
        <v>104</v>
      </c>
      <c r="L2255" s="2" t="s">
        <v>9</v>
      </c>
      <c r="M2255" s="2" t="s">
        <v>10</v>
      </c>
      <c r="N2255" s="2" t="s">
        <v>19</v>
      </c>
      <c r="O2255" s="2" t="s">
        <v>53</v>
      </c>
      <c r="P2255" s="2" t="s">
        <v>35</v>
      </c>
      <c r="Q2255" s="2" t="s">
        <v>23</v>
      </c>
      <c r="R2255" s="2" t="s">
        <v>18</v>
      </c>
      <c r="S2255">
        <v>3</v>
      </c>
    </row>
    <row r="2256" spans="1:19" x14ac:dyDescent="0.3">
      <c r="A2256">
        <v>2490</v>
      </c>
      <c r="B2256">
        <f>YEAR(Cleaned_HR_Data_Analysis__2[[#This Row],[Joining_Date]])</f>
        <v>2021</v>
      </c>
      <c r="C2256" s="1">
        <v>44466</v>
      </c>
      <c r="D2256" s="1" t="str" cm="1">
        <f t="array" ref="D2256">_xlfn.IFS(E2256&lt;28, "17-27",
AND(E2256&gt;27, E2256&lt;38), "28-37",
AND(E2256&gt;37, E2256 &lt;48), "38-47",
AND(E2256&gt;47, E2256 &lt;58), "48-57",
AND(E2256&gt;57, E2256&lt;68), "58-67",
AND(E2256&gt;67, E2256&lt;78), "68-77",
E2256&gt;77,"Above than 77")</f>
        <v>58-67</v>
      </c>
      <c r="E2256">
        <v>67</v>
      </c>
      <c r="F2256" s="1">
        <v>19926</v>
      </c>
      <c r="G2256" s="1" t="str">
        <f>VLOOKUP(H2256,Table7[#All], 2, FALSE)</f>
        <v>Massachusetts</v>
      </c>
      <c r="H2256" s="2" t="s">
        <v>14</v>
      </c>
      <c r="I2256" s="2" t="s">
        <v>22</v>
      </c>
      <c r="J2256" s="2" t="s">
        <v>17</v>
      </c>
      <c r="K2256" s="2" t="s">
        <v>106</v>
      </c>
      <c r="L2256" s="2" t="s">
        <v>9</v>
      </c>
      <c r="M2256" s="2" t="s">
        <v>10</v>
      </c>
      <c r="N2256" s="2" t="s">
        <v>19</v>
      </c>
      <c r="O2256" s="2" t="s">
        <v>53</v>
      </c>
      <c r="P2256" s="2" t="s">
        <v>32</v>
      </c>
      <c r="Q2256" s="2" t="s">
        <v>30</v>
      </c>
      <c r="R2256" s="2" t="s">
        <v>18</v>
      </c>
      <c r="S2256">
        <v>2</v>
      </c>
    </row>
    <row r="2257" spans="1:19" x14ac:dyDescent="0.3">
      <c r="A2257">
        <v>3972</v>
      </c>
      <c r="B2257">
        <f>YEAR(Cleaned_HR_Data_Analysis__2[[#This Row],[Joining_Date]])</f>
        <v>2022</v>
      </c>
      <c r="C2257" s="1">
        <v>44768</v>
      </c>
      <c r="D2257" s="1" t="str" cm="1">
        <f t="array" ref="D2257">_xlfn.IFS(E2257&lt;28, "17-27",
AND(E2257&gt;27, E2257&lt;38), "28-37",
AND(E2257&gt;37, E2257 &lt;48), "38-47",
AND(E2257&gt;47, E2257 &lt;58), "48-57",
AND(E2257&gt;57, E2257&lt;68), "58-67",
AND(E2257&gt;67, E2257&lt;78), "68-77",
E2257&gt;77,"Above than 77")</f>
        <v>58-67</v>
      </c>
      <c r="E2257">
        <v>67</v>
      </c>
      <c r="F2257" s="1">
        <v>20247</v>
      </c>
      <c r="G2257" s="1" t="str">
        <f>VLOOKUP(H2257,Table7[#All], 2, FALSE)</f>
        <v>Texas</v>
      </c>
      <c r="H2257" s="2" t="s">
        <v>45</v>
      </c>
      <c r="I2257" s="2" t="s">
        <v>15</v>
      </c>
      <c r="J2257" s="2" t="s">
        <v>40</v>
      </c>
      <c r="K2257" s="2" t="s">
        <v>77</v>
      </c>
      <c r="L2257" s="2" t="s">
        <v>9</v>
      </c>
      <c r="M2257" s="2" t="s">
        <v>20</v>
      </c>
      <c r="N2257" s="2" t="s">
        <v>26</v>
      </c>
      <c r="O2257" s="2" t="s">
        <v>53</v>
      </c>
      <c r="P2257" s="2" t="s">
        <v>32</v>
      </c>
      <c r="Q2257" s="2" t="s">
        <v>37</v>
      </c>
      <c r="R2257" s="2" t="s">
        <v>18</v>
      </c>
      <c r="S2257">
        <v>4</v>
      </c>
    </row>
    <row r="2258" spans="1:19" x14ac:dyDescent="0.3">
      <c r="A2258">
        <v>2331</v>
      </c>
      <c r="B2258">
        <f>YEAR(Cleaned_HR_Data_Analysis__2[[#This Row],[Joining_Date]])</f>
        <v>2019</v>
      </c>
      <c r="C2258" s="1">
        <v>43805</v>
      </c>
      <c r="D2258" s="1" t="str" cm="1">
        <f t="array" ref="D2258">_xlfn.IFS(E2258&lt;28, "17-27",
AND(E2258&gt;27, E2258&lt;38), "28-37",
AND(E2258&gt;37, E2258 &lt;48), "38-47",
AND(E2258&gt;47, E2258 &lt;58), "48-57",
AND(E2258&gt;57, E2258&lt;68), "58-67",
AND(E2258&gt;67, E2258&lt;78), "68-77",
E2258&gt;77,"Above than 77")</f>
        <v>58-67</v>
      </c>
      <c r="E2258">
        <v>67</v>
      </c>
      <c r="F2258" s="1">
        <v>19038</v>
      </c>
      <c r="G2258" s="1" t="str">
        <f>VLOOKUP(H2258,Table7[#All], 2, FALSE)</f>
        <v>Massachusetts</v>
      </c>
      <c r="H2258" s="2" t="s">
        <v>14</v>
      </c>
      <c r="I2258" s="2" t="s">
        <v>22</v>
      </c>
      <c r="J2258" s="2" t="s">
        <v>40</v>
      </c>
      <c r="K2258" s="2" t="s">
        <v>78</v>
      </c>
      <c r="L2258" s="2" t="s">
        <v>9</v>
      </c>
      <c r="M2258" s="2" t="s">
        <v>10</v>
      </c>
      <c r="N2258" s="2" t="s">
        <v>11</v>
      </c>
      <c r="O2258" s="2" t="s">
        <v>12</v>
      </c>
      <c r="P2258" s="2" t="s">
        <v>59</v>
      </c>
      <c r="Q2258" s="2" t="s">
        <v>37</v>
      </c>
      <c r="R2258" s="2" t="s">
        <v>18</v>
      </c>
      <c r="S2258">
        <v>5</v>
      </c>
    </row>
    <row r="2259" spans="1:19" x14ac:dyDescent="0.3">
      <c r="A2259">
        <v>1686</v>
      </c>
      <c r="B2259">
        <f>YEAR(Cleaned_HR_Data_Analysis__2[[#This Row],[Joining_Date]])</f>
        <v>2021</v>
      </c>
      <c r="C2259" s="1">
        <v>44201</v>
      </c>
      <c r="D2259" s="1" t="str" cm="1">
        <f t="array" ref="D2259">_xlfn.IFS(E2259&lt;28, "17-27",
AND(E2259&gt;27, E2259&lt;38), "28-37",
AND(E2259&gt;37, E2259 &lt;48), "38-47",
AND(E2259&gt;47, E2259 &lt;58), "48-57",
AND(E2259&gt;57, E2259&lt;68), "58-67",
AND(E2259&gt;67, E2259&lt;78), "68-77",
E2259&gt;77,"Above than 77")</f>
        <v>58-67</v>
      </c>
      <c r="E2259">
        <v>67</v>
      </c>
      <c r="F2259" s="1">
        <v>19789</v>
      </c>
      <c r="G2259" s="1" t="str">
        <f>VLOOKUP(H2259,Table7[#All], 2, FALSE)</f>
        <v>Massachusetts</v>
      </c>
      <c r="H2259" s="2" t="s">
        <v>14</v>
      </c>
      <c r="I2259" s="2" t="s">
        <v>22</v>
      </c>
      <c r="J2259" s="2" t="s">
        <v>17</v>
      </c>
      <c r="K2259" s="2" t="s">
        <v>97</v>
      </c>
      <c r="L2259" s="2" t="s">
        <v>9</v>
      </c>
      <c r="M2259" s="2" t="s">
        <v>10</v>
      </c>
      <c r="N2259" s="2" t="s">
        <v>11</v>
      </c>
      <c r="O2259" s="2" t="s">
        <v>53</v>
      </c>
      <c r="P2259" s="2" t="s">
        <v>13</v>
      </c>
      <c r="Q2259" s="2" t="s">
        <v>37</v>
      </c>
      <c r="R2259" s="2" t="s">
        <v>18</v>
      </c>
      <c r="S2259">
        <v>4</v>
      </c>
    </row>
    <row r="2260" spans="1:19" x14ac:dyDescent="0.3">
      <c r="A2260">
        <v>2594</v>
      </c>
      <c r="B2260">
        <f>YEAR(Cleaned_HR_Data_Analysis__2[[#This Row],[Joining_Date]])</f>
        <v>2023</v>
      </c>
      <c r="C2260" s="1">
        <v>45131</v>
      </c>
      <c r="D2260" s="1" t="str" cm="1">
        <f t="array" ref="D2260">_xlfn.IFS(E2260&lt;28, "17-27",
AND(E2260&gt;27, E2260&lt;38), "28-37",
AND(E2260&gt;37, E2260 &lt;48), "38-47",
AND(E2260&gt;47, E2260 &lt;58), "48-57",
AND(E2260&gt;57, E2260&lt;68), "58-67",
AND(E2260&gt;67, E2260&lt;78), "68-77",
E2260&gt;77,"Above than 77")</f>
        <v>58-67</v>
      </c>
      <c r="E2260">
        <v>67</v>
      </c>
      <c r="F2260" s="1">
        <v>20541</v>
      </c>
      <c r="G2260" s="1" t="str">
        <f>VLOOKUP(H2260,Table7[#All], 2, FALSE)</f>
        <v>Tennessee</v>
      </c>
      <c r="H2260" s="2" t="s">
        <v>120</v>
      </c>
      <c r="I2260" s="2" t="s">
        <v>22</v>
      </c>
      <c r="J2260" s="2" t="s">
        <v>40</v>
      </c>
      <c r="K2260" s="2" t="s">
        <v>24</v>
      </c>
      <c r="L2260" s="2" t="s">
        <v>9</v>
      </c>
      <c r="M2260" s="2" t="s">
        <v>20</v>
      </c>
      <c r="N2260" s="2" t="s">
        <v>11</v>
      </c>
      <c r="O2260" s="2" t="s">
        <v>27</v>
      </c>
      <c r="P2260" s="2" t="s">
        <v>55</v>
      </c>
      <c r="Q2260" s="2" t="s">
        <v>30</v>
      </c>
      <c r="R2260" s="2" t="s">
        <v>18</v>
      </c>
      <c r="S2260">
        <v>5</v>
      </c>
    </row>
    <row r="2261" spans="1:19" x14ac:dyDescent="0.3">
      <c r="A2261">
        <v>2584</v>
      </c>
      <c r="B2261">
        <f>YEAR(Cleaned_HR_Data_Analysis__2[[#This Row],[Joining_Date]])</f>
        <v>2023</v>
      </c>
      <c r="C2261" s="1">
        <v>45039</v>
      </c>
      <c r="D2261" s="1" t="str" cm="1">
        <f t="array" ref="D2261">_xlfn.IFS(E2261&lt;28, "17-27",
AND(E2261&gt;27, E2261&lt;38), "28-37",
AND(E2261&gt;37, E2261 &lt;48), "38-47",
AND(E2261&gt;47, E2261 &lt;58), "48-57",
AND(E2261&gt;57, E2261&lt;68), "58-67",
AND(E2261&gt;67, E2261&lt;78), "68-77",
E2261&gt;77,"Above than 77")</f>
        <v>58-67</v>
      </c>
      <c r="E2261">
        <v>67</v>
      </c>
      <c r="F2261" s="1">
        <v>20725</v>
      </c>
      <c r="G2261" s="1" t="str">
        <f>VLOOKUP(H2261,Table7[#All], 2, FALSE)</f>
        <v>Maine</v>
      </c>
      <c r="H2261" s="2" t="s">
        <v>119</v>
      </c>
      <c r="I2261" s="2" t="s">
        <v>22</v>
      </c>
      <c r="J2261" s="2" t="s">
        <v>31</v>
      </c>
      <c r="K2261" s="2" t="s">
        <v>24</v>
      </c>
      <c r="L2261" s="2" t="s">
        <v>9</v>
      </c>
      <c r="M2261" s="2" t="s">
        <v>20</v>
      </c>
      <c r="N2261" s="2" t="s">
        <v>11</v>
      </c>
      <c r="O2261" s="2" t="s">
        <v>27</v>
      </c>
      <c r="P2261" s="2" t="s">
        <v>42</v>
      </c>
      <c r="Q2261" s="2" t="s">
        <v>16</v>
      </c>
      <c r="R2261" s="2" t="s">
        <v>18</v>
      </c>
      <c r="S2261">
        <v>4</v>
      </c>
    </row>
    <row r="2262" spans="1:19" x14ac:dyDescent="0.3">
      <c r="A2262">
        <v>3442</v>
      </c>
      <c r="B2262">
        <f>YEAR(Cleaned_HR_Data_Analysis__2[[#This Row],[Joining_Date]])</f>
        <v>2019</v>
      </c>
      <c r="C2262" s="1">
        <v>43655</v>
      </c>
      <c r="D2262" s="1" t="str" cm="1">
        <f t="array" ref="D2262">_xlfn.IFS(E2262&lt;28, "17-27",
AND(E2262&gt;27, E2262&lt;38), "28-37",
AND(E2262&gt;37, E2262 &lt;48), "38-47",
AND(E2262&gt;47, E2262 &lt;58), "48-57",
AND(E2262&gt;57, E2262&lt;68), "58-67",
AND(E2262&gt;67, E2262&lt;78), "68-77",
E2262&gt;77,"Above than 77")</f>
        <v>58-67</v>
      </c>
      <c r="E2262">
        <v>67</v>
      </c>
      <c r="F2262" s="1">
        <v>19322</v>
      </c>
      <c r="G2262" s="1" t="str">
        <f>VLOOKUP(H2262,Table7[#All], 2, FALSE)</f>
        <v>Massachusetts</v>
      </c>
      <c r="H2262" s="2" t="s">
        <v>14</v>
      </c>
      <c r="I2262" s="2" t="s">
        <v>22</v>
      </c>
      <c r="J2262" s="2" t="s">
        <v>31</v>
      </c>
      <c r="K2262" s="2" t="s">
        <v>24</v>
      </c>
      <c r="L2262" s="2" t="s">
        <v>9</v>
      </c>
      <c r="M2262" s="2" t="s">
        <v>25</v>
      </c>
      <c r="N2262" s="2" t="s">
        <v>19</v>
      </c>
      <c r="O2262" s="2" t="s">
        <v>53</v>
      </c>
      <c r="P2262" s="2" t="s">
        <v>35</v>
      </c>
      <c r="Q2262" s="2" t="s">
        <v>37</v>
      </c>
      <c r="R2262" s="2" t="s">
        <v>41</v>
      </c>
      <c r="S2262">
        <v>5</v>
      </c>
    </row>
    <row r="2263" spans="1:19" x14ac:dyDescent="0.3">
      <c r="A2263">
        <v>2623</v>
      </c>
      <c r="B2263">
        <f>YEAR(Cleaned_HR_Data_Analysis__2[[#This Row],[Joining_Date]])</f>
        <v>2020</v>
      </c>
      <c r="C2263" s="1">
        <v>43972</v>
      </c>
      <c r="D2263" s="1" t="str" cm="1">
        <f t="array" ref="D2263">_xlfn.IFS(E2263&lt;28, "17-27",
AND(E2263&gt;27, E2263&lt;38), "28-37",
AND(E2263&gt;37, E2263 &lt;48), "38-47",
AND(E2263&gt;47, E2263 &lt;58), "48-57",
AND(E2263&gt;57, E2263&lt;68), "58-67",
AND(E2263&gt;67, E2263&lt;78), "68-77",
E2263&gt;77,"Above than 77")</f>
        <v>58-67</v>
      </c>
      <c r="E2263">
        <v>67</v>
      </c>
      <c r="F2263" s="1">
        <v>19553</v>
      </c>
      <c r="G2263" s="1" t="str">
        <f>VLOOKUP(H2263,Table7[#All], 2, FALSE)</f>
        <v>Arizona</v>
      </c>
      <c r="H2263" s="2" t="s">
        <v>114</v>
      </c>
      <c r="I2263" s="2" t="s">
        <v>22</v>
      </c>
      <c r="J2263" s="2" t="s">
        <v>40</v>
      </c>
      <c r="K2263" s="2" t="s">
        <v>24</v>
      </c>
      <c r="L2263" s="2" t="s">
        <v>9</v>
      </c>
      <c r="M2263" s="2" t="s">
        <v>10</v>
      </c>
      <c r="N2263" s="2" t="s">
        <v>11</v>
      </c>
      <c r="O2263" s="2" t="s">
        <v>27</v>
      </c>
      <c r="P2263" s="2" t="s">
        <v>35</v>
      </c>
      <c r="Q2263" s="2" t="s">
        <v>46</v>
      </c>
      <c r="R2263" s="2" t="s">
        <v>18</v>
      </c>
      <c r="S2263">
        <v>5</v>
      </c>
    </row>
    <row r="2264" spans="1:19" x14ac:dyDescent="0.3">
      <c r="A2264">
        <v>1380</v>
      </c>
      <c r="B2264">
        <f>YEAR(Cleaned_HR_Data_Analysis__2[[#This Row],[Joining_Date]])</f>
        <v>2020</v>
      </c>
      <c r="C2264" s="1">
        <v>44080</v>
      </c>
      <c r="D2264" s="1" t="str" cm="1">
        <f t="array" ref="D2264">_xlfn.IFS(E2264&lt;28, "17-27",
AND(E2264&gt;27, E2264&lt;38), "28-37",
AND(E2264&gt;37, E2264 &lt;48), "38-47",
AND(E2264&gt;47, E2264 &lt;58), "48-57",
AND(E2264&gt;57, E2264&lt;68), "58-67",
AND(E2264&gt;67, E2264&lt;78), "68-77",
E2264&gt;77,"Above than 77")</f>
        <v>58-67</v>
      </c>
      <c r="E2264">
        <v>67</v>
      </c>
      <c r="F2264" s="1">
        <v>19483</v>
      </c>
      <c r="G2264" s="1" t="str">
        <f>VLOOKUP(H2264,Table7[#All], 2, FALSE)</f>
        <v>Massachusetts</v>
      </c>
      <c r="H2264" s="2" t="s">
        <v>14</v>
      </c>
      <c r="I2264" s="2" t="s">
        <v>22</v>
      </c>
      <c r="J2264" s="2" t="s">
        <v>31</v>
      </c>
      <c r="K2264" s="2" t="s">
        <v>96</v>
      </c>
      <c r="L2264" s="2" t="s">
        <v>9</v>
      </c>
      <c r="M2264" s="2" t="s">
        <v>20</v>
      </c>
      <c r="N2264" s="2" t="s">
        <v>19</v>
      </c>
      <c r="O2264" s="2" t="s">
        <v>90</v>
      </c>
      <c r="P2264" s="2" t="s">
        <v>35</v>
      </c>
      <c r="Q2264" s="2" t="s">
        <v>23</v>
      </c>
      <c r="R2264" s="2" t="s">
        <v>41</v>
      </c>
      <c r="S2264">
        <v>1</v>
      </c>
    </row>
    <row r="2265" spans="1:19" x14ac:dyDescent="0.3">
      <c r="A2265">
        <v>1334</v>
      </c>
      <c r="B2265">
        <f>YEAR(Cleaned_HR_Data_Analysis__2[[#This Row],[Joining_Date]])</f>
        <v>2020</v>
      </c>
      <c r="C2265" s="1">
        <v>44075</v>
      </c>
      <c r="D2265" s="1" t="str" cm="1">
        <f t="array" ref="D2265">_xlfn.IFS(E2265&lt;28, "17-27",
AND(E2265&gt;27, E2265&lt;38), "28-37",
AND(E2265&gt;37, E2265 &lt;48), "38-47",
AND(E2265&gt;47, E2265 &lt;58), "48-57",
AND(E2265&gt;57, E2265&lt;68), "58-67",
AND(E2265&gt;67, E2265&lt;78), "68-77",
E2265&gt;77,"Above than 77")</f>
        <v>68-77</v>
      </c>
      <c r="E2265">
        <v>68</v>
      </c>
      <c r="F2265" s="1">
        <v>19260</v>
      </c>
      <c r="G2265" s="1" t="str">
        <f>VLOOKUP(H2265,Table7[#All], 2, FALSE)</f>
        <v>Massachusetts</v>
      </c>
      <c r="H2265" s="2" t="s">
        <v>14</v>
      </c>
      <c r="I2265" s="2" t="s">
        <v>22</v>
      </c>
      <c r="J2265" s="2" t="s">
        <v>17</v>
      </c>
      <c r="K2265" s="2" t="s">
        <v>72</v>
      </c>
      <c r="L2265" s="2" t="s">
        <v>9</v>
      </c>
      <c r="M2265" s="2" t="s">
        <v>25</v>
      </c>
      <c r="N2265" s="2" t="s">
        <v>26</v>
      </c>
      <c r="O2265" s="2" t="s">
        <v>53</v>
      </c>
      <c r="P2265" s="2" t="s">
        <v>69</v>
      </c>
      <c r="Q2265" s="2" t="s">
        <v>30</v>
      </c>
      <c r="R2265" s="2" t="s">
        <v>18</v>
      </c>
      <c r="S2265">
        <v>3</v>
      </c>
    </row>
    <row r="2266" spans="1:19" x14ac:dyDescent="0.3">
      <c r="A2266">
        <v>2550</v>
      </c>
      <c r="B2266">
        <f>YEAR(Cleaned_HR_Data_Analysis__2[[#This Row],[Joining_Date]])</f>
        <v>2020</v>
      </c>
      <c r="C2266" s="1">
        <v>44154</v>
      </c>
      <c r="D2266" s="1" t="str" cm="1">
        <f t="array" ref="D2266">_xlfn.IFS(E2266&lt;28, "17-27",
AND(E2266&gt;27, E2266&lt;38), "28-37",
AND(E2266&gt;37, E2266 &lt;48), "38-47",
AND(E2266&gt;47, E2266 &lt;58), "48-57",
AND(E2266&gt;57, E2266&lt;68), "58-67",
AND(E2266&gt;67, E2266&lt;78), "68-77",
E2266&gt;77,"Above than 77")</f>
        <v>68-77</v>
      </c>
      <c r="E2266">
        <v>68</v>
      </c>
      <c r="F2266" s="1">
        <v>19109</v>
      </c>
      <c r="G2266" s="1" t="str">
        <f>VLOOKUP(H2266,Table7[#All], 2, FALSE)</f>
        <v>Massachusetts</v>
      </c>
      <c r="H2266" s="2" t="s">
        <v>14</v>
      </c>
      <c r="I2266" s="2" t="s">
        <v>15</v>
      </c>
      <c r="J2266" s="2" t="s">
        <v>17</v>
      </c>
      <c r="K2266" s="2" t="s">
        <v>85</v>
      </c>
      <c r="L2266" s="2" t="s">
        <v>9</v>
      </c>
      <c r="M2266" s="2" t="s">
        <v>10</v>
      </c>
      <c r="N2266" s="2" t="s">
        <v>19</v>
      </c>
      <c r="O2266" s="2" t="s">
        <v>87</v>
      </c>
      <c r="P2266" s="2" t="s">
        <v>32</v>
      </c>
      <c r="Q2266" s="2" t="s">
        <v>16</v>
      </c>
      <c r="R2266" s="2" t="s">
        <v>18</v>
      </c>
      <c r="S2266">
        <v>1</v>
      </c>
    </row>
    <row r="2267" spans="1:19" x14ac:dyDescent="0.3">
      <c r="A2267">
        <v>2521</v>
      </c>
      <c r="B2267">
        <f>YEAR(Cleaned_HR_Data_Analysis__2[[#This Row],[Joining_Date]])</f>
        <v>2022</v>
      </c>
      <c r="C2267" s="1">
        <v>44807</v>
      </c>
      <c r="D2267" s="1" t="str" cm="1">
        <f t="array" ref="D2267">_xlfn.IFS(E2267&lt;28, "17-27",
AND(E2267&gt;27, E2267&lt;38), "28-37",
AND(E2267&gt;37, E2267 &lt;48), "38-47",
AND(E2267&gt;47, E2267 &lt;58), "48-57",
AND(E2267&gt;57, E2267&lt;68), "58-67",
AND(E2267&gt;67, E2267&lt;78), "68-77",
E2267&gt;77,"Above than 77")</f>
        <v>68-77</v>
      </c>
      <c r="E2267">
        <v>68</v>
      </c>
      <c r="F2267" s="1">
        <v>19960</v>
      </c>
      <c r="G2267" s="1" t="str">
        <f>VLOOKUP(H2267,Table7[#All], 2, FALSE)</f>
        <v>Massachusetts</v>
      </c>
      <c r="H2267" s="2" t="s">
        <v>14</v>
      </c>
      <c r="I2267" s="2" t="s">
        <v>22</v>
      </c>
      <c r="J2267" s="2" t="s">
        <v>40</v>
      </c>
      <c r="K2267" s="2" t="s">
        <v>86</v>
      </c>
      <c r="L2267" s="2" t="s">
        <v>9</v>
      </c>
      <c r="M2267" s="2" t="s">
        <v>10</v>
      </c>
      <c r="N2267" s="2" t="s">
        <v>11</v>
      </c>
      <c r="O2267" s="2" t="s">
        <v>87</v>
      </c>
      <c r="P2267" s="2" t="s">
        <v>42</v>
      </c>
      <c r="Q2267" s="2" t="s">
        <v>16</v>
      </c>
      <c r="R2267" s="2" t="s">
        <v>18</v>
      </c>
      <c r="S2267">
        <v>4</v>
      </c>
    </row>
    <row r="2268" spans="1:19" x14ac:dyDescent="0.3">
      <c r="A2268">
        <v>1032</v>
      </c>
      <c r="B2268">
        <f>YEAR(Cleaned_HR_Data_Analysis__2[[#This Row],[Joining_Date]])</f>
        <v>2022</v>
      </c>
      <c r="C2268" s="1">
        <v>44670</v>
      </c>
      <c r="D2268" s="1" t="str" cm="1">
        <f t="array" ref="D2268">_xlfn.IFS(E2268&lt;28, "17-27",
AND(E2268&gt;27, E2268&lt;38), "28-37",
AND(E2268&gt;37, E2268 &lt;48), "38-47",
AND(E2268&gt;47, E2268 &lt;58), "48-57",
AND(E2268&gt;57, E2268&lt;68), "58-67",
AND(E2268&gt;67, E2268&lt;78), "68-77",
E2268&gt;77,"Above than 77")</f>
        <v>68-77</v>
      </c>
      <c r="E2268">
        <v>68</v>
      </c>
      <c r="F2268" s="1">
        <v>19906</v>
      </c>
      <c r="G2268" s="1" t="str">
        <f>VLOOKUP(H2268,Table7[#All], 2, FALSE)</f>
        <v>Massachusetts</v>
      </c>
      <c r="H2268" s="2" t="s">
        <v>14</v>
      </c>
      <c r="I2268" s="2" t="s">
        <v>22</v>
      </c>
      <c r="J2268" s="2" t="s">
        <v>17</v>
      </c>
      <c r="K2268" s="2" t="s">
        <v>86</v>
      </c>
      <c r="L2268" s="2" t="s">
        <v>9</v>
      </c>
      <c r="M2268" s="2" t="s">
        <v>25</v>
      </c>
      <c r="N2268" s="2" t="s">
        <v>11</v>
      </c>
      <c r="O2268" s="2" t="s">
        <v>87</v>
      </c>
      <c r="P2268" s="2" t="s">
        <v>21</v>
      </c>
      <c r="Q2268" s="2" t="s">
        <v>46</v>
      </c>
      <c r="R2268" s="2" t="s">
        <v>18</v>
      </c>
      <c r="S2268">
        <v>4</v>
      </c>
    </row>
    <row r="2269" spans="1:19" x14ac:dyDescent="0.3">
      <c r="A2269">
        <v>3675</v>
      </c>
      <c r="B2269">
        <f>YEAR(Cleaned_HR_Data_Analysis__2[[#This Row],[Joining_Date]])</f>
        <v>2020</v>
      </c>
      <c r="C2269" s="1">
        <v>43990</v>
      </c>
      <c r="D2269" s="1" t="str" cm="1">
        <f t="array" ref="D2269">_xlfn.IFS(E2269&lt;28, "17-27",
AND(E2269&gt;27, E2269&lt;38), "28-37",
AND(E2269&gt;37, E2269 &lt;48), "38-47",
AND(E2269&gt;47, E2269 &lt;58), "48-57",
AND(E2269&gt;57, E2269&lt;68), "58-67",
AND(E2269&gt;67, E2269&lt;78), "68-77",
E2269&gt;77,"Above than 77")</f>
        <v>68-77</v>
      </c>
      <c r="E2269">
        <v>68</v>
      </c>
      <c r="F2269" s="1">
        <v>19234</v>
      </c>
      <c r="G2269" s="1" t="str">
        <f>VLOOKUP(H2269,Table7[#All], 2, FALSE)</f>
        <v>Massachusetts</v>
      </c>
      <c r="H2269" s="2" t="s">
        <v>14</v>
      </c>
      <c r="I2269" s="2" t="s">
        <v>15</v>
      </c>
      <c r="J2269" s="2" t="s">
        <v>40</v>
      </c>
      <c r="K2269" s="2" t="s">
        <v>64</v>
      </c>
      <c r="L2269" s="2" t="s">
        <v>9</v>
      </c>
      <c r="M2269" s="2" t="s">
        <v>25</v>
      </c>
      <c r="N2269" s="2" t="s">
        <v>11</v>
      </c>
      <c r="O2269" s="2" t="s">
        <v>12</v>
      </c>
      <c r="P2269" s="2" t="s">
        <v>42</v>
      </c>
      <c r="Q2269" s="2" t="s">
        <v>23</v>
      </c>
      <c r="R2269" s="2" t="s">
        <v>18</v>
      </c>
      <c r="S2269">
        <v>3</v>
      </c>
    </row>
    <row r="2270" spans="1:19" x14ac:dyDescent="0.3">
      <c r="A2270">
        <v>3598</v>
      </c>
      <c r="B2270">
        <f>YEAR(Cleaned_HR_Data_Analysis__2[[#This Row],[Joining_Date]])</f>
        <v>2018</v>
      </c>
      <c r="C2270" s="1">
        <v>43371</v>
      </c>
      <c r="D2270" s="1" t="str" cm="1">
        <f t="array" ref="D2270">_xlfn.IFS(E2270&lt;28, "17-27",
AND(E2270&gt;27, E2270&lt;38), "28-37",
AND(E2270&gt;37, E2270 &lt;48), "38-47",
AND(E2270&gt;47, E2270 &lt;58), "48-57",
AND(E2270&gt;57, E2270&lt;68), "58-67",
AND(E2270&gt;67, E2270&lt;78), "68-77",
E2270&gt;77,"Above than 77")</f>
        <v>68-77</v>
      </c>
      <c r="E2270">
        <v>68</v>
      </c>
      <c r="F2270" s="1">
        <v>18542</v>
      </c>
      <c r="G2270" s="1" t="str">
        <f>VLOOKUP(H2270,Table7[#All], 2, FALSE)</f>
        <v>Massachusetts</v>
      </c>
      <c r="H2270" s="2" t="s">
        <v>14</v>
      </c>
      <c r="I2270" s="2" t="s">
        <v>15</v>
      </c>
      <c r="J2270" s="2" t="s">
        <v>34</v>
      </c>
      <c r="K2270" s="2" t="s">
        <v>64</v>
      </c>
      <c r="L2270" s="2" t="s">
        <v>66</v>
      </c>
      <c r="M2270" s="2" t="s">
        <v>20</v>
      </c>
      <c r="N2270" s="2" t="s">
        <v>19</v>
      </c>
      <c r="O2270" s="2" t="s">
        <v>12</v>
      </c>
      <c r="P2270" s="2" t="s">
        <v>57</v>
      </c>
      <c r="Q2270" s="2" t="s">
        <v>30</v>
      </c>
      <c r="R2270" s="2" t="s">
        <v>56</v>
      </c>
      <c r="S2270">
        <v>5</v>
      </c>
    </row>
    <row r="2271" spans="1:19" x14ac:dyDescent="0.3">
      <c r="A2271">
        <v>3407</v>
      </c>
      <c r="B2271">
        <f>YEAR(Cleaned_HR_Data_Analysis__2[[#This Row],[Joining_Date]])</f>
        <v>2021</v>
      </c>
      <c r="C2271" s="1">
        <v>44301</v>
      </c>
      <c r="D2271" s="1" t="str" cm="1">
        <f t="array" ref="D2271">_xlfn.IFS(E2271&lt;28, "17-27",
AND(E2271&gt;27, E2271&lt;38), "28-37",
AND(E2271&gt;37, E2271 &lt;48), "38-47",
AND(E2271&gt;47, E2271 &lt;58), "48-57",
AND(E2271&gt;57, E2271&lt;68), "58-67",
AND(E2271&gt;67, E2271&lt;78), "68-77",
E2271&gt;77,"Above than 77")</f>
        <v>68-77</v>
      </c>
      <c r="E2271">
        <v>68</v>
      </c>
      <c r="F2271" s="1">
        <v>19416</v>
      </c>
      <c r="G2271" s="1" t="str">
        <f>VLOOKUP(H2271,Table7[#All], 2, FALSE)</f>
        <v>Massachusetts</v>
      </c>
      <c r="H2271" s="2" t="s">
        <v>14</v>
      </c>
      <c r="I2271" s="2" t="s">
        <v>15</v>
      </c>
      <c r="J2271" s="2" t="s">
        <v>31</v>
      </c>
      <c r="K2271" s="2" t="s">
        <v>64</v>
      </c>
      <c r="L2271" s="2" t="s">
        <v>9</v>
      </c>
      <c r="M2271" s="2" t="s">
        <v>20</v>
      </c>
      <c r="N2271" s="2" t="s">
        <v>11</v>
      </c>
      <c r="O2271" s="2" t="s">
        <v>12</v>
      </c>
      <c r="P2271" s="2" t="s">
        <v>35</v>
      </c>
      <c r="Q2271" s="2" t="s">
        <v>46</v>
      </c>
      <c r="R2271" s="2" t="s">
        <v>18</v>
      </c>
      <c r="S2271">
        <v>3</v>
      </c>
    </row>
    <row r="2272" spans="1:19" x14ac:dyDescent="0.3">
      <c r="A2272">
        <v>3211</v>
      </c>
      <c r="B2272">
        <f>YEAR(Cleaned_HR_Data_Analysis__2[[#This Row],[Joining_Date]])</f>
        <v>2023</v>
      </c>
      <c r="C2272" s="1">
        <v>45069</v>
      </c>
      <c r="D2272" s="1" t="str" cm="1">
        <f t="array" ref="D2272">_xlfn.IFS(E2272&lt;28, "17-27",
AND(E2272&gt;27, E2272&lt;38), "28-37",
AND(E2272&gt;37, E2272 &lt;48), "38-47",
AND(E2272&gt;47, E2272 &lt;58), "48-57",
AND(E2272&gt;57, E2272&lt;68), "58-67",
AND(E2272&gt;67, E2272&lt;78), "68-77",
E2272&gt;77,"Above than 77")</f>
        <v>68-77</v>
      </c>
      <c r="E2272">
        <v>68</v>
      </c>
      <c r="F2272" s="1">
        <v>20327</v>
      </c>
      <c r="G2272" s="1" t="str">
        <f>VLOOKUP(H2272,Table7[#All], 2, FALSE)</f>
        <v>Massachusetts</v>
      </c>
      <c r="H2272" s="2" t="s">
        <v>14</v>
      </c>
      <c r="I2272" s="2" t="s">
        <v>15</v>
      </c>
      <c r="J2272" s="2" t="s">
        <v>34</v>
      </c>
      <c r="K2272" s="2" t="s">
        <v>64</v>
      </c>
      <c r="L2272" s="2" t="s">
        <v>9</v>
      </c>
      <c r="M2272" s="2" t="s">
        <v>20</v>
      </c>
      <c r="N2272" s="2" t="s">
        <v>26</v>
      </c>
      <c r="O2272" s="2" t="s">
        <v>12</v>
      </c>
      <c r="P2272" s="2" t="s">
        <v>28</v>
      </c>
      <c r="Q2272" s="2" t="s">
        <v>30</v>
      </c>
      <c r="R2272" s="2" t="s">
        <v>18</v>
      </c>
      <c r="S2272">
        <v>5</v>
      </c>
    </row>
    <row r="2273" spans="1:19" x14ac:dyDescent="0.3">
      <c r="A2273">
        <v>3160</v>
      </c>
      <c r="B2273">
        <f>YEAR(Cleaned_HR_Data_Analysis__2[[#This Row],[Joining_Date]])</f>
        <v>2019</v>
      </c>
      <c r="C2273" s="1">
        <v>43530</v>
      </c>
      <c r="D2273" s="1" t="str" cm="1">
        <f t="array" ref="D2273">_xlfn.IFS(E2273&lt;28, "17-27",
AND(E2273&gt;27, E2273&lt;38), "28-37",
AND(E2273&gt;37, E2273 &lt;48), "38-47",
AND(E2273&gt;47, E2273 &lt;58), "48-57",
AND(E2273&gt;57, E2273&lt;68), "58-67",
AND(E2273&gt;67, E2273&lt;78), "68-77",
E2273&gt;77,"Above than 77")</f>
        <v>68-77</v>
      </c>
      <c r="E2273">
        <v>68</v>
      </c>
      <c r="F2273" s="1">
        <v>18736</v>
      </c>
      <c r="G2273" s="1" t="str">
        <f>VLOOKUP(H2273,Table7[#All], 2, FALSE)</f>
        <v>Massachusetts</v>
      </c>
      <c r="H2273" s="2" t="s">
        <v>14</v>
      </c>
      <c r="I2273" s="2" t="s">
        <v>15</v>
      </c>
      <c r="J2273" s="2" t="s">
        <v>31</v>
      </c>
      <c r="K2273" s="2" t="s">
        <v>64</v>
      </c>
      <c r="L2273" s="2" t="s">
        <v>9</v>
      </c>
      <c r="M2273" s="2" t="s">
        <v>25</v>
      </c>
      <c r="N2273" s="2" t="s">
        <v>19</v>
      </c>
      <c r="O2273" s="2" t="s">
        <v>12</v>
      </c>
      <c r="P2273" s="2" t="s">
        <v>49</v>
      </c>
      <c r="Q2273" s="2" t="s">
        <v>30</v>
      </c>
      <c r="R2273" s="2" t="s">
        <v>41</v>
      </c>
      <c r="S2273">
        <v>5</v>
      </c>
    </row>
    <row r="2274" spans="1:19" x14ac:dyDescent="0.3">
      <c r="A2274">
        <v>1875</v>
      </c>
      <c r="B2274">
        <f>YEAR(Cleaned_HR_Data_Analysis__2[[#This Row],[Joining_Date]])</f>
        <v>2021</v>
      </c>
      <c r="C2274" s="1">
        <v>44200</v>
      </c>
      <c r="D2274" s="1" t="str" cm="1">
        <f t="array" ref="D2274">_xlfn.IFS(E2274&lt;28, "17-27",
AND(E2274&gt;27, E2274&lt;38), "28-37",
AND(E2274&gt;37, E2274 &lt;48), "38-47",
AND(E2274&gt;47, E2274 &lt;58), "48-57",
AND(E2274&gt;57, E2274&lt;68), "58-67",
AND(E2274&gt;67, E2274&lt;78), "68-77",
E2274&gt;77,"Above than 77")</f>
        <v>68-77</v>
      </c>
      <c r="E2274">
        <v>68</v>
      </c>
      <c r="F2274" s="1">
        <v>19572</v>
      </c>
      <c r="G2274" s="1" t="str">
        <f>VLOOKUP(H2274,Table7[#All], 2, FALSE)</f>
        <v>Massachusetts</v>
      </c>
      <c r="H2274" s="2" t="s">
        <v>14</v>
      </c>
      <c r="I2274" s="2" t="s">
        <v>22</v>
      </c>
      <c r="J2274" s="2" t="s">
        <v>31</v>
      </c>
      <c r="K2274" s="2" t="s">
        <v>64</v>
      </c>
      <c r="L2274" s="2" t="s">
        <v>66</v>
      </c>
      <c r="M2274" s="2" t="s">
        <v>25</v>
      </c>
      <c r="N2274" s="2" t="s">
        <v>11</v>
      </c>
      <c r="O2274" s="2" t="s">
        <v>12</v>
      </c>
      <c r="P2274" s="2" t="s">
        <v>32</v>
      </c>
      <c r="Q2274" s="2" t="s">
        <v>30</v>
      </c>
      <c r="R2274" s="2" t="s">
        <v>18</v>
      </c>
      <c r="S2274">
        <v>1</v>
      </c>
    </row>
    <row r="2275" spans="1:19" x14ac:dyDescent="0.3">
      <c r="A2275">
        <v>1431</v>
      </c>
      <c r="B2275">
        <f>YEAR(Cleaned_HR_Data_Analysis__2[[#This Row],[Joining_Date]])</f>
        <v>2019</v>
      </c>
      <c r="C2275" s="1">
        <v>43539</v>
      </c>
      <c r="D2275" s="1" t="str" cm="1">
        <f t="array" ref="D2275">_xlfn.IFS(E2275&lt;28, "17-27",
AND(E2275&gt;27, E2275&lt;38), "28-37",
AND(E2275&gt;37, E2275 &lt;48), "38-47",
AND(E2275&gt;47, E2275 &lt;58), "48-57",
AND(E2275&gt;57, E2275&lt;68), "58-67",
AND(E2275&gt;67, E2275&lt;78), "68-77",
E2275&gt;77,"Above than 77")</f>
        <v>68-77</v>
      </c>
      <c r="E2275">
        <v>68</v>
      </c>
      <c r="F2275" s="1">
        <v>18932</v>
      </c>
      <c r="G2275" s="1" t="str">
        <f>VLOOKUP(H2275,Table7[#All], 2, FALSE)</f>
        <v>Massachusetts</v>
      </c>
      <c r="H2275" s="2" t="s">
        <v>14</v>
      </c>
      <c r="I2275" s="2" t="s">
        <v>15</v>
      </c>
      <c r="J2275" s="2" t="s">
        <v>17</v>
      </c>
      <c r="K2275" s="2" t="s">
        <v>64</v>
      </c>
      <c r="L2275" s="2" t="s">
        <v>9</v>
      </c>
      <c r="M2275" s="2" t="s">
        <v>25</v>
      </c>
      <c r="N2275" s="2" t="s">
        <v>26</v>
      </c>
      <c r="O2275" s="2" t="s">
        <v>12</v>
      </c>
      <c r="P2275" s="2" t="s">
        <v>35</v>
      </c>
      <c r="Q2275" s="2" t="s">
        <v>37</v>
      </c>
      <c r="R2275" s="2" t="s">
        <v>41</v>
      </c>
      <c r="S2275">
        <v>1</v>
      </c>
    </row>
    <row r="2276" spans="1:19" x14ac:dyDescent="0.3">
      <c r="A2276">
        <v>3769</v>
      </c>
      <c r="B2276">
        <f>YEAR(Cleaned_HR_Data_Analysis__2[[#This Row],[Joining_Date]])</f>
        <v>2020</v>
      </c>
      <c r="C2276" s="1">
        <v>44177</v>
      </c>
      <c r="D2276" s="1" t="str" cm="1">
        <f t="array" ref="D2276">_xlfn.IFS(E2276&lt;28, "17-27",
AND(E2276&gt;27, E2276&lt;38), "28-37",
AND(E2276&gt;37, E2276 &lt;48), "38-47",
AND(E2276&gt;47, E2276 &lt;58), "48-57",
AND(E2276&gt;57, E2276&lt;68), "58-67",
AND(E2276&gt;67, E2276&lt;78), "68-77",
E2276&gt;77,"Above than 77")</f>
        <v>68-77</v>
      </c>
      <c r="E2276">
        <v>68</v>
      </c>
      <c r="F2276" s="1">
        <v>19319</v>
      </c>
      <c r="G2276" s="1" t="str">
        <f>VLOOKUP(H2276,Table7[#All], 2, FALSE)</f>
        <v>Massachusetts</v>
      </c>
      <c r="H2276" s="2" t="s">
        <v>14</v>
      </c>
      <c r="I2276" s="2" t="s">
        <v>22</v>
      </c>
      <c r="J2276" s="2" t="s">
        <v>34</v>
      </c>
      <c r="K2276" s="2" t="s">
        <v>8</v>
      </c>
      <c r="L2276" s="2" t="s">
        <v>9</v>
      </c>
      <c r="M2276" s="2" t="s">
        <v>25</v>
      </c>
      <c r="N2276" s="2" t="s">
        <v>19</v>
      </c>
      <c r="O2276" s="2" t="s">
        <v>12</v>
      </c>
      <c r="P2276" s="2" t="s">
        <v>55</v>
      </c>
      <c r="Q2276" s="2" t="s">
        <v>46</v>
      </c>
      <c r="R2276" s="2" t="s">
        <v>18</v>
      </c>
      <c r="S2276">
        <v>5</v>
      </c>
    </row>
    <row r="2277" spans="1:19" x14ac:dyDescent="0.3">
      <c r="A2277">
        <v>3752</v>
      </c>
      <c r="B2277">
        <f>YEAR(Cleaned_HR_Data_Analysis__2[[#This Row],[Joining_Date]])</f>
        <v>2022</v>
      </c>
      <c r="C2277" s="1">
        <v>44748</v>
      </c>
      <c r="D2277" s="1" t="str" cm="1">
        <f t="array" ref="D2277">_xlfn.IFS(E2277&lt;28, "17-27",
AND(E2277&gt;27, E2277&lt;38), "28-37",
AND(E2277&gt;37, E2277 &lt;48), "38-47",
AND(E2277&gt;47, E2277 &lt;58), "48-57",
AND(E2277&gt;57, E2277&lt;68), "58-67",
AND(E2277&gt;67, E2277&lt;78), "68-77",
E2277&gt;77,"Above than 77")</f>
        <v>68-77</v>
      </c>
      <c r="E2277">
        <v>68</v>
      </c>
      <c r="F2277" s="1">
        <v>20009</v>
      </c>
      <c r="G2277" s="1" t="str">
        <f>VLOOKUP(H2277,Table7[#All], 2, FALSE)</f>
        <v>Massachusetts</v>
      </c>
      <c r="H2277" s="2" t="s">
        <v>14</v>
      </c>
      <c r="I2277" s="2" t="s">
        <v>22</v>
      </c>
      <c r="J2277" s="2" t="s">
        <v>40</v>
      </c>
      <c r="K2277" s="2" t="s">
        <v>8</v>
      </c>
      <c r="L2277" s="2" t="s">
        <v>9</v>
      </c>
      <c r="M2277" s="2" t="s">
        <v>25</v>
      </c>
      <c r="N2277" s="2" t="s">
        <v>19</v>
      </c>
      <c r="O2277" s="2" t="s">
        <v>12</v>
      </c>
      <c r="P2277" s="2" t="s">
        <v>42</v>
      </c>
      <c r="Q2277" s="2" t="s">
        <v>16</v>
      </c>
      <c r="R2277" s="2" t="s">
        <v>18</v>
      </c>
      <c r="S2277">
        <v>1</v>
      </c>
    </row>
    <row r="2278" spans="1:19" x14ac:dyDescent="0.3">
      <c r="A2278">
        <v>3595</v>
      </c>
      <c r="B2278">
        <f>YEAR(Cleaned_HR_Data_Analysis__2[[#This Row],[Joining_Date]])</f>
        <v>2020</v>
      </c>
      <c r="C2278" s="1">
        <v>44096</v>
      </c>
      <c r="D2278" s="1" t="str" cm="1">
        <f t="array" ref="D2278">_xlfn.IFS(E2278&lt;28, "17-27",
AND(E2278&gt;27, E2278&lt;38), "28-37",
AND(E2278&gt;37, E2278 &lt;48), "38-47",
AND(E2278&gt;47, E2278 &lt;58), "48-57",
AND(E2278&gt;57, E2278&lt;68), "58-67",
AND(E2278&gt;67, E2278&lt;78), "68-77",
E2278&gt;77,"Above than 77")</f>
        <v>68-77</v>
      </c>
      <c r="E2278">
        <v>68</v>
      </c>
      <c r="F2278" s="1">
        <v>19055</v>
      </c>
      <c r="G2278" s="1" t="str">
        <f>VLOOKUP(H2278,Table7[#All], 2, FALSE)</f>
        <v>Massachusetts</v>
      </c>
      <c r="H2278" s="2" t="s">
        <v>14</v>
      </c>
      <c r="I2278" s="2" t="s">
        <v>22</v>
      </c>
      <c r="J2278" s="2" t="s">
        <v>40</v>
      </c>
      <c r="K2278" s="2" t="s">
        <v>8</v>
      </c>
      <c r="L2278" s="2" t="s">
        <v>9</v>
      </c>
      <c r="M2278" s="2" t="s">
        <v>10</v>
      </c>
      <c r="N2278" s="2" t="s">
        <v>19</v>
      </c>
      <c r="O2278" s="2" t="s">
        <v>12</v>
      </c>
      <c r="P2278" s="2" t="s">
        <v>42</v>
      </c>
      <c r="Q2278" s="2" t="s">
        <v>30</v>
      </c>
      <c r="R2278" s="2" t="s">
        <v>18</v>
      </c>
      <c r="S2278">
        <v>3</v>
      </c>
    </row>
    <row r="2279" spans="1:19" x14ac:dyDescent="0.3">
      <c r="A2279">
        <v>3589</v>
      </c>
      <c r="B2279">
        <f>YEAR(Cleaned_HR_Data_Analysis__2[[#This Row],[Joining_Date]])</f>
        <v>2019</v>
      </c>
      <c r="C2279" s="1">
        <v>43580</v>
      </c>
      <c r="D2279" s="1" t="str" cm="1">
        <f t="array" ref="D2279">_xlfn.IFS(E2279&lt;28, "17-27",
AND(E2279&gt;27, E2279&lt;38), "28-37",
AND(E2279&gt;37, E2279 &lt;48), "38-47",
AND(E2279&gt;47, E2279 &lt;58), "48-57",
AND(E2279&gt;57, E2279&lt;68), "58-67",
AND(E2279&gt;67, E2279&lt;78), "68-77",
E2279&gt;77,"Above than 77")</f>
        <v>68-77</v>
      </c>
      <c r="E2279">
        <v>68</v>
      </c>
      <c r="F2279" s="1">
        <v>18842</v>
      </c>
      <c r="G2279" s="1" t="str">
        <f>VLOOKUP(H2279,Table7[#All], 2, FALSE)</f>
        <v>Massachusetts</v>
      </c>
      <c r="H2279" s="2" t="s">
        <v>14</v>
      </c>
      <c r="I2279" s="2" t="s">
        <v>22</v>
      </c>
      <c r="J2279" s="2" t="s">
        <v>31</v>
      </c>
      <c r="K2279" s="2" t="s">
        <v>8</v>
      </c>
      <c r="L2279" s="2" t="s">
        <v>9</v>
      </c>
      <c r="M2279" s="2" t="s">
        <v>10</v>
      </c>
      <c r="N2279" s="2" t="s">
        <v>26</v>
      </c>
      <c r="O2279" s="2" t="s">
        <v>12</v>
      </c>
      <c r="P2279" s="2" t="s">
        <v>35</v>
      </c>
      <c r="Q2279" s="2" t="s">
        <v>16</v>
      </c>
      <c r="R2279" s="2" t="s">
        <v>18</v>
      </c>
      <c r="S2279">
        <v>3</v>
      </c>
    </row>
    <row r="2280" spans="1:19" x14ac:dyDescent="0.3">
      <c r="A2280">
        <v>3560</v>
      </c>
      <c r="B2280">
        <f>YEAR(Cleaned_HR_Data_Analysis__2[[#This Row],[Joining_Date]])</f>
        <v>2022</v>
      </c>
      <c r="C2280" s="1">
        <v>44713</v>
      </c>
      <c r="D2280" s="1" t="str" cm="1">
        <f t="array" ref="D2280">_xlfn.IFS(E2280&lt;28, "17-27",
AND(E2280&gt;27, E2280&lt;38), "28-37",
AND(E2280&gt;37, E2280 &lt;48), "38-47",
AND(E2280&gt;47, E2280 &lt;58), "48-57",
AND(E2280&gt;57, E2280&lt;68), "58-67",
AND(E2280&gt;67, E2280&lt;78), "68-77",
E2280&gt;77,"Above than 77")</f>
        <v>68-77</v>
      </c>
      <c r="E2280">
        <v>68</v>
      </c>
      <c r="F2280" s="1">
        <v>19773</v>
      </c>
      <c r="G2280" s="1" t="str">
        <f>VLOOKUP(H2280,Table7[#All], 2, FALSE)</f>
        <v>Massachusetts</v>
      </c>
      <c r="H2280" s="2" t="s">
        <v>14</v>
      </c>
      <c r="I2280" s="2" t="s">
        <v>15</v>
      </c>
      <c r="J2280" s="2" t="s">
        <v>40</v>
      </c>
      <c r="K2280" s="2" t="s">
        <v>8</v>
      </c>
      <c r="L2280" s="2" t="s">
        <v>9</v>
      </c>
      <c r="M2280" s="2" t="s">
        <v>10</v>
      </c>
      <c r="N2280" s="2" t="s">
        <v>11</v>
      </c>
      <c r="O2280" s="2" t="s">
        <v>12</v>
      </c>
      <c r="P2280" s="2" t="s">
        <v>35</v>
      </c>
      <c r="Q2280" s="2" t="s">
        <v>46</v>
      </c>
      <c r="R2280" s="2" t="s">
        <v>41</v>
      </c>
      <c r="S2280">
        <v>4</v>
      </c>
    </row>
    <row r="2281" spans="1:19" x14ac:dyDescent="0.3">
      <c r="A2281">
        <v>3381</v>
      </c>
      <c r="B2281">
        <f>YEAR(Cleaned_HR_Data_Analysis__2[[#This Row],[Joining_Date]])</f>
        <v>2022</v>
      </c>
      <c r="C2281" s="1">
        <v>44915</v>
      </c>
      <c r="D2281" s="1" t="str" cm="1">
        <f t="array" ref="D2281">_xlfn.IFS(E2281&lt;28, "17-27",
AND(E2281&gt;27, E2281&lt;38), "28-37",
AND(E2281&gt;37, E2281 &lt;48), "38-47",
AND(E2281&gt;47, E2281 &lt;58), "48-57",
AND(E2281&gt;57, E2281&lt;68), "58-67",
AND(E2281&gt;67, E2281&lt;78), "68-77",
E2281&gt;77,"Above than 77")</f>
        <v>68-77</v>
      </c>
      <c r="E2281">
        <v>68</v>
      </c>
      <c r="F2281" s="1">
        <v>20057</v>
      </c>
      <c r="G2281" s="1" t="str">
        <f>VLOOKUP(H2281,Table7[#All], 2, FALSE)</f>
        <v>Massachusetts</v>
      </c>
      <c r="H2281" s="2" t="s">
        <v>14</v>
      </c>
      <c r="I2281" s="2" t="s">
        <v>22</v>
      </c>
      <c r="J2281" s="2" t="s">
        <v>31</v>
      </c>
      <c r="K2281" s="2" t="s">
        <v>8</v>
      </c>
      <c r="L2281" s="2" t="s">
        <v>9</v>
      </c>
      <c r="M2281" s="2" t="s">
        <v>10</v>
      </c>
      <c r="N2281" s="2" t="s">
        <v>11</v>
      </c>
      <c r="O2281" s="2" t="s">
        <v>12</v>
      </c>
      <c r="P2281" s="2" t="s">
        <v>35</v>
      </c>
      <c r="Q2281" s="2" t="s">
        <v>16</v>
      </c>
      <c r="R2281" s="2" t="s">
        <v>41</v>
      </c>
      <c r="S2281">
        <v>5</v>
      </c>
    </row>
    <row r="2282" spans="1:19" x14ac:dyDescent="0.3">
      <c r="A2282">
        <v>3169</v>
      </c>
      <c r="B2282">
        <f>YEAR(Cleaned_HR_Data_Analysis__2[[#This Row],[Joining_Date]])</f>
        <v>2019</v>
      </c>
      <c r="C2282" s="1">
        <v>43624</v>
      </c>
      <c r="D2282" s="1" t="str" cm="1">
        <f t="array" ref="D2282">_xlfn.IFS(E2282&lt;28, "17-27",
AND(E2282&gt;27, E2282&lt;38), "28-37",
AND(E2282&gt;37, E2282 &lt;48), "38-47",
AND(E2282&gt;47, E2282 &lt;58), "48-57",
AND(E2282&gt;57, E2282&lt;68), "58-67",
AND(E2282&gt;67, E2282&lt;78), "68-77",
E2282&gt;77,"Above than 77")</f>
        <v>68-77</v>
      </c>
      <c r="E2282">
        <v>68</v>
      </c>
      <c r="F2282" s="1">
        <v>18721</v>
      </c>
      <c r="G2282" s="1" t="str">
        <f>VLOOKUP(H2282,Table7[#All], 2, FALSE)</f>
        <v>Massachusetts</v>
      </c>
      <c r="H2282" s="2" t="s">
        <v>14</v>
      </c>
      <c r="I2282" s="2" t="s">
        <v>15</v>
      </c>
      <c r="J2282" s="2" t="s">
        <v>31</v>
      </c>
      <c r="K2282" s="2" t="s">
        <v>8</v>
      </c>
      <c r="L2282" s="2" t="s">
        <v>9</v>
      </c>
      <c r="M2282" s="2" t="s">
        <v>20</v>
      </c>
      <c r="N2282" s="2" t="s">
        <v>26</v>
      </c>
      <c r="O2282" s="2" t="s">
        <v>12</v>
      </c>
      <c r="P2282" s="2" t="s">
        <v>21</v>
      </c>
      <c r="Q2282" s="2" t="s">
        <v>30</v>
      </c>
      <c r="R2282" s="2" t="s">
        <v>41</v>
      </c>
      <c r="S2282">
        <v>2</v>
      </c>
    </row>
    <row r="2283" spans="1:19" x14ac:dyDescent="0.3">
      <c r="A2283">
        <v>2973</v>
      </c>
      <c r="B2283">
        <f>YEAR(Cleaned_HR_Data_Analysis__2[[#This Row],[Joining_Date]])</f>
        <v>2019</v>
      </c>
      <c r="C2283" s="1">
        <v>43800</v>
      </c>
      <c r="D2283" s="1" t="str" cm="1">
        <f t="array" ref="D2283">_xlfn.IFS(E2283&lt;28, "17-27",
AND(E2283&gt;27, E2283&lt;38), "28-37",
AND(E2283&gt;37, E2283 &lt;48), "38-47",
AND(E2283&gt;47, E2283 &lt;58), "48-57",
AND(E2283&gt;57, E2283&lt;68), "58-67",
AND(E2283&gt;67, E2283&lt;78), "68-77",
E2283&gt;77,"Above than 77")</f>
        <v>68-77</v>
      </c>
      <c r="E2283">
        <v>68</v>
      </c>
      <c r="F2283" s="1">
        <v>18793</v>
      </c>
      <c r="G2283" s="1" t="str">
        <f>VLOOKUP(H2283,Table7[#All], 2, FALSE)</f>
        <v>Massachusetts</v>
      </c>
      <c r="H2283" s="2" t="s">
        <v>14</v>
      </c>
      <c r="I2283" s="2" t="s">
        <v>15</v>
      </c>
      <c r="J2283" s="2" t="s">
        <v>34</v>
      </c>
      <c r="K2283" s="2" t="s">
        <v>8</v>
      </c>
      <c r="L2283" s="2" t="s">
        <v>9</v>
      </c>
      <c r="M2283" s="2" t="s">
        <v>20</v>
      </c>
      <c r="N2283" s="2" t="s">
        <v>11</v>
      </c>
      <c r="O2283" s="2" t="s">
        <v>12</v>
      </c>
      <c r="P2283" s="2" t="s">
        <v>32</v>
      </c>
      <c r="Q2283" s="2" t="s">
        <v>30</v>
      </c>
      <c r="R2283" s="2" t="s">
        <v>18</v>
      </c>
      <c r="S2283">
        <v>3</v>
      </c>
    </row>
    <row r="2284" spans="1:19" x14ac:dyDescent="0.3">
      <c r="A2284">
        <v>2937</v>
      </c>
      <c r="B2284">
        <f>YEAR(Cleaned_HR_Data_Analysis__2[[#This Row],[Joining_Date]])</f>
        <v>2020</v>
      </c>
      <c r="C2284" s="1">
        <v>44044</v>
      </c>
      <c r="D2284" s="1" t="str" cm="1">
        <f t="array" ref="D2284">_xlfn.IFS(E2284&lt;28, "17-27",
AND(E2284&gt;27, E2284&lt;38), "28-37",
AND(E2284&gt;37, E2284 &lt;48), "38-47",
AND(E2284&gt;47, E2284 &lt;58), "48-57",
AND(E2284&gt;57, E2284&lt;68), "58-67",
AND(E2284&gt;67, E2284&lt;78), "68-77",
E2284&gt;77,"Above than 77")</f>
        <v>68-77</v>
      </c>
      <c r="E2284">
        <v>68</v>
      </c>
      <c r="F2284" s="1">
        <v>19198</v>
      </c>
      <c r="G2284" s="1" t="str">
        <f>VLOOKUP(H2284,Table7[#All], 2, FALSE)</f>
        <v>Massachusetts</v>
      </c>
      <c r="H2284" s="2" t="s">
        <v>14</v>
      </c>
      <c r="I2284" s="2" t="s">
        <v>22</v>
      </c>
      <c r="J2284" s="2" t="s">
        <v>34</v>
      </c>
      <c r="K2284" s="2" t="s">
        <v>8</v>
      </c>
      <c r="L2284" s="2" t="s">
        <v>9</v>
      </c>
      <c r="M2284" s="2" t="s">
        <v>10</v>
      </c>
      <c r="N2284" s="2" t="s">
        <v>19</v>
      </c>
      <c r="O2284" s="2" t="s">
        <v>12</v>
      </c>
      <c r="P2284" s="2" t="s">
        <v>63</v>
      </c>
      <c r="Q2284" s="2" t="s">
        <v>37</v>
      </c>
      <c r="R2284" s="2" t="s">
        <v>56</v>
      </c>
      <c r="S2284">
        <v>4</v>
      </c>
    </row>
    <row r="2285" spans="1:19" x14ac:dyDescent="0.3">
      <c r="A2285">
        <v>2769</v>
      </c>
      <c r="B2285">
        <f>YEAR(Cleaned_HR_Data_Analysis__2[[#This Row],[Joining_Date]])</f>
        <v>2018</v>
      </c>
      <c r="C2285" s="1">
        <v>43412</v>
      </c>
      <c r="D2285" s="1" t="str" cm="1">
        <f t="array" ref="D2285">_xlfn.IFS(E2285&lt;28, "17-27",
AND(E2285&gt;27, E2285&lt;38), "28-37",
AND(E2285&gt;37, E2285 &lt;48), "38-47",
AND(E2285&gt;47, E2285 &lt;58), "48-57",
AND(E2285&gt;57, E2285&lt;68), "58-67",
AND(E2285&gt;67, E2285&lt;78), "68-77",
E2285&gt;77,"Above than 77")</f>
        <v>68-77</v>
      </c>
      <c r="E2285">
        <v>68</v>
      </c>
      <c r="F2285" s="1">
        <v>18506</v>
      </c>
      <c r="G2285" s="1" t="str">
        <f>VLOOKUP(H2285,Table7[#All], 2, FALSE)</f>
        <v>Massachusetts</v>
      </c>
      <c r="H2285" s="2" t="s">
        <v>14</v>
      </c>
      <c r="I2285" s="2" t="s">
        <v>22</v>
      </c>
      <c r="J2285" s="2" t="s">
        <v>17</v>
      </c>
      <c r="K2285" s="2" t="s">
        <v>8</v>
      </c>
      <c r="L2285" s="2" t="s">
        <v>9</v>
      </c>
      <c r="M2285" s="2" t="s">
        <v>10</v>
      </c>
      <c r="N2285" s="2" t="s">
        <v>19</v>
      </c>
      <c r="O2285" s="2" t="s">
        <v>12</v>
      </c>
      <c r="P2285" s="2" t="s">
        <v>21</v>
      </c>
      <c r="Q2285" s="2" t="s">
        <v>30</v>
      </c>
      <c r="R2285" s="2" t="s">
        <v>18</v>
      </c>
      <c r="S2285">
        <v>1</v>
      </c>
    </row>
    <row r="2286" spans="1:19" x14ac:dyDescent="0.3">
      <c r="A2286">
        <v>2207</v>
      </c>
      <c r="B2286">
        <f>YEAR(Cleaned_HR_Data_Analysis__2[[#This Row],[Joining_Date]])</f>
        <v>2021</v>
      </c>
      <c r="C2286" s="1">
        <v>44223</v>
      </c>
      <c r="D2286" s="1" t="str" cm="1">
        <f t="array" ref="D2286">_xlfn.IFS(E2286&lt;28, "17-27",
AND(E2286&gt;27, E2286&lt;38), "28-37",
AND(E2286&gt;37, E2286 &lt;48), "38-47",
AND(E2286&gt;47, E2286 &lt;58), "48-57",
AND(E2286&gt;57, E2286&lt;68), "58-67",
AND(E2286&gt;67, E2286&lt;78), "68-77",
E2286&gt;77,"Above than 77")</f>
        <v>68-77</v>
      </c>
      <c r="E2286">
        <v>68</v>
      </c>
      <c r="F2286" s="1">
        <v>19516</v>
      </c>
      <c r="G2286" s="1" t="str">
        <f>VLOOKUP(H2286,Table7[#All], 2, FALSE)</f>
        <v>Massachusetts</v>
      </c>
      <c r="H2286" s="2" t="s">
        <v>14</v>
      </c>
      <c r="I2286" s="2" t="s">
        <v>15</v>
      </c>
      <c r="J2286" s="2" t="s">
        <v>40</v>
      </c>
      <c r="K2286" s="2" t="s">
        <v>8</v>
      </c>
      <c r="L2286" s="2" t="s">
        <v>9</v>
      </c>
      <c r="M2286" s="2" t="s">
        <v>25</v>
      </c>
      <c r="N2286" s="2" t="s">
        <v>11</v>
      </c>
      <c r="O2286" s="2" t="s">
        <v>12</v>
      </c>
      <c r="P2286" s="2" t="s">
        <v>35</v>
      </c>
      <c r="Q2286" s="2" t="s">
        <v>37</v>
      </c>
      <c r="R2286" s="2" t="s">
        <v>56</v>
      </c>
      <c r="S2286">
        <v>3</v>
      </c>
    </row>
    <row r="2287" spans="1:19" x14ac:dyDescent="0.3">
      <c r="A2287">
        <v>2200</v>
      </c>
      <c r="B2287">
        <f>YEAR(Cleaned_HR_Data_Analysis__2[[#This Row],[Joining_Date]])</f>
        <v>2022</v>
      </c>
      <c r="C2287" s="1">
        <v>44761</v>
      </c>
      <c r="D2287" s="1" t="str" cm="1">
        <f t="array" ref="D2287">_xlfn.IFS(E2287&lt;28, "17-27",
AND(E2287&gt;27, E2287&lt;38), "28-37",
AND(E2287&gt;37, E2287 &lt;48), "38-47",
AND(E2287&gt;47, E2287 &lt;58), "48-57",
AND(E2287&gt;57, E2287&lt;68), "58-67",
AND(E2287&gt;67, E2287&lt;78), "68-77",
E2287&gt;77,"Above than 77")</f>
        <v>68-77</v>
      </c>
      <c r="E2287">
        <v>68</v>
      </c>
      <c r="F2287" s="1">
        <v>19798</v>
      </c>
      <c r="G2287" s="1" t="str">
        <f>VLOOKUP(H2287,Table7[#All], 2, FALSE)</f>
        <v>Massachusetts</v>
      </c>
      <c r="H2287" s="2" t="s">
        <v>14</v>
      </c>
      <c r="I2287" s="2" t="s">
        <v>15</v>
      </c>
      <c r="J2287" s="2" t="s">
        <v>31</v>
      </c>
      <c r="K2287" s="2" t="s">
        <v>8</v>
      </c>
      <c r="L2287" s="2" t="s">
        <v>9</v>
      </c>
      <c r="M2287" s="2" t="s">
        <v>10</v>
      </c>
      <c r="N2287" s="2" t="s">
        <v>19</v>
      </c>
      <c r="O2287" s="2" t="s">
        <v>12</v>
      </c>
      <c r="P2287" s="2" t="s">
        <v>35</v>
      </c>
      <c r="Q2287" s="2" t="s">
        <v>46</v>
      </c>
      <c r="R2287" s="2" t="s">
        <v>41</v>
      </c>
      <c r="S2287">
        <v>1</v>
      </c>
    </row>
    <row r="2288" spans="1:19" x14ac:dyDescent="0.3">
      <c r="A2288">
        <v>2128</v>
      </c>
      <c r="B2288">
        <f>YEAR(Cleaned_HR_Data_Analysis__2[[#This Row],[Joining_Date]])</f>
        <v>2023</v>
      </c>
      <c r="C2288" s="1">
        <v>45012</v>
      </c>
      <c r="D2288" s="1" t="str" cm="1">
        <f t="array" ref="D2288">_xlfn.IFS(E2288&lt;28, "17-27",
AND(E2288&gt;27, E2288&lt;38), "28-37",
AND(E2288&gt;37, E2288 &lt;48), "38-47",
AND(E2288&gt;47, E2288 &lt;58), "48-57",
AND(E2288&gt;57, E2288&lt;68), "58-67",
AND(E2288&gt;67, E2288&lt;78), "68-77",
E2288&gt;77,"Above than 77")</f>
        <v>68-77</v>
      </c>
      <c r="E2288">
        <v>68</v>
      </c>
      <c r="F2288" s="1">
        <v>20364</v>
      </c>
      <c r="G2288" s="1" t="str">
        <f>VLOOKUP(H2288,Table7[#All], 2, FALSE)</f>
        <v>Massachusetts</v>
      </c>
      <c r="H2288" s="2" t="s">
        <v>14</v>
      </c>
      <c r="I2288" s="2" t="s">
        <v>15</v>
      </c>
      <c r="J2288" s="2" t="s">
        <v>17</v>
      </c>
      <c r="K2288" s="2" t="s">
        <v>8</v>
      </c>
      <c r="L2288" s="2" t="s">
        <v>9</v>
      </c>
      <c r="M2288" s="2" t="s">
        <v>25</v>
      </c>
      <c r="N2288" s="2" t="s">
        <v>19</v>
      </c>
      <c r="O2288" s="2" t="s">
        <v>12</v>
      </c>
      <c r="P2288" s="2" t="s">
        <v>35</v>
      </c>
      <c r="Q2288" s="2" t="s">
        <v>37</v>
      </c>
      <c r="R2288" s="2" t="s">
        <v>56</v>
      </c>
      <c r="S2288">
        <v>3</v>
      </c>
    </row>
    <row r="2289" spans="1:19" x14ac:dyDescent="0.3">
      <c r="A2289">
        <v>2062</v>
      </c>
      <c r="B2289">
        <f>YEAR(Cleaned_HR_Data_Analysis__2[[#This Row],[Joining_Date]])</f>
        <v>2018</v>
      </c>
      <c r="C2289" s="1">
        <v>43398</v>
      </c>
      <c r="D2289" s="1" t="str" cm="1">
        <f t="array" ref="D2289">_xlfn.IFS(E2289&lt;28, "17-27",
AND(E2289&gt;27, E2289&lt;38), "28-37",
AND(E2289&gt;37, E2289 &lt;48), "38-47",
AND(E2289&gt;47, E2289 &lt;58), "48-57",
AND(E2289&gt;57, E2289&lt;68), "58-67",
AND(E2289&gt;67, E2289&lt;78), "68-77",
E2289&gt;77,"Above than 77")</f>
        <v>68-77</v>
      </c>
      <c r="E2289">
        <v>68</v>
      </c>
      <c r="F2289" s="1">
        <v>18462</v>
      </c>
      <c r="G2289" s="1" t="str">
        <f>VLOOKUP(H2289,Table7[#All], 2, FALSE)</f>
        <v>Massachusetts</v>
      </c>
      <c r="H2289" s="2" t="s">
        <v>14</v>
      </c>
      <c r="I2289" s="2" t="s">
        <v>15</v>
      </c>
      <c r="J2289" s="2" t="s">
        <v>31</v>
      </c>
      <c r="K2289" s="2" t="s">
        <v>8</v>
      </c>
      <c r="L2289" s="2" t="s">
        <v>9</v>
      </c>
      <c r="M2289" s="2" t="s">
        <v>10</v>
      </c>
      <c r="N2289" s="2" t="s">
        <v>11</v>
      </c>
      <c r="O2289" s="2" t="s">
        <v>12</v>
      </c>
      <c r="P2289" s="2" t="s">
        <v>54</v>
      </c>
      <c r="Q2289" s="2" t="s">
        <v>23</v>
      </c>
      <c r="R2289" s="2" t="s">
        <v>18</v>
      </c>
      <c r="S2289">
        <v>1</v>
      </c>
    </row>
    <row r="2290" spans="1:19" x14ac:dyDescent="0.3">
      <c r="A2290">
        <v>1902</v>
      </c>
      <c r="B2290">
        <f>YEAR(Cleaned_HR_Data_Analysis__2[[#This Row],[Joining_Date]])</f>
        <v>2020</v>
      </c>
      <c r="C2290" s="1">
        <v>44082</v>
      </c>
      <c r="D2290" s="1" t="str" cm="1">
        <f t="array" ref="D2290">_xlfn.IFS(E2290&lt;28, "17-27",
AND(E2290&gt;27, E2290&lt;38), "28-37",
AND(E2290&gt;37, E2290 &lt;48), "38-47",
AND(E2290&gt;47, E2290 &lt;58), "48-57",
AND(E2290&gt;57, E2290&lt;68), "58-67",
AND(E2290&gt;67, E2290&lt;78), "68-77",
E2290&gt;77,"Above than 77")</f>
        <v>68-77</v>
      </c>
      <c r="E2290">
        <v>68</v>
      </c>
      <c r="F2290" s="1">
        <v>19035</v>
      </c>
      <c r="G2290" s="1" t="str">
        <f>VLOOKUP(H2290,Table7[#All], 2, FALSE)</f>
        <v>Massachusetts</v>
      </c>
      <c r="H2290" s="2" t="s">
        <v>14</v>
      </c>
      <c r="I2290" s="2" t="s">
        <v>22</v>
      </c>
      <c r="J2290" s="2" t="s">
        <v>40</v>
      </c>
      <c r="K2290" s="2" t="s">
        <v>8</v>
      </c>
      <c r="L2290" s="2" t="s">
        <v>9</v>
      </c>
      <c r="M2290" s="2" t="s">
        <v>25</v>
      </c>
      <c r="N2290" s="2" t="s">
        <v>19</v>
      </c>
      <c r="O2290" s="2" t="s">
        <v>12</v>
      </c>
      <c r="P2290" s="2" t="s">
        <v>42</v>
      </c>
      <c r="Q2290" s="2" t="s">
        <v>30</v>
      </c>
      <c r="R2290" s="2" t="s">
        <v>18</v>
      </c>
      <c r="S2290">
        <v>5</v>
      </c>
    </row>
    <row r="2291" spans="1:19" x14ac:dyDescent="0.3">
      <c r="A2291">
        <v>1546</v>
      </c>
      <c r="B2291">
        <f>YEAR(Cleaned_HR_Data_Analysis__2[[#This Row],[Joining_Date]])</f>
        <v>2020</v>
      </c>
      <c r="C2291" s="1">
        <v>43851</v>
      </c>
      <c r="D2291" s="1" t="str" cm="1">
        <f t="array" ref="D2291">_xlfn.IFS(E2291&lt;28, "17-27",
AND(E2291&gt;27, E2291&lt;38), "28-37",
AND(E2291&gt;37, E2291 &lt;48), "38-47",
AND(E2291&gt;47, E2291 &lt;58), "48-57",
AND(E2291&gt;57, E2291&lt;68), "58-67",
AND(E2291&gt;67, E2291&lt;78), "68-77",
E2291&gt;77,"Above than 77")</f>
        <v>68-77</v>
      </c>
      <c r="E2291">
        <v>68</v>
      </c>
      <c r="F2291" s="1">
        <v>19219</v>
      </c>
      <c r="G2291" s="1" t="str">
        <f>VLOOKUP(H2291,Table7[#All], 2, FALSE)</f>
        <v>Massachusetts</v>
      </c>
      <c r="H2291" s="2" t="s">
        <v>14</v>
      </c>
      <c r="I2291" s="2" t="s">
        <v>15</v>
      </c>
      <c r="J2291" s="2" t="s">
        <v>17</v>
      </c>
      <c r="K2291" s="2" t="s">
        <v>8</v>
      </c>
      <c r="L2291" s="2" t="s">
        <v>9</v>
      </c>
      <c r="M2291" s="2" t="s">
        <v>20</v>
      </c>
      <c r="N2291" s="2" t="s">
        <v>26</v>
      </c>
      <c r="O2291" s="2" t="s">
        <v>12</v>
      </c>
      <c r="P2291" s="2" t="s">
        <v>49</v>
      </c>
      <c r="Q2291" s="2" t="s">
        <v>23</v>
      </c>
      <c r="R2291" s="2" t="s">
        <v>18</v>
      </c>
      <c r="S2291">
        <v>1</v>
      </c>
    </row>
    <row r="2292" spans="1:19" x14ac:dyDescent="0.3">
      <c r="A2292">
        <v>1478</v>
      </c>
      <c r="B2292">
        <f>YEAR(Cleaned_HR_Data_Analysis__2[[#This Row],[Joining_Date]])</f>
        <v>2021</v>
      </c>
      <c r="C2292" s="1">
        <v>44242</v>
      </c>
      <c r="D2292" s="1" t="str" cm="1">
        <f t="array" ref="D2292">_xlfn.IFS(E2292&lt;28, "17-27",
AND(E2292&gt;27, E2292&lt;38), "28-37",
AND(E2292&gt;37, E2292 &lt;48), "38-47",
AND(E2292&gt;47, E2292 &lt;58), "48-57",
AND(E2292&gt;57, E2292&lt;68), "58-67",
AND(E2292&gt;67, E2292&lt;78), "68-77",
E2292&gt;77,"Above than 77")</f>
        <v>68-77</v>
      </c>
      <c r="E2292">
        <v>68</v>
      </c>
      <c r="F2292" s="1">
        <v>19623</v>
      </c>
      <c r="G2292" s="1" t="str">
        <f>VLOOKUP(H2292,Table7[#All], 2, FALSE)</f>
        <v>Massachusetts</v>
      </c>
      <c r="H2292" s="2" t="s">
        <v>14</v>
      </c>
      <c r="I2292" s="2" t="s">
        <v>15</v>
      </c>
      <c r="J2292" s="2" t="s">
        <v>40</v>
      </c>
      <c r="K2292" s="2" t="s">
        <v>8</v>
      </c>
      <c r="L2292" s="2" t="s">
        <v>9</v>
      </c>
      <c r="M2292" s="2" t="s">
        <v>20</v>
      </c>
      <c r="N2292" s="2" t="s">
        <v>26</v>
      </c>
      <c r="O2292" s="2" t="s">
        <v>12</v>
      </c>
      <c r="P2292" s="2" t="s">
        <v>35</v>
      </c>
      <c r="Q2292" s="2" t="s">
        <v>30</v>
      </c>
      <c r="R2292" s="2" t="s">
        <v>41</v>
      </c>
      <c r="S2292">
        <v>1</v>
      </c>
    </row>
    <row r="2293" spans="1:19" x14ac:dyDescent="0.3">
      <c r="A2293">
        <v>1244</v>
      </c>
      <c r="B2293">
        <f>YEAR(Cleaned_HR_Data_Analysis__2[[#This Row],[Joining_Date]])</f>
        <v>2022</v>
      </c>
      <c r="C2293" s="1">
        <v>44704</v>
      </c>
      <c r="D2293" s="1" t="str" cm="1">
        <f t="array" ref="D2293">_xlfn.IFS(E2293&lt;28, "17-27",
AND(E2293&gt;27, E2293&lt;38), "28-37",
AND(E2293&gt;37, E2293 &lt;48), "38-47",
AND(E2293&gt;47, E2293 &lt;58), "48-57",
AND(E2293&gt;57, E2293&lt;68), "58-67",
AND(E2293&gt;67, E2293&lt;78), "68-77",
E2293&gt;77,"Above than 77")</f>
        <v>68-77</v>
      </c>
      <c r="E2293">
        <v>68</v>
      </c>
      <c r="F2293" s="1">
        <v>19766</v>
      </c>
      <c r="G2293" s="1" t="str">
        <f>VLOOKUP(H2293,Table7[#All], 2, FALSE)</f>
        <v>Massachusetts</v>
      </c>
      <c r="H2293" s="2" t="s">
        <v>14</v>
      </c>
      <c r="I2293" s="2" t="s">
        <v>22</v>
      </c>
      <c r="J2293" s="2" t="s">
        <v>34</v>
      </c>
      <c r="K2293" s="2" t="s">
        <v>8</v>
      </c>
      <c r="L2293" s="2" t="s">
        <v>9</v>
      </c>
      <c r="M2293" s="2" t="s">
        <v>20</v>
      </c>
      <c r="N2293" s="2" t="s">
        <v>19</v>
      </c>
      <c r="O2293" s="2" t="s">
        <v>12</v>
      </c>
      <c r="P2293" s="2" t="s">
        <v>92</v>
      </c>
      <c r="Q2293" s="2" t="s">
        <v>46</v>
      </c>
      <c r="R2293" s="2" t="s">
        <v>18</v>
      </c>
      <c r="S2293">
        <v>3</v>
      </c>
    </row>
    <row r="2294" spans="1:19" x14ac:dyDescent="0.3">
      <c r="A2294">
        <v>1229</v>
      </c>
      <c r="B2294">
        <f>YEAR(Cleaned_HR_Data_Analysis__2[[#This Row],[Joining_Date]])</f>
        <v>2020</v>
      </c>
      <c r="C2294" s="1">
        <v>43857</v>
      </c>
      <c r="D2294" s="1" t="str" cm="1">
        <f t="array" ref="D2294">_xlfn.IFS(E2294&lt;28, "17-27",
AND(E2294&gt;27, E2294&lt;38), "28-37",
AND(E2294&gt;37, E2294 &lt;48), "38-47",
AND(E2294&gt;47, E2294 &lt;58), "48-57",
AND(E2294&gt;57, E2294&lt;68), "58-67",
AND(E2294&gt;67, E2294&lt;78), "68-77",
E2294&gt;77,"Above than 77")</f>
        <v>68-77</v>
      </c>
      <c r="E2294">
        <v>68</v>
      </c>
      <c r="F2294" s="1">
        <v>19359</v>
      </c>
      <c r="G2294" s="1" t="str">
        <f>VLOOKUP(H2294,Table7[#All], 2, FALSE)</f>
        <v>Massachusetts</v>
      </c>
      <c r="H2294" s="2" t="s">
        <v>14</v>
      </c>
      <c r="I2294" s="2" t="s">
        <v>15</v>
      </c>
      <c r="J2294" s="2" t="s">
        <v>31</v>
      </c>
      <c r="K2294" s="2" t="s">
        <v>8</v>
      </c>
      <c r="L2294" s="2" t="s">
        <v>9</v>
      </c>
      <c r="M2294" s="2" t="s">
        <v>20</v>
      </c>
      <c r="N2294" s="2" t="s">
        <v>26</v>
      </c>
      <c r="O2294" s="2" t="s">
        <v>12</v>
      </c>
      <c r="P2294" s="2" t="s">
        <v>35</v>
      </c>
      <c r="Q2294" s="2" t="s">
        <v>37</v>
      </c>
      <c r="R2294" s="2" t="s">
        <v>18</v>
      </c>
      <c r="S2294">
        <v>2</v>
      </c>
    </row>
    <row r="2295" spans="1:19" x14ac:dyDescent="0.3">
      <c r="A2295">
        <v>1201</v>
      </c>
      <c r="B2295">
        <f>YEAR(Cleaned_HR_Data_Analysis__2[[#This Row],[Joining_Date]])</f>
        <v>2022</v>
      </c>
      <c r="C2295" s="1">
        <v>44662</v>
      </c>
      <c r="D2295" s="1" t="str" cm="1">
        <f t="array" ref="D2295">_xlfn.IFS(E2295&lt;28, "17-27",
AND(E2295&gt;27, E2295&lt;38), "28-37",
AND(E2295&gt;37, E2295 &lt;48), "38-47",
AND(E2295&gt;47, E2295 &lt;58), "48-57",
AND(E2295&gt;57, E2295&lt;68), "58-67",
AND(E2295&gt;67, E2295&lt;78), "68-77",
E2295&gt;77,"Above than 77")</f>
        <v>68-77</v>
      </c>
      <c r="E2295">
        <v>68</v>
      </c>
      <c r="F2295" s="1">
        <v>19751</v>
      </c>
      <c r="G2295" s="1" t="str">
        <f>VLOOKUP(H2295,Table7[#All], 2, FALSE)</f>
        <v>Massachusetts</v>
      </c>
      <c r="H2295" s="2" t="s">
        <v>14</v>
      </c>
      <c r="I2295" s="2" t="s">
        <v>22</v>
      </c>
      <c r="J2295" s="2" t="s">
        <v>40</v>
      </c>
      <c r="K2295" s="2" t="s">
        <v>8</v>
      </c>
      <c r="L2295" s="2" t="s">
        <v>66</v>
      </c>
      <c r="M2295" s="2" t="s">
        <v>10</v>
      </c>
      <c r="N2295" s="2" t="s">
        <v>19</v>
      </c>
      <c r="O2295" s="2" t="s">
        <v>12</v>
      </c>
      <c r="P2295" s="2" t="s">
        <v>32</v>
      </c>
      <c r="Q2295" s="2" t="s">
        <v>30</v>
      </c>
      <c r="R2295" s="2" t="s">
        <v>18</v>
      </c>
      <c r="S2295">
        <v>4</v>
      </c>
    </row>
    <row r="2296" spans="1:19" x14ac:dyDescent="0.3">
      <c r="A2296">
        <v>2370</v>
      </c>
      <c r="B2296">
        <f>YEAR(Cleaned_HR_Data_Analysis__2[[#This Row],[Joining_Date]])</f>
        <v>2020</v>
      </c>
      <c r="C2296" s="1">
        <v>43882</v>
      </c>
      <c r="D2296" s="1" t="str" cm="1">
        <f t="array" ref="D2296">_xlfn.IFS(E2296&lt;28, "17-27",
AND(E2296&gt;27, E2296&lt;38), "28-37",
AND(E2296&gt;37, E2296 &lt;48), "38-47",
AND(E2296&gt;47, E2296 &lt;58), "48-57",
AND(E2296&gt;57, E2296&lt;68), "58-67",
AND(E2296&gt;67, E2296&lt;78), "68-77",
E2296&gt;77,"Above than 77")</f>
        <v>68-77</v>
      </c>
      <c r="E2296">
        <v>68</v>
      </c>
      <c r="F2296" s="1">
        <v>19024</v>
      </c>
      <c r="G2296" s="1" t="str">
        <f>VLOOKUP(H2296,Table7[#All], 2, FALSE)</f>
        <v>Massachusetts</v>
      </c>
      <c r="H2296" s="2" t="s">
        <v>14</v>
      </c>
      <c r="I2296" s="2" t="s">
        <v>22</v>
      </c>
      <c r="J2296" s="2" t="s">
        <v>17</v>
      </c>
      <c r="K2296" s="2" t="s">
        <v>71</v>
      </c>
      <c r="L2296" s="2" t="s">
        <v>9</v>
      </c>
      <c r="M2296" s="2" t="s">
        <v>10</v>
      </c>
      <c r="N2296" s="2" t="s">
        <v>26</v>
      </c>
      <c r="O2296" s="2" t="s">
        <v>12</v>
      </c>
      <c r="P2296" s="2" t="s">
        <v>35</v>
      </c>
      <c r="Q2296" s="2" t="s">
        <v>30</v>
      </c>
      <c r="R2296" s="2" t="s">
        <v>18</v>
      </c>
      <c r="S2296">
        <v>2</v>
      </c>
    </row>
    <row r="2297" spans="1:19" x14ac:dyDescent="0.3">
      <c r="A2297">
        <v>2235</v>
      </c>
      <c r="B2297">
        <f>YEAR(Cleaned_HR_Data_Analysis__2[[#This Row],[Joining_Date]])</f>
        <v>2022</v>
      </c>
      <c r="C2297" s="1">
        <v>44618</v>
      </c>
      <c r="D2297" s="1" t="str" cm="1">
        <f t="array" ref="D2297">_xlfn.IFS(E2297&lt;28, "17-27",
AND(E2297&gt;27, E2297&lt;38), "28-37",
AND(E2297&gt;37, E2297 &lt;48), "38-47",
AND(E2297&gt;47, E2297 &lt;58), "48-57",
AND(E2297&gt;57, E2297&lt;68), "58-67",
AND(E2297&gt;67, E2297&lt;78), "68-77",
E2297&gt;77,"Above than 77")</f>
        <v>68-77</v>
      </c>
      <c r="E2297">
        <v>68</v>
      </c>
      <c r="F2297" s="1">
        <v>19967</v>
      </c>
      <c r="G2297" s="1" t="str">
        <f>VLOOKUP(H2297,Table7[#All], 2, FALSE)</f>
        <v>Massachusetts</v>
      </c>
      <c r="H2297" s="2" t="s">
        <v>14</v>
      </c>
      <c r="I2297" s="2" t="s">
        <v>15</v>
      </c>
      <c r="J2297" s="2" t="s">
        <v>31</v>
      </c>
      <c r="K2297" s="2" t="s">
        <v>70</v>
      </c>
      <c r="L2297" s="2" t="s">
        <v>9</v>
      </c>
      <c r="M2297" s="2" t="s">
        <v>25</v>
      </c>
      <c r="N2297" s="2" t="s">
        <v>26</v>
      </c>
      <c r="O2297" s="2" t="s">
        <v>53</v>
      </c>
      <c r="P2297" s="2" t="s">
        <v>58</v>
      </c>
      <c r="Q2297" s="2" t="s">
        <v>30</v>
      </c>
      <c r="R2297" s="2" t="s">
        <v>18</v>
      </c>
      <c r="S2297">
        <v>5</v>
      </c>
    </row>
    <row r="2298" spans="1:19" x14ac:dyDescent="0.3">
      <c r="A2298">
        <v>2482</v>
      </c>
      <c r="B2298">
        <f>YEAR(Cleaned_HR_Data_Analysis__2[[#This Row],[Joining_Date]])</f>
        <v>2018</v>
      </c>
      <c r="C2298" s="1">
        <v>43344</v>
      </c>
      <c r="D2298" s="1" t="str" cm="1">
        <f t="array" ref="D2298">_xlfn.IFS(E2298&lt;28, "17-27",
AND(E2298&gt;27, E2298&lt;38), "28-37",
AND(E2298&gt;37, E2298 &lt;48), "38-47",
AND(E2298&gt;47, E2298 &lt;58), "48-57",
AND(E2298&gt;57, E2298&lt;68), "58-67",
AND(E2298&gt;67, E2298&lt;78), "68-77",
E2298&gt;77,"Above than 77")</f>
        <v>68-77</v>
      </c>
      <c r="E2298">
        <v>68</v>
      </c>
      <c r="F2298" s="1">
        <v>18370</v>
      </c>
      <c r="G2298" s="1" t="str">
        <f>VLOOKUP(H2298,Table7[#All], 2, FALSE)</f>
        <v>Massachusetts</v>
      </c>
      <c r="H2298" s="2" t="s">
        <v>14</v>
      </c>
      <c r="I2298" s="2" t="s">
        <v>22</v>
      </c>
      <c r="J2298" s="2" t="s">
        <v>34</v>
      </c>
      <c r="K2298" s="2" t="s">
        <v>101</v>
      </c>
      <c r="L2298" s="2" t="s">
        <v>9</v>
      </c>
      <c r="M2298" s="2" t="s">
        <v>10</v>
      </c>
      <c r="N2298" s="2" t="s">
        <v>11</v>
      </c>
      <c r="O2298" s="2" t="s">
        <v>53</v>
      </c>
      <c r="P2298" s="2" t="s">
        <v>92</v>
      </c>
      <c r="Q2298" s="2" t="s">
        <v>37</v>
      </c>
      <c r="R2298" s="2" t="s">
        <v>18</v>
      </c>
      <c r="S2298">
        <v>2</v>
      </c>
    </row>
    <row r="2299" spans="1:19" x14ac:dyDescent="0.3">
      <c r="A2299">
        <v>3831</v>
      </c>
      <c r="B2299">
        <f>YEAR(Cleaned_HR_Data_Analysis__2[[#This Row],[Joining_Date]])</f>
        <v>2018</v>
      </c>
      <c r="C2299" s="1">
        <v>43357</v>
      </c>
      <c r="D2299" s="1" t="str" cm="1">
        <f t="array" ref="D2299">_xlfn.IFS(E2299&lt;28, "17-27",
AND(E2299&gt;27, E2299&lt;38), "28-37",
AND(E2299&gt;37, E2299 &lt;48), "38-47",
AND(E2299&gt;47, E2299 &lt;58), "48-57",
AND(E2299&gt;57, E2299&lt;68), "58-67",
AND(E2299&gt;67, E2299&lt;78), "68-77",
E2299&gt;77,"Above than 77")</f>
        <v>68-77</v>
      </c>
      <c r="E2299">
        <v>68</v>
      </c>
      <c r="F2299" s="1">
        <v>18329</v>
      </c>
      <c r="G2299" s="1" t="str">
        <f>VLOOKUP(H2299,Table7[#All], 2, FALSE)</f>
        <v>Connecticut</v>
      </c>
      <c r="H2299" s="2" t="s">
        <v>36</v>
      </c>
      <c r="I2299" s="2" t="s">
        <v>15</v>
      </c>
      <c r="J2299" s="2" t="s">
        <v>40</v>
      </c>
      <c r="K2299" s="2" t="s">
        <v>75</v>
      </c>
      <c r="L2299" s="2" t="s">
        <v>9</v>
      </c>
      <c r="M2299" s="2" t="s">
        <v>20</v>
      </c>
      <c r="N2299" s="2" t="s">
        <v>11</v>
      </c>
      <c r="O2299" s="2" t="s">
        <v>53</v>
      </c>
      <c r="P2299" s="2" t="s">
        <v>35</v>
      </c>
      <c r="Q2299" s="2" t="s">
        <v>23</v>
      </c>
      <c r="R2299" s="2" t="s">
        <v>56</v>
      </c>
      <c r="S2299">
        <v>2</v>
      </c>
    </row>
    <row r="2300" spans="1:19" x14ac:dyDescent="0.3">
      <c r="A2300">
        <v>2333</v>
      </c>
      <c r="B2300">
        <f>YEAR(Cleaned_HR_Data_Analysis__2[[#This Row],[Joining_Date]])</f>
        <v>2019</v>
      </c>
      <c r="C2300" s="1">
        <v>43558</v>
      </c>
      <c r="D2300" s="1" t="str" cm="1">
        <f t="array" ref="D2300">_xlfn.IFS(E2300&lt;28, "17-27",
AND(E2300&gt;27, E2300&lt;38), "28-37",
AND(E2300&gt;37, E2300 &lt;48), "38-47",
AND(E2300&gt;47, E2300 &lt;58), "48-57",
AND(E2300&gt;57, E2300&lt;68), "58-67",
AND(E2300&gt;67, E2300&lt;78), "68-77",
E2300&gt;77,"Above than 77")</f>
        <v>68-77</v>
      </c>
      <c r="E2300">
        <v>68</v>
      </c>
      <c r="F2300" s="1">
        <v>18828</v>
      </c>
      <c r="G2300" s="1" t="str">
        <f>VLOOKUP(H2300,Table7[#All], 2, FALSE)</f>
        <v>Massachusetts</v>
      </c>
      <c r="H2300" s="2" t="s">
        <v>14</v>
      </c>
      <c r="I2300" s="2" t="s">
        <v>15</v>
      </c>
      <c r="J2300" s="2" t="s">
        <v>40</v>
      </c>
      <c r="K2300" s="2" t="s">
        <v>78</v>
      </c>
      <c r="L2300" s="2" t="s">
        <v>9</v>
      </c>
      <c r="M2300" s="2" t="s">
        <v>25</v>
      </c>
      <c r="N2300" s="2" t="s">
        <v>11</v>
      </c>
      <c r="O2300" s="2" t="s">
        <v>53</v>
      </c>
      <c r="P2300" s="2" t="s">
        <v>63</v>
      </c>
      <c r="Q2300" s="2" t="s">
        <v>46</v>
      </c>
      <c r="R2300" s="2" t="s">
        <v>18</v>
      </c>
      <c r="S2300">
        <v>4</v>
      </c>
    </row>
    <row r="2301" spans="1:19" x14ac:dyDescent="0.3">
      <c r="A2301">
        <v>2312</v>
      </c>
      <c r="B2301">
        <f>YEAR(Cleaned_HR_Data_Analysis__2[[#This Row],[Joining_Date]])</f>
        <v>2019</v>
      </c>
      <c r="C2301" s="1">
        <v>43795</v>
      </c>
      <c r="D2301" s="1" t="str" cm="1">
        <f t="array" ref="D2301">_xlfn.IFS(E2301&lt;28, "17-27",
AND(E2301&gt;27, E2301&lt;38), "28-37",
AND(E2301&gt;37, E2301 &lt;48), "38-47",
AND(E2301&gt;47, E2301 &lt;58), "48-57",
AND(E2301&gt;57, E2301&lt;68), "58-67",
AND(E2301&gt;67, E2301&lt;78), "68-77",
E2301&gt;77,"Above than 77")</f>
        <v>68-77</v>
      </c>
      <c r="E2301">
        <v>68</v>
      </c>
      <c r="F2301" s="1">
        <v>18973</v>
      </c>
      <c r="G2301" s="1" t="str">
        <f>VLOOKUP(H2301,Table7[#All], 2, FALSE)</f>
        <v>Massachusetts</v>
      </c>
      <c r="H2301" s="2" t="s">
        <v>14</v>
      </c>
      <c r="I2301" s="2" t="s">
        <v>22</v>
      </c>
      <c r="J2301" s="2" t="s">
        <v>17</v>
      </c>
      <c r="K2301" s="2" t="s">
        <v>78</v>
      </c>
      <c r="L2301" s="2" t="s">
        <v>9</v>
      </c>
      <c r="M2301" s="2" t="s">
        <v>25</v>
      </c>
      <c r="N2301" s="2" t="s">
        <v>11</v>
      </c>
      <c r="O2301" s="2" t="s">
        <v>53</v>
      </c>
      <c r="P2301" s="2" t="s">
        <v>35</v>
      </c>
      <c r="Q2301" s="2" t="s">
        <v>46</v>
      </c>
      <c r="R2301" s="2" t="s">
        <v>18</v>
      </c>
      <c r="S2301">
        <v>4</v>
      </c>
    </row>
    <row r="2302" spans="1:19" x14ac:dyDescent="0.3">
      <c r="A2302">
        <v>3440</v>
      </c>
      <c r="B2302">
        <f>YEAR(Cleaned_HR_Data_Analysis__2[[#This Row],[Joining_Date]])</f>
        <v>2019</v>
      </c>
      <c r="C2302" s="1">
        <v>43804</v>
      </c>
      <c r="D2302" s="1" t="str" cm="1">
        <f t="array" ref="D2302">_xlfn.IFS(E2302&lt;28, "17-27",
AND(E2302&gt;27, E2302&lt;38), "28-37",
AND(E2302&gt;37, E2302 &lt;48), "38-47",
AND(E2302&gt;47, E2302 &lt;58), "48-57",
AND(E2302&gt;57, E2302&lt;68), "58-67",
AND(E2302&gt;67, E2302&lt;78), "68-77",
E2302&gt;77,"Above than 77")</f>
        <v>68-77</v>
      </c>
      <c r="E2302">
        <v>68</v>
      </c>
      <c r="F2302" s="1">
        <v>18938</v>
      </c>
      <c r="G2302" s="1" t="str">
        <f>VLOOKUP(H2302,Table7[#All], 2, FALSE)</f>
        <v>Kentucky</v>
      </c>
      <c r="H2302" s="2" t="s">
        <v>51</v>
      </c>
      <c r="I2302" s="2" t="s">
        <v>15</v>
      </c>
      <c r="J2302" s="2" t="s">
        <v>40</v>
      </c>
      <c r="K2302" s="2" t="s">
        <v>24</v>
      </c>
      <c r="L2302" s="2" t="s">
        <v>9</v>
      </c>
      <c r="M2302" s="2" t="s">
        <v>10</v>
      </c>
      <c r="N2302" s="2" t="s">
        <v>19</v>
      </c>
      <c r="O2302" s="2" t="s">
        <v>27</v>
      </c>
      <c r="P2302" s="2" t="s">
        <v>13</v>
      </c>
      <c r="Q2302" s="2" t="s">
        <v>16</v>
      </c>
      <c r="R2302" s="2" t="s">
        <v>18</v>
      </c>
      <c r="S2302">
        <v>4</v>
      </c>
    </row>
    <row r="2303" spans="1:19" x14ac:dyDescent="0.3">
      <c r="A2303">
        <v>2552</v>
      </c>
      <c r="B2303">
        <f>YEAR(Cleaned_HR_Data_Analysis__2[[#This Row],[Joining_Date]])</f>
        <v>2023</v>
      </c>
      <c r="C2303" s="1">
        <v>44947</v>
      </c>
      <c r="D2303" s="1" t="str" cm="1">
        <f t="array" ref="D2303">_xlfn.IFS(E2303&lt;28, "17-27",
AND(E2303&gt;27, E2303&lt;38), "28-37",
AND(E2303&gt;37, E2303 &lt;48), "38-47",
AND(E2303&gt;47, E2303 &lt;58), "48-57",
AND(E2303&gt;57, E2303&lt;68), "58-67",
AND(E2303&gt;67, E2303&lt;78), "68-77",
E2303&gt;77,"Above than 77")</f>
        <v>68-77</v>
      </c>
      <c r="E2303">
        <v>69</v>
      </c>
      <c r="F2303" s="1">
        <v>20031</v>
      </c>
      <c r="G2303" s="1" t="str">
        <f>VLOOKUP(H2303,Table7[#All], 2, FALSE)</f>
        <v>Massachusetts</v>
      </c>
      <c r="H2303" s="2" t="s">
        <v>14</v>
      </c>
      <c r="I2303" s="2" t="s">
        <v>22</v>
      </c>
      <c r="J2303" s="2" t="s">
        <v>31</v>
      </c>
      <c r="K2303" s="2" t="s">
        <v>86</v>
      </c>
      <c r="L2303" s="2" t="s">
        <v>9</v>
      </c>
      <c r="M2303" s="2" t="s">
        <v>25</v>
      </c>
      <c r="N2303" s="2" t="s">
        <v>26</v>
      </c>
      <c r="O2303" s="2" t="s">
        <v>87</v>
      </c>
      <c r="P2303" s="2" t="s">
        <v>54</v>
      </c>
      <c r="Q2303" s="2" t="s">
        <v>16</v>
      </c>
      <c r="R2303" s="2" t="s">
        <v>18</v>
      </c>
      <c r="S2303">
        <v>2</v>
      </c>
    </row>
    <row r="2304" spans="1:19" x14ac:dyDescent="0.3">
      <c r="A2304">
        <v>2529</v>
      </c>
      <c r="B2304">
        <f>YEAR(Cleaned_HR_Data_Analysis__2[[#This Row],[Joining_Date]])</f>
        <v>2022</v>
      </c>
      <c r="C2304" s="1">
        <v>44683</v>
      </c>
      <c r="D2304" s="1" t="str" cm="1">
        <f t="array" ref="D2304">_xlfn.IFS(E2304&lt;28, "17-27",
AND(E2304&gt;27, E2304&lt;38), "28-37",
AND(E2304&gt;37, E2304 &lt;48), "38-47",
AND(E2304&gt;47, E2304 &lt;58), "48-57",
AND(E2304&gt;57, E2304&lt;68), "58-67",
AND(E2304&gt;67, E2304&lt;78), "68-77",
E2304&gt;77,"Above than 77")</f>
        <v>68-77</v>
      </c>
      <c r="E2304">
        <v>69</v>
      </c>
      <c r="F2304" s="1">
        <v>19496</v>
      </c>
      <c r="G2304" s="1" t="str">
        <f>VLOOKUP(H2304,Table7[#All], 2, FALSE)</f>
        <v>Massachusetts</v>
      </c>
      <c r="H2304" s="2" t="s">
        <v>14</v>
      </c>
      <c r="I2304" s="2" t="s">
        <v>15</v>
      </c>
      <c r="J2304" s="2" t="s">
        <v>31</v>
      </c>
      <c r="K2304" s="2" t="s">
        <v>86</v>
      </c>
      <c r="L2304" s="2" t="s">
        <v>9</v>
      </c>
      <c r="M2304" s="2" t="s">
        <v>25</v>
      </c>
      <c r="N2304" s="2" t="s">
        <v>26</v>
      </c>
      <c r="O2304" s="2" t="s">
        <v>87</v>
      </c>
      <c r="P2304" s="2" t="s">
        <v>69</v>
      </c>
      <c r="Q2304" s="2" t="s">
        <v>30</v>
      </c>
      <c r="R2304" s="2" t="s">
        <v>18</v>
      </c>
      <c r="S2304">
        <v>5</v>
      </c>
    </row>
    <row r="2305" spans="1:19" x14ac:dyDescent="0.3">
      <c r="A2305">
        <v>1014</v>
      </c>
      <c r="B2305">
        <f>YEAR(Cleaned_HR_Data_Analysis__2[[#This Row],[Joining_Date]])</f>
        <v>2022</v>
      </c>
      <c r="C2305" s="1">
        <v>44926</v>
      </c>
      <c r="D2305" s="1" t="str" cm="1">
        <f t="array" ref="D2305">_xlfn.IFS(E2305&lt;28, "17-27",
AND(E2305&gt;27, E2305&lt;38), "28-37",
AND(E2305&gt;37, E2305 &lt;48), "38-47",
AND(E2305&gt;47, E2305 &lt;58), "48-57",
AND(E2305&gt;57, E2305&lt;68), "58-67",
AND(E2305&gt;67, E2305&lt;78), "68-77",
E2305&gt;77,"Above than 77")</f>
        <v>68-77</v>
      </c>
      <c r="E2305">
        <v>69</v>
      </c>
      <c r="F2305" s="1">
        <v>19553</v>
      </c>
      <c r="G2305" s="1" t="str">
        <f>VLOOKUP(H2305,Table7[#All], 2, FALSE)</f>
        <v>Massachusetts</v>
      </c>
      <c r="H2305" s="2" t="s">
        <v>14</v>
      </c>
      <c r="I2305" s="2" t="s">
        <v>22</v>
      </c>
      <c r="J2305" s="2" t="s">
        <v>31</v>
      </c>
      <c r="K2305" s="2" t="s">
        <v>88</v>
      </c>
      <c r="L2305" s="2" t="s">
        <v>9</v>
      </c>
      <c r="M2305" s="2" t="s">
        <v>20</v>
      </c>
      <c r="N2305" s="2" t="s">
        <v>19</v>
      </c>
      <c r="O2305" s="2" t="s">
        <v>87</v>
      </c>
      <c r="P2305" s="2" t="s">
        <v>60</v>
      </c>
      <c r="Q2305" s="2" t="s">
        <v>30</v>
      </c>
      <c r="R2305" s="2" t="s">
        <v>18</v>
      </c>
      <c r="S2305">
        <v>4</v>
      </c>
    </row>
    <row r="2306" spans="1:19" x14ac:dyDescent="0.3">
      <c r="A2306">
        <v>1949</v>
      </c>
      <c r="B2306">
        <f>YEAR(Cleaned_HR_Data_Analysis__2[[#This Row],[Joining_Date]])</f>
        <v>2019</v>
      </c>
      <c r="C2306" s="1">
        <v>43799</v>
      </c>
      <c r="D2306" s="1" t="str" cm="1">
        <f t="array" ref="D2306">_xlfn.IFS(E2306&lt;28, "17-27",
AND(E2306&gt;27, E2306&lt;38), "28-37",
AND(E2306&gt;37, E2306 &lt;48), "38-47",
AND(E2306&gt;47, E2306 &lt;58), "48-57",
AND(E2306&gt;57, E2306&lt;68), "58-67",
AND(E2306&gt;67, E2306&lt;78), "68-77",
E2306&gt;77,"Above than 77")</f>
        <v>68-77</v>
      </c>
      <c r="E2306">
        <v>69</v>
      </c>
      <c r="F2306" s="1">
        <v>18357</v>
      </c>
      <c r="G2306" s="1" t="str">
        <f>VLOOKUP(H2306,Table7[#All], 2, FALSE)</f>
        <v>Pennsylvania</v>
      </c>
      <c r="H2306" s="2" t="s">
        <v>100</v>
      </c>
      <c r="I2306" s="2" t="s">
        <v>15</v>
      </c>
      <c r="J2306" s="2" t="s">
        <v>40</v>
      </c>
      <c r="K2306" s="2" t="s">
        <v>98</v>
      </c>
      <c r="L2306" s="2" t="s">
        <v>9</v>
      </c>
      <c r="M2306" s="2" t="s">
        <v>10</v>
      </c>
      <c r="N2306" s="2" t="s">
        <v>19</v>
      </c>
      <c r="O2306" s="2" t="s">
        <v>27</v>
      </c>
      <c r="P2306" s="2" t="s">
        <v>35</v>
      </c>
      <c r="Q2306" s="2" t="s">
        <v>23</v>
      </c>
      <c r="R2306" s="2" t="s">
        <v>18</v>
      </c>
      <c r="S2306">
        <v>3</v>
      </c>
    </row>
    <row r="2307" spans="1:19" x14ac:dyDescent="0.3">
      <c r="A2307">
        <v>3183</v>
      </c>
      <c r="B2307">
        <f>YEAR(Cleaned_HR_Data_Analysis__2[[#This Row],[Joining_Date]])</f>
        <v>2022</v>
      </c>
      <c r="C2307" s="1">
        <v>44868</v>
      </c>
      <c r="D2307" s="1" t="str" cm="1">
        <f t="array" ref="D2307">_xlfn.IFS(E2307&lt;28, "17-27",
AND(E2307&gt;27, E2307&lt;38), "28-37",
AND(E2307&gt;37, E2307 &lt;48), "38-47",
AND(E2307&gt;47, E2307 &lt;58), "48-57",
AND(E2307&gt;57, E2307&lt;68), "58-67",
AND(E2307&gt;67, E2307&lt;78), "68-77",
E2307&gt;77,"Above than 77")</f>
        <v>68-77</v>
      </c>
      <c r="E2307">
        <v>69</v>
      </c>
      <c r="F2307" s="1">
        <v>19405</v>
      </c>
      <c r="G2307" s="1" t="str">
        <f>VLOOKUP(H2307,Table7[#All], 2, FALSE)</f>
        <v>Massachusetts</v>
      </c>
      <c r="H2307" s="2" t="s">
        <v>14</v>
      </c>
      <c r="I2307" s="2" t="s">
        <v>22</v>
      </c>
      <c r="J2307" s="2" t="s">
        <v>31</v>
      </c>
      <c r="K2307" s="2" t="s">
        <v>64</v>
      </c>
      <c r="L2307" s="2" t="s">
        <v>66</v>
      </c>
      <c r="M2307" s="2" t="s">
        <v>25</v>
      </c>
      <c r="N2307" s="2" t="s">
        <v>19</v>
      </c>
      <c r="O2307" s="2" t="s">
        <v>12</v>
      </c>
      <c r="P2307" s="2" t="s">
        <v>42</v>
      </c>
      <c r="Q2307" s="2" t="s">
        <v>30</v>
      </c>
      <c r="R2307" s="2" t="s">
        <v>65</v>
      </c>
      <c r="S2307">
        <v>1</v>
      </c>
    </row>
    <row r="2308" spans="1:19" x14ac:dyDescent="0.3">
      <c r="A2308">
        <v>3030</v>
      </c>
      <c r="B2308">
        <f>YEAR(Cleaned_HR_Data_Analysis__2[[#This Row],[Joining_Date]])</f>
        <v>2022</v>
      </c>
      <c r="C2308" s="1">
        <v>44747</v>
      </c>
      <c r="D2308" s="1" t="str" cm="1">
        <f t="array" ref="D2308">_xlfn.IFS(E2308&lt;28, "17-27",
AND(E2308&gt;27, E2308&lt;38), "28-37",
AND(E2308&gt;37, E2308 &lt;48), "38-47",
AND(E2308&gt;47, E2308 &lt;58), "48-57",
AND(E2308&gt;57, E2308&lt;68), "58-67",
AND(E2308&gt;67, E2308&lt;78), "68-77",
E2308&gt;77,"Above than 77")</f>
        <v>68-77</v>
      </c>
      <c r="E2308">
        <v>69</v>
      </c>
      <c r="F2308" s="1">
        <v>19581</v>
      </c>
      <c r="G2308" s="1" t="str">
        <f>VLOOKUP(H2308,Table7[#All], 2, FALSE)</f>
        <v>Massachusetts</v>
      </c>
      <c r="H2308" s="2" t="s">
        <v>14</v>
      </c>
      <c r="I2308" s="2" t="s">
        <v>15</v>
      </c>
      <c r="J2308" s="2" t="s">
        <v>31</v>
      </c>
      <c r="K2308" s="2" t="s">
        <v>64</v>
      </c>
      <c r="L2308" s="2" t="s">
        <v>9</v>
      </c>
      <c r="M2308" s="2" t="s">
        <v>25</v>
      </c>
      <c r="N2308" s="2" t="s">
        <v>11</v>
      </c>
      <c r="O2308" s="2" t="s">
        <v>12</v>
      </c>
      <c r="P2308" s="2" t="s">
        <v>59</v>
      </c>
      <c r="Q2308" s="2" t="s">
        <v>16</v>
      </c>
      <c r="R2308" s="2" t="s">
        <v>18</v>
      </c>
      <c r="S2308">
        <v>2</v>
      </c>
    </row>
    <row r="2309" spans="1:19" x14ac:dyDescent="0.3">
      <c r="A2309">
        <v>2050</v>
      </c>
      <c r="B2309">
        <f>YEAR(Cleaned_HR_Data_Analysis__2[[#This Row],[Joining_Date]])</f>
        <v>2022</v>
      </c>
      <c r="C2309" s="1">
        <v>44572</v>
      </c>
      <c r="D2309" s="1" t="str" cm="1">
        <f t="array" ref="D2309">_xlfn.IFS(E2309&lt;28, "17-27",
AND(E2309&gt;27, E2309&lt;38), "28-37",
AND(E2309&gt;37, E2309 &lt;48), "38-47",
AND(E2309&gt;47, E2309 &lt;58), "48-57",
AND(E2309&gt;57, E2309&lt;68), "58-67",
AND(E2309&gt;67, E2309&lt;78), "68-77",
E2309&gt;77,"Above than 77")</f>
        <v>68-77</v>
      </c>
      <c r="E2309">
        <v>69</v>
      </c>
      <c r="F2309" s="1">
        <v>19393</v>
      </c>
      <c r="G2309" s="1" t="str">
        <f>VLOOKUP(H2309,Table7[#All], 2, FALSE)</f>
        <v>Massachusetts</v>
      </c>
      <c r="H2309" s="2" t="s">
        <v>14</v>
      </c>
      <c r="I2309" s="2" t="s">
        <v>15</v>
      </c>
      <c r="J2309" s="2" t="s">
        <v>17</v>
      </c>
      <c r="K2309" s="2" t="s">
        <v>64</v>
      </c>
      <c r="L2309" s="2" t="s">
        <v>9</v>
      </c>
      <c r="M2309" s="2" t="s">
        <v>25</v>
      </c>
      <c r="N2309" s="2" t="s">
        <v>11</v>
      </c>
      <c r="O2309" s="2" t="s">
        <v>12</v>
      </c>
      <c r="P2309" s="2" t="s">
        <v>61</v>
      </c>
      <c r="Q2309" s="2" t="s">
        <v>16</v>
      </c>
      <c r="R2309" s="2" t="s">
        <v>18</v>
      </c>
      <c r="S2309">
        <v>4</v>
      </c>
    </row>
    <row r="2310" spans="1:19" x14ac:dyDescent="0.3">
      <c r="A2310">
        <v>1992</v>
      </c>
      <c r="B2310">
        <f>YEAR(Cleaned_HR_Data_Analysis__2[[#This Row],[Joining_Date]])</f>
        <v>2019</v>
      </c>
      <c r="C2310" s="1">
        <v>43605</v>
      </c>
      <c r="D2310" s="1" t="str" cm="1">
        <f t="array" ref="D2310">_xlfn.IFS(E2310&lt;28, "17-27",
AND(E2310&gt;27, E2310&lt;38), "28-37",
AND(E2310&gt;37, E2310 &lt;48), "38-47",
AND(E2310&gt;47, E2310 &lt;58), "48-57",
AND(E2310&gt;57, E2310&lt;68), "58-67",
AND(E2310&gt;67, E2310&lt;78), "68-77",
E2310&gt;77,"Above than 77")</f>
        <v>68-77</v>
      </c>
      <c r="E2310">
        <v>69</v>
      </c>
      <c r="F2310" s="1">
        <v>18319</v>
      </c>
      <c r="G2310" s="1" t="str">
        <f>VLOOKUP(H2310,Table7[#All], 2, FALSE)</f>
        <v>Massachusetts</v>
      </c>
      <c r="H2310" s="2" t="s">
        <v>14</v>
      </c>
      <c r="I2310" s="2" t="s">
        <v>15</v>
      </c>
      <c r="J2310" s="2" t="s">
        <v>40</v>
      </c>
      <c r="K2310" s="2" t="s">
        <v>64</v>
      </c>
      <c r="L2310" s="2" t="s">
        <v>9</v>
      </c>
      <c r="M2310" s="2" t="s">
        <v>10</v>
      </c>
      <c r="N2310" s="2" t="s">
        <v>19</v>
      </c>
      <c r="O2310" s="2" t="s">
        <v>12</v>
      </c>
      <c r="P2310" s="2" t="s">
        <v>32</v>
      </c>
      <c r="Q2310" s="2" t="s">
        <v>16</v>
      </c>
      <c r="R2310" s="2" t="s">
        <v>18</v>
      </c>
      <c r="S2310">
        <v>3</v>
      </c>
    </row>
    <row r="2311" spans="1:19" x14ac:dyDescent="0.3">
      <c r="A2311">
        <v>1816</v>
      </c>
      <c r="B2311">
        <f>YEAR(Cleaned_HR_Data_Analysis__2[[#This Row],[Joining_Date]])</f>
        <v>2020</v>
      </c>
      <c r="C2311" s="1">
        <v>44071</v>
      </c>
      <c r="D2311" s="1" t="str" cm="1">
        <f t="array" ref="D2311">_xlfn.IFS(E2311&lt;28, "17-27",
AND(E2311&gt;27, E2311&lt;38), "28-37",
AND(E2311&gt;37, E2311 &lt;48), "38-47",
AND(E2311&gt;47, E2311 &lt;58), "48-57",
AND(E2311&gt;57, E2311&lt;68), "58-67",
AND(E2311&gt;67, E2311&lt;78), "68-77",
E2311&gt;77,"Above than 77")</f>
        <v>68-77</v>
      </c>
      <c r="E2311">
        <v>69</v>
      </c>
      <c r="F2311" s="1">
        <v>18758</v>
      </c>
      <c r="G2311" s="1" t="str">
        <f>VLOOKUP(H2311,Table7[#All], 2, FALSE)</f>
        <v>Massachusetts</v>
      </c>
      <c r="H2311" s="2" t="s">
        <v>14</v>
      </c>
      <c r="I2311" s="2" t="s">
        <v>15</v>
      </c>
      <c r="J2311" s="2" t="s">
        <v>31</v>
      </c>
      <c r="K2311" s="2" t="s">
        <v>64</v>
      </c>
      <c r="L2311" s="2" t="s">
        <v>9</v>
      </c>
      <c r="M2311" s="2" t="s">
        <v>10</v>
      </c>
      <c r="N2311" s="2" t="s">
        <v>19</v>
      </c>
      <c r="O2311" s="2" t="s">
        <v>12</v>
      </c>
      <c r="P2311" s="2" t="s">
        <v>32</v>
      </c>
      <c r="Q2311" s="2" t="s">
        <v>30</v>
      </c>
      <c r="R2311" s="2" t="s">
        <v>18</v>
      </c>
      <c r="S2311">
        <v>3</v>
      </c>
    </row>
    <row r="2312" spans="1:19" x14ac:dyDescent="0.3">
      <c r="A2312">
        <v>1782</v>
      </c>
      <c r="B2312">
        <f>YEAR(Cleaned_HR_Data_Analysis__2[[#This Row],[Joining_Date]])</f>
        <v>2019</v>
      </c>
      <c r="C2312" s="1">
        <v>43478</v>
      </c>
      <c r="D2312" s="1" t="str" cm="1">
        <f t="array" ref="D2312">_xlfn.IFS(E2312&lt;28, "17-27",
AND(E2312&gt;27, E2312&lt;38), "28-37",
AND(E2312&gt;37, E2312 &lt;48), "38-47",
AND(E2312&gt;47, E2312 &lt;58), "48-57",
AND(E2312&gt;57, E2312&lt;68), "58-67",
AND(E2312&gt;67, E2312&lt;78), "68-77",
E2312&gt;77,"Above than 77")</f>
        <v>68-77</v>
      </c>
      <c r="E2312">
        <v>69</v>
      </c>
      <c r="F2312" s="1">
        <v>18544</v>
      </c>
      <c r="G2312" s="1" t="str">
        <f>VLOOKUP(H2312,Table7[#All], 2, FALSE)</f>
        <v>Massachusetts</v>
      </c>
      <c r="H2312" s="2" t="s">
        <v>14</v>
      </c>
      <c r="I2312" s="2" t="s">
        <v>15</v>
      </c>
      <c r="J2312" s="2" t="s">
        <v>34</v>
      </c>
      <c r="K2312" s="2" t="s">
        <v>64</v>
      </c>
      <c r="L2312" s="2" t="s">
        <v>66</v>
      </c>
      <c r="M2312" s="2" t="s">
        <v>10</v>
      </c>
      <c r="N2312" s="2" t="s">
        <v>19</v>
      </c>
      <c r="O2312" s="2" t="s">
        <v>12</v>
      </c>
      <c r="P2312" s="2" t="s">
        <v>35</v>
      </c>
      <c r="Q2312" s="2" t="s">
        <v>30</v>
      </c>
      <c r="R2312" s="2" t="s">
        <v>18</v>
      </c>
      <c r="S2312">
        <v>4</v>
      </c>
    </row>
    <row r="2313" spans="1:19" x14ac:dyDescent="0.3">
      <c r="A2313">
        <v>1496</v>
      </c>
      <c r="B2313">
        <f>YEAR(Cleaned_HR_Data_Analysis__2[[#This Row],[Joining_Date]])</f>
        <v>2019</v>
      </c>
      <c r="C2313" s="1">
        <v>43585</v>
      </c>
      <c r="D2313" s="1" t="str" cm="1">
        <f t="array" ref="D2313">_xlfn.IFS(E2313&lt;28, "17-27",
AND(E2313&gt;27, E2313&lt;38), "28-37",
AND(E2313&gt;37, E2313 &lt;48), "38-47",
AND(E2313&gt;47, E2313 &lt;58), "48-57",
AND(E2313&gt;57, E2313&lt;68), "58-67",
AND(E2313&gt;67, E2313&lt;78), "68-77",
E2313&gt;77,"Above than 77")</f>
        <v>68-77</v>
      </c>
      <c r="E2313">
        <v>69</v>
      </c>
      <c r="F2313" s="1">
        <v>18561</v>
      </c>
      <c r="G2313" s="1" t="str">
        <f>VLOOKUP(H2313,Table7[#All], 2, FALSE)</f>
        <v>Massachusetts</v>
      </c>
      <c r="H2313" s="2" t="s">
        <v>14</v>
      </c>
      <c r="I2313" s="2" t="s">
        <v>22</v>
      </c>
      <c r="J2313" s="2" t="s">
        <v>17</v>
      </c>
      <c r="K2313" s="2" t="s">
        <v>64</v>
      </c>
      <c r="L2313" s="2" t="s">
        <v>9</v>
      </c>
      <c r="M2313" s="2" t="s">
        <v>20</v>
      </c>
      <c r="N2313" s="2" t="s">
        <v>19</v>
      </c>
      <c r="O2313" s="2" t="s">
        <v>12</v>
      </c>
      <c r="P2313" s="2" t="s">
        <v>49</v>
      </c>
      <c r="Q2313" s="2" t="s">
        <v>16</v>
      </c>
      <c r="R2313" s="2" t="s">
        <v>18</v>
      </c>
      <c r="S2313">
        <v>3</v>
      </c>
    </row>
    <row r="2314" spans="1:19" x14ac:dyDescent="0.3">
      <c r="A2314">
        <v>1494</v>
      </c>
      <c r="B2314">
        <f>YEAR(Cleaned_HR_Data_Analysis__2[[#This Row],[Joining_Date]])</f>
        <v>2018</v>
      </c>
      <c r="C2314" s="1">
        <v>43386</v>
      </c>
      <c r="D2314" s="1" t="str" cm="1">
        <f t="array" ref="D2314">_xlfn.IFS(E2314&lt;28, "17-27",
AND(E2314&gt;27, E2314&lt;38), "28-37",
AND(E2314&gt;37, E2314 &lt;48), "38-47",
AND(E2314&gt;47, E2314 &lt;58), "48-57",
AND(E2314&gt;57, E2314&lt;68), "58-67",
AND(E2314&gt;67, E2314&lt;78), "68-77",
E2314&gt;77,"Above than 77")</f>
        <v>68-77</v>
      </c>
      <c r="E2314">
        <v>69</v>
      </c>
      <c r="F2314" s="1">
        <v>17969</v>
      </c>
      <c r="G2314" s="1" t="str">
        <f>VLOOKUP(H2314,Table7[#All], 2, FALSE)</f>
        <v>Massachusetts</v>
      </c>
      <c r="H2314" s="2" t="s">
        <v>14</v>
      </c>
      <c r="I2314" s="2" t="s">
        <v>15</v>
      </c>
      <c r="J2314" s="2" t="s">
        <v>40</v>
      </c>
      <c r="K2314" s="2" t="s">
        <v>64</v>
      </c>
      <c r="L2314" s="2" t="s">
        <v>66</v>
      </c>
      <c r="M2314" s="2" t="s">
        <v>10</v>
      </c>
      <c r="N2314" s="2" t="s">
        <v>26</v>
      </c>
      <c r="O2314" s="2" t="s">
        <v>12</v>
      </c>
      <c r="P2314" s="2" t="s">
        <v>49</v>
      </c>
      <c r="Q2314" s="2" t="s">
        <v>23</v>
      </c>
      <c r="R2314" s="2" t="s">
        <v>18</v>
      </c>
      <c r="S2314">
        <v>5</v>
      </c>
    </row>
    <row r="2315" spans="1:19" x14ac:dyDescent="0.3">
      <c r="A2315">
        <v>3800</v>
      </c>
      <c r="B2315">
        <f>YEAR(Cleaned_HR_Data_Analysis__2[[#This Row],[Joining_Date]])</f>
        <v>2019</v>
      </c>
      <c r="C2315" s="1">
        <v>43657</v>
      </c>
      <c r="D2315" s="1" t="str" cm="1">
        <f t="array" ref="D2315">_xlfn.IFS(E2315&lt;28, "17-27",
AND(E2315&gt;27, E2315&lt;38), "28-37",
AND(E2315&gt;37, E2315 &lt;48), "38-47",
AND(E2315&gt;47, E2315 &lt;58), "48-57",
AND(E2315&gt;57, E2315&lt;68), "58-67",
AND(E2315&gt;67, E2315&lt;78), "68-77",
E2315&gt;77,"Above than 77")</f>
        <v>68-77</v>
      </c>
      <c r="E2315">
        <v>69</v>
      </c>
      <c r="F2315" s="1">
        <v>18606</v>
      </c>
      <c r="G2315" s="1" t="str">
        <f>VLOOKUP(H2315,Table7[#All], 2, FALSE)</f>
        <v>Massachusetts</v>
      </c>
      <c r="H2315" s="2" t="s">
        <v>14</v>
      </c>
      <c r="I2315" s="2" t="s">
        <v>22</v>
      </c>
      <c r="J2315" s="2" t="s">
        <v>34</v>
      </c>
      <c r="K2315" s="2" t="s">
        <v>8</v>
      </c>
      <c r="L2315" s="2" t="s">
        <v>9</v>
      </c>
      <c r="M2315" s="2" t="s">
        <v>10</v>
      </c>
      <c r="N2315" s="2" t="s">
        <v>11</v>
      </c>
      <c r="O2315" s="2" t="s">
        <v>12</v>
      </c>
      <c r="P2315" s="2" t="s">
        <v>28</v>
      </c>
      <c r="Q2315" s="2" t="s">
        <v>30</v>
      </c>
      <c r="R2315" s="2" t="s">
        <v>18</v>
      </c>
      <c r="S2315">
        <v>3</v>
      </c>
    </row>
    <row r="2316" spans="1:19" x14ac:dyDescent="0.3">
      <c r="A2316">
        <v>3703</v>
      </c>
      <c r="B2316">
        <f>YEAR(Cleaned_HR_Data_Analysis__2[[#This Row],[Joining_Date]])</f>
        <v>2020</v>
      </c>
      <c r="C2316" s="1">
        <v>44074</v>
      </c>
      <c r="D2316" s="1" t="str" cm="1">
        <f t="array" ref="D2316">_xlfn.IFS(E2316&lt;28, "17-27",
AND(E2316&gt;27, E2316&lt;38), "28-37",
AND(E2316&gt;37, E2316 &lt;48), "38-47",
AND(E2316&gt;47, E2316 &lt;58), "48-57",
AND(E2316&gt;57, E2316&lt;68), "58-67",
AND(E2316&gt;67, E2316&lt;78), "68-77",
E2316&gt;77,"Above than 77")</f>
        <v>68-77</v>
      </c>
      <c r="E2316">
        <v>69</v>
      </c>
      <c r="F2316" s="1">
        <v>18674</v>
      </c>
      <c r="G2316" s="1" t="str">
        <f>VLOOKUP(H2316,Table7[#All], 2, FALSE)</f>
        <v>Massachusetts</v>
      </c>
      <c r="H2316" s="2" t="s">
        <v>14</v>
      </c>
      <c r="I2316" s="2" t="s">
        <v>15</v>
      </c>
      <c r="J2316" s="2" t="s">
        <v>17</v>
      </c>
      <c r="K2316" s="2" t="s">
        <v>8</v>
      </c>
      <c r="L2316" s="2" t="s">
        <v>9</v>
      </c>
      <c r="M2316" s="2" t="s">
        <v>20</v>
      </c>
      <c r="N2316" s="2" t="s">
        <v>19</v>
      </c>
      <c r="O2316" s="2" t="s">
        <v>12</v>
      </c>
      <c r="P2316" s="2" t="s">
        <v>42</v>
      </c>
      <c r="Q2316" s="2" t="s">
        <v>16</v>
      </c>
      <c r="R2316" s="2" t="s">
        <v>41</v>
      </c>
      <c r="S2316">
        <v>5</v>
      </c>
    </row>
    <row r="2317" spans="1:19" x14ac:dyDescent="0.3">
      <c r="A2317">
        <v>3611</v>
      </c>
      <c r="B2317">
        <f>YEAR(Cleaned_HR_Data_Analysis__2[[#This Row],[Joining_Date]])</f>
        <v>2021</v>
      </c>
      <c r="C2317" s="1">
        <v>44264</v>
      </c>
      <c r="D2317" s="1" t="str" cm="1">
        <f t="array" ref="D2317">_xlfn.IFS(E2317&lt;28, "17-27",
AND(E2317&gt;27, E2317&lt;38), "28-37",
AND(E2317&gt;37, E2317 &lt;48), "38-47",
AND(E2317&gt;47, E2317 &lt;58), "48-57",
AND(E2317&gt;57, E2317&lt;68), "58-67",
AND(E2317&gt;67, E2317&lt;78), "68-77",
E2317&gt;77,"Above than 77")</f>
        <v>68-77</v>
      </c>
      <c r="E2317">
        <v>69</v>
      </c>
      <c r="F2317" s="1">
        <v>19013</v>
      </c>
      <c r="G2317" s="1" t="str">
        <f>VLOOKUP(H2317,Table7[#All], 2, FALSE)</f>
        <v>Massachusetts</v>
      </c>
      <c r="H2317" s="2" t="s">
        <v>14</v>
      </c>
      <c r="I2317" s="2" t="s">
        <v>15</v>
      </c>
      <c r="J2317" s="2" t="s">
        <v>34</v>
      </c>
      <c r="K2317" s="2" t="s">
        <v>8</v>
      </c>
      <c r="L2317" s="2" t="s">
        <v>9</v>
      </c>
      <c r="M2317" s="2" t="s">
        <v>10</v>
      </c>
      <c r="N2317" s="2" t="s">
        <v>11</v>
      </c>
      <c r="O2317" s="2" t="s">
        <v>12</v>
      </c>
      <c r="P2317" s="2" t="s">
        <v>54</v>
      </c>
      <c r="Q2317" s="2" t="s">
        <v>23</v>
      </c>
      <c r="R2317" s="2" t="s">
        <v>18</v>
      </c>
      <c r="S2317">
        <v>3</v>
      </c>
    </row>
    <row r="2318" spans="1:19" x14ac:dyDescent="0.3">
      <c r="A2318">
        <v>3338</v>
      </c>
      <c r="B2318">
        <f>YEAR(Cleaned_HR_Data_Analysis__2[[#This Row],[Joining_Date]])</f>
        <v>2019</v>
      </c>
      <c r="C2318" s="1">
        <v>43784</v>
      </c>
      <c r="D2318" s="1" t="str" cm="1">
        <f t="array" ref="D2318">_xlfn.IFS(E2318&lt;28, "17-27",
AND(E2318&gt;27, E2318&lt;38), "28-37",
AND(E2318&gt;37, E2318 &lt;48), "38-47",
AND(E2318&gt;47, E2318 &lt;58), "48-57",
AND(E2318&gt;57, E2318&lt;68), "58-67",
AND(E2318&gt;67, E2318&lt;78), "68-77",
E2318&gt;77,"Above than 77")</f>
        <v>68-77</v>
      </c>
      <c r="E2318">
        <v>69</v>
      </c>
      <c r="F2318" s="1">
        <v>18327</v>
      </c>
      <c r="G2318" s="1" t="str">
        <f>VLOOKUP(H2318,Table7[#All], 2, FALSE)</f>
        <v>Massachusetts</v>
      </c>
      <c r="H2318" s="2" t="s">
        <v>14</v>
      </c>
      <c r="I2318" s="2" t="s">
        <v>15</v>
      </c>
      <c r="J2318" s="2" t="s">
        <v>40</v>
      </c>
      <c r="K2318" s="2" t="s">
        <v>8</v>
      </c>
      <c r="L2318" s="2" t="s">
        <v>9</v>
      </c>
      <c r="M2318" s="2" t="s">
        <v>10</v>
      </c>
      <c r="N2318" s="2" t="s">
        <v>11</v>
      </c>
      <c r="O2318" s="2" t="s">
        <v>12</v>
      </c>
      <c r="P2318" s="2" t="s">
        <v>32</v>
      </c>
      <c r="Q2318" s="2" t="s">
        <v>23</v>
      </c>
      <c r="R2318" s="2" t="s">
        <v>18</v>
      </c>
      <c r="S2318">
        <v>2</v>
      </c>
    </row>
    <row r="2319" spans="1:19" x14ac:dyDescent="0.3">
      <c r="A2319">
        <v>3155</v>
      </c>
      <c r="B2319">
        <f>YEAR(Cleaned_HR_Data_Analysis__2[[#This Row],[Joining_Date]])</f>
        <v>2020</v>
      </c>
      <c r="C2319" s="1">
        <v>44028</v>
      </c>
      <c r="D2319" s="1" t="str" cm="1">
        <f t="array" ref="D2319">_xlfn.IFS(E2319&lt;28, "17-27",
AND(E2319&gt;27, E2319&lt;38), "28-37",
AND(E2319&gt;37, E2319 &lt;48), "38-47",
AND(E2319&gt;47, E2319 &lt;58), "48-57",
AND(E2319&gt;57, E2319&lt;68), "58-67",
AND(E2319&gt;67, E2319&lt;78), "68-77",
E2319&gt;77,"Above than 77")</f>
        <v>68-77</v>
      </c>
      <c r="E2319">
        <v>69</v>
      </c>
      <c r="F2319" s="1">
        <v>18701</v>
      </c>
      <c r="G2319" s="1" t="str">
        <f>VLOOKUP(H2319,Table7[#All], 2, FALSE)</f>
        <v>Massachusetts</v>
      </c>
      <c r="H2319" s="2" t="s">
        <v>14</v>
      </c>
      <c r="I2319" s="2" t="s">
        <v>22</v>
      </c>
      <c r="J2319" s="2" t="s">
        <v>34</v>
      </c>
      <c r="K2319" s="2" t="s">
        <v>8</v>
      </c>
      <c r="L2319" s="2" t="s">
        <v>66</v>
      </c>
      <c r="M2319" s="2" t="s">
        <v>10</v>
      </c>
      <c r="N2319" s="2" t="s">
        <v>26</v>
      </c>
      <c r="O2319" s="2" t="s">
        <v>12</v>
      </c>
      <c r="P2319" s="2" t="s">
        <v>32</v>
      </c>
      <c r="Q2319" s="2" t="s">
        <v>37</v>
      </c>
      <c r="R2319" s="2" t="s">
        <v>18</v>
      </c>
      <c r="S2319">
        <v>5</v>
      </c>
    </row>
    <row r="2320" spans="1:19" x14ac:dyDescent="0.3">
      <c r="A2320">
        <v>3152</v>
      </c>
      <c r="B2320">
        <f>YEAR(Cleaned_HR_Data_Analysis__2[[#This Row],[Joining_Date]])</f>
        <v>2022</v>
      </c>
      <c r="C2320" s="1">
        <v>44747</v>
      </c>
      <c r="D2320" s="1" t="str" cm="1">
        <f t="array" ref="D2320">_xlfn.IFS(E2320&lt;28, "17-27",
AND(E2320&gt;27, E2320&lt;38), "28-37",
AND(E2320&gt;37, E2320 &lt;48), "38-47",
AND(E2320&gt;47, E2320 &lt;58), "48-57",
AND(E2320&gt;57, E2320&lt;68), "58-67",
AND(E2320&gt;67, E2320&lt;78), "68-77",
E2320&gt;77,"Above than 77")</f>
        <v>68-77</v>
      </c>
      <c r="E2320">
        <v>69</v>
      </c>
      <c r="F2320" s="1">
        <v>19722</v>
      </c>
      <c r="G2320" s="1" t="str">
        <f>VLOOKUP(H2320,Table7[#All], 2, FALSE)</f>
        <v>Massachusetts</v>
      </c>
      <c r="H2320" s="2" t="s">
        <v>14</v>
      </c>
      <c r="I2320" s="2" t="s">
        <v>15</v>
      </c>
      <c r="J2320" s="2" t="s">
        <v>17</v>
      </c>
      <c r="K2320" s="2" t="s">
        <v>8</v>
      </c>
      <c r="L2320" s="2" t="s">
        <v>9</v>
      </c>
      <c r="M2320" s="2" t="s">
        <v>10</v>
      </c>
      <c r="N2320" s="2" t="s">
        <v>11</v>
      </c>
      <c r="O2320" s="2" t="s">
        <v>12</v>
      </c>
      <c r="P2320" s="2" t="s">
        <v>35</v>
      </c>
      <c r="Q2320" s="2" t="s">
        <v>37</v>
      </c>
      <c r="R2320" s="2" t="s">
        <v>41</v>
      </c>
      <c r="S2320">
        <v>3</v>
      </c>
    </row>
    <row r="2321" spans="1:19" x14ac:dyDescent="0.3">
      <c r="A2321">
        <v>3060</v>
      </c>
      <c r="B2321">
        <f>YEAR(Cleaned_HR_Data_Analysis__2[[#This Row],[Joining_Date]])</f>
        <v>2020</v>
      </c>
      <c r="C2321" s="1">
        <v>44072</v>
      </c>
      <c r="D2321" s="1" t="str" cm="1">
        <f t="array" ref="D2321">_xlfn.IFS(E2321&lt;28, "17-27",
AND(E2321&gt;27, E2321&lt;38), "28-37",
AND(E2321&gt;37, E2321 &lt;48), "38-47",
AND(E2321&gt;47, E2321 &lt;58), "48-57",
AND(E2321&gt;57, E2321&lt;68), "58-67",
AND(E2321&gt;67, E2321&lt;78), "68-77",
E2321&gt;77,"Above than 77")</f>
        <v>68-77</v>
      </c>
      <c r="E2321">
        <v>69</v>
      </c>
      <c r="F2321" s="1">
        <v>18631</v>
      </c>
      <c r="G2321" s="1" t="str">
        <f>VLOOKUP(H2321,Table7[#All], 2, FALSE)</f>
        <v>Massachusetts</v>
      </c>
      <c r="H2321" s="2" t="s">
        <v>14</v>
      </c>
      <c r="I2321" s="2" t="s">
        <v>22</v>
      </c>
      <c r="J2321" s="2" t="s">
        <v>17</v>
      </c>
      <c r="K2321" s="2" t="s">
        <v>8</v>
      </c>
      <c r="L2321" s="2" t="s">
        <v>9</v>
      </c>
      <c r="M2321" s="2" t="s">
        <v>20</v>
      </c>
      <c r="N2321" s="2" t="s">
        <v>19</v>
      </c>
      <c r="O2321" s="2" t="s">
        <v>12</v>
      </c>
      <c r="P2321" s="2" t="s">
        <v>63</v>
      </c>
      <c r="Q2321" s="2" t="s">
        <v>46</v>
      </c>
      <c r="R2321" s="2" t="s">
        <v>18</v>
      </c>
      <c r="S2321">
        <v>2</v>
      </c>
    </row>
    <row r="2322" spans="1:19" x14ac:dyDescent="0.3">
      <c r="A2322">
        <v>3035</v>
      </c>
      <c r="B2322">
        <f>YEAR(Cleaned_HR_Data_Analysis__2[[#This Row],[Joining_Date]])</f>
        <v>2019</v>
      </c>
      <c r="C2322" s="1">
        <v>43630</v>
      </c>
      <c r="D2322" s="1" t="str" cm="1">
        <f t="array" ref="D2322">_xlfn.IFS(E2322&lt;28, "17-27",
AND(E2322&gt;27, E2322&lt;38), "28-37",
AND(E2322&gt;37, E2322 &lt;48), "38-47",
AND(E2322&gt;47, E2322 &lt;58), "48-57",
AND(E2322&gt;57, E2322&lt;68), "58-67",
AND(E2322&gt;67, E2322&lt;78), "68-77",
E2322&gt;77,"Above than 77")</f>
        <v>68-77</v>
      </c>
      <c r="E2322">
        <v>69</v>
      </c>
      <c r="F2322" s="1">
        <v>18520</v>
      </c>
      <c r="G2322" s="1" t="str">
        <f>VLOOKUP(H2322,Table7[#All], 2, FALSE)</f>
        <v>Massachusetts</v>
      </c>
      <c r="H2322" s="2" t="s">
        <v>14</v>
      </c>
      <c r="I2322" s="2" t="s">
        <v>15</v>
      </c>
      <c r="J2322" s="2" t="s">
        <v>40</v>
      </c>
      <c r="K2322" s="2" t="s">
        <v>8</v>
      </c>
      <c r="L2322" s="2" t="s">
        <v>9</v>
      </c>
      <c r="M2322" s="2" t="s">
        <v>10</v>
      </c>
      <c r="N2322" s="2" t="s">
        <v>11</v>
      </c>
      <c r="O2322" s="2" t="s">
        <v>12</v>
      </c>
      <c r="P2322" s="2" t="s">
        <v>42</v>
      </c>
      <c r="Q2322" s="2" t="s">
        <v>30</v>
      </c>
      <c r="R2322" s="2" t="s">
        <v>18</v>
      </c>
      <c r="S2322">
        <v>4</v>
      </c>
    </row>
    <row r="2323" spans="1:19" x14ac:dyDescent="0.3">
      <c r="A2323">
        <v>2994</v>
      </c>
      <c r="B2323">
        <f>YEAR(Cleaned_HR_Data_Analysis__2[[#This Row],[Joining_Date]])</f>
        <v>2022</v>
      </c>
      <c r="C2323" s="1">
        <v>44610</v>
      </c>
      <c r="D2323" s="1" t="str" cm="1">
        <f t="array" ref="D2323">_xlfn.IFS(E2323&lt;28, "17-27",
AND(E2323&gt;27, E2323&lt;38), "28-37",
AND(E2323&gt;37, E2323 &lt;48), "38-47",
AND(E2323&gt;47, E2323 &lt;58), "48-57",
AND(E2323&gt;57, E2323&lt;68), "58-67",
AND(E2323&gt;67, E2323&lt;78), "68-77",
E2323&gt;77,"Above than 77")</f>
        <v>68-77</v>
      </c>
      <c r="E2323">
        <v>69</v>
      </c>
      <c r="F2323" s="1">
        <v>19489</v>
      </c>
      <c r="G2323" s="1" t="str">
        <f>VLOOKUP(H2323,Table7[#All], 2, FALSE)</f>
        <v>Massachusetts</v>
      </c>
      <c r="H2323" s="2" t="s">
        <v>14</v>
      </c>
      <c r="I2323" s="2" t="s">
        <v>22</v>
      </c>
      <c r="J2323" s="2" t="s">
        <v>34</v>
      </c>
      <c r="K2323" s="2" t="s">
        <v>8</v>
      </c>
      <c r="L2323" s="2" t="s">
        <v>9</v>
      </c>
      <c r="M2323" s="2" t="s">
        <v>20</v>
      </c>
      <c r="N2323" s="2" t="s">
        <v>26</v>
      </c>
      <c r="O2323" s="2" t="s">
        <v>12</v>
      </c>
      <c r="P2323" s="2" t="s">
        <v>42</v>
      </c>
      <c r="Q2323" s="2" t="s">
        <v>30</v>
      </c>
      <c r="R2323" s="2" t="s">
        <v>18</v>
      </c>
      <c r="S2323">
        <v>5</v>
      </c>
    </row>
    <row r="2324" spans="1:19" x14ac:dyDescent="0.3">
      <c r="A2324">
        <v>2913</v>
      </c>
      <c r="B2324">
        <f>YEAR(Cleaned_HR_Data_Analysis__2[[#This Row],[Joining_Date]])</f>
        <v>2019</v>
      </c>
      <c r="C2324" s="1">
        <v>43802</v>
      </c>
      <c r="D2324" s="1" t="str" cm="1">
        <f t="array" ref="D2324">_xlfn.IFS(E2324&lt;28, "17-27",
AND(E2324&gt;27, E2324&lt;38), "28-37",
AND(E2324&gt;37, E2324 &lt;48), "38-47",
AND(E2324&gt;47, E2324 &lt;58), "48-57",
AND(E2324&gt;57, E2324&lt;68), "58-67",
AND(E2324&gt;67, E2324&lt;78), "68-77",
E2324&gt;77,"Above than 77")</f>
        <v>68-77</v>
      </c>
      <c r="E2324">
        <v>69</v>
      </c>
      <c r="F2324" s="1">
        <v>18551</v>
      </c>
      <c r="G2324" s="1" t="str">
        <f>VLOOKUP(H2324,Table7[#All], 2, FALSE)</f>
        <v>Massachusetts</v>
      </c>
      <c r="H2324" s="2" t="s">
        <v>14</v>
      </c>
      <c r="I2324" s="2" t="s">
        <v>22</v>
      </c>
      <c r="J2324" s="2" t="s">
        <v>40</v>
      </c>
      <c r="K2324" s="2" t="s">
        <v>8</v>
      </c>
      <c r="L2324" s="2" t="s">
        <v>9</v>
      </c>
      <c r="M2324" s="2" t="s">
        <v>25</v>
      </c>
      <c r="N2324" s="2" t="s">
        <v>26</v>
      </c>
      <c r="O2324" s="2" t="s">
        <v>12</v>
      </c>
      <c r="P2324" s="2" t="s">
        <v>49</v>
      </c>
      <c r="Q2324" s="2" t="s">
        <v>23</v>
      </c>
      <c r="R2324" s="2" t="s">
        <v>56</v>
      </c>
      <c r="S2324">
        <v>1</v>
      </c>
    </row>
    <row r="2325" spans="1:19" x14ac:dyDescent="0.3">
      <c r="A2325">
        <v>2900</v>
      </c>
      <c r="B2325">
        <f>YEAR(Cleaned_HR_Data_Analysis__2[[#This Row],[Joining_Date]])</f>
        <v>2021</v>
      </c>
      <c r="C2325" s="1">
        <v>44500</v>
      </c>
      <c r="D2325" s="1" t="str" cm="1">
        <f t="array" ref="D2325">_xlfn.IFS(E2325&lt;28, "17-27",
AND(E2325&gt;27, E2325&lt;38), "28-37",
AND(E2325&gt;37, E2325 &lt;48), "38-47",
AND(E2325&gt;47, E2325 &lt;58), "48-57",
AND(E2325&gt;57, E2325&lt;68), "58-67",
AND(E2325&gt;67, E2325&lt;78), "68-77",
E2325&gt;77,"Above than 77")</f>
        <v>68-77</v>
      </c>
      <c r="E2325">
        <v>69</v>
      </c>
      <c r="F2325" s="1">
        <v>19268</v>
      </c>
      <c r="G2325" s="1" t="str">
        <f>VLOOKUP(H2325,Table7[#All], 2, FALSE)</f>
        <v>Massachusetts</v>
      </c>
      <c r="H2325" s="2" t="s">
        <v>14</v>
      </c>
      <c r="I2325" s="2" t="s">
        <v>22</v>
      </c>
      <c r="J2325" s="2" t="s">
        <v>17</v>
      </c>
      <c r="K2325" s="2" t="s">
        <v>8</v>
      </c>
      <c r="L2325" s="2" t="s">
        <v>9</v>
      </c>
      <c r="M2325" s="2" t="s">
        <v>20</v>
      </c>
      <c r="N2325" s="2" t="s">
        <v>26</v>
      </c>
      <c r="O2325" s="2" t="s">
        <v>12</v>
      </c>
      <c r="P2325" s="2" t="s">
        <v>32</v>
      </c>
      <c r="Q2325" s="2" t="s">
        <v>16</v>
      </c>
      <c r="R2325" s="2" t="s">
        <v>41</v>
      </c>
      <c r="S2325">
        <v>4</v>
      </c>
    </row>
    <row r="2326" spans="1:19" x14ac:dyDescent="0.3">
      <c r="A2326">
        <v>2874</v>
      </c>
      <c r="B2326">
        <f>YEAR(Cleaned_HR_Data_Analysis__2[[#This Row],[Joining_Date]])</f>
        <v>2022</v>
      </c>
      <c r="C2326" s="1">
        <v>44606</v>
      </c>
      <c r="D2326" s="1" t="str" cm="1">
        <f t="array" ref="D2326">_xlfn.IFS(E2326&lt;28, "17-27",
AND(E2326&gt;27, E2326&lt;38), "28-37",
AND(E2326&gt;37, E2326 &lt;48), "38-47",
AND(E2326&gt;47, E2326 &lt;58), "48-57",
AND(E2326&gt;57, E2326&lt;68), "58-67",
AND(E2326&gt;67, E2326&lt;78), "68-77",
E2326&gt;77,"Above than 77")</f>
        <v>68-77</v>
      </c>
      <c r="E2326">
        <v>69</v>
      </c>
      <c r="F2326" s="1">
        <v>19705</v>
      </c>
      <c r="G2326" s="1" t="str">
        <f>VLOOKUP(H2326,Table7[#All], 2, FALSE)</f>
        <v>Massachusetts</v>
      </c>
      <c r="H2326" s="2" t="s">
        <v>14</v>
      </c>
      <c r="I2326" s="2" t="s">
        <v>22</v>
      </c>
      <c r="J2326" s="2" t="s">
        <v>40</v>
      </c>
      <c r="K2326" s="2" t="s">
        <v>8</v>
      </c>
      <c r="L2326" s="2" t="s">
        <v>9</v>
      </c>
      <c r="M2326" s="2" t="s">
        <v>20</v>
      </c>
      <c r="N2326" s="2" t="s">
        <v>19</v>
      </c>
      <c r="O2326" s="2" t="s">
        <v>12</v>
      </c>
      <c r="P2326" s="2" t="s">
        <v>55</v>
      </c>
      <c r="Q2326" s="2" t="s">
        <v>16</v>
      </c>
      <c r="R2326" s="2" t="s">
        <v>18</v>
      </c>
      <c r="S2326">
        <v>5</v>
      </c>
    </row>
    <row r="2327" spans="1:19" x14ac:dyDescent="0.3">
      <c r="A2327">
        <v>2871</v>
      </c>
      <c r="B2327">
        <f>YEAR(Cleaned_HR_Data_Analysis__2[[#This Row],[Joining_Date]])</f>
        <v>2022</v>
      </c>
      <c r="C2327" s="1">
        <v>44631</v>
      </c>
      <c r="D2327" s="1" t="str" cm="1">
        <f t="array" ref="D2327">_xlfn.IFS(E2327&lt;28, "17-27",
AND(E2327&gt;27, E2327&lt;38), "28-37",
AND(E2327&gt;37, E2327 &lt;48), "38-47",
AND(E2327&gt;47, E2327 &lt;58), "48-57",
AND(E2327&gt;57, E2327&lt;68), "58-67",
AND(E2327&gt;67, E2327&lt;78), "68-77",
E2327&gt;77,"Above than 77")</f>
        <v>68-77</v>
      </c>
      <c r="E2327">
        <v>69</v>
      </c>
      <c r="F2327" s="1">
        <v>19476</v>
      </c>
      <c r="G2327" s="1" t="str">
        <f>VLOOKUP(H2327,Table7[#All], 2, FALSE)</f>
        <v>Massachusetts</v>
      </c>
      <c r="H2327" s="2" t="s">
        <v>14</v>
      </c>
      <c r="I2327" s="2" t="s">
        <v>22</v>
      </c>
      <c r="J2327" s="2" t="s">
        <v>40</v>
      </c>
      <c r="K2327" s="2" t="s">
        <v>8</v>
      </c>
      <c r="L2327" s="2" t="s">
        <v>9</v>
      </c>
      <c r="M2327" s="2" t="s">
        <v>10</v>
      </c>
      <c r="N2327" s="2" t="s">
        <v>19</v>
      </c>
      <c r="O2327" s="2" t="s">
        <v>12</v>
      </c>
      <c r="P2327" s="2" t="s">
        <v>60</v>
      </c>
      <c r="Q2327" s="2" t="s">
        <v>23</v>
      </c>
      <c r="R2327" s="2" t="s">
        <v>18</v>
      </c>
      <c r="S2327">
        <v>5</v>
      </c>
    </row>
    <row r="2328" spans="1:19" x14ac:dyDescent="0.3">
      <c r="A2328">
        <v>2849</v>
      </c>
      <c r="B2328">
        <f>YEAR(Cleaned_HR_Data_Analysis__2[[#This Row],[Joining_Date]])</f>
        <v>2018</v>
      </c>
      <c r="C2328" s="1">
        <v>43375</v>
      </c>
      <c r="D2328" s="1" t="str" cm="1">
        <f t="array" ref="D2328">_xlfn.IFS(E2328&lt;28, "17-27",
AND(E2328&gt;27, E2328&lt;38), "28-37",
AND(E2328&gt;37, E2328 &lt;48), "38-47",
AND(E2328&gt;47, E2328 &lt;58), "48-57",
AND(E2328&gt;57, E2328&lt;68), "58-67",
AND(E2328&gt;67, E2328&lt;78), "68-77",
E2328&gt;77,"Above than 77")</f>
        <v>68-77</v>
      </c>
      <c r="E2328">
        <v>69</v>
      </c>
      <c r="F2328" s="1">
        <v>18106</v>
      </c>
      <c r="G2328" s="1" t="str">
        <f>VLOOKUP(H2328,Table7[#All], 2, FALSE)</f>
        <v>Massachusetts</v>
      </c>
      <c r="H2328" s="2" t="s">
        <v>14</v>
      </c>
      <c r="I2328" s="2" t="s">
        <v>22</v>
      </c>
      <c r="J2328" s="2" t="s">
        <v>31</v>
      </c>
      <c r="K2328" s="2" t="s">
        <v>8</v>
      </c>
      <c r="L2328" s="2" t="s">
        <v>9</v>
      </c>
      <c r="M2328" s="2" t="s">
        <v>20</v>
      </c>
      <c r="N2328" s="2" t="s">
        <v>11</v>
      </c>
      <c r="O2328" s="2" t="s">
        <v>12</v>
      </c>
      <c r="P2328" s="2" t="s">
        <v>32</v>
      </c>
      <c r="Q2328" s="2" t="s">
        <v>23</v>
      </c>
      <c r="R2328" s="2" t="s">
        <v>18</v>
      </c>
      <c r="S2328">
        <v>1</v>
      </c>
    </row>
    <row r="2329" spans="1:19" x14ac:dyDescent="0.3">
      <c r="A2329">
        <v>2831</v>
      </c>
      <c r="B2329">
        <f>YEAR(Cleaned_HR_Data_Analysis__2[[#This Row],[Joining_Date]])</f>
        <v>2021</v>
      </c>
      <c r="C2329" s="1">
        <v>44405</v>
      </c>
      <c r="D2329" s="1" t="str" cm="1">
        <f t="array" ref="D2329">_xlfn.IFS(E2329&lt;28, "17-27",
AND(E2329&gt;27, E2329&lt;38), "28-37",
AND(E2329&gt;37, E2329 &lt;48), "38-47",
AND(E2329&gt;47, E2329 &lt;58), "48-57",
AND(E2329&gt;57, E2329&lt;68), "58-67",
AND(E2329&gt;67, E2329&lt;78), "68-77",
E2329&gt;77,"Above than 77")</f>
        <v>68-77</v>
      </c>
      <c r="E2329">
        <v>69</v>
      </c>
      <c r="F2329" s="1">
        <v>19113</v>
      </c>
      <c r="G2329" s="1" t="str">
        <f>VLOOKUP(H2329,Table7[#All], 2, FALSE)</f>
        <v>Massachusetts</v>
      </c>
      <c r="H2329" s="2" t="s">
        <v>14</v>
      </c>
      <c r="I2329" s="2" t="s">
        <v>22</v>
      </c>
      <c r="J2329" s="2" t="s">
        <v>17</v>
      </c>
      <c r="K2329" s="2" t="s">
        <v>8</v>
      </c>
      <c r="L2329" s="2" t="s">
        <v>9</v>
      </c>
      <c r="M2329" s="2" t="s">
        <v>25</v>
      </c>
      <c r="N2329" s="2" t="s">
        <v>11</v>
      </c>
      <c r="O2329" s="2" t="s">
        <v>12</v>
      </c>
      <c r="P2329" s="2" t="s">
        <v>21</v>
      </c>
      <c r="Q2329" s="2" t="s">
        <v>16</v>
      </c>
      <c r="R2329" s="2" t="s">
        <v>18</v>
      </c>
      <c r="S2329">
        <v>1</v>
      </c>
    </row>
    <row r="2330" spans="1:19" x14ac:dyDescent="0.3">
      <c r="A2330">
        <v>2749</v>
      </c>
      <c r="B2330">
        <f>YEAR(Cleaned_HR_Data_Analysis__2[[#This Row],[Joining_Date]])</f>
        <v>2018</v>
      </c>
      <c r="C2330" s="1">
        <v>43419</v>
      </c>
      <c r="D2330" s="1" t="str" cm="1">
        <f t="array" ref="D2330">_xlfn.IFS(E2330&lt;28, "17-27",
AND(E2330&gt;27, E2330&lt;38), "28-37",
AND(E2330&gt;37, E2330 &lt;48), "38-47",
AND(E2330&gt;47, E2330 &lt;58), "48-57",
AND(E2330&gt;57, E2330&lt;68), "58-67",
AND(E2330&gt;67, E2330&lt;78), "68-77",
E2330&gt;77,"Above than 77")</f>
        <v>68-77</v>
      </c>
      <c r="E2330">
        <v>69</v>
      </c>
      <c r="F2330" s="1">
        <v>17996</v>
      </c>
      <c r="G2330" s="1" t="str">
        <f>VLOOKUP(H2330,Table7[#All], 2, FALSE)</f>
        <v>Massachusetts</v>
      </c>
      <c r="H2330" s="2" t="s">
        <v>14</v>
      </c>
      <c r="I2330" s="2" t="s">
        <v>15</v>
      </c>
      <c r="J2330" s="2" t="s">
        <v>17</v>
      </c>
      <c r="K2330" s="2" t="s">
        <v>8</v>
      </c>
      <c r="L2330" s="2" t="s">
        <v>66</v>
      </c>
      <c r="M2330" s="2" t="s">
        <v>25</v>
      </c>
      <c r="N2330" s="2" t="s">
        <v>26</v>
      </c>
      <c r="O2330" s="2" t="s">
        <v>12</v>
      </c>
      <c r="P2330" s="2" t="s">
        <v>68</v>
      </c>
      <c r="Q2330" s="2" t="s">
        <v>37</v>
      </c>
      <c r="R2330" s="2" t="s">
        <v>18</v>
      </c>
      <c r="S2330">
        <v>3</v>
      </c>
    </row>
    <row r="2331" spans="1:19" x14ac:dyDescent="0.3">
      <c r="A2331">
        <v>2195</v>
      </c>
      <c r="B2331">
        <f>YEAR(Cleaned_HR_Data_Analysis__2[[#This Row],[Joining_Date]])</f>
        <v>2023</v>
      </c>
      <c r="C2331" s="1">
        <v>45079</v>
      </c>
      <c r="D2331" s="1" t="str" cm="1">
        <f t="array" ref="D2331">_xlfn.IFS(E2331&lt;28, "17-27",
AND(E2331&gt;27, E2331&lt;38), "28-37",
AND(E2331&gt;37, E2331 &lt;48), "38-47",
AND(E2331&gt;47, E2331 &lt;58), "48-57",
AND(E2331&gt;57, E2331&lt;68), "58-67",
AND(E2331&gt;67, E2331&lt;78), "68-77",
E2331&gt;77,"Above than 77")</f>
        <v>68-77</v>
      </c>
      <c r="E2331">
        <v>69</v>
      </c>
      <c r="F2331" s="1">
        <v>20028</v>
      </c>
      <c r="G2331" s="1" t="str">
        <f>VLOOKUP(H2331,Table7[#All], 2, FALSE)</f>
        <v>Massachusetts</v>
      </c>
      <c r="H2331" s="2" t="s">
        <v>14</v>
      </c>
      <c r="I2331" s="2" t="s">
        <v>15</v>
      </c>
      <c r="J2331" s="2" t="s">
        <v>31</v>
      </c>
      <c r="K2331" s="2" t="s">
        <v>8</v>
      </c>
      <c r="L2331" s="2" t="s">
        <v>9</v>
      </c>
      <c r="M2331" s="2" t="s">
        <v>10</v>
      </c>
      <c r="N2331" s="2" t="s">
        <v>11</v>
      </c>
      <c r="O2331" s="2" t="s">
        <v>12</v>
      </c>
      <c r="P2331" s="2" t="s">
        <v>69</v>
      </c>
      <c r="Q2331" s="2" t="s">
        <v>37</v>
      </c>
      <c r="R2331" s="2" t="s">
        <v>56</v>
      </c>
      <c r="S2331">
        <v>5</v>
      </c>
    </row>
    <row r="2332" spans="1:19" x14ac:dyDescent="0.3">
      <c r="A2332">
        <v>2183</v>
      </c>
      <c r="B2332">
        <f>YEAR(Cleaned_HR_Data_Analysis__2[[#This Row],[Joining_Date]])</f>
        <v>2018</v>
      </c>
      <c r="C2332" s="1">
        <v>43447</v>
      </c>
      <c r="D2332" s="1" t="str" cm="1">
        <f t="array" ref="D2332">_xlfn.IFS(E2332&lt;28, "17-27",
AND(E2332&gt;27, E2332&lt;38), "28-37",
AND(E2332&gt;37, E2332 &lt;48), "38-47",
AND(E2332&gt;47, E2332 &lt;58), "48-57",
AND(E2332&gt;57, E2332&lt;68), "58-67",
AND(E2332&gt;67, E2332&lt;78), "68-77",
E2332&gt;77,"Above than 77")</f>
        <v>68-77</v>
      </c>
      <c r="E2332">
        <v>69</v>
      </c>
      <c r="F2332" s="1">
        <v>18153</v>
      </c>
      <c r="G2332" s="1" t="str">
        <f>VLOOKUP(H2332,Table7[#All], 2, FALSE)</f>
        <v>Massachusetts</v>
      </c>
      <c r="H2332" s="2" t="s">
        <v>14</v>
      </c>
      <c r="I2332" s="2" t="s">
        <v>15</v>
      </c>
      <c r="J2332" s="2" t="s">
        <v>40</v>
      </c>
      <c r="K2332" s="2" t="s">
        <v>8</v>
      </c>
      <c r="L2332" s="2" t="s">
        <v>9</v>
      </c>
      <c r="M2332" s="2" t="s">
        <v>10</v>
      </c>
      <c r="N2332" s="2" t="s">
        <v>11</v>
      </c>
      <c r="O2332" s="2" t="s">
        <v>12</v>
      </c>
      <c r="P2332" s="2" t="s">
        <v>13</v>
      </c>
      <c r="Q2332" s="2" t="s">
        <v>16</v>
      </c>
      <c r="R2332" s="2" t="s">
        <v>41</v>
      </c>
      <c r="S2332">
        <v>4</v>
      </c>
    </row>
    <row r="2333" spans="1:19" x14ac:dyDescent="0.3">
      <c r="A2333">
        <v>2177</v>
      </c>
      <c r="B2333">
        <f>YEAR(Cleaned_HR_Data_Analysis__2[[#This Row],[Joining_Date]])</f>
        <v>2020</v>
      </c>
      <c r="C2333" s="1">
        <v>44188</v>
      </c>
      <c r="D2333" s="1" t="str" cm="1">
        <f t="array" ref="D2333">_xlfn.IFS(E2333&lt;28, "17-27",
AND(E2333&gt;27, E2333&lt;38), "28-37",
AND(E2333&gt;37, E2333 &lt;48), "38-47",
AND(E2333&gt;47, E2333 &lt;58), "48-57",
AND(E2333&gt;57, E2333&lt;68), "58-67",
AND(E2333&gt;67, E2333&lt;78), "68-77",
E2333&gt;77,"Above than 77")</f>
        <v>68-77</v>
      </c>
      <c r="E2333">
        <v>69</v>
      </c>
      <c r="F2333" s="1">
        <v>18873</v>
      </c>
      <c r="G2333" s="1" t="str">
        <f>VLOOKUP(H2333,Table7[#All], 2, FALSE)</f>
        <v>Massachusetts</v>
      </c>
      <c r="H2333" s="2" t="s">
        <v>14</v>
      </c>
      <c r="I2333" s="2" t="s">
        <v>22</v>
      </c>
      <c r="J2333" s="2" t="s">
        <v>31</v>
      </c>
      <c r="K2333" s="2" t="s">
        <v>8</v>
      </c>
      <c r="L2333" s="2" t="s">
        <v>9</v>
      </c>
      <c r="M2333" s="2" t="s">
        <v>25</v>
      </c>
      <c r="N2333" s="2" t="s">
        <v>19</v>
      </c>
      <c r="O2333" s="2" t="s">
        <v>12</v>
      </c>
      <c r="P2333" s="2" t="s">
        <v>60</v>
      </c>
      <c r="Q2333" s="2" t="s">
        <v>46</v>
      </c>
      <c r="R2333" s="2" t="s">
        <v>65</v>
      </c>
      <c r="S2333">
        <v>2</v>
      </c>
    </row>
    <row r="2334" spans="1:19" x14ac:dyDescent="0.3">
      <c r="A2334">
        <v>2131</v>
      </c>
      <c r="B2334">
        <f>YEAR(Cleaned_HR_Data_Analysis__2[[#This Row],[Joining_Date]])</f>
        <v>2020</v>
      </c>
      <c r="C2334" s="1">
        <v>43988</v>
      </c>
      <c r="D2334" s="1" t="str" cm="1">
        <f t="array" ref="D2334">_xlfn.IFS(E2334&lt;28, "17-27",
AND(E2334&gt;27, E2334&lt;38), "28-37",
AND(E2334&gt;37, E2334 &lt;48), "38-47",
AND(E2334&gt;47, E2334 &lt;58), "48-57",
AND(E2334&gt;57, E2334&lt;68), "58-67",
AND(E2334&gt;67, E2334&lt;78), "68-77",
E2334&gt;77,"Above than 77")</f>
        <v>68-77</v>
      </c>
      <c r="E2334">
        <v>69</v>
      </c>
      <c r="F2334" s="1">
        <v>18699</v>
      </c>
      <c r="G2334" s="1" t="str">
        <f>VLOOKUP(H2334,Table7[#All], 2, FALSE)</f>
        <v>Massachusetts</v>
      </c>
      <c r="H2334" s="2" t="s">
        <v>14</v>
      </c>
      <c r="I2334" s="2" t="s">
        <v>15</v>
      </c>
      <c r="J2334" s="2" t="s">
        <v>17</v>
      </c>
      <c r="K2334" s="2" t="s">
        <v>8</v>
      </c>
      <c r="L2334" s="2" t="s">
        <v>66</v>
      </c>
      <c r="M2334" s="2" t="s">
        <v>20</v>
      </c>
      <c r="N2334" s="2" t="s">
        <v>11</v>
      </c>
      <c r="O2334" s="2" t="s">
        <v>12</v>
      </c>
      <c r="P2334" s="2" t="s">
        <v>35</v>
      </c>
      <c r="Q2334" s="2" t="s">
        <v>37</v>
      </c>
      <c r="R2334" s="2" t="s">
        <v>56</v>
      </c>
      <c r="S2334">
        <v>2</v>
      </c>
    </row>
    <row r="2335" spans="1:19" x14ac:dyDescent="0.3">
      <c r="A2335">
        <v>1861</v>
      </c>
      <c r="B2335">
        <f>YEAR(Cleaned_HR_Data_Analysis__2[[#This Row],[Joining_Date]])</f>
        <v>2020</v>
      </c>
      <c r="C2335" s="1">
        <v>43993</v>
      </c>
      <c r="D2335" s="1" t="str" cm="1">
        <f t="array" ref="D2335">_xlfn.IFS(E2335&lt;28, "17-27",
AND(E2335&gt;27, E2335&lt;38), "28-37",
AND(E2335&gt;37, E2335 &lt;48), "38-47",
AND(E2335&gt;47, E2335 &lt;58), "48-57",
AND(E2335&gt;57, E2335&lt;68), "58-67",
AND(E2335&gt;67, E2335&lt;78), "68-77",
E2335&gt;77,"Above than 77")</f>
        <v>68-77</v>
      </c>
      <c r="E2335">
        <v>69</v>
      </c>
      <c r="F2335" s="1">
        <v>18943</v>
      </c>
      <c r="G2335" s="1" t="str">
        <f>VLOOKUP(H2335,Table7[#All], 2, FALSE)</f>
        <v>Massachusetts</v>
      </c>
      <c r="H2335" s="2" t="s">
        <v>14</v>
      </c>
      <c r="I2335" s="2" t="s">
        <v>22</v>
      </c>
      <c r="J2335" s="2" t="s">
        <v>17</v>
      </c>
      <c r="K2335" s="2" t="s">
        <v>8</v>
      </c>
      <c r="L2335" s="2" t="s">
        <v>9</v>
      </c>
      <c r="M2335" s="2" t="s">
        <v>10</v>
      </c>
      <c r="N2335" s="2" t="s">
        <v>19</v>
      </c>
      <c r="O2335" s="2" t="s">
        <v>12</v>
      </c>
      <c r="P2335" s="2" t="s">
        <v>59</v>
      </c>
      <c r="Q2335" s="2" t="s">
        <v>37</v>
      </c>
      <c r="R2335" s="2" t="s">
        <v>41</v>
      </c>
      <c r="S2335">
        <v>2</v>
      </c>
    </row>
    <row r="2336" spans="1:19" x14ac:dyDescent="0.3">
      <c r="A2336">
        <v>1792</v>
      </c>
      <c r="B2336">
        <f>YEAR(Cleaned_HR_Data_Analysis__2[[#This Row],[Joining_Date]])</f>
        <v>2019</v>
      </c>
      <c r="C2336" s="1">
        <v>43606</v>
      </c>
      <c r="D2336" s="1" t="str" cm="1">
        <f t="array" ref="D2336">_xlfn.IFS(E2336&lt;28, "17-27",
AND(E2336&gt;27, E2336&lt;38), "28-37",
AND(E2336&gt;37, E2336 &lt;48), "38-47",
AND(E2336&gt;47, E2336 &lt;58), "48-57",
AND(E2336&gt;57, E2336&lt;68), "58-67",
AND(E2336&gt;67, E2336&lt;78), "68-77",
E2336&gt;77,"Above than 77")</f>
        <v>68-77</v>
      </c>
      <c r="E2336">
        <v>69</v>
      </c>
      <c r="F2336" s="1">
        <v>18355</v>
      </c>
      <c r="G2336" s="1" t="str">
        <f>VLOOKUP(H2336,Table7[#All], 2, FALSE)</f>
        <v>Massachusetts</v>
      </c>
      <c r="H2336" s="2" t="s">
        <v>14</v>
      </c>
      <c r="I2336" s="2" t="s">
        <v>22</v>
      </c>
      <c r="J2336" s="2" t="s">
        <v>40</v>
      </c>
      <c r="K2336" s="2" t="s">
        <v>8</v>
      </c>
      <c r="L2336" s="2" t="s">
        <v>9</v>
      </c>
      <c r="M2336" s="2" t="s">
        <v>25</v>
      </c>
      <c r="N2336" s="2" t="s">
        <v>11</v>
      </c>
      <c r="O2336" s="2" t="s">
        <v>12</v>
      </c>
      <c r="P2336" s="2" t="s">
        <v>57</v>
      </c>
      <c r="Q2336" s="2" t="s">
        <v>37</v>
      </c>
      <c r="R2336" s="2" t="s">
        <v>18</v>
      </c>
      <c r="S2336">
        <v>3</v>
      </c>
    </row>
    <row r="2337" spans="1:19" x14ac:dyDescent="0.3">
      <c r="A2337">
        <v>1733</v>
      </c>
      <c r="B2337">
        <f>YEAR(Cleaned_HR_Data_Analysis__2[[#This Row],[Joining_Date]])</f>
        <v>2019</v>
      </c>
      <c r="C2337" s="1">
        <v>43761</v>
      </c>
      <c r="D2337" s="1" t="str" cm="1">
        <f t="array" ref="D2337">_xlfn.IFS(E2337&lt;28, "17-27",
AND(E2337&gt;27, E2337&lt;38), "28-37",
AND(E2337&gt;37, E2337 &lt;48), "38-47",
AND(E2337&gt;47, E2337 &lt;58), "48-57",
AND(E2337&gt;57, E2337&lt;68), "58-67",
AND(E2337&gt;67, E2337&lt;78), "68-77",
E2337&gt;77,"Above than 77")</f>
        <v>68-77</v>
      </c>
      <c r="E2337">
        <v>69</v>
      </c>
      <c r="F2337" s="1">
        <v>18309</v>
      </c>
      <c r="G2337" s="1" t="str">
        <f>VLOOKUP(H2337,Table7[#All], 2, FALSE)</f>
        <v>Massachusetts</v>
      </c>
      <c r="H2337" s="2" t="s">
        <v>14</v>
      </c>
      <c r="I2337" s="2" t="s">
        <v>15</v>
      </c>
      <c r="J2337" s="2" t="s">
        <v>34</v>
      </c>
      <c r="K2337" s="2" t="s">
        <v>8</v>
      </c>
      <c r="L2337" s="2" t="s">
        <v>9</v>
      </c>
      <c r="M2337" s="2" t="s">
        <v>25</v>
      </c>
      <c r="N2337" s="2" t="s">
        <v>19</v>
      </c>
      <c r="O2337" s="2" t="s">
        <v>12</v>
      </c>
      <c r="P2337" s="2" t="s">
        <v>35</v>
      </c>
      <c r="Q2337" s="2" t="s">
        <v>37</v>
      </c>
      <c r="R2337" s="2" t="s">
        <v>18</v>
      </c>
      <c r="S2337">
        <v>5</v>
      </c>
    </row>
    <row r="2338" spans="1:19" x14ac:dyDescent="0.3">
      <c r="A2338">
        <v>1528</v>
      </c>
      <c r="B2338">
        <f>YEAR(Cleaned_HR_Data_Analysis__2[[#This Row],[Joining_Date]])</f>
        <v>2022</v>
      </c>
      <c r="C2338" s="1">
        <v>44884</v>
      </c>
      <c r="D2338" s="1" t="str" cm="1">
        <f t="array" ref="D2338">_xlfn.IFS(E2338&lt;28, "17-27",
AND(E2338&gt;27, E2338&lt;38), "28-37",
AND(E2338&gt;37, E2338 &lt;48), "38-47",
AND(E2338&gt;47, E2338 &lt;58), "48-57",
AND(E2338&gt;57, E2338&lt;68), "58-67",
AND(E2338&gt;67, E2338&lt;78), "68-77",
E2338&gt;77,"Above than 77")</f>
        <v>68-77</v>
      </c>
      <c r="E2338">
        <v>69</v>
      </c>
      <c r="F2338" s="1">
        <v>19690</v>
      </c>
      <c r="G2338" s="1" t="str">
        <f>VLOOKUP(H2338,Table7[#All], 2, FALSE)</f>
        <v>Massachusetts</v>
      </c>
      <c r="H2338" s="2" t="s">
        <v>14</v>
      </c>
      <c r="I2338" s="2" t="s">
        <v>15</v>
      </c>
      <c r="J2338" s="2" t="s">
        <v>17</v>
      </c>
      <c r="K2338" s="2" t="s">
        <v>8</v>
      </c>
      <c r="L2338" s="2" t="s">
        <v>9</v>
      </c>
      <c r="M2338" s="2" t="s">
        <v>20</v>
      </c>
      <c r="N2338" s="2" t="s">
        <v>19</v>
      </c>
      <c r="O2338" s="2" t="s">
        <v>12</v>
      </c>
      <c r="P2338" s="2" t="s">
        <v>35</v>
      </c>
      <c r="Q2338" s="2" t="s">
        <v>46</v>
      </c>
      <c r="R2338" s="2" t="s">
        <v>18</v>
      </c>
      <c r="S2338">
        <v>5</v>
      </c>
    </row>
    <row r="2339" spans="1:19" x14ac:dyDescent="0.3">
      <c r="A2339">
        <v>1301</v>
      </c>
      <c r="B2339">
        <f>YEAR(Cleaned_HR_Data_Analysis__2[[#This Row],[Joining_Date]])</f>
        <v>2019</v>
      </c>
      <c r="C2339" s="1">
        <v>43546</v>
      </c>
      <c r="D2339" s="1" t="str" cm="1">
        <f t="array" ref="D2339">_xlfn.IFS(E2339&lt;28, "17-27",
AND(E2339&gt;27, E2339&lt;38), "28-37",
AND(E2339&gt;37, E2339 &lt;48), "38-47",
AND(E2339&gt;47, E2339 &lt;58), "48-57",
AND(E2339&gt;57, E2339&lt;68), "58-67",
AND(E2339&gt;67, E2339&lt;78), "68-77",
E2339&gt;77,"Above than 77")</f>
        <v>68-77</v>
      </c>
      <c r="E2339">
        <v>69</v>
      </c>
      <c r="F2339" s="1">
        <v>18350</v>
      </c>
      <c r="G2339" s="1" t="str">
        <f>VLOOKUP(H2339,Table7[#All], 2, FALSE)</f>
        <v>Massachusetts</v>
      </c>
      <c r="H2339" s="2" t="s">
        <v>14</v>
      </c>
      <c r="I2339" s="2" t="s">
        <v>15</v>
      </c>
      <c r="J2339" s="2" t="s">
        <v>17</v>
      </c>
      <c r="K2339" s="2" t="s">
        <v>8</v>
      </c>
      <c r="L2339" s="2" t="s">
        <v>66</v>
      </c>
      <c r="M2339" s="2" t="s">
        <v>20</v>
      </c>
      <c r="N2339" s="2" t="s">
        <v>26</v>
      </c>
      <c r="O2339" s="2" t="s">
        <v>12</v>
      </c>
      <c r="P2339" s="2" t="s">
        <v>35</v>
      </c>
      <c r="Q2339" s="2" t="s">
        <v>46</v>
      </c>
      <c r="R2339" s="2" t="s">
        <v>18</v>
      </c>
      <c r="S2339">
        <v>4</v>
      </c>
    </row>
    <row r="2340" spans="1:19" x14ac:dyDescent="0.3">
      <c r="A2340">
        <v>1271</v>
      </c>
      <c r="B2340">
        <f>YEAR(Cleaned_HR_Data_Analysis__2[[#This Row],[Joining_Date]])</f>
        <v>2020</v>
      </c>
      <c r="C2340" s="1">
        <v>43947</v>
      </c>
      <c r="D2340" s="1" t="str" cm="1">
        <f t="array" ref="D2340">_xlfn.IFS(E2340&lt;28, "17-27",
AND(E2340&gt;27, E2340&lt;38), "28-37",
AND(E2340&gt;37, E2340 &lt;48), "38-47",
AND(E2340&gt;47, E2340 &lt;58), "48-57",
AND(E2340&gt;57, E2340&lt;68), "58-67",
AND(E2340&gt;67, E2340&lt;78), "68-77",
E2340&gt;77,"Above than 77")</f>
        <v>68-77</v>
      </c>
      <c r="E2340">
        <v>69</v>
      </c>
      <c r="F2340" s="1">
        <v>18948</v>
      </c>
      <c r="G2340" s="1" t="str">
        <f>VLOOKUP(H2340,Table7[#All], 2, FALSE)</f>
        <v>Massachusetts</v>
      </c>
      <c r="H2340" s="2" t="s">
        <v>14</v>
      </c>
      <c r="I2340" s="2" t="s">
        <v>15</v>
      </c>
      <c r="J2340" s="2" t="s">
        <v>17</v>
      </c>
      <c r="K2340" s="2" t="s">
        <v>8</v>
      </c>
      <c r="L2340" s="2" t="s">
        <v>9</v>
      </c>
      <c r="M2340" s="2" t="s">
        <v>25</v>
      </c>
      <c r="N2340" s="2" t="s">
        <v>19</v>
      </c>
      <c r="O2340" s="2" t="s">
        <v>12</v>
      </c>
      <c r="P2340" s="2" t="s">
        <v>28</v>
      </c>
      <c r="Q2340" s="2" t="s">
        <v>46</v>
      </c>
      <c r="R2340" s="2" t="s">
        <v>18</v>
      </c>
      <c r="S2340">
        <v>1</v>
      </c>
    </row>
    <row r="2341" spans="1:19" x14ac:dyDescent="0.3">
      <c r="A2341">
        <v>1220</v>
      </c>
      <c r="B2341">
        <f>YEAR(Cleaned_HR_Data_Analysis__2[[#This Row],[Joining_Date]])</f>
        <v>2018</v>
      </c>
      <c r="C2341" s="1">
        <v>43424</v>
      </c>
      <c r="D2341" s="1" t="str" cm="1">
        <f t="array" ref="D2341">_xlfn.IFS(E2341&lt;28, "17-27",
AND(E2341&gt;27, E2341&lt;38), "28-37",
AND(E2341&gt;37, E2341 &lt;48), "38-47",
AND(E2341&gt;47, E2341 &lt;58), "48-57",
AND(E2341&gt;57, E2341&lt;68), "58-67",
AND(E2341&gt;67, E2341&lt;78), "68-77",
E2341&gt;77,"Above than 77")</f>
        <v>68-77</v>
      </c>
      <c r="E2341">
        <v>69</v>
      </c>
      <c r="F2341" s="1">
        <v>18263</v>
      </c>
      <c r="G2341" s="1" t="str">
        <f>VLOOKUP(H2341,Table7[#All], 2, FALSE)</f>
        <v>Massachusetts</v>
      </c>
      <c r="H2341" s="2" t="s">
        <v>14</v>
      </c>
      <c r="I2341" s="2" t="s">
        <v>15</v>
      </c>
      <c r="J2341" s="2" t="s">
        <v>31</v>
      </c>
      <c r="K2341" s="2" t="s">
        <v>8</v>
      </c>
      <c r="L2341" s="2" t="s">
        <v>66</v>
      </c>
      <c r="M2341" s="2" t="s">
        <v>25</v>
      </c>
      <c r="N2341" s="2" t="s">
        <v>11</v>
      </c>
      <c r="O2341" s="2" t="s">
        <v>12</v>
      </c>
      <c r="P2341" s="2" t="s">
        <v>44</v>
      </c>
      <c r="Q2341" s="2" t="s">
        <v>46</v>
      </c>
      <c r="R2341" s="2" t="s">
        <v>18</v>
      </c>
      <c r="S2341">
        <v>2</v>
      </c>
    </row>
    <row r="2342" spans="1:19" x14ac:dyDescent="0.3">
      <c r="A2342">
        <v>1172</v>
      </c>
      <c r="B2342">
        <f>YEAR(Cleaned_HR_Data_Analysis__2[[#This Row],[Joining_Date]])</f>
        <v>2021</v>
      </c>
      <c r="C2342" s="1">
        <v>44360</v>
      </c>
      <c r="D2342" s="1" t="str" cm="1">
        <f t="array" ref="D2342">_xlfn.IFS(E2342&lt;28, "17-27",
AND(E2342&gt;27, E2342&lt;38), "28-37",
AND(E2342&gt;37, E2342 &lt;48), "38-47",
AND(E2342&gt;47, E2342 &lt;58), "48-57",
AND(E2342&gt;57, E2342&lt;68), "58-67",
AND(E2342&gt;67, E2342&lt;78), "68-77",
E2342&gt;77,"Above than 77")</f>
        <v>68-77</v>
      </c>
      <c r="E2342">
        <v>69</v>
      </c>
      <c r="F2342" s="1">
        <v>19134</v>
      </c>
      <c r="G2342" s="1" t="str">
        <f>VLOOKUP(H2342,Table7[#All], 2, FALSE)</f>
        <v>Massachusetts</v>
      </c>
      <c r="H2342" s="2" t="s">
        <v>14</v>
      </c>
      <c r="I2342" s="2" t="s">
        <v>22</v>
      </c>
      <c r="J2342" s="2" t="s">
        <v>34</v>
      </c>
      <c r="K2342" s="2" t="s">
        <v>8</v>
      </c>
      <c r="L2342" s="2" t="s">
        <v>66</v>
      </c>
      <c r="M2342" s="2" t="s">
        <v>25</v>
      </c>
      <c r="N2342" s="2" t="s">
        <v>11</v>
      </c>
      <c r="O2342" s="2" t="s">
        <v>12</v>
      </c>
      <c r="P2342" s="2" t="s">
        <v>42</v>
      </c>
      <c r="Q2342" s="2" t="s">
        <v>46</v>
      </c>
      <c r="R2342" s="2" t="s">
        <v>18</v>
      </c>
      <c r="S2342">
        <v>3</v>
      </c>
    </row>
    <row r="2343" spans="1:19" x14ac:dyDescent="0.3">
      <c r="A2343">
        <v>1171</v>
      </c>
      <c r="B2343">
        <f>YEAR(Cleaned_HR_Data_Analysis__2[[#This Row],[Joining_Date]])</f>
        <v>2022</v>
      </c>
      <c r="C2343" s="1">
        <v>44728</v>
      </c>
      <c r="D2343" s="1" t="str" cm="1">
        <f t="array" ref="D2343">_xlfn.IFS(E2343&lt;28, "17-27",
AND(E2343&gt;27, E2343&lt;38), "28-37",
AND(E2343&gt;37, E2343 &lt;48), "38-47",
AND(E2343&gt;47, E2343 &lt;58), "48-57",
AND(E2343&gt;57, E2343&lt;68), "58-67",
AND(E2343&gt;67, E2343&lt;78), "68-77",
E2343&gt;77,"Above than 77")</f>
        <v>68-77</v>
      </c>
      <c r="E2343">
        <v>69</v>
      </c>
      <c r="F2343" s="1">
        <v>19564</v>
      </c>
      <c r="G2343" s="1" t="str">
        <f>VLOOKUP(H2343,Table7[#All], 2, FALSE)</f>
        <v>Massachusetts</v>
      </c>
      <c r="H2343" s="2" t="s">
        <v>14</v>
      </c>
      <c r="I2343" s="2" t="s">
        <v>15</v>
      </c>
      <c r="J2343" s="2" t="s">
        <v>31</v>
      </c>
      <c r="K2343" s="2" t="s">
        <v>8</v>
      </c>
      <c r="L2343" s="2" t="s">
        <v>9</v>
      </c>
      <c r="M2343" s="2" t="s">
        <v>20</v>
      </c>
      <c r="N2343" s="2" t="s">
        <v>19</v>
      </c>
      <c r="O2343" s="2" t="s">
        <v>12</v>
      </c>
      <c r="P2343" s="2" t="s">
        <v>35</v>
      </c>
      <c r="Q2343" s="2" t="s">
        <v>23</v>
      </c>
      <c r="R2343" s="2" t="s">
        <v>18</v>
      </c>
      <c r="S2343">
        <v>1</v>
      </c>
    </row>
    <row r="2344" spans="1:19" x14ac:dyDescent="0.3">
      <c r="A2344">
        <v>2415</v>
      </c>
      <c r="B2344">
        <f>YEAR(Cleaned_HR_Data_Analysis__2[[#This Row],[Joining_Date]])</f>
        <v>2021</v>
      </c>
      <c r="C2344" s="1">
        <v>44235</v>
      </c>
      <c r="D2344" s="1" t="str" cm="1">
        <f t="array" ref="D2344">_xlfn.IFS(E2344&lt;28, "17-27",
AND(E2344&gt;27, E2344&lt;38), "28-37",
AND(E2344&gt;37, E2344 &lt;48), "38-47",
AND(E2344&gt;47, E2344 &lt;58), "48-57",
AND(E2344&gt;57, E2344&lt;68), "58-67",
AND(E2344&gt;67, E2344&lt;78), "68-77",
E2344&gt;77,"Above than 77")</f>
        <v>68-77</v>
      </c>
      <c r="E2344">
        <v>69</v>
      </c>
      <c r="F2344" s="1">
        <v>19247</v>
      </c>
      <c r="G2344" s="1" t="str">
        <f>VLOOKUP(H2344,Table7[#All], 2, FALSE)</f>
        <v>Massachusetts</v>
      </c>
      <c r="H2344" s="2" t="s">
        <v>14</v>
      </c>
      <c r="I2344" s="2" t="s">
        <v>15</v>
      </c>
      <c r="J2344" s="2" t="s">
        <v>34</v>
      </c>
      <c r="K2344" s="2" t="s">
        <v>91</v>
      </c>
      <c r="L2344" s="2" t="s">
        <v>9</v>
      </c>
      <c r="M2344" s="2" t="s">
        <v>25</v>
      </c>
      <c r="N2344" s="2" t="s">
        <v>26</v>
      </c>
      <c r="O2344" s="2" t="s">
        <v>12</v>
      </c>
      <c r="P2344" s="2" t="s">
        <v>35</v>
      </c>
      <c r="Q2344" s="2" t="s">
        <v>16</v>
      </c>
      <c r="R2344" s="2" t="s">
        <v>18</v>
      </c>
      <c r="S2344">
        <v>2</v>
      </c>
    </row>
    <row r="2345" spans="1:19" x14ac:dyDescent="0.3">
      <c r="A2345">
        <v>1164</v>
      </c>
      <c r="B2345">
        <f>YEAR(Cleaned_HR_Data_Analysis__2[[#This Row],[Joining_Date]])</f>
        <v>2019</v>
      </c>
      <c r="C2345" s="1">
        <v>43545</v>
      </c>
      <c r="D2345" s="1" t="str" cm="1">
        <f t="array" ref="D2345">_xlfn.IFS(E2345&lt;28, "17-27",
AND(E2345&gt;27, E2345&lt;38), "28-37",
AND(E2345&gt;37, E2345 &lt;48), "38-47",
AND(E2345&gt;47, E2345 &lt;58), "48-57",
AND(E2345&gt;57, E2345&lt;68), "58-67",
AND(E2345&gt;67, E2345&lt;78), "68-77",
E2345&gt;77,"Above than 77")</f>
        <v>68-77</v>
      </c>
      <c r="E2345">
        <v>69</v>
      </c>
      <c r="F2345" s="1">
        <v>18561</v>
      </c>
      <c r="G2345" s="1" t="str">
        <f>VLOOKUP(H2345,Table7[#All], 2, FALSE)</f>
        <v>Massachusetts</v>
      </c>
      <c r="H2345" s="2" t="s">
        <v>14</v>
      </c>
      <c r="I2345" s="2" t="s">
        <v>15</v>
      </c>
      <c r="J2345" s="2" t="s">
        <v>34</v>
      </c>
      <c r="K2345" s="2" t="s">
        <v>91</v>
      </c>
      <c r="L2345" s="2" t="s">
        <v>9</v>
      </c>
      <c r="M2345" s="2" t="s">
        <v>20</v>
      </c>
      <c r="N2345" s="2" t="s">
        <v>19</v>
      </c>
      <c r="O2345" s="2" t="s">
        <v>12</v>
      </c>
      <c r="P2345" s="2" t="s">
        <v>28</v>
      </c>
      <c r="Q2345" s="2" t="s">
        <v>30</v>
      </c>
      <c r="R2345" s="2" t="s">
        <v>18</v>
      </c>
      <c r="S2345">
        <v>5</v>
      </c>
    </row>
    <row r="2346" spans="1:19" x14ac:dyDescent="0.3">
      <c r="A2346">
        <v>3833</v>
      </c>
      <c r="B2346">
        <f>YEAR(Cleaned_HR_Data_Analysis__2[[#This Row],[Joining_Date]])</f>
        <v>2022</v>
      </c>
      <c r="C2346" s="1">
        <v>44587</v>
      </c>
      <c r="D2346" s="1" t="str" cm="1">
        <f t="array" ref="D2346">_xlfn.IFS(E2346&lt;28, "17-27",
AND(E2346&gt;27, E2346&lt;38), "28-37",
AND(E2346&gt;37, E2346 &lt;48), "38-47",
AND(E2346&gt;47, E2346 &lt;58), "48-57",
AND(E2346&gt;57, E2346&lt;68), "58-67",
AND(E2346&gt;67, E2346&lt;78), "68-77",
E2346&gt;77,"Above than 77")</f>
        <v>68-77</v>
      </c>
      <c r="E2346">
        <v>69</v>
      </c>
      <c r="F2346" s="1">
        <v>19491</v>
      </c>
      <c r="G2346" s="1" t="str">
        <f>VLOOKUP(H2346,Table7[#All], 2, FALSE)</f>
        <v>Massachusetts</v>
      </c>
      <c r="H2346" s="2" t="s">
        <v>14</v>
      </c>
      <c r="I2346" s="2" t="s">
        <v>22</v>
      </c>
      <c r="J2346" s="2" t="s">
        <v>31</v>
      </c>
      <c r="K2346" s="2" t="s">
        <v>71</v>
      </c>
      <c r="L2346" s="2" t="s">
        <v>9</v>
      </c>
      <c r="M2346" s="2" t="s">
        <v>25</v>
      </c>
      <c r="N2346" s="2" t="s">
        <v>19</v>
      </c>
      <c r="O2346" s="2" t="s">
        <v>73</v>
      </c>
      <c r="P2346" s="2" t="s">
        <v>35</v>
      </c>
      <c r="Q2346" s="2" t="s">
        <v>46</v>
      </c>
      <c r="R2346" s="2" t="s">
        <v>65</v>
      </c>
      <c r="S2346">
        <v>5</v>
      </c>
    </row>
    <row r="2347" spans="1:19" x14ac:dyDescent="0.3">
      <c r="A2347">
        <v>2262</v>
      </c>
      <c r="B2347">
        <f>YEAR(Cleaned_HR_Data_Analysis__2[[#This Row],[Joining_Date]])</f>
        <v>2019</v>
      </c>
      <c r="C2347" s="1">
        <v>43541</v>
      </c>
      <c r="D2347" s="1" t="str" cm="1">
        <f t="array" ref="D2347">_xlfn.IFS(E2347&lt;28, "17-27",
AND(E2347&gt;27, E2347&lt;38), "28-37",
AND(E2347&gt;37, E2347 &lt;48), "38-47",
AND(E2347&gt;47, E2347 &lt;58), "48-57",
AND(E2347&gt;57, E2347&lt;68), "58-67",
AND(E2347&gt;67, E2347&lt;78), "68-77",
E2347&gt;77,"Above than 77")</f>
        <v>68-77</v>
      </c>
      <c r="E2347">
        <v>69</v>
      </c>
      <c r="F2347" s="1">
        <v>18539</v>
      </c>
      <c r="G2347" s="1" t="str">
        <f>VLOOKUP(H2347,Table7[#All], 2, FALSE)</f>
        <v>Connecticut</v>
      </c>
      <c r="H2347" s="2" t="s">
        <v>36</v>
      </c>
      <c r="I2347" s="2" t="s">
        <v>15</v>
      </c>
      <c r="J2347" s="2" t="s">
        <v>40</v>
      </c>
      <c r="K2347" s="2" t="s">
        <v>70</v>
      </c>
      <c r="L2347" s="2" t="s">
        <v>9</v>
      </c>
      <c r="M2347" s="2" t="s">
        <v>10</v>
      </c>
      <c r="N2347" s="2" t="s">
        <v>19</v>
      </c>
      <c r="O2347" s="2" t="s">
        <v>53</v>
      </c>
      <c r="P2347" s="2" t="s">
        <v>42</v>
      </c>
      <c r="Q2347" s="2" t="s">
        <v>30</v>
      </c>
      <c r="R2347" s="2" t="s">
        <v>18</v>
      </c>
      <c r="S2347">
        <v>4</v>
      </c>
    </row>
    <row r="2348" spans="1:19" x14ac:dyDescent="0.3">
      <c r="A2348">
        <v>2243</v>
      </c>
      <c r="B2348">
        <f>YEAR(Cleaned_HR_Data_Analysis__2[[#This Row],[Joining_Date]])</f>
        <v>2023</v>
      </c>
      <c r="C2348" s="1">
        <v>45029</v>
      </c>
      <c r="D2348" s="1" t="str" cm="1">
        <f t="array" ref="D2348">_xlfn.IFS(E2348&lt;28, "17-27",
AND(E2348&gt;27, E2348&lt;38), "28-37",
AND(E2348&gt;37, E2348 &lt;48), "38-47",
AND(E2348&gt;47, E2348 &lt;58), "48-57",
AND(E2348&gt;57, E2348&lt;68), "58-67",
AND(E2348&gt;67, E2348&lt;78), "68-77",
E2348&gt;77,"Above than 77")</f>
        <v>68-77</v>
      </c>
      <c r="E2348">
        <v>69</v>
      </c>
      <c r="F2348" s="1">
        <v>19925</v>
      </c>
      <c r="G2348" s="1" t="str">
        <f>VLOOKUP(H2348,Table7[#All], 2, FALSE)</f>
        <v>Connecticut</v>
      </c>
      <c r="H2348" s="2" t="s">
        <v>36</v>
      </c>
      <c r="I2348" s="2" t="s">
        <v>15</v>
      </c>
      <c r="J2348" s="2" t="s">
        <v>34</v>
      </c>
      <c r="K2348" s="2" t="s">
        <v>70</v>
      </c>
      <c r="L2348" s="2" t="s">
        <v>9</v>
      </c>
      <c r="M2348" s="2" t="s">
        <v>25</v>
      </c>
      <c r="N2348" s="2" t="s">
        <v>19</v>
      </c>
      <c r="O2348" s="2" t="s">
        <v>53</v>
      </c>
      <c r="P2348" s="2" t="s">
        <v>13</v>
      </c>
      <c r="Q2348" s="2" t="s">
        <v>30</v>
      </c>
      <c r="R2348" s="2" t="s">
        <v>18</v>
      </c>
      <c r="S2348">
        <v>3</v>
      </c>
    </row>
    <row r="2349" spans="1:19" x14ac:dyDescent="0.3">
      <c r="A2349">
        <v>2525</v>
      </c>
      <c r="B2349">
        <f>YEAR(Cleaned_HR_Data_Analysis__2[[#This Row],[Joining_Date]])</f>
        <v>2021</v>
      </c>
      <c r="C2349" s="1">
        <v>44454</v>
      </c>
      <c r="D2349" s="1" t="str" cm="1">
        <f t="array" ref="D2349">_xlfn.IFS(E2349&lt;28, "17-27",
AND(E2349&gt;27, E2349&lt;38), "28-37",
AND(E2349&gt;37, E2349 &lt;48), "38-47",
AND(E2349&gt;47, E2349 &lt;58), "48-57",
AND(E2349&gt;57, E2349&lt;68), "58-67",
AND(E2349&gt;67, E2349&lt;78), "68-77",
E2349&gt;77,"Above than 77")</f>
        <v>68-77</v>
      </c>
      <c r="E2349">
        <v>69</v>
      </c>
      <c r="F2349" s="1">
        <v>19031</v>
      </c>
      <c r="G2349" s="1" t="str">
        <f>VLOOKUP(H2349,Table7[#All], 2, FALSE)</f>
        <v>Massachusetts</v>
      </c>
      <c r="H2349" s="2" t="s">
        <v>14</v>
      </c>
      <c r="I2349" s="2" t="s">
        <v>22</v>
      </c>
      <c r="J2349" s="2" t="s">
        <v>34</v>
      </c>
      <c r="K2349" s="2" t="s">
        <v>106</v>
      </c>
      <c r="L2349" s="2" t="s">
        <v>9</v>
      </c>
      <c r="M2349" s="2" t="s">
        <v>25</v>
      </c>
      <c r="N2349" s="2" t="s">
        <v>26</v>
      </c>
      <c r="O2349" s="2" t="s">
        <v>27</v>
      </c>
      <c r="P2349" s="2" t="s">
        <v>32</v>
      </c>
      <c r="Q2349" s="2" t="s">
        <v>30</v>
      </c>
      <c r="R2349" s="2" t="s">
        <v>18</v>
      </c>
      <c r="S2349">
        <v>5</v>
      </c>
    </row>
    <row r="2350" spans="1:19" x14ac:dyDescent="0.3">
      <c r="A2350">
        <v>1673</v>
      </c>
      <c r="B2350">
        <f>YEAR(Cleaned_HR_Data_Analysis__2[[#This Row],[Joining_Date]])</f>
        <v>2019</v>
      </c>
      <c r="C2350" s="1">
        <v>43698</v>
      </c>
      <c r="D2350" s="1" t="str" cm="1">
        <f t="array" ref="D2350">_xlfn.IFS(E2350&lt;28, "17-27",
AND(E2350&gt;27, E2350&lt;38), "28-37",
AND(E2350&gt;37, E2350 &lt;48), "38-47",
AND(E2350&gt;47, E2350 &lt;58), "48-57",
AND(E2350&gt;57, E2350&lt;68), "58-67",
AND(E2350&gt;67, E2350&lt;78), "68-77",
E2350&gt;77,"Above than 77")</f>
        <v>68-77</v>
      </c>
      <c r="E2350">
        <v>69</v>
      </c>
      <c r="F2350" s="1">
        <v>18574</v>
      </c>
      <c r="G2350" s="1" t="str">
        <f>VLOOKUP(H2350,Table7[#All], 2, FALSE)</f>
        <v>Massachusetts</v>
      </c>
      <c r="H2350" s="2" t="s">
        <v>14</v>
      </c>
      <c r="I2350" s="2" t="s">
        <v>15</v>
      </c>
      <c r="J2350" s="2" t="s">
        <v>17</v>
      </c>
      <c r="K2350" s="2" t="s">
        <v>83</v>
      </c>
      <c r="L2350" s="2" t="s">
        <v>9</v>
      </c>
      <c r="M2350" s="2" t="s">
        <v>20</v>
      </c>
      <c r="N2350" s="2" t="s">
        <v>11</v>
      </c>
      <c r="O2350" s="2" t="s">
        <v>53</v>
      </c>
      <c r="P2350" s="2" t="s">
        <v>32</v>
      </c>
      <c r="Q2350" s="2" t="s">
        <v>30</v>
      </c>
      <c r="R2350" s="2" t="s">
        <v>18</v>
      </c>
      <c r="S2350">
        <v>5</v>
      </c>
    </row>
    <row r="2351" spans="1:19" x14ac:dyDescent="0.3">
      <c r="A2351">
        <v>2683</v>
      </c>
      <c r="B2351">
        <f>YEAR(Cleaned_HR_Data_Analysis__2[[#This Row],[Joining_Date]])</f>
        <v>2021</v>
      </c>
      <c r="C2351" s="1">
        <v>44561</v>
      </c>
      <c r="D2351" s="1" t="str" cm="1">
        <f t="array" ref="D2351">_xlfn.IFS(E2351&lt;28, "17-27",
AND(E2351&gt;27, E2351&lt;38), "28-37",
AND(E2351&gt;37, E2351 &lt;48), "38-47",
AND(E2351&gt;47, E2351 &lt;58), "48-57",
AND(E2351&gt;57, E2351&lt;68), "58-67",
AND(E2351&gt;67, E2351&lt;78), "68-77",
E2351&gt;77,"Above than 77")</f>
        <v>68-77</v>
      </c>
      <c r="E2351">
        <v>69</v>
      </c>
      <c r="F2351" s="1">
        <v>19281</v>
      </c>
      <c r="G2351" s="1" t="str">
        <f>VLOOKUP(H2351,Table7[#All], 2, FALSE)</f>
        <v>Washington</v>
      </c>
      <c r="H2351" s="2" t="s">
        <v>113</v>
      </c>
      <c r="I2351" s="2" t="s">
        <v>15</v>
      </c>
      <c r="J2351" s="2" t="s">
        <v>40</v>
      </c>
      <c r="K2351" s="2" t="s">
        <v>24</v>
      </c>
      <c r="L2351" s="2" t="s">
        <v>9</v>
      </c>
      <c r="M2351" s="2" t="s">
        <v>10</v>
      </c>
      <c r="N2351" s="2" t="s">
        <v>19</v>
      </c>
      <c r="O2351" s="2" t="s">
        <v>27</v>
      </c>
      <c r="P2351" s="2" t="s">
        <v>32</v>
      </c>
      <c r="Q2351" s="2" t="s">
        <v>30</v>
      </c>
      <c r="R2351" s="2" t="s">
        <v>18</v>
      </c>
      <c r="S2351">
        <v>4</v>
      </c>
    </row>
    <row r="2352" spans="1:19" x14ac:dyDescent="0.3">
      <c r="A2352">
        <v>3489</v>
      </c>
      <c r="B2352">
        <f>YEAR(Cleaned_HR_Data_Analysis__2[[#This Row],[Joining_Date]])</f>
        <v>2022</v>
      </c>
      <c r="C2352" s="1">
        <v>44624</v>
      </c>
      <c r="D2352" s="1" t="str" cm="1">
        <f t="array" ref="D2352">_xlfn.IFS(E2352&lt;28, "17-27",
AND(E2352&gt;27, E2352&lt;38), "28-37",
AND(E2352&gt;37, E2352 &lt;48), "38-47",
AND(E2352&gt;47, E2352 &lt;58), "48-57",
AND(E2352&gt;57, E2352&lt;68), "58-67",
AND(E2352&gt;67, E2352&lt;78), "68-77",
E2352&gt;77,"Above than 77")</f>
        <v>68-77</v>
      </c>
      <c r="E2352">
        <v>69</v>
      </c>
      <c r="F2352" s="1">
        <v>19481</v>
      </c>
      <c r="G2352" s="1" t="str">
        <f>VLOOKUP(H2352,Table7[#All], 2, FALSE)</f>
        <v>Texas</v>
      </c>
      <c r="H2352" s="2" t="s">
        <v>45</v>
      </c>
      <c r="I2352" s="2" t="s">
        <v>15</v>
      </c>
      <c r="J2352" s="2" t="s">
        <v>40</v>
      </c>
      <c r="K2352" s="2" t="s">
        <v>24</v>
      </c>
      <c r="L2352" s="2" t="s">
        <v>9</v>
      </c>
      <c r="M2352" s="2" t="s">
        <v>20</v>
      </c>
      <c r="N2352" s="2" t="s">
        <v>19</v>
      </c>
      <c r="O2352" s="2" t="s">
        <v>27</v>
      </c>
      <c r="P2352" s="2" t="s">
        <v>35</v>
      </c>
      <c r="Q2352" s="2" t="s">
        <v>37</v>
      </c>
      <c r="R2352" s="2" t="s">
        <v>18</v>
      </c>
      <c r="S2352">
        <v>4</v>
      </c>
    </row>
    <row r="2353" spans="1:19" x14ac:dyDescent="0.3">
      <c r="A2353">
        <v>3463</v>
      </c>
      <c r="B2353">
        <f>YEAR(Cleaned_HR_Data_Analysis__2[[#This Row],[Joining_Date]])</f>
        <v>2020</v>
      </c>
      <c r="C2353" s="1">
        <v>43951</v>
      </c>
      <c r="D2353" s="1" t="str" cm="1">
        <f t="array" ref="D2353">_xlfn.IFS(E2353&lt;28, "17-27",
AND(E2353&gt;27, E2353&lt;38), "28-37",
AND(E2353&gt;37, E2353 &lt;48), "38-47",
AND(E2353&gt;47, E2353 &lt;58), "48-57",
AND(E2353&gt;57, E2353&lt;68), "58-67",
AND(E2353&gt;67, E2353&lt;78), "68-77",
E2353&gt;77,"Above than 77")</f>
        <v>68-77</v>
      </c>
      <c r="E2353">
        <v>69</v>
      </c>
      <c r="F2353" s="1">
        <v>18800</v>
      </c>
      <c r="G2353" s="1" t="str">
        <f>VLOOKUP(H2353,Table7[#All], 2, FALSE)</f>
        <v>Indiana</v>
      </c>
      <c r="H2353" s="2" t="s">
        <v>47</v>
      </c>
      <c r="I2353" s="2" t="s">
        <v>22</v>
      </c>
      <c r="J2353" s="2" t="s">
        <v>31</v>
      </c>
      <c r="K2353" s="2" t="s">
        <v>24</v>
      </c>
      <c r="L2353" s="2" t="s">
        <v>9</v>
      </c>
      <c r="M2353" s="2" t="s">
        <v>20</v>
      </c>
      <c r="N2353" s="2" t="s">
        <v>19</v>
      </c>
      <c r="O2353" s="2" t="s">
        <v>27</v>
      </c>
      <c r="P2353" s="2" t="s">
        <v>35</v>
      </c>
      <c r="Q2353" s="2" t="s">
        <v>23</v>
      </c>
      <c r="R2353" s="2" t="s">
        <v>18</v>
      </c>
      <c r="S2353">
        <v>3</v>
      </c>
    </row>
    <row r="2354" spans="1:19" x14ac:dyDescent="0.3">
      <c r="A2354">
        <v>2696</v>
      </c>
      <c r="B2354">
        <f>YEAR(Cleaned_HR_Data_Analysis__2[[#This Row],[Joining_Date]])</f>
        <v>2022</v>
      </c>
      <c r="C2354" s="1">
        <v>44885</v>
      </c>
      <c r="D2354" s="1" t="str" cm="1">
        <f t="array" ref="D2354">_xlfn.IFS(E2354&lt;28, "17-27",
AND(E2354&gt;27, E2354&lt;38), "28-37",
AND(E2354&gt;37, E2354 &lt;48), "38-47",
AND(E2354&gt;47, E2354 &lt;58), "48-57",
AND(E2354&gt;57, E2354&lt;68), "58-67",
AND(E2354&gt;67, E2354&lt;78), "68-77",
E2354&gt;77,"Above than 77")</f>
        <v>68-77</v>
      </c>
      <c r="E2354">
        <v>69</v>
      </c>
      <c r="F2354" s="1">
        <v>19427</v>
      </c>
      <c r="G2354" s="1" t="str">
        <f>VLOOKUP(H2354,Table7[#All], 2, FALSE)</f>
        <v>Idaho</v>
      </c>
      <c r="H2354" s="2" t="s">
        <v>111</v>
      </c>
      <c r="I2354" s="2" t="s">
        <v>22</v>
      </c>
      <c r="J2354" s="2" t="s">
        <v>34</v>
      </c>
      <c r="K2354" s="2" t="s">
        <v>24</v>
      </c>
      <c r="L2354" s="2" t="s">
        <v>9</v>
      </c>
      <c r="M2354" s="2" t="s">
        <v>10</v>
      </c>
      <c r="N2354" s="2" t="s">
        <v>19</v>
      </c>
      <c r="O2354" s="2" t="s">
        <v>27</v>
      </c>
      <c r="P2354" s="2" t="s">
        <v>54</v>
      </c>
      <c r="Q2354" s="2" t="s">
        <v>30</v>
      </c>
      <c r="R2354" s="2" t="s">
        <v>18</v>
      </c>
      <c r="S2354">
        <v>1</v>
      </c>
    </row>
    <row r="2355" spans="1:19" x14ac:dyDescent="0.3">
      <c r="A2355">
        <v>2647</v>
      </c>
      <c r="B2355">
        <f>YEAR(Cleaned_HR_Data_Analysis__2[[#This Row],[Joining_Date]])</f>
        <v>2019</v>
      </c>
      <c r="C2355" s="1">
        <v>43474</v>
      </c>
      <c r="D2355" s="1" t="str" cm="1">
        <f t="array" ref="D2355">_xlfn.IFS(E2355&lt;28, "17-27",
AND(E2355&gt;27, E2355&lt;38), "28-37",
AND(E2355&gt;37, E2355 &lt;48), "38-47",
AND(E2355&gt;47, E2355 &lt;58), "48-57",
AND(E2355&gt;57, E2355&lt;68), "58-67",
AND(E2355&gt;67, E2355&lt;78), "68-77",
E2355&gt;77,"Above than 77")</f>
        <v>68-77</v>
      </c>
      <c r="E2355">
        <v>69</v>
      </c>
      <c r="F2355" s="1">
        <v>18570</v>
      </c>
      <c r="G2355" s="1" t="str">
        <f>VLOOKUP(H2355,Table7[#All], 2, FALSE)</f>
        <v>Idaho</v>
      </c>
      <c r="H2355" s="2" t="s">
        <v>111</v>
      </c>
      <c r="I2355" s="2" t="s">
        <v>22</v>
      </c>
      <c r="J2355" s="2" t="s">
        <v>31</v>
      </c>
      <c r="K2355" s="2" t="s">
        <v>24</v>
      </c>
      <c r="L2355" s="2" t="s">
        <v>9</v>
      </c>
      <c r="M2355" s="2" t="s">
        <v>10</v>
      </c>
      <c r="N2355" s="2" t="s">
        <v>19</v>
      </c>
      <c r="O2355" s="2" t="s">
        <v>27</v>
      </c>
      <c r="P2355" s="2" t="s">
        <v>54</v>
      </c>
      <c r="Q2355" s="2" t="s">
        <v>23</v>
      </c>
      <c r="R2355" s="2" t="s">
        <v>18</v>
      </c>
      <c r="S2355">
        <v>5</v>
      </c>
    </row>
    <row r="2356" spans="1:19" x14ac:dyDescent="0.3">
      <c r="A2356">
        <v>2606</v>
      </c>
      <c r="B2356">
        <f>YEAR(Cleaned_HR_Data_Analysis__2[[#This Row],[Joining_Date]])</f>
        <v>2020</v>
      </c>
      <c r="C2356" s="1">
        <v>44127</v>
      </c>
      <c r="D2356" s="1" t="str" cm="1">
        <f t="array" ref="D2356">_xlfn.IFS(E2356&lt;28, "17-27",
AND(E2356&gt;27, E2356&lt;38), "28-37",
AND(E2356&gt;37, E2356 &lt;48), "38-47",
AND(E2356&gt;47, E2356 &lt;58), "48-57",
AND(E2356&gt;57, E2356&lt;68), "58-67",
AND(E2356&gt;67, E2356&lt;78), "68-77",
E2356&gt;77,"Above than 77")</f>
        <v>68-77</v>
      </c>
      <c r="E2356">
        <v>69</v>
      </c>
      <c r="F2356" s="1">
        <v>18842</v>
      </c>
      <c r="G2356" s="1" t="str">
        <f>VLOOKUP(H2356,Table7[#All], 2, FALSE)</f>
        <v>Arizona</v>
      </c>
      <c r="H2356" s="2" t="s">
        <v>114</v>
      </c>
      <c r="I2356" s="2" t="s">
        <v>22</v>
      </c>
      <c r="J2356" s="2" t="s">
        <v>31</v>
      </c>
      <c r="K2356" s="2" t="s">
        <v>24</v>
      </c>
      <c r="L2356" s="2" t="s">
        <v>9</v>
      </c>
      <c r="M2356" s="2" t="s">
        <v>25</v>
      </c>
      <c r="N2356" s="2" t="s">
        <v>11</v>
      </c>
      <c r="O2356" s="2" t="s">
        <v>27</v>
      </c>
      <c r="P2356" s="2" t="s">
        <v>54</v>
      </c>
      <c r="Q2356" s="2" t="s">
        <v>16</v>
      </c>
      <c r="R2356" s="2" t="s">
        <v>18</v>
      </c>
      <c r="S2356">
        <v>5</v>
      </c>
    </row>
    <row r="2357" spans="1:19" x14ac:dyDescent="0.3">
      <c r="A2357">
        <v>2652</v>
      </c>
      <c r="B2357">
        <f>YEAR(Cleaned_HR_Data_Analysis__2[[#This Row],[Joining_Date]])</f>
        <v>2023</v>
      </c>
      <c r="C2357" s="1">
        <v>45116</v>
      </c>
      <c r="D2357" s="1" t="str" cm="1">
        <f t="array" ref="D2357">_xlfn.IFS(E2357&lt;28, "17-27",
AND(E2357&gt;27, E2357&lt;38), "28-37",
AND(E2357&gt;37, E2357 &lt;48), "38-47",
AND(E2357&gt;47, E2357 &lt;58), "48-57",
AND(E2357&gt;57, E2357&lt;68), "58-67",
AND(E2357&gt;67, E2357&lt;78), "68-77",
E2357&gt;77,"Above than 77")</f>
        <v>68-77</v>
      </c>
      <c r="E2357">
        <v>69</v>
      </c>
      <c r="F2357" s="1">
        <v>19791</v>
      </c>
      <c r="G2357" s="1" t="str">
        <f>VLOOKUP(H2357,Table7[#All], 2, FALSE)</f>
        <v>Massachusetts</v>
      </c>
      <c r="H2357" s="2" t="s">
        <v>14</v>
      </c>
      <c r="I2357" s="2" t="s">
        <v>15</v>
      </c>
      <c r="J2357" s="2" t="s">
        <v>17</v>
      </c>
      <c r="K2357" s="2" t="s">
        <v>95</v>
      </c>
      <c r="L2357" s="2" t="s">
        <v>9</v>
      </c>
      <c r="M2357" s="2" t="s">
        <v>10</v>
      </c>
      <c r="N2357" s="2" t="s">
        <v>11</v>
      </c>
      <c r="O2357" s="2" t="s">
        <v>27</v>
      </c>
      <c r="P2357" s="2" t="s">
        <v>28</v>
      </c>
      <c r="Q2357" s="2" t="s">
        <v>30</v>
      </c>
      <c r="R2357" s="2" t="s">
        <v>18</v>
      </c>
      <c r="S2357">
        <v>4</v>
      </c>
    </row>
    <row r="2358" spans="1:19" x14ac:dyDescent="0.3">
      <c r="A2358">
        <v>1323</v>
      </c>
      <c r="B2358">
        <f>YEAR(Cleaned_HR_Data_Analysis__2[[#This Row],[Joining_Date]])</f>
        <v>2022</v>
      </c>
      <c r="C2358" s="1">
        <v>44901</v>
      </c>
      <c r="D2358" s="1" t="str" cm="1">
        <f t="array" ref="D2358">_xlfn.IFS(E2358&lt;28, "17-27",
AND(E2358&gt;27, E2358&lt;38), "28-37",
AND(E2358&gt;37, E2358 &lt;48), "38-47",
AND(E2358&gt;47, E2358 &lt;58), "48-57",
AND(E2358&gt;57, E2358&lt;68), "58-67",
AND(E2358&gt;67, E2358&lt;78), "68-77",
E2358&gt;77,"Above than 77")</f>
        <v>68-77</v>
      </c>
      <c r="E2358">
        <v>69</v>
      </c>
      <c r="F2358" s="1">
        <v>19437</v>
      </c>
      <c r="G2358" s="1" t="str">
        <f>VLOOKUP(H2358,Table7[#All], 2, FALSE)</f>
        <v>Massachusetts</v>
      </c>
      <c r="H2358" s="2" t="s">
        <v>14</v>
      </c>
      <c r="I2358" s="2" t="s">
        <v>15</v>
      </c>
      <c r="J2358" s="2" t="s">
        <v>40</v>
      </c>
      <c r="K2358" s="2" t="s">
        <v>95</v>
      </c>
      <c r="L2358" s="2" t="s">
        <v>9</v>
      </c>
      <c r="M2358" s="2" t="s">
        <v>25</v>
      </c>
      <c r="N2358" s="2" t="s">
        <v>26</v>
      </c>
      <c r="O2358" s="2" t="s">
        <v>90</v>
      </c>
      <c r="P2358" s="2" t="s">
        <v>21</v>
      </c>
      <c r="Q2358" s="2" t="s">
        <v>37</v>
      </c>
      <c r="R2358" s="2" t="s">
        <v>18</v>
      </c>
      <c r="S2358">
        <v>1</v>
      </c>
    </row>
    <row r="2359" spans="1:19" x14ac:dyDescent="0.3">
      <c r="A2359">
        <v>3989</v>
      </c>
      <c r="B2359">
        <f>YEAR(Cleaned_HR_Data_Analysis__2[[#This Row],[Joining_Date]])</f>
        <v>2022</v>
      </c>
      <c r="C2359" s="1">
        <v>44753</v>
      </c>
      <c r="D2359" s="1" t="str" cm="1">
        <f t="array" ref="D2359">_xlfn.IFS(E2359&lt;28, "17-27",
AND(E2359&gt;27, E2359&lt;38), "28-37",
AND(E2359&gt;37, E2359 &lt;48), "38-47",
AND(E2359&gt;47, E2359 &lt;58), "48-57",
AND(E2359&gt;57, E2359&lt;68), "58-67",
AND(E2359&gt;67, E2359&lt;78), "68-77",
E2359&gt;77,"Above than 77")</f>
        <v>68-77</v>
      </c>
      <c r="E2359">
        <v>70</v>
      </c>
      <c r="F2359" s="1">
        <v>19163</v>
      </c>
      <c r="G2359" s="1" t="str">
        <f>VLOOKUP(H2359,Table7[#All], 2, FALSE)</f>
        <v>Massachusetts</v>
      </c>
      <c r="H2359" s="2" t="s">
        <v>14</v>
      </c>
      <c r="I2359" s="2" t="s">
        <v>15</v>
      </c>
      <c r="J2359" s="2" t="s">
        <v>17</v>
      </c>
      <c r="K2359" s="2" t="s">
        <v>79</v>
      </c>
      <c r="L2359" s="2" t="s">
        <v>9</v>
      </c>
      <c r="M2359" s="2" t="s">
        <v>25</v>
      </c>
      <c r="N2359" s="2" t="s">
        <v>11</v>
      </c>
      <c r="O2359" s="2" t="s">
        <v>53</v>
      </c>
      <c r="P2359" s="2" t="s">
        <v>32</v>
      </c>
      <c r="Q2359" s="2" t="s">
        <v>46</v>
      </c>
      <c r="R2359" s="2" t="s">
        <v>18</v>
      </c>
      <c r="S2359">
        <v>1</v>
      </c>
    </row>
    <row r="2360" spans="1:19" x14ac:dyDescent="0.3">
      <c r="A2360">
        <v>2501</v>
      </c>
      <c r="B2360">
        <f>YEAR(Cleaned_HR_Data_Analysis__2[[#This Row],[Joining_Date]])</f>
        <v>2022</v>
      </c>
      <c r="C2360" s="1">
        <v>44920</v>
      </c>
      <c r="D2360" s="1" t="str" cm="1">
        <f t="array" ref="D2360">_xlfn.IFS(E2360&lt;28, "17-27",
AND(E2360&gt;27, E2360&lt;38), "28-37",
AND(E2360&gt;37, E2360 &lt;48), "38-47",
AND(E2360&gt;47, E2360 &lt;58), "48-57",
AND(E2360&gt;57, E2360&lt;68), "58-67",
AND(E2360&gt;67, E2360&lt;78), "68-77",
E2360&gt;77,"Above than 77")</f>
        <v>68-77</v>
      </c>
      <c r="E2360">
        <v>70</v>
      </c>
      <c r="F2360" s="1">
        <v>19279</v>
      </c>
      <c r="G2360" s="1" t="str">
        <f>VLOOKUP(H2360,Table7[#All], 2, FALSE)</f>
        <v>Massachusetts</v>
      </c>
      <c r="H2360" s="2" t="s">
        <v>14</v>
      </c>
      <c r="I2360" s="2" t="s">
        <v>22</v>
      </c>
      <c r="J2360" s="2" t="s">
        <v>40</v>
      </c>
      <c r="K2360" s="2" t="s">
        <v>86</v>
      </c>
      <c r="L2360" s="2" t="s">
        <v>9</v>
      </c>
      <c r="M2360" s="2" t="s">
        <v>25</v>
      </c>
      <c r="N2360" s="2" t="s">
        <v>19</v>
      </c>
      <c r="O2360" s="2" t="s">
        <v>87</v>
      </c>
      <c r="P2360" s="2" t="s">
        <v>13</v>
      </c>
      <c r="Q2360" s="2" t="s">
        <v>37</v>
      </c>
      <c r="R2360" s="2" t="s">
        <v>18</v>
      </c>
      <c r="S2360">
        <v>5</v>
      </c>
    </row>
    <row r="2361" spans="1:19" x14ac:dyDescent="0.3">
      <c r="A2361">
        <v>1089</v>
      </c>
      <c r="B2361">
        <f>YEAR(Cleaned_HR_Data_Analysis__2[[#This Row],[Joining_Date]])</f>
        <v>2023</v>
      </c>
      <c r="C2361" s="1">
        <v>45073</v>
      </c>
      <c r="D2361" s="1" t="str" cm="1">
        <f t="array" ref="D2361">_xlfn.IFS(E2361&lt;28, "17-27",
AND(E2361&gt;27, E2361&lt;38), "28-37",
AND(E2361&gt;37, E2361 &lt;48), "38-47",
AND(E2361&gt;47, E2361 &lt;58), "48-57",
AND(E2361&gt;57, E2361&lt;68), "58-67",
AND(E2361&gt;67, E2361&lt;78), "68-77",
E2361&gt;77,"Above than 77")</f>
        <v>68-77</v>
      </c>
      <c r="E2361">
        <v>70</v>
      </c>
      <c r="F2361" s="1">
        <v>19478</v>
      </c>
      <c r="G2361" s="1" t="str">
        <f>VLOOKUP(H2361,Table7[#All], 2, FALSE)</f>
        <v>Massachusetts</v>
      </c>
      <c r="H2361" s="2" t="s">
        <v>14</v>
      </c>
      <c r="I2361" s="2" t="s">
        <v>15</v>
      </c>
      <c r="J2361" s="2" t="s">
        <v>34</v>
      </c>
      <c r="K2361" s="2" t="s">
        <v>86</v>
      </c>
      <c r="L2361" s="2" t="s">
        <v>9</v>
      </c>
      <c r="M2361" s="2" t="s">
        <v>25</v>
      </c>
      <c r="N2361" s="2" t="s">
        <v>19</v>
      </c>
      <c r="O2361" s="2" t="s">
        <v>87</v>
      </c>
      <c r="P2361" s="2" t="s">
        <v>59</v>
      </c>
      <c r="Q2361" s="2" t="s">
        <v>37</v>
      </c>
      <c r="R2361" s="2" t="s">
        <v>18</v>
      </c>
      <c r="S2361">
        <v>1</v>
      </c>
    </row>
    <row r="2362" spans="1:19" x14ac:dyDescent="0.3">
      <c r="A2362">
        <v>1085</v>
      </c>
      <c r="B2362">
        <f>YEAR(Cleaned_HR_Data_Analysis__2[[#This Row],[Joining_Date]])</f>
        <v>2022</v>
      </c>
      <c r="C2362" s="1">
        <v>44647</v>
      </c>
      <c r="D2362" s="1" t="str" cm="1">
        <f t="array" ref="D2362">_xlfn.IFS(E2362&lt;28, "17-27",
AND(E2362&gt;27, E2362&lt;38), "28-37",
AND(E2362&gt;37, E2362 &lt;48), "38-47",
AND(E2362&gt;47, E2362 &lt;58), "48-57",
AND(E2362&gt;57, E2362&lt;68), "58-67",
AND(E2362&gt;67, E2362&lt;78), "68-77",
E2362&gt;77,"Above than 77")</f>
        <v>68-77</v>
      </c>
      <c r="E2362">
        <v>70</v>
      </c>
      <c r="F2362" s="1">
        <v>19063</v>
      </c>
      <c r="G2362" s="1" t="str">
        <f>VLOOKUP(H2362,Table7[#All], 2, FALSE)</f>
        <v>Massachusetts</v>
      </c>
      <c r="H2362" s="2" t="s">
        <v>14</v>
      </c>
      <c r="I2362" s="2" t="s">
        <v>22</v>
      </c>
      <c r="J2362" s="2" t="s">
        <v>40</v>
      </c>
      <c r="K2362" s="2" t="s">
        <v>86</v>
      </c>
      <c r="L2362" s="2" t="s">
        <v>9</v>
      </c>
      <c r="M2362" s="2" t="s">
        <v>10</v>
      </c>
      <c r="N2362" s="2" t="s">
        <v>26</v>
      </c>
      <c r="O2362" s="2" t="s">
        <v>87</v>
      </c>
      <c r="P2362" s="2" t="s">
        <v>32</v>
      </c>
      <c r="Q2362" s="2" t="s">
        <v>30</v>
      </c>
      <c r="R2362" s="2" t="s">
        <v>18</v>
      </c>
      <c r="S2362">
        <v>5</v>
      </c>
    </row>
    <row r="2363" spans="1:19" x14ac:dyDescent="0.3">
      <c r="A2363">
        <v>3599</v>
      </c>
      <c r="B2363">
        <f>YEAR(Cleaned_HR_Data_Analysis__2[[#This Row],[Joining_Date]])</f>
        <v>2020</v>
      </c>
      <c r="C2363" s="1">
        <v>43933</v>
      </c>
      <c r="D2363" s="1" t="str" cm="1">
        <f t="array" ref="D2363">_xlfn.IFS(E2363&lt;28, "17-27",
AND(E2363&gt;27, E2363&lt;38), "28-37",
AND(E2363&gt;37, E2363 &lt;48), "38-47",
AND(E2363&gt;47, E2363 &lt;58), "48-57",
AND(E2363&gt;57, E2363&lt;68), "58-67",
AND(E2363&gt;67, E2363&lt;78), "68-77",
E2363&gt;77,"Above than 77")</f>
        <v>68-77</v>
      </c>
      <c r="E2363">
        <v>70</v>
      </c>
      <c r="F2363" s="1">
        <v>18353</v>
      </c>
      <c r="G2363" s="1" t="str">
        <f>VLOOKUP(H2363,Table7[#All], 2, FALSE)</f>
        <v>Massachusetts</v>
      </c>
      <c r="H2363" s="2" t="s">
        <v>14</v>
      </c>
      <c r="I2363" s="2" t="s">
        <v>15</v>
      </c>
      <c r="J2363" s="2" t="s">
        <v>40</v>
      </c>
      <c r="K2363" s="2" t="s">
        <v>64</v>
      </c>
      <c r="L2363" s="2" t="s">
        <v>9</v>
      </c>
      <c r="M2363" s="2" t="s">
        <v>20</v>
      </c>
      <c r="N2363" s="2" t="s">
        <v>19</v>
      </c>
      <c r="O2363" s="2" t="s">
        <v>12</v>
      </c>
      <c r="P2363" s="2" t="s">
        <v>32</v>
      </c>
      <c r="Q2363" s="2" t="s">
        <v>16</v>
      </c>
      <c r="R2363" s="2" t="s">
        <v>18</v>
      </c>
      <c r="S2363">
        <v>4</v>
      </c>
    </row>
    <row r="2364" spans="1:19" x14ac:dyDescent="0.3">
      <c r="A2364">
        <v>3007</v>
      </c>
      <c r="B2364">
        <f>YEAR(Cleaned_HR_Data_Analysis__2[[#This Row],[Joining_Date]])</f>
        <v>2019</v>
      </c>
      <c r="C2364" s="1">
        <v>43545</v>
      </c>
      <c r="D2364" s="1" t="str" cm="1">
        <f t="array" ref="D2364">_xlfn.IFS(E2364&lt;28, "17-27",
AND(E2364&gt;27, E2364&lt;38), "28-37",
AND(E2364&gt;37, E2364 &lt;48), "38-47",
AND(E2364&gt;47, E2364 &lt;58), "48-57",
AND(E2364&gt;57, E2364&lt;68), "58-67",
AND(E2364&gt;67, E2364&lt;78), "68-77",
E2364&gt;77,"Above than 77")</f>
        <v>68-77</v>
      </c>
      <c r="E2364">
        <v>70</v>
      </c>
      <c r="F2364" s="1">
        <v>18184</v>
      </c>
      <c r="G2364" s="1" t="str">
        <f>VLOOKUP(H2364,Table7[#All], 2, FALSE)</f>
        <v>Massachusetts</v>
      </c>
      <c r="H2364" s="2" t="s">
        <v>14</v>
      </c>
      <c r="I2364" s="2" t="s">
        <v>15</v>
      </c>
      <c r="J2364" s="2" t="s">
        <v>34</v>
      </c>
      <c r="K2364" s="2" t="s">
        <v>64</v>
      </c>
      <c r="L2364" s="2" t="s">
        <v>9</v>
      </c>
      <c r="M2364" s="2" t="s">
        <v>20</v>
      </c>
      <c r="N2364" s="2" t="s">
        <v>19</v>
      </c>
      <c r="O2364" s="2" t="s">
        <v>12</v>
      </c>
      <c r="P2364" s="2" t="s">
        <v>32</v>
      </c>
      <c r="Q2364" s="2" t="s">
        <v>37</v>
      </c>
      <c r="R2364" s="2" t="s">
        <v>18</v>
      </c>
      <c r="S2364">
        <v>5</v>
      </c>
    </row>
    <row r="2365" spans="1:19" x14ac:dyDescent="0.3">
      <c r="A2365">
        <v>2866</v>
      </c>
      <c r="B2365">
        <f>YEAR(Cleaned_HR_Data_Analysis__2[[#This Row],[Joining_Date]])</f>
        <v>2021</v>
      </c>
      <c r="C2365" s="1">
        <v>44516</v>
      </c>
      <c r="D2365" s="1" t="str" cm="1">
        <f t="array" ref="D2365">_xlfn.IFS(E2365&lt;28, "17-27",
AND(E2365&gt;27, E2365&lt;38), "28-37",
AND(E2365&gt;37, E2365 &lt;48), "38-47",
AND(E2365&gt;47, E2365 &lt;58), "48-57",
AND(E2365&gt;57, E2365&lt;68), "58-67",
AND(E2365&gt;67, E2365&lt;78), "68-77",
E2365&gt;77,"Above than 77")</f>
        <v>68-77</v>
      </c>
      <c r="E2365">
        <v>70</v>
      </c>
      <c r="F2365" s="1">
        <v>18878</v>
      </c>
      <c r="G2365" s="1" t="str">
        <f>VLOOKUP(H2365,Table7[#All], 2, FALSE)</f>
        <v>Massachusetts</v>
      </c>
      <c r="H2365" s="2" t="s">
        <v>14</v>
      </c>
      <c r="I2365" s="2" t="s">
        <v>15</v>
      </c>
      <c r="J2365" s="2" t="s">
        <v>31</v>
      </c>
      <c r="K2365" s="2" t="s">
        <v>64</v>
      </c>
      <c r="L2365" s="2" t="s">
        <v>9</v>
      </c>
      <c r="M2365" s="2" t="s">
        <v>20</v>
      </c>
      <c r="N2365" s="2" t="s">
        <v>11</v>
      </c>
      <c r="O2365" s="2" t="s">
        <v>12</v>
      </c>
      <c r="P2365" s="2" t="s">
        <v>35</v>
      </c>
      <c r="Q2365" s="2" t="s">
        <v>23</v>
      </c>
      <c r="R2365" s="2" t="s">
        <v>18</v>
      </c>
      <c r="S2365">
        <v>3</v>
      </c>
    </row>
    <row r="2366" spans="1:19" x14ac:dyDescent="0.3">
      <c r="A2366">
        <v>2164</v>
      </c>
      <c r="B2366">
        <f>YEAR(Cleaned_HR_Data_Analysis__2[[#This Row],[Joining_Date]])</f>
        <v>2020</v>
      </c>
      <c r="C2366" s="1">
        <v>44102</v>
      </c>
      <c r="D2366" s="1" t="str" cm="1">
        <f t="array" ref="D2366">_xlfn.IFS(E2366&lt;28, "17-27",
AND(E2366&gt;27, E2366&lt;38), "28-37",
AND(E2366&gt;37, E2366 &lt;48), "38-47",
AND(E2366&gt;47, E2366 &lt;58), "48-57",
AND(E2366&gt;57, E2366&lt;68), "58-67",
AND(E2366&gt;67, E2366&lt;78), "68-77",
E2366&gt;77,"Above than 77")</f>
        <v>68-77</v>
      </c>
      <c r="E2366">
        <v>70</v>
      </c>
      <c r="F2366" s="1">
        <v>18471</v>
      </c>
      <c r="G2366" s="1" t="str">
        <f>VLOOKUP(H2366,Table7[#All], 2, FALSE)</f>
        <v>Massachusetts</v>
      </c>
      <c r="H2366" s="2" t="s">
        <v>14</v>
      </c>
      <c r="I2366" s="2" t="s">
        <v>15</v>
      </c>
      <c r="J2366" s="2" t="s">
        <v>40</v>
      </c>
      <c r="K2366" s="2" t="s">
        <v>64</v>
      </c>
      <c r="L2366" s="2" t="s">
        <v>9</v>
      </c>
      <c r="M2366" s="2" t="s">
        <v>20</v>
      </c>
      <c r="N2366" s="2" t="s">
        <v>11</v>
      </c>
      <c r="O2366" s="2" t="s">
        <v>12</v>
      </c>
      <c r="P2366" s="2" t="s">
        <v>38</v>
      </c>
      <c r="Q2366" s="2" t="s">
        <v>37</v>
      </c>
      <c r="R2366" s="2" t="s">
        <v>41</v>
      </c>
      <c r="S2366">
        <v>1</v>
      </c>
    </row>
    <row r="2367" spans="1:19" x14ac:dyDescent="0.3">
      <c r="A2367">
        <v>2098</v>
      </c>
      <c r="B2367">
        <f>YEAR(Cleaned_HR_Data_Analysis__2[[#This Row],[Joining_Date]])</f>
        <v>2020</v>
      </c>
      <c r="C2367" s="1">
        <v>44027</v>
      </c>
      <c r="D2367" s="1" t="str" cm="1">
        <f t="array" ref="D2367">_xlfn.IFS(E2367&lt;28, "17-27",
AND(E2367&gt;27, E2367&lt;38), "28-37",
AND(E2367&gt;37, E2367 &lt;48), "38-47",
AND(E2367&gt;47, E2367 &lt;58), "48-57",
AND(E2367&gt;57, E2367&lt;68), "58-67",
AND(E2367&gt;67, E2367&lt;78), "68-77",
E2367&gt;77,"Above than 77")</f>
        <v>68-77</v>
      </c>
      <c r="E2367">
        <v>70</v>
      </c>
      <c r="F2367" s="1">
        <v>18402</v>
      </c>
      <c r="G2367" s="1" t="str">
        <f>VLOOKUP(H2367,Table7[#All], 2, FALSE)</f>
        <v>Massachusetts</v>
      </c>
      <c r="H2367" s="2" t="s">
        <v>14</v>
      </c>
      <c r="I2367" s="2" t="s">
        <v>15</v>
      </c>
      <c r="J2367" s="2" t="s">
        <v>40</v>
      </c>
      <c r="K2367" s="2" t="s">
        <v>64</v>
      </c>
      <c r="L2367" s="2" t="s">
        <v>9</v>
      </c>
      <c r="M2367" s="2" t="s">
        <v>20</v>
      </c>
      <c r="N2367" s="2" t="s">
        <v>26</v>
      </c>
      <c r="O2367" s="2" t="s">
        <v>12</v>
      </c>
      <c r="P2367" s="2" t="s">
        <v>60</v>
      </c>
      <c r="Q2367" s="2" t="s">
        <v>30</v>
      </c>
      <c r="R2367" s="2" t="s">
        <v>65</v>
      </c>
      <c r="S2367">
        <v>4</v>
      </c>
    </row>
    <row r="2368" spans="1:19" x14ac:dyDescent="0.3">
      <c r="A2368">
        <v>1991</v>
      </c>
      <c r="B2368">
        <f>YEAR(Cleaned_HR_Data_Analysis__2[[#This Row],[Joining_Date]])</f>
        <v>2019</v>
      </c>
      <c r="C2368" s="1">
        <v>43634</v>
      </c>
      <c r="D2368" s="1" t="str" cm="1">
        <f t="array" ref="D2368">_xlfn.IFS(E2368&lt;28, "17-27",
AND(E2368&gt;27, E2368&lt;38), "28-37",
AND(E2368&gt;37, E2368 &lt;48), "38-47",
AND(E2368&gt;47, E2368 &lt;58), "48-57",
AND(E2368&gt;57, E2368&lt;68), "58-67",
AND(E2368&gt;67, E2368&lt;78), "68-77",
E2368&gt;77,"Above than 77")</f>
        <v>68-77</v>
      </c>
      <c r="E2368">
        <v>70</v>
      </c>
      <c r="F2368" s="1">
        <v>17899</v>
      </c>
      <c r="G2368" s="1" t="str">
        <f>VLOOKUP(H2368,Table7[#All], 2, FALSE)</f>
        <v>Massachusetts</v>
      </c>
      <c r="H2368" s="2" t="s">
        <v>14</v>
      </c>
      <c r="I2368" s="2" t="s">
        <v>15</v>
      </c>
      <c r="J2368" s="2" t="s">
        <v>34</v>
      </c>
      <c r="K2368" s="2" t="s">
        <v>64</v>
      </c>
      <c r="L2368" s="2" t="s">
        <v>9</v>
      </c>
      <c r="M2368" s="2" t="s">
        <v>10</v>
      </c>
      <c r="N2368" s="2" t="s">
        <v>26</v>
      </c>
      <c r="O2368" s="2" t="s">
        <v>12</v>
      </c>
      <c r="P2368" s="2" t="s">
        <v>32</v>
      </c>
      <c r="Q2368" s="2" t="s">
        <v>30</v>
      </c>
      <c r="R2368" s="2" t="s">
        <v>18</v>
      </c>
      <c r="S2368">
        <v>1</v>
      </c>
    </row>
    <row r="2369" spans="1:19" x14ac:dyDescent="0.3">
      <c r="A2369">
        <v>1537</v>
      </c>
      <c r="B2369">
        <f>YEAR(Cleaned_HR_Data_Analysis__2[[#This Row],[Joining_Date]])</f>
        <v>2020</v>
      </c>
      <c r="C2369" s="1">
        <v>44059</v>
      </c>
      <c r="D2369" s="1" t="str" cm="1">
        <f t="array" ref="D2369">_xlfn.IFS(E2369&lt;28, "17-27",
AND(E2369&gt;27, E2369&lt;38), "28-37",
AND(E2369&gt;37, E2369 &lt;48), "38-47",
AND(E2369&gt;47, E2369 &lt;58), "48-57",
AND(E2369&gt;57, E2369&lt;68), "58-67",
AND(E2369&gt;67, E2369&lt;78), "68-77",
E2369&gt;77,"Above than 77")</f>
        <v>68-77</v>
      </c>
      <c r="E2369">
        <v>70</v>
      </c>
      <c r="F2369" s="1">
        <v>18275</v>
      </c>
      <c r="G2369" s="1" t="str">
        <f>VLOOKUP(H2369,Table7[#All], 2, FALSE)</f>
        <v>Massachusetts</v>
      </c>
      <c r="H2369" s="2" t="s">
        <v>14</v>
      </c>
      <c r="I2369" s="2" t="s">
        <v>22</v>
      </c>
      <c r="J2369" s="2" t="s">
        <v>40</v>
      </c>
      <c r="K2369" s="2" t="s">
        <v>64</v>
      </c>
      <c r="L2369" s="2" t="s">
        <v>9</v>
      </c>
      <c r="M2369" s="2" t="s">
        <v>10</v>
      </c>
      <c r="N2369" s="2" t="s">
        <v>26</v>
      </c>
      <c r="O2369" s="2" t="s">
        <v>12</v>
      </c>
      <c r="P2369" s="2" t="s">
        <v>54</v>
      </c>
      <c r="Q2369" s="2" t="s">
        <v>23</v>
      </c>
      <c r="R2369" s="2" t="s">
        <v>18</v>
      </c>
      <c r="S2369">
        <v>2</v>
      </c>
    </row>
    <row r="2370" spans="1:19" x14ac:dyDescent="0.3">
      <c r="A2370">
        <v>1254</v>
      </c>
      <c r="B2370">
        <f>YEAR(Cleaned_HR_Data_Analysis__2[[#This Row],[Joining_Date]])</f>
        <v>2020</v>
      </c>
      <c r="C2370" s="1">
        <v>44004</v>
      </c>
      <c r="D2370" s="1" t="str" cm="1">
        <f t="array" ref="D2370">_xlfn.IFS(E2370&lt;28, "17-27",
AND(E2370&gt;27, E2370&lt;38), "28-37",
AND(E2370&gt;37, E2370 &lt;48), "38-47",
AND(E2370&gt;47, E2370 &lt;58), "48-57",
AND(E2370&gt;57, E2370&lt;68), "58-67",
AND(E2370&gt;67, E2370&lt;78), "68-77",
E2370&gt;77,"Above than 77")</f>
        <v>68-77</v>
      </c>
      <c r="E2370">
        <v>70</v>
      </c>
      <c r="F2370" s="1">
        <v>18421</v>
      </c>
      <c r="G2370" s="1" t="str">
        <f>VLOOKUP(H2370,Table7[#All], 2, FALSE)</f>
        <v>Massachusetts</v>
      </c>
      <c r="H2370" s="2" t="s">
        <v>14</v>
      </c>
      <c r="I2370" s="2" t="s">
        <v>15</v>
      </c>
      <c r="J2370" s="2" t="s">
        <v>34</v>
      </c>
      <c r="K2370" s="2" t="s">
        <v>64</v>
      </c>
      <c r="L2370" s="2" t="s">
        <v>9</v>
      </c>
      <c r="M2370" s="2" t="s">
        <v>10</v>
      </c>
      <c r="N2370" s="2" t="s">
        <v>26</v>
      </c>
      <c r="O2370" s="2" t="s">
        <v>12</v>
      </c>
      <c r="P2370" s="2" t="s">
        <v>32</v>
      </c>
      <c r="Q2370" s="2" t="s">
        <v>16</v>
      </c>
      <c r="R2370" s="2" t="s">
        <v>18</v>
      </c>
      <c r="S2370">
        <v>1</v>
      </c>
    </row>
    <row r="2371" spans="1:19" x14ac:dyDescent="0.3">
      <c r="A2371">
        <v>3743</v>
      </c>
      <c r="B2371">
        <f>YEAR(Cleaned_HR_Data_Analysis__2[[#This Row],[Joining_Date]])</f>
        <v>2020</v>
      </c>
      <c r="C2371" s="1">
        <v>43981</v>
      </c>
      <c r="D2371" s="1" t="str" cm="1">
        <f t="array" ref="D2371">_xlfn.IFS(E2371&lt;28, "17-27",
AND(E2371&gt;27, E2371&lt;38), "28-37",
AND(E2371&gt;37, E2371 &lt;48), "38-47",
AND(E2371&gt;47, E2371 &lt;58), "48-57",
AND(E2371&gt;57, E2371&lt;68), "58-67",
AND(E2371&gt;67, E2371&lt;78), "68-77",
E2371&gt;77,"Above than 77")</f>
        <v>68-77</v>
      </c>
      <c r="E2371">
        <v>70</v>
      </c>
      <c r="F2371" s="1">
        <v>18519</v>
      </c>
      <c r="G2371" s="1" t="str">
        <f>VLOOKUP(H2371,Table7[#All], 2, FALSE)</f>
        <v>Massachusetts</v>
      </c>
      <c r="H2371" s="2" t="s">
        <v>14</v>
      </c>
      <c r="I2371" s="2" t="s">
        <v>22</v>
      </c>
      <c r="J2371" s="2" t="s">
        <v>34</v>
      </c>
      <c r="K2371" s="2" t="s">
        <v>8</v>
      </c>
      <c r="L2371" s="2" t="s">
        <v>9</v>
      </c>
      <c r="M2371" s="2" t="s">
        <v>10</v>
      </c>
      <c r="N2371" s="2" t="s">
        <v>19</v>
      </c>
      <c r="O2371" s="2" t="s">
        <v>12</v>
      </c>
      <c r="P2371" s="2" t="s">
        <v>32</v>
      </c>
      <c r="Q2371" s="2" t="s">
        <v>37</v>
      </c>
      <c r="R2371" s="2" t="s">
        <v>18</v>
      </c>
      <c r="S2371">
        <v>1</v>
      </c>
    </row>
    <row r="2372" spans="1:19" x14ac:dyDescent="0.3">
      <c r="A2372">
        <v>3690</v>
      </c>
      <c r="B2372">
        <f>YEAR(Cleaned_HR_Data_Analysis__2[[#This Row],[Joining_Date]])</f>
        <v>2020</v>
      </c>
      <c r="C2372" s="1">
        <v>44047</v>
      </c>
      <c r="D2372" s="1" t="str" cm="1">
        <f t="array" ref="D2372">_xlfn.IFS(E2372&lt;28, "17-27",
AND(E2372&gt;27, E2372&lt;38), "28-37",
AND(E2372&gt;37, E2372 &lt;48), "38-47",
AND(E2372&gt;47, E2372 &lt;58), "48-57",
AND(E2372&gt;57, E2372&lt;68), "58-67",
AND(E2372&gt;67, E2372&lt;78), "68-77",
E2372&gt;77,"Above than 77")</f>
        <v>68-77</v>
      </c>
      <c r="E2372">
        <v>70</v>
      </c>
      <c r="F2372" s="1">
        <v>18581</v>
      </c>
      <c r="G2372" s="1" t="str">
        <f>VLOOKUP(H2372,Table7[#All], 2, FALSE)</f>
        <v>Massachusetts</v>
      </c>
      <c r="H2372" s="2" t="s">
        <v>14</v>
      </c>
      <c r="I2372" s="2" t="s">
        <v>22</v>
      </c>
      <c r="J2372" s="2" t="s">
        <v>31</v>
      </c>
      <c r="K2372" s="2" t="s">
        <v>8</v>
      </c>
      <c r="L2372" s="2" t="s">
        <v>9</v>
      </c>
      <c r="M2372" s="2" t="s">
        <v>20</v>
      </c>
      <c r="N2372" s="2" t="s">
        <v>19</v>
      </c>
      <c r="O2372" s="2" t="s">
        <v>12</v>
      </c>
      <c r="P2372" s="2" t="s">
        <v>63</v>
      </c>
      <c r="Q2372" s="2" t="s">
        <v>16</v>
      </c>
      <c r="R2372" s="2" t="s">
        <v>56</v>
      </c>
      <c r="S2372">
        <v>3</v>
      </c>
    </row>
    <row r="2373" spans="1:19" x14ac:dyDescent="0.3">
      <c r="A2373">
        <v>3661</v>
      </c>
      <c r="B2373">
        <f>YEAR(Cleaned_HR_Data_Analysis__2[[#This Row],[Joining_Date]])</f>
        <v>2022</v>
      </c>
      <c r="C2373" s="1">
        <v>44620</v>
      </c>
      <c r="D2373" s="1" t="str" cm="1">
        <f t="array" ref="D2373">_xlfn.IFS(E2373&lt;28, "17-27",
AND(E2373&gt;27, E2373&lt;38), "28-37",
AND(E2373&gt;37, E2373 &lt;48), "38-47",
AND(E2373&gt;47, E2373 &lt;58), "48-57",
AND(E2373&gt;57, E2373&lt;68), "58-67",
AND(E2373&gt;67, E2373&lt;78), "68-77",
E2373&gt;77,"Above than 77")</f>
        <v>68-77</v>
      </c>
      <c r="E2373">
        <v>70</v>
      </c>
      <c r="F2373" s="1">
        <v>19136</v>
      </c>
      <c r="G2373" s="1" t="str">
        <f>VLOOKUP(H2373,Table7[#All], 2, FALSE)</f>
        <v>Massachusetts</v>
      </c>
      <c r="H2373" s="2" t="s">
        <v>14</v>
      </c>
      <c r="I2373" s="2" t="s">
        <v>22</v>
      </c>
      <c r="J2373" s="2" t="s">
        <v>34</v>
      </c>
      <c r="K2373" s="2" t="s">
        <v>8</v>
      </c>
      <c r="L2373" s="2" t="s">
        <v>9</v>
      </c>
      <c r="M2373" s="2" t="s">
        <v>10</v>
      </c>
      <c r="N2373" s="2" t="s">
        <v>11</v>
      </c>
      <c r="O2373" s="2" t="s">
        <v>12</v>
      </c>
      <c r="P2373" s="2" t="s">
        <v>44</v>
      </c>
      <c r="Q2373" s="2" t="s">
        <v>46</v>
      </c>
      <c r="R2373" s="2" t="s">
        <v>18</v>
      </c>
      <c r="S2373">
        <v>2</v>
      </c>
    </row>
    <row r="2374" spans="1:19" x14ac:dyDescent="0.3">
      <c r="A2374">
        <v>3339</v>
      </c>
      <c r="B2374">
        <f>YEAR(Cleaned_HR_Data_Analysis__2[[#This Row],[Joining_Date]])</f>
        <v>2021</v>
      </c>
      <c r="C2374" s="1">
        <v>44430</v>
      </c>
      <c r="D2374" s="1" t="str" cm="1">
        <f t="array" ref="D2374">_xlfn.IFS(E2374&lt;28, "17-27",
AND(E2374&gt;27, E2374&lt;38), "28-37",
AND(E2374&gt;37, E2374 &lt;48), "38-47",
AND(E2374&gt;47, E2374 &lt;58), "48-57",
AND(E2374&gt;57, E2374&lt;68), "58-67",
AND(E2374&gt;67, E2374&lt;78), "68-77",
E2374&gt;77,"Above than 77")</f>
        <v>68-77</v>
      </c>
      <c r="E2374">
        <v>70</v>
      </c>
      <c r="F2374" s="1">
        <v>18973</v>
      </c>
      <c r="G2374" s="1" t="str">
        <f>VLOOKUP(H2374,Table7[#All], 2, FALSE)</f>
        <v>Massachusetts</v>
      </c>
      <c r="H2374" s="2" t="s">
        <v>14</v>
      </c>
      <c r="I2374" s="2" t="s">
        <v>22</v>
      </c>
      <c r="J2374" s="2" t="s">
        <v>40</v>
      </c>
      <c r="K2374" s="2" t="s">
        <v>8</v>
      </c>
      <c r="L2374" s="2" t="s">
        <v>9</v>
      </c>
      <c r="M2374" s="2" t="s">
        <v>20</v>
      </c>
      <c r="N2374" s="2" t="s">
        <v>11</v>
      </c>
      <c r="O2374" s="2" t="s">
        <v>12</v>
      </c>
      <c r="P2374" s="2" t="s">
        <v>68</v>
      </c>
      <c r="Q2374" s="2" t="s">
        <v>23</v>
      </c>
      <c r="R2374" s="2" t="s">
        <v>18</v>
      </c>
      <c r="S2374">
        <v>1</v>
      </c>
    </row>
    <row r="2375" spans="1:19" x14ac:dyDescent="0.3">
      <c r="A2375">
        <v>3249</v>
      </c>
      <c r="B2375">
        <f>YEAR(Cleaned_HR_Data_Analysis__2[[#This Row],[Joining_Date]])</f>
        <v>2018</v>
      </c>
      <c r="C2375" s="1">
        <v>43440</v>
      </c>
      <c r="D2375" s="1" t="str" cm="1">
        <f t="array" ref="D2375">_xlfn.IFS(E2375&lt;28, "17-27",
AND(E2375&gt;27, E2375&lt;38), "28-37",
AND(E2375&gt;37, E2375 &lt;48), "38-47",
AND(E2375&gt;47, E2375 &lt;58), "48-57",
AND(E2375&gt;57, E2375&lt;68), "58-67",
AND(E2375&gt;67, E2375&lt;78), "68-77",
E2375&gt;77,"Above than 77")</f>
        <v>68-77</v>
      </c>
      <c r="E2375">
        <v>70</v>
      </c>
      <c r="F2375" s="1">
        <v>17550</v>
      </c>
      <c r="G2375" s="1" t="str">
        <f>VLOOKUP(H2375,Table7[#All], 2, FALSE)</f>
        <v>Massachusetts</v>
      </c>
      <c r="H2375" s="2" t="s">
        <v>14</v>
      </c>
      <c r="I2375" s="2" t="s">
        <v>22</v>
      </c>
      <c r="J2375" s="2" t="s">
        <v>31</v>
      </c>
      <c r="K2375" s="2" t="s">
        <v>8</v>
      </c>
      <c r="L2375" s="2" t="s">
        <v>9</v>
      </c>
      <c r="M2375" s="2" t="s">
        <v>10</v>
      </c>
      <c r="N2375" s="2" t="s">
        <v>11</v>
      </c>
      <c r="O2375" s="2" t="s">
        <v>12</v>
      </c>
      <c r="P2375" s="2" t="s">
        <v>69</v>
      </c>
      <c r="Q2375" s="2" t="s">
        <v>37</v>
      </c>
      <c r="R2375" s="2" t="s">
        <v>18</v>
      </c>
      <c r="S2375">
        <v>2</v>
      </c>
    </row>
    <row r="2376" spans="1:19" x14ac:dyDescent="0.3">
      <c r="A2376">
        <v>3223</v>
      </c>
      <c r="B2376">
        <f>YEAR(Cleaned_HR_Data_Analysis__2[[#This Row],[Joining_Date]])</f>
        <v>2022</v>
      </c>
      <c r="C2376" s="1">
        <v>44871</v>
      </c>
      <c r="D2376" s="1" t="str" cm="1">
        <f t="array" ref="D2376">_xlfn.IFS(E2376&lt;28, "17-27",
AND(E2376&gt;27, E2376&lt;38), "28-37",
AND(E2376&gt;37, E2376 &lt;48), "38-47",
AND(E2376&gt;47, E2376 &lt;58), "48-57",
AND(E2376&gt;57, E2376&lt;68), "58-67",
AND(E2376&gt;67, E2376&lt;78), "68-77",
E2376&gt;77,"Above than 77")</f>
        <v>68-77</v>
      </c>
      <c r="E2376">
        <v>70</v>
      </c>
      <c r="F2376" s="1">
        <v>19279</v>
      </c>
      <c r="G2376" s="1" t="str">
        <f>VLOOKUP(H2376,Table7[#All], 2, FALSE)</f>
        <v>Massachusetts</v>
      </c>
      <c r="H2376" s="2" t="s">
        <v>14</v>
      </c>
      <c r="I2376" s="2" t="s">
        <v>15</v>
      </c>
      <c r="J2376" s="2" t="s">
        <v>31</v>
      </c>
      <c r="K2376" s="2" t="s">
        <v>8</v>
      </c>
      <c r="L2376" s="2" t="s">
        <v>9</v>
      </c>
      <c r="M2376" s="2" t="s">
        <v>25</v>
      </c>
      <c r="N2376" s="2" t="s">
        <v>19</v>
      </c>
      <c r="O2376" s="2" t="s">
        <v>12</v>
      </c>
      <c r="P2376" s="2" t="s">
        <v>49</v>
      </c>
      <c r="Q2376" s="2" t="s">
        <v>46</v>
      </c>
      <c r="R2376" s="2" t="s">
        <v>18</v>
      </c>
      <c r="S2376">
        <v>4</v>
      </c>
    </row>
    <row r="2377" spans="1:19" x14ac:dyDescent="0.3">
      <c r="A2377">
        <v>3154</v>
      </c>
      <c r="B2377">
        <f>YEAR(Cleaned_HR_Data_Analysis__2[[#This Row],[Joining_Date]])</f>
        <v>2019</v>
      </c>
      <c r="C2377" s="1">
        <v>43518</v>
      </c>
      <c r="D2377" s="1" t="str" cm="1">
        <f t="array" ref="D2377">_xlfn.IFS(E2377&lt;28, "17-27",
AND(E2377&gt;27, E2377&lt;38), "28-37",
AND(E2377&gt;37, E2377 &lt;48), "38-47",
AND(E2377&gt;47, E2377 &lt;58), "48-57",
AND(E2377&gt;57, E2377&lt;68), "58-67",
AND(E2377&gt;67, E2377&lt;78), "68-77",
E2377&gt;77,"Above than 77")</f>
        <v>68-77</v>
      </c>
      <c r="E2377">
        <v>70</v>
      </c>
      <c r="F2377" s="1">
        <v>18039</v>
      </c>
      <c r="G2377" s="1" t="str">
        <f>VLOOKUP(H2377,Table7[#All], 2, FALSE)</f>
        <v>Massachusetts</v>
      </c>
      <c r="H2377" s="2" t="s">
        <v>14</v>
      </c>
      <c r="I2377" s="2" t="s">
        <v>15</v>
      </c>
      <c r="J2377" s="2" t="s">
        <v>31</v>
      </c>
      <c r="K2377" s="2" t="s">
        <v>8</v>
      </c>
      <c r="L2377" s="2" t="s">
        <v>9</v>
      </c>
      <c r="M2377" s="2" t="s">
        <v>25</v>
      </c>
      <c r="N2377" s="2" t="s">
        <v>26</v>
      </c>
      <c r="O2377" s="2" t="s">
        <v>12</v>
      </c>
      <c r="P2377" s="2" t="s">
        <v>42</v>
      </c>
      <c r="Q2377" s="2" t="s">
        <v>37</v>
      </c>
      <c r="R2377" s="2" t="s">
        <v>18</v>
      </c>
      <c r="S2377">
        <v>3</v>
      </c>
    </row>
    <row r="2378" spans="1:19" x14ac:dyDescent="0.3">
      <c r="A2378">
        <v>3148</v>
      </c>
      <c r="B2378">
        <f>YEAR(Cleaned_HR_Data_Analysis__2[[#This Row],[Joining_Date]])</f>
        <v>2020</v>
      </c>
      <c r="C2378" s="1">
        <v>43979</v>
      </c>
      <c r="D2378" s="1" t="str" cm="1">
        <f t="array" ref="D2378">_xlfn.IFS(E2378&lt;28, "17-27",
AND(E2378&gt;27, E2378&lt;38), "28-37",
AND(E2378&gt;37, E2378 &lt;48), "38-47",
AND(E2378&gt;47, E2378 &lt;58), "48-57",
AND(E2378&gt;57, E2378&lt;68), "58-67",
AND(E2378&gt;67, E2378&lt;78), "68-77",
E2378&gt;77,"Above than 77")</f>
        <v>68-77</v>
      </c>
      <c r="E2378">
        <v>70</v>
      </c>
      <c r="F2378" s="1">
        <v>18323</v>
      </c>
      <c r="G2378" s="1" t="str">
        <f>VLOOKUP(H2378,Table7[#All], 2, FALSE)</f>
        <v>Massachusetts</v>
      </c>
      <c r="H2378" s="2" t="s">
        <v>14</v>
      </c>
      <c r="I2378" s="2" t="s">
        <v>22</v>
      </c>
      <c r="J2378" s="2" t="s">
        <v>31</v>
      </c>
      <c r="K2378" s="2" t="s">
        <v>8</v>
      </c>
      <c r="L2378" s="2" t="s">
        <v>9</v>
      </c>
      <c r="M2378" s="2" t="s">
        <v>25</v>
      </c>
      <c r="N2378" s="2" t="s">
        <v>11</v>
      </c>
      <c r="O2378" s="2" t="s">
        <v>12</v>
      </c>
      <c r="P2378" s="2" t="s">
        <v>21</v>
      </c>
      <c r="Q2378" s="2" t="s">
        <v>16</v>
      </c>
      <c r="R2378" s="2" t="s">
        <v>41</v>
      </c>
      <c r="S2378">
        <v>5</v>
      </c>
    </row>
    <row r="2379" spans="1:19" x14ac:dyDescent="0.3">
      <c r="A2379">
        <v>3123</v>
      </c>
      <c r="B2379">
        <f>YEAR(Cleaned_HR_Data_Analysis__2[[#This Row],[Joining_Date]])</f>
        <v>2021</v>
      </c>
      <c r="C2379" s="1">
        <v>44389</v>
      </c>
      <c r="D2379" s="1" t="str" cm="1">
        <f t="array" ref="D2379">_xlfn.IFS(E2379&lt;28, "17-27",
AND(E2379&gt;27, E2379&lt;38), "28-37",
AND(E2379&gt;37, E2379 &lt;48), "38-47",
AND(E2379&gt;47, E2379 &lt;58), "48-57",
AND(E2379&gt;57, E2379&lt;68), "58-67",
AND(E2379&gt;67, E2379&lt;78), "68-77",
E2379&gt;77,"Above than 77")</f>
        <v>68-77</v>
      </c>
      <c r="E2379">
        <v>70</v>
      </c>
      <c r="F2379" s="1">
        <v>18751</v>
      </c>
      <c r="G2379" s="1" t="str">
        <f>VLOOKUP(H2379,Table7[#All], 2, FALSE)</f>
        <v>Massachusetts</v>
      </c>
      <c r="H2379" s="2" t="s">
        <v>14</v>
      </c>
      <c r="I2379" s="2" t="s">
        <v>22</v>
      </c>
      <c r="J2379" s="2" t="s">
        <v>34</v>
      </c>
      <c r="K2379" s="2" t="s">
        <v>8</v>
      </c>
      <c r="L2379" s="2" t="s">
        <v>9</v>
      </c>
      <c r="M2379" s="2" t="s">
        <v>25</v>
      </c>
      <c r="N2379" s="2" t="s">
        <v>11</v>
      </c>
      <c r="O2379" s="2" t="s">
        <v>12</v>
      </c>
      <c r="P2379" s="2" t="s">
        <v>49</v>
      </c>
      <c r="Q2379" s="2" t="s">
        <v>23</v>
      </c>
      <c r="R2379" s="2" t="s">
        <v>18</v>
      </c>
      <c r="S2379">
        <v>2</v>
      </c>
    </row>
    <row r="2380" spans="1:19" x14ac:dyDescent="0.3">
      <c r="A2380">
        <v>3100</v>
      </c>
      <c r="B2380">
        <f>YEAR(Cleaned_HR_Data_Analysis__2[[#This Row],[Joining_Date]])</f>
        <v>2020</v>
      </c>
      <c r="C2380" s="1">
        <v>44129</v>
      </c>
      <c r="D2380" s="1" t="str" cm="1">
        <f t="array" ref="D2380">_xlfn.IFS(E2380&lt;28, "17-27",
AND(E2380&gt;27, E2380&lt;38), "28-37",
AND(E2380&gt;37, E2380 &lt;48), "38-47",
AND(E2380&gt;47, E2380 &lt;58), "48-57",
AND(E2380&gt;57, E2380&lt;68), "58-67",
AND(E2380&gt;67, E2380&lt;78), "68-77",
E2380&gt;77,"Above than 77")</f>
        <v>68-77</v>
      </c>
      <c r="E2380">
        <v>70</v>
      </c>
      <c r="F2380" s="1">
        <v>18422</v>
      </c>
      <c r="G2380" s="1" t="str">
        <f>VLOOKUP(H2380,Table7[#All], 2, FALSE)</f>
        <v>Massachusetts</v>
      </c>
      <c r="H2380" s="2" t="s">
        <v>14</v>
      </c>
      <c r="I2380" s="2" t="s">
        <v>15</v>
      </c>
      <c r="J2380" s="2" t="s">
        <v>31</v>
      </c>
      <c r="K2380" s="2" t="s">
        <v>8</v>
      </c>
      <c r="L2380" s="2" t="s">
        <v>9</v>
      </c>
      <c r="M2380" s="2" t="s">
        <v>10</v>
      </c>
      <c r="N2380" s="2" t="s">
        <v>26</v>
      </c>
      <c r="O2380" s="2" t="s">
        <v>12</v>
      </c>
      <c r="P2380" s="2" t="s">
        <v>32</v>
      </c>
      <c r="Q2380" s="2" t="s">
        <v>16</v>
      </c>
      <c r="R2380" s="2" t="s">
        <v>18</v>
      </c>
      <c r="S2380">
        <v>5</v>
      </c>
    </row>
    <row r="2381" spans="1:19" x14ac:dyDescent="0.3">
      <c r="A2381">
        <v>2942</v>
      </c>
      <c r="B2381">
        <f>YEAR(Cleaned_HR_Data_Analysis__2[[#This Row],[Joining_Date]])</f>
        <v>2019</v>
      </c>
      <c r="C2381" s="1">
        <v>43615</v>
      </c>
      <c r="D2381" s="1" t="str" cm="1">
        <f t="array" ref="D2381">_xlfn.IFS(E2381&lt;28, "17-27",
AND(E2381&gt;27, E2381&lt;38), "28-37",
AND(E2381&gt;37, E2381 &lt;48), "38-47",
AND(E2381&gt;47, E2381 &lt;58), "48-57",
AND(E2381&gt;57, E2381&lt;68), "58-67",
AND(E2381&gt;67, E2381&lt;78), "68-77",
E2381&gt;77,"Above than 77")</f>
        <v>68-77</v>
      </c>
      <c r="E2381">
        <v>70</v>
      </c>
      <c r="F2381" s="1">
        <v>17958</v>
      </c>
      <c r="G2381" s="1" t="str">
        <f>VLOOKUP(H2381,Table7[#All], 2, FALSE)</f>
        <v>Massachusetts</v>
      </c>
      <c r="H2381" s="2" t="s">
        <v>14</v>
      </c>
      <c r="I2381" s="2" t="s">
        <v>15</v>
      </c>
      <c r="J2381" s="2" t="s">
        <v>17</v>
      </c>
      <c r="K2381" s="2" t="s">
        <v>8</v>
      </c>
      <c r="L2381" s="2" t="s">
        <v>9</v>
      </c>
      <c r="M2381" s="2" t="s">
        <v>25</v>
      </c>
      <c r="N2381" s="2" t="s">
        <v>11</v>
      </c>
      <c r="O2381" s="2" t="s">
        <v>12</v>
      </c>
      <c r="P2381" s="2" t="s">
        <v>28</v>
      </c>
      <c r="Q2381" s="2" t="s">
        <v>37</v>
      </c>
      <c r="R2381" s="2" t="s">
        <v>56</v>
      </c>
      <c r="S2381">
        <v>3</v>
      </c>
    </row>
    <row r="2382" spans="1:19" x14ac:dyDescent="0.3">
      <c r="A2382">
        <v>2856</v>
      </c>
      <c r="B2382">
        <f>YEAR(Cleaned_HR_Data_Analysis__2[[#This Row],[Joining_Date]])</f>
        <v>2022</v>
      </c>
      <c r="C2382" s="1">
        <v>44660</v>
      </c>
      <c r="D2382" s="1" t="str" cm="1">
        <f t="array" ref="D2382">_xlfn.IFS(E2382&lt;28, "17-27",
AND(E2382&gt;27, E2382&lt;38), "28-37",
AND(E2382&gt;37, E2382 &lt;48), "38-47",
AND(E2382&gt;47, E2382 &lt;58), "48-57",
AND(E2382&gt;57, E2382&lt;68), "58-67",
AND(E2382&gt;67, E2382&lt;78), "68-77",
E2382&gt;77,"Above than 77")</f>
        <v>68-77</v>
      </c>
      <c r="E2382">
        <v>70</v>
      </c>
      <c r="F2382" s="1">
        <v>19222</v>
      </c>
      <c r="G2382" s="1" t="str">
        <f>VLOOKUP(H2382,Table7[#All], 2, FALSE)</f>
        <v>Massachusetts</v>
      </c>
      <c r="H2382" s="2" t="s">
        <v>14</v>
      </c>
      <c r="I2382" s="2" t="s">
        <v>15</v>
      </c>
      <c r="J2382" s="2" t="s">
        <v>34</v>
      </c>
      <c r="K2382" s="2" t="s">
        <v>8</v>
      </c>
      <c r="L2382" s="2" t="s">
        <v>9</v>
      </c>
      <c r="M2382" s="2" t="s">
        <v>25</v>
      </c>
      <c r="N2382" s="2" t="s">
        <v>19</v>
      </c>
      <c r="O2382" s="2" t="s">
        <v>12</v>
      </c>
      <c r="P2382" s="2" t="s">
        <v>76</v>
      </c>
      <c r="Q2382" s="2" t="s">
        <v>16</v>
      </c>
      <c r="R2382" s="2" t="s">
        <v>56</v>
      </c>
      <c r="S2382">
        <v>5</v>
      </c>
    </row>
    <row r="2383" spans="1:19" x14ac:dyDescent="0.3">
      <c r="A2383">
        <v>2792</v>
      </c>
      <c r="B2383">
        <f>YEAR(Cleaned_HR_Data_Analysis__2[[#This Row],[Joining_Date]])</f>
        <v>2023</v>
      </c>
      <c r="C2383" s="1">
        <v>44981</v>
      </c>
      <c r="D2383" s="1" t="str" cm="1">
        <f t="array" ref="D2383">_xlfn.IFS(E2383&lt;28, "17-27",
AND(E2383&gt;27, E2383&lt;38), "28-37",
AND(E2383&gt;37, E2383 &lt;48), "38-47",
AND(E2383&gt;47, E2383 &lt;58), "48-57",
AND(E2383&gt;57, E2383&lt;68), "58-67",
AND(E2383&gt;67, E2383&lt;78), "68-77",
E2383&gt;77,"Above than 77")</f>
        <v>68-77</v>
      </c>
      <c r="E2383">
        <v>70</v>
      </c>
      <c r="F2383" s="1">
        <v>19489</v>
      </c>
      <c r="G2383" s="1" t="str">
        <f>VLOOKUP(H2383,Table7[#All], 2, FALSE)</f>
        <v>Massachusetts</v>
      </c>
      <c r="H2383" s="2" t="s">
        <v>14</v>
      </c>
      <c r="I2383" s="2" t="s">
        <v>22</v>
      </c>
      <c r="J2383" s="2" t="s">
        <v>31</v>
      </c>
      <c r="K2383" s="2" t="s">
        <v>8</v>
      </c>
      <c r="L2383" s="2" t="s">
        <v>9</v>
      </c>
      <c r="M2383" s="2" t="s">
        <v>20</v>
      </c>
      <c r="N2383" s="2" t="s">
        <v>19</v>
      </c>
      <c r="O2383" s="2" t="s">
        <v>12</v>
      </c>
      <c r="P2383" s="2" t="s">
        <v>42</v>
      </c>
      <c r="Q2383" s="2" t="s">
        <v>37</v>
      </c>
      <c r="R2383" s="2" t="s">
        <v>18</v>
      </c>
      <c r="S2383">
        <v>4</v>
      </c>
    </row>
    <row r="2384" spans="1:19" x14ac:dyDescent="0.3">
      <c r="A2384">
        <v>2771</v>
      </c>
      <c r="B2384">
        <f>YEAR(Cleaned_HR_Data_Analysis__2[[#This Row],[Joining_Date]])</f>
        <v>2020</v>
      </c>
      <c r="C2384" s="1">
        <v>44020</v>
      </c>
      <c r="D2384" s="1" t="str" cm="1">
        <f t="array" ref="D2384">_xlfn.IFS(E2384&lt;28, "17-27",
AND(E2384&gt;27, E2384&lt;38), "28-37",
AND(E2384&gt;37, E2384 &lt;48), "38-47",
AND(E2384&gt;47, E2384 &lt;58), "48-57",
AND(E2384&gt;57, E2384&lt;68), "58-67",
AND(E2384&gt;67, E2384&lt;78), "68-77",
E2384&gt;77,"Above than 77")</f>
        <v>68-77</v>
      </c>
      <c r="E2384">
        <v>70</v>
      </c>
      <c r="F2384" s="1">
        <v>18332</v>
      </c>
      <c r="G2384" s="1" t="str">
        <f>VLOOKUP(H2384,Table7[#All], 2, FALSE)</f>
        <v>Massachusetts</v>
      </c>
      <c r="H2384" s="2" t="s">
        <v>14</v>
      </c>
      <c r="I2384" s="2" t="s">
        <v>22</v>
      </c>
      <c r="J2384" s="2" t="s">
        <v>40</v>
      </c>
      <c r="K2384" s="2" t="s">
        <v>8</v>
      </c>
      <c r="L2384" s="2" t="s">
        <v>66</v>
      </c>
      <c r="M2384" s="2" t="s">
        <v>25</v>
      </c>
      <c r="N2384" s="2" t="s">
        <v>19</v>
      </c>
      <c r="O2384" s="2" t="s">
        <v>12</v>
      </c>
      <c r="P2384" s="2" t="s">
        <v>59</v>
      </c>
      <c r="Q2384" s="2" t="s">
        <v>30</v>
      </c>
      <c r="R2384" s="2" t="s">
        <v>18</v>
      </c>
      <c r="S2384">
        <v>4</v>
      </c>
    </row>
    <row r="2385" spans="1:19" x14ac:dyDescent="0.3">
      <c r="A2385">
        <v>2161</v>
      </c>
      <c r="B2385">
        <f>YEAR(Cleaned_HR_Data_Analysis__2[[#This Row],[Joining_Date]])</f>
        <v>2021</v>
      </c>
      <c r="C2385" s="1">
        <v>44335</v>
      </c>
      <c r="D2385" s="1" t="str" cm="1">
        <f t="array" ref="D2385">_xlfn.IFS(E2385&lt;28, "17-27",
AND(E2385&gt;27, E2385&lt;38), "28-37",
AND(E2385&gt;37, E2385 &lt;48), "38-47",
AND(E2385&gt;47, E2385 &lt;58), "48-57",
AND(E2385&gt;57, E2385&lt;68), "58-67",
AND(E2385&gt;67, E2385&lt;78), "68-77",
E2385&gt;77,"Above than 77")</f>
        <v>68-77</v>
      </c>
      <c r="E2385">
        <v>70</v>
      </c>
      <c r="F2385" s="1">
        <v>18774</v>
      </c>
      <c r="G2385" s="1" t="str">
        <f>VLOOKUP(H2385,Table7[#All], 2, FALSE)</f>
        <v>Massachusetts</v>
      </c>
      <c r="H2385" s="2" t="s">
        <v>14</v>
      </c>
      <c r="I2385" s="2" t="s">
        <v>15</v>
      </c>
      <c r="J2385" s="2" t="s">
        <v>31</v>
      </c>
      <c r="K2385" s="2" t="s">
        <v>8</v>
      </c>
      <c r="L2385" s="2" t="s">
        <v>9</v>
      </c>
      <c r="M2385" s="2" t="s">
        <v>10</v>
      </c>
      <c r="N2385" s="2" t="s">
        <v>11</v>
      </c>
      <c r="O2385" s="2" t="s">
        <v>12</v>
      </c>
      <c r="P2385" s="2" t="s">
        <v>54</v>
      </c>
      <c r="Q2385" s="2" t="s">
        <v>46</v>
      </c>
      <c r="R2385" s="2" t="s">
        <v>41</v>
      </c>
      <c r="S2385">
        <v>4</v>
      </c>
    </row>
    <row r="2386" spans="1:19" x14ac:dyDescent="0.3">
      <c r="A2386">
        <v>2157</v>
      </c>
      <c r="B2386">
        <f>YEAR(Cleaned_HR_Data_Analysis__2[[#This Row],[Joining_Date]])</f>
        <v>2020</v>
      </c>
      <c r="C2386" s="1">
        <v>43966</v>
      </c>
      <c r="D2386" s="1" t="str" cm="1">
        <f t="array" ref="D2386">_xlfn.IFS(E2386&lt;28, "17-27",
AND(E2386&gt;27, E2386&lt;38), "28-37",
AND(E2386&gt;37, E2386 &lt;48), "38-47",
AND(E2386&gt;47, E2386 &lt;58), "48-57",
AND(E2386&gt;57, E2386&lt;68), "58-67",
AND(E2386&gt;67, E2386&lt;78), "68-77",
E2386&gt;77,"Above than 77")</f>
        <v>68-77</v>
      </c>
      <c r="E2386">
        <v>70</v>
      </c>
      <c r="F2386" s="1">
        <v>18296</v>
      </c>
      <c r="G2386" s="1" t="str">
        <f>VLOOKUP(H2386,Table7[#All], 2, FALSE)</f>
        <v>Massachusetts</v>
      </c>
      <c r="H2386" s="2" t="s">
        <v>14</v>
      </c>
      <c r="I2386" s="2" t="s">
        <v>15</v>
      </c>
      <c r="J2386" s="2" t="s">
        <v>34</v>
      </c>
      <c r="K2386" s="2" t="s">
        <v>8</v>
      </c>
      <c r="L2386" s="2" t="s">
        <v>9</v>
      </c>
      <c r="M2386" s="2" t="s">
        <v>10</v>
      </c>
      <c r="N2386" s="2" t="s">
        <v>19</v>
      </c>
      <c r="O2386" s="2" t="s">
        <v>12</v>
      </c>
      <c r="P2386" s="2" t="s">
        <v>28</v>
      </c>
      <c r="Q2386" s="2" t="s">
        <v>46</v>
      </c>
      <c r="R2386" s="2" t="s">
        <v>41</v>
      </c>
      <c r="S2386">
        <v>2</v>
      </c>
    </row>
    <row r="2387" spans="1:19" x14ac:dyDescent="0.3">
      <c r="A2387">
        <v>1977</v>
      </c>
      <c r="B2387">
        <f>YEAR(Cleaned_HR_Data_Analysis__2[[#This Row],[Joining_Date]])</f>
        <v>2022</v>
      </c>
      <c r="C2387" s="1">
        <v>44921</v>
      </c>
      <c r="D2387" s="1" t="str" cm="1">
        <f t="array" ref="D2387">_xlfn.IFS(E2387&lt;28, "17-27",
AND(E2387&gt;27, E2387&lt;38), "28-37",
AND(E2387&gt;37, E2387 &lt;48), "38-47",
AND(E2387&gt;47, E2387 &lt;58), "48-57",
AND(E2387&gt;57, E2387&lt;68), "58-67",
AND(E2387&gt;67, E2387&lt;78), "68-77",
E2387&gt;77,"Above than 77")</f>
        <v>68-77</v>
      </c>
      <c r="E2387">
        <v>70</v>
      </c>
      <c r="F2387" s="1">
        <v>19259</v>
      </c>
      <c r="G2387" s="1" t="str">
        <f>VLOOKUP(H2387,Table7[#All], 2, FALSE)</f>
        <v>Massachusetts</v>
      </c>
      <c r="H2387" s="2" t="s">
        <v>14</v>
      </c>
      <c r="I2387" s="2" t="s">
        <v>15</v>
      </c>
      <c r="J2387" s="2" t="s">
        <v>31</v>
      </c>
      <c r="K2387" s="2" t="s">
        <v>8</v>
      </c>
      <c r="L2387" s="2" t="s">
        <v>66</v>
      </c>
      <c r="M2387" s="2" t="s">
        <v>10</v>
      </c>
      <c r="N2387" s="2" t="s">
        <v>26</v>
      </c>
      <c r="O2387" s="2" t="s">
        <v>12</v>
      </c>
      <c r="P2387" s="2" t="s">
        <v>35</v>
      </c>
      <c r="Q2387" s="2" t="s">
        <v>16</v>
      </c>
      <c r="R2387" s="2" t="s">
        <v>18</v>
      </c>
      <c r="S2387">
        <v>5</v>
      </c>
    </row>
    <row r="2388" spans="1:19" x14ac:dyDescent="0.3">
      <c r="A2388">
        <v>1970</v>
      </c>
      <c r="B2388">
        <f>YEAR(Cleaned_HR_Data_Analysis__2[[#This Row],[Joining_Date]])</f>
        <v>2022</v>
      </c>
      <c r="C2388" s="1">
        <v>44672</v>
      </c>
      <c r="D2388" s="1" t="str" cm="1">
        <f t="array" ref="D2388">_xlfn.IFS(E2388&lt;28, "17-27",
AND(E2388&gt;27, E2388&lt;38), "28-37",
AND(E2388&gt;37, E2388 &lt;48), "38-47",
AND(E2388&gt;47, E2388 &lt;58), "48-57",
AND(E2388&gt;57, E2388&lt;68), "58-67",
AND(E2388&gt;67, E2388&lt;78), "68-77",
E2388&gt;77,"Above than 77")</f>
        <v>68-77</v>
      </c>
      <c r="E2388">
        <v>70</v>
      </c>
      <c r="F2388" s="1">
        <v>19101</v>
      </c>
      <c r="G2388" s="1" t="str">
        <f>VLOOKUP(H2388,Table7[#All], 2, FALSE)</f>
        <v>Massachusetts</v>
      </c>
      <c r="H2388" s="2" t="s">
        <v>14</v>
      </c>
      <c r="I2388" s="2" t="s">
        <v>15</v>
      </c>
      <c r="J2388" s="2" t="s">
        <v>31</v>
      </c>
      <c r="K2388" s="2" t="s">
        <v>8</v>
      </c>
      <c r="L2388" s="2" t="s">
        <v>9</v>
      </c>
      <c r="M2388" s="2" t="s">
        <v>20</v>
      </c>
      <c r="N2388" s="2" t="s">
        <v>11</v>
      </c>
      <c r="O2388" s="2" t="s">
        <v>12</v>
      </c>
      <c r="P2388" s="2" t="s">
        <v>35</v>
      </c>
      <c r="Q2388" s="2" t="s">
        <v>30</v>
      </c>
      <c r="R2388" s="2" t="s">
        <v>18</v>
      </c>
      <c r="S2388">
        <v>4</v>
      </c>
    </row>
    <row r="2389" spans="1:19" x14ac:dyDescent="0.3">
      <c r="A2389">
        <v>1960</v>
      </c>
      <c r="B2389">
        <f>YEAR(Cleaned_HR_Data_Analysis__2[[#This Row],[Joining_Date]])</f>
        <v>2018</v>
      </c>
      <c r="C2389" s="1">
        <v>43407</v>
      </c>
      <c r="D2389" s="1" t="str" cm="1">
        <f t="array" ref="D2389">_xlfn.IFS(E2389&lt;28, "17-27",
AND(E2389&gt;27, E2389&lt;38), "28-37",
AND(E2389&gt;37, E2389 &lt;48), "38-47",
AND(E2389&gt;47, E2389 &lt;58), "48-57",
AND(E2389&gt;57, E2389&lt;68), "58-67",
AND(E2389&gt;67, E2389&lt;78), "68-77",
E2389&gt;77,"Above than 77")</f>
        <v>68-77</v>
      </c>
      <c r="E2389">
        <v>70</v>
      </c>
      <c r="F2389" s="1">
        <v>17679</v>
      </c>
      <c r="G2389" s="1" t="str">
        <f>VLOOKUP(H2389,Table7[#All], 2, FALSE)</f>
        <v>Massachusetts</v>
      </c>
      <c r="H2389" s="2" t="s">
        <v>14</v>
      </c>
      <c r="I2389" s="2" t="s">
        <v>22</v>
      </c>
      <c r="J2389" s="2" t="s">
        <v>40</v>
      </c>
      <c r="K2389" s="2" t="s">
        <v>8</v>
      </c>
      <c r="L2389" s="2" t="s">
        <v>9</v>
      </c>
      <c r="M2389" s="2" t="s">
        <v>25</v>
      </c>
      <c r="N2389" s="2" t="s">
        <v>19</v>
      </c>
      <c r="O2389" s="2" t="s">
        <v>12</v>
      </c>
      <c r="P2389" s="2" t="s">
        <v>21</v>
      </c>
      <c r="Q2389" s="2" t="s">
        <v>16</v>
      </c>
      <c r="R2389" s="2" t="s">
        <v>18</v>
      </c>
      <c r="S2389">
        <v>4</v>
      </c>
    </row>
    <row r="2390" spans="1:19" x14ac:dyDescent="0.3">
      <c r="A2390">
        <v>1778</v>
      </c>
      <c r="B2390">
        <f>YEAR(Cleaned_HR_Data_Analysis__2[[#This Row],[Joining_Date]])</f>
        <v>2019</v>
      </c>
      <c r="C2390" s="1">
        <v>43580</v>
      </c>
      <c r="D2390" s="1" t="str" cm="1">
        <f t="array" ref="D2390">_xlfn.IFS(E2390&lt;28, "17-27",
AND(E2390&gt;27, E2390&lt;38), "28-37",
AND(E2390&gt;37, E2390 &lt;48), "38-47",
AND(E2390&gt;47, E2390 &lt;58), "48-57",
AND(E2390&gt;57, E2390&lt;68), "58-67",
AND(E2390&gt;67, E2390&lt;78), "68-77",
E2390&gt;77,"Above than 77")</f>
        <v>68-77</v>
      </c>
      <c r="E2390">
        <v>70</v>
      </c>
      <c r="F2390" s="1">
        <v>18036</v>
      </c>
      <c r="G2390" s="1" t="str">
        <f>VLOOKUP(H2390,Table7[#All], 2, FALSE)</f>
        <v>Massachusetts</v>
      </c>
      <c r="H2390" s="2" t="s">
        <v>14</v>
      </c>
      <c r="I2390" s="2" t="s">
        <v>15</v>
      </c>
      <c r="J2390" s="2" t="s">
        <v>17</v>
      </c>
      <c r="K2390" s="2" t="s">
        <v>8</v>
      </c>
      <c r="L2390" s="2" t="s">
        <v>9</v>
      </c>
      <c r="M2390" s="2" t="s">
        <v>25</v>
      </c>
      <c r="N2390" s="2" t="s">
        <v>26</v>
      </c>
      <c r="O2390" s="2" t="s">
        <v>12</v>
      </c>
      <c r="P2390" s="2" t="s">
        <v>32</v>
      </c>
      <c r="Q2390" s="2" t="s">
        <v>30</v>
      </c>
      <c r="R2390" s="2" t="s">
        <v>18</v>
      </c>
      <c r="S2390">
        <v>5</v>
      </c>
    </row>
    <row r="2391" spans="1:19" x14ac:dyDescent="0.3">
      <c r="A2391">
        <v>1771</v>
      </c>
      <c r="B2391">
        <f>YEAR(Cleaned_HR_Data_Analysis__2[[#This Row],[Joining_Date]])</f>
        <v>2020</v>
      </c>
      <c r="C2391" s="1">
        <v>44009</v>
      </c>
      <c r="D2391" s="1" t="str" cm="1">
        <f t="array" ref="D2391">_xlfn.IFS(E2391&lt;28, "17-27",
AND(E2391&gt;27, E2391&lt;38), "28-37",
AND(E2391&gt;37, E2391 &lt;48), "38-47",
AND(E2391&gt;47, E2391 &lt;58), "48-57",
AND(E2391&gt;57, E2391&lt;68), "58-67",
AND(E2391&gt;67, E2391&lt;78), "68-77",
E2391&gt;77,"Above than 77")</f>
        <v>68-77</v>
      </c>
      <c r="E2391">
        <v>70</v>
      </c>
      <c r="F2391" s="1">
        <v>18502</v>
      </c>
      <c r="G2391" s="1" t="str">
        <f>VLOOKUP(H2391,Table7[#All], 2, FALSE)</f>
        <v>Massachusetts</v>
      </c>
      <c r="H2391" s="2" t="s">
        <v>14</v>
      </c>
      <c r="I2391" s="2" t="s">
        <v>22</v>
      </c>
      <c r="J2391" s="2" t="s">
        <v>17</v>
      </c>
      <c r="K2391" s="2" t="s">
        <v>8</v>
      </c>
      <c r="L2391" s="2" t="s">
        <v>9</v>
      </c>
      <c r="M2391" s="2" t="s">
        <v>20</v>
      </c>
      <c r="N2391" s="2" t="s">
        <v>11</v>
      </c>
      <c r="O2391" s="2" t="s">
        <v>12</v>
      </c>
      <c r="P2391" s="2" t="s">
        <v>58</v>
      </c>
      <c r="Q2391" s="2" t="s">
        <v>23</v>
      </c>
      <c r="R2391" s="2" t="s">
        <v>18</v>
      </c>
      <c r="S2391">
        <v>2</v>
      </c>
    </row>
    <row r="2392" spans="1:19" x14ac:dyDescent="0.3">
      <c r="A2392">
        <v>1572</v>
      </c>
      <c r="B2392">
        <f>YEAR(Cleaned_HR_Data_Analysis__2[[#This Row],[Joining_Date]])</f>
        <v>2021</v>
      </c>
      <c r="C2392" s="1">
        <v>44467</v>
      </c>
      <c r="D2392" s="1" t="str" cm="1">
        <f t="array" ref="D2392">_xlfn.IFS(E2392&lt;28, "17-27",
AND(E2392&gt;27, E2392&lt;38), "28-37",
AND(E2392&gt;37, E2392 &lt;48), "38-47",
AND(E2392&gt;47, E2392 &lt;58), "48-57",
AND(E2392&gt;57, E2392&lt;68), "58-67",
AND(E2392&gt;67, E2392&lt;78), "68-77",
E2392&gt;77,"Above than 77")</f>
        <v>68-77</v>
      </c>
      <c r="E2392">
        <v>70</v>
      </c>
      <c r="F2392" s="1">
        <v>18726</v>
      </c>
      <c r="G2392" s="1" t="str">
        <f>VLOOKUP(H2392,Table7[#All], 2, FALSE)</f>
        <v>Massachusetts</v>
      </c>
      <c r="H2392" s="2" t="s">
        <v>14</v>
      </c>
      <c r="I2392" s="2" t="s">
        <v>15</v>
      </c>
      <c r="J2392" s="2" t="s">
        <v>34</v>
      </c>
      <c r="K2392" s="2" t="s">
        <v>8</v>
      </c>
      <c r="L2392" s="2" t="s">
        <v>9</v>
      </c>
      <c r="M2392" s="2" t="s">
        <v>20</v>
      </c>
      <c r="N2392" s="2" t="s">
        <v>11</v>
      </c>
      <c r="O2392" s="2" t="s">
        <v>12</v>
      </c>
      <c r="P2392" s="2" t="s">
        <v>55</v>
      </c>
      <c r="Q2392" s="2" t="s">
        <v>37</v>
      </c>
      <c r="R2392" s="2" t="s">
        <v>18</v>
      </c>
      <c r="S2392">
        <v>4</v>
      </c>
    </row>
    <row r="2393" spans="1:19" x14ac:dyDescent="0.3">
      <c r="A2393">
        <v>1479</v>
      </c>
      <c r="B2393">
        <f>YEAR(Cleaned_HR_Data_Analysis__2[[#This Row],[Joining_Date]])</f>
        <v>2021</v>
      </c>
      <c r="C2393" s="1">
        <v>44202</v>
      </c>
      <c r="D2393" s="1" t="str" cm="1">
        <f t="array" ref="D2393">_xlfn.IFS(E2393&lt;28, "17-27",
AND(E2393&gt;27, E2393&lt;38), "28-37",
AND(E2393&gt;37, E2393 &lt;48), "38-47",
AND(E2393&gt;47, E2393 &lt;58), "48-57",
AND(E2393&gt;57, E2393&lt;68), "58-67",
AND(E2393&gt;67, E2393&lt;78), "68-77",
E2393&gt;77,"Above than 77")</f>
        <v>68-77</v>
      </c>
      <c r="E2393">
        <v>70</v>
      </c>
      <c r="F2393" s="1">
        <v>18966</v>
      </c>
      <c r="G2393" s="1" t="str">
        <f>VLOOKUP(H2393,Table7[#All], 2, FALSE)</f>
        <v>Massachusetts</v>
      </c>
      <c r="H2393" s="2" t="s">
        <v>14</v>
      </c>
      <c r="I2393" s="2" t="s">
        <v>15</v>
      </c>
      <c r="J2393" s="2" t="s">
        <v>34</v>
      </c>
      <c r="K2393" s="2" t="s">
        <v>8</v>
      </c>
      <c r="L2393" s="2" t="s">
        <v>9</v>
      </c>
      <c r="M2393" s="2" t="s">
        <v>20</v>
      </c>
      <c r="N2393" s="2" t="s">
        <v>26</v>
      </c>
      <c r="O2393" s="2" t="s">
        <v>12</v>
      </c>
      <c r="P2393" s="2" t="s">
        <v>54</v>
      </c>
      <c r="Q2393" s="2" t="s">
        <v>16</v>
      </c>
      <c r="R2393" s="2" t="s">
        <v>41</v>
      </c>
      <c r="S2393">
        <v>4</v>
      </c>
    </row>
    <row r="2394" spans="1:19" x14ac:dyDescent="0.3">
      <c r="A2394">
        <v>1263</v>
      </c>
      <c r="B2394">
        <f>YEAR(Cleaned_HR_Data_Analysis__2[[#This Row],[Joining_Date]])</f>
        <v>2022</v>
      </c>
      <c r="C2394" s="1">
        <v>44854</v>
      </c>
      <c r="D2394" s="1" t="str" cm="1">
        <f t="array" ref="D2394">_xlfn.IFS(E2394&lt;28, "17-27",
AND(E2394&gt;27, E2394&lt;38), "28-37",
AND(E2394&gt;37, E2394 &lt;48), "38-47",
AND(E2394&gt;47, E2394 &lt;58), "48-57",
AND(E2394&gt;57, E2394&lt;68), "58-67",
AND(E2394&gt;67, E2394&lt;78), "68-77",
E2394&gt;77,"Above than 77")</f>
        <v>68-77</v>
      </c>
      <c r="E2394">
        <v>70</v>
      </c>
      <c r="F2394" s="1">
        <v>19312</v>
      </c>
      <c r="G2394" s="1" t="str">
        <f>VLOOKUP(H2394,Table7[#All], 2, FALSE)</f>
        <v>Massachusetts</v>
      </c>
      <c r="H2394" s="2" t="s">
        <v>14</v>
      </c>
      <c r="I2394" s="2" t="s">
        <v>15</v>
      </c>
      <c r="J2394" s="2" t="s">
        <v>40</v>
      </c>
      <c r="K2394" s="2" t="s">
        <v>8</v>
      </c>
      <c r="L2394" s="2" t="s">
        <v>9</v>
      </c>
      <c r="M2394" s="2" t="s">
        <v>25</v>
      </c>
      <c r="N2394" s="2" t="s">
        <v>26</v>
      </c>
      <c r="O2394" s="2" t="s">
        <v>12</v>
      </c>
      <c r="P2394" s="2" t="s">
        <v>58</v>
      </c>
      <c r="Q2394" s="2" t="s">
        <v>23</v>
      </c>
      <c r="R2394" s="2" t="s">
        <v>18</v>
      </c>
      <c r="S2394">
        <v>5</v>
      </c>
    </row>
    <row r="2395" spans="1:19" x14ac:dyDescent="0.3">
      <c r="A2395">
        <v>1251</v>
      </c>
      <c r="B2395">
        <f>YEAR(Cleaned_HR_Data_Analysis__2[[#This Row],[Joining_Date]])</f>
        <v>2018</v>
      </c>
      <c r="C2395" s="1">
        <v>43368</v>
      </c>
      <c r="D2395" s="1" t="str" cm="1">
        <f t="array" ref="D2395">_xlfn.IFS(E2395&lt;28, "17-27",
AND(E2395&gt;27, E2395&lt;38), "28-37",
AND(E2395&gt;37, E2395 &lt;48), "38-47",
AND(E2395&gt;47, E2395 &lt;58), "48-57",
AND(E2395&gt;57, E2395&lt;68), "58-67",
AND(E2395&gt;67, E2395&lt;78), "68-77",
E2395&gt;77,"Above than 77")</f>
        <v>68-77</v>
      </c>
      <c r="E2395">
        <v>70</v>
      </c>
      <c r="F2395" s="1">
        <v>17597</v>
      </c>
      <c r="G2395" s="1" t="str">
        <f>VLOOKUP(H2395,Table7[#All], 2, FALSE)</f>
        <v>Massachusetts</v>
      </c>
      <c r="H2395" s="2" t="s">
        <v>14</v>
      </c>
      <c r="I2395" s="2" t="s">
        <v>15</v>
      </c>
      <c r="J2395" s="2" t="s">
        <v>34</v>
      </c>
      <c r="K2395" s="2" t="s">
        <v>8</v>
      </c>
      <c r="L2395" s="2" t="s">
        <v>9</v>
      </c>
      <c r="M2395" s="2" t="s">
        <v>20</v>
      </c>
      <c r="N2395" s="2" t="s">
        <v>19</v>
      </c>
      <c r="O2395" s="2" t="s">
        <v>12</v>
      </c>
      <c r="P2395" s="2" t="s">
        <v>49</v>
      </c>
      <c r="Q2395" s="2" t="s">
        <v>46</v>
      </c>
      <c r="R2395" s="2" t="s">
        <v>18</v>
      </c>
      <c r="S2395">
        <v>5</v>
      </c>
    </row>
    <row r="2396" spans="1:19" x14ac:dyDescent="0.3">
      <c r="A2396">
        <v>1199</v>
      </c>
      <c r="B2396">
        <f>YEAR(Cleaned_HR_Data_Analysis__2[[#This Row],[Joining_Date]])</f>
        <v>2020</v>
      </c>
      <c r="C2396" s="1">
        <v>44177</v>
      </c>
      <c r="D2396" s="1" t="str" cm="1">
        <f t="array" ref="D2396">_xlfn.IFS(E2396&lt;28, "17-27",
AND(E2396&gt;27, E2396&lt;38), "28-37",
AND(E2396&gt;37, E2396 &lt;48), "38-47",
AND(E2396&gt;47, E2396 &lt;58), "48-57",
AND(E2396&gt;57, E2396&lt;68), "58-67",
AND(E2396&gt;67, E2396&lt;78), "68-77",
E2396&gt;77,"Above than 77")</f>
        <v>68-77</v>
      </c>
      <c r="E2396">
        <v>70</v>
      </c>
      <c r="F2396" s="1">
        <v>18367</v>
      </c>
      <c r="G2396" s="1" t="str">
        <f>VLOOKUP(H2396,Table7[#All], 2, FALSE)</f>
        <v>Massachusetts</v>
      </c>
      <c r="H2396" s="2" t="s">
        <v>14</v>
      </c>
      <c r="I2396" s="2" t="s">
        <v>15</v>
      </c>
      <c r="J2396" s="2" t="s">
        <v>17</v>
      </c>
      <c r="K2396" s="2" t="s">
        <v>8</v>
      </c>
      <c r="L2396" s="2" t="s">
        <v>9</v>
      </c>
      <c r="M2396" s="2" t="s">
        <v>25</v>
      </c>
      <c r="N2396" s="2" t="s">
        <v>26</v>
      </c>
      <c r="O2396" s="2" t="s">
        <v>12</v>
      </c>
      <c r="P2396" s="2" t="s">
        <v>35</v>
      </c>
      <c r="Q2396" s="2" t="s">
        <v>16</v>
      </c>
      <c r="R2396" s="2" t="s">
        <v>18</v>
      </c>
      <c r="S2396">
        <v>3</v>
      </c>
    </row>
    <row r="2397" spans="1:19" x14ac:dyDescent="0.3">
      <c r="A2397">
        <v>1193</v>
      </c>
      <c r="B2397">
        <f>YEAR(Cleaned_HR_Data_Analysis__2[[#This Row],[Joining_Date]])</f>
        <v>2020</v>
      </c>
      <c r="C2397" s="1">
        <v>43867</v>
      </c>
      <c r="D2397" s="1" t="str" cm="1">
        <f t="array" ref="D2397">_xlfn.IFS(E2397&lt;28, "17-27",
AND(E2397&gt;27, E2397&lt;38), "28-37",
AND(E2397&gt;37, E2397 &lt;48), "38-47",
AND(E2397&gt;47, E2397 &lt;58), "48-57",
AND(E2397&gt;57, E2397&lt;68), "58-67",
AND(E2397&gt;67, E2397&lt;78), "68-77",
E2397&gt;77,"Above than 77")</f>
        <v>68-77</v>
      </c>
      <c r="E2397">
        <v>70</v>
      </c>
      <c r="F2397" s="1">
        <v>18524</v>
      </c>
      <c r="G2397" s="1" t="str">
        <f>VLOOKUP(H2397,Table7[#All], 2, FALSE)</f>
        <v>Massachusetts</v>
      </c>
      <c r="H2397" s="2" t="s">
        <v>14</v>
      </c>
      <c r="I2397" s="2" t="s">
        <v>15</v>
      </c>
      <c r="J2397" s="2" t="s">
        <v>34</v>
      </c>
      <c r="K2397" s="2" t="s">
        <v>8</v>
      </c>
      <c r="L2397" s="2" t="s">
        <v>66</v>
      </c>
      <c r="M2397" s="2" t="s">
        <v>25</v>
      </c>
      <c r="N2397" s="2" t="s">
        <v>26</v>
      </c>
      <c r="O2397" s="2" t="s">
        <v>12</v>
      </c>
      <c r="P2397" s="2" t="s">
        <v>21</v>
      </c>
      <c r="Q2397" s="2" t="s">
        <v>37</v>
      </c>
      <c r="R2397" s="2" t="s">
        <v>18</v>
      </c>
      <c r="S2397">
        <v>2</v>
      </c>
    </row>
    <row r="2398" spans="1:19" x14ac:dyDescent="0.3">
      <c r="A2398">
        <v>2430</v>
      </c>
      <c r="B2398">
        <f>YEAR(Cleaned_HR_Data_Analysis__2[[#This Row],[Joining_Date]])</f>
        <v>2018</v>
      </c>
      <c r="C2398" s="1">
        <v>43421</v>
      </c>
      <c r="D2398" s="1" t="str" cm="1">
        <f t="array" ref="D2398">_xlfn.IFS(E2398&lt;28, "17-27",
AND(E2398&gt;27, E2398&lt;38), "28-37",
AND(E2398&gt;37, E2398 &lt;48), "38-47",
AND(E2398&gt;47, E2398 &lt;58), "48-57",
AND(E2398&gt;57, E2398&lt;68), "58-67",
AND(E2398&gt;67, E2398&lt;78), "68-77",
E2398&gt;77,"Above than 77")</f>
        <v>68-77</v>
      </c>
      <c r="E2398">
        <v>70</v>
      </c>
      <c r="F2398" s="1">
        <v>17648</v>
      </c>
      <c r="G2398" s="1" t="str">
        <f>VLOOKUP(H2398,Table7[#All], 2, FALSE)</f>
        <v>Massachusetts</v>
      </c>
      <c r="H2398" s="2" t="s">
        <v>14</v>
      </c>
      <c r="I2398" s="2" t="s">
        <v>22</v>
      </c>
      <c r="J2398" s="2" t="s">
        <v>31</v>
      </c>
      <c r="K2398" s="2" t="s">
        <v>91</v>
      </c>
      <c r="L2398" s="2" t="s">
        <v>9</v>
      </c>
      <c r="M2398" s="2" t="s">
        <v>25</v>
      </c>
      <c r="N2398" s="2" t="s">
        <v>26</v>
      </c>
      <c r="O2398" s="2" t="s">
        <v>12</v>
      </c>
      <c r="P2398" s="2" t="s">
        <v>32</v>
      </c>
      <c r="Q2398" s="2" t="s">
        <v>16</v>
      </c>
      <c r="R2398" s="2" t="s">
        <v>18</v>
      </c>
      <c r="S2398">
        <v>1</v>
      </c>
    </row>
    <row r="2399" spans="1:19" x14ac:dyDescent="0.3">
      <c r="A2399">
        <v>2414</v>
      </c>
      <c r="B2399">
        <f>YEAR(Cleaned_HR_Data_Analysis__2[[#This Row],[Joining_Date]])</f>
        <v>2022</v>
      </c>
      <c r="C2399" s="1">
        <v>44707</v>
      </c>
      <c r="D2399" s="1" t="str" cm="1">
        <f t="array" ref="D2399">_xlfn.IFS(E2399&lt;28, "17-27",
AND(E2399&gt;27, E2399&lt;38), "28-37",
AND(E2399&gt;37, E2399 &lt;48), "38-47",
AND(E2399&gt;47, E2399 &lt;58), "48-57",
AND(E2399&gt;57, E2399&lt;68), "58-67",
AND(E2399&gt;67, E2399&lt;78), "68-77",
E2399&gt;77,"Above than 77")</f>
        <v>68-77</v>
      </c>
      <c r="E2399">
        <v>70</v>
      </c>
      <c r="F2399" s="1">
        <v>19191</v>
      </c>
      <c r="G2399" s="1" t="str">
        <f>VLOOKUP(H2399,Table7[#All], 2, FALSE)</f>
        <v>Massachusetts</v>
      </c>
      <c r="H2399" s="2" t="s">
        <v>14</v>
      </c>
      <c r="I2399" s="2" t="s">
        <v>15</v>
      </c>
      <c r="J2399" s="2" t="s">
        <v>31</v>
      </c>
      <c r="K2399" s="2" t="s">
        <v>91</v>
      </c>
      <c r="L2399" s="2" t="s">
        <v>9</v>
      </c>
      <c r="M2399" s="2" t="s">
        <v>20</v>
      </c>
      <c r="N2399" s="2" t="s">
        <v>26</v>
      </c>
      <c r="O2399" s="2" t="s">
        <v>12</v>
      </c>
      <c r="P2399" s="2" t="s">
        <v>32</v>
      </c>
      <c r="Q2399" s="2" t="s">
        <v>46</v>
      </c>
      <c r="R2399" s="2" t="s">
        <v>18</v>
      </c>
      <c r="S2399">
        <v>1</v>
      </c>
    </row>
    <row r="2400" spans="1:19" x14ac:dyDescent="0.3">
      <c r="A2400">
        <v>2404</v>
      </c>
      <c r="B2400">
        <f>YEAR(Cleaned_HR_Data_Analysis__2[[#This Row],[Joining_Date]])</f>
        <v>2019</v>
      </c>
      <c r="C2400" s="1">
        <v>43642</v>
      </c>
      <c r="D2400" s="1" t="str" cm="1">
        <f t="array" ref="D2400">_xlfn.IFS(E2400&lt;28, "17-27",
AND(E2400&gt;27, E2400&lt;38), "28-37",
AND(E2400&gt;37, E2400 &lt;48), "38-47",
AND(E2400&gt;47, E2400 &lt;58), "48-57",
AND(E2400&gt;57, E2400&lt;68), "58-67",
AND(E2400&gt;67, E2400&lt;78), "68-77",
E2400&gt;77,"Above than 77")</f>
        <v>68-77</v>
      </c>
      <c r="E2400">
        <v>70</v>
      </c>
      <c r="F2400" s="1">
        <v>18037</v>
      </c>
      <c r="G2400" s="1" t="str">
        <f>VLOOKUP(H2400,Table7[#All], 2, FALSE)</f>
        <v>Massachusetts</v>
      </c>
      <c r="H2400" s="2" t="s">
        <v>14</v>
      </c>
      <c r="I2400" s="2" t="s">
        <v>15</v>
      </c>
      <c r="J2400" s="2" t="s">
        <v>40</v>
      </c>
      <c r="K2400" s="2" t="s">
        <v>91</v>
      </c>
      <c r="L2400" s="2" t="s">
        <v>9</v>
      </c>
      <c r="M2400" s="2" t="s">
        <v>10</v>
      </c>
      <c r="N2400" s="2" t="s">
        <v>11</v>
      </c>
      <c r="O2400" s="2" t="s">
        <v>12</v>
      </c>
      <c r="P2400" s="2" t="s">
        <v>32</v>
      </c>
      <c r="Q2400" s="2" t="s">
        <v>16</v>
      </c>
      <c r="R2400" s="2" t="s">
        <v>18</v>
      </c>
      <c r="S2400">
        <v>3</v>
      </c>
    </row>
    <row r="2401" spans="1:19" x14ac:dyDescent="0.3">
      <c r="A2401">
        <v>2405</v>
      </c>
      <c r="B2401">
        <f>YEAR(Cleaned_HR_Data_Analysis__2[[#This Row],[Joining_Date]])</f>
        <v>2020</v>
      </c>
      <c r="C2401" s="1">
        <v>44087</v>
      </c>
      <c r="D2401" s="1" t="str" cm="1">
        <f t="array" ref="D2401">_xlfn.IFS(E2401&lt;28, "17-27",
AND(E2401&gt;27, E2401&lt;38), "28-37",
AND(E2401&gt;37, E2401 &lt;48), "38-47",
AND(E2401&gt;47, E2401 &lt;58), "48-57",
AND(E2401&gt;57, E2401&lt;68), "58-67",
AND(E2401&gt;67, E2401&lt;78), "68-77",
E2401&gt;77,"Above than 77")</f>
        <v>68-77</v>
      </c>
      <c r="E2401">
        <v>70</v>
      </c>
      <c r="F2401" s="1">
        <v>18359</v>
      </c>
      <c r="G2401" s="1" t="str">
        <f>VLOOKUP(H2401,Table7[#All], 2, FALSE)</f>
        <v>Massachusetts</v>
      </c>
      <c r="H2401" s="2" t="s">
        <v>14</v>
      </c>
      <c r="I2401" s="2" t="s">
        <v>22</v>
      </c>
      <c r="J2401" s="2" t="s">
        <v>40</v>
      </c>
      <c r="K2401" s="2" t="s">
        <v>94</v>
      </c>
      <c r="L2401" s="2" t="s">
        <v>66</v>
      </c>
      <c r="M2401" s="2" t="s">
        <v>25</v>
      </c>
      <c r="N2401" s="2" t="s">
        <v>26</v>
      </c>
      <c r="O2401" s="2" t="s">
        <v>12</v>
      </c>
      <c r="P2401" s="2" t="s">
        <v>35</v>
      </c>
      <c r="Q2401" s="2" t="s">
        <v>16</v>
      </c>
      <c r="R2401" s="2" t="s">
        <v>18</v>
      </c>
      <c r="S2401">
        <v>1</v>
      </c>
    </row>
    <row r="2402" spans="1:19" x14ac:dyDescent="0.3">
      <c r="A2402">
        <v>2368</v>
      </c>
      <c r="B2402">
        <f>YEAR(Cleaned_HR_Data_Analysis__2[[#This Row],[Joining_Date]])</f>
        <v>2020</v>
      </c>
      <c r="C2402" s="1">
        <v>44065</v>
      </c>
      <c r="D2402" s="1" t="str" cm="1">
        <f t="array" ref="D2402">_xlfn.IFS(E2402&lt;28, "17-27",
AND(E2402&gt;27, E2402&lt;38), "28-37",
AND(E2402&gt;37, E2402 &lt;48), "38-47",
AND(E2402&gt;47, E2402 &lt;58), "48-57",
AND(E2402&gt;57, E2402&lt;68), "58-67",
AND(E2402&gt;67, E2402&lt;78), "68-77",
E2402&gt;77,"Above than 77")</f>
        <v>68-77</v>
      </c>
      <c r="E2402">
        <v>70</v>
      </c>
      <c r="F2402" s="1">
        <v>18353</v>
      </c>
      <c r="G2402" s="1" t="str">
        <f>VLOOKUP(H2402,Table7[#All], 2, FALSE)</f>
        <v>Massachusetts</v>
      </c>
      <c r="H2402" s="2" t="s">
        <v>14</v>
      </c>
      <c r="I2402" s="2" t="s">
        <v>15</v>
      </c>
      <c r="J2402" s="2" t="s">
        <v>31</v>
      </c>
      <c r="K2402" s="2" t="s">
        <v>94</v>
      </c>
      <c r="L2402" s="2" t="s">
        <v>9</v>
      </c>
      <c r="M2402" s="2" t="s">
        <v>25</v>
      </c>
      <c r="N2402" s="2" t="s">
        <v>26</v>
      </c>
      <c r="O2402" s="2" t="s">
        <v>12</v>
      </c>
      <c r="P2402" s="2" t="s">
        <v>59</v>
      </c>
      <c r="Q2402" s="2" t="s">
        <v>16</v>
      </c>
      <c r="R2402" s="2" t="s">
        <v>18</v>
      </c>
      <c r="S2402">
        <v>2</v>
      </c>
    </row>
    <row r="2403" spans="1:19" x14ac:dyDescent="0.3">
      <c r="A2403">
        <v>3818</v>
      </c>
      <c r="B2403">
        <f>YEAR(Cleaned_HR_Data_Analysis__2[[#This Row],[Joining_Date]])</f>
        <v>2020</v>
      </c>
      <c r="C2403" s="1">
        <v>43832</v>
      </c>
      <c r="D2403" s="1" t="str" cm="1">
        <f t="array" ref="D2403">_xlfn.IFS(E2403&lt;28, "17-27",
AND(E2403&gt;27, E2403&lt;38), "28-37",
AND(E2403&gt;37, E2403 &lt;48), "38-47",
AND(E2403&gt;47, E2403 &lt;58), "48-57",
AND(E2403&gt;57, E2403&lt;68), "58-67",
AND(E2403&gt;67, E2403&lt;78), "68-77",
E2403&gt;77,"Above than 77")</f>
        <v>68-77</v>
      </c>
      <c r="E2403">
        <v>70</v>
      </c>
      <c r="F2403" s="1">
        <v>18429</v>
      </c>
      <c r="G2403" s="1" t="str">
        <f>VLOOKUP(H2403,Table7[#All], 2, FALSE)</f>
        <v>Massachusetts</v>
      </c>
      <c r="H2403" s="2" t="s">
        <v>14</v>
      </c>
      <c r="I2403" s="2" t="s">
        <v>22</v>
      </c>
      <c r="J2403" s="2" t="s">
        <v>31</v>
      </c>
      <c r="K2403" s="2" t="s">
        <v>71</v>
      </c>
      <c r="L2403" s="2" t="s">
        <v>9</v>
      </c>
      <c r="M2403" s="2" t="s">
        <v>20</v>
      </c>
      <c r="N2403" s="2" t="s">
        <v>19</v>
      </c>
      <c r="O2403" s="2" t="s">
        <v>53</v>
      </c>
      <c r="P2403" s="2" t="s">
        <v>61</v>
      </c>
      <c r="Q2403" s="2" t="s">
        <v>46</v>
      </c>
      <c r="R2403" s="2" t="s">
        <v>18</v>
      </c>
      <c r="S2403">
        <v>1</v>
      </c>
    </row>
    <row r="2404" spans="1:19" x14ac:dyDescent="0.3">
      <c r="A2404">
        <v>3893</v>
      </c>
      <c r="B2404">
        <f>YEAR(Cleaned_HR_Data_Analysis__2[[#This Row],[Joining_Date]])</f>
        <v>2023</v>
      </c>
      <c r="C2404" s="1">
        <v>45007</v>
      </c>
      <c r="D2404" s="1" t="str" cm="1">
        <f t="array" ref="D2404">_xlfn.IFS(E2404&lt;28, "17-27",
AND(E2404&gt;27, E2404&lt;38), "28-37",
AND(E2404&gt;37, E2404 &lt;48), "38-47",
AND(E2404&gt;47, E2404 &lt;58), "48-57",
AND(E2404&gt;57, E2404&lt;68), "58-67",
AND(E2404&gt;67, E2404&lt;78), "68-77",
E2404&gt;77,"Above than 77")</f>
        <v>68-77</v>
      </c>
      <c r="E2404">
        <v>70</v>
      </c>
      <c r="F2404" s="1">
        <v>19464</v>
      </c>
      <c r="G2404" s="1" t="str">
        <f>VLOOKUP(H2404,Table7[#All], 2, FALSE)</f>
        <v>Massachusetts</v>
      </c>
      <c r="H2404" s="2" t="s">
        <v>14</v>
      </c>
      <c r="I2404" s="2" t="s">
        <v>15</v>
      </c>
      <c r="J2404" s="2" t="s">
        <v>34</v>
      </c>
      <c r="K2404" s="2" t="s">
        <v>70</v>
      </c>
      <c r="L2404" s="2" t="s">
        <v>9</v>
      </c>
      <c r="M2404" s="2" t="s">
        <v>25</v>
      </c>
      <c r="N2404" s="2" t="s">
        <v>26</v>
      </c>
      <c r="O2404" s="2" t="s">
        <v>53</v>
      </c>
      <c r="P2404" s="2" t="s">
        <v>32</v>
      </c>
      <c r="Q2404" s="2" t="s">
        <v>46</v>
      </c>
      <c r="R2404" s="2" t="s">
        <v>18</v>
      </c>
      <c r="S2404">
        <v>1</v>
      </c>
    </row>
    <row r="2405" spans="1:19" x14ac:dyDescent="0.3">
      <c r="A2405">
        <v>2214</v>
      </c>
      <c r="B2405">
        <f>YEAR(Cleaned_HR_Data_Analysis__2[[#This Row],[Joining_Date]])</f>
        <v>2021</v>
      </c>
      <c r="C2405" s="1">
        <v>44406</v>
      </c>
      <c r="D2405" s="1" t="str" cm="1">
        <f t="array" ref="D2405">_xlfn.IFS(E2405&lt;28, "17-27",
AND(E2405&gt;27, E2405&lt;38), "28-37",
AND(E2405&gt;37, E2405 &lt;48), "38-47",
AND(E2405&gt;47, E2405 &lt;58), "48-57",
AND(E2405&gt;57, E2405&lt;68), "58-67",
AND(E2405&gt;67, E2405&lt;78), "68-77",
E2405&gt;77,"Above than 77")</f>
        <v>68-77</v>
      </c>
      <c r="E2405">
        <v>70</v>
      </c>
      <c r="F2405" s="1">
        <v>18923</v>
      </c>
      <c r="G2405" s="1" t="str">
        <f>VLOOKUP(H2405,Table7[#All], 2, FALSE)</f>
        <v>Massachusetts</v>
      </c>
      <c r="H2405" s="2" t="s">
        <v>14</v>
      </c>
      <c r="I2405" s="2" t="s">
        <v>15</v>
      </c>
      <c r="J2405" s="2" t="s">
        <v>34</v>
      </c>
      <c r="K2405" s="2" t="s">
        <v>70</v>
      </c>
      <c r="L2405" s="2" t="s">
        <v>9</v>
      </c>
      <c r="M2405" s="2" t="s">
        <v>10</v>
      </c>
      <c r="N2405" s="2" t="s">
        <v>11</v>
      </c>
      <c r="O2405" s="2" t="s">
        <v>53</v>
      </c>
      <c r="P2405" s="2" t="s">
        <v>35</v>
      </c>
      <c r="Q2405" s="2" t="s">
        <v>37</v>
      </c>
      <c r="R2405" s="2" t="s">
        <v>41</v>
      </c>
      <c r="S2405">
        <v>1</v>
      </c>
    </row>
    <row r="2406" spans="1:19" x14ac:dyDescent="0.3">
      <c r="A2406">
        <v>2236</v>
      </c>
      <c r="B2406">
        <f>YEAR(Cleaned_HR_Data_Analysis__2[[#This Row],[Joining_Date]])</f>
        <v>2018</v>
      </c>
      <c r="C2406" s="1">
        <v>43457</v>
      </c>
      <c r="D2406" s="1" t="str" cm="1">
        <f t="array" ref="D2406">_xlfn.IFS(E2406&lt;28, "17-27",
AND(E2406&gt;27, E2406&lt;38), "28-37",
AND(E2406&gt;37, E2406 &lt;48), "38-47",
AND(E2406&gt;47, E2406 &lt;58), "48-57",
AND(E2406&gt;57, E2406&lt;68), "58-67",
AND(E2406&gt;67, E2406&lt;78), "68-77",
E2406&gt;77,"Above than 77")</f>
        <v>68-77</v>
      </c>
      <c r="E2406">
        <v>70</v>
      </c>
      <c r="F2406" s="1">
        <v>17834</v>
      </c>
      <c r="G2406" s="1" t="str">
        <f>VLOOKUP(H2406,Table7[#All], 2, FALSE)</f>
        <v>Connecticut</v>
      </c>
      <c r="H2406" s="2" t="s">
        <v>36</v>
      </c>
      <c r="I2406" s="2" t="s">
        <v>15</v>
      </c>
      <c r="J2406" s="2" t="s">
        <v>17</v>
      </c>
      <c r="K2406" s="2" t="s">
        <v>70</v>
      </c>
      <c r="L2406" s="2" t="s">
        <v>9</v>
      </c>
      <c r="M2406" s="2" t="s">
        <v>25</v>
      </c>
      <c r="N2406" s="2" t="s">
        <v>19</v>
      </c>
      <c r="O2406" s="2" t="s">
        <v>53</v>
      </c>
      <c r="P2406" s="2" t="s">
        <v>42</v>
      </c>
      <c r="Q2406" s="2" t="s">
        <v>23</v>
      </c>
      <c r="R2406" s="2" t="s">
        <v>18</v>
      </c>
      <c r="S2406">
        <v>1</v>
      </c>
    </row>
    <row r="2407" spans="1:19" x14ac:dyDescent="0.3">
      <c r="A2407">
        <v>2208</v>
      </c>
      <c r="B2407">
        <f>YEAR(Cleaned_HR_Data_Analysis__2[[#This Row],[Joining_Date]])</f>
        <v>2018</v>
      </c>
      <c r="C2407" s="1">
        <v>43364</v>
      </c>
      <c r="D2407" s="1" t="str" cm="1">
        <f t="array" ref="D2407">_xlfn.IFS(E2407&lt;28, "17-27",
AND(E2407&gt;27, E2407&lt;38), "28-37",
AND(E2407&gt;37, E2407 &lt;48), "38-47",
AND(E2407&gt;47, E2407 &lt;58), "48-57",
AND(E2407&gt;57, E2407&lt;68), "58-67",
AND(E2407&gt;67, E2407&lt;78), "68-77",
E2407&gt;77,"Above than 77")</f>
        <v>68-77</v>
      </c>
      <c r="E2407">
        <v>70</v>
      </c>
      <c r="F2407" s="1">
        <v>17826</v>
      </c>
      <c r="G2407" s="1" t="str">
        <f>VLOOKUP(H2407,Table7[#All], 2, FALSE)</f>
        <v>Connecticut</v>
      </c>
      <c r="H2407" s="2" t="s">
        <v>36</v>
      </c>
      <c r="I2407" s="2" t="s">
        <v>15</v>
      </c>
      <c r="J2407" s="2" t="s">
        <v>34</v>
      </c>
      <c r="K2407" s="2" t="s">
        <v>70</v>
      </c>
      <c r="L2407" s="2" t="s">
        <v>9</v>
      </c>
      <c r="M2407" s="2" t="s">
        <v>25</v>
      </c>
      <c r="N2407" s="2" t="s">
        <v>26</v>
      </c>
      <c r="O2407" s="2" t="s">
        <v>53</v>
      </c>
      <c r="P2407" s="2" t="s">
        <v>55</v>
      </c>
      <c r="Q2407" s="2" t="s">
        <v>30</v>
      </c>
      <c r="R2407" s="2" t="s">
        <v>56</v>
      </c>
      <c r="S2407">
        <v>3</v>
      </c>
    </row>
    <row r="2408" spans="1:19" x14ac:dyDescent="0.3">
      <c r="A2408">
        <v>3970</v>
      </c>
      <c r="B2408">
        <f>YEAR(Cleaned_HR_Data_Analysis__2[[#This Row],[Joining_Date]])</f>
        <v>2020</v>
      </c>
      <c r="C2408" s="1">
        <v>44108</v>
      </c>
      <c r="D2408" s="1" t="str" cm="1">
        <f t="array" ref="D2408">_xlfn.IFS(E2408&lt;28, "17-27",
AND(E2408&gt;27, E2408&lt;38), "28-37",
AND(E2408&gt;37, E2408 &lt;48), "38-47",
AND(E2408&gt;47, E2408 &lt;58), "48-57",
AND(E2408&gt;57, E2408&lt;68), "58-67",
AND(E2408&gt;67, E2408&lt;78), "68-77",
E2408&gt;77,"Above than 77")</f>
        <v>68-77</v>
      </c>
      <c r="E2408">
        <v>70</v>
      </c>
      <c r="F2408" s="1">
        <v>18575</v>
      </c>
      <c r="G2408" s="1" t="str">
        <f>VLOOKUP(H2408,Table7[#All], 2, FALSE)</f>
        <v>Massachusetts</v>
      </c>
      <c r="H2408" s="2" t="s">
        <v>14</v>
      </c>
      <c r="I2408" s="2" t="s">
        <v>15</v>
      </c>
      <c r="J2408" s="2" t="s">
        <v>34</v>
      </c>
      <c r="K2408" s="2" t="s">
        <v>77</v>
      </c>
      <c r="L2408" s="2" t="s">
        <v>9</v>
      </c>
      <c r="M2408" s="2" t="s">
        <v>20</v>
      </c>
      <c r="N2408" s="2" t="s">
        <v>26</v>
      </c>
      <c r="O2408" s="2" t="s">
        <v>53</v>
      </c>
      <c r="P2408" s="2" t="s">
        <v>35</v>
      </c>
      <c r="Q2408" s="2" t="s">
        <v>30</v>
      </c>
      <c r="R2408" s="2" t="s">
        <v>41</v>
      </c>
      <c r="S2408">
        <v>1</v>
      </c>
    </row>
    <row r="2409" spans="1:19" x14ac:dyDescent="0.3">
      <c r="A2409">
        <v>2729</v>
      </c>
      <c r="B2409">
        <f>YEAR(Cleaned_HR_Data_Analysis__2[[#This Row],[Joining_Date]])</f>
        <v>2018</v>
      </c>
      <c r="C2409" s="1">
        <v>43444</v>
      </c>
      <c r="D2409" s="1" t="str" cm="1">
        <f t="array" ref="D2409">_xlfn.IFS(E2409&lt;28, "17-27",
AND(E2409&gt;27, E2409&lt;38), "28-37",
AND(E2409&gt;37, E2409 &lt;48), "38-47",
AND(E2409&gt;47, E2409 &lt;58), "48-57",
AND(E2409&gt;57, E2409&lt;68), "58-67",
AND(E2409&gt;67, E2409&lt;78), "68-77",
E2409&gt;77,"Above than 77")</f>
        <v>68-77</v>
      </c>
      <c r="E2409">
        <v>70</v>
      </c>
      <c r="F2409" s="1">
        <v>17602</v>
      </c>
      <c r="G2409" s="1" t="str">
        <f>VLOOKUP(H2409,Table7[#All], 2, FALSE)</f>
        <v>Washington</v>
      </c>
      <c r="H2409" s="2" t="s">
        <v>113</v>
      </c>
      <c r="I2409" s="2" t="s">
        <v>15</v>
      </c>
      <c r="J2409" s="2" t="s">
        <v>40</v>
      </c>
      <c r="K2409" s="2" t="s">
        <v>24</v>
      </c>
      <c r="L2409" s="2" t="s">
        <v>9</v>
      </c>
      <c r="M2409" s="2" t="s">
        <v>20</v>
      </c>
      <c r="N2409" s="2" t="s">
        <v>26</v>
      </c>
      <c r="O2409" s="2" t="s">
        <v>27</v>
      </c>
      <c r="P2409" s="2" t="s">
        <v>42</v>
      </c>
      <c r="Q2409" s="2" t="s">
        <v>23</v>
      </c>
      <c r="R2409" s="2" t="s">
        <v>18</v>
      </c>
      <c r="S2409">
        <v>5</v>
      </c>
    </row>
    <row r="2410" spans="1:19" x14ac:dyDescent="0.3">
      <c r="A2410">
        <v>3521</v>
      </c>
      <c r="B2410">
        <f>YEAR(Cleaned_HR_Data_Analysis__2[[#This Row],[Joining_Date]])</f>
        <v>2019</v>
      </c>
      <c r="C2410" s="1">
        <v>43522</v>
      </c>
      <c r="D2410" s="1" t="str" cm="1">
        <f t="array" ref="D2410">_xlfn.IFS(E2410&lt;28, "17-27",
AND(E2410&gt;27, E2410&lt;38), "28-37",
AND(E2410&gt;37, E2410 &lt;48), "38-47",
AND(E2410&gt;47, E2410 &lt;58), "48-57",
AND(E2410&gt;57, E2410&lt;68), "58-67",
AND(E2410&gt;67, E2410&lt;78), "68-77",
E2410&gt;77,"Above than 77")</f>
        <v>68-77</v>
      </c>
      <c r="E2410">
        <v>70</v>
      </c>
      <c r="F2410" s="1">
        <v>18004</v>
      </c>
      <c r="G2410" s="1" t="str">
        <f>VLOOKUP(H2410,Table7[#All], 2, FALSE)</f>
        <v>Kentucky</v>
      </c>
      <c r="H2410" s="2" t="s">
        <v>51</v>
      </c>
      <c r="I2410" s="2" t="s">
        <v>15</v>
      </c>
      <c r="J2410" s="2" t="s">
        <v>40</v>
      </c>
      <c r="K2410" s="2" t="s">
        <v>24</v>
      </c>
      <c r="L2410" s="2" t="s">
        <v>9</v>
      </c>
      <c r="M2410" s="2" t="s">
        <v>10</v>
      </c>
      <c r="N2410" s="2" t="s">
        <v>11</v>
      </c>
      <c r="O2410" s="2" t="s">
        <v>27</v>
      </c>
      <c r="P2410" s="2" t="s">
        <v>32</v>
      </c>
      <c r="Q2410" s="2" t="s">
        <v>46</v>
      </c>
      <c r="R2410" s="2" t="s">
        <v>18</v>
      </c>
      <c r="S2410">
        <v>3</v>
      </c>
    </row>
    <row r="2411" spans="1:19" x14ac:dyDescent="0.3">
      <c r="A2411">
        <v>2575</v>
      </c>
      <c r="B2411">
        <f>YEAR(Cleaned_HR_Data_Analysis__2[[#This Row],[Joining_Date]])</f>
        <v>2021</v>
      </c>
      <c r="C2411" s="1">
        <v>44258</v>
      </c>
      <c r="D2411" s="1" t="str" cm="1">
        <f t="array" ref="D2411">_xlfn.IFS(E2411&lt;28, "17-27",
AND(E2411&gt;27, E2411&lt;38), "28-37",
AND(E2411&gt;37, E2411 &lt;48), "38-47",
AND(E2411&gt;47, E2411 &lt;58), "48-57",
AND(E2411&gt;57, E2411&lt;68), "58-67",
AND(E2411&gt;67, E2411&lt;78), "68-77",
E2411&gt;77,"Above than 77")</f>
        <v>68-77</v>
      </c>
      <c r="E2411">
        <v>70</v>
      </c>
      <c r="F2411" s="1">
        <v>18800</v>
      </c>
      <c r="G2411" s="1" t="str">
        <f>VLOOKUP(H2411,Table7[#All], 2, FALSE)</f>
        <v>Idaho</v>
      </c>
      <c r="H2411" s="2" t="s">
        <v>111</v>
      </c>
      <c r="I2411" s="2" t="s">
        <v>22</v>
      </c>
      <c r="J2411" s="2" t="s">
        <v>17</v>
      </c>
      <c r="K2411" s="2" t="s">
        <v>24</v>
      </c>
      <c r="L2411" s="2" t="s">
        <v>9</v>
      </c>
      <c r="M2411" s="2" t="s">
        <v>10</v>
      </c>
      <c r="N2411" s="2" t="s">
        <v>11</v>
      </c>
      <c r="O2411" s="2" t="s">
        <v>27</v>
      </c>
      <c r="P2411" s="2" t="s">
        <v>49</v>
      </c>
      <c r="Q2411" s="2" t="s">
        <v>30</v>
      </c>
      <c r="R2411" s="2" t="s">
        <v>18</v>
      </c>
      <c r="S2411">
        <v>3</v>
      </c>
    </row>
    <row r="2412" spans="1:19" x14ac:dyDescent="0.3">
      <c r="A2412">
        <v>3438</v>
      </c>
      <c r="B2412">
        <f>YEAR(Cleaned_HR_Data_Analysis__2[[#This Row],[Joining_Date]])</f>
        <v>2018</v>
      </c>
      <c r="C2412" s="1">
        <v>43322</v>
      </c>
      <c r="D2412" s="1" t="str" cm="1">
        <f t="array" ref="D2412">_xlfn.IFS(E2412&lt;28, "17-27",
AND(E2412&gt;27, E2412&lt;38), "28-37",
AND(E2412&gt;37, E2412 &lt;48), "38-47",
AND(E2412&gt;47, E2412 &lt;58), "48-57",
AND(E2412&gt;57, E2412&lt;68), "58-67",
AND(E2412&gt;67, E2412&lt;78), "68-77",
E2412&gt;77,"Above than 77")</f>
        <v>68-77</v>
      </c>
      <c r="E2412">
        <v>70</v>
      </c>
      <c r="F2412" s="1">
        <v>17629</v>
      </c>
      <c r="G2412" s="1" t="str">
        <f>VLOOKUP(H2412,Table7[#All], 2, FALSE)</f>
        <v>Georgia</v>
      </c>
      <c r="H2412" s="2" t="s">
        <v>48</v>
      </c>
      <c r="I2412" s="2" t="s">
        <v>15</v>
      </c>
      <c r="J2412" s="2" t="s">
        <v>34</v>
      </c>
      <c r="K2412" s="2" t="s">
        <v>24</v>
      </c>
      <c r="L2412" s="2" t="s">
        <v>9</v>
      </c>
      <c r="M2412" s="2" t="s">
        <v>25</v>
      </c>
      <c r="N2412" s="2" t="s">
        <v>11</v>
      </c>
      <c r="O2412" s="2" t="s">
        <v>27</v>
      </c>
      <c r="P2412" s="2" t="s">
        <v>32</v>
      </c>
      <c r="Q2412" s="2" t="s">
        <v>46</v>
      </c>
      <c r="R2412" s="2" t="s">
        <v>18</v>
      </c>
      <c r="S2412">
        <v>2</v>
      </c>
    </row>
    <row r="2413" spans="1:19" x14ac:dyDescent="0.3">
      <c r="A2413">
        <v>3519</v>
      </c>
      <c r="B2413">
        <f>YEAR(Cleaned_HR_Data_Analysis__2[[#This Row],[Joining_Date]])</f>
        <v>2021</v>
      </c>
      <c r="C2413" s="1">
        <v>44549</v>
      </c>
      <c r="D2413" s="1" t="str" cm="1">
        <f t="array" ref="D2413">_xlfn.IFS(E2413&lt;28, "17-27",
AND(E2413&gt;27, E2413&lt;38), "28-37",
AND(E2413&gt;37, E2413 &lt;48), "38-47",
AND(E2413&gt;47, E2413 &lt;58), "48-57",
AND(E2413&gt;57, E2413&lt;68), "58-67",
AND(E2413&gt;67, E2413&lt;78), "68-77",
E2413&gt;77,"Above than 77")</f>
        <v>68-77</v>
      </c>
      <c r="E2413">
        <v>70</v>
      </c>
      <c r="F2413" s="1">
        <v>18715</v>
      </c>
      <c r="G2413" s="1" t="str">
        <f>VLOOKUP(H2413,Table7[#All], 2, FALSE)</f>
        <v>California</v>
      </c>
      <c r="H2413" s="2" t="s">
        <v>39</v>
      </c>
      <c r="I2413" s="2" t="s">
        <v>22</v>
      </c>
      <c r="J2413" s="2" t="s">
        <v>17</v>
      </c>
      <c r="K2413" s="2" t="s">
        <v>24</v>
      </c>
      <c r="L2413" s="2" t="s">
        <v>9</v>
      </c>
      <c r="M2413" s="2" t="s">
        <v>20</v>
      </c>
      <c r="N2413" s="2" t="s">
        <v>11</v>
      </c>
      <c r="O2413" s="2" t="s">
        <v>27</v>
      </c>
      <c r="P2413" s="2" t="s">
        <v>21</v>
      </c>
      <c r="Q2413" s="2" t="s">
        <v>23</v>
      </c>
      <c r="R2413" s="2" t="s">
        <v>18</v>
      </c>
      <c r="S2413">
        <v>3</v>
      </c>
    </row>
    <row r="2414" spans="1:19" x14ac:dyDescent="0.3">
      <c r="A2414">
        <v>2589</v>
      </c>
      <c r="B2414">
        <f>YEAR(Cleaned_HR_Data_Analysis__2[[#This Row],[Joining_Date]])</f>
        <v>2020</v>
      </c>
      <c r="C2414" s="1">
        <v>44170</v>
      </c>
      <c r="D2414" s="1" t="str" cm="1">
        <f t="array" ref="D2414">_xlfn.IFS(E2414&lt;28, "17-27",
AND(E2414&gt;27, E2414&lt;38), "28-37",
AND(E2414&gt;37, E2414 &lt;48), "38-47",
AND(E2414&gt;47, E2414 &lt;58), "48-57",
AND(E2414&gt;57, E2414&lt;68), "58-67",
AND(E2414&gt;67, E2414&lt;78), "68-77",
E2414&gt;77,"Above than 77")</f>
        <v>68-77</v>
      </c>
      <c r="E2414">
        <v>70</v>
      </c>
      <c r="F2414" s="1">
        <v>18623</v>
      </c>
      <c r="G2414" s="1" t="str">
        <f>VLOOKUP(H2414,Table7[#All], 2, FALSE)</f>
        <v>Arizona</v>
      </c>
      <c r="H2414" s="2" t="s">
        <v>114</v>
      </c>
      <c r="I2414" s="2" t="s">
        <v>22</v>
      </c>
      <c r="J2414" s="2" t="s">
        <v>31</v>
      </c>
      <c r="K2414" s="2" t="s">
        <v>24</v>
      </c>
      <c r="L2414" s="2" t="s">
        <v>9</v>
      </c>
      <c r="M2414" s="2" t="s">
        <v>10</v>
      </c>
      <c r="N2414" s="2" t="s">
        <v>19</v>
      </c>
      <c r="O2414" s="2" t="s">
        <v>27</v>
      </c>
      <c r="P2414" s="2" t="s">
        <v>55</v>
      </c>
      <c r="Q2414" s="2" t="s">
        <v>46</v>
      </c>
      <c r="R2414" s="2" t="s">
        <v>18</v>
      </c>
      <c r="S2414">
        <v>5</v>
      </c>
    </row>
    <row r="2415" spans="1:19" x14ac:dyDescent="0.3">
      <c r="A2415">
        <v>2731</v>
      </c>
      <c r="B2415">
        <f>YEAR(Cleaned_HR_Data_Analysis__2[[#This Row],[Joining_Date]])</f>
        <v>2019</v>
      </c>
      <c r="C2415" s="1">
        <v>43496</v>
      </c>
      <c r="D2415" s="1" t="str" cm="1">
        <f t="array" ref="D2415">_xlfn.IFS(E2415&lt;28, "17-27",
AND(E2415&gt;27, E2415&lt;38), "28-37",
AND(E2415&gt;37, E2415 &lt;48), "38-47",
AND(E2415&gt;47, E2415 &lt;58), "48-57",
AND(E2415&gt;57, E2415&lt;68), "58-67",
AND(E2415&gt;67, E2415&lt;78), "68-77",
E2415&gt;77,"Above than 77")</f>
        <v>68-77</v>
      </c>
      <c r="E2415">
        <v>70</v>
      </c>
      <c r="F2415" s="1">
        <v>18262</v>
      </c>
      <c r="G2415" s="1" t="str">
        <f>VLOOKUP(H2415,Table7[#All], 2, FALSE)</f>
        <v>Massachusetts</v>
      </c>
      <c r="H2415" s="2" t="s">
        <v>14</v>
      </c>
      <c r="I2415" s="2" t="s">
        <v>15</v>
      </c>
      <c r="J2415" s="2" t="s">
        <v>34</v>
      </c>
      <c r="K2415" s="2" t="s">
        <v>95</v>
      </c>
      <c r="L2415" s="2" t="s">
        <v>9</v>
      </c>
      <c r="M2415" s="2" t="s">
        <v>20</v>
      </c>
      <c r="N2415" s="2" t="s">
        <v>11</v>
      </c>
      <c r="O2415" s="2" t="s">
        <v>27</v>
      </c>
      <c r="P2415" s="2" t="s">
        <v>32</v>
      </c>
      <c r="Q2415" s="2" t="s">
        <v>30</v>
      </c>
      <c r="R2415" s="2" t="s">
        <v>18</v>
      </c>
      <c r="S2415">
        <v>3</v>
      </c>
    </row>
    <row r="2416" spans="1:19" x14ac:dyDescent="0.3">
      <c r="A2416">
        <v>1387</v>
      </c>
      <c r="B2416">
        <f>YEAR(Cleaned_HR_Data_Analysis__2[[#This Row],[Joining_Date]])</f>
        <v>2021</v>
      </c>
      <c r="C2416" s="1">
        <v>44506</v>
      </c>
      <c r="D2416" s="1" t="str" cm="1">
        <f t="array" ref="D2416">_xlfn.IFS(E2416&lt;28, "17-27",
AND(E2416&gt;27, E2416&lt;38), "28-37",
AND(E2416&gt;37, E2416 &lt;48), "38-47",
AND(E2416&gt;47, E2416 &lt;58), "48-57",
AND(E2416&gt;57, E2416&lt;68), "58-67",
AND(E2416&gt;67, E2416&lt;78), "68-77",
E2416&gt;77,"Above than 77")</f>
        <v>68-77</v>
      </c>
      <c r="E2416">
        <v>70</v>
      </c>
      <c r="F2416" s="1">
        <v>18867</v>
      </c>
      <c r="G2416" s="1" t="str">
        <f>VLOOKUP(H2416,Table7[#All], 2, FALSE)</f>
        <v>Massachusetts</v>
      </c>
      <c r="H2416" s="2" t="s">
        <v>14</v>
      </c>
      <c r="I2416" s="2" t="s">
        <v>22</v>
      </c>
      <c r="J2416" s="2" t="s">
        <v>40</v>
      </c>
      <c r="K2416" s="2" t="s">
        <v>96</v>
      </c>
      <c r="L2416" s="2" t="s">
        <v>9</v>
      </c>
      <c r="M2416" s="2" t="s">
        <v>10</v>
      </c>
      <c r="N2416" s="2" t="s">
        <v>26</v>
      </c>
      <c r="O2416" s="2" t="s">
        <v>90</v>
      </c>
      <c r="P2416" s="2" t="s">
        <v>32</v>
      </c>
      <c r="Q2416" s="2" t="s">
        <v>23</v>
      </c>
      <c r="R2416" s="2" t="s">
        <v>65</v>
      </c>
      <c r="S2416">
        <v>1</v>
      </c>
    </row>
    <row r="2417" spans="1:19" x14ac:dyDescent="0.3">
      <c r="A2417">
        <v>3911</v>
      </c>
      <c r="B2417">
        <f>YEAR(Cleaned_HR_Data_Analysis__2[[#This Row],[Joining_Date]])</f>
        <v>2021</v>
      </c>
      <c r="C2417" s="1">
        <v>44344</v>
      </c>
      <c r="D2417" s="1" t="str" cm="1">
        <f t="array" ref="D2417">_xlfn.IFS(E2417&lt;28, "17-27",
AND(E2417&gt;27, E2417&lt;38), "28-37",
AND(E2417&gt;37, E2417 &lt;48), "38-47",
AND(E2417&gt;47, E2417 &lt;58), "48-57",
AND(E2417&gt;57, E2417&lt;68), "58-67",
AND(E2417&gt;67, E2417&lt;78), "68-77",
E2417&gt;77,"Above than 77")</f>
        <v>68-77</v>
      </c>
      <c r="E2417">
        <v>71</v>
      </c>
      <c r="F2417" s="1">
        <v>18473</v>
      </c>
      <c r="G2417" s="1" t="str">
        <f>VLOOKUP(H2417,Table7[#All], 2, FALSE)</f>
        <v>Connecticut</v>
      </c>
      <c r="H2417" s="2" t="s">
        <v>36</v>
      </c>
      <c r="I2417" s="2" t="s">
        <v>22</v>
      </c>
      <c r="J2417" s="2" t="s">
        <v>17</v>
      </c>
      <c r="K2417" s="2" t="s">
        <v>72</v>
      </c>
      <c r="L2417" s="2" t="s">
        <v>9</v>
      </c>
      <c r="M2417" s="2" t="s">
        <v>25</v>
      </c>
      <c r="N2417" s="2" t="s">
        <v>19</v>
      </c>
      <c r="O2417" s="2" t="s">
        <v>53</v>
      </c>
      <c r="P2417" s="2" t="s">
        <v>49</v>
      </c>
      <c r="Q2417" s="2" t="s">
        <v>16</v>
      </c>
      <c r="R2417" s="2" t="s">
        <v>18</v>
      </c>
      <c r="S2417">
        <v>5</v>
      </c>
    </row>
    <row r="2418" spans="1:19" x14ac:dyDescent="0.3">
      <c r="A2418">
        <v>1317</v>
      </c>
      <c r="B2418">
        <f>YEAR(Cleaned_HR_Data_Analysis__2[[#This Row],[Joining_Date]])</f>
        <v>2021</v>
      </c>
      <c r="C2418" s="1">
        <v>44325</v>
      </c>
      <c r="D2418" s="1" t="str" cm="1">
        <f t="array" ref="D2418">_xlfn.IFS(E2418&lt;28, "17-27",
AND(E2418&gt;27, E2418&lt;38), "28-37",
AND(E2418&gt;37, E2418 &lt;48), "38-47",
AND(E2418&gt;47, E2418 &lt;58), "48-57",
AND(E2418&gt;57, E2418&lt;68), "58-67",
AND(E2418&gt;67, E2418&lt;78), "68-77",
E2418&gt;77,"Above than 77")</f>
        <v>68-77</v>
      </c>
      <c r="E2418">
        <v>71</v>
      </c>
      <c r="F2418" s="1">
        <v>18590</v>
      </c>
      <c r="G2418" s="1" t="str">
        <f>VLOOKUP(H2418,Table7[#All], 2, FALSE)</f>
        <v>Massachusetts</v>
      </c>
      <c r="H2418" s="2" t="s">
        <v>14</v>
      </c>
      <c r="I2418" s="2" t="s">
        <v>15</v>
      </c>
      <c r="J2418" s="2" t="s">
        <v>17</v>
      </c>
      <c r="K2418" s="2" t="s">
        <v>84</v>
      </c>
      <c r="L2418" s="2" t="s">
        <v>9</v>
      </c>
      <c r="M2418" s="2" t="s">
        <v>25</v>
      </c>
      <c r="N2418" s="2" t="s">
        <v>19</v>
      </c>
      <c r="O2418" s="2" t="s">
        <v>90</v>
      </c>
      <c r="P2418" s="2" t="s">
        <v>21</v>
      </c>
      <c r="Q2418" s="2" t="s">
        <v>37</v>
      </c>
      <c r="R2418" s="2" t="s">
        <v>18</v>
      </c>
      <c r="S2418">
        <v>2</v>
      </c>
    </row>
    <row r="2419" spans="1:19" x14ac:dyDescent="0.3">
      <c r="A2419">
        <v>2500</v>
      </c>
      <c r="B2419">
        <f>YEAR(Cleaned_HR_Data_Analysis__2[[#This Row],[Joining_Date]])</f>
        <v>2019</v>
      </c>
      <c r="C2419" s="1">
        <v>43671</v>
      </c>
      <c r="D2419" s="1" t="str" cm="1">
        <f t="array" ref="D2419">_xlfn.IFS(E2419&lt;28, "17-27",
AND(E2419&gt;27, E2419&lt;38), "28-37",
AND(E2419&gt;37, E2419 &lt;48), "38-47",
AND(E2419&gt;47, E2419 &lt;58), "48-57",
AND(E2419&gt;57, E2419&lt;68), "58-67",
AND(E2419&gt;67, E2419&lt;78), "68-77",
E2419&gt;77,"Above than 77")</f>
        <v>68-77</v>
      </c>
      <c r="E2419">
        <v>71</v>
      </c>
      <c r="F2419" s="1">
        <v>17701</v>
      </c>
      <c r="G2419" s="1" t="str">
        <f>VLOOKUP(H2419,Table7[#All], 2, FALSE)</f>
        <v>Massachusetts</v>
      </c>
      <c r="H2419" s="2" t="s">
        <v>14</v>
      </c>
      <c r="I2419" s="2" t="s">
        <v>22</v>
      </c>
      <c r="J2419" s="2" t="s">
        <v>34</v>
      </c>
      <c r="K2419" s="2" t="s">
        <v>86</v>
      </c>
      <c r="L2419" s="2" t="s">
        <v>9</v>
      </c>
      <c r="M2419" s="2" t="s">
        <v>25</v>
      </c>
      <c r="N2419" s="2" t="s">
        <v>11</v>
      </c>
      <c r="O2419" s="2" t="s">
        <v>87</v>
      </c>
      <c r="P2419" s="2" t="s">
        <v>35</v>
      </c>
      <c r="Q2419" s="2" t="s">
        <v>23</v>
      </c>
      <c r="R2419" s="2" t="s">
        <v>18</v>
      </c>
      <c r="S2419">
        <v>3</v>
      </c>
    </row>
    <row r="2420" spans="1:19" x14ac:dyDescent="0.3">
      <c r="A2420">
        <v>3762</v>
      </c>
      <c r="B2420">
        <f>YEAR(Cleaned_HR_Data_Analysis__2[[#This Row],[Joining_Date]])</f>
        <v>2020</v>
      </c>
      <c r="C2420" s="1">
        <v>44030</v>
      </c>
      <c r="D2420" s="1" t="str" cm="1">
        <f t="array" ref="D2420">_xlfn.IFS(E2420&lt;28, "17-27",
AND(E2420&gt;27, E2420&lt;38), "28-37",
AND(E2420&gt;37, E2420 &lt;48), "38-47",
AND(E2420&gt;47, E2420 &lt;58), "48-57",
AND(E2420&gt;57, E2420&lt;68), "58-67",
AND(E2420&gt;67, E2420&lt;78), "68-77",
E2420&gt;77,"Above than 77")</f>
        <v>68-77</v>
      </c>
      <c r="E2420">
        <v>71</v>
      </c>
      <c r="F2420" s="1">
        <v>18029</v>
      </c>
      <c r="G2420" s="1" t="str">
        <f>VLOOKUP(H2420,Table7[#All], 2, FALSE)</f>
        <v>Massachusetts</v>
      </c>
      <c r="H2420" s="2" t="s">
        <v>14</v>
      </c>
      <c r="I2420" s="2" t="s">
        <v>15</v>
      </c>
      <c r="J2420" s="2" t="s">
        <v>40</v>
      </c>
      <c r="K2420" s="2" t="s">
        <v>64</v>
      </c>
      <c r="L2420" s="2" t="s">
        <v>9</v>
      </c>
      <c r="M2420" s="2" t="s">
        <v>20</v>
      </c>
      <c r="N2420" s="2" t="s">
        <v>26</v>
      </c>
      <c r="O2420" s="2" t="s">
        <v>12</v>
      </c>
      <c r="P2420" s="2" t="s">
        <v>42</v>
      </c>
      <c r="Q2420" s="2" t="s">
        <v>37</v>
      </c>
      <c r="R2420" s="2" t="s">
        <v>18</v>
      </c>
      <c r="S2420">
        <v>1</v>
      </c>
    </row>
    <row r="2421" spans="1:19" x14ac:dyDescent="0.3">
      <c r="A2421">
        <v>3604</v>
      </c>
      <c r="B2421">
        <f>YEAR(Cleaned_HR_Data_Analysis__2[[#This Row],[Joining_Date]])</f>
        <v>2019</v>
      </c>
      <c r="C2421" s="1">
        <v>43481</v>
      </c>
      <c r="D2421" s="1" t="str" cm="1">
        <f t="array" ref="D2421">_xlfn.IFS(E2421&lt;28, "17-27",
AND(E2421&gt;27, E2421&lt;38), "28-37",
AND(E2421&gt;37, E2421 &lt;48), "38-47",
AND(E2421&gt;47, E2421 &lt;58), "48-57",
AND(E2421&gt;57, E2421&lt;68), "58-67",
AND(E2421&gt;67, E2421&lt;78), "68-77",
E2421&gt;77,"Above than 77")</f>
        <v>68-77</v>
      </c>
      <c r="E2421">
        <v>71</v>
      </c>
      <c r="F2421" s="1">
        <v>17601</v>
      </c>
      <c r="G2421" s="1" t="str">
        <f>VLOOKUP(H2421,Table7[#All], 2, FALSE)</f>
        <v>Massachusetts</v>
      </c>
      <c r="H2421" s="2" t="s">
        <v>14</v>
      </c>
      <c r="I2421" s="2" t="s">
        <v>15</v>
      </c>
      <c r="J2421" s="2" t="s">
        <v>40</v>
      </c>
      <c r="K2421" s="2" t="s">
        <v>64</v>
      </c>
      <c r="L2421" s="2" t="s">
        <v>9</v>
      </c>
      <c r="M2421" s="2" t="s">
        <v>20</v>
      </c>
      <c r="N2421" s="2" t="s">
        <v>26</v>
      </c>
      <c r="O2421" s="2" t="s">
        <v>12</v>
      </c>
      <c r="P2421" s="2" t="s">
        <v>35</v>
      </c>
      <c r="Q2421" s="2" t="s">
        <v>23</v>
      </c>
      <c r="R2421" s="2" t="s">
        <v>56</v>
      </c>
      <c r="S2421">
        <v>5</v>
      </c>
    </row>
    <row r="2422" spans="1:19" x14ac:dyDescent="0.3">
      <c r="A2422">
        <v>3134</v>
      </c>
      <c r="B2422">
        <f>YEAR(Cleaned_HR_Data_Analysis__2[[#This Row],[Joining_Date]])</f>
        <v>2018</v>
      </c>
      <c r="C2422" s="1">
        <v>43440</v>
      </c>
      <c r="D2422" s="1" t="str" cm="1">
        <f t="array" ref="D2422">_xlfn.IFS(E2422&lt;28, "17-27",
AND(E2422&gt;27, E2422&lt;38), "28-37",
AND(E2422&gt;37, E2422 &lt;48), "38-47",
AND(E2422&gt;47, E2422 &lt;58), "48-57",
AND(E2422&gt;57, E2422&lt;68), "58-67",
AND(E2422&gt;67, E2422&lt;78), "68-77",
E2422&gt;77,"Above than 77")</f>
        <v>68-77</v>
      </c>
      <c r="E2422">
        <v>71</v>
      </c>
      <c r="F2422" s="1">
        <v>17272</v>
      </c>
      <c r="G2422" s="1" t="str">
        <f>VLOOKUP(H2422,Table7[#All], 2, FALSE)</f>
        <v>Massachusetts</v>
      </c>
      <c r="H2422" s="2" t="s">
        <v>14</v>
      </c>
      <c r="I2422" s="2" t="s">
        <v>15</v>
      </c>
      <c r="J2422" s="2" t="s">
        <v>34</v>
      </c>
      <c r="K2422" s="2" t="s">
        <v>64</v>
      </c>
      <c r="L2422" s="2" t="s">
        <v>9</v>
      </c>
      <c r="M2422" s="2" t="s">
        <v>20</v>
      </c>
      <c r="N2422" s="2" t="s">
        <v>11</v>
      </c>
      <c r="O2422" s="2" t="s">
        <v>12</v>
      </c>
      <c r="P2422" s="2" t="s">
        <v>55</v>
      </c>
      <c r="Q2422" s="2" t="s">
        <v>23</v>
      </c>
      <c r="R2422" s="2" t="s">
        <v>41</v>
      </c>
      <c r="S2422">
        <v>2</v>
      </c>
    </row>
    <row r="2423" spans="1:19" x14ac:dyDescent="0.3">
      <c r="A2423">
        <v>2165</v>
      </c>
      <c r="B2423">
        <f>YEAR(Cleaned_HR_Data_Analysis__2[[#This Row],[Joining_Date]])</f>
        <v>2019</v>
      </c>
      <c r="C2423" s="1">
        <v>43540</v>
      </c>
      <c r="D2423" s="1" t="str" cm="1">
        <f t="array" ref="D2423">_xlfn.IFS(E2423&lt;28, "17-27",
AND(E2423&gt;27, E2423&lt;38), "28-37",
AND(E2423&gt;37, E2423 &lt;48), "38-47",
AND(E2423&gt;47, E2423 &lt;58), "48-57",
AND(E2423&gt;57, E2423&lt;68), "58-67",
AND(E2423&gt;67, E2423&lt;78), "68-77",
E2423&gt;77,"Above than 77")</f>
        <v>68-77</v>
      </c>
      <c r="E2423">
        <v>71</v>
      </c>
      <c r="F2423" s="1">
        <v>17569</v>
      </c>
      <c r="G2423" s="1" t="str">
        <f>VLOOKUP(H2423,Table7[#All], 2, FALSE)</f>
        <v>Massachusetts</v>
      </c>
      <c r="H2423" s="2" t="s">
        <v>14</v>
      </c>
      <c r="I2423" s="2" t="s">
        <v>15</v>
      </c>
      <c r="J2423" s="2" t="s">
        <v>40</v>
      </c>
      <c r="K2423" s="2" t="s">
        <v>64</v>
      </c>
      <c r="L2423" s="2" t="s">
        <v>9</v>
      </c>
      <c r="M2423" s="2" t="s">
        <v>10</v>
      </c>
      <c r="N2423" s="2" t="s">
        <v>11</v>
      </c>
      <c r="O2423" s="2" t="s">
        <v>12</v>
      </c>
      <c r="P2423" s="2" t="s">
        <v>35</v>
      </c>
      <c r="Q2423" s="2" t="s">
        <v>46</v>
      </c>
      <c r="R2423" s="2" t="s">
        <v>41</v>
      </c>
      <c r="S2423">
        <v>3</v>
      </c>
    </row>
    <row r="2424" spans="1:19" x14ac:dyDescent="0.3">
      <c r="A2424">
        <v>3801</v>
      </c>
      <c r="B2424">
        <f>YEAR(Cleaned_HR_Data_Analysis__2[[#This Row],[Joining_Date]])</f>
        <v>2019</v>
      </c>
      <c r="C2424" s="1">
        <v>43740</v>
      </c>
      <c r="D2424" s="1" t="str" cm="1">
        <f t="array" ref="D2424">_xlfn.IFS(E2424&lt;28, "17-27",
AND(E2424&gt;27, E2424&lt;38), "28-37",
AND(E2424&gt;37, E2424 &lt;48), "38-47",
AND(E2424&gt;47, E2424 &lt;58), "48-57",
AND(E2424&gt;57, E2424&lt;68), "58-67",
AND(E2424&gt;67, E2424&lt;78), "68-77",
E2424&gt;77,"Above than 77")</f>
        <v>68-77</v>
      </c>
      <c r="E2424">
        <v>71</v>
      </c>
      <c r="F2424" s="1">
        <v>17550</v>
      </c>
      <c r="G2424" s="1" t="str">
        <f>VLOOKUP(H2424,Table7[#All], 2, FALSE)</f>
        <v>Massachusetts</v>
      </c>
      <c r="H2424" s="2" t="s">
        <v>14</v>
      </c>
      <c r="I2424" s="2" t="s">
        <v>15</v>
      </c>
      <c r="J2424" s="2" t="s">
        <v>31</v>
      </c>
      <c r="K2424" s="2" t="s">
        <v>8</v>
      </c>
      <c r="L2424" s="2" t="s">
        <v>9</v>
      </c>
      <c r="M2424" s="2" t="s">
        <v>10</v>
      </c>
      <c r="N2424" s="2" t="s">
        <v>11</v>
      </c>
      <c r="O2424" s="2" t="s">
        <v>12</v>
      </c>
      <c r="P2424" s="2" t="s">
        <v>35</v>
      </c>
      <c r="Q2424" s="2" t="s">
        <v>23</v>
      </c>
      <c r="R2424" s="2" t="s">
        <v>18</v>
      </c>
      <c r="S2424">
        <v>1</v>
      </c>
    </row>
    <row r="2425" spans="1:19" x14ac:dyDescent="0.3">
      <c r="A2425">
        <v>3701</v>
      </c>
      <c r="B2425">
        <f>YEAR(Cleaned_HR_Data_Analysis__2[[#This Row],[Joining_Date]])</f>
        <v>2019</v>
      </c>
      <c r="C2425" s="1">
        <v>43778</v>
      </c>
      <c r="D2425" s="1" t="str" cm="1">
        <f t="array" ref="D2425">_xlfn.IFS(E2425&lt;28, "17-27",
AND(E2425&gt;27, E2425&lt;38), "28-37",
AND(E2425&gt;37, E2425 &lt;48), "38-47",
AND(E2425&gt;47, E2425 &lt;58), "48-57",
AND(E2425&gt;57, E2425&lt;68), "58-67",
AND(E2425&gt;67, E2425&lt;78), "68-77",
E2425&gt;77,"Above than 77")</f>
        <v>68-77</v>
      </c>
      <c r="E2425">
        <v>71</v>
      </c>
      <c r="F2425" s="1">
        <v>17704</v>
      </c>
      <c r="G2425" s="1" t="str">
        <f>VLOOKUP(H2425,Table7[#All], 2, FALSE)</f>
        <v>Massachusetts</v>
      </c>
      <c r="H2425" s="2" t="s">
        <v>14</v>
      </c>
      <c r="I2425" s="2" t="s">
        <v>22</v>
      </c>
      <c r="J2425" s="2" t="s">
        <v>31</v>
      </c>
      <c r="K2425" s="2" t="s">
        <v>8</v>
      </c>
      <c r="L2425" s="2" t="s">
        <v>9</v>
      </c>
      <c r="M2425" s="2" t="s">
        <v>20</v>
      </c>
      <c r="N2425" s="2" t="s">
        <v>26</v>
      </c>
      <c r="O2425" s="2" t="s">
        <v>12</v>
      </c>
      <c r="P2425" s="2" t="s">
        <v>58</v>
      </c>
      <c r="Q2425" s="2" t="s">
        <v>30</v>
      </c>
      <c r="R2425" s="2" t="s">
        <v>65</v>
      </c>
      <c r="S2425">
        <v>1</v>
      </c>
    </row>
    <row r="2426" spans="1:19" x14ac:dyDescent="0.3">
      <c r="A2426">
        <v>3593</v>
      </c>
      <c r="B2426">
        <f>YEAR(Cleaned_HR_Data_Analysis__2[[#This Row],[Joining_Date]])</f>
        <v>2020</v>
      </c>
      <c r="C2426" s="1">
        <v>43981</v>
      </c>
      <c r="D2426" s="1" t="str" cm="1">
        <f t="array" ref="D2426">_xlfn.IFS(E2426&lt;28, "17-27",
AND(E2426&gt;27, E2426&lt;38), "28-37",
AND(E2426&gt;37, E2426 &lt;48), "38-47",
AND(E2426&gt;47, E2426 &lt;58), "48-57",
AND(E2426&gt;57, E2426&lt;68), "58-67",
AND(E2426&gt;67, E2426&lt;78), "68-77",
E2426&gt;77,"Above than 77")</f>
        <v>68-77</v>
      </c>
      <c r="E2426">
        <v>71</v>
      </c>
      <c r="F2426" s="1">
        <v>18213</v>
      </c>
      <c r="G2426" s="1" t="str">
        <f>VLOOKUP(H2426,Table7[#All], 2, FALSE)</f>
        <v>Massachusetts</v>
      </c>
      <c r="H2426" s="2" t="s">
        <v>14</v>
      </c>
      <c r="I2426" s="2" t="s">
        <v>22</v>
      </c>
      <c r="J2426" s="2" t="s">
        <v>34</v>
      </c>
      <c r="K2426" s="2" t="s">
        <v>8</v>
      </c>
      <c r="L2426" s="2" t="s">
        <v>9</v>
      </c>
      <c r="M2426" s="2" t="s">
        <v>10</v>
      </c>
      <c r="N2426" s="2" t="s">
        <v>19</v>
      </c>
      <c r="O2426" s="2" t="s">
        <v>12</v>
      </c>
      <c r="P2426" s="2" t="s">
        <v>32</v>
      </c>
      <c r="Q2426" s="2" t="s">
        <v>46</v>
      </c>
      <c r="R2426" s="2" t="s">
        <v>18</v>
      </c>
      <c r="S2426">
        <v>4</v>
      </c>
    </row>
    <row r="2427" spans="1:19" x14ac:dyDescent="0.3">
      <c r="A2427">
        <v>3264</v>
      </c>
      <c r="B2427">
        <f>YEAR(Cleaned_HR_Data_Analysis__2[[#This Row],[Joining_Date]])</f>
        <v>2021</v>
      </c>
      <c r="C2427" s="1">
        <v>44561</v>
      </c>
      <c r="D2427" s="1" t="str" cm="1">
        <f t="array" ref="D2427">_xlfn.IFS(E2427&lt;28, "17-27",
AND(E2427&gt;27, E2427&lt;38), "28-37",
AND(E2427&gt;37, E2427 &lt;48), "38-47",
AND(E2427&gt;47, E2427 &lt;58), "48-57",
AND(E2427&gt;57, E2427&lt;68), "58-67",
AND(E2427&gt;67, E2427&lt;78), "68-77",
E2427&gt;77,"Above than 77")</f>
        <v>68-77</v>
      </c>
      <c r="E2427">
        <v>71</v>
      </c>
      <c r="F2427" s="1">
        <v>18423</v>
      </c>
      <c r="G2427" s="1" t="str">
        <f>VLOOKUP(H2427,Table7[#All], 2, FALSE)</f>
        <v>Massachusetts</v>
      </c>
      <c r="H2427" s="2" t="s">
        <v>14</v>
      </c>
      <c r="I2427" s="2" t="s">
        <v>22</v>
      </c>
      <c r="J2427" s="2" t="s">
        <v>34</v>
      </c>
      <c r="K2427" s="2" t="s">
        <v>8</v>
      </c>
      <c r="L2427" s="2" t="s">
        <v>66</v>
      </c>
      <c r="M2427" s="2" t="s">
        <v>20</v>
      </c>
      <c r="N2427" s="2" t="s">
        <v>11</v>
      </c>
      <c r="O2427" s="2" t="s">
        <v>12</v>
      </c>
      <c r="P2427" s="2" t="s">
        <v>38</v>
      </c>
      <c r="Q2427" s="2" t="s">
        <v>46</v>
      </c>
      <c r="R2427" s="2" t="s">
        <v>18</v>
      </c>
      <c r="S2427">
        <v>4</v>
      </c>
    </row>
    <row r="2428" spans="1:19" x14ac:dyDescent="0.3">
      <c r="A2428">
        <v>3245</v>
      </c>
      <c r="B2428">
        <f>YEAR(Cleaned_HR_Data_Analysis__2[[#This Row],[Joining_Date]])</f>
        <v>2019</v>
      </c>
      <c r="C2428" s="1">
        <v>43623</v>
      </c>
      <c r="D2428" s="1" t="str" cm="1">
        <f t="array" ref="D2428">_xlfn.IFS(E2428&lt;28, "17-27",
AND(E2428&gt;27, E2428&lt;38), "28-37",
AND(E2428&gt;37, E2428 &lt;48), "38-47",
AND(E2428&gt;47, E2428 &lt;58), "48-57",
AND(E2428&gt;57, E2428&lt;68), "58-67",
AND(E2428&gt;67, E2428&lt;78), "68-77",
E2428&gt;77,"Above than 77")</f>
        <v>68-77</v>
      </c>
      <c r="E2428">
        <v>71</v>
      </c>
      <c r="F2428" s="1">
        <v>17633</v>
      </c>
      <c r="G2428" s="1" t="str">
        <f>VLOOKUP(H2428,Table7[#All], 2, FALSE)</f>
        <v>Massachusetts</v>
      </c>
      <c r="H2428" s="2" t="s">
        <v>14</v>
      </c>
      <c r="I2428" s="2" t="s">
        <v>15</v>
      </c>
      <c r="J2428" s="2" t="s">
        <v>34</v>
      </c>
      <c r="K2428" s="2" t="s">
        <v>8</v>
      </c>
      <c r="L2428" s="2" t="s">
        <v>66</v>
      </c>
      <c r="M2428" s="2" t="s">
        <v>25</v>
      </c>
      <c r="N2428" s="2" t="s">
        <v>19</v>
      </c>
      <c r="O2428" s="2" t="s">
        <v>12</v>
      </c>
      <c r="P2428" s="2" t="s">
        <v>35</v>
      </c>
      <c r="Q2428" s="2" t="s">
        <v>37</v>
      </c>
      <c r="R2428" s="2" t="s">
        <v>18</v>
      </c>
      <c r="S2428">
        <v>5</v>
      </c>
    </row>
    <row r="2429" spans="1:19" x14ac:dyDescent="0.3">
      <c r="A2429">
        <v>3143</v>
      </c>
      <c r="B2429">
        <f>YEAR(Cleaned_HR_Data_Analysis__2[[#This Row],[Joining_Date]])</f>
        <v>2018</v>
      </c>
      <c r="C2429" s="1">
        <v>43371</v>
      </c>
      <c r="D2429" s="1" t="str" cm="1">
        <f t="array" ref="D2429">_xlfn.IFS(E2429&lt;28, "17-27",
AND(E2429&gt;27, E2429&lt;38), "28-37",
AND(E2429&gt;37, E2429 &lt;48), "38-47",
AND(E2429&gt;47, E2429 &lt;58), "48-57",
AND(E2429&gt;57, E2429&lt;68), "58-67",
AND(E2429&gt;67, E2429&lt;78), "68-77",
E2429&gt;77,"Above than 77")</f>
        <v>68-77</v>
      </c>
      <c r="E2429">
        <v>71</v>
      </c>
      <c r="F2429" s="1">
        <v>17343</v>
      </c>
      <c r="G2429" s="1" t="str">
        <f>VLOOKUP(H2429,Table7[#All], 2, FALSE)</f>
        <v>Massachusetts</v>
      </c>
      <c r="H2429" s="2" t="s">
        <v>14</v>
      </c>
      <c r="I2429" s="2" t="s">
        <v>15</v>
      </c>
      <c r="J2429" s="2" t="s">
        <v>17</v>
      </c>
      <c r="K2429" s="2" t="s">
        <v>8</v>
      </c>
      <c r="L2429" s="2" t="s">
        <v>9</v>
      </c>
      <c r="M2429" s="2" t="s">
        <v>25</v>
      </c>
      <c r="N2429" s="2" t="s">
        <v>19</v>
      </c>
      <c r="O2429" s="2" t="s">
        <v>12</v>
      </c>
      <c r="P2429" s="2" t="s">
        <v>21</v>
      </c>
      <c r="Q2429" s="2" t="s">
        <v>37</v>
      </c>
      <c r="R2429" s="2" t="s">
        <v>18</v>
      </c>
      <c r="S2429">
        <v>4</v>
      </c>
    </row>
    <row r="2430" spans="1:19" x14ac:dyDescent="0.3">
      <c r="A2430">
        <v>3054</v>
      </c>
      <c r="B2430">
        <f>YEAR(Cleaned_HR_Data_Analysis__2[[#This Row],[Joining_Date]])</f>
        <v>2020</v>
      </c>
      <c r="C2430" s="1">
        <v>44127</v>
      </c>
      <c r="D2430" s="1" t="str" cm="1">
        <f t="array" ref="D2430">_xlfn.IFS(E2430&lt;28, "17-27",
AND(E2430&gt;27, E2430&lt;38), "28-37",
AND(E2430&gt;37, E2430 &lt;48), "38-47",
AND(E2430&gt;47, E2430 &lt;58), "48-57",
AND(E2430&gt;57, E2430&lt;68), "58-67",
AND(E2430&gt;67, E2430&lt;78), "68-77",
E2430&gt;77,"Above than 77")</f>
        <v>68-77</v>
      </c>
      <c r="E2430">
        <v>71</v>
      </c>
      <c r="F2430" s="1">
        <v>18197</v>
      </c>
      <c r="G2430" s="1" t="str">
        <f>VLOOKUP(H2430,Table7[#All], 2, FALSE)</f>
        <v>Massachusetts</v>
      </c>
      <c r="H2430" s="2" t="s">
        <v>14</v>
      </c>
      <c r="I2430" s="2" t="s">
        <v>22</v>
      </c>
      <c r="J2430" s="2" t="s">
        <v>34</v>
      </c>
      <c r="K2430" s="2" t="s">
        <v>8</v>
      </c>
      <c r="L2430" s="2" t="s">
        <v>9</v>
      </c>
      <c r="M2430" s="2" t="s">
        <v>10</v>
      </c>
      <c r="N2430" s="2" t="s">
        <v>11</v>
      </c>
      <c r="O2430" s="2" t="s">
        <v>12</v>
      </c>
      <c r="P2430" s="2" t="s">
        <v>35</v>
      </c>
      <c r="Q2430" s="2" t="s">
        <v>16</v>
      </c>
      <c r="R2430" s="2" t="s">
        <v>18</v>
      </c>
      <c r="S2430">
        <v>5</v>
      </c>
    </row>
    <row r="2431" spans="1:19" x14ac:dyDescent="0.3">
      <c r="A2431">
        <v>2800</v>
      </c>
      <c r="B2431">
        <f>YEAR(Cleaned_HR_Data_Analysis__2[[#This Row],[Joining_Date]])</f>
        <v>2019</v>
      </c>
      <c r="C2431" s="1">
        <v>43679</v>
      </c>
      <c r="D2431" s="1" t="str" cm="1">
        <f t="array" ref="D2431">_xlfn.IFS(E2431&lt;28, "17-27",
AND(E2431&gt;27, E2431&lt;38), "28-37",
AND(E2431&gt;37, E2431 &lt;48), "38-47",
AND(E2431&gt;47, E2431 &lt;58), "48-57",
AND(E2431&gt;57, E2431&lt;68), "58-67",
AND(E2431&gt;67, E2431&lt;78), "68-77",
E2431&gt;77,"Above than 77")</f>
        <v>68-77</v>
      </c>
      <c r="E2431">
        <v>71</v>
      </c>
      <c r="F2431" s="1">
        <v>17724</v>
      </c>
      <c r="G2431" s="1" t="str">
        <f>VLOOKUP(H2431,Table7[#All], 2, FALSE)</f>
        <v>Massachusetts</v>
      </c>
      <c r="H2431" s="2" t="s">
        <v>14</v>
      </c>
      <c r="I2431" s="2" t="s">
        <v>22</v>
      </c>
      <c r="J2431" s="2" t="s">
        <v>34</v>
      </c>
      <c r="K2431" s="2" t="s">
        <v>8</v>
      </c>
      <c r="L2431" s="2" t="s">
        <v>9</v>
      </c>
      <c r="M2431" s="2" t="s">
        <v>10</v>
      </c>
      <c r="N2431" s="2" t="s">
        <v>26</v>
      </c>
      <c r="O2431" s="2" t="s">
        <v>12</v>
      </c>
      <c r="P2431" s="2" t="s">
        <v>32</v>
      </c>
      <c r="Q2431" s="2" t="s">
        <v>37</v>
      </c>
      <c r="R2431" s="2" t="s">
        <v>18</v>
      </c>
      <c r="S2431">
        <v>2</v>
      </c>
    </row>
    <row r="2432" spans="1:19" x14ac:dyDescent="0.3">
      <c r="A2432">
        <v>2780</v>
      </c>
      <c r="B2432">
        <f>YEAR(Cleaned_HR_Data_Analysis__2[[#This Row],[Joining_Date]])</f>
        <v>2022</v>
      </c>
      <c r="C2432" s="1">
        <v>44664</v>
      </c>
      <c r="D2432" s="1" t="str" cm="1">
        <f t="array" ref="D2432">_xlfn.IFS(E2432&lt;28, "17-27",
AND(E2432&gt;27, E2432&lt;38), "28-37",
AND(E2432&gt;37, E2432 &lt;48), "38-47",
AND(E2432&gt;47, E2432 &lt;58), "48-57",
AND(E2432&gt;57, E2432&lt;68), "58-67",
AND(E2432&gt;67, E2432&lt;78), "68-77",
E2432&gt;77,"Above than 77")</f>
        <v>68-77</v>
      </c>
      <c r="E2432">
        <v>71</v>
      </c>
      <c r="F2432" s="1">
        <v>18744</v>
      </c>
      <c r="G2432" s="1" t="str">
        <f>VLOOKUP(H2432,Table7[#All], 2, FALSE)</f>
        <v>Massachusetts</v>
      </c>
      <c r="H2432" s="2" t="s">
        <v>14</v>
      </c>
      <c r="I2432" s="2" t="s">
        <v>22</v>
      </c>
      <c r="J2432" s="2" t="s">
        <v>34</v>
      </c>
      <c r="K2432" s="2" t="s">
        <v>8</v>
      </c>
      <c r="L2432" s="2" t="s">
        <v>9</v>
      </c>
      <c r="M2432" s="2" t="s">
        <v>10</v>
      </c>
      <c r="N2432" s="2" t="s">
        <v>26</v>
      </c>
      <c r="O2432" s="2" t="s">
        <v>12</v>
      </c>
      <c r="P2432" s="2" t="s">
        <v>32</v>
      </c>
      <c r="Q2432" s="2" t="s">
        <v>16</v>
      </c>
      <c r="R2432" s="2" t="s">
        <v>18</v>
      </c>
      <c r="S2432">
        <v>5</v>
      </c>
    </row>
    <row r="2433" spans="1:19" x14ac:dyDescent="0.3">
      <c r="A2433">
        <v>2151</v>
      </c>
      <c r="B2433">
        <f>YEAR(Cleaned_HR_Data_Analysis__2[[#This Row],[Joining_Date]])</f>
        <v>2021</v>
      </c>
      <c r="C2433" s="1">
        <v>44216</v>
      </c>
      <c r="D2433" s="1" t="str" cm="1">
        <f t="array" ref="D2433">_xlfn.IFS(E2433&lt;28, "17-27",
AND(E2433&gt;27, E2433&lt;38), "28-37",
AND(E2433&gt;37, E2433 &lt;48), "38-47",
AND(E2433&gt;47, E2433 &lt;58), "48-57",
AND(E2433&gt;57, E2433&lt;68), "58-67",
AND(E2433&gt;67, E2433&lt;78), "68-77",
E2433&gt;77,"Above than 77")</f>
        <v>68-77</v>
      </c>
      <c r="E2433">
        <v>71</v>
      </c>
      <c r="F2433" s="1">
        <v>18602</v>
      </c>
      <c r="G2433" s="1" t="str">
        <f>VLOOKUP(H2433,Table7[#All], 2, FALSE)</f>
        <v>Massachusetts</v>
      </c>
      <c r="H2433" s="2" t="s">
        <v>14</v>
      </c>
      <c r="I2433" s="2" t="s">
        <v>15</v>
      </c>
      <c r="J2433" s="2" t="s">
        <v>34</v>
      </c>
      <c r="K2433" s="2" t="s">
        <v>8</v>
      </c>
      <c r="L2433" s="2" t="s">
        <v>9</v>
      </c>
      <c r="M2433" s="2" t="s">
        <v>10</v>
      </c>
      <c r="N2433" s="2" t="s">
        <v>26</v>
      </c>
      <c r="O2433" s="2" t="s">
        <v>12</v>
      </c>
      <c r="P2433" s="2" t="s">
        <v>55</v>
      </c>
      <c r="Q2433" s="2" t="s">
        <v>23</v>
      </c>
      <c r="R2433" s="2" t="s">
        <v>41</v>
      </c>
      <c r="S2433">
        <v>4</v>
      </c>
    </row>
    <row r="2434" spans="1:19" x14ac:dyDescent="0.3">
      <c r="A2434">
        <v>2104</v>
      </c>
      <c r="B2434">
        <f>YEAR(Cleaned_HR_Data_Analysis__2[[#This Row],[Joining_Date]])</f>
        <v>2020</v>
      </c>
      <c r="C2434" s="1">
        <v>44088</v>
      </c>
      <c r="D2434" s="1" t="str" cm="1">
        <f t="array" ref="D2434">_xlfn.IFS(E2434&lt;28, "17-27",
AND(E2434&gt;27, E2434&lt;38), "28-37",
AND(E2434&gt;37, E2434 &lt;48), "38-47",
AND(E2434&gt;47, E2434 &lt;58), "48-57",
AND(E2434&gt;57, E2434&lt;68), "58-67",
AND(E2434&gt;67, E2434&lt;78), "68-77",
E2434&gt;77,"Above than 77")</f>
        <v>68-77</v>
      </c>
      <c r="E2434">
        <v>71</v>
      </c>
      <c r="F2434" s="1">
        <v>18129</v>
      </c>
      <c r="G2434" s="1" t="str">
        <f>VLOOKUP(H2434,Table7[#All], 2, FALSE)</f>
        <v>Massachusetts</v>
      </c>
      <c r="H2434" s="2" t="s">
        <v>14</v>
      </c>
      <c r="I2434" s="2" t="s">
        <v>15</v>
      </c>
      <c r="J2434" s="2" t="s">
        <v>17</v>
      </c>
      <c r="K2434" s="2" t="s">
        <v>8</v>
      </c>
      <c r="L2434" s="2" t="s">
        <v>9</v>
      </c>
      <c r="M2434" s="2" t="s">
        <v>10</v>
      </c>
      <c r="N2434" s="2" t="s">
        <v>19</v>
      </c>
      <c r="O2434" s="2" t="s">
        <v>12</v>
      </c>
      <c r="P2434" s="2" t="s">
        <v>35</v>
      </c>
      <c r="Q2434" s="2" t="s">
        <v>23</v>
      </c>
      <c r="R2434" s="2" t="s">
        <v>41</v>
      </c>
      <c r="S2434">
        <v>4</v>
      </c>
    </row>
    <row r="2435" spans="1:19" x14ac:dyDescent="0.3">
      <c r="A2435">
        <v>2005</v>
      </c>
      <c r="B2435">
        <f>YEAR(Cleaned_HR_Data_Analysis__2[[#This Row],[Joining_Date]])</f>
        <v>2018</v>
      </c>
      <c r="C2435" s="1">
        <v>43455</v>
      </c>
      <c r="D2435" s="1" t="str" cm="1">
        <f t="array" ref="D2435">_xlfn.IFS(E2435&lt;28, "17-27",
AND(E2435&gt;27, E2435&lt;38), "28-37",
AND(E2435&gt;37, E2435 &lt;48), "38-47",
AND(E2435&gt;47, E2435 &lt;58), "48-57",
AND(E2435&gt;57, E2435&lt;68), "58-67",
AND(E2435&gt;67, E2435&lt;78), "68-77",
E2435&gt;77,"Above than 77")</f>
        <v>68-77</v>
      </c>
      <c r="E2435">
        <v>71</v>
      </c>
      <c r="F2435" s="1">
        <v>17235</v>
      </c>
      <c r="G2435" s="1" t="str">
        <f>VLOOKUP(H2435,Table7[#All], 2, FALSE)</f>
        <v>Massachusetts</v>
      </c>
      <c r="H2435" s="2" t="s">
        <v>14</v>
      </c>
      <c r="I2435" s="2" t="s">
        <v>15</v>
      </c>
      <c r="J2435" s="2" t="s">
        <v>17</v>
      </c>
      <c r="K2435" s="2" t="s">
        <v>8</v>
      </c>
      <c r="L2435" s="2" t="s">
        <v>9</v>
      </c>
      <c r="M2435" s="2" t="s">
        <v>20</v>
      </c>
      <c r="N2435" s="2" t="s">
        <v>26</v>
      </c>
      <c r="O2435" s="2" t="s">
        <v>12</v>
      </c>
      <c r="P2435" s="2" t="s">
        <v>49</v>
      </c>
      <c r="Q2435" s="2" t="s">
        <v>46</v>
      </c>
      <c r="R2435" s="2" t="s">
        <v>18</v>
      </c>
      <c r="S2435">
        <v>1</v>
      </c>
    </row>
    <row r="2436" spans="1:19" x14ac:dyDescent="0.3">
      <c r="A2436">
        <v>1806</v>
      </c>
      <c r="B2436">
        <f>YEAR(Cleaned_HR_Data_Analysis__2[[#This Row],[Joining_Date]])</f>
        <v>2022</v>
      </c>
      <c r="C2436" s="1">
        <v>44626</v>
      </c>
      <c r="D2436" s="1" t="str" cm="1">
        <f t="array" ref="D2436">_xlfn.IFS(E2436&lt;28, "17-27",
AND(E2436&gt;27, E2436&lt;38), "28-37",
AND(E2436&gt;37, E2436 &lt;48), "38-47",
AND(E2436&gt;47, E2436 &lt;58), "48-57",
AND(E2436&gt;57, E2436&lt;68), "58-67",
AND(E2436&gt;67, E2436&lt;78), "68-77",
E2436&gt;77,"Above than 77")</f>
        <v>68-77</v>
      </c>
      <c r="E2436">
        <v>71</v>
      </c>
      <c r="F2436" s="1">
        <v>18804</v>
      </c>
      <c r="G2436" s="1" t="str">
        <f>VLOOKUP(H2436,Table7[#All], 2, FALSE)</f>
        <v>Massachusetts</v>
      </c>
      <c r="H2436" s="2" t="s">
        <v>14</v>
      </c>
      <c r="I2436" s="2" t="s">
        <v>22</v>
      </c>
      <c r="J2436" s="2" t="s">
        <v>31</v>
      </c>
      <c r="K2436" s="2" t="s">
        <v>8</v>
      </c>
      <c r="L2436" s="2" t="s">
        <v>9</v>
      </c>
      <c r="M2436" s="2" t="s">
        <v>20</v>
      </c>
      <c r="N2436" s="2" t="s">
        <v>19</v>
      </c>
      <c r="O2436" s="2" t="s">
        <v>12</v>
      </c>
      <c r="P2436" s="2" t="s">
        <v>32</v>
      </c>
      <c r="Q2436" s="2" t="s">
        <v>46</v>
      </c>
      <c r="R2436" s="2" t="s">
        <v>18</v>
      </c>
      <c r="S2436">
        <v>2</v>
      </c>
    </row>
    <row r="2437" spans="1:19" x14ac:dyDescent="0.3">
      <c r="A2437">
        <v>1614</v>
      </c>
      <c r="B2437">
        <f>YEAR(Cleaned_HR_Data_Analysis__2[[#This Row],[Joining_Date]])</f>
        <v>2022</v>
      </c>
      <c r="C2437" s="1">
        <v>44918</v>
      </c>
      <c r="D2437" s="1" t="str" cm="1">
        <f t="array" ref="D2437">_xlfn.IFS(E2437&lt;28, "17-27",
AND(E2437&gt;27, E2437&lt;38), "28-37",
AND(E2437&gt;37, E2437 &lt;48), "38-47",
AND(E2437&gt;47, E2437 &lt;58), "48-57",
AND(E2437&gt;57, E2437&lt;68), "58-67",
AND(E2437&gt;67, E2437&lt;78), "68-77",
E2437&gt;77,"Above than 77")</f>
        <v>68-77</v>
      </c>
      <c r="E2437">
        <v>71</v>
      </c>
      <c r="F2437" s="1">
        <v>18706</v>
      </c>
      <c r="G2437" s="1" t="str">
        <f>VLOOKUP(H2437,Table7[#All], 2, FALSE)</f>
        <v>Massachusetts</v>
      </c>
      <c r="H2437" s="2" t="s">
        <v>14</v>
      </c>
      <c r="I2437" s="2" t="s">
        <v>22</v>
      </c>
      <c r="J2437" s="2" t="s">
        <v>40</v>
      </c>
      <c r="K2437" s="2" t="s">
        <v>8</v>
      </c>
      <c r="L2437" s="2" t="s">
        <v>9</v>
      </c>
      <c r="M2437" s="2" t="s">
        <v>20</v>
      </c>
      <c r="N2437" s="2" t="s">
        <v>26</v>
      </c>
      <c r="O2437" s="2" t="s">
        <v>12</v>
      </c>
      <c r="P2437" s="2" t="s">
        <v>35</v>
      </c>
      <c r="Q2437" s="2" t="s">
        <v>46</v>
      </c>
      <c r="R2437" s="2" t="s">
        <v>56</v>
      </c>
      <c r="S2437">
        <v>4</v>
      </c>
    </row>
    <row r="2438" spans="1:19" x14ac:dyDescent="0.3">
      <c r="A2438">
        <v>1421</v>
      </c>
      <c r="B2438">
        <f>YEAR(Cleaned_HR_Data_Analysis__2[[#This Row],[Joining_Date]])</f>
        <v>2019</v>
      </c>
      <c r="C2438" s="1">
        <v>43760</v>
      </c>
      <c r="D2438" s="1" t="str" cm="1">
        <f t="array" ref="D2438">_xlfn.IFS(E2438&lt;28, "17-27",
AND(E2438&gt;27, E2438&lt;38), "28-37",
AND(E2438&gt;37, E2438 &lt;48), "38-47",
AND(E2438&gt;47, E2438 &lt;58), "48-57",
AND(E2438&gt;57, E2438&lt;68), "58-67",
AND(E2438&gt;67, E2438&lt;78), "68-77",
E2438&gt;77,"Above than 77")</f>
        <v>68-77</v>
      </c>
      <c r="E2438">
        <v>71</v>
      </c>
      <c r="F2438" s="1">
        <v>17867</v>
      </c>
      <c r="G2438" s="1" t="str">
        <f>VLOOKUP(H2438,Table7[#All], 2, FALSE)</f>
        <v>Massachusetts</v>
      </c>
      <c r="H2438" s="2" t="s">
        <v>14</v>
      </c>
      <c r="I2438" s="2" t="s">
        <v>15</v>
      </c>
      <c r="J2438" s="2" t="s">
        <v>34</v>
      </c>
      <c r="K2438" s="2" t="s">
        <v>8</v>
      </c>
      <c r="L2438" s="2" t="s">
        <v>9</v>
      </c>
      <c r="M2438" s="2" t="s">
        <v>10</v>
      </c>
      <c r="N2438" s="2" t="s">
        <v>11</v>
      </c>
      <c r="O2438" s="2" t="s">
        <v>12</v>
      </c>
      <c r="P2438" s="2" t="s">
        <v>32</v>
      </c>
      <c r="Q2438" s="2" t="s">
        <v>30</v>
      </c>
      <c r="R2438" s="2" t="s">
        <v>41</v>
      </c>
      <c r="S2438">
        <v>5</v>
      </c>
    </row>
    <row r="2439" spans="1:19" x14ac:dyDescent="0.3">
      <c r="A2439">
        <v>1420</v>
      </c>
      <c r="B2439">
        <f>YEAR(Cleaned_HR_Data_Analysis__2[[#This Row],[Joining_Date]])</f>
        <v>2021</v>
      </c>
      <c r="C2439" s="1">
        <v>44351</v>
      </c>
      <c r="D2439" s="1" t="str" cm="1">
        <f t="array" ref="D2439">_xlfn.IFS(E2439&lt;28, "17-27",
AND(E2439&gt;27, E2439&lt;38), "28-37",
AND(E2439&gt;37, E2439 &lt;48), "38-47",
AND(E2439&gt;47, E2439 &lt;58), "48-57",
AND(E2439&gt;57, E2439&lt;68), "58-67",
AND(E2439&gt;67, E2439&lt;78), "68-77",
E2439&gt;77,"Above than 77")</f>
        <v>68-77</v>
      </c>
      <c r="E2439">
        <v>71</v>
      </c>
      <c r="F2439" s="1">
        <v>18626</v>
      </c>
      <c r="G2439" s="1" t="str">
        <f>VLOOKUP(H2439,Table7[#All], 2, FALSE)</f>
        <v>Massachusetts</v>
      </c>
      <c r="H2439" s="2" t="s">
        <v>14</v>
      </c>
      <c r="I2439" s="2" t="s">
        <v>15</v>
      </c>
      <c r="J2439" s="2" t="s">
        <v>40</v>
      </c>
      <c r="K2439" s="2" t="s">
        <v>8</v>
      </c>
      <c r="L2439" s="2" t="s">
        <v>9</v>
      </c>
      <c r="M2439" s="2" t="s">
        <v>10</v>
      </c>
      <c r="N2439" s="2" t="s">
        <v>26</v>
      </c>
      <c r="O2439" s="2" t="s">
        <v>12</v>
      </c>
      <c r="P2439" s="2" t="s">
        <v>54</v>
      </c>
      <c r="Q2439" s="2" t="s">
        <v>16</v>
      </c>
      <c r="R2439" s="2" t="s">
        <v>41</v>
      </c>
      <c r="S2439">
        <v>2</v>
      </c>
    </row>
    <row r="2440" spans="1:19" x14ac:dyDescent="0.3">
      <c r="A2440">
        <v>1222</v>
      </c>
      <c r="B2440">
        <f>YEAR(Cleaned_HR_Data_Analysis__2[[#This Row],[Joining_Date]])</f>
        <v>2020</v>
      </c>
      <c r="C2440" s="1">
        <v>44183</v>
      </c>
      <c r="D2440" s="1" t="str" cm="1">
        <f t="array" ref="D2440">_xlfn.IFS(E2440&lt;28, "17-27",
AND(E2440&gt;27, E2440&lt;38), "28-37",
AND(E2440&gt;37, E2440 &lt;48), "38-47",
AND(E2440&gt;47, E2440 &lt;58), "48-57",
AND(E2440&gt;57, E2440&lt;68), "58-67",
AND(E2440&gt;67, E2440&lt;78), "68-77",
E2440&gt;77,"Above than 77")</f>
        <v>68-77</v>
      </c>
      <c r="E2440">
        <v>71</v>
      </c>
      <c r="F2440" s="1">
        <v>18258</v>
      </c>
      <c r="G2440" s="1" t="str">
        <f>VLOOKUP(H2440,Table7[#All], 2, FALSE)</f>
        <v>Massachusetts</v>
      </c>
      <c r="H2440" s="2" t="s">
        <v>14</v>
      </c>
      <c r="I2440" s="2" t="s">
        <v>15</v>
      </c>
      <c r="J2440" s="2" t="s">
        <v>17</v>
      </c>
      <c r="K2440" s="2" t="s">
        <v>8</v>
      </c>
      <c r="L2440" s="2" t="s">
        <v>66</v>
      </c>
      <c r="M2440" s="2" t="s">
        <v>10</v>
      </c>
      <c r="N2440" s="2" t="s">
        <v>19</v>
      </c>
      <c r="O2440" s="2" t="s">
        <v>12</v>
      </c>
      <c r="P2440" s="2" t="s">
        <v>62</v>
      </c>
      <c r="Q2440" s="2" t="s">
        <v>46</v>
      </c>
      <c r="R2440" s="2" t="s">
        <v>18</v>
      </c>
      <c r="S2440">
        <v>2</v>
      </c>
    </row>
    <row r="2441" spans="1:19" x14ac:dyDescent="0.3">
      <c r="A2441">
        <v>1184</v>
      </c>
      <c r="B2441">
        <f>YEAR(Cleaned_HR_Data_Analysis__2[[#This Row],[Joining_Date]])</f>
        <v>2022</v>
      </c>
      <c r="C2441" s="1">
        <v>44571</v>
      </c>
      <c r="D2441" s="1" t="str" cm="1">
        <f t="array" ref="D2441">_xlfn.IFS(E2441&lt;28, "17-27",
AND(E2441&gt;27, E2441&lt;38), "28-37",
AND(E2441&gt;37, E2441 &lt;48), "38-47",
AND(E2441&gt;47, E2441 &lt;58), "48-57",
AND(E2441&gt;57, E2441&lt;68), "58-67",
AND(E2441&gt;67, E2441&lt;78), "68-77",
E2441&gt;77,"Above than 77")</f>
        <v>68-77</v>
      </c>
      <c r="E2441">
        <v>71</v>
      </c>
      <c r="F2441" s="1">
        <v>18902</v>
      </c>
      <c r="G2441" s="1" t="str">
        <f>VLOOKUP(H2441,Table7[#All], 2, FALSE)</f>
        <v>Massachusetts</v>
      </c>
      <c r="H2441" s="2" t="s">
        <v>14</v>
      </c>
      <c r="I2441" s="2" t="s">
        <v>15</v>
      </c>
      <c r="J2441" s="2" t="s">
        <v>40</v>
      </c>
      <c r="K2441" s="2" t="s">
        <v>8</v>
      </c>
      <c r="L2441" s="2" t="s">
        <v>9</v>
      </c>
      <c r="M2441" s="2" t="s">
        <v>25</v>
      </c>
      <c r="N2441" s="2" t="s">
        <v>26</v>
      </c>
      <c r="O2441" s="2" t="s">
        <v>12</v>
      </c>
      <c r="P2441" s="2" t="s">
        <v>59</v>
      </c>
      <c r="Q2441" s="2" t="s">
        <v>23</v>
      </c>
      <c r="R2441" s="2" t="s">
        <v>18</v>
      </c>
      <c r="S2441">
        <v>3</v>
      </c>
    </row>
    <row r="2442" spans="1:19" x14ac:dyDescent="0.3">
      <c r="A2442">
        <v>2420</v>
      </c>
      <c r="B2442">
        <f>YEAR(Cleaned_HR_Data_Analysis__2[[#This Row],[Joining_Date]])</f>
        <v>2020</v>
      </c>
      <c r="C2442" s="1">
        <v>43985</v>
      </c>
      <c r="D2442" s="1" t="str" cm="1">
        <f t="array" ref="D2442">_xlfn.IFS(E2442&lt;28, "17-27",
AND(E2442&gt;27, E2442&lt;38), "28-37",
AND(E2442&gt;37, E2442 &lt;48), "38-47",
AND(E2442&gt;47, E2442 &lt;58), "48-57",
AND(E2442&gt;57, E2442&lt;68), "58-67",
AND(E2442&gt;67, E2442&lt;78), "68-77",
E2442&gt;77,"Above than 77")</f>
        <v>68-77</v>
      </c>
      <c r="E2442">
        <v>71</v>
      </c>
      <c r="F2442" s="1">
        <v>17989</v>
      </c>
      <c r="G2442" s="1" t="str">
        <f>VLOOKUP(H2442,Table7[#All], 2, FALSE)</f>
        <v>Massachusetts</v>
      </c>
      <c r="H2442" s="2" t="s">
        <v>14</v>
      </c>
      <c r="I2442" s="2" t="s">
        <v>15</v>
      </c>
      <c r="J2442" s="2" t="s">
        <v>31</v>
      </c>
      <c r="K2442" s="2" t="s">
        <v>91</v>
      </c>
      <c r="L2442" s="2" t="s">
        <v>9</v>
      </c>
      <c r="M2442" s="2" t="s">
        <v>10</v>
      </c>
      <c r="N2442" s="2" t="s">
        <v>26</v>
      </c>
      <c r="O2442" s="2" t="s">
        <v>12</v>
      </c>
      <c r="P2442" s="2" t="s">
        <v>54</v>
      </c>
      <c r="Q2442" s="2" t="s">
        <v>16</v>
      </c>
      <c r="R2442" s="2" t="s">
        <v>18</v>
      </c>
      <c r="S2442">
        <v>3</v>
      </c>
    </row>
    <row r="2443" spans="1:19" x14ac:dyDescent="0.3">
      <c r="A2443">
        <v>3858</v>
      </c>
      <c r="B2443">
        <f>YEAR(Cleaned_HR_Data_Analysis__2[[#This Row],[Joining_Date]])</f>
        <v>2022</v>
      </c>
      <c r="C2443" s="1">
        <v>44583</v>
      </c>
      <c r="D2443" s="1" t="str" cm="1">
        <f t="array" ref="D2443">_xlfn.IFS(E2443&lt;28, "17-27",
AND(E2443&gt;27, E2443&lt;38), "28-37",
AND(E2443&gt;37, E2443 &lt;48), "38-47",
AND(E2443&gt;47, E2443 &lt;58), "48-57",
AND(E2443&gt;57, E2443&lt;68), "58-67",
AND(E2443&gt;67, E2443&lt;78), "68-77",
E2443&gt;77,"Above than 77")</f>
        <v>68-77</v>
      </c>
      <c r="E2443">
        <v>71</v>
      </c>
      <c r="F2443" s="1">
        <v>18811</v>
      </c>
      <c r="G2443" s="1" t="str">
        <f>VLOOKUP(H2443,Table7[#All], 2, FALSE)</f>
        <v>Massachusetts</v>
      </c>
      <c r="H2443" s="2" t="s">
        <v>14</v>
      </c>
      <c r="I2443" s="2" t="s">
        <v>22</v>
      </c>
      <c r="J2443" s="2" t="s">
        <v>34</v>
      </c>
      <c r="K2443" s="2" t="s">
        <v>70</v>
      </c>
      <c r="L2443" s="2" t="s">
        <v>9</v>
      </c>
      <c r="M2443" s="2" t="s">
        <v>25</v>
      </c>
      <c r="N2443" s="2" t="s">
        <v>26</v>
      </c>
      <c r="O2443" s="2" t="s">
        <v>53</v>
      </c>
      <c r="P2443" s="2" t="s">
        <v>42</v>
      </c>
      <c r="Q2443" s="2" t="s">
        <v>30</v>
      </c>
      <c r="R2443" s="2" t="s">
        <v>18</v>
      </c>
      <c r="S2443">
        <v>3</v>
      </c>
    </row>
    <row r="2444" spans="1:19" x14ac:dyDescent="0.3">
      <c r="A2444">
        <v>3808</v>
      </c>
      <c r="B2444">
        <f>YEAR(Cleaned_HR_Data_Analysis__2[[#This Row],[Joining_Date]])</f>
        <v>2019</v>
      </c>
      <c r="C2444" s="1">
        <v>43582</v>
      </c>
      <c r="D2444" s="1" t="str" cm="1">
        <f t="array" ref="D2444">_xlfn.IFS(E2444&lt;28, "17-27",
AND(E2444&gt;27, E2444&lt;38), "28-37",
AND(E2444&gt;37, E2444 &lt;48), "38-47",
AND(E2444&gt;47, E2444 &lt;58), "48-57",
AND(E2444&gt;57, E2444&lt;68), "58-67",
AND(E2444&gt;67, E2444&lt;78), "68-77",
E2444&gt;77,"Above than 77")</f>
        <v>68-77</v>
      </c>
      <c r="E2444">
        <v>71</v>
      </c>
      <c r="F2444" s="1">
        <v>17548</v>
      </c>
      <c r="G2444" s="1" t="str">
        <f>VLOOKUP(H2444,Table7[#All], 2, FALSE)</f>
        <v>Massachusetts</v>
      </c>
      <c r="H2444" s="2" t="s">
        <v>14</v>
      </c>
      <c r="I2444" s="2" t="s">
        <v>15</v>
      </c>
      <c r="J2444" s="2" t="s">
        <v>17</v>
      </c>
      <c r="K2444" s="2" t="s">
        <v>70</v>
      </c>
      <c r="L2444" s="2" t="s">
        <v>9</v>
      </c>
      <c r="M2444" s="2" t="s">
        <v>10</v>
      </c>
      <c r="N2444" s="2" t="s">
        <v>26</v>
      </c>
      <c r="O2444" s="2" t="s">
        <v>53</v>
      </c>
      <c r="P2444" s="2" t="s">
        <v>28</v>
      </c>
      <c r="Q2444" s="2" t="s">
        <v>16</v>
      </c>
      <c r="R2444" s="2" t="s">
        <v>18</v>
      </c>
      <c r="S2444">
        <v>4</v>
      </c>
    </row>
    <row r="2445" spans="1:19" x14ac:dyDescent="0.3">
      <c r="A2445">
        <v>2522</v>
      </c>
      <c r="B2445">
        <f>YEAR(Cleaned_HR_Data_Analysis__2[[#This Row],[Joining_Date]])</f>
        <v>2020</v>
      </c>
      <c r="C2445" s="1">
        <v>44113</v>
      </c>
      <c r="D2445" s="1" t="str" cm="1">
        <f t="array" ref="D2445">_xlfn.IFS(E2445&lt;28, "17-27",
AND(E2445&gt;27, E2445&lt;38), "28-37",
AND(E2445&gt;37, E2445 &lt;48), "38-47",
AND(E2445&gt;47, E2445 &lt;58), "48-57",
AND(E2445&gt;57, E2445&lt;68), "58-67",
AND(E2445&gt;67, E2445&lt;78), "68-77",
E2445&gt;77,"Above than 77")</f>
        <v>68-77</v>
      </c>
      <c r="E2445">
        <v>71</v>
      </c>
      <c r="F2445" s="1">
        <v>17919</v>
      </c>
      <c r="G2445" s="1" t="str">
        <f>VLOOKUP(H2445,Table7[#All], 2, FALSE)</f>
        <v>Massachusetts</v>
      </c>
      <c r="H2445" s="2" t="s">
        <v>14</v>
      </c>
      <c r="I2445" s="2" t="s">
        <v>22</v>
      </c>
      <c r="J2445" s="2" t="s">
        <v>34</v>
      </c>
      <c r="K2445" s="2" t="s">
        <v>103</v>
      </c>
      <c r="L2445" s="2" t="s">
        <v>9</v>
      </c>
      <c r="M2445" s="2" t="s">
        <v>25</v>
      </c>
      <c r="N2445" s="2" t="s">
        <v>11</v>
      </c>
      <c r="O2445" s="2" t="s">
        <v>53</v>
      </c>
      <c r="P2445" s="2" t="s">
        <v>35</v>
      </c>
      <c r="Q2445" s="2" t="s">
        <v>30</v>
      </c>
      <c r="R2445" s="2" t="s">
        <v>18</v>
      </c>
      <c r="S2445">
        <v>3</v>
      </c>
    </row>
    <row r="2446" spans="1:19" x14ac:dyDescent="0.3">
      <c r="A2446">
        <v>2536</v>
      </c>
      <c r="B2446">
        <f>YEAR(Cleaned_HR_Data_Analysis__2[[#This Row],[Joining_Date]])</f>
        <v>2022</v>
      </c>
      <c r="C2446" s="1">
        <v>44926</v>
      </c>
      <c r="D2446" s="1" t="str" cm="1">
        <f t="array" ref="D2446">_xlfn.IFS(E2446&lt;28, "17-27",
AND(E2446&gt;27, E2446&lt;38), "28-37",
AND(E2446&gt;37, E2446 &lt;48), "38-47",
AND(E2446&gt;47, E2446 &lt;58), "48-57",
AND(E2446&gt;57, E2446&lt;68), "58-67",
AND(E2446&gt;67, E2446&lt;78), "68-77",
E2446&gt;77,"Above than 77")</f>
        <v>68-77</v>
      </c>
      <c r="E2446">
        <v>71</v>
      </c>
      <c r="F2446" s="1">
        <v>18662</v>
      </c>
      <c r="G2446" s="1" t="str">
        <f>VLOOKUP(H2446,Table7[#All], 2, FALSE)</f>
        <v>Massachusetts</v>
      </c>
      <c r="H2446" s="2" t="s">
        <v>14</v>
      </c>
      <c r="I2446" s="2" t="s">
        <v>22</v>
      </c>
      <c r="J2446" s="2" t="s">
        <v>34</v>
      </c>
      <c r="K2446" s="2" t="s">
        <v>106</v>
      </c>
      <c r="L2446" s="2" t="s">
        <v>9</v>
      </c>
      <c r="M2446" s="2" t="s">
        <v>10</v>
      </c>
      <c r="N2446" s="2" t="s">
        <v>11</v>
      </c>
      <c r="O2446" s="2" t="s">
        <v>27</v>
      </c>
      <c r="P2446" s="2" t="s">
        <v>35</v>
      </c>
      <c r="Q2446" s="2" t="s">
        <v>23</v>
      </c>
      <c r="R2446" s="2" t="s">
        <v>18</v>
      </c>
      <c r="S2446">
        <v>1</v>
      </c>
    </row>
    <row r="2447" spans="1:19" x14ac:dyDescent="0.3">
      <c r="A2447">
        <v>3952</v>
      </c>
      <c r="B2447">
        <f>YEAR(Cleaned_HR_Data_Analysis__2[[#This Row],[Joining_Date]])</f>
        <v>2021</v>
      </c>
      <c r="C2447" s="1">
        <v>44268</v>
      </c>
      <c r="D2447" s="1" t="str" cm="1">
        <f t="array" ref="D2447">_xlfn.IFS(E2447&lt;28, "17-27",
AND(E2447&gt;27, E2447&lt;38), "28-37",
AND(E2447&gt;37, E2447 &lt;48), "38-47",
AND(E2447&gt;47, E2447 &lt;58), "48-57",
AND(E2447&gt;57, E2447&lt;68), "58-67",
AND(E2447&gt;67, E2447&lt;78), "68-77",
E2447&gt;77,"Above than 77")</f>
        <v>68-77</v>
      </c>
      <c r="E2447">
        <v>71</v>
      </c>
      <c r="F2447" s="1">
        <v>18568</v>
      </c>
      <c r="G2447" s="1" t="str">
        <f>VLOOKUP(H2447,Table7[#All], 2, FALSE)</f>
        <v>Massachusetts</v>
      </c>
      <c r="H2447" s="2" t="s">
        <v>14</v>
      </c>
      <c r="I2447" s="2" t="s">
        <v>22</v>
      </c>
      <c r="J2447" s="2" t="s">
        <v>31</v>
      </c>
      <c r="K2447" s="2" t="s">
        <v>78</v>
      </c>
      <c r="L2447" s="2" t="s">
        <v>9</v>
      </c>
      <c r="M2447" s="2" t="s">
        <v>25</v>
      </c>
      <c r="N2447" s="2" t="s">
        <v>19</v>
      </c>
      <c r="O2447" s="2" t="s">
        <v>53</v>
      </c>
      <c r="P2447" s="2" t="s">
        <v>13</v>
      </c>
      <c r="Q2447" s="2" t="s">
        <v>37</v>
      </c>
      <c r="R2447" s="2" t="s">
        <v>18</v>
      </c>
      <c r="S2447">
        <v>4</v>
      </c>
    </row>
    <row r="2448" spans="1:19" x14ac:dyDescent="0.3">
      <c r="A2448">
        <v>3960</v>
      </c>
      <c r="B2448">
        <f>YEAR(Cleaned_HR_Data_Analysis__2[[#This Row],[Joining_Date]])</f>
        <v>2018</v>
      </c>
      <c r="C2448" s="1">
        <v>43323</v>
      </c>
      <c r="D2448" s="1" t="str" cm="1">
        <f t="array" ref="D2448">_xlfn.IFS(E2448&lt;28, "17-27",
AND(E2448&gt;27, E2448&lt;38), "28-37",
AND(E2448&gt;37, E2448 &lt;48), "38-47",
AND(E2448&gt;47, E2448 &lt;58), "48-57",
AND(E2448&gt;57, E2448&lt;68), "58-67",
AND(E2448&gt;67, E2448&lt;78), "68-77",
E2448&gt;77,"Above than 77")</f>
        <v>68-77</v>
      </c>
      <c r="E2448">
        <v>71</v>
      </c>
      <c r="F2448" s="1">
        <v>17262</v>
      </c>
      <c r="G2448" s="1" t="str">
        <f>VLOOKUP(H2448,Table7[#All], 2, FALSE)</f>
        <v>Texas</v>
      </c>
      <c r="H2448" s="2" t="s">
        <v>45</v>
      </c>
      <c r="I2448" s="2" t="s">
        <v>22</v>
      </c>
      <c r="J2448" s="2" t="s">
        <v>34</v>
      </c>
      <c r="K2448" s="2" t="s">
        <v>82</v>
      </c>
      <c r="L2448" s="2" t="s">
        <v>9</v>
      </c>
      <c r="M2448" s="2" t="s">
        <v>20</v>
      </c>
      <c r="N2448" s="2" t="s">
        <v>19</v>
      </c>
      <c r="O2448" s="2" t="s">
        <v>53</v>
      </c>
      <c r="P2448" s="2" t="s">
        <v>35</v>
      </c>
      <c r="Q2448" s="2" t="s">
        <v>16</v>
      </c>
      <c r="R2448" s="2" t="s">
        <v>18</v>
      </c>
      <c r="S2448">
        <v>4</v>
      </c>
    </row>
    <row r="2449" spans="1:19" x14ac:dyDescent="0.3">
      <c r="A2449">
        <v>2537</v>
      </c>
      <c r="B2449">
        <f>YEAR(Cleaned_HR_Data_Analysis__2[[#This Row],[Joining_Date]])</f>
        <v>2022</v>
      </c>
      <c r="C2449" s="1">
        <v>44822</v>
      </c>
      <c r="D2449" s="1" t="str" cm="1">
        <f t="array" ref="D2449">_xlfn.IFS(E2449&lt;28, "17-27",
AND(E2449&gt;27, E2449&lt;38), "28-37",
AND(E2449&gt;37, E2449 &lt;48), "38-47",
AND(E2449&gt;47, E2449 &lt;58), "48-57",
AND(E2449&gt;57, E2449&lt;68), "58-67",
AND(E2449&gt;67, E2449&lt;78), "68-77",
E2449&gt;77,"Above than 77")</f>
        <v>68-77</v>
      </c>
      <c r="E2449">
        <v>71</v>
      </c>
      <c r="F2449" s="1">
        <v>18833</v>
      </c>
      <c r="G2449" s="1" t="str">
        <f>VLOOKUP(H2449,Table7[#All], 2, FALSE)</f>
        <v>Massachusetts</v>
      </c>
      <c r="H2449" s="2" t="s">
        <v>14</v>
      </c>
      <c r="I2449" s="2" t="s">
        <v>15</v>
      </c>
      <c r="J2449" s="2" t="s">
        <v>31</v>
      </c>
      <c r="K2449" s="2" t="s">
        <v>97</v>
      </c>
      <c r="L2449" s="2" t="s">
        <v>9</v>
      </c>
      <c r="M2449" s="2" t="s">
        <v>25</v>
      </c>
      <c r="N2449" s="2" t="s">
        <v>19</v>
      </c>
      <c r="O2449" s="2" t="s">
        <v>53</v>
      </c>
      <c r="P2449" s="2" t="s">
        <v>35</v>
      </c>
      <c r="Q2449" s="2" t="s">
        <v>16</v>
      </c>
      <c r="R2449" s="2" t="s">
        <v>18</v>
      </c>
      <c r="S2449">
        <v>5</v>
      </c>
    </row>
    <row r="2450" spans="1:19" x14ac:dyDescent="0.3">
      <c r="A2450">
        <v>2592</v>
      </c>
      <c r="B2450">
        <f>YEAR(Cleaned_HR_Data_Analysis__2[[#This Row],[Joining_Date]])</f>
        <v>2020</v>
      </c>
      <c r="C2450" s="1">
        <v>44119</v>
      </c>
      <c r="D2450" s="1" t="str" cm="1">
        <f t="array" ref="D2450">_xlfn.IFS(E2450&lt;28, "17-27",
AND(E2450&gt;27, E2450&lt;38), "28-37",
AND(E2450&gt;37, E2450 &lt;48), "38-47",
AND(E2450&gt;47, E2450 &lt;58), "48-57",
AND(E2450&gt;57, E2450&lt;68), "58-67",
AND(E2450&gt;67, E2450&lt;78), "68-77",
E2450&gt;77,"Above than 77")</f>
        <v>68-77</v>
      </c>
      <c r="E2450">
        <v>71</v>
      </c>
      <c r="F2450" s="1">
        <v>18061</v>
      </c>
      <c r="G2450" s="1" t="str">
        <f>VLOOKUP(H2450,Table7[#All], 2, FALSE)</f>
        <v>Tennessee</v>
      </c>
      <c r="H2450" s="2" t="s">
        <v>120</v>
      </c>
      <c r="I2450" s="2" t="s">
        <v>22</v>
      </c>
      <c r="J2450" s="2" t="s">
        <v>31</v>
      </c>
      <c r="K2450" s="2" t="s">
        <v>24</v>
      </c>
      <c r="L2450" s="2" t="s">
        <v>9</v>
      </c>
      <c r="M2450" s="2" t="s">
        <v>10</v>
      </c>
      <c r="N2450" s="2" t="s">
        <v>26</v>
      </c>
      <c r="O2450" s="2" t="s">
        <v>27</v>
      </c>
      <c r="P2450" s="2" t="s">
        <v>35</v>
      </c>
      <c r="Q2450" s="2" t="s">
        <v>46</v>
      </c>
      <c r="R2450" s="2" t="s">
        <v>18</v>
      </c>
      <c r="S2450">
        <v>1</v>
      </c>
    </row>
    <row r="2451" spans="1:19" x14ac:dyDescent="0.3">
      <c r="A2451">
        <v>2679</v>
      </c>
      <c r="B2451">
        <f>YEAR(Cleaned_HR_Data_Analysis__2[[#This Row],[Joining_Date]])</f>
        <v>2022</v>
      </c>
      <c r="C2451" s="1">
        <v>44882</v>
      </c>
      <c r="D2451" s="1" t="str" cm="1">
        <f t="array" ref="D2451">_xlfn.IFS(E2451&lt;28, "17-27",
AND(E2451&gt;27, E2451&lt;38), "28-37",
AND(E2451&gt;37, E2451 &lt;48), "38-47",
AND(E2451&gt;47, E2451 &lt;58), "48-57",
AND(E2451&gt;57, E2451&lt;68), "58-67",
AND(E2451&gt;67, E2451&lt;78), "68-77",
E2451&gt;77,"Above than 77")</f>
        <v>68-77</v>
      </c>
      <c r="E2451">
        <v>71</v>
      </c>
      <c r="F2451" s="1">
        <v>18921</v>
      </c>
      <c r="G2451" s="1" t="str">
        <f>VLOOKUP(H2451,Table7[#All], 2, FALSE)</f>
        <v>Idaho</v>
      </c>
      <c r="H2451" s="2" t="s">
        <v>111</v>
      </c>
      <c r="I2451" s="2" t="s">
        <v>22</v>
      </c>
      <c r="J2451" s="2" t="s">
        <v>40</v>
      </c>
      <c r="K2451" s="2" t="s">
        <v>24</v>
      </c>
      <c r="L2451" s="2" t="s">
        <v>9</v>
      </c>
      <c r="M2451" s="2" t="s">
        <v>10</v>
      </c>
      <c r="N2451" s="2" t="s">
        <v>19</v>
      </c>
      <c r="O2451" s="2" t="s">
        <v>27</v>
      </c>
      <c r="P2451" s="2" t="s">
        <v>32</v>
      </c>
      <c r="Q2451" s="2" t="s">
        <v>23</v>
      </c>
      <c r="R2451" s="2" t="s">
        <v>18</v>
      </c>
      <c r="S2451">
        <v>4</v>
      </c>
    </row>
    <row r="2452" spans="1:19" x14ac:dyDescent="0.3">
      <c r="A2452">
        <v>3432</v>
      </c>
      <c r="B2452">
        <f>YEAR(Cleaned_HR_Data_Analysis__2[[#This Row],[Joining_Date]])</f>
        <v>2020</v>
      </c>
      <c r="C2452" s="1">
        <v>43847</v>
      </c>
      <c r="D2452" s="1" t="str" cm="1">
        <f t="array" ref="D2452">_xlfn.IFS(E2452&lt;28, "17-27",
AND(E2452&gt;27, E2452&lt;38), "28-37",
AND(E2452&gt;37, E2452 &lt;48), "38-47",
AND(E2452&gt;47, E2452 &lt;58), "48-57",
AND(E2452&gt;57, E2452&lt;68), "58-67",
AND(E2452&gt;67, E2452&lt;78), "68-77",
E2452&gt;77,"Above than 77")</f>
        <v>68-77</v>
      </c>
      <c r="E2452">
        <v>71</v>
      </c>
      <c r="F2452" s="1">
        <v>17991</v>
      </c>
      <c r="G2452" s="1" t="str">
        <f>VLOOKUP(H2452,Table7[#All], 2, FALSE)</f>
        <v>Connecticut</v>
      </c>
      <c r="H2452" s="2" t="s">
        <v>36</v>
      </c>
      <c r="I2452" s="2" t="s">
        <v>22</v>
      </c>
      <c r="J2452" s="2" t="s">
        <v>34</v>
      </c>
      <c r="K2452" s="2" t="s">
        <v>24</v>
      </c>
      <c r="L2452" s="2" t="s">
        <v>9</v>
      </c>
      <c r="M2452" s="2" t="s">
        <v>10</v>
      </c>
      <c r="N2452" s="2" t="s">
        <v>26</v>
      </c>
      <c r="O2452" s="2" t="s">
        <v>27</v>
      </c>
      <c r="P2452" s="2" t="s">
        <v>35</v>
      </c>
      <c r="Q2452" s="2" t="s">
        <v>37</v>
      </c>
      <c r="R2452" s="2" t="s">
        <v>18</v>
      </c>
      <c r="S2452">
        <v>3</v>
      </c>
    </row>
    <row r="2453" spans="1:19" x14ac:dyDescent="0.3">
      <c r="A2453">
        <v>3553</v>
      </c>
      <c r="B2453">
        <f>YEAR(Cleaned_HR_Data_Analysis__2[[#This Row],[Joining_Date]])</f>
        <v>2020</v>
      </c>
      <c r="C2453" s="1">
        <v>43850</v>
      </c>
      <c r="D2453" s="1" t="str" cm="1">
        <f t="array" ref="D2453">_xlfn.IFS(E2453&lt;28, "17-27",
AND(E2453&gt;27, E2453&lt;38), "28-37",
AND(E2453&gt;37, E2453 &lt;48), "38-47",
AND(E2453&gt;47, E2453 &lt;58), "48-57",
AND(E2453&gt;57, E2453&lt;68), "58-67",
AND(E2453&gt;67, E2453&lt;78), "68-77",
E2453&gt;77,"Above than 77")</f>
        <v>68-77</v>
      </c>
      <c r="E2453">
        <v>71</v>
      </c>
      <c r="F2453" s="1">
        <v>18025</v>
      </c>
      <c r="G2453" s="1" t="str">
        <f>VLOOKUP(H2453,Table7[#All], 2, FALSE)</f>
        <v>Colorado</v>
      </c>
      <c r="H2453" s="2" t="s">
        <v>50</v>
      </c>
      <c r="I2453" s="2" t="s">
        <v>22</v>
      </c>
      <c r="J2453" s="2" t="s">
        <v>40</v>
      </c>
      <c r="K2453" s="2" t="s">
        <v>24</v>
      </c>
      <c r="L2453" s="2" t="s">
        <v>9</v>
      </c>
      <c r="M2453" s="2" t="s">
        <v>10</v>
      </c>
      <c r="N2453" s="2" t="s">
        <v>11</v>
      </c>
      <c r="O2453" s="2" t="s">
        <v>27</v>
      </c>
      <c r="P2453" s="2" t="s">
        <v>35</v>
      </c>
      <c r="Q2453" s="2" t="s">
        <v>37</v>
      </c>
      <c r="R2453" s="2" t="s">
        <v>18</v>
      </c>
      <c r="S2453">
        <v>2</v>
      </c>
    </row>
    <row r="2454" spans="1:19" x14ac:dyDescent="0.3">
      <c r="A2454">
        <v>3503</v>
      </c>
      <c r="B2454">
        <f>YEAR(Cleaned_HR_Data_Analysis__2[[#This Row],[Joining_Date]])</f>
        <v>2022</v>
      </c>
      <c r="C2454" s="1">
        <v>44581</v>
      </c>
      <c r="D2454" s="1" t="str" cm="1">
        <f t="array" ref="D2454">_xlfn.IFS(E2454&lt;28, "17-27",
AND(E2454&gt;27, E2454&lt;38), "28-37",
AND(E2454&gt;37, E2454 &lt;48), "38-47",
AND(E2454&gt;47, E2454 &lt;58), "48-57",
AND(E2454&gt;57, E2454&lt;68), "58-67",
AND(E2454&gt;67, E2454&lt;78), "68-77",
E2454&gt;77,"Above than 77")</f>
        <v>68-77</v>
      </c>
      <c r="E2454">
        <v>71</v>
      </c>
      <c r="F2454" s="1">
        <v>18836</v>
      </c>
      <c r="G2454" s="1" t="str">
        <f>VLOOKUP(H2454,Table7[#All], 2, FALSE)</f>
        <v>Colorado</v>
      </c>
      <c r="H2454" s="2" t="s">
        <v>50</v>
      </c>
      <c r="I2454" s="2" t="s">
        <v>22</v>
      </c>
      <c r="J2454" s="2" t="s">
        <v>31</v>
      </c>
      <c r="K2454" s="2" t="s">
        <v>24</v>
      </c>
      <c r="L2454" s="2" t="s">
        <v>9</v>
      </c>
      <c r="M2454" s="2" t="s">
        <v>20</v>
      </c>
      <c r="N2454" s="2" t="s">
        <v>19</v>
      </c>
      <c r="O2454" s="2" t="s">
        <v>27</v>
      </c>
      <c r="P2454" s="2" t="s">
        <v>54</v>
      </c>
      <c r="Q2454" s="2" t="s">
        <v>30</v>
      </c>
      <c r="R2454" s="2" t="s">
        <v>18</v>
      </c>
      <c r="S2454">
        <v>2</v>
      </c>
    </row>
    <row r="2455" spans="1:19" x14ac:dyDescent="0.3">
      <c r="A2455">
        <v>2642</v>
      </c>
      <c r="B2455">
        <f>YEAR(Cleaned_HR_Data_Analysis__2[[#This Row],[Joining_Date]])</f>
        <v>2022</v>
      </c>
      <c r="C2455" s="1">
        <v>44727</v>
      </c>
      <c r="D2455" s="1" t="str" cm="1">
        <f t="array" ref="D2455">_xlfn.IFS(E2455&lt;28, "17-27",
AND(E2455&gt;27, E2455&lt;38), "28-37",
AND(E2455&gt;37, E2455 &lt;48), "38-47",
AND(E2455&gt;47, E2455 &lt;58), "48-57",
AND(E2455&gt;57, E2455&lt;68), "58-67",
AND(E2455&gt;67, E2455&lt;78), "68-77",
E2455&gt;77,"Above than 77")</f>
        <v>68-77</v>
      </c>
      <c r="E2455">
        <v>71</v>
      </c>
      <c r="F2455" s="1">
        <v>18792</v>
      </c>
      <c r="G2455" s="1" t="str">
        <f>VLOOKUP(H2455,Table7[#All], 2, FALSE)</f>
        <v>Alabama</v>
      </c>
      <c r="H2455" s="2" t="s">
        <v>116</v>
      </c>
      <c r="I2455" s="2" t="s">
        <v>22</v>
      </c>
      <c r="J2455" s="2" t="s">
        <v>40</v>
      </c>
      <c r="K2455" s="2" t="s">
        <v>24</v>
      </c>
      <c r="L2455" s="2" t="s">
        <v>9</v>
      </c>
      <c r="M2455" s="2" t="s">
        <v>25</v>
      </c>
      <c r="N2455" s="2" t="s">
        <v>11</v>
      </c>
      <c r="O2455" s="2" t="s">
        <v>27</v>
      </c>
      <c r="P2455" s="2" t="s">
        <v>35</v>
      </c>
      <c r="Q2455" s="2" t="s">
        <v>46</v>
      </c>
      <c r="R2455" s="2" t="s">
        <v>18</v>
      </c>
      <c r="S2455">
        <v>3</v>
      </c>
    </row>
    <row r="2456" spans="1:19" x14ac:dyDescent="0.3">
      <c r="A2456">
        <v>1366</v>
      </c>
      <c r="B2456">
        <f>YEAR(Cleaned_HR_Data_Analysis__2[[#This Row],[Joining_Date]])</f>
        <v>2022</v>
      </c>
      <c r="C2456" s="1">
        <v>44680</v>
      </c>
      <c r="D2456" s="1" t="str" cm="1">
        <f t="array" ref="D2456">_xlfn.IFS(E2456&lt;28, "17-27",
AND(E2456&gt;27, E2456&lt;38), "28-37",
AND(E2456&gt;37, E2456 &lt;48), "38-47",
AND(E2456&gt;47, E2456 &lt;58), "48-57",
AND(E2456&gt;57, E2456&lt;68), "58-67",
AND(E2456&gt;67, E2456&lt;78), "68-77",
E2456&gt;77,"Above than 77")</f>
        <v>68-77</v>
      </c>
      <c r="E2456">
        <v>72</v>
      </c>
      <c r="F2456" s="1">
        <v>18278</v>
      </c>
      <c r="G2456" s="1" t="str">
        <f>VLOOKUP(H2456,Table7[#All], 2, FALSE)</f>
        <v>Massachusetts</v>
      </c>
      <c r="H2456" s="2" t="s">
        <v>14</v>
      </c>
      <c r="I2456" s="2" t="s">
        <v>22</v>
      </c>
      <c r="J2456" s="2" t="s">
        <v>31</v>
      </c>
      <c r="K2456" s="2" t="s">
        <v>72</v>
      </c>
      <c r="L2456" s="2" t="s">
        <v>9</v>
      </c>
      <c r="M2456" s="2" t="s">
        <v>10</v>
      </c>
      <c r="N2456" s="2" t="s">
        <v>26</v>
      </c>
      <c r="O2456" s="2" t="s">
        <v>53</v>
      </c>
      <c r="P2456" s="2" t="s">
        <v>32</v>
      </c>
      <c r="Q2456" s="2" t="s">
        <v>37</v>
      </c>
      <c r="R2456" s="2" t="s">
        <v>41</v>
      </c>
      <c r="S2456">
        <v>4</v>
      </c>
    </row>
    <row r="2457" spans="1:19" x14ac:dyDescent="0.3">
      <c r="A2457">
        <v>2531</v>
      </c>
      <c r="B2457">
        <f>YEAR(Cleaned_HR_Data_Analysis__2[[#This Row],[Joining_Date]])</f>
        <v>2023</v>
      </c>
      <c r="C2457" s="1">
        <v>45131</v>
      </c>
      <c r="D2457" s="1" t="str" cm="1">
        <f t="array" ref="D2457">_xlfn.IFS(E2457&lt;28, "17-27",
AND(E2457&gt;27, E2457&lt;38), "28-37",
AND(E2457&gt;37, E2457 &lt;48), "38-47",
AND(E2457&gt;47, E2457 &lt;58), "48-57",
AND(E2457&gt;57, E2457&lt;68), "58-67",
AND(E2457&gt;67, E2457&lt;78), "68-77",
E2457&gt;77,"Above than 77")</f>
        <v>68-77</v>
      </c>
      <c r="E2457">
        <v>72</v>
      </c>
      <c r="F2457" s="1">
        <v>18769</v>
      </c>
      <c r="G2457" s="1" t="str">
        <f>VLOOKUP(H2457,Table7[#All], 2, FALSE)</f>
        <v>Massachusetts</v>
      </c>
      <c r="H2457" s="2" t="s">
        <v>14</v>
      </c>
      <c r="I2457" s="2" t="s">
        <v>22</v>
      </c>
      <c r="J2457" s="2" t="s">
        <v>17</v>
      </c>
      <c r="K2457" s="2" t="s">
        <v>86</v>
      </c>
      <c r="L2457" s="2" t="s">
        <v>9</v>
      </c>
      <c r="M2457" s="2" t="s">
        <v>20</v>
      </c>
      <c r="N2457" s="2" t="s">
        <v>26</v>
      </c>
      <c r="O2457" s="2" t="s">
        <v>87</v>
      </c>
      <c r="P2457" s="2" t="s">
        <v>44</v>
      </c>
      <c r="Q2457" s="2" t="s">
        <v>37</v>
      </c>
      <c r="R2457" s="2" t="s">
        <v>18</v>
      </c>
      <c r="S2457">
        <v>5</v>
      </c>
    </row>
    <row r="2458" spans="1:19" x14ac:dyDescent="0.3">
      <c r="A2458">
        <v>2520</v>
      </c>
      <c r="B2458">
        <f>YEAR(Cleaned_HR_Data_Analysis__2[[#This Row],[Joining_Date]])</f>
        <v>2020</v>
      </c>
      <c r="C2458" s="1">
        <v>44101</v>
      </c>
      <c r="D2458" s="1" t="str" cm="1">
        <f t="array" ref="D2458">_xlfn.IFS(E2458&lt;28, "17-27",
AND(E2458&gt;27, E2458&lt;38), "28-37",
AND(E2458&gt;37, E2458 &lt;48), "38-47",
AND(E2458&gt;47, E2458 &lt;58), "48-57",
AND(E2458&gt;57, E2458&lt;68), "58-67",
AND(E2458&gt;67, E2458&lt;78), "68-77",
E2458&gt;77,"Above than 77")</f>
        <v>68-77</v>
      </c>
      <c r="E2458">
        <v>72</v>
      </c>
      <c r="F2458" s="1">
        <v>17701</v>
      </c>
      <c r="G2458" s="1" t="str">
        <f>VLOOKUP(H2458,Table7[#All], 2, FALSE)</f>
        <v>Massachusetts</v>
      </c>
      <c r="H2458" s="2" t="s">
        <v>14</v>
      </c>
      <c r="I2458" s="2" t="s">
        <v>22</v>
      </c>
      <c r="J2458" s="2" t="s">
        <v>40</v>
      </c>
      <c r="K2458" s="2" t="s">
        <v>86</v>
      </c>
      <c r="L2458" s="2" t="s">
        <v>9</v>
      </c>
      <c r="M2458" s="2" t="s">
        <v>20</v>
      </c>
      <c r="N2458" s="2" t="s">
        <v>11</v>
      </c>
      <c r="O2458" s="2" t="s">
        <v>87</v>
      </c>
      <c r="P2458" s="2" t="s">
        <v>54</v>
      </c>
      <c r="Q2458" s="2" t="s">
        <v>46</v>
      </c>
      <c r="R2458" s="2" t="s">
        <v>18</v>
      </c>
      <c r="S2458">
        <v>1</v>
      </c>
    </row>
    <row r="2459" spans="1:19" x14ac:dyDescent="0.3">
      <c r="A2459">
        <v>1067</v>
      </c>
      <c r="B2459">
        <f>YEAR(Cleaned_HR_Data_Analysis__2[[#This Row],[Joining_Date]])</f>
        <v>2020</v>
      </c>
      <c r="C2459" s="1">
        <v>44149</v>
      </c>
      <c r="D2459" s="1" t="str" cm="1">
        <f t="array" ref="D2459">_xlfn.IFS(E2459&lt;28, "17-27",
AND(E2459&gt;27, E2459&lt;38), "28-37",
AND(E2459&gt;37, E2459 &lt;48), "38-47",
AND(E2459&gt;47, E2459 &lt;58), "48-57",
AND(E2459&gt;57, E2459&lt;68), "58-67",
AND(E2459&gt;67, E2459&lt;78), "68-77",
E2459&gt;77,"Above than 77")</f>
        <v>68-77</v>
      </c>
      <c r="E2459">
        <v>72</v>
      </c>
      <c r="F2459" s="1">
        <v>17874</v>
      </c>
      <c r="G2459" s="1" t="str">
        <f>VLOOKUP(H2459,Table7[#All], 2, FALSE)</f>
        <v>Massachusetts</v>
      </c>
      <c r="H2459" s="2" t="s">
        <v>14</v>
      </c>
      <c r="I2459" s="2" t="s">
        <v>15</v>
      </c>
      <c r="J2459" s="2" t="s">
        <v>34</v>
      </c>
      <c r="K2459" s="2" t="s">
        <v>86</v>
      </c>
      <c r="L2459" s="2" t="s">
        <v>9</v>
      </c>
      <c r="M2459" s="2" t="s">
        <v>20</v>
      </c>
      <c r="N2459" s="2" t="s">
        <v>19</v>
      </c>
      <c r="O2459" s="2" t="s">
        <v>87</v>
      </c>
      <c r="P2459" s="2" t="s">
        <v>35</v>
      </c>
      <c r="Q2459" s="2" t="s">
        <v>16</v>
      </c>
      <c r="R2459" s="2" t="s">
        <v>18</v>
      </c>
      <c r="S2459">
        <v>2</v>
      </c>
    </row>
    <row r="2460" spans="1:19" x14ac:dyDescent="0.3">
      <c r="A2460">
        <v>1002</v>
      </c>
      <c r="B2460">
        <f>YEAR(Cleaned_HR_Data_Analysis__2[[#This Row],[Joining_Date]])</f>
        <v>2022</v>
      </c>
      <c r="C2460" s="1">
        <v>44907</v>
      </c>
      <c r="D2460" s="1" t="str" cm="1">
        <f t="array" ref="D2460">_xlfn.IFS(E2460&lt;28, "17-27",
AND(E2460&gt;27, E2460&lt;38), "28-37",
AND(E2460&gt;37, E2460 &lt;48), "38-47",
AND(E2460&gt;47, E2460 &lt;58), "48-57",
AND(E2460&gt;57, E2460&lt;68), "58-67",
AND(E2460&gt;67, E2460&lt;78), "68-77",
E2460&gt;77,"Above than 77")</f>
        <v>68-77</v>
      </c>
      <c r="E2460">
        <v>72</v>
      </c>
      <c r="F2460" s="1">
        <v>18452</v>
      </c>
      <c r="G2460" s="1" t="str">
        <f>VLOOKUP(H2460,Table7[#All], 2, FALSE)</f>
        <v>Massachusetts</v>
      </c>
      <c r="H2460" s="2" t="s">
        <v>14</v>
      </c>
      <c r="I2460" s="2" t="s">
        <v>15</v>
      </c>
      <c r="J2460" s="2" t="s">
        <v>17</v>
      </c>
      <c r="K2460" s="2" t="s">
        <v>86</v>
      </c>
      <c r="L2460" s="2" t="s">
        <v>9</v>
      </c>
      <c r="M2460" s="2" t="s">
        <v>20</v>
      </c>
      <c r="N2460" s="2" t="s">
        <v>19</v>
      </c>
      <c r="O2460" s="2" t="s">
        <v>87</v>
      </c>
      <c r="P2460" s="2" t="s">
        <v>60</v>
      </c>
      <c r="Q2460" s="2" t="s">
        <v>46</v>
      </c>
      <c r="R2460" s="2" t="s">
        <v>18</v>
      </c>
      <c r="S2460">
        <v>5</v>
      </c>
    </row>
    <row r="2461" spans="1:19" x14ac:dyDescent="0.3">
      <c r="A2461">
        <v>1053</v>
      </c>
      <c r="B2461">
        <f>YEAR(Cleaned_HR_Data_Analysis__2[[#This Row],[Joining_Date]])</f>
        <v>2019</v>
      </c>
      <c r="C2461" s="1">
        <v>43537</v>
      </c>
      <c r="D2461" s="1" t="str" cm="1">
        <f t="array" ref="D2461">_xlfn.IFS(E2461&lt;28, "17-27",
AND(E2461&gt;27, E2461&lt;38), "28-37",
AND(E2461&gt;37, E2461 &lt;48), "38-47",
AND(E2461&gt;47, E2461 &lt;58), "48-57",
AND(E2461&gt;57, E2461&lt;68), "58-67",
AND(E2461&gt;67, E2461&lt;78), "68-77",
E2461&gt;77,"Above than 77")</f>
        <v>68-77</v>
      </c>
      <c r="E2461">
        <v>72</v>
      </c>
      <c r="F2461" s="1">
        <v>17373</v>
      </c>
      <c r="G2461" s="1" t="str">
        <f>VLOOKUP(H2461,Table7[#All], 2, FALSE)</f>
        <v>Massachusetts</v>
      </c>
      <c r="H2461" s="2" t="s">
        <v>14</v>
      </c>
      <c r="I2461" s="2" t="s">
        <v>15</v>
      </c>
      <c r="J2461" s="2" t="s">
        <v>40</v>
      </c>
      <c r="K2461" s="2" t="s">
        <v>88</v>
      </c>
      <c r="L2461" s="2" t="s">
        <v>9</v>
      </c>
      <c r="M2461" s="2" t="s">
        <v>10</v>
      </c>
      <c r="N2461" s="2" t="s">
        <v>11</v>
      </c>
      <c r="O2461" s="2" t="s">
        <v>87</v>
      </c>
      <c r="P2461" s="2" t="s">
        <v>54</v>
      </c>
      <c r="Q2461" s="2" t="s">
        <v>23</v>
      </c>
      <c r="R2461" s="2" t="s">
        <v>18</v>
      </c>
      <c r="S2461">
        <v>1</v>
      </c>
    </row>
    <row r="2462" spans="1:19" x14ac:dyDescent="0.3">
      <c r="A2462">
        <v>1026</v>
      </c>
      <c r="B2462">
        <f>YEAR(Cleaned_HR_Data_Analysis__2[[#This Row],[Joining_Date]])</f>
        <v>2022</v>
      </c>
      <c r="C2462" s="1">
        <v>44868</v>
      </c>
      <c r="D2462" s="1" t="str" cm="1">
        <f t="array" ref="D2462">_xlfn.IFS(E2462&lt;28, "17-27",
AND(E2462&gt;27, E2462&lt;38), "28-37",
AND(E2462&gt;37, E2462 &lt;48), "38-47",
AND(E2462&gt;47, E2462 &lt;58), "48-57",
AND(E2462&gt;57, E2462&lt;68), "58-67",
AND(E2462&gt;67, E2462&lt;78), "68-77",
E2462&gt;77,"Above than 77")</f>
        <v>68-77</v>
      </c>
      <c r="E2462">
        <v>72</v>
      </c>
      <c r="F2462" s="1">
        <v>18574</v>
      </c>
      <c r="G2462" s="1" t="str">
        <f>VLOOKUP(H2462,Table7[#All], 2, FALSE)</f>
        <v>Massachusetts</v>
      </c>
      <c r="H2462" s="2" t="s">
        <v>14</v>
      </c>
      <c r="I2462" s="2" t="s">
        <v>15</v>
      </c>
      <c r="J2462" s="2" t="s">
        <v>17</v>
      </c>
      <c r="K2462" s="2" t="s">
        <v>89</v>
      </c>
      <c r="L2462" s="2" t="s">
        <v>9</v>
      </c>
      <c r="M2462" s="2" t="s">
        <v>10</v>
      </c>
      <c r="N2462" s="2" t="s">
        <v>19</v>
      </c>
      <c r="O2462" s="2" t="s">
        <v>90</v>
      </c>
      <c r="P2462" s="2" t="s">
        <v>42</v>
      </c>
      <c r="Q2462" s="2" t="s">
        <v>30</v>
      </c>
      <c r="R2462" s="2" t="s">
        <v>18</v>
      </c>
      <c r="S2462">
        <v>2</v>
      </c>
    </row>
    <row r="2463" spans="1:19" x14ac:dyDescent="0.3">
      <c r="A2463">
        <v>3365</v>
      </c>
      <c r="B2463">
        <f>YEAR(Cleaned_HR_Data_Analysis__2[[#This Row],[Joining_Date]])</f>
        <v>2020</v>
      </c>
      <c r="C2463" s="1">
        <v>44167</v>
      </c>
      <c r="D2463" s="1" t="str" cm="1">
        <f t="array" ref="D2463">_xlfn.IFS(E2463&lt;28, "17-27",
AND(E2463&gt;27, E2463&lt;38), "28-37",
AND(E2463&gt;37, E2463 &lt;48), "38-47",
AND(E2463&gt;47, E2463 &lt;58), "48-57",
AND(E2463&gt;57, E2463&lt;68), "58-67",
AND(E2463&gt;67, E2463&lt;78), "68-77",
E2463&gt;77,"Above than 77")</f>
        <v>68-77</v>
      </c>
      <c r="E2463">
        <v>72</v>
      </c>
      <c r="F2463" s="1">
        <v>17711</v>
      </c>
      <c r="G2463" s="1" t="str">
        <f>VLOOKUP(H2463,Table7[#All], 2, FALSE)</f>
        <v>Massachusetts</v>
      </c>
      <c r="H2463" s="2" t="s">
        <v>14</v>
      </c>
      <c r="I2463" s="2" t="s">
        <v>22</v>
      </c>
      <c r="J2463" s="2" t="s">
        <v>40</v>
      </c>
      <c r="K2463" s="2" t="s">
        <v>64</v>
      </c>
      <c r="L2463" s="2" t="s">
        <v>9</v>
      </c>
      <c r="M2463" s="2" t="s">
        <v>10</v>
      </c>
      <c r="N2463" s="2" t="s">
        <v>26</v>
      </c>
      <c r="O2463" s="2" t="s">
        <v>12</v>
      </c>
      <c r="P2463" s="2" t="s">
        <v>54</v>
      </c>
      <c r="Q2463" s="2" t="s">
        <v>46</v>
      </c>
      <c r="R2463" s="2" t="s">
        <v>18</v>
      </c>
      <c r="S2463">
        <v>1</v>
      </c>
    </row>
    <row r="2464" spans="1:19" x14ac:dyDescent="0.3">
      <c r="A2464">
        <v>3052</v>
      </c>
      <c r="B2464">
        <f>YEAR(Cleaned_HR_Data_Analysis__2[[#This Row],[Joining_Date]])</f>
        <v>2020</v>
      </c>
      <c r="C2464" s="1">
        <v>43855</v>
      </c>
      <c r="D2464" s="1" t="str" cm="1">
        <f t="array" ref="D2464">_xlfn.IFS(E2464&lt;28, "17-27",
AND(E2464&gt;27, E2464&lt;38), "28-37",
AND(E2464&gt;37, E2464 &lt;48), "38-47",
AND(E2464&gt;47, E2464 &lt;58), "48-57",
AND(E2464&gt;57, E2464&lt;68), "58-67",
AND(E2464&gt;67, E2464&lt;78), "68-77",
E2464&gt;77,"Above than 77")</f>
        <v>68-77</v>
      </c>
      <c r="E2464">
        <v>72</v>
      </c>
      <c r="F2464" s="1">
        <v>17693</v>
      </c>
      <c r="G2464" s="1" t="str">
        <f>VLOOKUP(H2464,Table7[#All], 2, FALSE)</f>
        <v>Massachusetts</v>
      </c>
      <c r="H2464" s="2" t="s">
        <v>14</v>
      </c>
      <c r="I2464" s="2" t="s">
        <v>15</v>
      </c>
      <c r="J2464" s="2" t="s">
        <v>31</v>
      </c>
      <c r="K2464" s="2" t="s">
        <v>64</v>
      </c>
      <c r="L2464" s="2" t="s">
        <v>9</v>
      </c>
      <c r="M2464" s="2" t="s">
        <v>25</v>
      </c>
      <c r="N2464" s="2" t="s">
        <v>19</v>
      </c>
      <c r="O2464" s="2" t="s">
        <v>12</v>
      </c>
      <c r="P2464" s="2" t="s">
        <v>28</v>
      </c>
      <c r="Q2464" s="2" t="s">
        <v>16</v>
      </c>
      <c r="R2464" s="2" t="s">
        <v>18</v>
      </c>
      <c r="S2464">
        <v>1</v>
      </c>
    </row>
    <row r="2465" spans="1:19" x14ac:dyDescent="0.3">
      <c r="A2465">
        <v>2141</v>
      </c>
      <c r="B2465">
        <f>YEAR(Cleaned_HR_Data_Analysis__2[[#This Row],[Joining_Date]])</f>
        <v>2018</v>
      </c>
      <c r="C2465" s="1">
        <v>43372</v>
      </c>
      <c r="D2465" s="1" t="str" cm="1">
        <f t="array" ref="D2465">_xlfn.IFS(E2465&lt;28, "17-27",
AND(E2465&gt;27, E2465&lt;38), "28-37",
AND(E2465&gt;37, E2465 &lt;48), "38-47",
AND(E2465&gt;47, E2465 &lt;58), "48-57",
AND(E2465&gt;57, E2465&lt;68), "58-67",
AND(E2465&gt;67, E2465&lt;78), "68-77",
E2465&gt;77,"Above than 77")</f>
        <v>68-77</v>
      </c>
      <c r="E2465">
        <v>72</v>
      </c>
      <c r="F2465" s="1">
        <v>17008</v>
      </c>
      <c r="G2465" s="1" t="str">
        <f>VLOOKUP(H2465,Table7[#All], 2, FALSE)</f>
        <v>Massachusetts</v>
      </c>
      <c r="H2465" s="2" t="s">
        <v>14</v>
      </c>
      <c r="I2465" s="2" t="s">
        <v>15</v>
      </c>
      <c r="J2465" s="2" t="s">
        <v>34</v>
      </c>
      <c r="K2465" s="2" t="s">
        <v>64</v>
      </c>
      <c r="L2465" s="2" t="s">
        <v>9</v>
      </c>
      <c r="M2465" s="2" t="s">
        <v>10</v>
      </c>
      <c r="N2465" s="2" t="s">
        <v>11</v>
      </c>
      <c r="O2465" s="2" t="s">
        <v>12</v>
      </c>
      <c r="P2465" s="2" t="s">
        <v>21</v>
      </c>
      <c r="Q2465" s="2" t="s">
        <v>23</v>
      </c>
      <c r="R2465" s="2" t="s">
        <v>41</v>
      </c>
      <c r="S2465">
        <v>3</v>
      </c>
    </row>
    <row r="2466" spans="1:19" x14ac:dyDescent="0.3">
      <c r="A2466">
        <v>2093</v>
      </c>
      <c r="B2466">
        <f>YEAR(Cleaned_HR_Data_Analysis__2[[#This Row],[Joining_Date]])</f>
        <v>2020</v>
      </c>
      <c r="C2466" s="1">
        <v>44082</v>
      </c>
      <c r="D2466" s="1" t="str" cm="1">
        <f t="array" ref="D2466">_xlfn.IFS(E2466&lt;28, "17-27",
AND(E2466&gt;27, E2466&lt;38), "28-37",
AND(E2466&gt;37, E2466 &lt;48), "38-47",
AND(E2466&gt;47, E2466 &lt;58), "48-57",
AND(E2466&gt;57, E2466&lt;68), "58-67",
AND(E2466&gt;67, E2466&lt;78), "68-77",
E2466&gt;77,"Above than 77")</f>
        <v>68-77</v>
      </c>
      <c r="E2466">
        <v>72</v>
      </c>
      <c r="F2466" s="1">
        <v>17659</v>
      </c>
      <c r="G2466" s="1" t="str">
        <f>VLOOKUP(H2466,Table7[#All], 2, FALSE)</f>
        <v>Massachusetts</v>
      </c>
      <c r="H2466" s="2" t="s">
        <v>14</v>
      </c>
      <c r="I2466" s="2" t="s">
        <v>15</v>
      </c>
      <c r="J2466" s="2" t="s">
        <v>34</v>
      </c>
      <c r="K2466" s="2" t="s">
        <v>64</v>
      </c>
      <c r="L2466" s="2" t="s">
        <v>9</v>
      </c>
      <c r="M2466" s="2" t="s">
        <v>10</v>
      </c>
      <c r="N2466" s="2" t="s">
        <v>19</v>
      </c>
      <c r="O2466" s="2" t="s">
        <v>12</v>
      </c>
      <c r="P2466" s="2" t="s">
        <v>32</v>
      </c>
      <c r="Q2466" s="2" t="s">
        <v>23</v>
      </c>
      <c r="R2466" s="2" t="s">
        <v>18</v>
      </c>
      <c r="S2466">
        <v>3</v>
      </c>
    </row>
    <row r="2467" spans="1:19" x14ac:dyDescent="0.3">
      <c r="A2467">
        <v>2046</v>
      </c>
      <c r="B2467">
        <f>YEAR(Cleaned_HR_Data_Analysis__2[[#This Row],[Joining_Date]])</f>
        <v>2020</v>
      </c>
      <c r="C2467" s="1">
        <v>43973</v>
      </c>
      <c r="D2467" s="1" t="str" cm="1">
        <f t="array" ref="D2467">_xlfn.IFS(E2467&lt;28, "17-27",
AND(E2467&gt;27, E2467&lt;38), "28-37",
AND(E2467&gt;37, E2467 &lt;48), "38-47",
AND(E2467&gt;47, E2467 &lt;58), "48-57",
AND(E2467&gt;57, E2467&lt;68), "58-67",
AND(E2467&gt;67, E2467&lt;78), "68-77",
E2467&gt;77,"Above than 77")</f>
        <v>68-77</v>
      </c>
      <c r="E2467">
        <v>72</v>
      </c>
      <c r="F2467" s="1">
        <v>17832</v>
      </c>
      <c r="G2467" s="1" t="str">
        <f>VLOOKUP(H2467,Table7[#All], 2, FALSE)</f>
        <v>Massachusetts</v>
      </c>
      <c r="H2467" s="2" t="s">
        <v>14</v>
      </c>
      <c r="I2467" s="2" t="s">
        <v>15</v>
      </c>
      <c r="J2467" s="2" t="s">
        <v>17</v>
      </c>
      <c r="K2467" s="2" t="s">
        <v>64</v>
      </c>
      <c r="L2467" s="2" t="s">
        <v>9</v>
      </c>
      <c r="M2467" s="2" t="s">
        <v>20</v>
      </c>
      <c r="N2467" s="2" t="s">
        <v>11</v>
      </c>
      <c r="O2467" s="2" t="s">
        <v>12</v>
      </c>
      <c r="P2467" s="2" t="s">
        <v>54</v>
      </c>
      <c r="Q2467" s="2" t="s">
        <v>46</v>
      </c>
      <c r="R2467" s="2" t="s">
        <v>18</v>
      </c>
      <c r="S2467">
        <v>2</v>
      </c>
    </row>
    <row r="2468" spans="1:19" x14ac:dyDescent="0.3">
      <c r="A2468">
        <v>1962</v>
      </c>
      <c r="B2468">
        <f>YEAR(Cleaned_HR_Data_Analysis__2[[#This Row],[Joining_Date]])</f>
        <v>2023</v>
      </c>
      <c r="C2468" s="1">
        <v>45102</v>
      </c>
      <c r="D2468" s="1" t="str" cm="1">
        <f t="array" ref="D2468">_xlfn.IFS(E2468&lt;28, "17-27",
AND(E2468&gt;27, E2468&lt;38), "28-37",
AND(E2468&gt;37, E2468 &lt;48), "38-47",
AND(E2468&gt;47, E2468 &lt;58), "48-57",
AND(E2468&gt;57, E2468&lt;68), "58-67",
AND(E2468&gt;67, E2468&lt;78), "68-77",
E2468&gt;77,"Above than 77")</f>
        <v>68-77</v>
      </c>
      <c r="E2468">
        <v>72</v>
      </c>
      <c r="F2468" s="1">
        <v>18677</v>
      </c>
      <c r="G2468" s="1" t="str">
        <f>VLOOKUP(H2468,Table7[#All], 2, FALSE)</f>
        <v>Massachusetts</v>
      </c>
      <c r="H2468" s="2" t="s">
        <v>14</v>
      </c>
      <c r="I2468" s="2" t="s">
        <v>15</v>
      </c>
      <c r="J2468" s="2" t="s">
        <v>40</v>
      </c>
      <c r="K2468" s="2" t="s">
        <v>64</v>
      </c>
      <c r="L2468" s="2" t="s">
        <v>9</v>
      </c>
      <c r="M2468" s="2" t="s">
        <v>10</v>
      </c>
      <c r="N2468" s="2" t="s">
        <v>11</v>
      </c>
      <c r="O2468" s="2" t="s">
        <v>12</v>
      </c>
      <c r="P2468" s="2" t="s">
        <v>32</v>
      </c>
      <c r="Q2468" s="2" t="s">
        <v>30</v>
      </c>
      <c r="R2468" s="2" t="s">
        <v>18</v>
      </c>
      <c r="S2468">
        <v>4</v>
      </c>
    </row>
    <row r="2469" spans="1:19" x14ac:dyDescent="0.3">
      <c r="A2469">
        <v>1896</v>
      </c>
      <c r="B2469">
        <f>YEAR(Cleaned_HR_Data_Analysis__2[[#This Row],[Joining_Date]])</f>
        <v>2023</v>
      </c>
      <c r="C2469" s="1">
        <v>44998</v>
      </c>
      <c r="D2469" s="1" t="str" cm="1">
        <f t="array" ref="D2469">_xlfn.IFS(E2469&lt;28, "17-27",
AND(E2469&gt;27, E2469&lt;38), "28-37",
AND(E2469&gt;37, E2469 &lt;48), "38-47",
AND(E2469&gt;47, E2469 &lt;58), "48-57",
AND(E2469&gt;57, E2469&lt;68), "58-67",
AND(E2469&gt;67, E2469&lt;78), "68-77",
E2469&gt;77,"Above than 77")</f>
        <v>68-77</v>
      </c>
      <c r="E2469">
        <v>72</v>
      </c>
      <c r="F2469" s="1">
        <v>18950</v>
      </c>
      <c r="G2469" s="1" t="str">
        <f>VLOOKUP(H2469,Table7[#All], 2, FALSE)</f>
        <v>Massachusetts</v>
      </c>
      <c r="H2469" s="2" t="s">
        <v>14</v>
      </c>
      <c r="I2469" s="2" t="s">
        <v>15</v>
      </c>
      <c r="J2469" s="2" t="s">
        <v>34</v>
      </c>
      <c r="K2469" s="2" t="s">
        <v>64</v>
      </c>
      <c r="L2469" s="2" t="s">
        <v>9</v>
      </c>
      <c r="M2469" s="2" t="s">
        <v>25</v>
      </c>
      <c r="N2469" s="2" t="s">
        <v>19</v>
      </c>
      <c r="O2469" s="2" t="s">
        <v>12</v>
      </c>
      <c r="P2469" s="2" t="s">
        <v>42</v>
      </c>
      <c r="Q2469" s="2" t="s">
        <v>23</v>
      </c>
      <c r="R2469" s="2" t="s">
        <v>18</v>
      </c>
      <c r="S2469">
        <v>1</v>
      </c>
    </row>
    <row r="2470" spans="1:19" x14ac:dyDescent="0.3">
      <c r="A2470">
        <v>1581</v>
      </c>
      <c r="B2470">
        <f>YEAR(Cleaned_HR_Data_Analysis__2[[#This Row],[Joining_Date]])</f>
        <v>2022</v>
      </c>
      <c r="C2470" s="1">
        <v>44778</v>
      </c>
      <c r="D2470" s="1" t="str" cm="1">
        <f t="array" ref="D2470">_xlfn.IFS(E2470&lt;28, "17-27",
AND(E2470&gt;27, E2470&lt;38), "28-37",
AND(E2470&gt;37, E2470 &lt;48), "38-47",
AND(E2470&gt;47, E2470 &lt;58), "48-57",
AND(E2470&gt;57, E2470&lt;68), "58-67",
AND(E2470&gt;67, E2470&lt;78), "68-77",
E2470&gt;77,"Above than 77")</f>
        <v>68-77</v>
      </c>
      <c r="E2470">
        <v>72</v>
      </c>
      <c r="F2470" s="1">
        <v>18468</v>
      </c>
      <c r="G2470" s="1" t="str">
        <f>VLOOKUP(H2470,Table7[#All], 2, FALSE)</f>
        <v>Massachusetts</v>
      </c>
      <c r="H2470" s="2" t="s">
        <v>14</v>
      </c>
      <c r="I2470" s="2" t="s">
        <v>22</v>
      </c>
      <c r="J2470" s="2" t="s">
        <v>31</v>
      </c>
      <c r="K2470" s="2" t="s">
        <v>64</v>
      </c>
      <c r="L2470" s="2" t="s">
        <v>66</v>
      </c>
      <c r="M2470" s="2" t="s">
        <v>25</v>
      </c>
      <c r="N2470" s="2" t="s">
        <v>11</v>
      </c>
      <c r="O2470" s="2" t="s">
        <v>12</v>
      </c>
      <c r="P2470" s="2" t="s">
        <v>32</v>
      </c>
      <c r="Q2470" s="2" t="s">
        <v>46</v>
      </c>
      <c r="R2470" s="2" t="s">
        <v>18</v>
      </c>
      <c r="S2470">
        <v>3</v>
      </c>
    </row>
    <row r="2471" spans="1:19" x14ac:dyDescent="0.3">
      <c r="A2471">
        <v>1236</v>
      </c>
      <c r="B2471">
        <f>YEAR(Cleaned_HR_Data_Analysis__2[[#This Row],[Joining_Date]])</f>
        <v>2018</v>
      </c>
      <c r="C2471" s="1">
        <v>43429</v>
      </c>
      <c r="D2471" s="1" t="str" cm="1">
        <f t="array" ref="D2471">_xlfn.IFS(E2471&lt;28, "17-27",
AND(E2471&gt;27, E2471&lt;38), "28-37",
AND(E2471&gt;37, E2471 &lt;48), "38-47",
AND(E2471&gt;47, E2471 &lt;58), "48-57",
AND(E2471&gt;57, E2471&lt;68), "58-67",
AND(E2471&gt;67, E2471&lt;78), "68-77",
E2471&gt;77,"Above than 77")</f>
        <v>68-77</v>
      </c>
      <c r="E2471">
        <v>72</v>
      </c>
      <c r="F2471" s="1">
        <v>17147</v>
      </c>
      <c r="G2471" s="1" t="str">
        <f>VLOOKUP(H2471,Table7[#All], 2, FALSE)</f>
        <v>Massachusetts</v>
      </c>
      <c r="H2471" s="2" t="s">
        <v>14</v>
      </c>
      <c r="I2471" s="2" t="s">
        <v>15</v>
      </c>
      <c r="J2471" s="2" t="s">
        <v>34</v>
      </c>
      <c r="K2471" s="2" t="s">
        <v>64</v>
      </c>
      <c r="L2471" s="2" t="s">
        <v>66</v>
      </c>
      <c r="M2471" s="2" t="s">
        <v>20</v>
      </c>
      <c r="N2471" s="2" t="s">
        <v>26</v>
      </c>
      <c r="O2471" s="2" t="s">
        <v>12</v>
      </c>
      <c r="P2471" s="2" t="s">
        <v>35</v>
      </c>
      <c r="Q2471" s="2" t="s">
        <v>16</v>
      </c>
      <c r="R2471" s="2" t="s">
        <v>18</v>
      </c>
      <c r="S2471">
        <v>4</v>
      </c>
    </row>
    <row r="2472" spans="1:19" x14ac:dyDescent="0.3">
      <c r="A2472">
        <v>1234</v>
      </c>
      <c r="B2472">
        <f>YEAR(Cleaned_HR_Data_Analysis__2[[#This Row],[Joining_Date]])</f>
        <v>2019</v>
      </c>
      <c r="C2472" s="1">
        <v>43756</v>
      </c>
      <c r="D2472" s="1" t="str" cm="1">
        <f t="array" ref="D2472">_xlfn.IFS(E2472&lt;28, "17-27",
AND(E2472&gt;27, E2472&lt;38), "28-37",
AND(E2472&gt;37, E2472 &lt;48), "38-47",
AND(E2472&gt;47, E2472 &lt;58), "48-57",
AND(E2472&gt;57, E2472&lt;68), "58-67",
AND(E2472&gt;67, E2472&lt;78), "68-77",
E2472&gt;77,"Above than 77")</f>
        <v>68-77</v>
      </c>
      <c r="E2472">
        <v>72</v>
      </c>
      <c r="F2472" s="1">
        <v>17337</v>
      </c>
      <c r="G2472" s="1" t="str">
        <f>VLOOKUP(H2472,Table7[#All], 2, FALSE)</f>
        <v>Massachusetts</v>
      </c>
      <c r="H2472" s="2" t="s">
        <v>14</v>
      </c>
      <c r="I2472" s="2" t="s">
        <v>15</v>
      </c>
      <c r="J2472" s="2" t="s">
        <v>40</v>
      </c>
      <c r="K2472" s="2" t="s">
        <v>64</v>
      </c>
      <c r="L2472" s="2" t="s">
        <v>66</v>
      </c>
      <c r="M2472" s="2" t="s">
        <v>25</v>
      </c>
      <c r="N2472" s="2" t="s">
        <v>19</v>
      </c>
      <c r="O2472" s="2" t="s">
        <v>12</v>
      </c>
      <c r="P2472" s="2" t="s">
        <v>76</v>
      </c>
      <c r="Q2472" s="2" t="s">
        <v>37</v>
      </c>
      <c r="R2472" s="2" t="s">
        <v>18</v>
      </c>
      <c r="S2472">
        <v>1</v>
      </c>
    </row>
    <row r="2473" spans="1:19" x14ac:dyDescent="0.3">
      <c r="A2473">
        <v>1170</v>
      </c>
      <c r="B2473">
        <f>YEAR(Cleaned_HR_Data_Analysis__2[[#This Row],[Joining_Date]])</f>
        <v>2023</v>
      </c>
      <c r="C2473" s="1">
        <v>45123</v>
      </c>
      <c r="D2473" s="1" t="str" cm="1">
        <f t="array" ref="D2473">_xlfn.IFS(E2473&lt;28, "17-27",
AND(E2473&gt;27, E2473&lt;38), "28-37",
AND(E2473&gt;37, E2473 &lt;48), "38-47",
AND(E2473&gt;47, E2473 &lt;58), "48-57",
AND(E2473&gt;57, E2473&lt;68), "58-67",
AND(E2473&gt;67, E2473&lt;78), "68-77",
E2473&gt;77,"Above than 77")</f>
        <v>68-77</v>
      </c>
      <c r="E2473">
        <v>72</v>
      </c>
      <c r="F2473" s="1">
        <v>18827</v>
      </c>
      <c r="G2473" s="1" t="str">
        <f>VLOOKUP(H2473,Table7[#All], 2, FALSE)</f>
        <v>Massachusetts</v>
      </c>
      <c r="H2473" s="2" t="s">
        <v>14</v>
      </c>
      <c r="I2473" s="2" t="s">
        <v>15</v>
      </c>
      <c r="J2473" s="2" t="s">
        <v>31</v>
      </c>
      <c r="K2473" s="2" t="s">
        <v>64</v>
      </c>
      <c r="L2473" s="2" t="s">
        <v>9</v>
      </c>
      <c r="M2473" s="2" t="s">
        <v>20</v>
      </c>
      <c r="N2473" s="2" t="s">
        <v>11</v>
      </c>
      <c r="O2473" s="2" t="s">
        <v>12</v>
      </c>
      <c r="P2473" s="2" t="s">
        <v>69</v>
      </c>
      <c r="Q2473" s="2" t="s">
        <v>37</v>
      </c>
      <c r="R2473" s="2" t="s">
        <v>18</v>
      </c>
      <c r="S2473">
        <v>5</v>
      </c>
    </row>
    <row r="2474" spans="1:19" x14ac:dyDescent="0.3">
      <c r="A2474">
        <v>1168</v>
      </c>
      <c r="B2474">
        <f>YEAR(Cleaned_HR_Data_Analysis__2[[#This Row],[Joining_Date]])</f>
        <v>2023</v>
      </c>
      <c r="C2474" s="1">
        <v>44945</v>
      </c>
      <c r="D2474" s="1" t="str" cm="1">
        <f t="array" ref="D2474">_xlfn.IFS(E2474&lt;28, "17-27",
AND(E2474&gt;27, E2474&lt;38), "28-37",
AND(E2474&gt;37, E2474 &lt;48), "38-47",
AND(E2474&gt;47, E2474 &lt;58), "48-57",
AND(E2474&gt;57, E2474&lt;68), "58-67",
AND(E2474&gt;67, E2474&lt;78), "68-77",
E2474&gt;77,"Above than 77")</f>
        <v>68-77</v>
      </c>
      <c r="E2474">
        <v>72</v>
      </c>
      <c r="F2474" s="1">
        <v>18638</v>
      </c>
      <c r="G2474" s="1" t="str">
        <f>VLOOKUP(H2474,Table7[#All], 2, FALSE)</f>
        <v>Massachusetts</v>
      </c>
      <c r="H2474" s="2" t="s">
        <v>14</v>
      </c>
      <c r="I2474" s="2" t="s">
        <v>15</v>
      </c>
      <c r="J2474" s="2" t="s">
        <v>34</v>
      </c>
      <c r="K2474" s="2" t="s">
        <v>64</v>
      </c>
      <c r="L2474" s="2" t="s">
        <v>9</v>
      </c>
      <c r="M2474" s="2" t="s">
        <v>10</v>
      </c>
      <c r="N2474" s="2" t="s">
        <v>19</v>
      </c>
      <c r="O2474" s="2" t="s">
        <v>12</v>
      </c>
      <c r="P2474" s="2" t="s">
        <v>35</v>
      </c>
      <c r="Q2474" s="2" t="s">
        <v>16</v>
      </c>
      <c r="R2474" s="2" t="s">
        <v>18</v>
      </c>
      <c r="S2474">
        <v>2</v>
      </c>
    </row>
    <row r="2475" spans="1:19" x14ac:dyDescent="0.3">
      <c r="A2475">
        <v>1145</v>
      </c>
      <c r="B2475">
        <f>YEAR(Cleaned_HR_Data_Analysis__2[[#This Row],[Joining_Date]])</f>
        <v>2020</v>
      </c>
      <c r="C2475" s="1">
        <v>44098</v>
      </c>
      <c r="D2475" s="1" t="str" cm="1">
        <f t="array" ref="D2475">_xlfn.IFS(E2475&lt;28, "17-27",
AND(E2475&gt;27, E2475&lt;38), "28-37",
AND(E2475&gt;37, E2475 &lt;48), "38-47",
AND(E2475&gt;47, E2475 &lt;58), "48-57",
AND(E2475&gt;57, E2475&lt;68), "58-67",
AND(E2475&gt;67, E2475&lt;78), "68-77",
E2475&gt;77,"Above than 77")</f>
        <v>68-77</v>
      </c>
      <c r="E2475">
        <v>72</v>
      </c>
      <c r="F2475" s="1">
        <v>17596</v>
      </c>
      <c r="G2475" s="1" t="str">
        <f>VLOOKUP(H2475,Table7[#All], 2, FALSE)</f>
        <v>Massachusetts</v>
      </c>
      <c r="H2475" s="2" t="s">
        <v>14</v>
      </c>
      <c r="I2475" s="2" t="s">
        <v>22</v>
      </c>
      <c r="J2475" s="2" t="s">
        <v>34</v>
      </c>
      <c r="K2475" s="2" t="s">
        <v>64</v>
      </c>
      <c r="L2475" s="2" t="s">
        <v>9</v>
      </c>
      <c r="M2475" s="2" t="s">
        <v>10</v>
      </c>
      <c r="N2475" s="2" t="s">
        <v>26</v>
      </c>
      <c r="O2475" s="2" t="s">
        <v>12</v>
      </c>
      <c r="P2475" s="2" t="s">
        <v>58</v>
      </c>
      <c r="Q2475" s="2" t="s">
        <v>23</v>
      </c>
      <c r="R2475" s="2" t="s">
        <v>18</v>
      </c>
      <c r="S2475">
        <v>3</v>
      </c>
    </row>
    <row r="2476" spans="1:19" x14ac:dyDescent="0.3">
      <c r="A2476">
        <v>3737</v>
      </c>
      <c r="B2476">
        <f>YEAR(Cleaned_HR_Data_Analysis__2[[#This Row],[Joining_Date]])</f>
        <v>2018</v>
      </c>
      <c r="C2476" s="1">
        <v>43423</v>
      </c>
      <c r="D2476" s="1" t="str" cm="1">
        <f t="array" ref="D2476">_xlfn.IFS(E2476&lt;28, "17-27",
AND(E2476&gt;27, E2476&lt;38), "28-37",
AND(E2476&gt;37, E2476 &lt;48), "38-47",
AND(E2476&gt;47, E2476 &lt;58), "48-57",
AND(E2476&gt;57, E2476&lt;68), "58-67",
AND(E2476&gt;67, E2476&lt;78), "68-77",
E2476&gt;77,"Above than 77")</f>
        <v>68-77</v>
      </c>
      <c r="E2476">
        <v>72</v>
      </c>
      <c r="F2476" s="1">
        <v>17147</v>
      </c>
      <c r="G2476" s="1" t="str">
        <f>VLOOKUP(H2476,Table7[#All], 2, FALSE)</f>
        <v>Massachusetts</v>
      </c>
      <c r="H2476" s="2" t="s">
        <v>14</v>
      </c>
      <c r="I2476" s="2" t="s">
        <v>22</v>
      </c>
      <c r="J2476" s="2" t="s">
        <v>40</v>
      </c>
      <c r="K2476" s="2" t="s">
        <v>8</v>
      </c>
      <c r="L2476" s="2" t="s">
        <v>9</v>
      </c>
      <c r="M2476" s="2" t="s">
        <v>20</v>
      </c>
      <c r="N2476" s="2" t="s">
        <v>26</v>
      </c>
      <c r="O2476" s="2" t="s">
        <v>12</v>
      </c>
      <c r="P2476" s="2" t="s">
        <v>62</v>
      </c>
      <c r="Q2476" s="2" t="s">
        <v>23</v>
      </c>
      <c r="R2476" s="2" t="s">
        <v>18</v>
      </c>
      <c r="S2476">
        <v>5</v>
      </c>
    </row>
    <row r="2477" spans="1:19" x14ac:dyDescent="0.3">
      <c r="A2477">
        <v>3396</v>
      </c>
      <c r="B2477">
        <f>YEAR(Cleaned_HR_Data_Analysis__2[[#This Row],[Joining_Date]])</f>
        <v>2021</v>
      </c>
      <c r="C2477" s="1">
        <v>44291</v>
      </c>
      <c r="D2477" s="1" t="str" cm="1">
        <f t="array" ref="D2477">_xlfn.IFS(E2477&lt;28, "17-27",
AND(E2477&gt;27, E2477&lt;38), "28-37",
AND(E2477&gt;37, E2477 &lt;48), "38-47",
AND(E2477&gt;47, E2477 &lt;58), "48-57",
AND(E2477&gt;57, E2477&lt;68), "58-67",
AND(E2477&gt;67, E2477&lt;78), "68-77",
E2477&gt;77,"Above than 77")</f>
        <v>68-77</v>
      </c>
      <c r="E2477">
        <v>72</v>
      </c>
      <c r="F2477" s="1">
        <v>18232</v>
      </c>
      <c r="G2477" s="1" t="str">
        <f>VLOOKUP(H2477,Table7[#All], 2, FALSE)</f>
        <v>Massachusetts</v>
      </c>
      <c r="H2477" s="2" t="s">
        <v>14</v>
      </c>
      <c r="I2477" s="2" t="s">
        <v>15</v>
      </c>
      <c r="J2477" s="2" t="s">
        <v>34</v>
      </c>
      <c r="K2477" s="2" t="s">
        <v>8</v>
      </c>
      <c r="L2477" s="2" t="s">
        <v>66</v>
      </c>
      <c r="M2477" s="2" t="s">
        <v>20</v>
      </c>
      <c r="N2477" s="2" t="s">
        <v>26</v>
      </c>
      <c r="O2477" s="2" t="s">
        <v>12</v>
      </c>
      <c r="P2477" s="2" t="s">
        <v>32</v>
      </c>
      <c r="Q2477" s="2" t="s">
        <v>46</v>
      </c>
      <c r="R2477" s="2" t="s">
        <v>18</v>
      </c>
      <c r="S2477">
        <v>3</v>
      </c>
    </row>
    <row r="2478" spans="1:19" x14ac:dyDescent="0.3">
      <c r="A2478">
        <v>3394</v>
      </c>
      <c r="B2478">
        <f>YEAR(Cleaned_HR_Data_Analysis__2[[#This Row],[Joining_Date]])</f>
        <v>2021</v>
      </c>
      <c r="C2478" s="1">
        <v>44340</v>
      </c>
      <c r="D2478" s="1" t="str" cm="1">
        <f t="array" ref="D2478">_xlfn.IFS(E2478&lt;28, "17-27",
AND(E2478&gt;27, E2478&lt;38), "28-37",
AND(E2478&gt;37, E2478 &lt;48), "38-47",
AND(E2478&gt;47, E2478 &lt;58), "48-57",
AND(E2478&gt;57, E2478&lt;68), "58-67",
AND(E2478&gt;67, E2478&lt;78), "68-77",
E2478&gt;77,"Above than 77")</f>
        <v>68-77</v>
      </c>
      <c r="E2478">
        <v>72</v>
      </c>
      <c r="F2478" s="1">
        <v>18052</v>
      </c>
      <c r="G2478" s="1" t="str">
        <f>VLOOKUP(H2478,Table7[#All], 2, FALSE)</f>
        <v>Massachusetts</v>
      </c>
      <c r="H2478" s="2" t="s">
        <v>14</v>
      </c>
      <c r="I2478" s="2" t="s">
        <v>22</v>
      </c>
      <c r="J2478" s="2" t="s">
        <v>40</v>
      </c>
      <c r="K2478" s="2" t="s">
        <v>8</v>
      </c>
      <c r="L2478" s="2" t="s">
        <v>9</v>
      </c>
      <c r="M2478" s="2" t="s">
        <v>10</v>
      </c>
      <c r="N2478" s="2" t="s">
        <v>26</v>
      </c>
      <c r="O2478" s="2" t="s">
        <v>12</v>
      </c>
      <c r="P2478" s="2" t="s">
        <v>35</v>
      </c>
      <c r="Q2478" s="2" t="s">
        <v>37</v>
      </c>
      <c r="R2478" s="2" t="s">
        <v>18</v>
      </c>
      <c r="S2478">
        <v>5</v>
      </c>
    </row>
    <row r="2479" spans="1:19" x14ac:dyDescent="0.3">
      <c r="A2479">
        <v>3312</v>
      </c>
      <c r="B2479">
        <f>YEAR(Cleaned_HR_Data_Analysis__2[[#This Row],[Joining_Date]])</f>
        <v>2018</v>
      </c>
      <c r="C2479" s="1">
        <v>43435</v>
      </c>
      <c r="D2479" s="1" t="str" cm="1">
        <f t="array" ref="D2479">_xlfn.IFS(E2479&lt;28, "17-27",
AND(E2479&gt;27, E2479&lt;38), "28-37",
AND(E2479&gt;37, E2479 &lt;48), "38-47",
AND(E2479&gt;47, E2479 &lt;58), "48-57",
AND(E2479&gt;57, E2479&lt;68), "58-67",
AND(E2479&gt;67, E2479&lt;78), "68-77",
E2479&gt;77,"Above than 77")</f>
        <v>68-77</v>
      </c>
      <c r="E2479">
        <v>72</v>
      </c>
      <c r="F2479" s="1">
        <v>16922</v>
      </c>
      <c r="G2479" s="1" t="str">
        <f>VLOOKUP(H2479,Table7[#All], 2, FALSE)</f>
        <v>Massachusetts</v>
      </c>
      <c r="H2479" s="2" t="s">
        <v>14</v>
      </c>
      <c r="I2479" s="2" t="s">
        <v>22</v>
      </c>
      <c r="J2479" s="2" t="s">
        <v>34</v>
      </c>
      <c r="K2479" s="2" t="s">
        <v>8</v>
      </c>
      <c r="L2479" s="2" t="s">
        <v>9</v>
      </c>
      <c r="M2479" s="2" t="s">
        <v>20</v>
      </c>
      <c r="N2479" s="2" t="s">
        <v>11</v>
      </c>
      <c r="O2479" s="2" t="s">
        <v>12</v>
      </c>
      <c r="P2479" s="2" t="s">
        <v>42</v>
      </c>
      <c r="Q2479" s="2" t="s">
        <v>23</v>
      </c>
      <c r="R2479" s="2" t="s">
        <v>18</v>
      </c>
      <c r="S2479">
        <v>1</v>
      </c>
    </row>
    <row r="2480" spans="1:19" x14ac:dyDescent="0.3">
      <c r="A2480">
        <v>3142</v>
      </c>
      <c r="B2480">
        <f>YEAR(Cleaned_HR_Data_Analysis__2[[#This Row],[Joining_Date]])</f>
        <v>2021</v>
      </c>
      <c r="C2480" s="1">
        <v>44237</v>
      </c>
      <c r="D2480" s="1" t="str" cm="1">
        <f t="array" ref="D2480">_xlfn.IFS(E2480&lt;28, "17-27",
AND(E2480&gt;27, E2480&lt;38), "28-37",
AND(E2480&gt;37, E2480 &lt;48), "38-47",
AND(E2480&gt;47, E2480 &lt;58), "48-57",
AND(E2480&gt;57, E2480&lt;68), "58-67",
AND(E2480&gt;67, E2480&lt;78), "68-77",
E2480&gt;77,"Above than 77")</f>
        <v>68-77</v>
      </c>
      <c r="E2480">
        <v>72</v>
      </c>
      <c r="F2480" s="1">
        <v>18099</v>
      </c>
      <c r="G2480" s="1" t="str">
        <f>VLOOKUP(H2480,Table7[#All], 2, FALSE)</f>
        <v>Massachusetts</v>
      </c>
      <c r="H2480" s="2" t="s">
        <v>14</v>
      </c>
      <c r="I2480" s="2" t="s">
        <v>15</v>
      </c>
      <c r="J2480" s="2" t="s">
        <v>31</v>
      </c>
      <c r="K2480" s="2" t="s">
        <v>8</v>
      </c>
      <c r="L2480" s="2" t="s">
        <v>9</v>
      </c>
      <c r="M2480" s="2" t="s">
        <v>25</v>
      </c>
      <c r="N2480" s="2" t="s">
        <v>26</v>
      </c>
      <c r="O2480" s="2" t="s">
        <v>12</v>
      </c>
      <c r="P2480" s="2" t="s">
        <v>32</v>
      </c>
      <c r="Q2480" s="2" t="s">
        <v>16</v>
      </c>
      <c r="R2480" s="2" t="s">
        <v>18</v>
      </c>
      <c r="S2480">
        <v>5</v>
      </c>
    </row>
    <row r="2481" spans="1:19" x14ac:dyDescent="0.3">
      <c r="A2481">
        <v>2933</v>
      </c>
      <c r="B2481">
        <f>YEAR(Cleaned_HR_Data_Analysis__2[[#This Row],[Joining_Date]])</f>
        <v>2021</v>
      </c>
      <c r="C2481" s="1">
        <v>44273</v>
      </c>
      <c r="D2481" s="1" t="str" cm="1">
        <f t="array" ref="D2481">_xlfn.IFS(E2481&lt;28, "17-27",
AND(E2481&gt;27, E2481&lt;38), "28-37",
AND(E2481&gt;37, E2481 &lt;48), "38-47",
AND(E2481&gt;47, E2481 &lt;58), "48-57",
AND(E2481&gt;57, E2481&lt;68), "58-67",
AND(E2481&gt;67, E2481&lt;78), "68-77",
E2481&gt;77,"Above than 77")</f>
        <v>68-77</v>
      </c>
      <c r="E2481">
        <v>72</v>
      </c>
      <c r="F2481" s="1">
        <v>17970</v>
      </c>
      <c r="G2481" s="1" t="str">
        <f>VLOOKUP(H2481,Table7[#All], 2, FALSE)</f>
        <v>Massachusetts</v>
      </c>
      <c r="H2481" s="2" t="s">
        <v>14</v>
      </c>
      <c r="I2481" s="2" t="s">
        <v>22</v>
      </c>
      <c r="J2481" s="2" t="s">
        <v>31</v>
      </c>
      <c r="K2481" s="2" t="s">
        <v>8</v>
      </c>
      <c r="L2481" s="2" t="s">
        <v>9</v>
      </c>
      <c r="M2481" s="2" t="s">
        <v>25</v>
      </c>
      <c r="N2481" s="2" t="s">
        <v>19</v>
      </c>
      <c r="O2481" s="2" t="s">
        <v>12</v>
      </c>
      <c r="P2481" s="2" t="s">
        <v>59</v>
      </c>
      <c r="Q2481" s="2" t="s">
        <v>16</v>
      </c>
      <c r="R2481" s="2" t="s">
        <v>56</v>
      </c>
      <c r="S2481">
        <v>1</v>
      </c>
    </row>
    <row r="2482" spans="1:19" x14ac:dyDescent="0.3">
      <c r="A2482">
        <v>2758</v>
      </c>
      <c r="B2482">
        <f>YEAR(Cleaned_HR_Data_Analysis__2[[#This Row],[Joining_Date]])</f>
        <v>2018</v>
      </c>
      <c r="C2482" s="1">
        <v>43454</v>
      </c>
      <c r="D2482" s="1" t="str" cm="1">
        <f t="array" ref="D2482">_xlfn.IFS(E2482&lt;28, "17-27",
AND(E2482&gt;27, E2482&lt;38), "28-37",
AND(E2482&gt;37, E2482 &lt;48), "38-47",
AND(E2482&gt;47, E2482 &lt;58), "48-57",
AND(E2482&gt;57, E2482&lt;68), "58-67",
AND(E2482&gt;67, E2482&lt;78), "68-77",
E2482&gt;77,"Above than 77")</f>
        <v>68-77</v>
      </c>
      <c r="E2482">
        <v>72</v>
      </c>
      <c r="F2482" s="1">
        <v>16845</v>
      </c>
      <c r="G2482" s="1" t="str">
        <f>VLOOKUP(H2482,Table7[#All], 2, FALSE)</f>
        <v>Massachusetts</v>
      </c>
      <c r="H2482" s="2" t="s">
        <v>14</v>
      </c>
      <c r="I2482" s="2" t="s">
        <v>22</v>
      </c>
      <c r="J2482" s="2" t="s">
        <v>40</v>
      </c>
      <c r="K2482" s="2" t="s">
        <v>8</v>
      </c>
      <c r="L2482" s="2" t="s">
        <v>66</v>
      </c>
      <c r="M2482" s="2" t="s">
        <v>20</v>
      </c>
      <c r="N2482" s="2" t="s">
        <v>19</v>
      </c>
      <c r="O2482" s="2" t="s">
        <v>12</v>
      </c>
      <c r="P2482" s="2" t="s">
        <v>59</v>
      </c>
      <c r="Q2482" s="2" t="s">
        <v>30</v>
      </c>
      <c r="R2482" s="2" t="s">
        <v>18</v>
      </c>
      <c r="S2482">
        <v>3</v>
      </c>
    </row>
    <row r="2483" spans="1:19" x14ac:dyDescent="0.3">
      <c r="A2483">
        <v>2148</v>
      </c>
      <c r="B2483">
        <f>YEAR(Cleaned_HR_Data_Analysis__2[[#This Row],[Joining_Date]])</f>
        <v>2021</v>
      </c>
      <c r="C2483" s="1">
        <v>44407</v>
      </c>
      <c r="D2483" s="1" t="str" cm="1">
        <f t="array" ref="D2483">_xlfn.IFS(E2483&lt;28, "17-27",
AND(E2483&gt;27, E2483&lt;38), "28-37",
AND(E2483&gt;37, E2483 &lt;48), "38-47",
AND(E2483&gt;47, E2483 &lt;58), "48-57",
AND(E2483&gt;57, E2483&lt;68), "58-67",
AND(E2483&gt;67, E2483&lt;78), "68-77",
E2483&gt;77,"Above than 77")</f>
        <v>68-77</v>
      </c>
      <c r="E2483">
        <v>72</v>
      </c>
      <c r="F2483" s="1">
        <v>18009</v>
      </c>
      <c r="G2483" s="1" t="str">
        <f>VLOOKUP(H2483,Table7[#All], 2, FALSE)</f>
        <v>Massachusetts</v>
      </c>
      <c r="H2483" s="2" t="s">
        <v>14</v>
      </c>
      <c r="I2483" s="2" t="s">
        <v>15</v>
      </c>
      <c r="J2483" s="2" t="s">
        <v>17</v>
      </c>
      <c r="K2483" s="2" t="s">
        <v>8</v>
      </c>
      <c r="L2483" s="2" t="s">
        <v>9</v>
      </c>
      <c r="M2483" s="2" t="s">
        <v>25</v>
      </c>
      <c r="N2483" s="2" t="s">
        <v>19</v>
      </c>
      <c r="O2483" s="2" t="s">
        <v>12</v>
      </c>
      <c r="P2483" s="2" t="s">
        <v>49</v>
      </c>
      <c r="Q2483" s="2" t="s">
        <v>37</v>
      </c>
      <c r="R2483" s="2" t="s">
        <v>41</v>
      </c>
      <c r="S2483">
        <v>1</v>
      </c>
    </row>
    <row r="2484" spans="1:19" x14ac:dyDescent="0.3">
      <c r="A2484">
        <v>2061</v>
      </c>
      <c r="B2484">
        <f>YEAR(Cleaned_HR_Data_Analysis__2[[#This Row],[Joining_Date]])</f>
        <v>2018</v>
      </c>
      <c r="C2484" s="1">
        <v>43446</v>
      </c>
      <c r="D2484" s="1" t="str" cm="1">
        <f t="array" ref="D2484">_xlfn.IFS(E2484&lt;28, "17-27",
AND(E2484&gt;27, E2484&lt;38), "28-37",
AND(E2484&gt;37, E2484 &lt;48), "38-47",
AND(E2484&gt;47, E2484 &lt;58), "48-57",
AND(E2484&gt;57, E2484&lt;68), "58-67",
AND(E2484&gt;67, E2484&lt;78), "68-77",
E2484&gt;77,"Above than 77")</f>
        <v>68-77</v>
      </c>
      <c r="E2484">
        <v>72</v>
      </c>
      <c r="F2484" s="1">
        <v>17020</v>
      </c>
      <c r="G2484" s="1" t="str">
        <f>VLOOKUP(H2484,Table7[#All], 2, FALSE)</f>
        <v>Massachusetts</v>
      </c>
      <c r="H2484" s="2" t="s">
        <v>14</v>
      </c>
      <c r="I2484" s="2" t="s">
        <v>15</v>
      </c>
      <c r="J2484" s="2" t="s">
        <v>34</v>
      </c>
      <c r="K2484" s="2" t="s">
        <v>8</v>
      </c>
      <c r="L2484" s="2" t="s">
        <v>9</v>
      </c>
      <c r="M2484" s="2" t="s">
        <v>25</v>
      </c>
      <c r="N2484" s="2" t="s">
        <v>19</v>
      </c>
      <c r="O2484" s="2" t="s">
        <v>12</v>
      </c>
      <c r="P2484" s="2" t="s">
        <v>42</v>
      </c>
      <c r="Q2484" s="2" t="s">
        <v>30</v>
      </c>
      <c r="R2484" s="2" t="s">
        <v>18</v>
      </c>
      <c r="S2484">
        <v>4</v>
      </c>
    </row>
    <row r="2485" spans="1:19" x14ac:dyDescent="0.3">
      <c r="A2485">
        <v>1984</v>
      </c>
      <c r="B2485">
        <f>YEAR(Cleaned_HR_Data_Analysis__2[[#This Row],[Joining_Date]])</f>
        <v>2020</v>
      </c>
      <c r="C2485" s="1">
        <v>44006</v>
      </c>
      <c r="D2485" s="1" t="str" cm="1">
        <f t="array" ref="D2485">_xlfn.IFS(E2485&lt;28, "17-27",
AND(E2485&gt;27, E2485&lt;38), "28-37",
AND(E2485&gt;37, E2485 &lt;48), "38-47",
AND(E2485&gt;47, E2485 &lt;58), "48-57",
AND(E2485&gt;57, E2485&lt;68), "58-67",
AND(E2485&gt;67, E2485&lt;78), "68-77",
E2485&gt;77,"Above than 77")</f>
        <v>68-77</v>
      </c>
      <c r="E2485">
        <v>72</v>
      </c>
      <c r="F2485" s="1">
        <v>17574</v>
      </c>
      <c r="G2485" s="1" t="str">
        <f>VLOOKUP(H2485,Table7[#All], 2, FALSE)</f>
        <v>Massachusetts</v>
      </c>
      <c r="H2485" s="2" t="s">
        <v>14</v>
      </c>
      <c r="I2485" s="2" t="s">
        <v>15</v>
      </c>
      <c r="J2485" s="2" t="s">
        <v>31</v>
      </c>
      <c r="K2485" s="2" t="s">
        <v>8</v>
      </c>
      <c r="L2485" s="2" t="s">
        <v>9</v>
      </c>
      <c r="M2485" s="2" t="s">
        <v>25</v>
      </c>
      <c r="N2485" s="2" t="s">
        <v>26</v>
      </c>
      <c r="O2485" s="2" t="s">
        <v>12</v>
      </c>
      <c r="P2485" s="2" t="s">
        <v>60</v>
      </c>
      <c r="Q2485" s="2" t="s">
        <v>37</v>
      </c>
      <c r="R2485" s="2" t="s">
        <v>18</v>
      </c>
      <c r="S2485">
        <v>2</v>
      </c>
    </row>
    <row r="2486" spans="1:19" x14ac:dyDescent="0.3">
      <c r="A2486">
        <v>1822</v>
      </c>
      <c r="B2486">
        <f>YEAR(Cleaned_HR_Data_Analysis__2[[#This Row],[Joining_Date]])</f>
        <v>2022</v>
      </c>
      <c r="C2486" s="1">
        <v>44646</v>
      </c>
      <c r="D2486" s="1" t="str" cm="1">
        <f t="array" ref="D2486">_xlfn.IFS(E2486&lt;28, "17-27",
AND(E2486&gt;27, E2486&lt;38), "28-37",
AND(E2486&gt;37, E2486 &lt;48), "38-47",
AND(E2486&gt;47, E2486 &lt;58), "48-57",
AND(E2486&gt;57, E2486&lt;68), "58-67",
AND(E2486&gt;67, E2486&lt;78), "68-77",
E2486&gt;77,"Above than 77")</f>
        <v>68-77</v>
      </c>
      <c r="E2486">
        <v>72</v>
      </c>
      <c r="F2486" s="1">
        <v>18621</v>
      </c>
      <c r="G2486" s="1" t="str">
        <f>VLOOKUP(H2486,Table7[#All], 2, FALSE)</f>
        <v>Massachusetts</v>
      </c>
      <c r="H2486" s="2" t="s">
        <v>14</v>
      </c>
      <c r="I2486" s="2" t="s">
        <v>15</v>
      </c>
      <c r="J2486" s="2" t="s">
        <v>17</v>
      </c>
      <c r="K2486" s="2" t="s">
        <v>8</v>
      </c>
      <c r="L2486" s="2" t="s">
        <v>9</v>
      </c>
      <c r="M2486" s="2" t="s">
        <v>10</v>
      </c>
      <c r="N2486" s="2" t="s">
        <v>11</v>
      </c>
      <c r="O2486" s="2" t="s">
        <v>12</v>
      </c>
      <c r="P2486" s="2" t="s">
        <v>59</v>
      </c>
      <c r="Q2486" s="2" t="s">
        <v>37</v>
      </c>
      <c r="R2486" s="2" t="s">
        <v>18</v>
      </c>
      <c r="S2486">
        <v>2</v>
      </c>
    </row>
    <row r="2487" spans="1:19" x14ac:dyDescent="0.3">
      <c r="A2487">
        <v>1417</v>
      </c>
      <c r="B2487">
        <f>YEAR(Cleaned_HR_Data_Analysis__2[[#This Row],[Joining_Date]])</f>
        <v>2021</v>
      </c>
      <c r="C2487" s="1">
        <v>44285</v>
      </c>
      <c r="D2487" s="1" t="str" cm="1">
        <f t="array" ref="D2487">_xlfn.IFS(E2487&lt;28, "17-27",
AND(E2487&gt;27, E2487&lt;38), "28-37",
AND(E2487&gt;37, E2487 &lt;48), "38-47",
AND(E2487&gt;47, E2487 &lt;58), "48-57",
AND(E2487&gt;57, E2487&lt;68), "58-67",
AND(E2487&gt;67, E2487&lt;78), "68-77",
E2487&gt;77,"Above than 77")</f>
        <v>68-77</v>
      </c>
      <c r="E2487">
        <v>72</v>
      </c>
      <c r="F2487" s="1">
        <v>17931</v>
      </c>
      <c r="G2487" s="1" t="str">
        <f>VLOOKUP(H2487,Table7[#All], 2, FALSE)</f>
        <v>Massachusetts</v>
      </c>
      <c r="H2487" s="2" t="s">
        <v>14</v>
      </c>
      <c r="I2487" s="2" t="s">
        <v>15</v>
      </c>
      <c r="J2487" s="2" t="s">
        <v>31</v>
      </c>
      <c r="K2487" s="2" t="s">
        <v>8</v>
      </c>
      <c r="L2487" s="2" t="s">
        <v>9</v>
      </c>
      <c r="M2487" s="2" t="s">
        <v>25</v>
      </c>
      <c r="N2487" s="2" t="s">
        <v>11</v>
      </c>
      <c r="O2487" s="2" t="s">
        <v>12</v>
      </c>
      <c r="P2487" s="2" t="s">
        <v>21</v>
      </c>
      <c r="Q2487" s="2" t="s">
        <v>30</v>
      </c>
      <c r="R2487" s="2" t="s">
        <v>41</v>
      </c>
      <c r="S2487">
        <v>5</v>
      </c>
    </row>
    <row r="2488" spans="1:19" x14ac:dyDescent="0.3">
      <c r="A2488">
        <v>1105</v>
      </c>
      <c r="B2488">
        <f>YEAR(Cleaned_HR_Data_Analysis__2[[#This Row],[Joining_Date]])</f>
        <v>2020</v>
      </c>
      <c r="C2488" s="1">
        <v>44112</v>
      </c>
      <c r="D2488" s="1" t="str" cm="1">
        <f t="array" ref="D2488">_xlfn.IFS(E2488&lt;28, "17-27",
AND(E2488&gt;27, E2488&lt;38), "28-37",
AND(E2488&gt;37, E2488 &lt;48), "38-47",
AND(E2488&gt;47, E2488 &lt;58), "48-57",
AND(E2488&gt;57, E2488&lt;68), "58-67",
AND(E2488&gt;67, E2488&lt;78), "68-77",
E2488&gt;77,"Above than 77")</f>
        <v>68-77</v>
      </c>
      <c r="E2488">
        <v>72</v>
      </c>
      <c r="F2488" s="1">
        <v>17817</v>
      </c>
      <c r="G2488" s="1" t="str">
        <f>VLOOKUP(H2488,Table7[#All], 2, FALSE)</f>
        <v>Massachusetts</v>
      </c>
      <c r="H2488" s="2" t="s">
        <v>14</v>
      </c>
      <c r="I2488" s="2" t="s">
        <v>15</v>
      </c>
      <c r="J2488" s="2" t="s">
        <v>31</v>
      </c>
      <c r="K2488" s="2" t="s">
        <v>8</v>
      </c>
      <c r="L2488" s="2" t="s">
        <v>66</v>
      </c>
      <c r="M2488" s="2" t="s">
        <v>10</v>
      </c>
      <c r="N2488" s="2" t="s">
        <v>19</v>
      </c>
      <c r="O2488" s="2" t="s">
        <v>12</v>
      </c>
      <c r="P2488" s="2" t="s">
        <v>32</v>
      </c>
      <c r="Q2488" s="2" t="s">
        <v>23</v>
      </c>
      <c r="R2488" s="2" t="s">
        <v>18</v>
      </c>
      <c r="S2488">
        <v>4</v>
      </c>
    </row>
    <row r="2489" spans="1:19" x14ac:dyDescent="0.3">
      <c r="A2489">
        <v>2462</v>
      </c>
      <c r="B2489">
        <f>YEAR(Cleaned_HR_Data_Analysis__2[[#This Row],[Joining_Date]])</f>
        <v>2020</v>
      </c>
      <c r="C2489" s="1">
        <v>43839</v>
      </c>
      <c r="D2489" s="1" t="str" cm="1">
        <f t="array" ref="D2489">_xlfn.IFS(E2489&lt;28, "17-27",
AND(E2489&gt;27, E2489&lt;38), "28-37",
AND(E2489&gt;37, E2489 &lt;48), "38-47",
AND(E2489&gt;47, E2489 &lt;58), "48-57",
AND(E2489&gt;57, E2489&lt;68), "58-67",
AND(E2489&gt;67, E2489&lt;78), "68-77",
E2489&gt;77,"Above than 77")</f>
        <v>68-77</v>
      </c>
      <c r="E2489">
        <v>72</v>
      </c>
      <c r="F2489" s="1">
        <v>17840</v>
      </c>
      <c r="G2489" s="1" t="str">
        <f>VLOOKUP(H2489,Table7[#All], 2, FALSE)</f>
        <v>Massachusetts</v>
      </c>
      <c r="H2489" s="2" t="s">
        <v>14</v>
      </c>
      <c r="I2489" s="2" t="s">
        <v>15</v>
      </c>
      <c r="J2489" s="2" t="s">
        <v>34</v>
      </c>
      <c r="K2489" s="2" t="s">
        <v>91</v>
      </c>
      <c r="L2489" s="2" t="s">
        <v>9</v>
      </c>
      <c r="M2489" s="2" t="s">
        <v>20</v>
      </c>
      <c r="N2489" s="2" t="s">
        <v>11</v>
      </c>
      <c r="O2489" s="2" t="s">
        <v>12</v>
      </c>
      <c r="P2489" s="2" t="s">
        <v>32</v>
      </c>
      <c r="Q2489" s="2" t="s">
        <v>16</v>
      </c>
      <c r="R2489" s="2" t="s">
        <v>18</v>
      </c>
      <c r="S2489">
        <v>1</v>
      </c>
    </row>
    <row r="2490" spans="1:19" x14ac:dyDescent="0.3">
      <c r="A2490">
        <v>2422</v>
      </c>
      <c r="B2490">
        <f>YEAR(Cleaned_HR_Data_Analysis__2[[#This Row],[Joining_Date]])</f>
        <v>2021</v>
      </c>
      <c r="C2490" s="1">
        <v>44551</v>
      </c>
      <c r="D2490" s="1" t="str" cm="1">
        <f t="array" ref="D2490">_xlfn.IFS(E2490&lt;28, "17-27",
AND(E2490&gt;27, E2490&lt;38), "28-37",
AND(E2490&gt;37, E2490 &lt;48), "38-47",
AND(E2490&gt;47, E2490 &lt;58), "48-57",
AND(E2490&gt;57, E2490&lt;68), "58-67",
AND(E2490&gt;67, E2490&lt;78), "68-77",
E2490&gt;77,"Above than 77")</f>
        <v>68-77</v>
      </c>
      <c r="E2490">
        <v>72</v>
      </c>
      <c r="F2490" s="1">
        <v>17973</v>
      </c>
      <c r="G2490" s="1" t="str">
        <f>VLOOKUP(H2490,Table7[#All], 2, FALSE)</f>
        <v>Massachusetts</v>
      </c>
      <c r="H2490" s="2" t="s">
        <v>14</v>
      </c>
      <c r="I2490" s="2" t="s">
        <v>22</v>
      </c>
      <c r="J2490" s="2" t="s">
        <v>17</v>
      </c>
      <c r="K2490" s="2" t="s">
        <v>91</v>
      </c>
      <c r="L2490" s="2" t="s">
        <v>66</v>
      </c>
      <c r="M2490" s="2" t="s">
        <v>20</v>
      </c>
      <c r="N2490" s="2" t="s">
        <v>19</v>
      </c>
      <c r="O2490" s="2" t="s">
        <v>12</v>
      </c>
      <c r="P2490" s="2" t="s">
        <v>32</v>
      </c>
      <c r="Q2490" s="2" t="s">
        <v>23</v>
      </c>
      <c r="R2490" s="2" t="s">
        <v>18</v>
      </c>
      <c r="S2490">
        <v>4</v>
      </c>
    </row>
    <row r="2491" spans="1:19" x14ac:dyDescent="0.3">
      <c r="A2491">
        <v>2321</v>
      </c>
      <c r="B2491">
        <f>YEAR(Cleaned_HR_Data_Analysis__2[[#This Row],[Joining_Date]])</f>
        <v>2023</v>
      </c>
      <c r="C2491" s="1">
        <v>45056</v>
      </c>
      <c r="D2491" s="1" t="str" cm="1">
        <f t="array" ref="D2491">_xlfn.IFS(E2491&lt;28, "17-27",
AND(E2491&gt;27, E2491&lt;38), "28-37",
AND(E2491&gt;37, E2491 &lt;48), "38-47",
AND(E2491&gt;47, E2491 &lt;58), "48-57",
AND(E2491&gt;57, E2491&lt;68), "58-67",
AND(E2491&gt;67, E2491&lt;78), "68-77",
E2491&gt;77,"Above than 77")</f>
        <v>68-77</v>
      </c>
      <c r="E2491">
        <v>72</v>
      </c>
      <c r="F2491" s="1">
        <v>18861</v>
      </c>
      <c r="G2491" s="1" t="str">
        <f>VLOOKUP(H2491,Table7[#All], 2, FALSE)</f>
        <v>Massachusetts</v>
      </c>
      <c r="H2491" s="2" t="s">
        <v>14</v>
      </c>
      <c r="I2491" s="2" t="s">
        <v>15</v>
      </c>
      <c r="J2491" s="2" t="s">
        <v>40</v>
      </c>
      <c r="K2491" s="2" t="s">
        <v>91</v>
      </c>
      <c r="L2491" s="2" t="s">
        <v>9</v>
      </c>
      <c r="M2491" s="2" t="s">
        <v>25</v>
      </c>
      <c r="N2491" s="2" t="s">
        <v>11</v>
      </c>
      <c r="O2491" s="2" t="s">
        <v>12</v>
      </c>
      <c r="P2491" s="2" t="s">
        <v>35</v>
      </c>
      <c r="Q2491" s="2" t="s">
        <v>37</v>
      </c>
      <c r="R2491" s="2" t="s">
        <v>18</v>
      </c>
      <c r="S2491">
        <v>2</v>
      </c>
    </row>
    <row r="2492" spans="1:19" x14ac:dyDescent="0.3">
      <c r="A2492">
        <v>2275</v>
      </c>
      <c r="B2492">
        <f>YEAR(Cleaned_HR_Data_Analysis__2[[#This Row],[Joining_Date]])</f>
        <v>2022</v>
      </c>
      <c r="C2492" s="1">
        <v>44586</v>
      </c>
      <c r="D2492" s="1" t="str" cm="1">
        <f t="array" ref="D2492">_xlfn.IFS(E2492&lt;28, "17-27",
AND(E2492&gt;27, E2492&lt;38), "28-37",
AND(E2492&gt;37, E2492 &lt;48), "38-47",
AND(E2492&gt;47, E2492 &lt;58), "48-57",
AND(E2492&gt;57, E2492&lt;68), "58-67",
AND(E2492&gt;67, E2492&lt;78), "68-77",
E2492&gt;77,"Above than 77")</f>
        <v>68-77</v>
      </c>
      <c r="E2492">
        <v>72</v>
      </c>
      <c r="F2492" s="1">
        <v>18606</v>
      </c>
      <c r="G2492" s="1" t="str">
        <f>VLOOKUP(H2492,Table7[#All], 2, FALSE)</f>
        <v>Massachusetts</v>
      </c>
      <c r="H2492" s="2" t="s">
        <v>14</v>
      </c>
      <c r="I2492" s="2" t="s">
        <v>22</v>
      </c>
      <c r="J2492" s="2" t="s">
        <v>34</v>
      </c>
      <c r="K2492" s="2" t="s">
        <v>91</v>
      </c>
      <c r="L2492" s="2" t="s">
        <v>9</v>
      </c>
      <c r="M2492" s="2" t="s">
        <v>20</v>
      </c>
      <c r="N2492" s="2" t="s">
        <v>26</v>
      </c>
      <c r="O2492" s="2" t="s">
        <v>12</v>
      </c>
      <c r="P2492" s="2" t="s">
        <v>63</v>
      </c>
      <c r="Q2492" s="2" t="s">
        <v>46</v>
      </c>
      <c r="R2492" s="2" t="s">
        <v>18</v>
      </c>
      <c r="S2492">
        <v>4</v>
      </c>
    </row>
    <row r="2493" spans="1:19" x14ac:dyDescent="0.3">
      <c r="A2493">
        <v>1210</v>
      </c>
      <c r="B2493">
        <f>YEAR(Cleaned_HR_Data_Analysis__2[[#This Row],[Joining_Date]])</f>
        <v>2020</v>
      </c>
      <c r="C2493" s="1">
        <v>44173</v>
      </c>
      <c r="D2493" s="1" t="str" cm="1">
        <f t="array" ref="D2493">_xlfn.IFS(E2493&lt;28, "17-27",
AND(E2493&gt;27, E2493&lt;38), "28-37",
AND(E2493&gt;37, E2493 &lt;48), "38-47",
AND(E2493&gt;47, E2493 &lt;58), "48-57",
AND(E2493&gt;57, E2493&lt;68), "58-67",
AND(E2493&gt;67, E2493&lt;78), "68-77",
E2493&gt;77,"Above than 77")</f>
        <v>68-77</v>
      </c>
      <c r="E2493">
        <v>72</v>
      </c>
      <c r="F2493" s="1">
        <v>17891</v>
      </c>
      <c r="G2493" s="1" t="str">
        <f>VLOOKUP(H2493,Table7[#All], 2, FALSE)</f>
        <v>Massachusetts</v>
      </c>
      <c r="H2493" s="2" t="s">
        <v>14</v>
      </c>
      <c r="I2493" s="2" t="s">
        <v>15</v>
      </c>
      <c r="J2493" s="2" t="s">
        <v>40</v>
      </c>
      <c r="K2493" s="2" t="s">
        <v>91</v>
      </c>
      <c r="L2493" s="2" t="s">
        <v>9</v>
      </c>
      <c r="M2493" s="2" t="s">
        <v>25</v>
      </c>
      <c r="N2493" s="2" t="s">
        <v>26</v>
      </c>
      <c r="O2493" s="2" t="s">
        <v>12</v>
      </c>
      <c r="P2493" s="2" t="s">
        <v>35</v>
      </c>
      <c r="Q2493" s="2" t="s">
        <v>46</v>
      </c>
      <c r="R2493" s="2" t="s">
        <v>18</v>
      </c>
      <c r="S2493">
        <v>5</v>
      </c>
    </row>
    <row r="2494" spans="1:19" x14ac:dyDescent="0.3">
      <c r="A2494">
        <v>3830</v>
      </c>
      <c r="B2494">
        <f>YEAR(Cleaned_HR_Data_Analysis__2[[#This Row],[Joining_Date]])</f>
        <v>2019</v>
      </c>
      <c r="C2494" s="1">
        <v>43697</v>
      </c>
      <c r="D2494" s="1" t="str" cm="1">
        <f t="array" ref="D2494">_xlfn.IFS(E2494&lt;28, "17-27",
AND(E2494&gt;27, E2494&lt;38), "28-37",
AND(E2494&gt;37, E2494 &lt;48), "38-47",
AND(E2494&gt;47, E2494 &lt;58), "48-57",
AND(E2494&gt;57, E2494&lt;68), "58-67",
AND(E2494&gt;67, E2494&lt;78), "68-77",
E2494&gt;77,"Above than 77")</f>
        <v>68-77</v>
      </c>
      <c r="E2494">
        <v>72</v>
      </c>
      <c r="F2494" s="1">
        <v>17317</v>
      </c>
      <c r="G2494" s="1" t="str">
        <f>VLOOKUP(H2494,Table7[#All], 2, FALSE)</f>
        <v>Connecticut</v>
      </c>
      <c r="H2494" s="2" t="s">
        <v>36</v>
      </c>
      <c r="I2494" s="2" t="s">
        <v>22</v>
      </c>
      <c r="J2494" s="2" t="s">
        <v>17</v>
      </c>
      <c r="K2494" s="2" t="s">
        <v>74</v>
      </c>
      <c r="L2494" s="2" t="s">
        <v>9</v>
      </c>
      <c r="M2494" s="2" t="s">
        <v>20</v>
      </c>
      <c r="N2494" s="2" t="s">
        <v>11</v>
      </c>
      <c r="O2494" s="2" t="s">
        <v>53</v>
      </c>
      <c r="P2494" s="2" t="s">
        <v>35</v>
      </c>
      <c r="Q2494" s="2" t="s">
        <v>16</v>
      </c>
      <c r="R2494" s="2" t="s">
        <v>65</v>
      </c>
      <c r="S2494">
        <v>1</v>
      </c>
    </row>
    <row r="2495" spans="1:19" x14ac:dyDescent="0.3">
      <c r="A2495">
        <v>3824</v>
      </c>
      <c r="B2495">
        <f>YEAR(Cleaned_HR_Data_Analysis__2[[#This Row],[Joining_Date]])</f>
        <v>2020</v>
      </c>
      <c r="C2495" s="1">
        <v>43837</v>
      </c>
      <c r="D2495" s="1" t="str" cm="1">
        <f t="array" ref="D2495">_xlfn.IFS(E2495&lt;28, "17-27",
AND(E2495&gt;27, E2495&lt;38), "28-37",
AND(E2495&gt;37, E2495 &lt;48), "38-47",
AND(E2495&gt;47, E2495 &lt;58), "48-57",
AND(E2495&gt;57, E2495&lt;68), "58-67",
AND(E2495&gt;67, E2495&lt;78), "68-77",
E2495&gt;77,"Above than 77")</f>
        <v>68-77</v>
      </c>
      <c r="E2495">
        <v>72</v>
      </c>
      <c r="F2495" s="1">
        <v>17858</v>
      </c>
      <c r="G2495" s="1" t="str">
        <f>VLOOKUP(H2495,Table7[#All], 2, FALSE)</f>
        <v>Massachusetts</v>
      </c>
      <c r="H2495" s="2" t="s">
        <v>14</v>
      </c>
      <c r="I2495" s="2" t="s">
        <v>22</v>
      </c>
      <c r="J2495" s="2" t="s">
        <v>31</v>
      </c>
      <c r="K2495" s="2" t="s">
        <v>70</v>
      </c>
      <c r="L2495" s="2" t="s">
        <v>9</v>
      </c>
      <c r="M2495" s="2" t="s">
        <v>10</v>
      </c>
      <c r="N2495" s="2" t="s">
        <v>11</v>
      </c>
      <c r="O2495" s="2" t="s">
        <v>53</v>
      </c>
      <c r="P2495" s="2" t="s">
        <v>28</v>
      </c>
      <c r="Q2495" s="2" t="s">
        <v>37</v>
      </c>
      <c r="R2495" s="2" t="s">
        <v>18</v>
      </c>
      <c r="S2495">
        <v>4</v>
      </c>
    </row>
    <row r="2496" spans="1:19" x14ac:dyDescent="0.3">
      <c r="A2496">
        <v>2503</v>
      </c>
      <c r="B2496">
        <f>YEAR(Cleaned_HR_Data_Analysis__2[[#This Row],[Joining_Date]])</f>
        <v>2021</v>
      </c>
      <c r="C2496" s="1">
        <v>44556</v>
      </c>
      <c r="D2496" s="1" t="str" cm="1">
        <f t="array" ref="D2496">_xlfn.IFS(E2496&lt;28, "17-27",
AND(E2496&gt;27, E2496&lt;38), "28-37",
AND(E2496&gt;37, E2496 &lt;48), "38-47",
AND(E2496&gt;47, E2496 &lt;58), "48-57",
AND(E2496&gt;57, E2496&lt;68), "58-67",
AND(E2496&gt;67, E2496&lt;78), "68-77",
E2496&gt;77,"Above than 77")</f>
        <v>68-77</v>
      </c>
      <c r="E2496">
        <v>72</v>
      </c>
      <c r="F2496" s="1">
        <v>18255</v>
      </c>
      <c r="G2496" s="1" t="str">
        <f>VLOOKUP(H2496,Table7[#All], 2, FALSE)</f>
        <v>Massachusetts</v>
      </c>
      <c r="H2496" s="2" t="s">
        <v>14</v>
      </c>
      <c r="I2496" s="2" t="s">
        <v>22</v>
      </c>
      <c r="J2496" s="2" t="s">
        <v>34</v>
      </c>
      <c r="K2496" s="2" t="s">
        <v>103</v>
      </c>
      <c r="L2496" s="2" t="s">
        <v>9</v>
      </c>
      <c r="M2496" s="2" t="s">
        <v>10</v>
      </c>
      <c r="N2496" s="2" t="s">
        <v>11</v>
      </c>
      <c r="O2496" s="2" t="s">
        <v>53</v>
      </c>
      <c r="P2496" s="2" t="s">
        <v>32</v>
      </c>
      <c r="Q2496" s="2" t="s">
        <v>16</v>
      </c>
      <c r="R2496" s="2" t="s">
        <v>18</v>
      </c>
      <c r="S2496">
        <v>1</v>
      </c>
    </row>
    <row r="2497" spans="1:19" x14ac:dyDescent="0.3">
      <c r="A2497">
        <v>2666</v>
      </c>
      <c r="B2497">
        <f>YEAR(Cleaned_HR_Data_Analysis__2[[#This Row],[Joining_Date]])</f>
        <v>2018</v>
      </c>
      <c r="C2497" s="1">
        <v>43411</v>
      </c>
      <c r="D2497" s="1" t="str" cm="1">
        <f t="array" ref="D2497">_xlfn.IFS(E2497&lt;28, "17-27",
AND(E2497&gt;27, E2497&lt;38), "28-37",
AND(E2497&gt;37, E2497 &lt;48), "38-47",
AND(E2497&gt;47, E2497 &lt;58), "48-57",
AND(E2497&gt;57, E2497&lt;68), "58-67",
AND(E2497&gt;67, E2497&lt;78), "68-77",
E2497&gt;77,"Above than 77")</f>
        <v>68-77</v>
      </c>
      <c r="E2497">
        <v>72</v>
      </c>
      <c r="F2497" s="1">
        <v>16821</v>
      </c>
      <c r="G2497" s="1" t="str">
        <f>VLOOKUP(H2497,Table7[#All], 2, FALSE)</f>
        <v>Washington</v>
      </c>
      <c r="H2497" s="2" t="s">
        <v>113</v>
      </c>
      <c r="I2497" s="2" t="s">
        <v>15</v>
      </c>
      <c r="J2497" s="2" t="s">
        <v>31</v>
      </c>
      <c r="K2497" s="2" t="s">
        <v>24</v>
      </c>
      <c r="L2497" s="2" t="s">
        <v>9</v>
      </c>
      <c r="M2497" s="2" t="s">
        <v>20</v>
      </c>
      <c r="N2497" s="2" t="s">
        <v>11</v>
      </c>
      <c r="O2497" s="2" t="s">
        <v>27</v>
      </c>
      <c r="P2497" s="2" t="s">
        <v>63</v>
      </c>
      <c r="Q2497" s="2" t="s">
        <v>30</v>
      </c>
      <c r="R2497" s="2" t="s">
        <v>18</v>
      </c>
      <c r="S2497">
        <v>5</v>
      </c>
    </row>
    <row r="2498" spans="1:19" x14ac:dyDescent="0.3">
      <c r="A2498">
        <v>2680</v>
      </c>
      <c r="B2498">
        <f>YEAR(Cleaned_HR_Data_Analysis__2[[#This Row],[Joining_Date]])</f>
        <v>2020</v>
      </c>
      <c r="C2498" s="1">
        <v>44190</v>
      </c>
      <c r="D2498" s="1" t="str" cm="1">
        <f t="array" ref="D2498">_xlfn.IFS(E2498&lt;28, "17-27",
AND(E2498&gt;27, E2498&lt;38), "28-37",
AND(E2498&gt;37, E2498 &lt;48), "38-47",
AND(E2498&gt;47, E2498 &lt;58), "48-57",
AND(E2498&gt;57, E2498&lt;68), "58-67",
AND(E2498&gt;67, E2498&lt;78), "68-77",
E2498&gt;77,"Above than 77")</f>
        <v>68-77</v>
      </c>
      <c r="E2498">
        <v>72</v>
      </c>
      <c r="F2498" s="1">
        <v>17556</v>
      </c>
      <c r="G2498" s="1" t="str">
        <f>VLOOKUP(H2498,Table7[#All], 2, FALSE)</f>
        <v>Idaho</v>
      </c>
      <c r="H2498" s="2" t="s">
        <v>111</v>
      </c>
      <c r="I2498" s="2" t="s">
        <v>22</v>
      </c>
      <c r="J2498" s="2" t="s">
        <v>31</v>
      </c>
      <c r="K2498" s="2" t="s">
        <v>24</v>
      </c>
      <c r="L2498" s="2" t="s">
        <v>9</v>
      </c>
      <c r="M2498" s="2" t="s">
        <v>10</v>
      </c>
      <c r="N2498" s="2" t="s">
        <v>19</v>
      </c>
      <c r="O2498" s="2" t="s">
        <v>27</v>
      </c>
      <c r="P2498" s="2" t="s">
        <v>67</v>
      </c>
      <c r="Q2498" s="2" t="s">
        <v>37</v>
      </c>
      <c r="R2498" s="2" t="s">
        <v>18</v>
      </c>
      <c r="S2498">
        <v>4</v>
      </c>
    </row>
    <row r="2499" spans="1:19" x14ac:dyDescent="0.3">
      <c r="A2499">
        <v>2734</v>
      </c>
      <c r="B2499">
        <f>YEAR(Cleaned_HR_Data_Analysis__2[[#This Row],[Joining_Date]])</f>
        <v>2020</v>
      </c>
      <c r="C2499" s="1">
        <v>44167</v>
      </c>
      <c r="D2499" s="1" t="str" cm="1">
        <f t="array" ref="D2499">_xlfn.IFS(E2499&lt;28, "17-27",
AND(E2499&gt;27, E2499&lt;38), "28-37",
AND(E2499&gt;37, E2499 &lt;48), "38-47",
AND(E2499&gt;47, E2499 &lt;58), "48-57",
AND(E2499&gt;57, E2499&lt;68), "58-67",
AND(E2499&gt;67, E2499&lt;78), "68-77",
E2499&gt;77,"Above than 77")</f>
        <v>68-77</v>
      </c>
      <c r="E2499">
        <v>72</v>
      </c>
      <c r="F2499" s="1">
        <v>17870</v>
      </c>
      <c r="G2499" s="1" t="str">
        <f>VLOOKUP(H2499,Table7[#All], 2, FALSE)</f>
        <v>Arizona</v>
      </c>
      <c r="H2499" s="2" t="s">
        <v>114</v>
      </c>
      <c r="I2499" s="2" t="s">
        <v>15</v>
      </c>
      <c r="J2499" s="2" t="s">
        <v>34</v>
      </c>
      <c r="K2499" s="2" t="s">
        <v>24</v>
      </c>
      <c r="L2499" s="2" t="s">
        <v>9</v>
      </c>
      <c r="M2499" s="2" t="s">
        <v>10</v>
      </c>
      <c r="N2499" s="2" t="s">
        <v>11</v>
      </c>
      <c r="O2499" s="2" t="s">
        <v>27</v>
      </c>
      <c r="P2499" s="2" t="s">
        <v>32</v>
      </c>
      <c r="Q2499" s="2" t="s">
        <v>37</v>
      </c>
      <c r="R2499" s="2" t="s">
        <v>18</v>
      </c>
      <c r="S2499">
        <v>2</v>
      </c>
    </row>
    <row r="2500" spans="1:19" x14ac:dyDescent="0.3">
      <c r="A2500">
        <v>1349</v>
      </c>
      <c r="B2500">
        <f>YEAR(Cleaned_HR_Data_Analysis__2[[#This Row],[Joining_Date]])</f>
        <v>2021</v>
      </c>
      <c r="C2500" s="1">
        <v>44410</v>
      </c>
      <c r="D2500" s="1" t="str" cm="1">
        <f t="array" ref="D2500">_xlfn.IFS(E2500&lt;28, "17-27",
AND(E2500&gt;27, E2500&lt;38), "28-37",
AND(E2500&gt;37, E2500 &lt;48), "38-47",
AND(E2500&gt;47, E2500 &lt;58), "48-57",
AND(E2500&gt;57, E2500&lt;68), "58-67",
AND(E2500&gt;67, E2500&lt;78), "68-77",
E2500&gt;77,"Above than 77")</f>
        <v>68-77</v>
      </c>
      <c r="E2500">
        <v>72</v>
      </c>
      <c r="F2500" s="1">
        <v>18229</v>
      </c>
      <c r="G2500" s="1" t="str">
        <f>VLOOKUP(H2500,Table7[#All], 2, FALSE)</f>
        <v>Massachusetts</v>
      </c>
      <c r="H2500" s="2" t="s">
        <v>14</v>
      </c>
      <c r="I2500" s="2" t="s">
        <v>15</v>
      </c>
      <c r="J2500" s="2" t="s">
        <v>40</v>
      </c>
      <c r="K2500" s="2" t="s">
        <v>96</v>
      </c>
      <c r="L2500" s="2" t="s">
        <v>9</v>
      </c>
      <c r="M2500" s="2" t="s">
        <v>25</v>
      </c>
      <c r="N2500" s="2" t="s">
        <v>26</v>
      </c>
      <c r="O2500" s="2" t="s">
        <v>90</v>
      </c>
      <c r="P2500" s="2" t="s">
        <v>93</v>
      </c>
      <c r="Q2500" s="2" t="s">
        <v>16</v>
      </c>
      <c r="R2500" s="2" t="s">
        <v>18</v>
      </c>
      <c r="S2500">
        <v>2</v>
      </c>
    </row>
    <row r="2501" spans="1:19" x14ac:dyDescent="0.3">
      <c r="A2501">
        <v>1346</v>
      </c>
      <c r="B2501">
        <f>YEAR(Cleaned_HR_Data_Analysis__2[[#This Row],[Joining_Date]])</f>
        <v>2021</v>
      </c>
      <c r="C2501" s="1">
        <v>44248</v>
      </c>
      <c r="D2501" s="1" t="str" cm="1">
        <f t="array" ref="D2501">_xlfn.IFS(E2501&lt;28, "17-27",
AND(E2501&gt;27, E2501&lt;38), "28-37",
AND(E2501&gt;37, E2501 &lt;48), "38-47",
AND(E2501&gt;47, E2501 &lt;58), "48-57",
AND(E2501&gt;57, E2501&lt;68), "58-67",
AND(E2501&gt;67, E2501&lt;78), "68-77",
E2501&gt;77,"Above than 77")</f>
        <v>68-77</v>
      </c>
      <c r="E2501">
        <v>73</v>
      </c>
      <c r="F2501" s="1">
        <v>17789</v>
      </c>
      <c r="G2501" s="1" t="str">
        <f>VLOOKUP(H2501,Table7[#All], 2, FALSE)</f>
        <v>Massachusetts</v>
      </c>
      <c r="H2501" s="2" t="s">
        <v>14</v>
      </c>
      <c r="I2501" s="2" t="s">
        <v>22</v>
      </c>
      <c r="J2501" s="2" t="s">
        <v>40</v>
      </c>
      <c r="K2501" s="2" t="s">
        <v>72</v>
      </c>
      <c r="L2501" s="2" t="s">
        <v>9</v>
      </c>
      <c r="M2501" s="2" t="s">
        <v>10</v>
      </c>
      <c r="N2501" s="2" t="s">
        <v>11</v>
      </c>
      <c r="O2501" s="2" t="s">
        <v>53</v>
      </c>
      <c r="P2501" s="2" t="s">
        <v>35</v>
      </c>
      <c r="Q2501" s="2" t="s">
        <v>16</v>
      </c>
      <c r="R2501" s="2" t="s">
        <v>18</v>
      </c>
      <c r="S2501">
        <v>2</v>
      </c>
    </row>
    <row r="2502" spans="1:19" x14ac:dyDescent="0.3">
      <c r="A2502">
        <v>3885</v>
      </c>
      <c r="B2502">
        <f>YEAR(Cleaned_HR_Data_Analysis__2[[#This Row],[Joining_Date]])</f>
        <v>2021</v>
      </c>
      <c r="C2502" s="1">
        <v>44538</v>
      </c>
      <c r="D2502" s="1" t="str" cm="1">
        <f t="array" ref="D2502">_xlfn.IFS(E2502&lt;28, "17-27",
AND(E2502&gt;27, E2502&lt;38), "28-37",
AND(E2502&gt;37, E2502 &lt;48), "38-47",
AND(E2502&gt;47, E2502 &lt;58), "48-57",
AND(E2502&gt;57, E2502&lt;68), "58-67",
AND(E2502&gt;67, E2502&lt;78), "68-77",
E2502&gt;77,"Above than 77")</f>
        <v>68-77</v>
      </c>
      <c r="E2502">
        <v>73</v>
      </c>
      <c r="F2502" s="1">
        <v>17827</v>
      </c>
      <c r="G2502" s="1" t="str">
        <f>VLOOKUP(H2502,Table7[#All], 2, FALSE)</f>
        <v>Connecticut</v>
      </c>
      <c r="H2502" s="2" t="s">
        <v>36</v>
      </c>
      <c r="I2502" s="2" t="s">
        <v>15</v>
      </c>
      <c r="J2502" s="2" t="s">
        <v>31</v>
      </c>
      <c r="K2502" s="2" t="s">
        <v>72</v>
      </c>
      <c r="L2502" s="2" t="s">
        <v>9</v>
      </c>
      <c r="M2502" s="2" t="s">
        <v>25</v>
      </c>
      <c r="N2502" s="2" t="s">
        <v>26</v>
      </c>
      <c r="O2502" s="2" t="s">
        <v>53</v>
      </c>
      <c r="P2502" s="2" t="s">
        <v>42</v>
      </c>
      <c r="Q2502" s="2" t="s">
        <v>37</v>
      </c>
      <c r="R2502" s="2" t="s">
        <v>18</v>
      </c>
      <c r="S2502">
        <v>5</v>
      </c>
    </row>
    <row r="2503" spans="1:19" x14ac:dyDescent="0.3">
      <c r="A2503">
        <v>1691</v>
      </c>
      <c r="B2503">
        <f>YEAR(Cleaned_HR_Data_Analysis__2[[#This Row],[Joining_Date]])</f>
        <v>2019</v>
      </c>
      <c r="C2503" s="1">
        <v>43744</v>
      </c>
      <c r="D2503" s="1" t="str" cm="1">
        <f t="array" ref="D2503">_xlfn.IFS(E2503&lt;28, "17-27",
AND(E2503&gt;27, E2503&lt;38), "28-37",
AND(E2503&gt;37, E2503 &lt;48), "38-47",
AND(E2503&gt;47, E2503 &lt;58), "48-57",
AND(E2503&gt;57, E2503&lt;68), "58-67",
AND(E2503&gt;67, E2503&lt;78), "68-77",
E2503&gt;77,"Above than 77")</f>
        <v>68-77</v>
      </c>
      <c r="E2503">
        <v>73</v>
      </c>
      <c r="F2503" s="1">
        <v>16823</v>
      </c>
      <c r="G2503" s="1" t="str">
        <f>VLOOKUP(H2503,Table7[#All], 2, FALSE)</f>
        <v>Massachusetts</v>
      </c>
      <c r="H2503" s="2" t="s">
        <v>14</v>
      </c>
      <c r="I2503" s="2" t="s">
        <v>22</v>
      </c>
      <c r="J2503" s="2" t="s">
        <v>17</v>
      </c>
      <c r="K2503" s="2" t="s">
        <v>89</v>
      </c>
      <c r="L2503" s="2" t="s">
        <v>9</v>
      </c>
      <c r="M2503" s="2" t="s">
        <v>10</v>
      </c>
      <c r="N2503" s="2" t="s">
        <v>19</v>
      </c>
      <c r="O2503" s="2" t="s">
        <v>53</v>
      </c>
      <c r="P2503" s="2" t="s">
        <v>54</v>
      </c>
      <c r="Q2503" s="2" t="s">
        <v>37</v>
      </c>
      <c r="R2503" s="2" t="s">
        <v>18</v>
      </c>
      <c r="S2503">
        <v>1</v>
      </c>
    </row>
    <row r="2504" spans="1:19" x14ac:dyDescent="0.3">
      <c r="A2504">
        <v>1017</v>
      </c>
      <c r="B2504">
        <f>YEAR(Cleaned_HR_Data_Analysis__2[[#This Row],[Joining_Date]])</f>
        <v>2020</v>
      </c>
      <c r="C2504" s="1">
        <v>44081</v>
      </c>
      <c r="D2504" s="1" t="str" cm="1">
        <f t="array" ref="D2504">_xlfn.IFS(E2504&lt;28, "17-27",
AND(E2504&gt;27, E2504&lt;38), "28-37",
AND(E2504&gt;37, E2504 &lt;48), "38-47",
AND(E2504&gt;47, E2504 &lt;58), "48-57",
AND(E2504&gt;57, E2504&lt;68), "58-67",
AND(E2504&gt;67, E2504&lt;78), "68-77",
E2504&gt;77,"Above than 77")</f>
        <v>68-77</v>
      </c>
      <c r="E2504">
        <v>73</v>
      </c>
      <c r="F2504" s="1">
        <v>17353</v>
      </c>
      <c r="G2504" s="1" t="str">
        <f>VLOOKUP(H2504,Table7[#All], 2, FALSE)</f>
        <v>Massachusetts</v>
      </c>
      <c r="H2504" s="2" t="s">
        <v>14</v>
      </c>
      <c r="I2504" s="2" t="s">
        <v>15</v>
      </c>
      <c r="J2504" s="2" t="s">
        <v>31</v>
      </c>
      <c r="K2504" s="2" t="s">
        <v>89</v>
      </c>
      <c r="L2504" s="2" t="s">
        <v>9</v>
      </c>
      <c r="M2504" s="2" t="s">
        <v>25</v>
      </c>
      <c r="N2504" s="2" t="s">
        <v>26</v>
      </c>
      <c r="O2504" s="2" t="s">
        <v>90</v>
      </c>
      <c r="P2504" s="2" t="s">
        <v>35</v>
      </c>
      <c r="Q2504" s="2" t="s">
        <v>37</v>
      </c>
      <c r="R2504" s="2" t="s">
        <v>18</v>
      </c>
      <c r="S2504">
        <v>1</v>
      </c>
    </row>
    <row r="2505" spans="1:19" x14ac:dyDescent="0.3">
      <c r="A2505">
        <v>3763</v>
      </c>
      <c r="B2505">
        <f>YEAR(Cleaned_HR_Data_Analysis__2[[#This Row],[Joining_Date]])</f>
        <v>2023</v>
      </c>
      <c r="C2505" s="1">
        <v>44938</v>
      </c>
      <c r="D2505" s="1" t="str" cm="1">
        <f t="array" ref="D2505">_xlfn.IFS(E2505&lt;28, "17-27",
AND(E2505&gt;27, E2505&lt;38), "28-37",
AND(E2505&gt;37, E2505 &lt;48), "38-47",
AND(E2505&gt;47, E2505 &lt;58), "48-57",
AND(E2505&gt;57, E2505&lt;68), "58-67",
AND(E2505&gt;67, E2505&lt;78), "68-77",
E2505&gt;77,"Above than 77")</f>
        <v>68-77</v>
      </c>
      <c r="E2505">
        <v>73</v>
      </c>
      <c r="F2505" s="1">
        <v>18439</v>
      </c>
      <c r="G2505" s="1" t="str">
        <f>VLOOKUP(H2505,Table7[#All], 2, FALSE)</f>
        <v>Massachusetts</v>
      </c>
      <c r="H2505" s="2" t="s">
        <v>14</v>
      </c>
      <c r="I2505" s="2" t="s">
        <v>15</v>
      </c>
      <c r="J2505" s="2" t="s">
        <v>17</v>
      </c>
      <c r="K2505" s="2" t="s">
        <v>64</v>
      </c>
      <c r="L2505" s="2" t="s">
        <v>66</v>
      </c>
      <c r="M2505" s="2" t="s">
        <v>25</v>
      </c>
      <c r="N2505" s="2" t="s">
        <v>26</v>
      </c>
      <c r="O2505" s="2" t="s">
        <v>12</v>
      </c>
      <c r="P2505" s="2" t="s">
        <v>13</v>
      </c>
      <c r="Q2505" s="2" t="s">
        <v>16</v>
      </c>
      <c r="R2505" s="2" t="s">
        <v>18</v>
      </c>
      <c r="S2505">
        <v>2</v>
      </c>
    </row>
    <row r="2506" spans="1:19" x14ac:dyDescent="0.3">
      <c r="A2506">
        <v>3600</v>
      </c>
      <c r="B2506">
        <f>YEAR(Cleaned_HR_Data_Analysis__2[[#This Row],[Joining_Date]])</f>
        <v>2022</v>
      </c>
      <c r="C2506" s="1">
        <v>44866</v>
      </c>
      <c r="D2506" s="1" t="str" cm="1">
        <f t="array" ref="D2506">_xlfn.IFS(E2506&lt;28, "17-27",
AND(E2506&gt;27, E2506&lt;38), "28-37",
AND(E2506&gt;37, E2506 &lt;48), "38-47",
AND(E2506&gt;47, E2506 &lt;58), "48-57",
AND(E2506&gt;57, E2506&lt;68), "58-67",
AND(E2506&gt;67, E2506&lt;78), "68-77",
E2506&gt;77,"Above than 77")</f>
        <v>68-77</v>
      </c>
      <c r="E2506">
        <v>73</v>
      </c>
      <c r="F2506" s="1">
        <v>18178</v>
      </c>
      <c r="G2506" s="1" t="str">
        <f>VLOOKUP(H2506,Table7[#All], 2, FALSE)</f>
        <v>Massachusetts</v>
      </c>
      <c r="H2506" s="2" t="s">
        <v>14</v>
      </c>
      <c r="I2506" s="2" t="s">
        <v>15</v>
      </c>
      <c r="J2506" s="2" t="s">
        <v>31</v>
      </c>
      <c r="K2506" s="2" t="s">
        <v>64</v>
      </c>
      <c r="L2506" s="2" t="s">
        <v>9</v>
      </c>
      <c r="M2506" s="2" t="s">
        <v>10</v>
      </c>
      <c r="N2506" s="2" t="s">
        <v>26</v>
      </c>
      <c r="O2506" s="2" t="s">
        <v>12</v>
      </c>
      <c r="P2506" s="2" t="s">
        <v>35</v>
      </c>
      <c r="Q2506" s="2" t="s">
        <v>16</v>
      </c>
      <c r="R2506" s="2" t="s">
        <v>18</v>
      </c>
      <c r="S2506">
        <v>1</v>
      </c>
    </row>
    <row r="2507" spans="1:19" x14ac:dyDescent="0.3">
      <c r="A2507">
        <v>3411</v>
      </c>
      <c r="B2507">
        <f>YEAR(Cleaned_HR_Data_Analysis__2[[#This Row],[Joining_Date]])</f>
        <v>2022</v>
      </c>
      <c r="C2507" s="1">
        <v>44840</v>
      </c>
      <c r="D2507" s="1" t="str" cm="1">
        <f t="array" ref="D2507">_xlfn.IFS(E2507&lt;28, "17-27",
AND(E2507&gt;27, E2507&lt;38), "28-37",
AND(E2507&gt;37, E2507 &lt;48), "38-47",
AND(E2507&gt;47, E2507 &lt;58), "48-57",
AND(E2507&gt;57, E2507&lt;68), "58-67",
AND(E2507&gt;67, E2507&lt;78), "68-77",
E2507&gt;77,"Above than 77")</f>
        <v>68-77</v>
      </c>
      <c r="E2507">
        <v>73</v>
      </c>
      <c r="F2507" s="1">
        <v>17977</v>
      </c>
      <c r="G2507" s="1" t="str">
        <f>VLOOKUP(H2507,Table7[#All], 2, FALSE)</f>
        <v>Massachusetts</v>
      </c>
      <c r="H2507" s="2" t="s">
        <v>14</v>
      </c>
      <c r="I2507" s="2" t="s">
        <v>15</v>
      </c>
      <c r="J2507" s="2" t="s">
        <v>31</v>
      </c>
      <c r="K2507" s="2" t="s">
        <v>64</v>
      </c>
      <c r="L2507" s="2" t="s">
        <v>9</v>
      </c>
      <c r="M2507" s="2" t="s">
        <v>25</v>
      </c>
      <c r="N2507" s="2" t="s">
        <v>26</v>
      </c>
      <c r="O2507" s="2" t="s">
        <v>12</v>
      </c>
      <c r="P2507" s="2" t="s">
        <v>38</v>
      </c>
      <c r="Q2507" s="2" t="s">
        <v>46</v>
      </c>
      <c r="R2507" s="2" t="s">
        <v>18</v>
      </c>
      <c r="S2507">
        <v>3</v>
      </c>
    </row>
    <row r="2508" spans="1:19" x14ac:dyDescent="0.3">
      <c r="A2508">
        <v>2787</v>
      </c>
      <c r="B2508">
        <f>YEAR(Cleaned_HR_Data_Analysis__2[[#This Row],[Joining_Date]])</f>
        <v>2021</v>
      </c>
      <c r="C2508" s="1">
        <v>44308</v>
      </c>
      <c r="D2508" s="1" t="str" cm="1">
        <f t="array" ref="D2508">_xlfn.IFS(E2508&lt;28, "17-27",
AND(E2508&gt;27, E2508&lt;38), "28-37",
AND(E2508&gt;37, E2508 &lt;48), "38-47",
AND(E2508&gt;47, E2508 &lt;58), "48-57",
AND(E2508&gt;57, E2508&lt;68), "58-67",
AND(E2508&gt;67, E2508&lt;78), "68-77",
E2508&gt;77,"Above than 77")</f>
        <v>68-77</v>
      </c>
      <c r="E2508">
        <v>73</v>
      </c>
      <c r="F2508" s="1">
        <v>17877</v>
      </c>
      <c r="G2508" s="1" t="str">
        <f>VLOOKUP(H2508,Table7[#All], 2, FALSE)</f>
        <v>Massachusetts</v>
      </c>
      <c r="H2508" s="2" t="s">
        <v>14</v>
      </c>
      <c r="I2508" s="2" t="s">
        <v>15</v>
      </c>
      <c r="J2508" s="2" t="s">
        <v>40</v>
      </c>
      <c r="K2508" s="2" t="s">
        <v>64</v>
      </c>
      <c r="L2508" s="2" t="s">
        <v>9</v>
      </c>
      <c r="M2508" s="2" t="s">
        <v>10</v>
      </c>
      <c r="N2508" s="2" t="s">
        <v>19</v>
      </c>
      <c r="O2508" s="2" t="s">
        <v>12</v>
      </c>
      <c r="P2508" s="2" t="s">
        <v>44</v>
      </c>
      <c r="Q2508" s="2" t="s">
        <v>16</v>
      </c>
      <c r="R2508" s="2" t="s">
        <v>18</v>
      </c>
      <c r="S2508">
        <v>2</v>
      </c>
    </row>
    <row r="2509" spans="1:19" x14ac:dyDescent="0.3">
      <c r="A2509">
        <v>2750</v>
      </c>
      <c r="B2509">
        <f>YEAR(Cleaned_HR_Data_Analysis__2[[#This Row],[Joining_Date]])</f>
        <v>2022</v>
      </c>
      <c r="C2509" s="1">
        <v>44716</v>
      </c>
      <c r="D2509" s="1" t="str" cm="1">
        <f t="array" ref="D2509">_xlfn.IFS(E2509&lt;28, "17-27",
AND(E2509&gt;27, E2509&lt;38), "28-37",
AND(E2509&gt;37, E2509 &lt;48), "38-47",
AND(E2509&gt;47, E2509 &lt;58), "48-57",
AND(E2509&gt;57, E2509&lt;68), "58-67",
AND(E2509&gt;67, E2509&lt;78), "68-77",
E2509&gt;77,"Above than 77")</f>
        <v>68-77</v>
      </c>
      <c r="E2509">
        <v>73</v>
      </c>
      <c r="F2509" s="1">
        <v>17991</v>
      </c>
      <c r="G2509" s="1" t="str">
        <f>VLOOKUP(H2509,Table7[#All], 2, FALSE)</f>
        <v>Massachusetts</v>
      </c>
      <c r="H2509" s="2" t="s">
        <v>14</v>
      </c>
      <c r="I2509" s="2" t="s">
        <v>22</v>
      </c>
      <c r="J2509" s="2" t="s">
        <v>40</v>
      </c>
      <c r="K2509" s="2" t="s">
        <v>64</v>
      </c>
      <c r="L2509" s="2" t="s">
        <v>9</v>
      </c>
      <c r="M2509" s="2" t="s">
        <v>25</v>
      </c>
      <c r="N2509" s="2" t="s">
        <v>26</v>
      </c>
      <c r="O2509" s="2" t="s">
        <v>12</v>
      </c>
      <c r="P2509" s="2" t="s">
        <v>35</v>
      </c>
      <c r="Q2509" s="2" t="s">
        <v>46</v>
      </c>
      <c r="R2509" s="2" t="s">
        <v>18</v>
      </c>
      <c r="S2509">
        <v>4</v>
      </c>
    </row>
    <row r="2510" spans="1:19" x14ac:dyDescent="0.3">
      <c r="A2510">
        <v>2067</v>
      </c>
      <c r="B2510">
        <f>YEAR(Cleaned_HR_Data_Analysis__2[[#This Row],[Joining_Date]])</f>
        <v>2022</v>
      </c>
      <c r="C2510" s="1">
        <v>44673</v>
      </c>
      <c r="D2510" s="1" t="str" cm="1">
        <f t="array" ref="D2510">_xlfn.IFS(E2510&lt;28, "17-27",
AND(E2510&gt;27, E2510&lt;38), "28-37",
AND(E2510&gt;37, E2510 &lt;48), "38-47",
AND(E2510&gt;47, E2510 &lt;58), "48-57",
AND(E2510&gt;57, E2510&lt;68), "58-67",
AND(E2510&gt;67, E2510&lt;78), "68-77",
E2510&gt;77,"Above than 77")</f>
        <v>68-77</v>
      </c>
      <c r="E2510">
        <v>73</v>
      </c>
      <c r="F2510" s="1">
        <v>18191</v>
      </c>
      <c r="G2510" s="1" t="str">
        <f>VLOOKUP(H2510,Table7[#All], 2, FALSE)</f>
        <v>Massachusetts</v>
      </c>
      <c r="H2510" s="2" t="s">
        <v>14</v>
      </c>
      <c r="I2510" s="2" t="s">
        <v>15</v>
      </c>
      <c r="J2510" s="2" t="s">
        <v>40</v>
      </c>
      <c r="K2510" s="2" t="s">
        <v>64</v>
      </c>
      <c r="L2510" s="2" t="s">
        <v>9</v>
      </c>
      <c r="M2510" s="2" t="s">
        <v>25</v>
      </c>
      <c r="N2510" s="2" t="s">
        <v>11</v>
      </c>
      <c r="O2510" s="2" t="s">
        <v>12</v>
      </c>
      <c r="P2510" s="2" t="s">
        <v>42</v>
      </c>
      <c r="Q2510" s="2" t="s">
        <v>16</v>
      </c>
      <c r="R2510" s="2" t="s">
        <v>18</v>
      </c>
      <c r="S2510">
        <v>2</v>
      </c>
    </row>
    <row r="2511" spans="1:19" x14ac:dyDescent="0.3">
      <c r="A2511">
        <v>1990</v>
      </c>
      <c r="B2511">
        <f>YEAR(Cleaned_HR_Data_Analysis__2[[#This Row],[Joining_Date]])</f>
        <v>2020</v>
      </c>
      <c r="C2511" s="1">
        <v>43967</v>
      </c>
      <c r="D2511" s="1" t="str" cm="1">
        <f t="array" ref="D2511">_xlfn.IFS(E2511&lt;28, "17-27",
AND(E2511&gt;27, E2511&lt;38), "28-37",
AND(E2511&gt;37, E2511 &lt;48), "38-47",
AND(E2511&gt;47, E2511 &lt;58), "48-57",
AND(E2511&gt;57, E2511&lt;68), "58-67",
AND(E2511&gt;67, E2511&lt;78), "68-77",
E2511&gt;77,"Above than 77")</f>
        <v>68-77</v>
      </c>
      <c r="E2511">
        <v>73</v>
      </c>
      <c r="F2511" s="1">
        <v>17428</v>
      </c>
      <c r="G2511" s="1" t="str">
        <f>VLOOKUP(H2511,Table7[#All], 2, FALSE)</f>
        <v>Massachusetts</v>
      </c>
      <c r="H2511" s="2" t="s">
        <v>14</v>
      </c>
      <c r="I2511" s="2" t="s">
        <v>15</v>
      </c>
      <c r="J2511" s="2" t="s">
        <v>40</v>
      </c>
      <c r="K2511" s="2" t="s">
        <v>64</v>
      </c>
      <c r="L2511" s="2" t="s">
        <v>9</v>
      </c>
      <c r="M2511" s="2" t="s">
        <v>25</v>
      </c>
      <c r="N2511" s="2" t="s">
        <v>11</v>
      </c>
      <c r="O2511" s="2" t="s">
        <v>12</v>
      </c>
      <c r="P2511" s="2" t="s">
        <v>35</v>
      </c>
      <c r="Q2511" s="2" t="s">
        <v>37</v>
      </c>
      <c r="R2511" s="2" t="s">
        <v>18</v>
      </c>
      <c r="S2511">
        <v>1</v>
      </c>
    </row>
    <row r="2512" spans="1:19" x14ac:dyDescent="0.3">
      <c r="A2512">
        <v>1965</v>
      </c>
      <c r="B2512">
        <f>YEAR(Cleaned_HR_Data_Analysis__2[[#This Row],[Joining_Date]])</f>
        <v>2022</v>
      </c>
      <c r="C2512" s="1">
        <v>44615</v>
      </c>
      <c r="D2512" s="1" t="str" cm="1">
        <f t="array" ref="D2512">_xlfn.IFS(E2512&lt;28, "17-27",
AND(E2512&gt;27, E2512&lt;38), "28-37",
AND(E2512&gt;37, E2512 &lt;48), "38-47",
AND(E2512&gt;47, E2512 &lt;58), "48-57",
AND(E2512&gt;57, E2512&lt;68), "58-67",
AND(E2512&gt;67, E2512&lt;78), "68-77",
E2512&gt;77,"Above than 77")</f>
        <v>68-77</v>
      </c>
      <c r="E2512">
        <v>73</v>
      </c>
      <c r="F2512" s="1">
        <v>18110</v>
      </c>
      <c r="G2512" s="1" t="str">
        <f>VLOOKUP(H2512,Table7[#All], 2, FALSE)</f>
        <v>Massachusetts</v>
      </c>
      <c r="H2512" s="2" t="s">
        <v>14</v>
      </c>
      <c r="I2512" s="2" t="s">
        <v>15</v>
      </c>
      <c r="J2512" s="2" t="s">
        <v>17</v>
      </c>
      <c r="K2512" s="2" t="s">
        <v>64</v>
      </c>
      <c r="L2512" s="2" t="s">
        <v>9</v>
      </c>
      <c r="M2512" s="2" t="s">
        <v>25</v>
      </c>
      <c r="N2512" s="2" t="s">
        <v>19</v>
      </c>
      <c r="O2512" s="2" t="s">
        <v>12</v>
      </c>
      <c r="P2512" s="2" t="s">
        <v>32</v>
      </c>
      <c r="Q2512" s="2" t="s">
        <v>16</v>
      </c>
      <c r="R2512" s="2" t="s">
        <v>18</v>
      </c>
      <c r="S2512">
        <v>1</v>
      </c>
    </row>
    <row r="2513" spans="1:19" x14ac:dyDescent="0.3">
      <c r="A2513">
        <v>1897</v>
      </c>
      <c r="B2513">
        <f>YEAR(Cleaned_HR_Data_Analysis__2[[#This Row],[Joining_Date]])</f>
        <v>2021</v>
      </c>
      <c r="C2513" s="1">
        <v>44514</v>
      </c>
      <c r="D2513" s="1" t="str" cm="1">
        <f t="array" ref="D2513">_xlfn.IFS(E2513&lt;28, "17-27",
AND(E2513&gt;27, E2513&lt;38), "28-37",
AND(E2513&gt;37, E2513 &lt;48), "38-47",
AND(E2513&gt;47, E2513 &lt;58), "48-57",
AND(E2513&gt;57, E2513&lt;68), "58-67",
AND(E2513&gt;67, E2513&lt;78), "68-77",
E2513&gt;77,"Above than 77")</f>
        <v>68-77</v>
      </c>
      <c r="E2513">
        <v>73</v>
      </c>
      <c r="F2513" s="1">
        <v>17734</v>
      </c>
      <c r="G2513" s="1" t="str">
        <f>VLOOKUP(H2513,Table7[#All], 2, FALSE)</f>
        <v>Massachusetts</v>
      </c>
      <c r="H2513" s="2" t="s">
        <v>14</v>
      </c>
      <c r="I2513" s="2" t="s">
        <v>22</v>
      </c>
      <c r="J2513" s="2" t="s">
        <v>40</v>
      </c>
      <c r="K2513" s="2" t="s">
        <v>64</v>
      </c>
      <c r="L2513" s="2" t="s">
        <v>9</v>
      </c>
      <c r="M2513" s="2" t="s">
        <v>25</v>
      </c>
      <c r="N2513" s="2" t="s">
        <v>11</v>
      </c>
      <c r="O2513" s="2" t="s">
        <v>12</v>
      </c>
      <c r="P2513" s="2" t="s">
        <v>35</v>
      </c>
      <c r="Q2513" s="2" t="s">
        <v>46</v>
      </c>
      <c r="R2513" s="2" t="s">
        <v>18</v>
      </c>
      <c r="S2513">
        <v>4</v>
      </c>
    </row>
    <row r="2514" spans="1:19" x14ac:dyDescent="0.3">
      <c r="A2514">
        <v>3722</v>
      </c>
      <c r="B2514">
        <f>YEAR(Cleaned_HR_Data_Analysis__2[[#This Row],[Joining_Date]])</f>
        <v>2020</v>
      </c>
      <c r="C2514" s="1">
        <v>43877</v>
      </c>
      <c r="D2514" s="1" t="str" cm="1">
        <f t="array" ref="D2514">_xlfn.IFS(E2514&lt;28, "17-27",
AND(E2514&gt;27, E2514&lt;38), "28-37",
AND(E2514&gt;37, E2514 &lt;48), "38-47",
AND(E2514&gt;47, E2514 &lt;58), "48-57",
AND(E2514&gt;57, E2514&lt;68), "58-67",
AND(E2514&gt;67, E2514&lt;78), "68-77",
E2514&gt;77,"Above than 77")</f>
        <v>68-77</v>
      </c>
      <c r="E2514">
        <v>73</v>
      </c>
      <c r="F2514" s="1">
        <v>17410</v>
      </c>
      <c r="G2514" s="1" t="str">
        <f>VLOOKUP(H2514,Table7[#All], 2, FALSE)</f>
        <v>Massachusetts</v>
      </c>
      <c r="H2514" s="2" t="s">
        <v>14</v>
      </c>
      <c r="I2514" s="2" t="s">
        <v>22</v>
      </c>
      <c r="J2514" s="2" t="s">
        <v>34</v>
      </c>
      <c r="K2514" s="2" t="s">
        <v>8</v>
      </c>
      <c r="L2514" s="2" t="s">
        <v>66</v>
      </c>
      <c r="M2514" s="2" t="s">
        <v>20</v>
      </c>
      <c r="N2514" s="2" t="s">
        <v>26</v>
      </c>
      <c r="O2514" s="2" t="s">
        <v>12</v>
      </c>
      <c r="P2514" s="2" t="s">
        <v>35</v>
      </c>
      <c r="Q2514" s="2" t="s">
        <v>16</v>
      </c>
      <c r="R2514" s="2" t="s">
        <v>18</v>
      </c>
      <c r="S2514">
        <v>5</v>
      </c>
    </row>
    <row r="2515" spans="1:19" x14ac:dyDescent="0.3">
      <c r="A2515">
        <v>3652</v>
      </c>
      <c r="B2515">
        <f>YEAR(Cleaned_HR_Data_Analysis__2[[#This Row],[Joining_Date]])</f>
        <v>2019</v>
      </c>
      <c r="C2515" s="1">
        <v>43707</v>
      </c>
      <c r="D2515" s="1" t="str" cm="1">
        <f t="array" ref="D2515">_xlfn.IFS(E2515&lt;28, "17-27",
AND(E2515&gt;27, E2515&lt;38), "28-37",
AND(E2515&gt;37, E2515 &lt;48), "38-47",
AND(E2515&gt;47, E2515 &lt;58), "48-57",
AND(E2515&gt;57, E2515&lt;68), "58-67",
AND(E2515&gt;67, E2515&lt;78), "68-77",
E2515&gt;77,"Above than 77")</f>
        <v>68-77</v>
      </c>
      <c r="E2515">
        <v>73</v>
      </c>
      <c r="F2515" s="1">
        <v>17030</v>
      </c>
      <c r="G2515" s="1" t="str">
        <f>VLOOKUP(H2515,Table7[#All], 2, FALSE)</f>
        <v>Massachusetts</v>
      </c>
      <c r="H2515" s="2" t="s">
        <v>14</v>
      </c>
      <c r="I2515" s="2" t="s">
        <v>22</v>
      </c>
      <c r="J2515" s="2" t="s">
        <v>34</v>
      </c>
      <c r="K2515" s="2" t="s">
        <v>8</v>
      </c>
      <c r="L2515" s="2" t="s">
        <v>66</v>
      </c>
      <c r="M2515" s="2" t="s">
        <v>20</v>
      </c>
      <c r="N2515" s="2" t="s">
        <v>11</v>
      </c>
      <c r="O2515" s="2" t="s">
        <v>12</v>
      </c>
      <c r="P2515" s="2" t="s">
        <v>35</v>
      </c>
      <c r="Q2515" s="2" t="s">
        <v>30</v>
      </c>
      <c r="R2515" s="2" t="s">
        <v>18</v>
      </c>
      <c r="S2515">
        <v>5</v>
      </c>
    </row>
    <row r="2516" spans="1:19" x14ac:dyDescent="0.3">
      <c r="A2516">
        <v>3563</v>
      </c>
      <c r="B2516">
        <f>YEAR(Cleaned_HR_Data_Analysis__2[[#This Row],[Joining_Date]])</f>
        <v>2019</v>
      </c>
      <c r="C2516" s="1">
        <v>43466</v>
      </c>
      <c r="D2516" s="1" t="str" cm="1">
        <f t="array" ref="D2516">_xlfn.IFS(E2516&lt;28, "17-27",
AND(E2516&gt;27, E2516&lt;38), "28-37",
AND(E2516&gt;37, E2516 &lt;48), "38-47",
AND(E2516&gt;47, E2516 &lt;58), "48-57",
AND(E2516&gt;57, E2516&lt;68), "58-67",
AND(E2516&gt;67, E2516&lt;78), "68-77",
E2516&gt;77,"Above than 77")</f>
        <v>68-77</v>
      </c>
      <c r="E2516">
        <v>73</v>
      </c>
      <c r="F2516" s="1">
        <v>17090</v>
      </c>
      <c r="G2516" s="1" t="str">
        <f>VLOOKUP(H2516,Table7[#All], 2, FALSE)</f>
        <v>Massachusetts</v>
      </c>
      <c r="H2516" s="2" t="s">
        <v>14</v>
      </c>
      <c r="I2516" s="2" t="s">
        <v>22</v>
      </c>
      <c r="J2516" s="2" t="s">
        <v>17</v>
      </c>
      <c r="K2516" s="2" t="s">
        <v>8</v>
      </c>
      <c r="L2516" s="2" t="s">
        <v>9</v>
      </c>
      <c r="M2516" s="2" t="s">
        <v>10</v>
      </c>
      <c r="N2516" s="2" t="s">
        <v>26</v>
      </c>
      <c r="O2516" s="2" t="s">
        <v>12</v>
      </c>
      <c r="P2516" s="2" t="s">
        <v>35</v>
      </c>
      <c r="Q2516" s="2" t="s">
        <v>37</v>
      </c>
      <c r="R2516" s="2" t="s">
        <v>65</v>
      </c>
      <c r="S2516">
        <v>1</v>
      </c>
    </row>
    <row r="2517" spans="1:19" x14ac:dyDescent="0.3">
      <c r="A2517">
        <v>3397</v>
      </c>
      <c r="B2517">
        <f>YEAR(Cleaned_HR_Data_Analysis__2[[#This Row],[Joining_Date]])</f>
        <v>2022</v>
      </c>
      <c r="C2517" s="1">
        <v>44870</v>
      </c>
      <c r="D2517" s="1" t="str" cm="1">
        <f t="array" ref="D2517">_xlfn.IFS(E2517&lt;28, "17-27",
AND(E2517&gt;27, E2517&lt;38), "28-37",
AND(E2517&gt;37, E2517 &lt;48), "38-47",
AND(E2517&gt;47, E2517 &lt;58), "48-57",
AND(E2517&gt;57, E2517&lt;68), "58-67",
AND(E2517&gt;67, E2517&lt;78), "68-77",
E2517&gt;77,"Above than 77")</f>
        <v>68-77</v>
      </c>
      <c r="E2517">
        <v>73</v>
      </c>
      <c r="F2517" s="1">
        <v>18168</v>
      </c>
      <c r="G2517" s="1" t="str">
        <f>VLOOKUP(H2517,Table7[#All], 2, FALSE)</f>
        <v>Massachusetts</v>
      </c>
      <c r="H2517" s="2" t="s">
        <v>14</v>
      </c>
      <c r="I2517" s="2" t="s">
        <v>15</v>
      </c>
      <c r="J2517" s="2" t="s">
        <v>31</v>
      </c>
      <c r="K2517" s="2" t="s">
        <v>8</v>
      </c>
      <c r="L2517" s="2" t="s">
        <v>9</v>
      </c>
      <c r="M2517" s="2" t="s">
        <v>20</v>
      </c>
      <c r="N2517" s="2" t="s">
        <v>19</v>
      </c>
      <c r="O2517" s="2" t="s">
        <v>12</v>
      </c>
      <c r="P2517" s="2" t="s">
        <v>35</v>
      </c>
      <c r="Q2517" s="2" t="s">
        <v>46</v>
      </c>
      <c r="R2517" s="2" t="s">
        <v>18</v>
      </c>
      <c r="S2517">
        <v>3</v>
      </c>
    </row>
    <row r="2518" spans="1:19" x14ac:dyDescent="0.3">
      <c r="A2518">
        <v>3292</v>
      </c>
      <c r="B2518">
        <f>YEAR(Cleaned_HR_Data_Analysis__2[[#This Row],[Joining_Date]])</f>
        <v>2019</v>
      </c>
      <c r="C2518" s="1">
        <v>43477</v>
      </c>
      <c r="D2518" s="1" t="str" cm="1">
        <f t="array" ref="D2518">_xlfn.IFS(E2518&lt;28, "17-27",
AND(E2518&gt;27, E2518&lt;38), "28-37",
AND(E2518&gt;37, E2518 &lt;48), "38-47",
AND(E2518&gt;47, E2518 &lt;58), "48-57",
AND(E2518&gt;57, E2518&lt;68), "58-67",
AND(E2518&gt;67, E2518&lt;78), "68-77",
E2518&gt;77,"Above than 77")</f>
        <v>68-77</v>
      </c>
      <c r="E2518">
        <v>73</v>
      </c>
      <c r="F2518" s="1">
        <v>16935</v>
      </c>
      <c r="G2518" s="1" t="str">
        <f>VLOOKUP(H2518,Table7[#All], 2, FALSE)</f>
        <v>Massachusetts</v>
      </c>
      <c r="H2518" s="2" t="s">
        <v>14</v>
      </c>
      <c r="I2518" s="2" t="s">
        <v>22</v>
      </c>
      <c r="J2518" s="2" t="s">
        <v>31</v>
      </c>
      <c r="K2518" s="2" t="s">
        <v>8</v>
      </c>
      <c r="L2518" s="2" t="s">
        <v>66</v>
      </c>
      <c r="M2518" s="2" t="s">
        <v>20</v>
      </c>
      <c r="N2518" s="2" t="s">
        <v>11</v>
      </c>
      <c r="O2518" s="2" t="s">
        <v>12</v>
      </c>
      <c r="P2518" s="2" t="s">
        <v>35</v>
      </c>
      <c r="Q2518" s="2" t="s">
        <v>46</v>
      </c>
      <c r="R2518" s="2" t="s">
        <v>18</v>
      </c>
      <c r="S2518">
        <v>4</v>
      </c>
    </row>
    <row r="2519" spans="1:19" x14ac:dyDescent="0.3">
      <c r="A2519">
        <v>3244</v>
      </c>
      <c r="B2519">
        <f>YEAR(Cleaned_HR_Data_Analysis__2[[#This Row],[Joining_Date]])</f>
        <v>2021</v>
      </c>
      <c r="C2519" s="1">
        <v>44405</v>
      </c>
      <c r="D2519" s="1" t="str" cm="1">
        <f t="array" ref="D2519">_xlfn.IFS(E2519&lt;28, "17-27",
AND(E2519&gt;27, E2519&lt;38), "28-37",
AND(E2519&gt;37, E2519 &lt;48), "38-47",
AND(E2519&gt;47, E2519 &lt;58), "48-57",
AND(E2519&gt;57, E2519&lt;68), "58-67",
AND(E2519&gt;67, E2519&lt;78), "68-77",
E2519&gt;77,"Above than 77")</f>
        <v>68-77</v>
      </c>
      <c r="E2519">
        <v>73</v>
      </c>
      <c r="F2519" s="1">
        <v>17884</v>
      </c>
      <c r="G2519" s="1" t="str">
        <f>VLOOKUP(H2519,Table7[#All], 2, FALSE)</f>
        <v>Massachusetts</v>
      </c>
      <c r="H2519" s="2" t="s">
        <v>14</v>
      </c>
      <c r="I2519" s="2" t="s">
        <v>15</v>
      </c>
      <c r="J2519" s="2" t="s">
        <v>40</v>
      </c>
      <c r="K2519" s="2" t="s">
        <v>8</v>
      </c>
      <c r="L2519" s="2" t="s">
        <v>9</v>
      </c>
      <c r="M2519" s="2" t="s">
        <v>20</v>
      </c>
      <c r="N2519" s="2" t="s">
        <v>11</v>
      </c>
      <c r="O2519" s="2" t="s">
        <v>12</v>
      </c>
      <c r="P2519" s="2" t="s">
        <v>58</v>
      </c>
      <c r="Q2519" s="2" t="s">
        <v>37</v>
      </c>
      <c r="R2519" s="2" t="s">
        <v>18</v>
      </c>
      <c r="S2519">
        <v>1</v>
      </c>
    </row>
    <row r="2520" spans="1:19" x14ac:dyDescent="0.3">
      <c r="A2520">
        <v>3228</v>
      </c>
      <c r="B2520">
        <f>YEAR(Cleaned_HR_Data_Analysis__2[[#This Row],[Joining_Date]])</f>
        <v>2019</v>
      </c>
      <c r="C2520" s="1">
        <v>43612</v>
      </c>
      <c r="D2520" s="1" t="str" cm="1">
        <f t="array" ref="D2520">_xlfn.IFS(E2520&lt;28, "17-27",
AND(E2520&gt;27, E2520&lt;38), "28-37",
AND(E2520&gt;37, E2520 &lt;48), "38-47",
AND(E2520&gt;47, E2520 &lt;58), "48-57",
AND(E2520&gt;57, E2520&lt;68), "58-67",
AND(E2520&gt;67, E2520&lt;78), "68-77",
E2520&gt;77,"Above than 77")</f>
        <v>68-77</v>
      </c>
      <c r="E2520">
        <v>73</v>
      </c>
      <c r="F2520" s="1">
        <v>16956</v>
      </c>
      <c r="G2520" s="1" t="str">
        <f>VLOOKUP(H2520,Table7[#All], 2, FALSE)</f>
        <v>Massachusetts</v>
      </c>
      <c r="H2520" s="2" t="s">
        <v>14</v>
      </c>
      <c r="I2520" s="2" t="s">
        <v>22</v>
      </c>
      <c r="J2520" s="2" t="s">
        <v>31</v>
      </c>
      <c r="K2520" s="2" t="s">
        <v>8</v>
      </c>
      <c r="L2520" s="2" t="s">
        <v>66</v>
      </c>
      <c r="M2520" s="2" t="s">
        <v>25</v>
      </c>
      <c r="N2520" s="2" t="s">
        <v>11</v>
      </c>
      <c r="O2520" s="2" t="s">
        <v>12</v>
      </c>
      <c r="P2520" s="2" t="s">
        <v>35</v>
      </c>
      <c r="Q2520" s="2" t="s">
        <v>23</v>
      </c>
      <c r="R2520" s="2" t="s">
        <v>18</v>
      </c>
      <c r="S2520">
        <v>5</v>
      </c>
    </row>
    <row r="2521" spans="1:19" x14ac:dyDescent="0.3">
      <c r="A2521">
        <v>3121</v>
      </c>
      <c r="B2521">
        <f>YEAR(Cleaned_HR_Data_Analysis__2[[#This Row],[Joining_Date]])</f>
        <v>2022</v>
      </c>
      <c r="C2521" s="1">
        <v>44872</v>
      </c>
      <c r="D2521" s="1" t="str" cm="1">
        <f t="array" ref="D2521">_xlfn.IFS(E2521&lt;28, "17-27",
AND(E2521&gt;27, E2521&lt;38), "28-37",
AND(E2521&gt;37, E2521 &lt;48), "38-47",
AND(E2521&gt;47, E2521 &lt;58), "48-57",
AND(E2521&gt;57, E2521&lt;68), "58-67",
AND(E2521&gt;67, E2521&lt;78), "68-77",
E2521&gt;77,"Above than 77")</f>
        <v>68-77</v>
      </c>
      <c r="E2521">
        <v>73</v>
      </c>
      <c r="F2521" s="1">
        <v>18188</v>
      </c>
      <c r="G2521" s="1" t="str">
        <f>VLOOKUP(H2521,Table7[#All], 2, FALSE)</f>
        <v>Massachusetts</v>
      </c>
      <c r="H2521" s="2" t="s">
        <v>14</v>
      </c>
      <c r="I2521" s="2" t="s">
        <v>15</v>
      </c>
      <c r="J2521" s="2" t="s">
        <v>31</v>
      </c>
      <c r="K2521" s="2" t="s">
        <v>8</v>
      </c>
      <c r="L2521" s="2" t="s">
        <v>9</v>
      </c>
      <c r="M2521" s="2" t="s">
        <v>20</v>
      </c>
      <c r="N2521" s="2" t="s">
        <v>11</v>
      </c>
      <c r="O2521" s="2" t="s">
        <v>12</v>
      </c>
      <c r="P2521" s="2" t="s">
        <v>54</v>
      </c>
      <c r="Q2521" s="2" t="s">
        <v>37</v>
      </c>
      <c r="R2521" s="2" t="s">
        <v>18</v>
      </c>
      <c r="S2521">
        <v>1</v>
      </c>
    </row>
    <row r="2522" spans="1:19" x14ac:dyDescent="0.3">
      <c r="A2522">
        <v>2993</v>
      </c>
      <c r="B2522">
        <f>YEAR(Cleaned_HR_Data_Analysis__2[[#This Row],[Joining_Date]])</f>
        <v>2019</v>
      </c>
      <c r="C2522" s="1">
        <v>43542</v>
      </c>
      <c r="D2522" s="1" t="str" cm="1">
        <f t="array" ref="D2522">_xlfn.IFS(E2522&lt;28, "17-27",
AND(E2522&gt;27, E2522&lt;38), "28-37",
AND(E2522&gt;37, E2522 &lt;48), "38-47",
AND(E2522&gt;47, E2522 &lt;58), "48-57",
AND(E2522&gt;57, E2522&lt;68), "58-67",
AND(E2522&gt;67, E2522&lt;78), "68-77",
E2522&gt;77,"Above than 77")</f>
        <v>68-77</v>
      </c>
      <c r="E2522">
        <v>73</v>
      </c>
      <c r="F2522" s="1">
        <v>16809</v>
      </c>
      <c r="G2522" s="1" t="str">
        <f>VLOOKUP(H2522,Table7[#All], 2, FALSE)</f>
        <v>Massachusetts</v>
      </c>
      <c r="H2522" s="2" t="s">
        <v>14</v>
      </c>
      <c r="I2522" s="2" t="s">
        <v>22</v>
      </c>
      <c r="J2522" s="2" t="s">
        <v>17</v>
      </c>
      <c r="K2522" s="2" t="s">
        <v>8</v>
      </c>
      <c r="L2522" s="2" t="s">
        <v>9</v>
      </c>
      <c r="M2522" s="2" t="s">
        <v>25</v>
      </c>
      <c r="N2522" s="2" t="s">
        <v>19</v>
      </c>
      <c r="O2522" s="2" t="s">
        <v>12</v>
      </c>
      <c r="P2522" s="2" t="s">
        <v>32</v>
      </c>
      <c r="Q2522" s="2" t="s">
        <v>16</v>
      </c>
      <c r="R2522" s="2" t="s">
        <v>18</v>
      </c>
      <c r="S2522">
        <v>5</v>
      </c>
    </row>
    <row r="2523" spans="1:19" x14ac:dyDescent="0.3">
      <c r="A2523">
        <v>2975</v>
      </c>
      <c r="B2523">
        <f>YEAR(Cleaned_HR_Data_Analysis__2[[#This Row],[Joining_Date]])</f>
        <v>2021</v>
      </c>
      <c r="C2523" s="1">
        <v>44300</v>
      </c>
      <c r="D2523" s="1" t="str" cm="1">
        <f t="array" ref="D2523">_xlfn.IFS(E2523&lt;28, "17-27",
AND(E2523&gt;27, E2523&lt;38), "28-37",
AND(E2523&gt;37, E2523 &lt;48), "38-47",
AND(E2523&gt;47, E2523 &lt;58), "48-57",
AND(E2523&gt;57, E2523&lt;68), "58-67",
AND(E2523&gt;67, E2523&lt;78), "68-77",
E2523&gt;77,"Above than 77")</f>
        <v>68-77</v>
      </c>
      <c r="E2523">
        <v>73</v>
      </c>
      <c r="F2523" s="1">
        <v>17701</v>
      </c>
      <c r="G2523" s="1" t="str">
        <f>VLOOKUP(H2523,Table7[#All], 2, FALSE)</f>
        <v>Massachusetts</v>
      </c>
      <c r="H2523" s="2" t="s">
        <v>14</v>
      </c>
      <c r="I2523" s="2" t="s">
        <v>22</v>
      </c>
      <c r="J2523" s="2" t="s">
        <v>34</v>
      </c>
      <c r="K2523" s="2" t="s">
        <v>8</v>
      </c>
      <c r="L2523" s="2" t="s">
        <v>9</v>
      </c>
      <c r="M2523" s="2" t="s">
        <v>25</v>
      </c>
      <c r="N2523" s="2" t="s">
        <v>19</v>
      </c>
      <c r="O2523" s="2" t="s">
        <v>12</v>
      </c>
      <c r="P2523" s="2" t="s">
        <v>67</v>
      </c>
      <c r="Q2523" s="2" t="s">
        <v>46</v>
      </c>
      <c r="R2523" s="2" t="s">
        <v>18</v>
      </c>
      <c r="S2523">
        <v>3</v>
      </c>
    </row>
    <row r="2524" spans="1:19" x14ac:dyDescent="0.3">
      <c r="A2524">
        <v>2932</v>
      </c>
      <c r="B2524">
        <f>YEAR(Cleaned_HR_Data_Analysis__2[[#This Row],[Joining_Date]])</f>
        <v>2021</v>
      </c>
      <c r="C2524" s="1">
        <v>44427</v>
      </c>
      <c r="D2524" s="1" t="str" cm="1">
        <f t="array" ref="D2524">_xlfn.IFS(E2524&lt;28, "17-27",
AND(E2524&gt;27, E2524&lt;38), "28-37",
AND(E2524&gt;37, E2524 &lt;48), "38-47",
AND(E2524&gt;47, E2524 &lt;58), "48-57",
AND(E2524&gt;57, E2524&lt;68), "58-67",
AND(E2524&gt;67, E2524&lt;78), "68-77",
E2524&gt;77,"Above than 77")</f>
        <v>68-77</v>
      </c>
      <c r="E2524">
        <v>73</v>
      </c>
      <c r="F2524" s="1">
        <v>17545</v>
      </c>
      <c r="G2524" s="1" t="str">
        <f>VLOOKUP(H2524,Table7[#All], 2, FALSE)</f>
        <v>Massachusetts</v>
      </c>
      <c r="H2524" s="2" t="s">
        <v>14</v>
      </c>
      <c r="I2524" s="2" t="s">
        <v>22</v>
      </c>
      <c r="J2524" s="2" t="s">
        <v>17</v>
      </c>
      <c r="K2524" s="2" t="s">
        <v>8</v>
      </c>
      <c r="L2524" s="2" t="s">
        <v>66</v>
      </c>
      <c r="M2524" s="2" t="s">
        <v>20</v>
      </c>
      <c r="N2524" s="2" t="s">
        <v>19</v>
      </c>
      <c r="O2524" s="2" t="s">
        <v>12</v>
      </c>
      <c r="P2524" s="2" t="s">
        <v>13</v>
      </c>
      <c r="Q2524" s="2" t="s">
        <v>23</v>
      </c>
      <c r="R2524" s="2" t="s">
        <v>18</v>
      </c>
      <c r="S2524">
        <v>4</v>
      </c>
    </row>
    <row r="2525" spans="1:19" x14ac:dyDescent="0.3">
      <c r="A2525">
        <v>2894</v>
      </c>
      <c r="B2525">
        <f>YEAR(Cleaned_HR_Data_Analysis__2[[#This Row],[Joining_Date]])</f>
        <v>2022</v>
      </c>
      <c r="C2525" s="1">
        <v>44743</v>
      </c>
      <c r="D2525" s="1" t="str" cm="1">
        <f t="array" ref="D2525">_xlfn.IFS(E2525&lt;28, "17-27",
AND(E2525&gt;27, E2525&lt;38), "28-37",
AND(E2525&gt;37, E2525 &lt;48), "38-47",
AND(E2525&gt;47, E2525 &lt;58), "48-57",
AND(E2525&gt;57, E2525&lt;68), "58-67",
AND(E2525&gt;67, E2525&lt;78), "68-77",
E2525&gt;77,"Above than 77")</f>
        <v>68-77</v>
      </c>
      <c r="E2525">
        <v>73</v>
      </c>
      <c r="F2525" s="1">
        <v>18101</v>
      </c>
      <c r="G2525" s="1" t="str">
        <f>VLOOKUP(H2525,Table7[#All], 2, FALSE)</f>
        <v>Massachusetts</v>
      </c>
      <c r="H2525" s="2" t="s">
        <v>14</v>
      </c>
      <c r="I2525" s="2" t="s">
        <v>22</v>
      </c>
      <c r="J2525" s="2" t="s">
        <v>31</v>
      </c>
      <c r="K2525" s="2" t="s">
        <v>8</v>
      </c>
      <c r="L2525" s="2" t="s">
        <v>9</v>
      </c>
      <c r="M2525" s="2" t="s">
        <v>20</v>
      </c>
      <c r="N2525" s="2" t="s">
        <v>26</v>
      </c>
      <c r="O2525" s="2" t="s">
        <v>12</v>
      </c>
      <c r="P2525" s="2" t="s">
        <v>35</v>
      </c>
      <c r="Q2525" s="2" t="s">
        <v>16</v>
      </c>
      <c r="R2525" s="2" t="s">
        <v>18</v>
      </c>
      <c r="S2525">
        <v>4</v>
      </c>
    </row>
    <row r="2526" spans="1:19" x14ac:dyDescent="0.3">
      <c r="A2526">
        <v>2870</v>
      </c>
      <c r="B2526">
        <f>YEAR(Cleaned_HR_Data_Analysis__2[[#This Row],[Joining_Date]])</f>
        <v>2023</v>
      </c>
      <c r="C2526" s="1">
        <v>45133</v>
      </c>
      <c r="D2526" s="1" t="str" cm="1">
        <f t="array" ref="D2526">_xlfn.IFS(E2526&lt;28, "17-27",
AND(E2526&gt;27, E2526&lt;38), "28-37",
AND(E2526&gt;37, E2526 &lt;48), "38-47",
AND(E2526&gt;47, E2526 &lt;58), "48-57",
AND(E2526&gt;57, E2526&lt;68), "58-67",
AND(E2526&gt;67, E2526&lt;78), "68-77",
E2526&gt;77,"Above than 77")</f>
        <v>68-77</v>
      </c>
      <c r="E2526">
        <v>73</v>
      </c>
      <c r="F2526" s="1">
        <v>18514</v>
      </c>
      <c r="G2526" s="1" t="str">
        <f>VLOOKUP(H2526,Table7[#All], 2, FALSE)</f>
        <v>Massachusetts</v>
      </c>
      <c r="H2526" s="2" t="s">
        <v>14</v>
      </c>
      <c r="I2526" s="2" t="s">
        <v>22</v>
      </c>
      <c r="J2526" s="2" t="s">
        <v>34</v>
      </c>
      <c r="K2526" s="2" t="s">
        <v>8</v>
      </c>
      <c r="L2526" s="2" t="s">
        <v>9</v>
      </c>
      <c r="M2526" s="2" t="s">
        <v>20</v>
      </c>
      <c r="N2526" s="2" t="s">
        <v>26</v>
      </c>
      <c r="O2526" s="2" t="s">
        <v>12</v>
      </c>
      <c r="P2526" s="2" t="s">
        <v>76</v>
      </c>
      <c r="Q2526" s="2" t="s">
        <v>37</v>
      </c>
      <c r="R2526" s="2" t="s">
        <v>18</v>
      </c>
      <c r="S2526">
        <v>3</v>
      </c>
    </row>
    <row r="2527" spans="1:19" x14ac:dyDescent="0.3">
      <c r="A2527">
        <v>2795</v>
      </c>
      <c r="B2527">
        <f>YEAR(Cleaned_HR_Data_Analysis__2[[#This Row],[Joining_Date]])</f>
        <v>2022</v>
      </c>
      <c r="C2527" s="1">
        <v>44752</v>
      </c>
      <c r="D2527" s="1" t="str" cm="1">
        <f t="array" ref="D2527">_xlfn.IFS(E2527&lt;28, "17-27",
AND(E2527&gt;27, E2527&lt;38), "28-37",
AND(E2527&gt;37, E2527 &lt;48), "38-47",
AND(E2527&gt;47, E2527 &lt;58), "48-57",
AND(E2527&gt;57, E2527&lt;68), "58-67",
AND(E2527&gt;67, E2527&lt;78), "68-77",
E2527&gt;77,"Above than 77")</f>
        <v>68-77</v>
      </c>
      <c r="E2527">
        <v>73</v>
      </c>
      <c r="F2527" s="1">
        <v>17924</v>
      </c>
      <c r="G2527" s="1" t="str">
        <f>VLOOKUP(H2527,Table7[#All], 2, FALSE)</f>
        <v>Massachusetts</v>
      </c>
      <c r="H2527" s="2" t="s">
        <v>14</v>
      </c>
      <c r="I2527" s="2" t="s">
        <v>15</v>
      </c>
      <c r="J2527" s="2" t="s">
        <v>31</v>
      </c>
      <c r="K2527" s="2" t="s">
        <v>8</v>
      </c>
      <c r="L2527" s="2" t="s">
        <v>9</v>
      </c>
      <c r="M2527" s="2" t="s">
        <v>20</v>
      </c>
      <c r="N2527" s="2" t="s">
        <v>11</v>
      </c>
      <c r="O2527" s="2" t="s">
        <v>12</v>
      </c>
      <c r="P2527" s="2" t="s">
        <v>38</v>
      </c>
      <c r="Q2527" s="2" t="s">
        <v>46</v>
      </c>
      <c r="R2527" s="2" t="s">
        <v>18</v>
      </c>
      <c r="S2527">
        <v>1</v>
      </c>
    </row>
    <row r="2528" spans="1:19" x14ac:dyDescent="0.3">
      <c r="A2528">
        <v>2767</v>
      </c>
      <c r="B2528">
        <f>YEAR(Cleaned_HR_Data_Analysis__2[[#This Row],[Joining_Date]])</f>
        <v>2022</v>
      </c>
      <c r="C2528" s="1">
        <v>44685</v>
      </c>
      <c r="D2528" s="1" t="str" cm="1">
        <f t="array" ref="D2528">_xlfn.IFS(E2528&lt;28, "17-27",
AND(E2528&gt;27, E2528&lt;38), "28-37",
AND(E2528&gt;37, E2528 &lt;48), "38-47",
AND(E2528&gt;47, E2528 &lt;58), "48-57",
AND(E2528&gt;57, E2528&lt;68), "58-67",
AND(E2528&gt;67, E2528&lt;78), "68-77",
E2528&gt;77,"Above than 77")</f>
        <v>68-77</v>
      </c>
      <c r="E2528">
        <v>73</v>
      </c>
      <c r="F2528" s="1">
        <v>17913</v>
      </c>
      <c r="G2528" s="1" t="str">
        <f>VLOOKUP(H2528,Table7[#All], 2, FALSE)</f>
        <v>Massachusetts</v>
      </c>
      <c r="H2528" s="2" t="s">
        <v>14</v>
      </c>
      <c r="I2528" s="2" t="s">
        <v>15</v>
      </c>
      <c r="J2528" s="2" t="s">
        <v>40</v>
      </c>
      <c r="K2528" s="2" t="s">
        <v>8</v>
      </c>
      <c r="L2528" s="2" t="s">
        <v>9</v>
      </c>
      <c r="M2528" s="2" t="s">
        <v>25</v>
      </c>
      <c r="N2528" s="2" t="s">
        <v>19</v>
      </c>
      <c r="O2528" s="2" t="s">
        <v>12</v>
      </c>
      <c r="P2528" s="2" t="s">
        <v>35</v>
      </c>
      <c r="Q2528" s="2" t="s">
        <v>46</v>
      </c>
      <c r="R2528" s="2" t="s">
        <v>18</v>
      </c>
      <c r="S2528">
        <v>3</v>
      </c>
    </row>
    <row r="2529" spans="1:19" x14ac:dyDescent="0.3">
      <c r="A2529">
        <v>2170</v>
      </c>
      <c r="B2529">
        <f>YEAR(Cleaned_HR_Data_Analysis__2[[#This Row],[Joining_Date]])</f>
        <v>2023</v>
      </c>
      <c r="C2529" s="1">
        <v>44955</v>
      </c>
      <c r="D2529" s="1" t="str" cm="1">
        <f t="array" ref="D2529">_xlfn.IFS(E2529&lt;28, "17-27",
AND(E2529&gt;27, E2529&lt;38), "28-37",
AND(E2529&gt;37, E2529 &lt;48), "38-47",
AND(E2529&gt;47, E2529 &lt;58), "48-57",
AND(E2529&gt;57, E2529&lt;68), "58-67",
AND(E2529&gt;67, E2529&lt;78), "68-77",
E2529&gt;77,"Above than 77")</f>
        <v>68-77</v>
      </c>
      <c r="E2529">
        <v>73</v>
      </c>
      <c r="F2529" s="1">
        <v>18431</v>
      </c>
      <c r="G2529" s="1" t="str">
        <f>VLOOKUP(H2529,Table7[#All], 2, FALSE)</f>
        <v>Massachusetts</v>
      </c>
      <c r="H2529" s="2" t="s">
        <v>14</v>
      </c>
      <c r="I2529" s="2" t="s">
        <v>15</v>
      </c>
      <c r="J2529" s="2" t="s">
        <v>17</v>
      </c>
      <c r="K2529" s="2" t="s">
        <v>8</v>
      </c>
      <c r="L2529" s="2" t="s">
        <v>9</v>
      </c>
      <c r="M2529" s="2" t="s">
        <v>25</v>
      </c>
      <c r="N2529" s="2" t="s">
        <v>11</v>
      </c>
      <c r="O2529" s="2" t="s">
        <v>12</v>
      </c>
      <c r="P2529" s="2" t="s">
        <v>59</v>
      </c>
      <c r="Q2529" s="2" t="s">
        <v>37</v>
      </c>
      <c r="R2529" s="2" t="s">
        <v>41</v>
      </c>
      <c r="S2529">
        <v>5</v>
      </c>
    </row>
    <row r="2530" spans="1:19" x14ac:dyDescent="0.3">
      <c r="A2530">
        <v>2124</v>
      </c>
      <c r="B2530">
        <f>YEAR(Cleaned_HR_Data_Analysis__2[[#This Row],[Joining_Date]])</f>
        <v>2023</v>
      </c>
      <c r="C2530" s="1">
        <v>44978</v>
      </c>
      <c r="D2530" s="1" t="str" cm="1">
        <f t="array" ref="D2530">_xlfn.IFS(E2530&lt;28, "17-27",
AND(E2530&gt;27, E2530&lt;38), "28-37",
AND(E2530&gt;37, E2530 &lt;48), "38-47",
AND(E2530&gt;47, E2530 &lt;58), "48-57",
AND(E2530&gt;57, E2530&lt;68), "58-67",
AND(E2530&gt;67, E2530&lt;78), "68-77",
E2530&gt;77,"Above than 77")</f>
        <v>68-77</v>
      </c>
      <c r="E2530">
        <v>73</v>
      </c>
      <c r="F2530" s="1">
        <v>18484</v>
      </c>
      <c r="G2530" s="1" t="str">
        <f>VLOOKUP(H2530,Table7[#All], 2, FALSE)</f>
        <v>Massachusetts</v>
      </c>
      <c r="H2530" s="2" t="s">
        <v>14</v>
      </c>
      <c r="I2530" s="2" t="s">
        <v>15</v>
      </c>
      <c r="J2530" s="2" t="s">
        <v>31</v>
      </c>
      <c r="K2530" s="2" t="s">
        <v>8</v>
      </c>
      <c r="L2530" s="2" t="s">
        <v>66</v>
      </c>
      <c r="M2530" s="2" t="s">
        <v>10</v>
      </c>
      <c r="N2530" s="2" t="s">
        <v>26</v>
      </c>
      <c r="O2530" s="2" t="s">
        <v>12</v>
      </c>
      <c r="P2530" s="2" t="s">
        <v>59</v>
      </c>
      <c r="Q2530" s="2" t="s">
        <v>16</v>
      </c>
      <c r="R2530" s="2" t="s">
        <v>41</v>
      </c>
      <c r="S2530">
        <v>1</v>
      </c>
    </row>
    <row r="2531" spans="1:19" x14ac:dyDescent="0.3">
      <c r="A2531">
        <v>2110</v>
      </c>
      <c r="B2531">
        <f>YEAR(Cleaned_HR_Data_Analysis__2[[#This Row],[Joining_Date]])</f>
        <v>2021</v>
      </c>
      <c r="C2531" s="1">
        <v>44351</v>
      </c>
      <c r="D2531" s="1" t="str" cm="1">
        <f t="array" ref="D2531">_xlfn.IFS(E2531&lt;28, "17-27",
AND(E2531&gt;27, E2531&lt;38), "28-37",
AND(E2531&gt;37, E2531 &lt;48), "38-47",
AND(E2531&gt;47, E2531 &lt;58), "48-57",
AND(E2531&gt;57, E2531&lt;68), "58-67",
AND(E2531&gt;67, E2531&lt;78), "68-77",
E2531&gt;77,"Above than 77")</f>
        <v>68-77</v>
      </c>
      <c r="E2531">
        <v>73</v>
      </c>
      <c r="F2531" s="1">
        <v>17666</v>
      </c>
      <c r="G2531" s="1" t="str">
        <f>VLOOKUP(H2531,Table7[#All], 2, FALSE)</f>
        <v>Massachusetts</v>
      </c>
      <c r="H2531" s="2" t="s">
        <v>14</v>
      </c>
      <c r="I2531" s="2" t="s">
        <v>15</v>
      </c>
      <c r="J2531" s="2" t="s">
        <v>31</v>
      </c>
      <c r="K2531" s="2" t="s">
        <v>8</v>
      </c>
      <c r="L2531" s="2" t="s">
        <v>9</v>
      </c>
      <c r="M2531" s="2" t="s">
        <v>10</v>
      </c>
      <c r="N2531" s="2" t="s">
        <v>11</v>
      </c>
      <c r="O2531" s="2" t="s">
        <v>12</v>
      </c>
      <c r="P2531" s="2" t="s">
        <v>28</v>
      </c>
      <c r="Q2531" s="2" t="s">
        <v>37</v>
      </c>
      <c r="R2531" s="2" t="s">
        <v>41</v>
      </c>
      <c r="S2531">
        <v>4</v>
      </c>
    </row>
    <row r="2532" spans="1:19" x14ac:dyDescent="0.3">
      <c r="A2532">
        <v>1986</v>
      </c>
      <c r="B2532">
        <f>YEAR(Cleaned_HR_Data_Analysis__2[[#This Row],[Joining_Date]])</f>
        <v>2022</v>
      </c>
      <c r="C2532" s="1">
        <v>44788</v>
      </c>
      <c r="D2532" s="1" t="str" cm="1">
        <f t="array" ref="D2532">_xlfn.IFS(E2532&lt;28, "17-27",
AND(E2532&gt;27, E2532&lt;38), "28-37",
AND(E2532&gt;37, E2532 &lt;48), "38-47",
AND(E2532&gt;47, E2532 &lt;58), "48-57",
AND(E2532&gt;57, E2532&lt;68), "58-67",
AND(E2532&gt;67, E2532&lt;78), "68-77",
E2532&gt;77,"Above than 77")</f>
        <v>68-77</v>
      </c>
      <c r="E2532">
        <v>73</v>
      </c>
      <c r="F2532" s="1">
        <v>17947</v>
      </c>
      <c r="G2532" s="1" t="str">
        <f>VLOOKUP(H2532,Table7[#All], 2, FALSE)</f>
        <v>Massachusetts</v>
      </c>
      <c r="H2532" s="2" t="s">
        <v>14</v>
      </c>
      <c r="I2532" s="2" t="s">
        <v>15</v>
      </c>
      <c r="J2532" s="2" t="s">
        <v>40</v>
      </c>
      <c r="K2532" s="2" t="s">
        <v>8</v>
      </c>
      <c r="L2532" s="2" t="s">
        <v>9</v>
      </c>
      <c r="M2532" s="2" t="s">
        <v>10</v>
      </c>
      <c r="N2532" s="2" t="s">
        <v>11</v>
      </c>
      <c r="O2532" s="2" t="s">
        <v>12</v>
      </c>
      <c r="P2532" s="2" t="s">
        <v>44</v>
      </c>
      <c r="Q2532" s="2" t="s">
        <v>37</v>
      </c>
      <c r="R2532" s="2" t="s">
        <v>18</v>
      </c>
      <c r="S2532">
        <v>4</v>
      </c>
    </row>
    <row r="2533" spans="1:19" x14ac:dyDescent="0.3">
      <c r="A2533">
        <v>1961</v>
      </c>
      <c r="B2533">
        <f>YEAR(Cleaned_HR_Data_Analysis__2[[#This Row],[Joining_Date]])</f>
        <v>2018</v>
      </c>
      <c r="C2533" s="1">
        <v>43384</v>
      </c>
      <c r="D2533" s="1" t="str" cm="1">
        <f t="array" ref="D2533">_xlfn.IFS(E2533&lt;28, "17-27",
AND(E2533&gt;27, E2533&lt;38), "28-37",
AND(E2533&gt;37, E2533 &lt;48), "38-47",
AND(E2533&gt;47, E2533 &lt;58), "48-57",
AND(E2533&gt;57, E2533&lt;68), "58-67",
AND(E2533&gt;67, E2533&lt;78), "68-77",
E2533&gt;77,"Above than 77")</f>
        <v>68-77</v>
      </c>
      <c r="E2533">
        <v>73</v>
      </c>
      <c r="F2533" s="1">
        <v>16635</v>
      </c>
      <c r="G2533" s="1" t="str">
        <f>VLOOKUP(H2533,Table7[#All], 2, FALSE)</f>
        <v>Massachusetts</v>
      </c>
      <c r="H2533" s="2" t="s">
        <v>14</v>
      </c>
      <c r="I2533" s="2" t="s">
        <v>15</v>
      </c>
      <c r="J2533" s="2" t="s">
        <v>34</v>
      </c>
      <c r="K2533" s="2" t="s">
        <v>8</v>
      </c>
      <c r="L2533" s="2" t="s">
        <v>66</v>
      </c>
      <c r="M2533" s="2" t="s">
        <v>20</v>
      </c>
      <c r="N2533" s="2" t="s">
        <v>19</v>
      </c>
      <c r="O2533" s="2" t="s">
        <v>12</v>
      </c>
      <c r="P2533" s="2" t="s">
        <v>38</v>
      </c>
      <c r="Q2533" s="2" t="s">
        <v>37</v>
      </c>
      <c r="R2533" s="2" t="s">
        <v>18</v>
      </c>
      <c r="S2533">
        <v>3</v>
      </c>
    </row>
    <row r="2534" spans="1:19" x14ac:dyDescent="0.3">
      <c r="A2534">
        <v>1920</v>
      </c>
      <c r="B2534">
        <f>YEAR(Cleaned_HR_Data_Analysis__2[[#This Row],[Joining_Date]])</f>
        <v>2021</v>
      </c>
      <c r="C2534" s="1">
        <v>44222</v>
      </c>
      <c r="D2534" s="1" t="str" cm="1">
        <f t="array" ref="D2534">_xlfn.IFS(E2534&lt;28, "17-27",
AND(E2534&gt;27, E2534&lt;38), "28-37",
AND(E2534&gt;37, E2534 &lt;48), "38-47",
AND(E2534&gt;47, E2534 &lt;58), "48-57",
AND(E2534&gt;57, E2534&lt;68), "58-67",
AND(E2534&gt;67, E2534&lt;78), "68-77",
E2534&gt;77,"Above than 77")</f>
        <v>68-77</v>
      </c>
      <c r="E2534">
        <v>73</v>
      </c>
      <c r="F2534" s="1">
        <v>17748</v>
      </c>
      <c r="G2534" s="1" t="str">
        <f>VLOOKUP(H2534,Table7[#All], 2, FALSE)</f>
        <v>Massachusetts</v>
      </c>
      <c r="H2534" s="2" t="s">
        <v>14</v>
      </c>
      <c r="I2534" s="2" t="s">
        <v>15</v>
      </c>
      <c r="J2534" s="2" t="s">
        <v>17</v>
      </c>
      <c r="K2534" s="2" t="s">
        <v>8</v>
      </c>
      <c r="L2534" s="2" t="s">
        <v>66</v>
      </c>
      <c r="M2534" s="2" t="s">
        <v>25</v>
      </c>
      <c r="N2534" s="2" t="s">
        <v>26</v>
      </c>
      <c r="O2534" s="2" t="s">
        <v>12</v>
      </c>
      <c r="P2534" s="2" t="s">
        <v>35</v>
      </c>
      <c r="Q2534" s="2" t="s">
        <v>23</v>
      </c>
      <c r="R2534" s="2" t="s">
        <v>18</v>
      </c>
      <c r="S2534">
        <v>5</v>
      </c>
    </row>
    <row r="2535" spans="1:19" x14ac:dyDescent="0.3">
      <c r="A2535">
        <v>1888</v>
      </c>
      <c r="B2535">
        <f>YEAR(Cleaned_HR_Data_Analysis__2[[#This Row],[Joining_Date]])</f>
        <v>2020</v>
      </c>
      <c r="C2535" s="1">
        <v>43956</v>
      </c>
      <c r="D2535" s="1" t="str" cm="1">
        <f t="array" ref="D2535">_xlfn.IFS(E2535&lt;28, "17-27",
AND(E2535&gt;27, E2535&lt;38), "28-37",
AND(E2535&gt;37, E2535 &lt;48), "38-47",
AND(E2535&gt;47, E2535 &lt;58), "48-57",
AND(E2535&gt;57, E2535&lt;68), "58-67",
AND(E2535&gt;67, E2535&lt;78), "68-77",
E2535&gt;77,"Above than 77")</f>
        <v>68-77</v>
      </c>
      <c r="E2535">
        <v>73</v>
      </c>
      <c r="F2535" s="1">
        <v>17527</v>
      </c>
      <c r="G2535" s="1" t="str">
        <f>VLOOKUP(H2535,Table7[#All], 2, FALSE)</f>
        <v>Massachusetts</v>
      </c>
      <c r="H2535" s="2" t="s">
        <v>14</v>
      </c>
      <c r="I2535" s="2" t="s">
        <v>15</v>
      </c>
      <c r="J2535" s="2" t="s">
        <v>34</v>
      </c>
      <c r="K2535" s="2" t="s">
        <v>8</v>
      </c>
      <c r="L2535" s="2" t="s">
        <v>9</v>
      </c>
      <c r="M2535" s="2" t="s">
        <v>25</v>
      </c>
      <c r="N2535" s="2" t="s">
        <v>26</v>
      </c>
      <c r="O2535" s="2" t="s">
        <v>12</v>
      </c>
      <c r="P2535" s="2" t="s">
        <v>42</v>
      </c>
      <c r="Q2535" s="2" t="s">
        <v>16</v>
      </c>
      <c r="R2535" s="2" t="s">
        <v>18</v>
      </c>
      <c r="S2535">
        <v>5</v>
      </c>
    </row>
    <row r="2536" spans="1:19" x14ac:dyDescent="0.3">
      <c r="A2536">
        <v>1846</v>
      </c>
      <c r="B2536">
        <f>YEAR(Cleaned_HR_Data_Analysis__2[[#This Row],[Joining_Date]])</f>
        <v>2019</v>
      </c>
      <c r="C2536" s="1">
        <v>43801</v>
      </c>
      <c r="D2536" s="1" t="str" cm="1">
        <f t="array" ref="D2536">_xlfn.IFS(E2536&lt;28, "17-27",
AND(E2536&gt;27, E2536&lt;38), "28-37",
AND(E2536&gt;37, E2536 &lt;48), "38-47",
AND(E2536&gt;47, E2536 &lt;58), "48-57",
AND(E2536&gt;57, E2536&lt;68), "58-67",
AND(E2536&gt;67, E2536&lt;78), "68-77",
E2536&gt;77,"Above than 77")</f>
        <v>68-77</v>
      </c>
      <c r="E2536">
        <v>73</v>
      </c>
      <c r="F2536" s="1">
        <v>17130</v>
      </c>
      <c r="G2536" s="1" t="str">
        <f>VLOOKUP(H2536,Table7[#All], 2, FALSE)</f>
        <v>Massachusetts</v>
      </c>
      <c r="H2536" s="2" t="s">
        <v>14</v>
      </c>
      <c r="I2536" s="2" t="s">
        <v>22</v>
      </c>
      <c r="J2536" s="2" t="s">
        <v>31</v>
      </c>
      <c r="K2536" s="2" t="s">
        <v>8</v>
      </c>
      <c r="L2536" s="2" t="s">
        <v>9</v>
      </c>
      <c r="M2536" s="2" t="s">
        <v>25</v>
      </c>
      <c r="N2536" s="2" t="s">
        <v>11</v>
      </c>
      <c r="O2536" s="2" t="s">
        <v>12</v>
      </c>
      <c r="P2536" s="2" t="s">
        <v>21</v>
      </c>
      <c r="Q2536" s="2" t="s">
        <v>37</v>
      </c>
      <c r="R2536" s="2" t="s">
        <v>56</v>
      </c>
      <c r="S2536">
        <v>4</v>
      </c>
    </row>
    <row r="2537" spans="1:19" x14ac:dyDescent="0.3">
      <c r="A2537">
        <v>1793</v>
      </c>
      <c r="B2537">
        <f>YEAR(Cleaned_HR_Data_Analysis__2[[#This Row],[Joining_Date]])</f>
        <v>2018</v>
      </c>
      <c r="C2537" s="1">
        <v>43396</v>
      </c>
      <c r="D2537" s="1" t="str" cm="1">
        <f t="array" ref="D2537">_xlfn.IFS(E2537&lt;28, "17-27",
AND(E2537&gt;27, E2537&lt;38), "28-37",
AND(E2537&gt;37, E2537 &lt;48), "38-47",
AND(E2537&gt;47, E2537 &lt;58), "48-57",
AND(E2537&gt;57, E2537&lt;68), "58-67",
AND(E2537&gt;67, E2537&lt;78), "68-77",
E2537&gt;77,"Above than 77")</f>
        <v>68-77</v>
      </c>
      <c r="E2537">
        <v>73</v>
      </c>
      <c r="F2537" s="1">
        <v>16579</v>
      </c>
      <c r="G2537" s="1" t="str">
        <f>VLOOKUP(H2537,Table7[#All], 2, FALSE)</f>
        <v>Massachusetts</v>
      </c>
      <c r="H2537" s="2" t="s">
        <v>14</v>
      </c>
      <c r="I2537" s="2" t="s">
        <v>15</v>
      </c>
      <c r="J2537" s="2" t="s">
        <v>31</v>
      </c>
      <c r="K2537" s="2" t="s">
        <v>8</v>
      </c>
      <c r="L2537" s="2" t="s">
        <v>9</v>
      </c>
      <c r="M2537" s="2" t="s">
        <v>25</v>
      </c>
      <c r="N2537" s="2" t="s">
        <v>26</v>
      </c>
      <c r="O2537" s="2" t="s">
        <v>12</v>
      </c>
      <c r="P2537" s="2" t="s">
        <v>44</v>
      </c>
      <c r="Q2537" s="2" t="s">
        <v>23</v>
      </c>
      <c r="R2537" s="2" t="s">
        <v>18</v>
      </c>
      <c r="S2537">
        <v>1</v>
      </c>
    </row>
    <row r="2538" spans="1:19" x14ac:dyDescent="0.3">
      <c r="A2538">
        <v>1785</v>
      </c>
      <c r="B2538">
        <f>YEAR(Cleaned_HR_Data_Analysis__2[[#This Row],[Joining_Date]])</f>
        <v>2023</v>
      </c>
      <c r="C2538" s="1">
        <v>45094</v>
      </c>
      <c r="D2538" s="1" t="str" cm="1">
        <f t="array" ref="D2538">_xlfn.IFS(E2538&lt;28, "17-27",
AND(E2538&gt;27, E2538&lt;38), "28-37",
AND(E2538&gt;37, E2538 &lt;48), "38-47",
AND(E2538&gt;47, E2538 &lt;58), "48-57",
AND(E2538&gt;57, E2538&lt;68), "58-67",
AND(E2538&gt;67, E2538&lt;78), "68-77",
E2538&gt;77,"Above than 77")</f>
        <v>68-77</v>
      </c>
      <c r="E2538">
        <v>73</v>
      </c>
      <c r="F2538" s="1">
        <v>18280</v>
      </c>
      <c r="G2538" s="1" t="str">
        <f>VLOOKUP(H2538,Table7[#All], 2, FALSE)</f>
        <v>Massachusetts</v>
      </c>
      <c r="H2538" s="2" t="s">
        <v>14</v>
      </c>
      <c r="I2538" s="2" t="s">
        <v>15</v>
      </c>
      <c r="J2538" s="2" t="s">
        <v>17</v>
      </c>
      <c r="K2538" s="2" t="s">
        <v>8</v>
      </c>
      <c r="L2538" s="2" t="s">
        <v>9</v>
      </c>
      <c r="M2538" s="2" t="s">
        <v>25</v>
      </c>
      <c r="N2538" s="2" t="s">
        <v>11</v>
      </c>
      <c r="O2538" s="2" t="s">
        <v>12</v>
      </c>
      <c r="P2538" s="2" t="s">
        <v>68</v>
      </c>
      <c r="Q2538" s="2" t="s">
        <v>16</v>
      </c>
      <c r="R2538" s="2" t="s">
        <v>18</v>
      </c>
      <c r="S2538">
        <v>4</v>
      </c>
    </row>
    <row r="2539" spans="1:19" x14ac:dyDescent="0.3">
      <c r="A2539">
        <v>1763</v>
      </c>
      <c r="B2539">
        <f>YEAR(Cleaned_HR_Data_Analysis__2[[#This Row],[Joining_Date]])</f>
        <v>2023</v>
      </c>
      <c r="C2539" s="1">
        <v>45022</v>
      </c>
      <c r="D2539" s="1" t="str" cm="1">
        <f t="array" ref="D2539">_xlfn.IFS(E2539&lt;28, "17-27",
AND(E2539&gt;27, E2539&lt;38), "28-37",
AND(E2539&gt;37, E2539 &lt;48), "38-47",
AND(E2539&gt;47, E2539 &lt;58), "48-57",
AND(E2539&gt;57, E2539&lt;68), "58-67",
AND(E2539&gt;67, E2539&lt;78), "68-77",
E2539&gt;77,"Above than 77")</f>
        <v>68-77</v>
      </c>
      <c r="E2539">
        <v>73</v>
      </c>
      <c r="F2539" s="1">
        <v>18276</v>
      </c>
      <c r="G2539" s="1" t="str">
        <f>VLOOKUP(H2539,Table7[#All], 2, FALSE)</f>
        <v>Massachusetts</v>
      </c>
      <c r="H2539" s="2" t="s">
        <v>14</v>
      </c>
      <c r="I2539" s="2" t="s">
        <v>15</v>
      </c>
      <c r="J2539" s="2" t="s">
        <v>17</v>
      </c>
      <c r="K2539" s="2" t="s">
        <v>8</v>
      </c>
      <c r="L2539" s="2" t="s">
        <v>9</v>
      </c>
      <c r="M2539" s="2" t="s">
        <v>20</v>
      </c>
      <c r="N2539" s="2" t="s">
        <v>26</v>
      </c>
      <c r="O2539" s="2" t="s">
        <v>12</v>
      </c>
      <c r="P2539" s="2" t="s">
        <v>42</v>
      </c>
      <c r="Q2539" s="2" t="s">
        <v>46</v>
      </c>
      <c r="R2539" s="2" t="s">
        <v>18</v>
      </c>
      <c r="S2539">
        <v>2</v>
      </c>
    </row>
    <row r="2540" spans="1:19" x14ac:dyDescent="0.3">
      <c r="A2540">
        <v>1133</v>
      </c>
      <c r="B2540">
        <f>YEAR(Cleaned_HR_Data_Analysis__2[[#This Row],[Joining_Date]])</f>
        <v>2022</v>
      </c>
      <c r="C2540" s="1">
        <v>44634</v>
      </c>
      <c r="D2540" s="1" t="str" cm="1">
        <f t="array" ref="D2540">_xlfn.IFS(E2540&lt;28, "17-27",
AND(E2540&gt;27, E2540&lt;38), "28-37",
AND(E2540&gt;37, E2540 &lt;48), "38-47",
AND(E2540&gt;47, E2540 &lt;58), "48-57",
AND(E2540&gt;57, E2540&lt;68), "58-67",
AND(E2540&gt;67, E2540&lt;78), "68-77",
E2540&gt;77,"Above than 77")</f>
        <v>68-77</v>
      </c>
      <c r="E2540">
        <v>73</v>
      </c>
      <c r="F2540" s="1">
        <v>18222</v>
      </c>
      <c r="G2540" s="1" t="str">
        <f>VLOOKUP(H2540,Table7[#All], 2, FALSE)</f>
        <v>Massachusetts</v>
      </c>
      <c r="H2540" s="2" t="s">
        <v>14</v>
      </c>
      <c r="I2540" s="2" t="s">
        <v>15</v>
      </c>
      <c r="J2540" s="2" t="s">
        <v>34</v>
      </c>
      <c r="K2540" s="2" t="s">
        <v>8</v>
      </c>
      <c r="L2540" s="2" t="s">
        <v>66</v>
      </c>
      <c r="M2540" s="2" t="s">
        <v>25</v>
      </c>
      <c r="N2540" s="2" t="s">
        <v>26</v>
      </c>
      <c r="O2540" s="2" t="s">
        <v>12</v>
      </c>
      <c r="P2540" s="2" t="s">
        <v>21</v>
      </c>
      <c r="Q2540" s="2" t="s">
        <v>23</v>
      </c>
      <c r="R2540" s="2" t="s">
        <v>18</v>
      </c>
      <c r="S2540">
        <v>2</v>
      </c>
    </row>
    <row r="2541" spans="1:19" x14ac:dyDescent="0.3">
      <c r="A2541">
        <v>2446</v>
      </c>
      <c r="B2541">
        <f>YEAR(Cleaned_HR_Data_Analysis__2[[#This Row],[Joining_Date]])</f>
        <v>2021</v>
      </c>
      <c r="C2541" s="1">
        <v>44536</v>
      </c>
      <c r="D2541" s="1" t="str" cm="1">
        <f t="array" ref="D2541">_xlfn.IFS(E2541&lt;28, "17-27",
AND(E2541&gt;27, E2541&lt;38), "28-37",
AND(E2541&gt;37, E2541 &lt;48), "38-47",
AND(E2541&gt;47, E2541 &lt;58), "48-57",
AND(E2541&gt;57, E2541&lt;68), "58-67",
AND(E2541&gt;67, E2541&lt;78), "68-77",
E2541&gt;77,"Above than 77")</f>
        <v>68-77</v>
      </c>
      <c r="E2541">
        <v>73</v>
      </c>
      <c r="F2541" s="1">
        <v>17826</v>
      </c>
      <c r="G2541" s="1" t="str">
        <f>VLOOKUP(H2541,Table7[#All], 2, FALSE)</f>
        <v>Massachusetts</v>
      </c>
      <c r="H2541" s="2" t="s">
        <v>14</v>
      </c>
      <c r="I2541" s="2" t="s">
        <v>22</v>
      </c>
      <c r="J2541" s="2" t="s">
        <v>40</v>
      </c>
      <c r="K2541" s="2" t="s">
        <v>91</v>
      </c>
      <c r="L2541" s="2" t="s">
        <v>9</v>
      </c>
      <c r="M2541" s="2" t="s">
        <v>10</v>
      </c>
      <c r="N2541" s="2" t="s">
        <v>11</v>
      </c>
      <c r="O2541" s="2" t="s">
        <v>12</v>
      </c>
      <c r="P2541" s="2" t="s">
        <v>44</v>
      </c>
      <c r="Q2541" s="2" t="s">
        <v>37</v>
      </c>
      <c r="R2541" s="2" t="s">
        <v>18</v>
      </c>
      <c r="S2541">
        <v>2</v>
      </c>
    </row>
    <row r="2542" spans="1:19" x14ac:dyDescent="0.3">
      <c r="A2542">
        <v>2300</v>
      </c>
      <c r="B2542">
        <f>YEAR(Cleaned_HR_Data_Analysis__2[[#This Row],[Joining_Date]])</f>
        <v>2020</v>
      </c>
      <c r="C2542" s="1">
        <v>44100</v>
      </c>
      <c r="D2542" s="1" t="str" cm="1">
        <f t="array" ref="D2542">_xlfn.IFS(E2542&lt;28, "17-27",
AND(E2542&gt;27, E2542&lt;38), "28-37",
AND(E2542&gt;37, E2542 &lt;48), "38-47",
AND(E2542&gt;47, E2542 &lt;58), "48-57",
AND(E2542&gt;57, E2542&lt;68), "58-67",
AND(E2542&gt;67, E2542&lt;78), "68-77",
E2542&gt;77,"Above than 77")</f>
        <v>68-77</v>
      </c>
      <c r="E2542">
        <v>73</v>
      </c>
      <c r="F2542" s="1">
        <v>17414</v>
      </c>
      <c r="G2542" s="1" t="str">
        <f>VLOOKUP(H2542,Table7[#All], 2, FALSE)</f>
        <v>Massachusetts</v>
      </c>
      <c r="H2542" s="2" t="s">
        <v>14</v>
      </c>
      <c r="I2542" s="2" t="s">
        <v>15</v>
      </c>
      <c r="J2542" s="2" t="s">
        <v>31</v>
      </c>
      <c r="K2542" s="2" t="s">
        <v>91</v>
      </c>
      <c r="L2542" s="2" t="s">
        <v>9</v>
      </c>
      <c r="M2542" s="2" t="s">
        <v>25</v>
      </c>
      <c r="N2542" s="2" t="s">
        <v>19</v>
      </c>
      <c r="O2542" s="2" t="s">
        <v>12</v>
      </c>
      <c r="P2542" s="2" t="s">
        <v>69</v>
      </c>
      <c r="Q2542" s="2" t="s">
        <v>37</v>
      </c>
      <c r="R2542" s="2" t="s">
        <v>18</v>
      </c>
      <c r="S2542">
        <v>1</v>
      </c>
    </row>
    <row r="2543" spans="1:19" x14ac:dyDescent="0.3">
      <c r="A2543">
        <v>1232</v>
      </c>
      <c r="B2543">
        <f>YEAR(Cleaned_HR_Data_Analysis__2[[#This Row],[Joining_Date]])</f>
        <v>2020</v>
      </c>
      <c r="C2543" s="1">
        <v>43909</v>
      </c>
      <c r="D2543" s="1" t="str" cm="1">
        <f t="array" ref="D2543">_xlfn.IFS(E2543&lt;28, "17-27",
AND(E2543&gt;27, E2543&lt;38), "28-37",
AND(E2543&gt;37, E2543 &lt;48), "38-47",
AND(E2543&gt;47, E2543 &lt;58), "48-57",
AND(E2543&gt;57, E2543&lt;68), "58-67",
AND(E2543&gt;67, E2543&lt;78), "68-77",
E2543&gt;77,"Above than 77")</f>
        <v>68-77</v>
      </c>
      <c r="E2543">
        <v>73</v>
      </c>
      <c r="F2543" s="1">
        <v>17243</v>
      </c>
      <c r="G2543" s="1" t="str">
        <f>VLOOKUP(H2543,Table7[#All], 2, FALSE)</f>
        <v>Massachusetts</v>
      </c>
      <c r="H2543" s="2" t="s">
        <v>14</v>
      </c>
      <c r="I2543" s="2" t="s">
        <v>15</v>
      </c>
      <c r="J2543" s="2" t="s">
        <v>31</v>
      </c>
      <c r="K2543" s="2" t="s">
        <v>91</v>
      </c>
      <c r="L2543" s="2" t="s">
        <v>9</v>
      </c>
      <c r="M2543" s="2" t="s">
        <v>25</v>
      </c>
      <c r="N2543" s="2" t="s">
        <v>26</v>
      </c>
      <c r="O2543" s="2" t="s">
        <v>12</v>
      </c>
      <c r="P2543" s="2" t="s">
        <v>62</v>
      </c>
      <c r="Q2543" s="2" t="s">
        <v>30</v>
      </c>
      <c r="R2543" s="2" t="s">
        <v>18</v>
      </c>
      <c r="S2543">
        <v>1</v>
      </c>
    </row>
    <row r="2544" spans="1:19" x14ac:dyDescent="0.3">
      <c r="A2544">
        <v>3882</v>
      </c>
      <c r="B2544">
        <f>YEAR(Cleaned_HR_Data_Analysis__2[[#This Row],[Joining_Date]])</f>
        <v>2019</v>
      </c>
      <c r="C2544" s="1">
        <v>43495</v>
      </c>
      <c r="D2544" s="1" t="str" cm="1">
        <f t="array" ref="D2544">_xlfn.IFS(E2544&lt;28, "17-27",
AND(E2544&gt;27, E2544&lt;38), "28-37",
AND(E2544&gt;37, E2544 &lt;48), "38-47",
AND(E2544&gt;47, E2544 &lt;58), "48-57",
AND(E2544&gt;57, E2544&lt;68), "58-67",
AND(E2544&gt;67, E2544&lt;78), "68-77",
E2544&gt;77,"Above than 77")</f>
        <v>68-77</v>
      </c>
      <c r="E2544">
        <v>73</v>
      </c>
      <c r="F2544" s="1">
        <v>16848</v>
      </c>
      <c r="G2544" s="1" t="str">
        <f>VLOOKUP(H2544,Table7[#All], 2, FALSE)</f>
        <v>Massachusetts</v>
      </c>
      <c r="H2544" s="2" t="s">
        <v>14</v>
      </c>
      <c r="I2544" s="2" t="s">
        <v>15</v>
      </c>
      <c r="J2544" s="2" t="s">
        <v>34</v>
      </c>
      <c r="K2544" s="2" t="s">
        <v>70</v>
      </c>
      <c r="L2544" s="2" t="s">
        <v>9</v>
      </c>
      <c r="M2544" s="2" t="s">
        <v>10</v>
      </c>
      <c r="N2544" s="2" t="s">
        <v>11</v>
      </c>
      <c r="O2544" s="2" t="s">
        <v>53</v>
      </c>
      <c r="P2544" s="2" t="s">
        <v>61</v>
      </c>
      <c r="Q2544" s="2" t="s">
        <v>46</v>
      </c>
      <c r="R2544" s="2" t="s">
        <v>18</v>
      </c>
      <c r="S2544">
        <v>3</v>
      </c>
    </row>
    <row r="2545" spans="1:19" x14ac:dyDescent="0.3">
      <c r="A2545">
        <v>2244</v>
      </c>
      <c r="B2545">
        <f>YEAR(Cleaned_HR_Data_Analysis__2[[#This Row],[Joining_Date]])</f>
        <v>2022</v>
      </c>
      <c r="C2545" s="1">
        <v>44777</v>
      </c>
      <c r="D2545" s="1" t="str" cm="1">
        <f t="array" ref="D2545">_xlfn.IFS(E2545&lt;28, "17-27",
AND(E2545&gt;27, E2545&lt;38), "28-37",
AND(E2545&gt;37, E2545 &lt;48), "38-47",
AND(E2545&gt;47, E2545 &lt;58), "48-57",
AND(E2545&gt;57, E2545&lt;68), "58-67",
AND(E2545&gt;67, E2545&lt;78), "68-77",
E2545&gt;77,"Above than 77")</f>
        <v>68-77</v>
      </c>
      <c r="E2545">
        <v>73</v>
      </c>
      <c r="F2545" s="1">
        <v>18240</v>
      </c>
      <c r="G2545" s="1" t="str">
        <f>VLOOKUP(H2545,Table7[#All], 2, FALSE)</f>
        <v>Connecticut</v>
      </c>
      <c r="H2545" s="2" t="s">
        <v>36</v>
      </c>
      <c r="I2545" s="2" t="s">
        <v>15</v>
      </c>
      <c r="J2545" s="2" t="s">
        <v>34</v>
      </c>
      <c r="K2545" s="2" t="s">
        <v>101</v>
      </c>
      <c r="L2545" s="2" t="s">
        <v>9</v>
      </c>
      <c r="M2545" s="2" t="s">
        <v>10</v>
      </c>
      <c r="N2545" s="2" t="s">
        <v>11</v>
      </c>
      <c r="O2545" s="2" t="s">
        <v>53</v>
      </c>
      <c r="P2545" s="2" t="s">
        <v>35</v>
      </c>
      <c r="Q2545" s="2" t="s">
        <v>30</v>
      </c>
      <c r="R2545" s="2" t="s">
        <v>18</v>
      </c>
      <c r="S2545">
        <v>2</v>
      </c>
    </row>
    <row r="2546" spans="1:19" x14ac:dyDescent="0.3">
      <c r="A2546">
        <v>3997</v>
      </c>
      <c r="B2546">
        <f>YEAR(Cleaned_HR_Data_Analysis__2[[#This Row],[Joining_Date]])</f>
        <v>2019</v>
      </c>
      <c r="C2546" s="1">
        <v>43662</v>
      </c>
      <c r="D2546" s="1" t="str" cm="1">
        <f t="array" ref="D2546">_xlfn.IFS(E2546&lt;28, "17-27",
AND(E2546&gt;27, E2546&lt;38), "28-37",
AND(E2546&gt;37, E2546 &lt;48), "38-47",
AND(E2546&gt;47, E2546 &lt;58), "48-57",
AND(E2546&gt;57, E2546&lt;68), "58-67",
AND(E2546&gt;67, E2546&lt;78), "68-77",
E2546&gt;77,"Above than 77")</f>
        <v>68-77</v>
      </c>
      <c r="E2546">
        <v>73</v>
      </c>
      <c r="F2546" s="1">
        <v>17138</v>
      </c>
      <c r="G2546" s="1" t="str">
        <f>VLOOKUP(H2546,Table7[#All], 2, FALSE)</f>
        <v>Texas</v>
      </c>
      <c r="H2546" s="2" t="s">
        <v>45</v>
      </c>
      <c r="I2546" s="2" t="s">
        <v>22</v>
      </c>
      <c r="J2546" s="2" t="s">
        <v>31</v>
      </c>
      <c r="K2546" s="2" t="s">
        <v>77</v>
      </c>
      <c r="L2546" s="2" t="s">
        <v>9</v>
      </c>
      <c r="M2546" s="2" t="s">
        <v>10</v>
      </c>
      <c r="N2546" s="2" t="s">
        <v>19</v>
      </c>
      <c r="O2546" s="2" t="s">
        <v>53</v>
      </c>
      <c r="P2546" s="2" t="s">
        <v>42</v>
      </c>
      <c r="Q2546" s="2" t="s">
        <v>37</v>
      </c>
      <c r="R2546" s="2" t="s">
        <v>56</v>
      </c>
      <c r="S2546">
        <v>4</v>
      </c>
    </row>
    <row r="2547" spans="1:19" x14ac:dyDescent="0.3">
      <c r="A2547">
        <v>3995</v>
      </c>
      <c r="B2547">
        <f>YEAR(Cleaned_HR_Data_Analysis__2[[#This Row],[Joining_Date]])</f>
        <v>2019</v>
      </c>
      <c r="C2547" s="1">
        <v>43661</v>
      </c>
      <c r="D2547" s="1" t="str" cm="1">
        <f t="array" ref="D2547">_xlfn.IFS(E2547&lt;28, "17-27",
AND(E2547&gt;27, E2547&lt;38), "28-37",
AND(E2547&gt;37, E2547 &lt;48), "38-47",
AND(E2547&gt;47, E2547 &lt;58), "48-57",
AND(E2547&gt;57, E2547&lt;68), "58-67",
AND(E2547&gt;67, E2547&lt;78), "68-77",
E2547&gt;77,"Above than 77")</f>
        <v>68-77</v>
      </c>
      <c r="E2547">
        <v>73</v>
      </c>
      <c r="F2547" s="1">
        <v>17144</v>
      </c>
      <c r="G2547" s="1" t="str">
        <f>VLOOKUP(H2547,Table7[#All], 2, FALSE)</f>
        <v>Massachusetts</v>
      </c>
      <c r="H2547" s="2" t="s">
        <v>14</v>
      </c>
      <c r="I2547" s="2" t="s">
        <v>15</v>
      </c>
      <c r="J2547" s="2" t="s">
        <v>17</v>
      </c>
      <c r="K2547" s="2" t="s">
        <v>77</v>
      </c>
      <c r="L2547" s="2" t="s">
        <v>9</v>
      </c>
      <c r="M2547" s="2" t="s">
        <v>25</v>
      </c>
      <c r="N2547" s="2" t="s">
        <v>19</v>
      </c>
      <c r="O2547" s="2" t="s">
        <v>53</v>
      </c>
      <c r="P2547" s="2" t="s">
        <v>59</v>
      </c>
      <c r="Q2547" s="2" t="s">
        <v>37</v>
      </c>
      <c r="R2547" s="2" t="s">
        <v>41</v>
      </c>
      <c r="S2547">
        <v>5</v>
      </c>
    </row>
    <row r="2548" spans="1:19" x14ac:dyDescent="0.3">
      <c r="A2548">
        <v>1626</v>
      </c>
      <c r="B2548">
        <f>YEAR(Cleaned_HR_Data_Analysis__2[[#This Row],[Joining_Date]])</f>
        <v>2020</v>
      </c>
      <c r="C2548" s="1">
        <v>44091</v>
      </c>
      <c r="D2548" s="1" t="str" cm="1">
        <f t="array" ref="D2548">_xlfn.IFS(E2548&lt;28, "17-27",
AND(E2548&gt;27, E2548&lt;38), "28-37",
AND(E2548&gt;37, E2548 &lt;48), "38-47",
AND(E2548&gt;47, E2548 &lt;58), "48-57",
AND(E2548&gt;57, E2548&lt;68), "58-67",
AND(E2548&gt;67, E2548&lt;78), "68-77",
E2548&gt;77,"Above than 77")</f>
        <v>68-77</v>
      </c>
      <c r="E2548">
        <v>73</v>
      </c>
      <c r="F2548" s="1">
        <v>17299</v>
      </c>
      <c r="G2548" s="1" t="str">
        <f>VLOOKUP(H2548,Table7[#All], 2, FALSE)</f>
        <v>Massachusetts</v>
      </c>
      <c r="H2548" s="2" t="s">
        <v>14</v>
      </c>
      <c r="I2548" s="2" t="s">
        <v>15</v>
      </c>
      <c r="J2548" s="2" t="s">
        <v>34</v>
      </c>
      <c r="K2548" s="2" t="s">
        <v>81</v>
      </c>
      <c r="L2548" s="2" t="s">
        <v>9</v>
      </c>
      <c r="M2548" s="2" t="s">
        <v>25</v>
      </c>
      <c r="N2548" s="2" t="s">
        <v>26</v>
      </c>
      <c r="O2548" s="2" t="s">
        <v>53</v>
      </c>
      <c r="P2548" s="2" t="s">
        <v>32</v>
      </c>
      <c r="Q2548" s="2" t="s">
        <v>30</v>
      </c>
      <c r="R2548" s="2" t="s">
        <v>56</v>
      </c>
      <c r="S2548">
        <v>4</v>
      </c>
    </row>
    <row r="2549" spans="1:19" x14ac:dyDescent="0.3">
      <c r="A2549">
        <v>1650</v>
      </c>
      <c r="B2549">
        <f>YEAR(Cleaned_HR_Data_Analysis__2[[#This Row],[Joining_Date]])</f>
        <v>2019</v>
      </c>
      <c r="C2549" s="1">
        <v>43593</v>
      </c>
      <c r="D2549" s="1" t="str" cm="1">
        <f t="array" ref="D2549">_xlfn.IFS(E2549&lt;28, "17-27",
AND(E2549&gt;27, E2549&lt;38), "28-37",
AND(E2549&gt;37, E2549 &lt;48), "38-47",
AND(E2549&gt;47, E2549 &lt;58), "48-57",
AND(E2549&gt;57, E2549&lt;68), "58-67",
AND(E2549&gt;67, E2549&lt;78), "68-77",
E2549&gt;77,"Above than 77")</f>
        <v>68-77</v>
      </c>
      <c r="E2549">
        <v>73</v>
      </c>
      <c r="F2549" s="1">
        <v>16860</v>
      </c>
      <c r="G2549" s="1" t="str">
        <f>VLOOKUP(H2549,Table7[#All], 2, FALSE)</f>
        <v>Massachusetts</v>
      </c>
      <c r="H2549" s="2" t="s">
        <v>14</v>
      </c>
      <c r="I2549" s="2" t="s">
        <v>22</v>
      </c>
      <c r="J2549" s="2" t="s">
        <v>17</v>
      </c>
      <c r="K2549" s="2" t="s">
        <v>83</v>
      </c>
      <c r="L2549" s="2" t="s">
        <v>66</v>
      </c>
      <c r="M2549" s="2" t="s">
        <v>20</v>
      </c>
      <c r="N2549" s="2" t="s">
        <v>11</v>
      </c>
      <c r="O2549" s="2" t="s">
        <v>53</v>
      </c>
      <c r="P2549" s="2" t="s">
        <v>42</v>
      </c>
      <c r="Q2549" s="2" t="s">
        <v>46</v>
      </c>
      <c r="R2549" s="2" t="s">
        <v>18</v>
      </c>
      <c r="S2549">
        <v>1</v>
      </c>
    </row>
    <row r="2550" spans="1:19" x14ac:dyDescent="0.3">
      <c r="A2550">
        <v>1642</v>
      </c>
      <c r="B2550">
        <f>YEAR(Cleaned_HR_Data_Analysis__2[[#This Row],[Joining_Date]])</f>
        <v>2019</v>
      </c>
      <c r="C2550" s="1">
        <v>43791</v>
      </c>
      <c r="D2550" s="1" t="str" cm="1">
        <f t="array" ref="D2550">_xlfn.IFS(E2550&lt;28, "17-27",
AND(E2550&gt;27, E2550&lt;38), "28-37",
AND(E2550&gt;37, E2550 &lt;48), "38-47",
AND(E2550&gt;47, E2550 &lt;58), "48-57",
AND(E2550&gt;57, E2550&lt;68), "58-67",
AND(E2550&gt;67, E2550&lt;78), "68-77",
E2550&gt;77,"Above than 77")</f>
        <v>68-77</v>
      </c>
      <c r="E2550">
        <v>73</v>
      </c>
      <c r="F2550" s="1">
        <v>17068</v>
      </c>
      <c r="G2550" s="1" t="str">
        <f>VLOOKUP(H2550,Table7[#All], 2, FALSE)</f>
        <v>Massachusetts</v>
      </c>
      <c r="H2550" s="2" t="s">
        <v>14</v>
      </c>
      <c r="I2550" s="2" t="s">
        <v>15</v>
      </c>
      <c r="J2550" s="2" t="s">
        <v>31</v>
      </c>
      <c r="K2550" s="2" t="s">
        <v>97</v>
      </c>
      <c r="L2550" s="2" t="s">
        <v>66</v>
      </c>
      <c r="M2550" s="2" t="s">
        <v>10</v>
      </c>
      <c r="N2550" s="2" t="s">
        <v>19</v>
      </c>
      <c r="O2550" s="2" t="s">
        <v>53</v>
      </c>
      <c r="P2550" s="2" t="s">
        <v>59</v>
      </c>
      <c r="Q2550" s="2" t="s">
        <v>37</v>
      </c>
      <c r="R2550" s="2" t="s">
        <v>18</v>
      </c>
      <c r="S2550">
        <v>2</v>
      </c>
    </row>
    <row r="2551" spans="1:19" x14ac:dyDescent="0.3">
      <c r="A2551">
        <v>1629</v>
      </c>
      <c r="B2551">
        <f>YEAR(Cleaned_HR_Data_Analysis__2[[#This Row],[Joining_Date]])</f>
        <v>2019</v>
      </c>
      <c r="C2551" s="1">
        <v>43775</v>
      </c>
      <c r="D2551" s="1" t="str" cm="1">
        <f t="array" ref="D2551">_xlfn.IFS(E2551&lt;28, "17-27",
AND(E2551&gt;27, E2551&lt;38), "28-37",
AND(E2551&gt;37, E2551 &lt;48), "38-47",
AND(E2551&gt;47, E2551 &lt;58), "48-57",
AND(E2551&gt;57, E2551&lt;68), "58-67",
AND(E2551&gt;67, E2551&lt;78), "68-77",
E2551&gt;77,"Above than 77")</f>
        <v>68-77</v>
      </c>
      <c r="E2551">
        <v>73</v>
      </c>
      <c r="F2551" s="1">
        <v>16806</v>
      </c>
      <c r="G2551" s="1" t="str">
        <f>VLOOKUP(H2551,Table7[#All], 2, FALSE)</f>
        <v>Massachusetts</v>
      </c>
      <c r="H2551" s="2" t="s">
        <v>14</v>
      </c>
      <c r="I2551" s="2" t="s">
        <v>15</v>
      </c>
      <c r="J2551" s="2" t="s">
        <v>34</v>
      </c>
      <c r="K2551" s="2" t="s">
        <v>97</v>
      </c>
      <c r="L2551" s="2" t="s">
        <v>66</v>
      </c>
      <c r="M2551" s="2" t="s">
        <v>20</v>
      </c>
      <c r="N2551" s="2" t="s">
        <v>26</v>
      </c>
      <c r="O2551" s="2" t="s">
        <v>53</v>
      </c>
      <c r="P2551" s="2" t="s">
        <v>35</v>
      </c>
      <c r="Q2551" s="2" t="s">
        <v>23</v>
      </c>
      <c r="R2551" s="2" t="s">
        <v>18</v>
      </c>
      <c r="S2551">
        <v>2</v>
      </c>
    </row>
    <row r="2552" spans="1:19" x14ac:dyDescent="0.3">
      <c r="A2552">
        <v>3436</v>
      </c>
      <c r="B2552">
        <f>YEAR(Cleaned_HR_Data_Analysis__2[[#This Row],[Joining_Date]])</f>
        <v>2022</v>
      </c>
      <c r="C2552" s="1">
        <v>44582</v>
      </c>
      <c r="D2552" s="1" t="str" cm="1">
        <f t="array" ref="D2552">_xlfn.IFS(E2552&lt;28, "17-27",
AND(E2552&gt;27, E2552&lt;38), "28-37",
AND(E2552&gt;37, E2552 &lt;48), "38-47",
AND(E2552&gt;47, E2552 &lt;58), "48-57",
AND(E2552&gt;57, E2552&lt;68), "58-67",
AND(E2552&gt;67, E2552&lt;78), "68-77",
E2552&gt;77,"Above than 77")</f>
        <v>68-77</v>
      </c>
      <c r="E2552">
        <v>73</v>
      </c>
      <c r="F2552" s="1">
        <v>18213</v>
      </c>
      <c r="G2552" s="1" t="str">
        <f>VLOOKUP(H2552,Table7[#All], 2, FALSE)</f>
        <v>Texas</v>
      </c>
      <c r="H2552" s="2" t="s">
        <v>45</v>
      </c>
      <c r="I2552" s="2" t="s">
        <v>22</v>
      </c>
      <c r="J2552" s="2" t="s">
        <v>17</v>
      </c>
      <c r="K2552" s="2" t="s">
        <v>24</v>
      </c>
      <c r="L2552" s="2" t="s">
        <v>9</v>
      </c>
      <c r="M2552" s="2" t="s">
        <v>20</v>
      </c>
      <c r="N2552" s="2" t="s">
        <v>26</v>
      </c>
      <c r="O2552" s="2" t="s">
        <v>27</v>
      </c>
      <c r="P2552" s="2" t="s">
        <v>42</v>
      </c>
      <c r="Q2552" s="2" t="s">
        <v>46</v>
      </c>
      <c r="R2552" s="2" t="s">
        <v>18</v>
      </c>
      <c r="S2552">
        <v>5</v>
      </c>
    </row>
    <row r="2553" spans="1:19" x14ac:dyDescent="0.3">
      <c r="A2553">
        <v>2645</v>
      </c>
      <c r="B2553">
        <f>YEAR(Cleaned_HR_Data_Analysis__2[[#This Row],[Joining_Date]])</f>
        <v>2020</v>
      </c>
      <c r="C2553" s="1">
        <v>44014</v>
      </c>
      <c r="D2553" s="1" t="str" cm="1">
        <f t="array" ref="D2553">_xlfn.IFS(E2553&lt;28, "17-27",
AND(E2553&gt;27, E2553&lt;38), "28-37",
AND(E2553&gt;37, E2553 &lt;48), "38-47",
AND(E2553&gt;47, E2553 &lt;58), "48-57",
AND(E2553&gt;57, E2553&lt;68), "58-67",
AND(E2553&gt;67, E2553&lt;78), "68-77",
E2553&gt;77,"Above than 77")</f>
        <v>68-77</v>
      </c>
      <c r="E2553">
        <v>73</v>
      </c>
      <c r="F2553" s="1">
        <v>17345</v>
      </c>
      <c r="G2553" s="1" t="str">
        <f>VLOOKUP(H2553,Table7[#All], 2, FALSE)</f>
        <v>Tennessee</v>
      </c>
      <c r="H2553" s="2" t="s">
        <v>120</v>
      </c>
      <c r="I2553" s="2" t="s">
        <v>22</v>
      </c>
      <c r="J2553" s="2" t="s">
        <v>34</v>
      </c>
      <c r="K2553" s="2" t="s">
        <v>24</v>
      </c>
      <c r="L2553" s="2" t="s">
        <v>9</v>
      </c>
      <c r="M2553" s="2" t="s">
        <v>10</v>
      </c>
      <c r="N2553" s="2" t="s">
        <v>11</v>
      </c>
      <c r="O2553" s="2" t="s">
        <v>27</v>
      </c>
      <c r="P2553" s="2" t="s">
        <v>59</v>
      </c>
      <c r="Q2553" s="2" t="s">
        <v>46</v>
      </c>
      <c r="R2553" s="2" t="s">
        <v>18</v>
      </c>
      <c r="S2553">
        <v>3</v>
      </c>
    </row>
    <row r="2554" spans="1:19" x14ac:dyDescent="0.3">
      <c r="A2554">
        <v>3457</v>
      </c>
      <c r="B2554">
        <f>YEAR(Cleaned_HR_Data_Analysis__2[[#This Row],[Joining_Date]])</f>
        <v>2020</v>
      </c>
      <c r="C2554" s="1">
        <v>44099</v>
      </c>
      <c r="D2554" s="1" t="str" cm="1">
        <f t="array" ref="D2554">_xlfn.IFS(E2554&lt;28, "17-27",
AND(E2554&gt;27, E2554&lt;38), "28-37",
AND(E2554&gt;37, E2554 &lt;48), "38-47",
AND(E2554&gt;47, E2554 &lt;58), "48-57",
AND(E2554&gt;57, E2554&lt;68), "58-67",
AND(E2554&gt;67, E2554&lt;78), "68-77",
E2554&gt;77,"Above than 77")</f>
        <v>68-77</v>
      </c>
      <c r="E2554">
        <v>73</v>
      </c>
      <c r="F2554" s="1">
        <v>17402</v>
      </c>
      <c r="G2554" s="1" t="str">
        <f>VLOOKUP(H2554,Table7[#All], 2, FALSE)</f>
        <v>Kentucky</v>
      </c>
      <c r="H2554" s="2" t="s">
        <v>51</v>
      </c>
      <c r="I2554" s="2" t="s">
        <v>15</v>
      </c>
      <c r="J2554" s="2" t="s">
        <v>40</v>
      </c>
      <c r="K2554" s="2" t="s">
        <v>24</v>
      </c>
      <c r="L2554" s="2" t="s">
        <v>9</v>
      </c>
      <c r="M2554" s="2" t="s">
        <v>25</v>
      </c>
      <c r="N2554" s="2" t="s">
        <v>26</v>
      </c>
      <c r="O2554" s="2" t="s">
        <v>27</v>
      </c>
      <c r="P2554" s="2" t="s">
        <v>42</v>
      </c>
      <c r="Q2554" s="2" t="s">
        <v>16</v>
      </c>
      <c r="R2554" s="2" t="s">
        <v>56</v>
      </c>
      <c r="S2554">
        <v>1</v>
      </c>
    </row>
    <row r="2555" spans="1:19" x14ac:dyDescent="0.3">
      <c r="A2555">
        <v>3473</v>
      </c>
      <c r="B2555">
        <f>YEAR(Cleaned_HR_Data_Analysis__2[[#This Row],[Joining_Date]])</f>
        <v>2023</v>
      </c>
      <c r="C2555" s="1">
        <v>45106</v>
      </c>
      <c r="D2555" s="1" t="str" cm="1">
        <f t="array" ref="D2555">_xlfn.IFS(E2555&lt;28, "17-27",
AND(E2555&gt;27, E2555&lt;38), "28-37",
AND(E2555&gt;37, E2555 &lt;48), "38-47",
AND(E2555&gt;47, E2555 &lt;58), "48-57",
AND(E2555&gt;57, E2555&lt;68), "58-67",
AND(E2555&gt;67, E2555&lt;78), "68-77",
E2555&gt;77,"Above than 77")</f>
        <v>68-77</v>
      </c>
      <c r="E2555">
        <v>73</v>
      </c>
      <c r="F2555" s="1">
        <v>18537</v>
      </c>
      <c r="G2555" s="1" t="str">
        <f>VLOOKUP(H2555,Table7[#All], 2, FALSE)</f>
        <v>Colorado</v>
      </c>
      <c r="H2555" s="2" t="s">
        <v>50</v>
      </c>
      <c r="I2555" s="2" t="s">
        <v>22</v>
      </c>
      <c r="J2555" s="2" t="s">
        <v>17</v>
      </c>
      <c r="K2555" s="2" t="s">
        <v>24</v>
      </c>
      <c r="L2555" s="2" t="s">
        <v>9</v>
      </c>
      <c r="M2555" s="2" t="s">
        <v>20</v>
      </c>
      <c r="N2555" s="2" t="s">
        <v>19</v>
      </c>
      <c r="O2555" s="2" t="s">
        <v>27</v>
      </c>
      <c r="P2555" s="2" t="s">
        <v>58</v>
      </c>
      <c r="Q2555" s="2" t="s">
        <v>23</v>
      </c>
      <c r="R2555" s="2" t="s">
        <v>41</v>
      </c>
      <c r="S2555">
        <v>4</v>
      </c>
    </row>
    <row r="2556" spans="1:19" x14ac:dyDescent="0.3">
      <c r="A2556">
        <v>1336</v>
      </c>
      <c r="B2556">
        <f>YEAR(Cleaned_HR_Data_Analysis__2[[#This Row],[Joining_Date]])</f>
        <v>2020</v>
      </c>
      <c r="C2556" s="1">
        <v>43887</v>
      </c>
      <c r="D2556" s="1" t="str" cm="1">
        <f t="array" ref="D2556">_xlfn.IFS(E2556&lt;28, "17-27",
AND(E2556&gt;27, E2556&lt;38), "28-37",
AND(E2556&gt;37, E2556 &lt;48), "38-47",
AND(E2556&gt;47, E2556 &lt;58), "48-57",
AND(E2556&gt;57, E2556&lt;68), "58-67",
AND(E2556&gt;67, E2556&lt;78), "68-77",
E2556&gt;77,"Above than 77")</f>
        <v>68-77</v>
      </c>
      <c r="E2556">
        <v>73</v>
      </c>
      <c r="F2556" s="1">
        <v>17362</v>
      </c>
      <c r="G2556" s="1" t="str">
        <f>VLOOKUP(H2556,Table7[#All], 2, FALSE)</f>
        <v>Massachusetts</v>
      </c>
      <c r="H2556" s="2" t="s">
        <v>14</v>
      </c>
      <c r="I2556" s="2" t="s">
        <v>15</v>
      </c>
      <c r="J2556" s="2" t="s">
        <v>34</v>
      </c>
      <c r="K2556" s="2" t="s">
        <v>96</v>
      </c>
      <c r="L2556" s="2" t="s">
        <v>9</v>
      </c>
      <c r="M2556" s="2" t="s">
        <v>25</v>
      </c>
      <c r="N2556" s="2" t="s">
        <v>19</v>
      </c>
      <c r="O2556" s="2" t="s">
        <v>90</v>
      </c>
      <c r="P2556" s="2" t="s">
        <v>35</v>
      </c>
      <c r="Q2556" s="2" t="s">
        <v>37</v>
      </c>
      <c r="R2556" s="2" t="s">
        <v>18</v>
      </c>
      <c r="S2556">
        <v>1</v>
      </c>
    </row>
    <row r="2557" spans="1:19" x14ac:dyDescent="0.3">
      <c r="A2557">
        <v>1353</v>
      </c>
      <c r="B2557">
        <f>YEAR(Cleaned_HR_Data_Analysis__2[[#This Row],[Joining_Date]])</f>
        <v>2020</v>
      </c>
      <c r="C2557" s="1">
        <v>44089</v>
      </c>
      <c r="D2557" s="1" t="str" cm="1">
        <f t="array" ref="D2557">_xlfn.IFS(E2557&lt;28, "17-27",
AND(E2557&gt;27, E2557&lt;38), "28-37",
AND(E2557&gt;37, E2557 &lt;48), "38-47",
AND(E2557&gt;47, E2557 &lt;58), "48-57",
AND(E2557&gt;57, E2557&lt;68), "58-67",
AND(E2557&gt;67, E2557&lt;78), "68-77",
E2557&gt;77,"Above than 77")</f>
        <v>68-77</v>
      </c>
      <c r="E2557">
        <v>74</v>
      </c>
      <c r="F2557" s="1">
        <v>16865</v>
      </c>
      <c r="G2557" s="1" t="str">
        <f>VLOOKUP(H2557,Table7[#All], 2, FALSE)</f>
        <v>Massachusetts</v>
      </c>
      <c r="H2557" s="2" t="s">
        <v>14</v>
      </c>
      <c r="I2557" s="2" t="s">
        <v>22</v>
      </c>
      <c r="J2557" s="2" t="s">
        <v>31</v>
      </c>
      <c r="K2557" s="2" t="s">
        <v>72</v>
      </c>
      <c r="L2557" s="2" t="s">
        <v>9</v>
      </c>
      <c r="M2557" s="2" t="s">
        <v>20</v>
      </c>
      <c r="N2557" s="2" t="s">
        <v>19</v>
      </c>
      <c r="O2557" s="2" t="s">
        <v>53</v>
      </c>
      <c r="P2557" s="2" t="s">
        <v>35</v>
      </c>
      <c r="Q2557" s="2" t="s">
        <v>16</v>
      </c>
      <c r="R2557" s="2" t="s">
        <v>18</v>
      </c>
      <c r="S2557">
        <v>1</v>
      </c>
    </row>
    <row r="2558" spans="1:19" x14ac:dyDescent="0.3">
      <c r="A2558">
        <v>1335</v>
      </c>
      <c r="B2558">
        <f>YEAR(Cleaned_HR_Data_Analysis__2[[#This Row],[Joining_Date]])</f>
        <v>2021</v>
      </c>
      <c r="C2558" s="1">
        <v>44500</v>
      </c>
      <c r="D2558" s="1" t="str" cm="1">
        <f t="array" ref="D2558">_xlfn.IFS(E2558&lt;28, "17-27",
AND(E2558&gt;27, E2558&lt;38), "28-37",
AND(E2558&gt;37, E2558 &lt;48), "38-47",
AND(E2558&gt;47, E2558 &lt;58), "48-57",
AND(E2558&gt;57, E2558&lt;68), "58-67",
AND(E2558&gt;67, E2558&lt;78), "68-77",
E2558&gt;77,"Above than 77")</f>
        <v>68-77</v>
      </c>
      <c r="E2558">
        <v>74</v>
      </c>
      <c r="F2558" s="1">
        <v>17495</v>
      </c>
      <c r="G2558" s="1" t="str">
        <f>VLOOKUP(H2558,Table7[#All], 2, FALSE)</f>
        <v>Massachusetts</v>
      </c>
      <c r="H2558" s="2" t="s">
        <v>14</v>
      </c>
      <c r="I2558" s="2" t="s">
        <v>15</v>
      </c>
      <c r="J2558" s="2" t="s">
        <v>40</v>
      </c>
      <c r="K2558" s="2" t="s">
        <v>86</v>
      </c>
      <c r="L2558" s="2" t="s">
        <v>9</v>
      </c>
      <c r="M2558" s="2" t="s">
        <v>10</v>
      </c>
      <c r="N2558" s="2" t="s">
        <v>19</v>
      </c>
      <c r="O2558" s="2" t="s">
        <v>87</v>
      </c>
      <c r="P2558" s="2" t="s">
        <v>32</v>
      </c>
      <c r="Q2558" s="2" t="s">
        <v>16</v>
      </c>
      <c r="R2558" s="2" t="s">
        <v>18</v>
      </c>
      <c r="S2558">
        <v>5</v>
      </c>
    </row>
    <row r="2559" spans="1:19" x14ac:dyDescent="0.3">
      <c r="A2559">
        <v>1047</v>
      </c>
      <c r="B2559">
        <f>YEAR(Cleaned_HR_Data_Analysis__2[[#This Row],[Joining_Date]])</f>
        <v>2021</v>
      </c>
      <c r="C2559" s="1">
        <v>44527</v>
      </c>
      <c r="D2559" s="1" t="str" cm="1">
        <f t="array" ref="D2559">_xlfn.IFS(E2559&lt;28, "17-27",
AND(E2559&gt;27, E2559&lt;38), "28-37",
AND(E2559&gt;37, E2559 &lt;48), "38-47",
AND(E2559&gt;47, E2559 &lt;58), "48-57",
AND(E2559&gt;57, E2559&lt;68), "58-67",
AND(E2559&gt;67, E2559&lt;78), "68-77",
E2559&gt;77,"Above than 77")</f>
        <v>68-77</v>
      </c>
      <c r="E2559">
        <v>74</v>
      </c>
      <c r="F2559" s="1">
        <v>17495</v>
      </c>
      <c r="G2559" s="1" t="str">
        <f>VLOOKUP(H2559,Table7[#All], 2, FALSE)</f>
        <v>Massachusetts</v>
      </c>
      <c r="H2559" s="2" t="s">
        <v>14</v>
      </c>
      <c r="I2559" s="2" t="s">
        <v>15</v>
      </c>
      <c r="J2559" s="2" t="s">
        <v>31</v>
      </c>
      <c r="K2559" s="2" t="s">
        <v>86</v>
      </c>
      <c r="L2559" s="2" t="s">
        <v>9</v>
      </c>
      <c r="M2559" s="2" t="s">
        <v>10</v>
      </c>
      <c r="N2559" s="2" t="s">
        <v>19</v>
      </c>
      <c r="O2559" s="2" t="s">
        <v>87</v>
      </c>
      <c r="P2559" s="2" t="s">
        <v>35</v>
      </c>
      <c r="Q2559" s="2" t="s">
        <v>23</v>
      </c>
      <c r="R2559" s="2" t="s">
        <v>18</v>
      </c>
      <c r="S2559">
        <v>2</v>
      </c>
    </row>
    <row r="2560" spans="1:19" x14ac:dyDescent="0.3">
      <c r="A2560">
        <v>1011</v>
      </c>
      <c r="B2560">
        <f>YEAR(Cleaned_HR_Data_Analysis__2[[#This Row],[Joining_Date]])</f>
        <v>2022</v>
      </c>
      <c r="C2560" s="1">
        <v>44599</v>
      </c>
      <c r="D2560" s="1" t="str" cm="1">
        <f t="array" ref="D2560">_xlfn.IFS(E2560&lt;28, "17-27",
AND(E2560&gt;27, E2560&lt;38), "28-37",
AND(E2560&gt;37, E2560 &lt;48), "38-47",
AND(E2560&gt;47, E2560 &lt;58), "48-57",
AND(E2560&gt;57, E2560&lt;68), "58-67",
AND(E2560&gt;67, E2560&lt;78), "68-77",
E2560&gt;77,"Above than 77")</f>
        <v>68-77</v>
      </c>
      <c r="E2560">
        <v>74</v>
      </c>
      <c r="F2560" s="1">
        <v>17585</v>
      </c>
      <c r="G2560" s="1" t="str">
        <f>VLOOKUP(H2560,Table7[#All], 2, FALSE)</f>
        <v>Massachusetts</v>
      </c>
      <c r="H2560" s="2" t="s">
        <v>14</v>
      </c>
      <c r="I2560" s="2" t="s">
        <v>22</v>
      </c>
      <c r="J2560" s="2" t="s">
        <v>34</v>
      </c>
      <c r="K2560" s="2" t="s">
        <v>86</v>
      </c>
      <c r="L2560" s="2" t="s">
        <v>66</v>
      </c>
      <c r="M2560" s="2" t="s">
        <v>10</v>
      </c>
      <c r="N2560" s="2" t="s">
        <v>19</v>
      </c>
      <c r="O2560" s="2" t="s">
        <v>87</v>
      </c>
      <c r="P2560" s="2" t="s">
        <v>32</v>
      </c>
      <c r="Q2560" s="2" t="s">
        <v>23</v>
      </c>
      <c r="R2560" s="2" t="s">
        <v>18</v>
      </c>
      <c r="S2560">
        <v>2</v>
      </c>
    </row>
    <row r="2561" spans="1:19" x14ac:dyDescent="0.3">
      <c r="A2561">
        <v>1678</v>
      </c>
      <c r="B2561">
        <f>YEAR(Cleaned_HR_Data_Analysis__2[[#This Row],[Joining_Date]])</f>
        <v>2020</v>
      </c>
      <c r="C2561" s="1">
        <v>44153</v>
      </c>
      <c r="D2561" s="1" t="str" cm="1">
        <f t="array" ref="D2561">_xlfn.IFS(E2561&lt;28, "17-27",
AND(E2561&gt;27, E2561&lt;38), "28-37",
AND(E2561&gt;37, E2561 &lt;48), "38-47",
AND(E2561&gt;47, E2561 &lt;58), "48-57",
AND(E2561&gt;57, E2561&lt;68), "58-67",
AND(E2561&gt;67, E2561&lt;78), "68-77",
E2561&gt;77,"Above than 77")</f>
        <v>68-77</v>
      </c>
      <c r="E2561">
        <v>74</v>
      </c>
      <c r="F2561" s="1">
        <v>16889</v>
      </c>
      <c r="G2561" s="1" t="str">
        <f>VLOOKUP(H2561,Table7[#All], 2, FALSE)</f>
        <v>Massachusetts</v>
      </c>
      <c r="H2561" s="2" t="s">
        <v>14</v>
      </c>
      <c r="I2561" s="2" t="s">
        <v>15</v>
      </c>
      <c r="J2561" s="2" t="s">
        <v>17</v>
      </c>
      <c r="K2561" s="2" t="s">
        <v>89</v>
      </c>
      <c r="L2561" s="2" t="s">
        <v>9</v>
      </c>
      <c r="M2561" s="2" t="s">
        <v>20</v>
      </c>
      <c r="N2561" s="2" t="s">
        <v>19</v>
      </c>
      <c r="O2561" s="2" t="s">
        <v>90</v>
      </c>
      <c r="P2561" s="2" t="s">
        <v>35</v>
      </c>
      <c r="Q2561" s="2" t="s">
        <v>37</v>
      </c>
      <c r="R2561" s="2" t="s">
        <v>18</v>
      </c>
      <c r="S2561">
        <v>1</v>
      </c>
    </row>
    <row r="2562" spans="1:19" x14ac:dyDescent="0.3">
      <c r="A2562">
        <v>3648</v>
      </c>
      <c r="B2562">
        <f>YEAR(Cleaned_HR_Data_Analysis__2[[#This Row],[Joining_Date]])</f>
        <v>2022</v>
      </c>
      <c r="C2562" s="1">
        <v>44615</v>
      </c>
      <c r="D2562" s="1" t="str" cm="1">
        <f t="array" ref="D2562">_xlfn.IFS(E2562&lt;28, "17-27",
AND(E2562&gt;27, E2562&lt;38), "28-37",
AND(E2562&gt;37, E2562 &lt;48), "38-47",
AND(E2562&gt;47, E2562 &lt;58), "48-57",
AND(E2562&gt;57, E2562&lt;68), "58-67",
AND(E2562&gt;67, E2562&lt;78), "68-77",
E2562&gt;77,"Above than 77")</f>
        <v>68-77</v>
      </c>
      <c r="E2562">
        <v>74</v>
      </c>
      <c r="F2562" s="1">
        <v>17711</v>
      </c>
      <c r="G2562" s="1" t="str">
        <f>VLOOKUP(H2562,Table7[#All], 2, FALSE)</f>
        <v>Massachusetts</v>
      </c>
      <c r="H2562" s="2" t="s">
        <v>14</v>
      </c>
      <c r="I2562" s="2" t="s">
        <v>15</v>
      </c>
      <c r="J2562" s="2" t="s">
        <v>40</v>
      </c>
      <c r="K2562" s="2" t="s">
        <v>64</v>
      </c>
      <c r="L2562" s="2" t="s">
        <v>9</v>
      </c>
      <c r="M2562" s="2" t="s">
        <v>10</v>
      </c>
      <c r="N2562" s="2" t="s">
        <v>19</v>
      </c>
      <c r="O2562" s="2" t="s">
        <v>12</v>
      </c>
      <c r="P2562" s="2" t="s">
        <v>21</v>
      </c>
      <c r="Q2562" s="2" t="s">
        <v>30</v>
      </c>
      <c r="R2562" s="2" t="s">
        <v>41</v>
      </c>
      <c r="S2562">
        <v>3</v>
      </c>
    </row>
    <row r="2563" spans="1:19" x14ac:dyDescent="0.3">
      <c r="A2563">
        <v>3628</v>
      </c>
      <c r="B2563">
        <f>YEAR(Cleaned_HR_Data_Analysis__2[[#This Row],[Joining_Date]])</f>
        <v>2020</v>
      </c>
      <c r="C2563" s="1">
        <v>44092</v>
      </c>
      <c r="D2563" s="1" t="str" cm="1">
        <f t="array" ref="D2563">_xlfn.IFS(E2563&lt;28, "17-27",
AND(E2563&gt;27, E2563&lt;38), "28-37",
AND(E2563&gt;37, E2563 &lt;48), "38-47",
AND(E2563&gt;47, E2563 &lt;58), "48-57",
AND(E2563&gt;57, E2563&lt;68), "58-67",
AND(E2563&gt;67, E2563&lt;78), "68-77",
E2563&gt;77,"Above than 77")</f>
        <v>68-77</v>
      </c>
      <c r="E2563">
        <v>74</v>
      </c>
      <c r="F2563" s="1">
        <v>16829</v>
      </c>
      <c r="G2563" s="1" t="str">
        <f>VLOOKUP(H2563,Table7[#All], 2, FALSE)</f>
        <v>Massachusetts</v>
      </c>
      <c r="H2563" s="2" t="s">
        <v>14</v>
      </c>
      <c r="I2563" s="2" t="s">
        <v>15</v>
      </c>
      <c r="J2563" s="2" t="s">
        <v>34</v>
      </c>
      <c r="K2563" s="2" t="s">
        <v>64</v>
      </c>
      <c r="L2563" s="2" t="s">
        <v>9</v>
      </c>
      <c r="M2563" s="2" t="s">
        <v>10</v>
      </c>
      <c r="N2563" s="2" t="s">
        <v>26</v>
      </c>
      <c r="O2563" s="2" t="s">
        <v>12</v>
      </c>
      <c r="P2563" s="2" t="s">
        <v>42</v>
      </c>
      <c r="Q2563" s="2" t="s">
        <v>23</v>
      </c>
      <c r="R2563" s="2" t="s">
        <v>18</v>
      </c>
      <c r="S2563">
        <v>3</v>
      </c>
    </row>
    <row r="2564" spans="1:19" x14ac:dyDescent="0.3">
      <c r="A2564">
        <v>2788</v>
      </c>
      <c r="B2564">
        <f>YEAR(Cleaned_HR_Data_Analysis__2[[#This Row],[Joining_Date]])</f>
        <v>2023</v>
      </c>
      <c r="C2564" s="1">
        <v>45080</v>
      </c>
      <c r="D2564" s="1" t="str" cm="1">
        <f t="array" ref="D2564">_xlfn.IFS(E2564&lt;28, "17-27",
AND(E2564&gt;27, E2564&lt;38), "28-37",
AND(E2564&gt;37, E2564 &lt;48), "38-47",
AND(E2564&gt;47, E2564 &lt;58), "48-57",
AND(E2564&gt;57, E2564&lt;68), "58-67",
AND(E2564&gt;67, E2564&lt;78), "68-77",
E2564&gt;77,"Above than 77")</f>
        <v>68-77</v>
      </c>
      <c r="E2564">
        <v>74</v>
      </c>
      <c r="F2564" s="1">
        <v>17936</v>
      </c>
      <c r="G2564" s="1" t="str">
        <f>VLOOKUP(H2564,Table7[#All], 2, FALSE)</f>
        <v>Massachusetts</v>
      </c>
      <c r="H2564" s="2" t="s">
        <v>14</v>
      </c>
      <c r="I2564" s="2" t="s">
        <v>15</v>
      </c>
      <c r="J2564" s="2" t="s">
        <v>17</v>
      </c>
      <c r="K2564" s="2" t="s">
        <v>64</v>
      </c>
      <c r="L2564" s="2" t="s">
        <v>66</v>
      </c>
      <c r="M2564" s="2" t="s">
        <v>10</v>
      </c>
      <c r="N2564" s="2" t="s">
        <v>11</v>
      </c>
      <c r="O2564" s="2" t="s">
        <v>12</v>
      </c>
      <c r="P2564" s="2" t="s">
        <v>54</v>
      </c>
      <c r="Q2564" s="2" t="s">
        <v>37</v>
      </c>
      <c r="R2564" s="2" t="s">
        <v>18</v>
      </c>
      <c r="S2564">
        <v>1</v>
      </c>
    </row>
    <row r="2565" spans="1:19" x14ac:dyDescent="0.3">
      <c r="A2565">
        <v>1731</v>
      </c>
      <c r="B2565">
        <f>YEAR(Cleaned_HR_Data_Analysis__2[[#This Row],[Joining_Date]])</f>
        <v>2021</v>
      </c>
      <c r="C2565" s="1">
        <v>44388</v>
      </c>
      <c r="D2565" s="1" t="str" cm="1">
        <f t="array" ref="D2565">_xlfn.IFS(E2565&lt;28, "17-27",
AND(E2565&gt;27, E2565&lt;38), "28-37",
AND(E2565&gt;37, E2565 &lt;48), "38-47",
AND(E2565&gt;47, E2565 &lt;58), "48-57",
AND(E2565&gt;57, E2565&lt;68), "58-67",
AND(E2565&gt;67, E2565&lt;78), "68-77",
E2565&gt;77,"Above than 77")</f>
        <v>68-77</v>
      </c>
      <c r="E2565">
        <v>74</v>
      </c>
      <c r="F2565" s="1">
        <v>17248</v>
      </c>
      <c r="G2565" s="1" t="str">
        <f>VLOOKUP(H2565,Table7[#All], 2, FALSE)</f>
        <v>Massachusetts</v>
      </c>
      <c r="H2565" s="2" t="s">
        <v>14</v>
      </c>
      <c r="I2565" s="2" t="s">
        <v>22</v>
      </c>
      <c r="J2565" s="2" t="s">
        <v>40</v>
      </c>
      <c r="K2565" s="2" t="s">
        <v>64</v>
      </c>
      <c r="L2565" s="2" t="s">
        <v>9</v>
      </c>
      <c r="M2565" s="2" t="s">
        <v>10</v>
      </c>
      <c r="N2565" s="2" t="s">
        <v>26</v>
      </c>
      <c r="O2565" s="2" t="s">
        <v>12</v>
      </c>
      <c r="P2565" s="2" t="s">
        <v>42</v>
      </c>
      <c r="Q2565" s="2" t="s">
        <v>37</v>
      </c>
      <c r="R2565" s="2" t="s">
        <v>18</v>
      </c>
      <c r="S2565">
        <v>4</v>
      </c>
    </row>
    <row r="2566" spans="1:19" x14ac:dyDescent="0.3">
      <c r="A2566">
        <v>1560</v>
      </c>
      <c r="B2566">
        <f>YEAR(Cleaned_HR_Data_Analysis__2[[#This Row],[Joining_Date]])</f>
        <v>2021</v>
      </c>
      <c r="C2566" s="1">
        <v>44550</v>
      </c>
      <c r="D2566" s="1" t="str" cm="1">
        <f t="array" ref="D2566">_xlfn.IFS(E2566&lt;28, "17-27",
AND(E2566&gt;27, E2566&lt;38), "28-37",
AND(E2566&gt;37, E2566 &lt;48), "38-47",
AND(E2566&gt;47, E2566 &lt;58), "48-57",
AND(E2566&gt;57, E2566&lt;68), "58-67",
AND(E2566&gt;67, E2566&lt;78), "68-77",
E2566&gt;77,"Above than 77")</f>
        <v>68-77</v>
      </c>
      <c r="E2566">
        <v>74</v>
      </c>
      <c r="F2566" s="1">
        <v>17418</v>
      </c>
      <c r="G2566" s="1" t="str">
        <f>VLOOKUP(H2566,Table7[#All], 2, FALSE)</f>
        <v>Massachusetts</v>
      </c>
      <c r="H2566" s="2" t="s">
        <v>14</v>
      </c>
      <c r="I2566" s="2" t="s">
        <v>22</v>
      </c>
      <c r="J2566" s="2" t="s">
        <v>40</v>
      </c>
      <c r="K2566" s="2" t="s">
        <v>64</v>
      </c>
      <c r="L2566" s="2" t="s">
        <v>66</v>
      </c>
      <c r="M2566" s="2" t="s">
        <v>25</v>
      </c>
      <c r="N2566" s="2" t="s">
        <v>19</v>
      </c>
      <c r="O2566" s="2" t="s">
        <v>12</v>
      </c>
      <c r="P2566" s="2" t="s">
        <v>32</v>
      </c>
      <c r="Q2566" s="2" t="s">
        <v>30</v>
      </c>
      <c r="R2566" s="2" t="s">
        <v>18</v>
      </c>
      <c r="S2566">
        <v>2</v>
      </c>
    </row>
    <row r="2567" spans="1:19" x14ac:dyDescent="0.3">
      <c r="A2567">
        <v>3802</v>
      </c>
      <c r="B2567">
        <f>YEAR(Cleaned_HR_Data_Analysis__2[[#This Row],[Joining_Date]])</f>
        <v>2021</v>
      </c>
      <c r="C2567" s="1">
        <v>44259</v>
      </c>
      <c r="D2567" s="1" t="str" cm="1">
        <f t="array" ref="D2567">_xlfn.IFS(E2567&lt;28, "17-27",
AND(E2567&gt;27, E2567&lt;38), "28-37",
AND(E2567&gt;37, E2567 &lt;48), "38-47",
AND(E2567&gt;47, E2567 &lt;58), "48-57",
AND(E2567&gt;57, E2567&lt;68), "58-67",
AND(E2567&gt;67, E2567&lt;78), "68-77",
E2567&gt;77,"Above than 77")</f>
        <v>68-77</v>
      </c>
      <c r="E2567">
        <v>74</v>
      </c>
      <c r="F2567" s="1">
        <v>17254</v>
      </c>
      <c r="G2567" s="1" t="str">
        <f>VLOOKUP(H2567,Table7[#All], 2, FALSE)</f>
        <v>Massachusetts</v>
      </c>
      <c r="H2567" s="2" t="s">
        <v>14</v>
      </c>
      <c r="I2567" s="2" t="s">
        <v>22</v>
      </c>
      <c r="J2567" s="2" t="s">
        <v>40</v>
      </c>
      <c r="K2567" s="2" t="s">
        <v>8</v>
      </c>
      <c r="L2567" s="2" t="s">
        <v>9</v>
      </c>
      <c r="M2567" s="2" t="s">
        <v>25</v>
      </c>
      <c r="N2567" s="2" t="s">
        <v>19</v>
      </c>
      <c r="O2567" s="2" t="s">
        <v>12</v>
      </c>
      <c r="P2567" s="2" t="s">
        <v>35</v>
      </c>
      <c r="Q2567" s="2" t="s">
        <v>16</v>
      </c>
      <c r="R2567" s="2" t="s">
        <v>18</v>
      </c>
      <c r="S2567">
        <v>3</v>
      </c>
    </row>
    <row r="2568" spans="1:19" x14ac:dyDescent="0.3">
      <c r="A2568">
        <v>3284</v>
      </c>
      <c r="B2568">
        <f>YEAR(Cleaned_HR_Data_Analysis__2[[#This Row],[Joining_Date]])</f>
        <v>2022</v>
      </c>
      <c r="C2568" s="1">
        <v>44794</v>
      </c>
      <c r="D2568" s="1" t="str" cm="1">
        <f t="array" ref="D2568">_xlfn.IFS(E2568&lt;28, "17-27",
AND(E2568&gt;27, E2568&lt;38), "28-37",
AND(E2568&gt;37, E2568 &lt;48), "38-47",
AND(E2568&gt;47, E2568 &lt;58), "48-57",
AND(E2568&gt;57, E2568&lt;68), "58-67",
AND(E2568&gt;67, E2568&lt;78), "68-77",
E2568&gt;77,"Above than 77")</f>
        <v>68-77</v>
      </c>
      <c r="E2568">
        <v>74</v>
      </c>
      <c r="F2568" s="1">
        <v>17823</v>
      </c>
      <c r="G2568" s="1" t="str">
        <f>VLOOKUP(H2568,Table7[#All], 2, FALSE)</f>
        <v>Massachusetts</v>
      </c>
      <c r="H2568" s="2" t="s">
        <v>14</v>
      </c>
      <c r="I2568" s="2" t="s">
        <v>22</v>
      </c>
      <c r="J2568" s="2" t="s">
        <v>40</v>
      </c>
      <c r="K2568" s="2" t="s">
        <v>8</v>
      </c>
      <c r="L2568" s="2" t="s">
        <v>66</v>
      </c>
      <c r="M2568" s="2" t="s">
        <v>10</v>
      </c>
      <c r="N2568" s="2" t="s">
        <v>19</v>
      </c>
      <c r="O2568" s="2" t="s">
        <v>12</v>
      </c>
      <c r="P2568" s="2" t="s">
        <v>55</v>
      </c>
      <c r="Q2568" s="2" t="s">
        <v>30</v>
      </c>
      <c r="R2568" s="2" t="s">
        <v>18</v>
      </c>
      <c r="S2568">
        <v>4</v>
      </c>
    </row>
    <row r="2569" spans="1:19" x14ac:dyDescent="0.3">
      <c r="A2569">
        <v>2904</v>
      </c>
      <c r="B2569">
        <f>YEAR(Cleaned_HR_Data_Analysis__2[[#This Row],[Joining_Date]])</f>
        <v>2020</v>
      </c>
      <c r="C2569" s="1">
        <v>43876</v>
      </c>
      <c r="D2569" s="1" t="str" cm="1">
        <f t="array" ref="D2569">_xlfn.IFS(E2569&lt;28, "17-27",
AND(E2569&gt;27, E2569&lt;38), "28-37",
AND(E2569&gt;37, E2569 &lt;48), "38-47",
AND(E2569&gt;47, E2569 &lt;58), "48-57",
AND(E2569&gt;57, E2569&lt;68), "58-67",
AND(E2569&gt;67, E2569&lt;78), "68-77",
E2569&gt;77,"Above than 77")</f>
        <v>68-77</v>
      </c>
      <c r="E2569">
        <v>74</v>
      </c>
      <c r="F2569" s="1">
        <v>17080</v>
      </c>
      <c r="G2569" s="1" t="str">
        <f>VLOOKUP(H2569,Table7[#All], 2, FALSE)</f>
        <v>Massachusetts</v>
      </c>
      <c r="H2569" s="2" t="s">
        <v>14</v>
      </c>
      <c r="I2569" s="2" t="s">
        <v>15</v>
      </c>
      <c r="J2569" s="2" t="s">
        <v>17</v>
      </c>
      <c r="K2569" s="2" t="s">
        <v>8</v>
      </c>
      <c r="L2569" s="2" t="s">
        <v>66</v>
      </c>
      <c r="M2569" s="2" t="s">
        <v>25</v>
      </c>
      <c r="N2569" s="2" t="s">
        <v>19</v>
      </c>
      <c r="O2569" s="2" t="s">
        <v>12</v>
      </c>
      <c r="P2569" s="2" t="s">
        <v>54</v>
      </c>
      <c r="Q2569" s="2" t="s">
        <v>30</v>
      </c>
      <c r="R2569" s="2" t="s">
        <v>41</v>
      </c>
      <c r="S2569">
        <v>2</v>
      </c>
    </row>
    <row r="2570" spans="1:19" x14ac:dyDescent="0.3">
      <c r="A2570">
        <v>2859</v>
      </c>
      <c r="B2570">
        <f>YEAR(Cleaned_HR_Data_Analysis__2[[#This Row],[Joining_Date]])</f>
        <v>2019</v>
      </c>
      <c r="C2570" s="1">
        <v>43497</v>
      </c>
      <c r="D2570" s="1" t="str" cm="1">
        <f t="array" ref="D2570">_xlfn.IFS(E2570&lt;28, "17-27",
AND(E2570&gt;27, E2570&lt;38), "28-37",
AND(E2570&gt;37, E2570 &lt;48), "38-47",
AND(E2570&gt;47, E2570 &lt;58), "48-57",
AND(E2570&gt;57, E2570&lt;68), "58-67",
AND(E2570&gt;67, E2570&lt;78), "68-77",
E2570&gt;77,"Above than 77")</f>
        <v>68-77</v>
      </c>
      <c r="E2570">
        <v>74</v>
      </c>
      <c r="F2570" s="1">
        <v>16503</v>
      </c>
      <c r="G2570" s="1" t="str">
        <f>VLOOKUP(H2570,Table7[#All], 2, FALSE)</f>
        <v>Massachusetts</v>
      </c>
      <c r="H2570" s="2" t="s">
        <v>14</v>
      </c>
      <c r="I2570" s="2" t="s">
        <v>22</v>
      </c>
      <c r="J2570" s="2" t="s">
        <v>40</v>
      </c>
      <c r="K2570" s="2" t="s">
        <v>8</v>
      </c>
      <c r="L2570" s="2" t="s">
        <v>9</v>
      </c>
      <c r="M2570" s="2" t="s">
        <v>25</v>
      </c>
      <c r="N2570" s="2" t="s">
        <v>11</v>
      </c>
      <c r="O2570" s="2" t="s">
        <v>12</v>
      </c>
      <c r="P2570" s="2" t="s">
        <v>35</v>
      </c>
      <c r="Q2570" s="2" t="s">
        <v>30</v>
      </c>
      <c r="R2570" s="2" t="s">
        <v>56</v>
      </c>
      <c r="S2570">
        <v>3</v>
      </c>
    </row>
    <row r="2571" spans="1:19" x14ac:dyDescent="0.3">
      <c r="A2571">
        <v>2034</v>
      </c>
      <c r="B2571">
        <f>YEAR(Cleaned_HR_Data_Analysis__2[[#This Row],[Joining_Date]])</f>
        <v>2021</v>
      </c>
      <c r="C2571" s="1">
        <v>44434</v>
      </c>
      <c r="D2571" s="1" t="str" cm="1">
        <f t="array" ref="D2571">_xlfn.IFS(E2571&lt;28, "17-27",
AND(E2571&gt;27, E2571&lt;38), "28-37",
AND(E2571&gt;37, E2571 &lt;48), "38-47",
AND(E2571&gt;47, E2571 &lt;58), "48-57",
AND(E2571&gt;57, E2571&lt;68), "58-67",
AND(E2571&gt;67, E2571&lt;78), "68-77",
E2571&gt;77,"Above than 77")</f>
        <v>68-77</v>
      </c>
      <c r="E2571">
        <v>74</v>
      </c>
      <c r="F2571" s="1">
        <v>17186</v>
      </c>
      <c r="G2571" s="1" t="str">
        <f>VLOOKUP(H2571,Table7[#All], 2, FALSE)</f>
        <v>Massachusetts</v>
      </c>
      <c r="H2571" s="2" t="s">
        <v>14</v>
      </c>
      <c r="I2571" s="2" t="s">
        <v>15</v>
      </c>
      <c r="J2571" s="2" t="s">
        <v>34</v>
      </c>
      <c r="K2571" s="2" t="s">
        <v>8</v>
      </c>
      <c r="L2571" s="2" t="s">
        <v>9</v>
      </c>
      <c r="M2571" s="2" t="s">
        <v>25</v>
      </c>
      <c r="N2571" s="2" t="s">
        <v>11</v>
      </c>
      <c r="O2571" s="2" t="s">
        <v>12</v>
      </c>
      <c r="P2571" s="2" t="s">
        <v>35</v>
      </c>
      <c r="Q2571" s="2" t="s">
        <v>46</v>
      </c>
      <c r="R2571" s="2" t="s">
        <v>18</v>
      </c>
      <c r="S2571">
        <v>4</v>
      </c>
    </row>
    <row r="2572" spans="1:19" x14ac:dyDescent="0.3">
      <c r="A2572">
        <v>2010</v>
      </c>
      <c r="B2572">
        <f>YEAR(Cleaned_HR_Data_Analysis__2[[#This Row],[Joining_Date]])</f>
        <v>2023</v>
      </c>
      <c r="C2572" s="1">
        <v>44961</v>
      </c>
      <c r="D2572" s="1" t="str" cm="1">
        <f t="array" ref="D2572">_xlfn.IFS(E2572&lt;28, "17-27",
AND(E2572&gt;27, E2572&lt;38), "28-37",
AND(E2572&gt;37, E2572 &lt;48), "38-47",
AND(E2572&gt;47, E2572 &lt;58), "48-57",
AND(E2572&gt;57, E2572&lt;68), "58-67",
AND(E2572&gt;67, E2572&lt;78), "68-77",
E2572&gt;77,"Above than 77")</f>
        <v>68-77</v>
      </c>
      <c r="E2572">
        <v>74</v>
      </c>
      <c r="F2572" s="1">
        <v>17964</v>
      </c>
      <c r="G2572" s="1" t="str">
        <f>VLOOKUP(H2572,Table7[#All], 2, FALSE)</f>
        <v>Massachusetts</v>
      </c>
      <c r="H2572" s="2" t="s">
        <v>14</v>
      </c>
      <c r="I2572" s="2" t="s">
        <v>15</v>
      </c>
      <c r="J2572" s="2" t="s">
        <v>34</v>
      </c>
      <c r="K2572" s="2" t="s">
        <v>8</v>
      </c>
      <c r="L2572" s="2" t="s">
        <v>9</v>
      </c>
      <c r="M2572" s="2" t="s">
        <v>20</v>
      </c>
      <c r="N2572" s="2" t="s">
        <v>26</v>
      </c>
      <c r="O2572" s="2" t="s">
        <v>12</v>
      </c>
      <c r="P2572" s="2" t="s">
        <v>60</v>
      </c>
      <c r="Q2572" s="2" t="s">
        <v>23</v>
      </c>
      <c r="R2572" s="2" t="s">
        <v>18</v>
      </c>
      <c r="S2572">
        <v>4</v>
      </c>
    </row>
    <row r="2573" spans="1:19" x14ac:dyDescent="0.3">
      <c r="A2573">
        <v>1906</v>
      </c>
      <c r="B2573">
        <f>YEAR(Cleaned_HR_Data_Analysis__2[[#This Row],[Joining_Date]])</f>
        <v>2021</v>
      </c>
      <c r="C2573" s="1">
        <v>44249</v>
      </c>
      <c r="D2573" s="1" t="str" cm="1">
        <f t="array" ref="D2573">_xlfn.IFS(E2573&lt;28, "17-27",
AND(E2573&gt;27, E2573&lt;38), "28-37",
AND(E2573&gt;37, E2573 &lt;48), "38-47",
AND(E2573&gt;47, E2573 &lt;58), "48-57",
AND(E2573&gt;57, E2573&lt;68), "58-67",
AND(E2573&gt;67, E2573&lt;78), "68-77",
E2573&gt;77,"Above than 77")</f>
        <v>68-77</v>
      </c>
      <c r="E2573">
        <v>74</v>
      </c>
      <c r="F2573" s="1">
        <v>17382</v>
      </c>
      <c r="G2573" s="1" t="str">
        <f>VLOOKUP(H2573,Table7[#All], 2, FALSE)</f>
        <v>Massachusetts</v>
      </c>
      <c r="H2573" s="2" t="s">
        <v>14</v>
      </c>
      <c r="I2573" s="2" t="s">
        <v>22</v>
      </c>
      <c r="J2573" s="2" t="s">
        <v>17</v>
      </c>
      <c r="K2573" s="2" t="s">
        <v>8</v>
      </c>
      <c r="L2573" s="2" t="s">
        <v>9</v>
      </c>
      <c r="M2573" s="2" t="s">
        <v>20</v>
      </c>
      <c r="N2573" s="2" t="s">
        <v>26</v>
      </c>
      <c r="O2573" s="2" t="s">
        <v>12</v>
      </c>
      <c r="P2573" s="2" t="s">
        <v>35</v>
      </c>
      <c r="Q2573" s="2" t="s">
        <v>23</v>
      </c>
      <c r="R2573" s="2" t="s">
        <v>18</v>
      </c>
      <c r="S2573">
        <v>4</v>
      </c>
    </row>
    <row r="2574" spans="1:19" x14ac:dyDescent="0.3">
      <c r="A2574">
        <v>1891</v>
      </c>
      <c r="B2574">
        <f>YEAR(Cleaned_HR_Data_Analysis__2[[#This Row],[Joining_Date]])</f>
        <v>2020</v>
      </c>
      <c r="C2574" s="1">
        <v>43915</v>
      </c>
      <c r="D2574" s="1" t="str" cm="1">
        <f t="array" ref="D2574">_xlfn.IFS(E2574&lt;28, "17-27",
AND(E2574&gt;27, E2574&lt;38), "28-37",
AND(E2574&gt;37, E2574 &lt;48), "38-47",
AND(E2574&gt;47, E2574 &lt;58), "48-57",
AND(E2574&gt;57, E2574&lt;68), "58-67",
AND(E2574&gt;67, E2574&lt;78), "68-77",
E2574&gt;77,"Above than 77")</f>
        <v>68-77</v>
      </c>
      <c r="E2574">
        <v>74</v>
      </c>
      <c r="F2574" s="1">
        <v>16977</v>
      </c>
      <c r="G2574" s="1" t="str">
        <f>VLOOKUP(H2574,Table7[#All], 2, FALSE)</f>
        <v>Massachusetts</v>
      </c>
      <c r="H2574" s="2" t="s">
        <v>14</v>
      </c>
      <c r="I2574" s="2" t="s">
        <v>15</v>
      </c>
      <c r="J2574" s="2" t="s">
        <v>34</v>
      </c>
      <c r="K2574" s="2" t="s">
        <v>8</v>
      </c>
      <c r="L2574" s="2" t="s">
        <v>9</v>
      </c>
      <c r="M2574" s="2" t="s">
        <v>25</v>
      </c>
      <c r="N2574" s="2" t="s">
        <v>11</v>
      </c>
      <c r="O2574" s="2" t="s">
        <v>12</v>
      </c>
      <c r="P2574" s="2" t="s">
        <v>21</v>
      </c>
      <c r="Q2574" s="2" t="s">
        <v>23</v>
      </c>
      <c r="R2574" s="2" t="s">
        <v>18</v>
      </c>
      <c r="S2574">
        <v>5</v>
      </c>
    </row>
    <row r="2575" spans="1:19" x14ac:dyDescent="0.3">
      <c r="A2575">
        <v>1819</v>
      </c>
      <c r="B2575">
        <f>YEAR(Cleaned_HR_Data_Analysis__2[[#This Row],[Joining_Date]])</f>
        <v>2022</v>
      </c>
      <c r="C2575" s="1">
        <v>44744</v>
      </c>
      <c r="D2575" s="1" t="str" cm="1">
        <f t="array" ref="D2575">_xlfn.IFS(E2575&lt;28, "17-27",
AND(E2575&gt;27, E2575&lt;38), "28-37",
AND(E2575&gt;37, E2575 &lt;48), "38-47",
AND(E2575&gt;47, E2575 &lt;58), "48-57",
AND(E2575&gt;57, E2575&lt;68), "58-67",
AND(E2575&gt;67, E2575&lt;78), "68-77",
E2575&gt;77,"Above than 77")</f>
        <v>68-77</v>
      </c>
      <c r="E2575">
        <v>74</v>
      </c>
      <c r="F2575" s="1">
        <v>17830</v>
      </c>
      <c r="G2575" s="1" t="str">
        <f>VLOOKUP(H2575,Table7[#All], 2, FALSE)</f>
        <v>Massachusetts</v>
      </c>
      <c r="H2575" s="2" t="s">
        <v>14</v>
      </c>
      <c r="I2575" s="2" t="s">
        <v>15</v>
      </c>
      <c r="J2575" s="2" t="s">
        <v>31</v>
      </c>
      <c r="K2575" s="2" t="s">
        <v>8</v>
      </c>
      <c r="L2575" s="2" t="s">
        <v>9</v>
      </c>
      <c r="M2575" s="2" t="s">
        <v>25</v>
      </c>
      <c r="N2575" s="2" t="s">
        <v>26</v>
      </c>
      <c r="O2575" s="2" t="s">
        <v>12</v>
      </c>
      <c r="P2575" s="2" t="s">
        <v>32</v>
      </c>
      <c r="Q2575" s="2" t="s">
        <v>37</v>
      </c>
      <c r="R2575" s="2" t="s">
        <v>18</v>
      </c>
      <c r="S2575">
        <v>1</v>
      </c>
    </row>
    <row r="2576" spans="1:19" x14ac:dyDescent="0.3">
      <c r="A2576">
        <v>1764</v>
      </c>
      <c r="B2576">
        <f>YEAR(Cleaned_HR_Data_Analysis__2[[#This Row],[Joining_Date]])</f>
        <v>2023</v>
      </c>
      <c r="C2576" s="1">
        <v>44943</v>
      </c>
      <c r="D2576" s="1" t="str" cm="1">
        <f t="array" ref="D2576">_xlfn.IFS(E2576&lt;28, "17-27",
AND(E2576&gt;27, E2576&lt;38), "28-37",
AND(E2576&gt;37, E2576 &lt;48), "38-47",
AND(E2576&gt;47, E2576 &lt;58), "48-57",
AND(E2576&gt;57, E2576&lt;68), "58-67",
AND(E2576&gt;67, E2576&lt;78), "68-77",
E2576&gt;77,"Above than 77")</f>
        <v>68-77</v>
      </c>
      <c r="E2576">
        <v>74</v>
      </c>
      <c r="F2576" s="1">
        <v>17900</v>
      </c>
      <c r="G2576" s="1" t="str">
        <f>VLOOKUP(H2576,Table7[#All], 2, FALSE)</f>
        <v>Massachusetts</v>
      </c>
      <c r="H2576" s="2" t="s">
        <v>14</v>
      </c>
      <c r="I2576" s="2" t="s">
        <v>15</v>
      </c>
      <c r="J2576" s="2" t="s">
        <v>34</v>
      </c>
      <c r="K2576" s="2" t="s">
        <v>8</v>
      </c>
      <c r="L2576" s="2" t="s">
        <v>9</v>
      </c>
      <c r="M2576" s="2" t="s">
        <v>25</v>
      </c>
      <c r="N2576" s="2" t="s">
        <v>19</v>
      </c>
      <c r="O2576" s="2" t="s">
        <v>12</v>
      </c>
      <c r="P2576" s="2" t="s">
        <v>42</v>
      </c>
      <c r="Q2576" s="2" t="s">
        <v>37</v>
      </c>
      <c r="R2576" s="2" t="s">
        <v>18</v>
      </c>
      <c r="S2576">
        <v>3</v>
      </c>
    </row>
    <row r="2577" spans="1:19" x14ac:dyDescent="0.3">
      <c r="A2577">
        <v>1759</v>
      </c>
      <c r="B2577">
        <f>YEAR(Cleaned_HR_Data_Analysis__2[[#This Row],[Joining_Date]])</f>
        <v>2021</v>
      </c>
      <c r="C2577" s="1">
        <v>44219</v>
      </c>
      <c r="D2577" s="1" t="str" cm="1">
        <f t="array" ref="D2577">_xlfn.IFS(E2577&lt;28, "17-27",
AND(E2577&gt;27, E2577&lt;38), "28-37",
AND(E2577&gt;37, E2577 &lt;48), "38-47",
AND(E2577&gt;47, E2577 &lt;58), "48-57",
AND(E2577&gt;57, E2577&lt;68), "58-67",
AND(E2577&gt;67, E2577&lt;78), "68-77",
E2577&gt;77,"Above than 77")</f>
        <v>68-77</v>
      </c>
      <c r="E2577">
        <v>74</v>
      </c>
      <c r="F2577" s="1">
        <v>17512</v>
      </c>
      <c r="G2577" s="1" t="str">
        <f>VLOOKUP(H2577,Table7[#All], 2, FALSE)</f>
        <v>Massachusetts</v>
      </c>
      <c r="H2577" s="2" t="s">
        <v>14</v>
      </c>
      <c r="I2577" s="2" t="s">
        <v>22</v>
      </c>
      <c r="J2577" s="2" t="s">
        <v>34</v>
      </c>
      <c r="K2577" s="2" t="s">
        <v>8</v>
      </c>
      <c r="L2577" s="2" t="s">
        <v>9</v>
      </c>
      <c r="M2577" s="2" t="s">
        <v>10</v>
      </c>
      <c r="N2577" s="2" t="s">
        <v>26</v>
      </c>
      <c r="O2577" s="2" t="s">
        <v>12</v>
      </c>
      <c r="P2577" s="2" t="s">
        <v>32</v>
      </c>
      <c r="Q2577" s="2" t="s">
        <v>16</v>
      </c>
      <c r="R2577" s="2" t="s">
        <v>18</v>
      </c>
      <c r="S2577">
        <v>2</v>
      </c>
    </row>
    <row r="2578" spans="1:19" x14ac:dyDescent="0.3">
      <c r="A2578">
        <v>1729</v>
      </c>
      <c r="B2578">
        <f>YEAR(Cleaned_HR_Data_Analysis__2[[#This Row],[Joining_Date]])</f>
        <v>2020</v>
      </c>
      <c r="C2578" s="1">
        <v>43836</v>
      </c>
      <c r="D2578" s="1" t="str" cm="1">
        <f t="array" ref="D2578">_xlfn.IFS(E2578&lt;28, "17-27",
AND(E2578&gt;27, E2578&lt;38), "28-37",
AND(E2578&gt;37, E2578 &lt;48), "38-47",
AND(E2578&gt;47, E2578 &lt;58), "48-57",
AND(E2578&gt;57, E2578&lt;68), "58-67",
AND(E2578&gt;67, E2578&lt;78), "68-77",
E2578&gt;77,"Above than 77")</f>
        <v>68-77</v>
      </c>
      <c r="E2578">
        <v>74</v>
      </c>
      <c r="F2578" s="1">
        <v>17166</v>
      </c>
      <c r="G2578" s="1" t="str">
        <f>VLOOKUP(H2578,Table7[#All], 2, FALSE)</f>
        <v>Massachusetts</v>
      </c>
      <c r="H2578" s="2" t="s">
        <v>14</v>
      </c>
      <c r="I2578" s="2" t="s">
        <v>15</v>
      </c>
      <c r="J2578" s="2" t="s">
        <v>40</v>
      </c>
      <c r="K2578" s="2" t="s">
        <v>8</v>
      </c>
      <c r="L2578" s="2" t="s">
        <v>66</v>
      </c>
      <c r="M2578" s="2" t="s">
        <v>10</v>
      </c>
      <c r="N2578" s="2" t="s">
        <v>19</v>
      </c>
      <c r="O2578" s="2" t="s">
        <v>12</v>
      </c>
      <c r="P2578" s="2" t="s">
        <v>32</v>
      </c>
      <c r="Q2578" s="2" t="s">
        <v>30</v>
      </c>
      <c r="R2578" s="2" t="s">
        <v>18</v>
      </c>
      <c r="S2578">
        <v>1</v>
      </c>
    </row>
    <row r="2579" spans="1:19" x14ac:dyDescent="0.3">
      <c r="A2579">
        <v>1576</v>
      </c>
      <c r="B2579">
        <f>YEAR(Cleaned_HR_Data_Analysis__2[[#This Row],[Joining_Date]])</f>
        <v>2019</v>
      </c>
      <c r="C2579" s="1">
        <v>43780</v>
      </c>
      <c r="D2579" s="1" t="str" cm="1">
        <f t="array" ref="D2579">_xlfn.IFS(E2579&lt;28, "17-27",
AND(E2579&gt;27, E2579&lt;38), "28-37",
AND(E2579&gt;37, E2579 &lt;48), "38-47",
AND(E2579&gt;47, E2579 &lt;58), "48-57",
AND(E2579&gt;57, E2579&lt;68), "58-67",
AND(E2579&gt;67, E2579&lt;78), "68-77",
E2579&gt;77,"Above than 77")</f>
        <v>68-77</v>
      </c>
      <c r="E2579">
        <v>74</v>
      </c>
      <c r="F2579" s="1">
        <v>16700</v>
      </c>
      <c r="G2579" s="1" t="str">
        <f>VLOOKUP(H2579,Table7[#All], 2, FALSE)</f>
        <v>Massachusetts</v>
      </c>
      <c r="H2579" s="2" t="s">
        <v>14</v>
      </c>
      <c r="I2579" s="2" t="s">
        <v>22</v>
      </c>
      <c r="J2579" s="2" t="s">
        <v>34</v>
      </c>
      <c r="K2579" s="2" t="s">
        <v>8</v>
      </c>
      <c r="L2579" s="2" t="s">
        <v>66</v>
      </c>
      <c r="M2579" s="2" t="s">
        <v>25</v>
      </c>
      <c r="N2579" s="2" t="s">
        <v>11</v>
      </c>
      <c r="O2579" s="2" t="s">
        <v>12</v>
      </c>
      <c r="P2579" s="2" t="s">
        <v>21</v>
      </c>
      <c r="Q2579" s="2" t="s">
        <v>37</v>
      </c>
      <c r="R2579" s="2" t="s">
        <v>56</v>
      </c>
      <c r="S2579">
        <v>2</v>
      </c>
    </row>
    <row r="2580" spans="1:19" x14ac:dyDescent="0.3">
      <c r="A2580">
        <v>1525</v>
      </c>
      <c r="B2580">
        <f>YEAR(Cleaned_HR_Data_Analysis__2[[#This Row],[Joining_Date]])</f>
        <v>2021</v>
      </c>
      <c r="C2580" s="1">
        <v>44514</v>
      </c>
      <c r="D2580" s="1" t="str" cm="1">
        <f t="array" ref="D2580">_xlfn.IFS(E2580&lt;28, "17-27",
AND(E2580&gt;27, E2580&lt;38), "28-37",
AND(E2580&gt;37, E2580 &lt;48), "38-47",
AND(E2580&gt;47, E2580 &lt;58), "48-57",
AND(E2580&gt;57, E2580&lt;68), "58-67",
AND(E2580&gt;67, E2580&lt;78), "68-77",
E2580&gt;77,"Above than 77")</f>
        <v>68-77</v>
      </c>
      <c r="E2580">
        <v>74</v>
      </c>
      <c r="F2580" s="1">
        <v>17271</v>
      </c>
      <c r="G2580" s="1" t="str">
        <f>VLOOKUP(H2580,Table7[#All], 2, FALSE)</f>
        <v>Massachusetts</v>
      </c>
      <c r="H2580" s="2" t="s">
        <v>14</v>
      </c>
      <c r="I2580" s="2" t="s">
        <v>15</v>
      </c>
      <c r="J2580" s="2" t="s">
        <v>17</v>
      </c>
      <c r="K2580" s="2" t="s">
        <v>8</v>
      </c>
      <c r="L2580" s="2" t="s">
        <v>9</v>
      </c>
      <c r="M2580" s="2" t="s">
        <v>25</v>
      </c>
      <c r="N2580" s="2" t="s">
        <v>26</v>
      </c>
      <c r="O2580" s="2" t="s">
        <v>12</v>
      </c>
      <c r="P2580" s="2" t="s">
        <v>32</v>
      </c>
      <c r="Q2580" s="2" t="s">
        <v>46</v>
      </c>
      <c r="R2580" s="2" t="s">
        <v>56</v>
      </c>
      <c r="S2580">
        <v>4</v>
      </c>
    </row>
    <row r="2581" spans="1:19" x14ac:dyDescent="0.3">
      <c r="A2581">
        <v>1393</v>
      </c>
      <c r="B2581">
        <f>YEAR(Cleaned_HR_Data_Analysis__2[[#This Row],[Joining_Date]])</f>
        <v>2021</v>
      </c>
      <c r="C2581" s="1">
        <v>44522</v>
      </c>
      <c r="D2581" s="1" t="str" cm="1">
        <f t="array" ref="D2581">_xlfn.IFS(E2581&lt;28, "17-27",
AND(E2581&gt;27, E2581&lt;38), "28-37",
AND(E2581&gt;37, E2581 &lt;48), "38-47",
AND(E2581&gt;47, E2581 &lt;58), "48-57",
AND(E2581&gt;57, E2581&lt;68), "58-67",
AND(E2581&gt;67, E2581&lt;78), "68-77",
E2581&gt;77,"Above than 77")</f>
        <v>68-77</v>
      </c>
      <c r="E2581">
        <v>74</v>
      </c>
      <c r="F2581" s="1">
        <v>17246</v>
      </c>
      <c r="G2581" s="1" t="str">
        <f>VLOOKUP(H2581,Table7[#All], 2, FALSE)</f>
        <v>Massachusetts</v>
      </c>
      <c r="H2581" s="2" t="s">
        <v>14</v>
      </c>
      <c r="I2581" s="2" t="s">
        <v>15</v>
      </c>
      <c r="J2581" s="2" t="s">
        <v>31</v>
      </c>
      <c r="K2581" s="2" t="s">
        <v>8</v>
      </c>
      <c r="L2581" s="2" t="s">
        <v>9</v>
      </c>
      <c r="M2581" s="2" t="s">
        <v>20</v>
      </c>
      <c r="N2581" s="2" t="s">
        <v>11</v>
      </c>
      <c r="O2581" s="2" t="s">
        <v>12</v>
      </c>
      <c r="P2581" s="2" t="s">
        <v>32</v>
      </c>
      <c r="Q2581" s="2" t="s">
        <v>30</v>
      </c>
      <c r="R2581" s="2" t="s">
        <v>41</v>
      </c>
      <c r="S2581">
        <v>4</v>
      </c>
    </row>
    <row r="2582" spans="1:19" x14ac:dyDescent="0.3">
      <c r="A2582">
        <v>1204</v>
      </c>
      <c r="B2582">
        <f>YEAR(Cleaned_HR_Data_Analysis__2[[#This Row],[Joining_Date]])</f>
        <v>2022</v>
      </c>
      <c r="C2582" s="1">
        <v>44889</v>
      </c>
      <c r="D2582" s="1" t="str" cm="1">
        <f t="array" ref="D2582">_xlfn.IFS(E2582&lt;28, "17-27",
AND(E2582&gt;27, E2582&lt;38), "28-37",
AND(E2582&gt;37, E2582 &lt;48), "38-47",
AND(E2582&gt;47, E2582 &lt;58), "48-57",
AND(E2582&gt;57, E2582&lt;68), "58-67",
AND(E2582&gt;67, E2582&lt;78), "68-77",
E2582&gt;77,"Above than 77")</f>
        <v>68-77</v>
      </c>
      <c r="E2582">
        <v>74</v>
      </c>
      <c r="F2582" s="1">
        <v>17771</v>
      </c>
      <c r="G2582" s="1" t="str">
        <f>VLOOKUP(H2582,Table7[#All], 2, FALSE)</f>
        <v>Massachusetts</v>
      </c>
      <c r="H2582" s="2" t="s">
        <v>14</v>
      </c>
      <c r="I2582" s="2" t="s">
        <v>22</v>
      </c>
      <c r="J2582" s="2" t="s">
        <v>34</v>
      </c>
      <c r="K2582" s="2" t="s">
        <v>8</v>
      </c>
      <c r="L2582" s="2" t="s">
        <v>9</v>
      </c>
      <c r="M2582" s="2" t="s">
        <v>25</v>
      </c>
      <c r="N2582" s="2" t="s">
        <v>26</v>
      </c>
      <c r="O2582" s="2" t="s">
        <v>12</v>
      </c>
      <c r="P2582" s="2" t="s">
        <v>28</v>
      </c>
      <c r="Q2582" s="2" t="s">
        <v>16</v>
      </c>
      <c r="R2582" s="2" t="s">
        <v>18</v>
      </c>
      <c r="S2582">
        <v>4</v>
      </c>
    </row>
    <row r="2583" spans="1:19" x14ac:dyDescent="0.3">
      <c r="A2583">
        <v>2366</v>
      </c>
      <c r="B2583">
        <f>YEAR(Cleaned_HR_Data_Analysis__2[[#This Row],[Joining_Date]])</f>
        <v>2018</v>
      </c>
      <c r="C2583" s="1">
        <v>43420</v>
      </c>
      <c r="D2583" s="1" t="str" cm="1">
        <f t="array" ref="D2583">_xlfn.IFS(E2583&lt;28, "17-27",
AND(E2583&gt;27, E2583&lt;38), "28-37",
AND(E2583&gt;37, E2583 &lt;48), "38-47",
AND(E2583&gt;47, E2583 &lt;58), "48-57",
AND(E2583&gt;57, E2583&lt;68), "58-67",
AND(E2583&gt;67, E2583&lt;78), "68-77",
E2583&gt;77,"Above than 77")</f>
        <v>68-77</v>
      </c>
      <c r="E2583">
        <v>74</v>
      </c>
      <c r="F2583" s="1">
        <v>16275</v>
      </c>
      <c r="G2583" s="1" t="str">
        <f>VLOOKUP(H2583,Table7[#All], 2, FALSE)</f>
        <v>Massachusetts</v>
      </c>
      <c r="H2583" s="2" t="s">
        <v>14</v>
      </c>
      <c r="I2583" s="2" t="s">
        <v>15</v>
      </c>
      <c r="J2583" s="2" t="s">
        <v>40</v>
      </c>
      <c r="K2583" s="2" t="s">
        <v>91</v>
      </c>
      <c r="L2583" s="2" t="s">
        <v>66</v>
      </c>
      <c r="M2583" s="2" t="s">
        <v>25</v>
      </c>
      <c r="N2583" s="2" t="s">
        <v>26</v>
      </c>
      <c r="O2583" s="2" t="s">
        <v>12</v>
      </c>
      <c r="P2583" s="2" t="s">
        <v>55</v>
      </c>
      <c r="Q2583" s="2" t="s">
        <v>46</v>
      </c>
      <c r="R2583" s="2" t="s">
        <v>18</v>
      </c>
      <c r="S2583">
        <v>2</v>
      </c>
    </row>
    <row r="2584" spans="1:19" x14ac:dyDescent="0.3">
      <c r="A2584">
        <v>1672</v>
      </c>
      <c r="B2584">
        <f>YEAR(Cleaned_HR_Data_Analysis__2[[#This Row],[Joining_Date]])</f>
        <v>2021</v>
      </c>
      <c r="C2584" s="1">
        <v>44263</v>
      </c>
      <c r="D2584" s="1" t="str" cm="1">
        <f t="array" ref="D2584">_xlfn.IFS(E2584&lt;28, "17-27",
AND(E2584&gt;27, E2584&lt;38), "28-37",
AND(E2584&gt;37, E2584 &lt;48), "38-47",
AND(E2584&gt;47, E2584 &lt;58), "48-57",
AND(E2584&gt;57, E2584&lt;68), "58-67",
AND(E2584&gt;67, E2584&lt;78), "68-77",
E2584&gt;77,"Above than 77")</f>
        <v>68-77</v>
      </c>
      <c r="E2584">
        <v>74</v>
      </c>
      <c r="F2584" s="1">
        <v>17313</v>
      </c>
      <c r="G2584" s="1" t="str">
        <f>VLOOKUP(H2584,Table7[#All], 2, FALSE)</f>
        <v>Massachusetts</v>
      </c>
      <c r="H2584" s="2" t="s">
        <v>14</v>
      </c>
      <c r="I2584" s="2" t="s">
        <v>22</v>
      </c>
      <c r="J2584" s="2" t="s">
        <v>34</v>
      </c>
      <c r="K2584" s="2" t="s">
        <v>82</v>
      </c>
      <c r="L2584" s="2" t="s">
        <v>9</v>
      </c>
      <c r="M2584" s="2" t="s">
        <v>25</v>
      </c>
      <c r="N2584" s="2" t="s">
        <v>26</v>
      </c>
      <c r="O2584" s="2" t="s">
        <v>53</v>
      </c>
      <c r="P2584" s="2" t="s">
        <v>35</v>
      </c>
      <c r="Q2584" s="2" t="s">
        <v>46</v>
      </c>
      <c r="R2584" s="2" t="s">
        <v>18</v>
      </c>
      <c r="S2584">
        <v>3</v>
      </c>
    </row>
    <row r="2585" spans="1:19" x14ac:dyDescent="0.3">
      <c r="A2585">
        <v>2484</v>
      </c>
      <c r="B2585">
        <f>YEAR(Cleaned_HR_Data_Analysis__2[[#This Row],[Joining_Date]])</f>
        <v>2021</v>
      </c>
      <c r="C2585" s="1">
        <v>44556</v>
      </c>
      <c r="D2585" s="1" t="str" cm="1">
        <f t="array" ref="D2585">_xlfn.IFS(E2585&lt;28, "17-27",
AND(E2585&gt;27, E2585&lt;38), "28-37",
AND(E2585&gt;37, E2585 &lt;48), "38-47",
AND(E2585&gt;47, E2585 &lt;58), "48-57",
AND(E2585&gt;57, E2585&lt;68), "58-67",
AND(E2585&gt;67, E2585&lt;78), "68-77",
E2585&gt;77,"Above than 77")</f>
        <v>68-77</v>
      </c>
      <c r="E2585">
        <v>74</v>
      </c>
      <c r="F2585" s="1">
        <v>17498</v>
      </c>
      <c r="G2585" s="1" t="str">
        <f>VLOOKUP(H2585,Table7[#All], 2, FALSE)</f>
        <v>Massachusetts</v>
      </c>
      <c r="H2585" s="2" t="s">
        <v>14</v>
      </c>
      <c r="I2585" s="2" t="s">
        <v>22</v>
      </c>
      <c r="J2585" s="2" t="s">
        <v>31</v>
      </c>
      <c r="K2585" s="2" t="s">
        <v>83</v>
      </c>
      <c r="L2585" s="2" t="s">
        <v>9</v>
      </c>
      <c r="M2585" s="2" t="s">
        <v>20</v>
      </c>
      <c r="N2585" s="2" t="s">
        <v>19</v>
      </c>
      <c r="O2585" s="2" t="s">
        <v>53</v>
      </c>
      <c r="P2585" s="2" t="s">
        <v>35</v>
      </c>
      <c r="Q2585" s="2" t="s">
        <v>37</v>
      </c>
      <c r="R2585" s="2" t="s">
        <v>18</v>
      </c>
      <c r="S2585">
        <v>2</v>
      </c>
    </row>
    <row r="2586" spans="1:19" x14ac:dyDescent="0.3">
      <c r="A2586">
        <v>1725</v>
      </c>
      <c r="B2586">
        <f>YEAR(Cleaned_HR_Data_Analysis__2[[#This Row],[Joining_Date]])</f>
        <v>2021</v>
      </c>
      <c r="C2586" s="1">
        <v>44346</v>
      </c>
      <c r="D2586" s="1" t="str" cm="1">
        <f t="array" ref="D2586">_xlfn.IFS(E2586&lt;28, "17-27",
AND(E2586&gt;27, E2586&lt;38), "28-37",
AND(E2586&gt;37, E2586 &lt;48), "38-47",
AND(E2586&gt;47, E2586 &lt;58), "48-57",
AND(E2586&gt;57, E2586&lt;68), "58-67",
AND(E2586&gt;67, E2586&lt;78), "68-77",
E2586&gt;77,"Above than 77")</f>
        <v>68-77</v>
      </c>
      <c r="E2586">
        <v>74</v>
      </c>
      <c r="F2586" s="1">
        <v>17439</v>
      </c>
      <c r="G2586" s="1" t="str">
        <f>VLOOKUP(H2586,Table7[#All], 2, FALSE)</f>
        <v>Massachusetts</v>
      </c>
      <c r="H2586" s="2" t="s">
        <v>14</v>
      </c>
      <c r="I2586" s="2" t="s">
        <v>22</v>
      </c>
      <c r="J2586" s="2" t="s">
        <v>40</v>
      </c>
      <c r="K2586" s="2" t="s">
        <v>97</v>
      </c>
      <c r="L2586" s="2" t="s">
        <v>9</v>
      </c>
      <c r="M2586" s="2" t="s">
        <v>10</v>
      </c>
      <c r="N2586" s="2" t="s">
        <v>19</v>
      </c>
      <c r="O2586" s="2" t="s">
        <v>53</v>
      </c>
      <c r="P2586" s="2" t="s">
        <v>35</v>
      </c>
      <c r="Q2586" s="2" t="s">
        <v>37</v>
      </c>
      <c r="R2586" s="2" t="s">
        <v>18</v>
      </c>
      <c r="S2586">
        <v>4</v>
      </c>
    </row>
    <row r="2587" spans="1:19" x14ac:dyDescent="0.3">
      <c r="A2587">
        <v>3526</v>
      </c>
      <c r="B2587">
        <f>YEAR(Cleaned_HR_Data_Analysis__2[[#This Row],[Joining_Date]])</f>
        <v>2022</v>
      </c>
      <c r="C2587" s="1">
        <v>44819</v>
      </c>
      <c r="D2587" s="1" t="str" cm="1">
        <f t="array" ref="D2587">_xlfn.IFS(E2587&lt;28, "17-27",
AND(E2587&gt;27, E2587&lt;38), "28-37",
AND(E2587&gt;37, E2587 &lt;48), "38-47",
AND(E2587&gt;47, E2587 &lt;58), "48-57",
AND(E2587&gt;57, E2587&lt;68), "58-67",
AND(E2587&gt;67, E2587&lt;78), "68-77",
E2587&gt;77,"Above than 77")</f>
        <v>68-77</v>
      </c>
      <c r="E2587">
        <v>74</v>
      </c>
      <c r="F2587" s="1">
        <v>17683</v>
      </c>
      <c r="G2587" s="1" t="str">
        <f>VLOOKUP(H2587,Table7[#All], 2, FALSE)</f>
        <v>Texas</v>
      </c>
      <c r="H2587" s="2" t="s">
        <v>45</v>
      </c>
      <c r="I2587" s="2" t="s">
        <v>22</v>
      </c>
      <c r="J2587" s="2" t="s">
        <v>17</v>
      </c>
      <c r="K2587" s="2" t="s">
        <v>24</v>
      </c>
      <c r="L2587" s="2" t="s">
        <v>9</v>
      </c>
      <c r="M2587" s="2" t="s">
        <v>25</v>
      </c>
      <c r="N2587" s="2" t="s">
        <v>26</v>
      </c>
      <c r="O2587" s="2" t="s">
        <v>27</v>
      </c>
      <c r="P2587" s="2" t="s">
        <v>32</v>
      </c>
      <c r="Q2587" s="2" t="s">
        <v>16</v>
      </c>
      <c r="R2587" s="2" t="s">
        <v>18</v>
      </c>
      <c r="S2587">
        <v>5</v>
      </c>
    </row>
    <row r="2588" spans="1:19" x14ac:dyDescent="0.3">
      <c r="A2588">
        <v>2619</v>
      </c>
      <c r="B2588">
        <f>YEAR(Cleaned_HR_Data_Analysis__2[[#This Row],[Joining_Date]])</f>
        <v>2020</v>
      </c>
      <c r="C2588" s="1">
        <v>43999</v>
      </c>
      <c r="D2588" s="1" t="str" cm="1">
        <f t="array" ref="D2588">_xlfn.IFS(E2588&lt;28, "17-27",
AND(E2588&gt;27, E2588&lt;38), "28-37",
AND(E2588&gt;37, E2588 &lt;48), "38-47",
AND(E2588&gt;47, E2588 &lt;58), "48-57",
AND(E2588&gt;57, E2588&lt;68), "58-67",
AND(E2588&gt;67, E2588&lt;78), "68-77",
E2588&gt;77,"Above than 77")</f>
        <v>68-77</v>
      </c>
      <c r="E2588">
        <v>74</v>
      </c>
      <c r="F2588" s="1">
        <v>16898</v>
      </c>
      <c r="G2588" s="1" t="str">
        <f>VLOOKUP(H2588,Table7[#All], 2, FALSE)</f>
        <v>Massachusetts</v>
      </c>
      <c r="H2588" s="2" t="s">
        <v>14</v>
      </c>
      <c r="I2588" s="2" t="s">
        <v>22</v>
      </c>
      <c r="J2588" s="2" t="s">
        <v>40</v>
      </c>
      <c r="K2588" s="2" t="s">
        <v>24</v>
      </c>
      <c r="L2588" s="2" t="s">
        <v>9</v>
      </c>
      <c r="M2588" s="2" t="s">
        <v>10</v>
      </c>
      <c r="N2588" s="2" t="s">
        <v>19</v>
      </c>
      <c r="O2588" s="2" t="s">
        <v>27</v>
      </c>
      <c r="P2588" s="2" t="s">
        <v>35</v>
      </c>
      <c r="Q2588" s="2" t="s">
        <v>23</v>
      </c>
      <c r="R2588" s="2" t="s">
        <v>18</v>
      </c>
      <c r="S2588">
        <v>2</v>
      </c>
    </row>
    <row r="2589" spans="1:19" x14ac:dyDescent="0.3">
      <c r="A2589">
        <v>2675</v>
      </c>
      <c r="B2589">
        <f>YEAR(Cleaned_HR_Data_Analysis__2[[#This Row],[Joining_Date]])</f>
        <v>2020</v>
      </c>
      <c r="C2589" s="1">
        <v>44164</v>
      </c>
      <c r="D2589" s="1" t="str" cm="1">
        <f t="array" ref="D2589">_xlfn.IFS(E2589&lt;28, "17-27",
AND(E2589&gt;27, E2589&lt;38), "28-37",
AND(E2589&gt;37, E2589 &lt;48), "38-47",
AND(E2589&gt;47, E2589 &lt;58), "48-57",
AND(E2589&gt;57, E2589&lt;68), "58-67",
AND(E2589&gt;67, E2589&lt;78), "68-77",
E2589&gt;77,"Above than 77")</f>
        <v>68-77</v>
      </c>
      <c r="E2589">
        <v>74</v>
      </c>
      <c r="F2589" s="1">
        <v>16960</v>
      </c>
      <c r="G2589" s="1" t="str">
        <f>VLOOKUP(H2589,Table7[#All], 2, FALSE)</f>
        <v>Alabama</v>
      </c>
      <c r="H2589" s="2" t="s">
        <v>116</v>
      </c>
      <c r="I2589" s="2" t="s">
        <v>22</v>
      </c>
      <c r="J2589" s="2" t="s">
        <v>40</v>
      </c>
      <c r="K2589" s="2" t="s">
        <v>24</v>
      </c>
      <c r="L2589" s="2" t="s">
        <v>9</v>
      </c>
      <c r="M2589" s="2" t="s">
        <v>20</v>
      </c>
      <c r="N2589" s="2" t="s">
        <v>11</v>
      </c>
      <c r="O2589" s="2" t="s">
        <v>27</v>
      </c>
      <c r="P2589" s="2" t="s">
        <v>42</v>
      </c>
      <c r="Q2589" s="2" t="s">
        <v>23</v>
      </c>
      <c r="R2589" s="2" t="s">
        <v>18</v>
      </c>
      <c r="S2589">
        <v>4</v>
      </c>
    </row>
    <row r="2590" spans="1:19" x14ac:dyDescent="0.3">
      <c r="A2590">
        <v>3977</v>
      </c>
      <c r="B2590">
        <f>YEAR(Cleaned_HR_Data_Analysis__2[[#This Row],[Joining_Date]])</f>
        <v>2018</v>
      </c>
      <c r="C2590" s="1">
        <v>43339</v>
      </c>
      <c r="D2590" s="1" t="str" cm="1">
        <f t="array" ref="D2590">_xlfn.IFS(E2590&lt;28, "17-27",
AND(E2590&gt;27, E2590&lt;38), "28-37",
AND(E2590&gt;37, E2590 &lt;48), "38-47",
AND(E2590&gt;47, E2590 &lt;58), "48-57",
AND(E2590&gt;57, E2590&lt;68), "58-67",
AND(E2590&gt;67, E2590&lt;78), "68-77",
E2590&gt;77,"Above than 77")</f>
        <v>68-77</v>
      </c>
      <c r="E2590">
        <v>75</v>
      </c>
      <c r="F2590" s="1">
        <v>15937</v>
      </c>
      <c r="G2590" s="1" t="str">
        <f>VLOOKUP(H2590,Table7[#All], 2, FALSE)</f>
        <v>Massachusetts</v>
      </c>
      <c r="H2590" s="2" t="s">
        <v>14</v>
      </c>
      <c r="I2590" s="2" t="s">
        <v>15</v>
      </c>
      <c r="J2590" s="2" t="s">
        <v>40</v>
      </c>
      <c r="K2590" s="2" t="s">
        <v>84</v>
      </c>
      <c r="L2590" s="2" t="s">
        <v>9</v>
      </c>
      <c r="M2590" s="2" t="s">
        <v>25</v>
      </c>
      <c r="N2590" s="2" t="s">
        <v>19</v>
      </c>
      <c r="O2590" s="2" t="s">
        <v>53</v>
      </c>
      <c r="P2590" s="2" t="s">
        <v>59</v>
      </c>
      <c r="Q2590" s="2" t="s">
        <v>37</v>
      </c>
      <c r="R2590" s="2" t="s">
        <v>18</v>
      </c>
      <c r="S2590">
        <v>5</v>
      </c>
    </row>
    <row r="2591" spans="1:19" x14ac:dyDescent="0.3">
      <c r="A2591">
        <v>2485</v>
      </c>
      <c r="B2591">
        <f>YEAR(Cleaned_HR_Data_Analysis__2[[#This Row],[Joining_Date]])</f>
        <v>2020</v>
      </c>
      <c r="C2591" s="1">
        <v>43894</v>
      </c>
      <c r="D2591" s="1" t="str" cm="1">
        <f t="array" ref="D2591">_xlfn.IFS(E2591&lt;28, "17-27",
AND(E2591&gt;27, E2591&lt;38), "28-37",
AND(E2591&gt;37, E2591 &lt;48), "38-47",
AND(E2591&gt;47, E2591 &lt;58), "48-57",
AND(E2591&gt;57, E2591&lt;68), "58-67",
AND(E2591&gt;67, E2591&lt;78), "68-77",
E2591&gt;77,"Above than 77")</f>
        <v>68-77</v>
      </c>
      <c r="E2591">
        <v>75</v>
      </c>
      <c r="F2591" s="1">
        <v>16735</v>
      </c>
      <c r="G2591" s="1" t="str">
        <f>VLOOKUP(H2591,Table7[#All], 2, FALSE)</f>
        <v>Massachusetts</v>
      </c>
      <c r="H2591" s="2" t="s">
        <v>14</v>
      </c>
      <c r="I2591" s="2" t="s">
        <v>22</v>
      </c>
      <c r="J2591" s="2" t="s">
        <v>17</v>
      </c>
      <c r="K2591" s="2" t="s">
        <v>85</v>
      </c>
      <c r="L2591" s="2" t="s">
        <v>9</v>
      </c>
      <c r="M2591" s="2" t="s">
        <v>20</v>
      </c>
      <c r="N2591" s="2" t="s">
        <v>26</v>
      </c>
      <c r="O2591" s="2" t="s">
        <v>87</v>
      </c>
      <c r="P2591" s="2" t="s">
        <v>61</v>
      </c>
      <c r="Q2591" s="2" t="s">
        <v>16</v>
      </c>
      <c r="R2591" s="2" t="s">
        <v>18</v>
      </c>
      <c r="S2591">
        <v>5</v>
      </c>
    </row>
    <row r="2592" spans="1:19" x14ac:dyDescent="0.3">
      <c r="A2592">
        <v>2511</v>
      </c>
      <c r="B2592">
        <f>YEAR(Cleaned_HR_Data_Analysis__2[[#This Row],[Joining_Date]])</f>
        <v>2021</v>
      </c>
      <c r="C2592" s="1">
        <v>44232</v>
      </c>
      <c r="D2592" s="1" t="str" cm="1">
        <f t="array" ref="D2592">_xlfn.IFS(E2592&lt;28, "17-27",
AND(E2592&gt;27, E2592&lt;38), "28-37",
AND(E2592&gt;37, E2592 &lt;48), "38-47",
AND(E2592&gt;47, E2592 &lt;58), "48-57",
AND(E2592&gt;57, E2592&lt;68), "58-67",
AND(E2592&gt;67, E2592&lt;78), "68-77",
E2592&gt;77,"Above than 77")</f>
        <v>68-77</v>
      </c>
      <c r="E2592">
        <v>75</v>
      </c>
      <c r="F2592" s="1">
        <v>17163</v>
      </c>
      <c r="G2592" s="1" t="str">
        <f>VLOOKUP(H2592,Table7[#All], 2, FALSE)</f>
        <v>Massachusetts</v>
      </c>
      <c r="H2592" s="2" t="s">
        <v>14</v>
      </c>
      <c r="I2592" s="2" t="s">
        <v>22</v>
      </c>
      <c r="J2592" s="2" t="s">
        <v>31</v>
      </c>
      <c r="K2592" s="2" t="s">
        <v>86</v>
      </c>
      <c r="L2592" s="2" t="s">
        <v>9</v>
      </c>
      <c r="M2592" s="2" t="s">
        <v>25</v>
      </c>
      <c r="N2592" s="2" t="s">
        <v>11</v>
      </c>
      <c r="O2592" s="2" t="s">
        <v>87</v>
      </c>
      <c r="P2592" s="2" t="s">
        <v>42</v>
      </c>
      <c r="Q2592" s="2" t="s">
        <v>46</v>
      </c>
      <c r="R2592" s="2" t="s">
        <v>18</v>
      </c>
      <c r="S2592">
        <v>3</v>
      </c>
    </row>
    <row r="2593" spans="1:19" x14ac:dyDescent="0.3">
      <c r="A2593">
        <v>2491</v>
      </c>
      <c r="B2593">
        <f>YEAR(Cleaned_HR_Data_Analysis__2[[#This Row],[Joining_Date]])</f>
        <v>2019</v>
      </c>
      <c r="C2593" s="1">
        <v>43562</v>
      </c>
      <c r="D2593" s="1" t="str" cm="1">
        <f t="array" ref="D2593">_xlfn.IFS(E2593&lt;28, "17-27",
AND(E2593&gt;27, E2593&lt;38), "28-37",
AND(E2593&gt;37, E2593 &lt;48), "38-47",
AND(E2593&gt;47, E2593 &lt;58), "48-57",
AND(E2593&gt;57, E2593&lt;68), "58-67",
AND(E2593&gt;67, E2593&lt;78), "68-77",
E2593&gt;77,"Above than 77")</f>
        <v>68-77</v>
      </c>
      <c r="E2593">
        <v>75</v>
      </c>
      <c r="F2593" s="1">
        <v>16220</v>
      </c>
      <c r="G2593" s="1" t="str">
        <f>VLOOKUP(H2593,Table7[#All], 2, FALSE)</f>
        <v>Massachusetts</v>
      </c>
      <c r="H2593" s="2" t="s">
        <v>14</v>
      </c>
      <c r="I2593" s="2" t="s">
        <v>22</v>
      </c>
      <c r="J2593" s="2" t="s">
        <v>31</v>
      </c>
      <c r="K2593" s="2" t="s">
        <v>86</v>
      </c>
      <c r="L2593" s="2" t="s">
        <v>9</v>
      </c>
      <c r="M2593" s="2" t="s">
        <v>10</v>
      </c>
      <c r="N2593" s="2" t="s">
        <v>19</v>
      </c>
      <c r="O2593" s="2" t="s">
        <v>87</v>
      </c>
      <c r="P2593" s="2" t="s">
        <v>32</v>
      </c>
      <c r="Q2593" s="2" t="s">
        <v>37</v>
      </c>
      <c r="R2593" s="2" t="s">
        <v>18</v>
      </c>
      <c r="S2593">
        <v>5</v>
      </c>
    </row>
    <row r="2594" spans="1:19" x14ac:dyDescent="0.3">
      <c r="A2594">
        <v>3741</v>
      </c>
      <c r="B2594">
        <f>YEAR(Cleaned_HR_Data_Analysis__2[[#This Row],[Joining_Date]])</f>
        <v>2023</v>
      </c>
      <c r="C2594" s="1">
        <v>44984</v>
      </c>
      <c r="D2594" s="1" t="str" cm="1">
        <f t="array" ref="D2594">_xlfn.IFS(E2594&lt;28, "17-27",
AND(E2594&gt;27, E2594&lt;38), "28-37",
AND(E2594&gt;37, E2594 &lt;48), "38-47",
AND(E2594&gt;47, E2594 &lt;58), "48-57",
AND(E2594&gt;57, E2594&lt;68), "58-67",
AND(E2594&gt;67, E2594&lt;78), "68-77",
E2594&gt;77,"Above than 77")</f>
        <v>68-77</v>
      </c>
      <c r="E2594">
        <v>75</v>
      </c>
      <c r="F2594" s="1">
        <v>17790</v>
      </c>
      <c r="G2594" s="1" t="str">
        <f>VLOOKUP(H2594,Table7[#All], 2, FALSE)</f>
        <v>Massachusetts</v>
      </c>
      <c r="H2594" s="2" t="s">
        <v>14</v>
      </c>
      <c r="I2594" s="2" t="s">
        <v>15</v>
      </c>
      <c r="J2594" s="2" t="s">
        <v>17</v>
      </c>
      <c r="K2594" s="2" t="s">
        <v>64</v>
      </c>
      <c r="L2594" s="2" t="s">
        <v>66</v>
      </c>
      <c r="M2594" s="2" t="s">
        <v>25</v>
      </c>
      <c r="N2594" s="2" t="s">
        <v>19</v>
      </c>
      <c r="O2594" s="2" t="s">
        <v>12</v>
      </c>
      <c r="P2594" s="2" t="s">
        <v>35</v>
      </c>
      <c r="Q2594" s="2" t="s">
        <v>23</v>
      </c>
      <c r="R2594" s="2" t="s">
        <v>18</v>
      </c>
      <c r="S2594">
        <v>5</v>
      </c>
    </row>
    <row r="2595" spans="1:19" x14ac:dyDescent="0.3">
      <c r="A2595">
        <v>3719</v>
      </c>
      <c r="B2595">
        <f>YEAR(Cleaned_HR_Data_Analysis__2[[#This Row],[Joining_Date]])</f>
        <v>2022</v>
      </c>
      <c r="C2595" s="1">
        <v>44764</v>
      </c>
      <c r="D2595" s="1" t="str" cm="1">
        <f t="array" ref="D2595">_xlfn.IFS(E2595&lt;28, "17-27",
AND(E2595&gt;27, E2595&lt;38), "28-37",
AND(E2595&gt;37, E2595 &lt;48), "38-47",
AND(E2595&gt;47, E2595 &lt;58), "48-57",
AND(E2595&gt;57, E2595&lt;68), "58-67",
AND(E2595&gt;67, E2595&lt;78), "68-77",
E2595&gt;77,"Above than 77")</f>
        <v>68-77</v>
      </c>
      <c r="E2595">
        <v>75</v>
      </c>
      <c r="F2595" s="1">
        <v>17356</v>
      </c>
      <c r="G2595" s="1" t="str">
        <f>VLOOKUP(H2595,Table7[#All], 2, FALSE)</f>
        <v>Massachusetts</v>
      </c>
      <c r="H2595" s="2" t="s">
        <v>14</v>
      </c>
      <c r="I2595" s="2" t="s">
        <v>15</v>
      </c>
      <c r="J2595" s="2" t="s">
        <v>40</v>
      </c>
      <c r="K2595" s="2" t="s">
        <v>64</v>
      </c>
      <c r="L2595" s="2" t="s">
        <v>9</v>
      </c>
      <c r="M2595" s="2" t="s">
        <v>10</v>
      </c>
      <c r="N2595" s="2" t="s">
        <v>26</v>
      </c>
      <c r="O2595" s="2" t="s">
        <v>12</v>
      </c>
      <c r="P2595" s="2" t="s">
        <v>69</v>
      </c>
      <c r="Q2595" s="2" t="s">
        <v>23</v>
      </c>
      <c r="R2595" s="2" t="s">
        <v>18</v>
      </c>
      <c r="S2595">
        <v>2</v>
      </c>
    </row>
    <row r="2596" spans="1:19" x14ac:dyDescent="0.3">
      <c r="A2596">
        <v>3718</v>
      </c>
      <c r="B2596">
        <f>YEAR(Cleaned_HR_Data_Analysis__2[[#This Row],[Joining_Date]])</f>
        <v>2021</v>
      </c>
      <c r="C2596" s="1">
        <v>44341</v>
      </c>
      <c r="D2596" s="1" t="str" cm="1">
        <f t="array" ref="D2596">_xlfn.IFS(E2596&lt;28, "17-27",
AND(E2596&gt;27, E2596&lt;38), "28-37",
AND(E2596&gt;37, E2596 &lt;48), "38-47",
AND(E2596&gt;47, E2596 &lt;58), "48-57",
AND(E2596&gt;57, E2596&lt;68), "58-67",
AND(E2596&gt;67, E2596&lt;78), "68-77",
E2596&gt;77,"Above than 77")</f>
        <v>68-77</v>
      </c>
      <c r="E2596">
        <v>75</v>
      </c>
      <c r="F2596" s="1">
        <v>17060</v>
      </c>
      <c r="G2596" s="1" t="str">
        <f>VLOOKUP(H2596,Table7[#All], 2, FALSE)</f>
        <v>Massachusetts</v>
      </c>
      <c r="H2596" s="2" t="s">
        <v>14</v>
      </c>
      <c r="I2596" s="2" t="s">
        <v>15</v>
      </c>
      <c r="J2596" s="2" t="s">
        <v>34</v>
      </c>
      <c r="K2596" s="2" t="s">
        <v>64</v>
      </c>
      <c r="L2596" s="2" t="s">
        <v>66</v>
      </c>
      <c r="M2596" s="2" t="s">
        <v>10</v>
      </c>
      <c r="N2596" s="2" t="s">
        <v>11</v>
      </c>
      <c r="O2596" s="2" t="s">
        <v>12</v>
      </c>
      <c r="P2596" s="2" t="s">
        <v>35</v>
      </c>
      <c r="Q2596" s="2" t="s">
        <v>30</v>
      </c>
      <c r="R2596" s="2" t="s">
        <v>18</v>
      </c>
      <c r="S2596">
        <v>1</v>
      </c>
    </row>
    <row r="2597" spans="1:19" x14ac:dyDescent="0.3">
      <c r="A2597">
        <v>3579</v>
      </c>
      <c r="B2597">
        <f>YEAR(Cleaned_HR_Data_Analysis__2[[#This Row],[Joining_Date]])</f>
        <v>2021</v>
      </c>
      <c r="C2597" s="1">
        <v>44336</v>
      </c>
      <c r="D2597" s="1" t="str" cm="1">
        <f t="array" ref="D2597">_xlfn.IFS(E2597&lt;28, "17-27",
AND(E2597&gt;27, E2597&lt;38), "28-37",
AND(E2597&gt;37, E2597 &lt;48), "38-47",
AND(E2597&gt;47, E2597 &lt;58), "48-57",
AND(E2597&gt;57, E2597&lt;68), "58-67",
AND(E2597&gt;67, E2597&lt;78), "68-77",
E2597&gt;77,"Above than 77")</f>
        <v>68-77</v>
      </c>
      <c r="E2597">
        <v>75</v>
      </c>
      <c r="F2597" s="1">
        <v>17121</v>
      </c>
      <c r="G2597" s="1" t="str">
        <f>VLOOKUP(H2597,Table7[#All], 2, FALSE)</f>
        <v>Massachusetts</v>
      </c>
      <c r="H2597" s="2" t="s">
        <v>14</v>
      </c>
      <c r="I2597" s="2" t="s">
        <v>15</v>
      </c>
      <c r="J2597" s="2" t="s">
        <v>17</v>
      </c>
      <c r="K2597" s="2" t="s">
        <v>64</v>
      </c>
      <c r="L2597" s="2" t="s">
        <v>9</v>
      </c>
      <c r="M2597" s="2" t="s">
        <v>25</v>
      </c>
      <c r="N2597" s="2" t="s">
        <v>11</v>
      </c>
      <c r="O2597" s="2" t="s">
        <v>12</v>
      </c>
      <c r="P2597" s="2" t="s">
        <v>35</v>
      </c>
      <c r="Q2597" s="2" t="s">
        <v>46</v>
      </c>
      <c r="R2597" s="2" t="s">
        <v>56</v>
      </c>
      <c r="S2597">
        <v>3</v>
      </c>
    </row>
    <row r="2598" spans="1:19" x14ac:dyDescent="0.3">
      <c r="A2598">
        <v>3300</v>
      </c>
      <c r="B2598">
        <f>YEAR(Cleaned_HR_Data_Analysis__2[[#This Row],[Joining_Date]])</f>
        <v>2021</v>
      </c>
      <c r="C2598" s="1">
        <v>44280</v>
      </c>
      <c r="D2598" s="1" t="str" cm="1">
        <f t="array" ref="D2598">_xlfn.IFS(E2598&lt;28, "17-27",
AND(E2598&gt;27, E2598&lt;38), "28-37",
AND(E2598&gt;37, E2598 &lt;48), "38-47",
AND(E2598&gt;47, E2598 &lt;58), "48-57",
AND(E2598&gt;57, E2598&lt;68), "58-67",
AND(E2598&gt;67, E2598&lt;78), "68-77",
E2598&gt;77,"Above than 77")</f>
        <v>68-77</v>
      </c>
      <c r="E2598">
        <v>75</v>
      </c>
      <c r="F2598" s="1">
        <v>17133</v>
      </c>
      <c r="G2598" s="1" t="str">
        <f>VLOOKUP(H2598,Table7[#All], 2, FALSE)</f>
        <v>Massachusetts</v>
      </c>
      <c r="H2598" s="2" t="s">
        <v>14</v>
      </c>
      <c r="I2598" s="2" t="s">
        <v>22</v>
      </c>
      <c r="J2598" s="2" t="s">
        <v>34</v>
      </c>
      <c r="K2598" s="2" t="s">
        <v>64</v>
      </c>
      <c r="L2598" s="2" t="s">
        <v>9</v>
      </c>
      <c r="M2598" s="2" t="s">
        <v>25</v>
      </c>
      <c r="N2598" s="2" t="s">
        <v>26</v>
      </c>
      <c r="O2598" s="2" t="s">
        <v>12</v>
      </c>
      <c r="P2598" s="2" t="s">
        <v>35</v>
      </c>
      <c r="Q2598" s="2" t="s">
        <v>16</v>
      </c>
      <c r="R2598" s="2" t="s">
        <v>18</v>
      </c>
      <c r="S2598">
        <v>1</v>
      </c>
    </row>
    <row r="2599" spans="1:19" x14ac:dyDescent="0.3">
      <c r="A2599">
        <v>3241</v>
      </c>
      <c r="B2599">
        <f>YEAR(Cleaned_HR_Data_Analysis__2[[#This Row],[Joining_Date]])</f>
        <v>2022</v>
      </c>
      <c r="C2599" s="1">
        <v>44696</v>
      </c>
      <c r="D2599" s="1" t="str" cm="1">
        <f t="array" ref="D2599">_xlfn.IFS(E2599&lt;28, "17-27",
AND(E2599&gt;27, E2599&lt;38), "28-37",
AND(E2599&gt;37, E2599 &lt;48), "38-47",
AND(E2599&gt;47, E2599 &lt;58), "48-57",
AND(E2599&gt;57, E2599&lt;68), "58-67",
AND(E2599&gt;67, E2599&lt;78), "68-77",
E2599&gt;77,"Above than 77")</f>
        <v>68-77</v>
      </c>
      <c r="E2599">
        <v>75</v>
      </c>
      <c r="F2599" s="1">
        <v>17512</v>
      </c>
      <c r="G2599" s="1" t="str">
        <f>VLOOKUP(H2599,Table7[#All], 2, FALSE)</f>
        <v>Massachusetts</v>
      </c>
      <c r="H2599" s="2" t="s">
        <v>14</v>
      </c>
      <c r="I2599" s="2" t="s">
        <v>15</v>
      </c>
      <c r="J2599" s="2" t="s">
        <v>40</v>
      </c>
      <c r="K2599" s="2" t="s">
        <v>64</v>
      </c>
      <c r="L2599" s="2" t="s">
        <v>9</v>
      </c>
      <c r="M2599" s="2" t="s">
        <v>20</v>
      </c>
      <c r="N2599" s="2" t="s">
        <v>26</v>
      </c>
      <c r="O2599" s="2" t="s">
        <v>12</v>
      </c>
      <c r="P2599" s="2" t="s">
        <v>28</v>
      </c>
      <c r="Q2599" s="2" t="s">
        <v>16</v>
      </c>
      <c r="R2599" s="2" t="s">
        <v>18</v>
      </c>
      <c r="S2599">
        <v>5</v>
      </c>
    </row>
    <row r="2600" spans="1:19" x14ac:dyDescent="0.3">
      <c r="A2600">
        <v>3049</v>
      </c>
      <c r="B2600">
        <f>YEAR(Cleaned_HR_Data_Analysis__2[[#This Row],[Joining_Date]])</f>
        <v>2023</v>
      </c>
      <c r="C2600" s="1">
        <v>45109</v>
      </c>
      <c r="D2600" s="1" t="str" cm="1">
        <f t="array" ref="D2600">_xlfn.IFS(E2600&lt;28, "17-27",
AND(E2600&gt;27, E2600&lt;38), "28-37",
AND(E2600&gt;37, E2600 &lt;48), "38-47",
AND(E2600&gt;47, E2600 &lt;58), "48-57",
AND(E2600&gt;57, E2600&lt;68), "58-67",
AND(E2600&gt;67, E2600&lt;78), "68-77",
E2600&gt;77,"Above than 77")</f>
        <v>68-77</v>
      </c>
      <c r="E2600">
        <v>75</v>
      </c>
      <c r="F2600" s="1">
        <v>17665</v>
      </c>
      <c r="G2600" s="1" t="str">
        <f>VLOOKUP(H2600,Table7[#All], 2, FALSE)</f>
        <v>Massachusetts</v>
      </c>
      <c r="H2600" s="2" t="s">
        <v>14</v>
      </c>
      <c r="I2600" s="2" t="s">
        <v>15</v>
      </c>
      <c r="J2600" s="2" t="s">
        <v>34</v>
      </c>
      <c r="K2600" s="2" t="s">
        <v>64</v>
      </c>
      <c r="L2600" s="2" t="s">
        <v>9</v>
      </c>
      <c r="M2600" s="2" t="s">
        <v>20</v>
      </c>
      <c r="N2600" s="2" t="s">
        <v>19</v>
      </c>
      <c r="O2600" s="2" t="s">
        <v>12</v>
      </c>
      <c r="P2600" s="2" t="s">
        <v>32</v>
      </c>
      <c r="Q2600" s="2" t="s">
        <v>46</v>
      </c>
      <c r="R2600" s="2" t="s">
        <v>18</v>
      </c>
      <c r="S2600">
        <v>3</v>
      </c>
    </row>
    <row r="2601" spans="1:19" x14ac:dyDescent="0.3">
      <c r="A2601">
        <v>2950</v>
      </c>
      <c r="B2601">
        <f>YEAR(Cleaned_HR_Data_Analysis__2[[#This Row],[Joining_Date]])</f>
        <v>2018</v>
      </c>
      <c r="C2601" s="1">
        <v>43357</v>
      </c>
      <c r="D2601" s="1" t="str" cm="1">
        <f t="array" ref="D2601">_xlfn.IFS(E2601&lt;28, "17-27",
AND(E2601&gt;27, E2601&lt;38), "28-37",
AND(E2601&gt;37, E2601 &lt;48), "38-47",
AND(E2601&gt;47, E2601 &lt;58), "48-57",
AND(E2601&gt;57, E2601&lt;68), "58-67",
AND(E2601&gt;67, E2601&lt;78), "68-77",
E2601&gt;77,"Above than 77")</f>
        <v>68-77</v>
      </c>
      <c r="E2601">
        <v>75</v>
      </c>
      <c r="F2601" s="1">
        <v>15710</v>
      </c>
      <c r="G2601" s="1" t="str">
        <f>VLOOKUP(H2601,Table7[#All], 2, FALSE)</f>
        <v>Massachusetts</v>
      </c>
      <c r="H2601" s="2" t="s">
        <v>14</v>
      </c>
      <c r="I2601" s="2" t="s">
        <v>15</v>
      </c>
      <c r="J2601" s="2" t="s">
        <v>34</v>
      </c>
      <c r="K2601" s="2" t="s">
        <v>64</v>
      </c>
      <c r="L2601" s="2" t="s">
        <v>66</v>
      </c>
      <c r="M2601" s="2" t="s">
        <v>20</v>
      </c>
      <c r="N2601" s="2" t="s">
        <v>11</v>
      </c>
      <c r="O2601" s="2" t="s">
        <v>12</v>
      </c>
      <c r="P2601" s="2" t="s">
        <v>62</v>
      </c>
      <c r="Q2601" s="2" t="s">
        <v>16</v>
      </c>
      <c r="R2601" s="2" t="s">
        <v>56</v>
      </c>
      <c r="S2601">
        <v>3</v>
      </c>
    </row>
    <row r="2602" spans="1:19" x14ac:dyDescent="0.3">
      <c r="A2602">
        <v>2192</v>
      </c>
      <c r="B2602">
        <f>YEAR(Cleaned_HR_Data_Analysis__2[[#This Row],[Joining_Date]])</f>
        <v>2020</v>
      </c>
      <c r="C2602" s="1">
        <v>44111</v>
      </c>
      <c r="D2602" s="1" t="str" cm="1">
        <f t="array" ref="D2602">_xlfn.IFS(E2602&lt;28, "17-27",
AND(E2602&gt;27, E2602&lt;38), "28-37",
AND(E2602&gt;37, E2602 &lt;48), "38-47",
AND(E2602&gt;47, E2602 &lt;58), "48-57",
AND(E2602&gt;57, E2602&lt;68), "58-67",
AND(E2602&gt;67, E2602&lt;78), "68-77",
E2602&gt;77,"Above than 77")</f>
        <v>68-77</v>
      </c>
      <c r="E2602">
        <v>75</v>
      </c>
      <c r="F2602" s="1">
        <v>16617</v>
      </c>
      <c r="G2602" s="1" t="str">
        <f>VLOOKUP(H2602,Table7[#All], 2, FALSE)</f>
        <v>Massachusetts</v>
      </c>
      <c r="H2602" s="2" t="s">
        <v>14</v>
      </c>
      <c r="I2602" s="2" t="s">
        <v>15</v>
      </c>
      <c r="J2602" s="2" t="s">
        <v>40</v>
      </c>
      <c r="K2602" s="2" t="s">
        <v>64</v>
      </c>
      <c r="L2602" s="2" t="s">
        <v>9</v>
      </c>
      <c r="M2602" s="2" t="s">
        <v>20</v>
      </c>
      <c r="N2602" s="2" t="s">
        <v>11</v>
      </c>
      <c r="O2602" s="2" t="s">
        <v>12</v>
      </c>
      <c r="P2602" s="2" t="s">
        <v>32</v>
      </c>
      <c r="Q2602" s="2" t="s">
        <v>37</v>
      </c>
      <c r="R2602" s="2" t="s">
        <v>56</v>
      </c>
      <c r="S2602">
        <v>3</v>
      </c>
    </row>
    <row r="2603" spans="1:19" x14ac:dyDescent="0.3">
      <c r="A2603">
        <v>2189</v>
      </c>
      <c r="B2603">
        <f>YEAR(Cleaned_HR_Data_Analysis__2[[#This Row],[Joining_Date]])</f>
        <v>2019</v>
      </c>
      <c r="C2603" s="1">
        <v>43490</v>
      </c>
      <c r="D2603" s="1" t="str" cm="1">
        <f t="array" ref="D2603">_xlfn.IFS(E2603&lt;28, "17-27",
AND(E2603&gt;27, E2603&lt;38), "28-37",
AND(E2603&gt;37, E2603 &lt;48), "38-47",
AND(E2603&gt;47, E2603 &lt;58), "48-57",
AND(E2603&gt;57, E2603&lt;68), "58-67",
AND(E2603&gt;67, E2603&lt;78), "68-77",
E2603&gt;77,"Above than 77")</f>
        <v>68-77</v>
      </c>
      <c r="E2603">
        <v>75</v>
      </c>
      <c r="F2603" s="1">
        <v>16257</v>
      </c>
      <c r="G2603" s="1" t="str">
        <f>VLOOKUP(H2603,Table7[#All], 2, FALSE)</f>
        <v>Massachusetts</v>
      </c>
      <c r="H2603" s="2" t="s">
        <v>14</v>
      </c>
      <c r="I2603" s="2" t="s">
        <v>15</v>
      </c>
      <c r="J2603" s="2" t="s">
        <v>40</v>
      </c>
      <c r="K2603" s="2" t="s">
        <v>64</v>
      </c>
      <c r="L2603" s="2" t="s">
        <v>9</v>
      </c>
      <c r="M2603" s="2" t="s">
        <v>20</v>
      </c>
      <c r="N2603" s="2" t="s">
        <v>26</v>
      </c>
      <c r="O2603" s="2" t="s">
        <v>12</v>
      </c>
      <c r="P2603" s="2" t="s">
        <v>58</v>
      </c>
      <c r="Q2603" s="2" t="s">
        <v>16</v>
      </c>
      <c r="R2603" s="2" t="s">
        <v>56</v>
      </c>
      <c r="S2603">
        <v>2</v>
      </c>
    </row>
    <row r="2604" spans="1:19" x14ac:dyDescent="0.3">
      <c r="A2604">
        <v>2116</v>
      </c>
      <c r="B2604">
        <f>YEAR(Cleaned_HR_Data_Analysis__2[[#This Row],[Joining_Date]])</f>
        <v>2021</v>
      </c>
      <c r="C2604" s="1">
        <v>44429</v>
      </c>
      <c r="D2604" s="1" t="str" cm="1">
        <f t="array" ref="D2604">_xlfn.IFS(E2604&lt;28, "17-27",
AND(E2604&gt;27, E2604&lt;38), "28-37",
AND(E2604&gt;37, E2604 &lt;48), "38-47",
AND(E2604&gt;47, E2604 &lt;58), "48-57",
AND(E2604&gt;57, E2604&lt;68), "58-67",
AND(E2604&gt;67, E2604&lt;78), "68-77",
E2604&gt;77,"Above than 77")</f>
        <v>68-77</v>
      </c>
      <c r="E2604">
        <v>75</v>
      </c>
      <c r="F2604" s="1">
        <v>17048</v>
      </c>
      <c r="G2604" s="1" t="str">
        <f>VLOOKUP(H2604,Table7[#All], 2, FALSE)</f>
        <v>Massachusetts</v>
      </c>
      <c r="H2604" s="2" t="s">
        <v>14</v>
      </c>
      <c r="I2604" s="2" t="s">
        <v>15</v>
      </c>
      <c r="J2604" s="2" t="s">
        <v>40</v>
      </c>
      <c r="K2604" s="2" t="s">
        <v>64</v>
      </c>
      <c r="L2604" s="2" t="s">
        <v>9</v>
      </c>
      <c r="M2604" s="2" t="s">
        <v>20</v>
      </c>
      <c r="N2604" s="2" t="s">
        <v>11</v>
      </c>
      <c r="O2604" s="2" t="s">
        <v>12</v>
      </c>
      <c r="P2604" s="2" t="s">
        <v>42</v>
      </c>
      <c r="Q2604" s="2" t="s">
        <v>37</v>
      </c>
      <c r="R2604" s="2" t="s">
        <v>56</v>
      </c>
      <c r="S2604">
        <v>4</v>
      </c>
    </row>
    <row r="2605" spans="1:19" x14ac:dyDescent="0.3">
      <c r="A2605">
        <v>2020</v>
      </c>
      <c r="B2605">
        <f>YEAR(Cleaned_HR_Data_Analysis__2[[#This Row],[Joining_Date]])</f>
        <v>2021</v>
      </c>
      <c r="C2605" s="1">
        <v>44324</v>
      </c>
      <c r="D2605" s="1" t="str" cm="1">
        <f t="array" ref="D2605">_xlfn.IFS(E2605&lt;28, "17-27",
AND(E2605&gt;27, E2605&lt;38), "28-37",
AND(E2605&gt;37, E2605 &lt;48), "38-47",
AND(E2605&gt;47, E2605 &lt;58), "48-57",
AND(E2605&gt;57, E2605&lt;68), "58-67",
AND(E2605&gt;67, E2605&lt;78), "68-77",
E2605&gt;77,"Above than 77")</f>
        <v>68-77</v>
      </c>
      <c r="E2605">
        <v>75</v>
      </c>
      <c r="F2605" s="1">
        <v>16847</v>
      </c>
      <c r="G2605" s="1" t="str">
        <f>VLOOKUP(H2605,Table7[#All], 2, FALSE)</f>
        <v>Massachusetts</v>
      </c>
      <c r="H2605" s="2" t="s">
        <v>14</v>
      </c>
      <c r="I2605" s="2" t="s">
        <v>15</v>
      </c>
      <c r="J2605" s="2" t="s">
        <v>17</v>
      </c>
      <c r="K2605" s="2" t="s">
        <v>64</v>
      </c>
      <c r="L2605" s="2" t="s">
        <v>9</v>
      </c>
      <c r="M2605" s="2" t="s">
        <v>20</v>
      </c>
      <c r="N2605" s="2" t="s">
        <v>19</v>
      </c>
      <c r="O2605" s="2" t="s">
        <v>12</v>
      </c>
      <c r="P2605" s="2" t="s">
        <v>59</v>
      </c>
      <c r="Q2605" s="2" t="s">
        <v>37</v>
      </c>
      <c r="R2605" s="2" t="s">
        <v>18</v>
      </c>
      <c r="S2605">
        <v>1</v>
      </c>
    </row>
    <row r="2606" spans="1:19" x14ac:dyDescent="0.3">
      <c r="A2606">
        <v>1855</v>
      </c>
      <c r="B2606">
        <f>YEAR(Cleaned_HR_Data_Analysis__2[[#This Row],[Joining_Date]])</f>
        <v>2022</v>
      </c>
      <c r="C2606" s="1">
        <v>44767</v>
      </c>
      <c r="D2606" s="1" t="str" cm="1">
        <f t="array" ref="D2606">_xlfn.IFS(E2606&lt;28, "17-27",
AND(E2606&gt;27, E2606&lt;38), "28-37",
AND(E2606&gt;37, E2606 &lt;48), "38-47",
AND(E2606&gt;47, E2606 &lt;58), "48-57",
AND(E2606&gt;57, E2606&lt;68), "58-67",
AND(E2606&gt;67, E2606&lt;78), "68-77",
E2606&gt;77,"Above than 77")</f>
        <v>68-77</v>
      </c>
      <c r="E2606">
        <v>75</v>
      </c>
      <c r="F2606" s="1">
        <v>17306</v>
      </c>
      <c r="G2606" s="1" t="str">
        <f>VLOOKUP(H2606,Table7[#All], 2, FALSE)</f>
        <v>Massachusetts</v>
      </c>
      <c r="H2606" s="2" t="s">
        <v>14</v>
      </c>
      <c r="I2606" s="2" t="s">
        <v>22</v>
      </c>
      <c r="J2606" s="2" t="s">
        <v>34</v>
      </c>
      <c r="K2606" s="2" t="s">
        <v>64</v>
      </c>
      <c r="L2606" s="2" t="s">
        <v>66</v>
      </c>
      <c r="M2606" s="2" t="s">
        <v>20</v>
      </c>
      <c r="N2606" s="2" t="s">
        <v>26</v>
      </c>
      <c r="O2606" s="2" t="s">
        <v>12</v>
      </c>
      <c r="P2606" s="2" t="s">
        <v>32</v>
      </c>
      <c r="Q2606" s="2" t="s">
        <v>30</v>
      </c>
      <c r="R2606" s="2" t="s">
        <v>41</v>
      </c>
      <c r="S2606">
        <v>3</v>
      </c>
    </row>
    <row r="2607" spans="1:19" x14ac:dyDescent="0.3">
      <c r="A2607">
        <v>1429</v>
      </c>
      <c r="B2607">
        <f>YEAR(Cleaned_HR_Data_Analysis__2[[#This Row],[Joining_Date]])</f>
        <v>2019</v>
      </c>
      <c r="C2607" s="1">
        <v>43791</v>
      </c>
      <c r="D2607" s="1" t="str" cm="1">
        <f t="array" ref="D2607">_xlfn.IFS(E2607&lt;28, "17-27",
AND(E2607&gt;27, E2607&lt;38), "28-37",
AND(E2607&gt;37, E2607 &lt;48), "38-47",
AND(E2607&gt;47, E2607 &lt;58), "48-57",
AND(E2607&gt;57, E2607&lt;68), "58-67",
AND(E2607&gt;67, E2607&lt;78), "68-77",
E2607&gt;77,"Above than 77")</f>
        <v>68-77</v>
      </c>
      <c r="E2607">
        <v>75</v>
      </c>
      <c r="F2607" s="1">
        <v>16317</v>
      </c>
      <c r="G2607" s="1" t="str">
        <f>VLOOKUP(H2607,Table7[#All], 2, FALSE)</f>
        <v>Massachusetts</v>
      </c>
      <c r="H2607" s="2" t="s">
        <v>14</v>
      </c>
      <c r="I2607" s="2" t="s">
        <v>15</v>
      </c>
      <c r="J2607" s="2" t="s">
        <v>40</v>
      </c>
      <c r="K2607" s="2" t="s">
        <v>64</v>
      </c>
      <c r="L2607" s="2" t="s">
        <v>66</v>
      </c>
      <c r="M2607" s="2" t="s">
        <v>10</v>
      </c>
      <c r="N2607" s="2" t="s">
        <v>26</v>
      </c>
      <c r="O2607" s="2" t="s">
        <v>12</v>
      </c>
      <c r="P2607" s="2" t="s">
        <v>35</v>
      </c>
      <c r="Q2607" s="2" t="s">
        <v>23</v>
      </c>
      <c r="R2607" s="2" t="s">
        <v>41</v>
      </c>
      <c r="S2607">
        <v>4</v>
      </c>
    </row>
    <row r="2608" spans="1:19" x14ac:dyDescent="0.3">
      <c r="A2608">
        <v>3687</v>
      </c>
      <c r="B2608">
        <f>YEAR(Cleaned_HR_Data_Analysis__2[[#This Row],[Joining_Date]])</f>
        <v>2019</v>
      </c>
      <c r="C2608" s="1">
        <v>43602</v>
      </c>
      <c r="D2608" s="1" t="str" cm="1">
        <f t="array" ref="D2608">_xlfn.IFS(E2608&lt;28, "17-27",
AND(E2608&gt;27, E2608&lt;38), "28-37",
AND(E2608&gt;37, E2608 &lt;48), "38-47",
AND(E2608&gt;47, E2608 &lt;58), "48-57",
AND(E2608&gt;57, E2608&lt;68), "58-67",
AND(E2608&gt;67, E2608&lt;78), "68-77",
E2608&gt;77,"Above than 77")</f>
        <v>68-77</v>
      </c>
      <c r="E2608">
        <v>75</v>
      </c>
      <c r="F2608" s="1">
        <v>16304</v>
      </c>
      <c r="G2608" s="1" t="str">
        <f>VLOOKUP(H2608,Table7[#All], 2, FALSE)</f>
        <v>Massachusetts</v>
      </c>
      <c r="H2608" s="2" t="s">
        <v>14</v>
      </c>
      <c r="I2608" s="2" t="s">
        <v>15</v>
      </c>
      <c r="J2608" s="2" t="s">
        <v>40</v>
      </c>
      <c r="K2608" s="2" t="s">
        <v>8</v>
      </c>
      <c r="L2608" s="2" t="s">
        <v>9</v>
      </c>
      <c r="M2608" s="2" t="s">
        <v>20</v>
      </c>
      <c r="N2608" s="2" t="s">
        <v>26</v>
      </c>
      <c r="O2608" s="2" t="s">
        <v>12</v>
      </c>
      <c r="P2608" s="2" t="s">
        <v>35</v>
      </c>
      <c r="Q2608" s="2" t="s">
        <v>16</v>
      </c>
      <c r="R2608" s="2" t="s">
        <v>41</v>
      </c>
      <c r="S2608">
        <v>4</v>
      </c>
    </row>
    <row r="2609" spans="1:19" x14ac:dyDescent="0.3">
      <c r="A2609">
        <v>3631</v>
      </c>
      <c r="B2609">
        <f>YEAR(Cleaned_HR_Data_Analysis__2[[#This Row],[Joining_Date]])</f>
        <v>2022</v>
      </c>
      <c r="C2609" s="1">
        <v>44781</v>
      </c>
      <c r="D2609" s="1" t="str" cm="1">
        <f t="array" ref="D2609">_xlfn.IFS(E2609&lt;28, "17-27",
AND(E2609&gt;27, E2609&lt;38), "28-37",
AND(E2609&gt;37, E2609 &lt;48), "38-47",
AND(E2609&gt;47, E2609 &lt;58), "48-57",
AND(E2609&gt;57, E2609&lt;68), "58-67",
AND(E2609&gt;67, E2609&lt;78), "68-77",
E2609&gt;77,"Above than 77")</f>
        <v>68-77</v>
      </c>
      <c r="E2609">
        <v>75</v>
      </c>
      <c r="F2609" s="1">
        <v>17285</v>
      </c>
      <c r="G2609" s="1" t="str">
        <f>VLOOKUP(H2609,Table7[#All], 2, FALSE)</f>
        <v>Massachusetts</v>
      </c>
      <c r="H2609" s="2" t="s">
        <v>14</v>
      </c>
      <c r="I2609" s="2" t="s">
        <v>22</v>
      </c>
      <c r="J2609" s="2" t="s">
        <v>40</v>
      </c>
      <c r="K2609" s="2" t="s">
        <v>8</v>
      </c>
      <c r="L2609" s="2" t="s">
        <v>9</v>
      </c>
      <c r="M2609" s="2" t="s">
        <v>10</v>
      </c>
      <c r="N2609" s="2" t="s">
        <v>11</v>
      </c>
      <c r="O2609" s="2" t="s">
        <v>12</v>
      </c>
      <c r="P2609" s="2" t="s">
        <v>59</v>
      </c>
      <c r="Q2609" s="2" t="s">
        <v>30</v>
      </c>
      <c r="R2609" s="2" t="s">
        <v>18</v>
      </c>
      <c r="S2609">
        <v>1</v>
      </c>
    </row>
    <row r="2610" spans="1:19" x14ac:dyDescent="0.3">
      <c r="A2610">
        <v>3571</v>
      </c>
      <c r="B2610">
        <f>YEAR(Cleaned_HR_Data_Analysis__2[[#This Row],[Joining_Date]])</f>
        <v>2022</v>
      </c>
      <c r="C2610" s="1">
        <v>44749</v>
      </c>
      <c r="D2610" s="1" t="str" cm="1">
        <f t="array" ref="D2610">_xlfn.IFS(E2610&lt;28, "17-27",
AND(E2610&gt;27, E2610&lt;38), "28-37",
AND(E2610&gt;37, E2610 &lt;48), "38-47",
AND(E2610&gt;47, E2610 &lt;58), "48-57",
AND(E2610&gt;57, E2610&lt;68), "58-67",
AND(E2610&gt;67, E2610&lt;78), "68-77",
E2610&gt;77,"Above than 77")</f>
        <v>68-77</v>
      </c>
      <c r="E2610">
        <v>75</v>
      </c>
      <c r="F2610" s="1">
        <v>17408</v>
      </c>
      <c r="G2610" s="1" t="str">
        <f>VLOOKUP(H2610,Table7[#All], 2, FALSE)</f>
        <v>Massachusetts</v>
      </c>
      <c r="H2610" s="2" t="s">
        <v>14</v>
      </c>
      <c r="I2610" s="2" t="s">
        <v>15</v>
      </c>
      <c r="J2610" s="2" t="s">
        <v>17</v>
      </c>
      <c r="K2610" s="2" t="s">
        <v>8</v>
      </c>
      <c r="L2610" s="2" t="s">
        <v>66</v>
      </c>
      <c r="M2610" s="2" t="s">
        <v>20</v>
      </c>
      <c r="N2610" s="2" t="s">
        <v>11</v>
      </c>
      <c r="O2610" s="2" t="s">
        <v>12</v>
      </c>
      <c r="P2610" s="2" t="s">
        <v>35</v>
      </c>
      <c r="Q2610" s="2" t="s">
        <v>16</v>
      </c>
      <c r="R2610" s="2" t="s">
        <v>18</v>
      </c>
      <c r="S2610">
        <v>1</v>
      </c>
    </row>
    <row r="2611" spans="1:19" x14ac:dyDescent="0.3">
      <c r="A2611">
        <v>3193</v>
      </c>
      <c r="B2611">
        <f>YEAR(Cleaned_HR_Data_Analysis__2[[#This Row],[Joining_Date]])</f>
        <v>2021</v>
      </c>
      <c r="C2611" s="1">
        <v>44436</v>
      </c>
      <c r="D2611" s="1" t="str" cm="1">
        <f t="array" ref="D2611">_xlfn.IFS(E2611&lt;28, "17-27",
AND(E2611&gt;27, E2611&lt;38), "28-37",
AND(E2611&gt;37, E2611 &lt;48), "38-47",
AND(E2611&gt;47, E2611 &lt;58), "48-57",
AND(E2611&gt;57, E2611&lt;68), "58-67",
AND(E2611&gt;67, E2611&lt;78), "68-77",
E2611&gt;77,"Above than 77")</f>
        <v>68-77</v>
      </c>
      <c r="E2611">
        <v>75</v>
      </c>
      <c r="F2611" s="1">
        <v>16826</v>
      </c>
      <c r="G2611" s="1" t="str">
        <f>VLOOKUP(H2611,Table7[#All], 2, FALSE)</f>
        <v>Massachusetts</v>
      </c>
      <c r="H2611" s="2" t="s">
        <v>14</v>
      </c>
      <c r="I2611" s="2" t="s">
        <v>15</v>
      </c>
      <c r="J2611" s="2" t="s">
        <v>40</v>
      </c>
      <c r="K2611" s="2" t="s">
        <v>8</v>
      </c>
      <c r="L2611" s="2" t="s">
        <v>9</v>
      </c>
      <c r="M2611" s="2" t="s">
        <v>25</v>
      </c>
      <c r="N2611" s="2" t="s">
        <v>11</v>
      </c>
      <c r="O2611" s="2" t="s">
        <v>12</v>
      </c>
      <c r="P2611" s="2" t="s">
        <v>32</v>
      </c>
      <c r="Q2611" s="2" t="s">
        <v>37</v>
      </c>
      <c r="R2611" s="2" t="s">
        <v>65</v>
      </c>
      <c r="S2611">
        <v>1</v>
      </c>
    </row>
    <row r="2612" spans="1:19" x14ac:dyDescent="0.3">
      <c r="A2612">
        <v>3120</v>
      </c>
      <c r="B2612">
        <f>YEAR(Cleaned_HR_Data_Analysis__2[[#This Row],[Joining_Date]])</f>
        <v>2021</v>
      </c>
      <c r="C2612" s="1">
        <v>44413</v>
      </c>
      <c r="D2612" s="1" t="str" cm="1">
        <f t="array" ref="D2612">_xlfn.IFS(E2612&lt;28, "17-27",
AND(E2612&gt;27, E2612&lt;38), "28-37",
AND(E2612&gt;37, E2612 &lt;48), "38-47",
AND(E2612&gt;47, E2612 &lt;58), "48-57",
AND(E2612&gt;57, E2612&lt;68), "58-67",
AND(E2612&gt;67, E2612&lt;78), "68-77",
E2612&gt;77,"Above than 77")</f>
        <v>68-77</v>
      </c>
      <c r="E2612">
        <v>75</v>
      </c>
      <c r="F2612" s="1">
        <v>16836</v>
      </c>
      <c r="G2612" s="1" t="str">
        <f>VLOOKUP(H2612,Table7[#All], 2, FALSE)</f>
        <v>Massachusetts</v>
      </c>
      <c r="H2612" s="2" t="s">
        <v>14</v>
      </c>
      <c r="I2612" s="2" t="s">
        <v>15</v>
      </c>
      <c r="J2612" s="2" t="s">
        <v>17</v>
      </c>
      <c r="K2612" s="2" t="s">
        <v>8</v>
      </c>
      <c r="L2612" s="2" t="s">
        <v>9</v>
      </c>
      <c r="M2612" s="2" t="s">
        <v>20</v>
      </c>
      <c r="N2612" s="2" t="s">
        <v>19</v>
      </c>
      <c r="O2612" s="2" t="s">
        <v>12</v>
      </c>
      <c r="P2612" s="2" t="s">
        <v>21</v>
      </c>
      <c r="Q2612" s="2" t="s">
        <v>46</v>
      </c>
      <c r="R2612" s="2" t="s">
        <v>18</v>
      </c>
      <c r="S2612">
        <v>5</v>
      </c>
    </row>
    <row r="2613" spans="1:19" x14ac:dyDescent="0.3">
      <c r="A2613">
        <v>3112</v>
      </c>
      <c r="B2613">
        <f>YEAR(Cleaned_HR_Data_Analysis__2[[#This Row],[Joining_Date]])</f>
        <v>2021</v>
      </c>
      <c r="C2613" s="1">
        <v>44477</v>
      </c>
      <c r="D2613" s="1" t="str" cm="1">
        <f t="array" ref="D2613">_xlfn.IFS(E2613&lt;28, "17-27",
AND(E2613&gt;27, E2613&lt;38), "28-37",
AND(E2613&gt;37, E2613 &lt;48), "38-47",
AND(E2613&gt;47, E2613 &lt;58), "48-57",
AND(E2613&gt;57, E2613&lt;68), "58-67",
AND(E2613&gt;67, E2613&lt;78), "68-77",
E2613&gt;77,"Above than 77")</f>
        <v>68-77</v>
      </c>
      <c r="E2613">
        <v>75</v>
      </c>
      <c r="F2613" s="1">
        <v>17121</v>
      </c>
      <c r="G2613" s="1" t="str">
        <f>VLOOKUP(H2613,Table7[#All], 2, FALSE)</f>
        <v>Massachusetts</v>
      </c>
      <c r="H2613" s="2" t="s">
        <v>14</v>
      </c>
      <c r="I2613" s="2" t="s">
        <v>22</v>
      </c>
      <c r="J2613" s="2" t="s">
        <v>31</v>
      </c>
      <c r="K2613" s="2" t="s">
        <v>8</v>
      </c>
      <c r="L2613" s="2" t="s">
        <v>66</v>
      </c>
      <c r="M2613" s="2" t="s">
        <v>20</v>
      </c>
      <c r="N2613" s="2" t="s">
        <v>26</v>
      </c>
      <c r="O2613" s="2" t="s">
        <v>12</v>
      </c>
      <c r="P2613" s="2" t="s">
        <v>58</v>
      </c>
      <c r="Q2613" s="2" t="s">
        <v>46</v>
      </c>
      <c r="R2613" s="2" t="s">
        <v>18</v>
      </c>
      <c r="S2613">
        <v>2</v>
      </c>
    </row>
    <row r="2614" spans="1:19" x14ac:dyDescent="0.3">
      <c r="A2614">
        <v>3087</v>
      </c>
      <c r="B2614">
        <f>YEAR(Cleaned_HR_Data_Analysis__2[[#This Row],[Joining_Date]])</f>
        <v>2023</v>
      </c>
      <c r="C2614" s="1">
        <v>45110</v>
      </c>
      <c r="D2614" s="1" t="str" cm="1">
        <f t="array" ref="D2614">_xlfn.IFS(E2614&lt;28, "17-27",
AND(E2614&gt;27, E2614&lt;38), "28-37",
AND(E2614&gt;37, E2614 &lt;48), "38-47",
AND(E2614&gt;47, E2614 &lt;58), "48-57",
AND(E2614&gt;57, E2614&lt;68), "58-67",
AND(E2614&gt;67, E2614&lt;78), "68-77",
E2614&gt;77,"Above than 77")</f>
        <v>68-77</v>
      </c>
      <c r="E2614">
        <v>75</v>
      </c>
      <c r="F2614" s="1">
        <v>17571</v>
      </c>
      <c r="G2614" s="1" t="str">
        <f>VLOOKUP(H2614,Table7[#All], 2, FALSE)</f>
        <v>Massachusetts</v>
      </c>
      <c r="H2614" s="2" t="s">
        <v>14</v>
      </c>
      <c r="I2614" s="2" t="s">
        <v>15</v>
      </c>
      <c r="J2614" s="2" t="s">
        <v>34</v>
      </c>
      <c r="K2614" s="2" t="s">
        <v>8</v>
      </c>
      <c r="L2614" s="2" t="s">
        <v>9</v>
      </c>
      <c r="M2614" s="2" t="s">
        <v>10</v>
      </c>
      <c r="N2614" s="2" t="s">
        <v>26</v>
      </c>
      <c r="O2614" s="2" t="s">
        <v>12</v>
      </c>
      <c r="P2614" s="2" t="s">
        <v>54</v>
      </c>
      <c r="Q2614" s="2" t="s">
        <v>37</v>
      </c>
      <c r="R2614" s="2" t="s">
        <v>18</v>
      </c>
      <c r="S2614">
        <v>3</v>
      </c>
    </row>
    <row r="2615" spans="1:19" x14ac:dyDescent="0.3">
      <c r="A2615">
        <v>3068</v>
      </c>
      <c r="B2615">
        <f>YEAR(Cleaned_HR_Data_Analysis__2[[#This Row],[Joining_Date]])</f>
        <v>2022</v>
      </c>
      <c r="C2615" s="1">
        <v>44703</v>
      </c>
      <c r="D2615" s="1" t="str" cm="1">
        <f t="array" ref="D2615">_xlfn.IFS(E2615&lt;28, "17-27",
AND(E2615&gt;27, E2615&lt;38), "28-37",
AND(E2615&gt;37, E2615 &lt;48), "38-47",
AND(E2615&gt;47, E2615 &lt;58), "48-57",
AND(E2615&gt;57, E2615&lt;68), "58-67",
AND(E2615&gt;67, E2615&lt;78), "68-77",
E2615&gt;77,"Above than 77")</f>
        <v>68-77</v>
      </c>
      <c r="E2615">
        <v>75</v>
      </c>
      <c r="F2615" s="1">
        <v>17289</v>
      </c>
      <c r="G2615" s="1" t="str">
        <f>VLOOKUP(H2615,Table7[#All], 2, FALSE)</f>
        <v>Massachusetts</v>
      </c>
      <c r="H2615" s="2" t="s">
        <v>14</v>
      </c>
      <c r="I2615" s="2" t="s">
        <v>22</v>
      </c>
      <c r="J2615" s="2" t="s">
        <v>31</v>
      </c>
      <c r="K2615" s="2" t="s">
        <v>8</v>
      </c>
      <c r="L2615" s="2" t="s">
        <v>66</v>
      </c>
      <c r="M2615" s="2" t="s">
        <v>25</v>
      </c>
      <c r="N2615" s="2" t="s">
        <v>19</v>
      </c>
      <c r="O2615" s="2" t="s">
        <v>12</v>
      </c>
      <c r="P2615" s="2" t="s">
        <v>13</v>
      </c>
      <c r="Q2615" s="2" t="s">
        <v>46</v>
      </c>
      <c r="R2615" s="2" t="s">
        <v>18</v>
      </c>
      <c r="S2615">
        <v>2</v>
      </c>
    </row>
    <row r="2616" spans="1:19" x14ac:dyDescent="0.3">
      <c r="A2616">
        <v>2972</v>
      </c>
      <c r="B2616">
        <f>YEAR(Cleaned_HR_Data_Analysis__2[[#This Row],[Joining_Date]])</f>
        <v>2023</v>
      </c>
      <c r="C2616" s="1">
        <v>44970</v>
      </c>
      <c r="D2616" s="1" t="str" cm="1">
        <f t="array" ref="D2616">_xlfn.IFS(E2616&lt;28, "17-27",
AND(E2616&gt;27, E2616&lt;38), "28-37",
AND(E2616&gt;37, E2616 &lt;48), "38-47",
AND(E2616&gt;47, E2616 &lt;58), "48-57",
AND(E2616&gt;57, E2616&lt;68), "58-67",
AND(E2616&gt;67, E2616&lt;78), "68-77",
E2616&gt;77,"Above than 77")</f>
        <v>68-77</v>
      </c>
      <c r="E2616">
        <v>75</v>
      </c>
      <c r="F2616" s="1">
        <v>17626</v>
      </c>
      <c r="G2616" s="1" t="str">
        <f>VLOOKUP(H2616,Table7[#All], 2, FALSE)</f>
        <v>Massachusetts</v>
      </c>
      <c r="H2616" s="2" t="s">
        <v>14</v>
      </c>
      <c r="I2616" s="2" t="s">
        <v>15</v>
      </c>
      <c r="J2616" s="2" t="s">
        <v>17</v>
      </c>
      <c r="K2616" s="2" t="s">
        <v>8</v>
      </c>
      <c r="L2616" s="2" t="s">
        <v>9</v>
      </c>
      <c r="M2616" s="2" t="s">
        <v>25</v>
      </c>
      <c r="N2616" s="2" t="s">
        <v>26</v>
      </c>
      <c r="O2616" s="2" t="s">
        <v>12</v>
      </c>
      <c r="P2616" s="2" t="s">
        <v>32</v>
      </c>
      <c r="Q2616" s="2" t="s">
        <v>30</v>
      </c>
      <c r="R2616" s="2" t="s">
        <v>18</v>
      </c>
      <c r="S2616">
        <v>4</v>
      </c>
    </row>
    <row r="2617" spans="1:19" x14ac:dyDescent="0.3">
      <c r="A2617">
        <v>2958</v>
      </c>
      <c r="B2617">
        <f>YEAR(Cleaned_HR_Data_Analysis__2[[#This Row],[Joining_Date]])</f>
        <v>2020</v>
      </c>
      <c r="C2617" s="1">
        <v>43983</v>
      </c>
      <c r="D2617" s="1" t="str" cm="1">
        <f t="array" ref="D2617">_xlfn.IFS(E2617&lt;28, "17-27",
AND(E2617&gt;27, E2617&lt;38), "28-37",
AND(E2617&gt;37, E2617 &lt;48), "38-47",
AND(E2617&gt;47, E2617 &lt;58), "48-57",
AND(E2617&gt;57, E2617&lt;68), "58-67",
AND(E2617&gt;67, E2617&lt;78), "68-77",
E2617&gt;77,"Above than 77")</f>
        <v>68-77</v>
      </c>
      <c r="E2617">
        <v>75</v>
      </c>
      <c r="F2617" s="1">
        <v>16536</v>
      </c>
      <c r="G2617" s="1" t="str">
        <f>VLOOKUP(H2617,Table7[#All], 2, FALSE)</f>
        <v>Massachusetts</v>
      </c>
      <c r="H2617" s="2" t="s">
        <v>14</v>
      </c>
      <c r="I2617" s="2" t="s">
        <v>22</v>
      </c>
      <c r="J2617" s="2" t="s">
        <v>40</v>
      </c>
      <c r="K2617" s="2" t="s">
        <v>8</v>
      </c>
      <c r="L2617" s="2" t="s">
        <v>9</v>
      </c>
      <c r="M2617" s="2" t="s">
        <v>10</v>
      </c>
      <c r="N2617" s="2" t="s">
        <v>11</v>
      </c>
      <c r="O2617" s="2" t="s">
        <v>12</v>
      </c>
      <c r="P2617" s="2" t="s">
        <v>62</v>
      </c>
      <c r="Q2617" s="2" t="s">
        <v>37</v>
      </c>
      <c r="R2617" s="2" t="s">
        <v>18</v>
      </c>
      <c r="S2617">
        <v>2</v>
      </c>
    </row>
    <row r="2618" spans="1:19" x14ac:dyDescent="0.3">
      <c r="A2618">
        <v>2852</v>
      </c>
      <c r="B2618">
        <f>YEAR(Cleaned_HR_Data_Analysis__2[[#This Row],[Joining_Date]])</f>
        <v>2021</v>
      </c>
      <c r="C2618" s="1">
        <v>44536</v>
      </c>
      <c r="D2618" s="1" t="str" cm="1">
        <f t="array" ref="D2618">_xlfn.IFS(E2618&lt;28, "17-27",
AND(E2618&gt;27, E2618&lt;38), "28-37",
AND(E2618&gt;37, E2618 &lt;48), "38-47",
AND(E2618&gt;47, E2618 &lt;58), "48-57",
AND(E2618&gt;57, E2618&lt;68), "58-67",
AND(E2618&gt;67, E2618&lt;78), "68-77",
E2618&gt;77,"Above than 77")</f>
        <v>68-77</v>
      </c>
      <c r="E2618">
        <v>75</v>
      </c>
      <c r="F2618" s="1">
        <v>17126</v>
      </c>
      <c r="G2618" s="1" t="str">
        <f>VLOOKUP(H2618,Table7[#All], 2, FALSE)</f>
        <v>Massachusetts</v>
      </c>
      <c r="H2618" s="2" t="s">
        <v>14</v>
      </c>
      <c r="I2618" s="2" t="s">
        <v>22</v>
      </c>
      <c r="J2618" s="2" t="s">
        <v>17</v>
      </c>
      <c r="K2618" s="2" t="s">
        <v>8</v>
      </c>
      <c r="L2618" s="2" t="s">
        <v>9</v>
      </c>
      <c r="M2618" s="2" t="s">
        <v>20</v>
      </c>
      <c r="N2618" s="2" t="s">
        <v>11</v>
      </c>
      <c r="O2618" s="2" t="s">
        <v>12</v>
      </c>
      <c r="P2618" s="2" t="s">
        <v>35</v>
      </c>
      <c r="Q2618" s="2" t="s">
        <v>30</v>
      </c>
      <c r="R2618" s="2" t="s">
        <v>18</v>
      </c>
      <c r="S2618">
        <v>1</v>
      </c>
    </row>
    <row r="2619" spans="1:19" x14ac:dyDescent="0.3">
      <c r="A2619">
        <v>2834</v>
      </c>
      <c r="B2619">
        <f>YEAR(Cleaned_HR_Data_Analysis__2[[#This Row],[Joining_Date]])</f>
        <v>2018</v>
      </c>
      <c r="C2619" s="1">
        <v>43375</v>
      </c>
      <c r="D2619" s="1" t="str" cm="1">
        <f t="array" ref="D2619">_xlfn.IFS(E2619&lt;28, "17-27",
AND(E2619&gt;27, E2619&lt;38), "28-37",
AND(E2619&gt;37, E2619 &lt;48), "38-47",
AND(E2619&gt;47, E2619 &lt;58), "48-57",
AND(E2619&gt;57, E2619&lt;68), "58-67",
AND(E2619&gt;67, E2619&lt;78), "68-77",
E2619&gt;77,"Above than 77")</f>
        <v>68-77</v>
      </c>
      <c r="E2619">
        <v>75</v>
      </c>
      <c r="F2619" s="1">
        <v>16026</v>
      </c>
      <c r="G2619" s="1" t="str">
        <f>VLOOKUP(H2619,Table7[#All], 2, FALSE)</f>
        <v>Massachusetts</v>
      </c>
      <c r="H2619" s="2" t="s">
        <v>14</v>
      </c>
      <c r="I2619" s="2" t="s">
        <v>15</v>
      </c>
      <c r="J2619" s="2" t="s">
        <v>40</v>
      </c>
      <c r="K2619" s="2" t="s">
        <v>8</v>
      </c>
      <c r="L2619" s="2" t="s">
        <v>9</v>
      </c>
      <c r="M2619" s="2" t="s">
        <v>25</v>
      </c>
      <c r="N2619" s="2" t="s">
        <v>19</v>
      </c>
      <c r="O2619" s="2" t="s">
        <v>12</v>
      </c>
      <c r="P2619" s="2" t="s">
        <v>32</v>
      </c>
      <c r="Q2619" s="2" t="s">
        <v>46</v>
      </c>
      <c r="R2619" s="2" t="s">
        <v>18</v>
      </c>
      <c r="S2619">
        <v>3</v>
      </c>
    </row>
    <row r="2620" spans="1:19" x14ac:dyDescent="0.3">
      <c r="A2620">
        <v>2829</v>
      </c>
      <c r="B2620">
        <f>YEAR(Cleaned_HR_Data_Analysis__2[[#This Row],[Joining_Date]])</f>
        <v>2022</v>
      </c>
      <c r="C2620" s="1">
        <v>44881</v>
      </c>
      <c r="D2620" s="1" t="str" cm="1">
        <f t="array" ref="D2620">_xlfn.IFS(E2620&lt;28, "17-27",
AND(E2620&gt;27, E2620&lt;38), "28-37",
AND(E2620&gt;37, E2620 &lt;48), "38-47",
AND(E2620&gt;47, E2620 &lt;58), "48-57",
AND(E2620&gt;57, E2620&lt;68), "58-67",
AND(E2620&gt;67, E2620&lt;78), "68-77",
E2620&gt;77,"Above than 77")</f>
        <v>68-77</v>
      </c>
      <c r="E2620">
        <v>75</v>
      </c>
      <c r="F2620" s="1">
        <v>17271</v>
      </c>
      <c r="G2620" s="1" t="str">
        <f>VLOOKUP(H2620,Table7[#All], 2, FALSE)</f>
        <v>Massachusetts</v>
      </c>
      <c r="H2620" s="2" t="s">
        <v>14</v>
      </c>
      <c r="I2620" s="2" t="s">
        <v>22</v>
      </c>
      <c r="J2620" s="2" t="s">
        <v>31</v>
      </c>
      <c r="K2620" s="2" t="s">
        <v>8</v>
      </c>
      <c r="L2620" s="2" t="s">
        <v>9</v>
      </c>
      <c r="M2620" s="2" t="s">
        <v>20</v>
      </c>
      <c r="N2620" s="2" t="s">
        <v>26</v>
      </c>
      <c r="O2620" s="2" t="s">
        <v>12</v>
      </c>
      <c r="P2620" s="2" t="s">
        <v>42</v>
      </c>
      <c r="Q2620" s="2" t="s">
        <v>30</v>
      </c>
      <c r="R2620" s="2" t="s">
        <v>18</v>
      </c>
      <c r="S2620">
        <v>5</v>
      </c>
    </row>
    <row r="2621" spans="1:19" x14ac:dyDescent="0.3">
      <c r="A2621">
        <v>2812</v>
      </c>
      <c r="B2621">
        <f>YEAR(Cleaned_HR_Data_Analysis__2[[#This Row],[Joining_Date]])</f>
        <v>2021</v>
      </c>
      <c r="C2621" s="1">
        <v>44379</v>
      </c>
      <c r="D2621" s="1" t="str" cm="1">
        <f t="array" ref="D2621">_xlfn.IFS(E2621&lt;28, "17-27",
AND(E2621&gt;27, E2621&lt;38), "28-37",
AND(E2621&gt;37, E2621 &lt;48), "38-47",
AND(E2621&gt;47, E2621 &lt;58), "48-57",
AND(E2621&gt;57, E2621&lt;68), "58-67",
AND(E2621&gt;67, E2621&lt;78), "68-77",
E2621&gt;77,"Above than 77")</f>
        <v>68-77</v>
      </c>
      <c r="E2621">
        <v>75</v>
      </c>
      <c r="F2621" s="1">
        <v>16938</v>
      </c>
      <c r="G2621" s="1" t="str">
        <f>VLOOKUP(H2621,Table7[#All], 2, FALSE)</f>
        <v>Massachusetts</v>
      </c>
      <c r="H2621" s="2" t="s">
        <v>14</v>
      </c>
      <c r="I2621" s="2" t="s">
        <v>22</v>
      </c>
      <c r="J2621" s="2" t="s">
        <v>40</v>
      </c>
      <c r="K2621" s="2" t="s">
        <v>8</v>
      </c>
      <c r="L2621" s="2" t="s">
        <v>66</v>
      </c>
      <c r="M2621" s="2" t="s">
        <v>20</v>
      </c>
      <c r="N2621" s="2" t="s">
        <v>26</v>
      </c>
      <c r="O2621" s="2" t="s">
        <v>12</v>
      </c>
      <c r="P2621" s="2" t="s">
        <v>38</v>
      </c>
      <c r="Q2621" s="2" t="s">
        <v>16</v>
      </c>
      <c r="R2621" s="2" t="s">
        <v>18</v>
      </c>
      <c r="S2621">
        <v>2</v>
      </c>
    </row>
    <row r="2622" spans="1:19" x14ac:dyDescent="0.3">
      <c r="A2622">
        <v>2791</v>
      </c>
      <c r="B2622">
        <f>YEAR(Cleaned_HR_Data_Analysis__2[[#This Row],[Joining_Date]])</f>
        <v>2021</v>
      </c>
      <c r="C2622" s="1">
        <v>44381</v>
      </c>
      <c r="D2622" s="1" t="str" cm="1">
        <f t="array" ref="D2622">_xlfn.IFS(E2622&lt;28, "17-27",
AND(E2622&gt;27, E2622&lt;38), "28-37",
AND(E2622&gt;37, E2622 &lt;48), "38-47",
AND(E2622&gt;47, E2622 &lt;58), "48-57",
AND(E2622&gt;57, E2622&lt;68), "58-67",
AND(E2622&gt;67, E2622&lt;78), "68-77",
E2622&gt;77,"Above than 77")</f>
        <v>68-77</v>
      </c>
      <c r="E2622">
        <v>75</v>
      </c>
      <c r="F2622" s="1">
        <v>17103</v>
      </c>
      <c r="G2622" s="1" t="str">
        <f>VLOOKUP(H2622,Table7[#All], 2, FALSE)</f>
        <v>Massachusetts</v>
      </c>
      <c r="H2622" s="2" t="s">
        <v>14</v>
      </c>
      <c r="I2622" s="2" t="s">
        <v>22</v>
      </c>
      <c r="J2622" s="2" t="s">
        <v>17</v>
      </c>
      <c r="K2622" s="2" t="s">
        <v>8</v>
      </c>
      <c r="L2622" s="2" t="s">
        <v>9</v>
      </c>
      <c r="M2622" s="2" t="s">
        <v>10</v>
      </c>
      <c r="N2622" s="2" t="s">
        <v>26</v>
      </c>
      <c r="O2622" s="2" t="s">
        <v>12</v>
      </c>
      <c r="P2622" s="2" t="s">
        <v>35</v>
      </c>
      <c r="Q2622" s="2" t="s">
        <v>16</v>
      </c>
      <c r="R2622" s="2" t="s">
        <v>18</v>
      </c>
      <c r="S2622">
        <v>3</v>
      </c>
    </row>
    <row r="2623" spans="1:19" x14ac:dyDescent="0.3">
      <c r="A2623">
        <v>2153</v>
      </c>
      <c r="B2623">
        <f>YEAR(Cleaned_HR_Data_Analysis__2[[#This Row],[Joining_Date]])</f>
        <v>2019</v>
      </c>
      <c r="C2623" s="1">
        <v>43631</v>
      </c>
      <c r="D2623" s="1" t="str" cm="1">
        <f t="array" ref="D2623">_xlfn.IFS(E2623&lt;28, "17-27",
AND(E2623&gt;27, E2623&lt;38), "28-37",
AND(E2623&gt;37, E2623 &lt;48), "38-47",
AND(E2623&gt;47, E2623 &lt;58), "48-57",
AND(E2623&gt;57, E2623&lt;68), "58-67",
AND(E2623&gt;67, E2623&lt;78), "68-77",
E2623&gt;77,"Above than 77")</f>
        <v>68-77</v>
      </c>
      <c r="E2623">
        <v>75</v>
      </c>
      <c r="F2623" s="1">
        <v>16325</v>
      </c>
      <c r="G2623" s="1" t="str">
        <f>VLOOKUP(H2623,Table7[#All], 2, FALSE)</f>
        <v>Massachusetts</v>
      </c>
      <c r="H2623" s="2" t="s">
        <v>14</v>
      </c>
      <c r="I2623" s="2" t="s">
        <v>15</v>
      </c>
      <c r="J2623" s="2" t="s">
        <v>34</v>
      </c>
      <c r="K2623" s="2" t="s">
        <v>8</v>
      </c>
      <c r="L2623" s="2" t="s">
        <v>9</v>
      </c>
      <c r="M2623" s="2" t="s">
        <v>10</v>
      </c>
      <c r="N2623" s="2" t="s">
        <v>11</v>
      </c>
      <c r="O2623" s="2" t="s">
        <v>12</v>
      </c>
      <c r="P2623" s="2" t="s">
        <v>54</v>
      </c>
      <c r="Q2623" s="2" t="s">
        <v>30</v>
      </c>
      <c r="R2623" s="2" t="s">
        <v>41</v>
      </c>
      <c r="S2623">
        <v>5</v>
      </c>
    </row>
    <row r="2624" spans="1:19" x14ac:dyDescent="0.3">
      <c r="A2624">
        <v>1744</v>
      </c>
      <c r="B2624">
        <f>YEAR(Cleaned_HR_Data_Analysis__2[[#This Row],[Joining_Date]])</f>
        <v>2022</v>
      </c>
      <c r="C2624" s="1">
        <v>44766</v>
      </c>
      <c r="D2624" s="1" t="str" cm="1">
        <f t="array" ref="D2624">_xlfn.IFS(E2624&lt;28, "17-27",
AND(E2624&gt;27, E2624&lt;38), "28-37",
AND(E2624&gt;37, E2624 &lt;48), "38-47",
AND(E2624&gt;47, E2624 &lt;58), "48-57",
AND(E2624&gt;57, E2624&lt;68), "58-67",
AND(E2624&gt;67, E2624&lt;78), "68-77",
E2624&gt;77,"Above than 77")</f>
        <v>68-77</v>
      </c>
      <c r="E2624">
        <v>75</v>
      </c>
      <c r="F2624" s="1">
        <v>17292</v>
      </c>
      <c r="G2624" s="1" t="str">
        <f>VLOOKUP(H2624,Table7[#All], 2, FALSE)</f>
        <v>Massachusetts</v>
      </c>
      <c r="H2624" s="2" t="s">
        <v>14</v>
      </c>
      <c r="I2624" s="2" t="s">
        <v>15</v>
      </c>
      <c r="J2624" s="2" t="s">
        <v>34</v>
      </c>
      <c r="K2624" s="2" t="s">
        <v>8</v>
      </c>
      <c r="L2624" s="2" t="s">
        <v>9</v>
      </c>
      <c r="M2624" s="2" t="s">
        <v>25</v>
      </c>
      <c r="N2624" s="2" t="s">
        <v>11</v>
      </c>
      <c r="O2624" s="2" t="s">
        <v>12</v>
      </c>
      <c r="P2624" s="2" t="s">
        <v>35</v>
      </c>
      <c r="Q2624" s="2" t="s">
        <v>23</v>
      </c>
      <c r="R2624" s="2" t="s">
        <v>18</v>
      </c>
      <c r="S2624">
        <v>1</v>
      </c>
    </row>
    <row r="2625" spans="1:19" x14ac:dyDescent="0.3">
      <c r="A2625">
        <v>1606</v>
      </c>
      <c r="B2625">
        <f>YEAR(Cleaned_HR_Data_Analysis__2[[#This Row],[Joining_Date]])</f>
        <v>2019</v>
      </c>
      <c r="C2625" s="1">
        <v>43596</v>
      </c>
      <c r="D2625" s="1" t="str" cm="1">
        <f t="array" ref="D2625">_xlfn.IFS(E2625&lt;28, "17-27",
AND(E2625&gt;27, E2625&lt;38), "28-37",
AND(E2625&gt;37, E2625 &lt;48), "38-47",
AND(E2625&gt;47, E2625 &lt;58), "48-57",
AND(E2625&gt;57, E2625&lt;68), "58-67",
AND(E2625&gt;67, E2625&lt;78), "68-77",
E2625&gt;77,"Above than 77")</f>
        <v>68-77</v>
      </c>
      <c r="E2625">
        <v>75</v>
      </c>
      <c r="F2625" s="1">
        <v>16137</v>
      </c>
      <c r="G2625" s="1" t="str">
        <f>VLOOKUP(H2625,Table7[#All], 2, FALSE)</f>
        <v>Massachusetts</v>
      </c>
      <c r="H2625" s="2" t="s">
        <v>14</v>
      </c>
      <c r="I2625" s="2" t="s">
        <v>15</v>
      </c>
      <c r="J2625" s="2" t="s">
        <v>40</v>
      </c>
      <c r="K2625" s="2" t="s">
        <v>8</v>
      </c>
      <c r="L2625" s="2" t="s">
        <v>9</v>
      </c>
      <c r="M2625" s="2" t="s">
        <v>25</v>
      </c>
      <c r="N2625" s="2" t="s">
        <v>11</v>
      </c>
      <c r="O2625" s="2" t="s">
        <v>12</v>
      </c>
      <c r="P2625" s="2" t="s">
        <v>35</v>
      </c>
      <c r="Q2625" s="2" t="s">
        <v>16</v>
      </c>
      <c r="R2625" s="2" t="s">
        <v>41</v>
      </c>
      <c r="S2625">
        <v>4</v>
      </c>
    </row>
    <row r="2626" spans="1:19" x14ac:dyDescent="0.3">
      <c r="A2626">
        <v>1588</v>
      </c>
      <c r="B2626">
        <f>YEAR(Cleaned_HR_Data_Analysis__2[[#This Row],[Joining_Date]])</f>
        <v>2021</v>
      </c>
      <c r="C2626" s="1">
        <v>44392</v>
      </c>
      <c r="D2626" s="1" t="str" cm="1">
        <f t="array" ref="D2626">_xlfn.IFS(E2626&lt;28, "17-27",
AND(E2626&gt;27, E2626&lt;38), "28-37",
AND(E2626&gt;37, E2626 &lt;48), "38-47",
AND(E2626&gt;47, E2626 &lt;58), "48-57",
AND(E2626&gt;57, E2626&lt;68), "58-67",
AND(E2626&gt;67, E2626&lt;78), "68-77",
E2626&gt;77,"Above than 77")</f>
        <v>68-77</v>
      </c>
      <c r="E2626">
        <v>75</v>
      </c>
      <c r="F2626" s="1">
        <v>16851</v>
      </c>
      <c r="G2626" s="1" t="str">
        <f>VLOOKUP(H2626,Table7[#All], 2, FALSE)</f>
        <v>Massachusetts</v>
      </c>
      <c r="H2626" s="2" t="s">
        <v>14</v>
      </c>
      <c r="I2626" s="2" t="s">
        <v>22</v>
      </c>
      <c r="J2626" s="2" t="s">
        <v>17</v>
      </c>
      <c r="K2626" s="2" t="s">
        <v>8</v>
      </c>
      <c r="L2626" s="2" t="s">
        <v>9</v>
      </c>
      <c r="M2626" s="2" t="s">
        <v>25</v>
      </c>
      <c r="N2626" s="2" t="s">
        <v>19</v>
      </c>
      <c r="O2626" s="2" t="s">
        <v>12</v>
      </c>
      <c r="P2626" s="2" t="s">
        <v>49</v>
      </c>
      <c r="Q2626" s="2" t="s">
        <v>23</v>
      </c>
      <c r="R2626" s="2" t="s">
        <v>18</v>
      </c>
      <c r="S2626">
        <v>5</v>
      </c>
    </row>
    <row r="2627" spans="1:19" x14ac:dyDescent="0.3">
      <c r="A2627">
        <v>1459</v>
      </c>
      <c r="B2627">
        <f>YEAR(Cleaned_HR_Data_Analysis__2[[#This Row],[Joining_Date]])</f>
        <v>2021</v>
      </c>
      <c r="C2627" s="1">
        <v>44447</v>
      </c>
      <c r="D2627" s="1" t="str" cm="1">
        <f t="array" ref="D2627">_xlfn.IFS(E2627&lt;28, "17-27",
AND(E2627&gt;27, E2627&lt;38), "28-37",
AND(E2627&gt;37, E2627 &lt;48), "38-47",
AND(E2627&gt;47, E2627 &lt;58), "48-57",
AND(E2627&gt;57, E2627&lt;68), "58-67",
AND(E2627&gt;67, E2627&lt;78), "68-77",
E2627&gt;77,"Above than 77")</f>
        <v>68-77</v>
      </c>
      <c r="E2627">
        <v>75</v>
      </c>
      <c r="F2627" s="1">
        <v>17026</v>
      </c>
      <c r="G2627" s="1" t="str">
        <f>VLOOKUP(H2627,Table7[#All], 2, FALSE)</f>
        <v>Massachusetts</v>
      </c>
      <c r="H2627" s="2" t="s">
        <v>14</v>
      </c>
      <c r="I2627" s="2" t="s">
        <v>22</v>
      </c>
      <c r="J2627" s="2" t="s">
        <v>31</v>
      </c>
      <c r="K2627" s="2" t="s">
        <v>8</v>
      </c>
      <c r="L2627" s="2" t="s">
        <v>9</v>
      </c>
      <c r="M2627" s="2" t="s">
        <v>10</v>
      </c>
      <c r="N2627" s="2" t="s">
        <v>11</v>
      </c>
      <c r="O2627" s="2" t="s">
        <v>12</v>
      </c>
      <c r="P2627" s="2" t="s">
        <v>42</v>
      </c>
      <c r="Q2627" s="2" t="s">
        <v>37</v>
      </c>
      <c r="R2627" s="2" t="s">
        <v>41</v>
      </c>
      <c r="S2627">
        <v>2</v>
      </c>
    </row>
    <row r="2628" spans="1:19" x14ac:dyDescent="0.3">
      <c r="A2628">
        <v>1292</v>
      </c>
      <c r="B2628">
        <f>YEAR(Cleaned_HR_Data_Analysis__2[[#This Row],[Joining_Date]])</f>
        <v>2018</v>
      </c>
      <c r="C2628" s="1">
        <v>43400</v>
      </c>
      <c r="D2628" s="1" t="str" cm="1">
        <f t="array" ref="D2628">_xlfn.IFS(E2628&lt;28, "17-27",
AND(E2628&gt;27, E2628&lt;38), "28-37",
AND(E2628&gt;37, E2628 &lt;48), "38-47",
AND(E2628&gt;47, E2628 &lt;58), "48-57",
AND(E2628&gt;57, E2628&lt;68), "58-67",
AND(E2628&gt;67, E2628&lt;78), "68-77",
E2628&gt;77,"Above than 77")</f>
        <v>68-77</v>
      </c>
      <c r="E2628">
        <v>75</v>
      </c>
      <c r="F2628" s="1">
        <v>15884</v>
      </c>
      <c r="G2628" s="1" t="str">
        <f>VLOOKUP(H2628,Table7[#All], 2, FALSE)</f>
        <v>Massachusetts</v>
      </c>
      <c r="H2628" s="2" t="s">
        <v>14</v>
      </c>
      <c r="I2628" s="2" t="s">
        <v>15</v>
      </c>
      <c r="J2628" s="2" t="s">
        <v>40</v>
      </c>
      <c r="K2628" s="2" t="s">
        <v>8</v>
      </c>
      <c r="L2628" s="2" t="s">
        <v>9</v>
      </c>
      <c r="M2628" s="2" t="s">
        <v>25</v>
      </c>
      <c r="N2628" s="2" t="s">
        <v>19</v>
      </c>
      <c r="O2628" s="2" t="s">
        <v>12</v>
      </c>
      <c r="P2628" s="2" t="s">
        <v>42</v>
      </c>
      <c r="Q2628" s="2" t="s">
        <v>16</v>
      </c>
      <c r="R2628" s="2" t="s">
        <v>18</v>
      </c>
      <c r="S2628">
        <v>4</v>
      </c>
    </row>
    <row r="2629" spans="1:19" x14ac:dyDescent="0.3">
      <c r="A2629">
        <v>1246</v>
      </c>
      <c r="B2629">
        <f>YEAR(Cleaned_HR_Data_Analysis__2[[#This Row],[Joining_Date]])</f>
        <v>2018</v>
      </c>
      <c r="C2629" s="1">
        <v>43371</v>
      </c>
      <c r="D2629" s="1" t="str" cm="1">
        <f t="array" ref="D2629">_xlfn.IFS(E2629&lt;28, "17-27",
AND(E2629&gt;27, E2629&lt;38), "28-37",
AND(E2629&gt;37, E2629 &lt;48), "38-47",
AND(E2629&gt;47, E2629 &lt;58), "48-57",
AND(E2629&gt;57, E2629&lt;68), "58-67",
AND(E2629&gt;67, E2629&lt;78), "68-77",
E2629&gt;77,"Above than 77")</f>
        <v>68-77</v>
      </c>
      <c r="E2629">
        <v>75</v>
      </c>
      <c r="F2629" s="1">
        <v>16024</v>
      </c>
      <c r="G2629" s="1" t="str">
        <f>VLOOKUP(H2629,Table7[#All], 2, FALSE)</f>
        <v>Massachusetts</v>
      </c>
      <c r="H2629" s="2" t="s">
        <v>14</v>
      </c>
      <c r="I2629" s="2" t="s">
        <v>22</v>
      </c>
      <c r="J2629" s="2" t="s">
        <v>17</v>
      </c>
      <c r="K2629" s="2" t="s">
        <v>8</v>
      </c>
      <c r="L2629" s="2" t="s">
        <v>66</v>
      </c>
      <c r="M2629" s="2" t="s">
        <v>20</v>
      </c>
      <c r="N2629" s="2" t="s">
        <v>26</v>
      </c>
      <c r="O2629" s="2" t="s">
        <v>12</v>
      </c>
      <c r="P2629" s="2" t="s">
        <v>35</v>
      </c>
      <c r="Q2629" s="2" t="s">
        <v>37</v>
      </c>
      <c r="R2629" s="2" t="s">
        <v>18</v>
      </c>
      <c r="S2629">
        <v>3</v>
      </c>
    </row>
    <row r="2630" spans="1:19" x14ac:dyDescent="0.3">
      <c r="A2630">
        <v>2301</v>
      </c>
      <c r="B2630">
        <f>YEAR(Cleaned_HR_Data_Analysis__2[[#This Row],[Joining_Date]])</f>
        <v>2021</v>
      </c>
      <c r="C2630" s="1">
        <v>44239</v>
      </c>
      <c r="D2630" s="1" t="str" cm="1">
        <f t="array" ref="D2630">_xlfn.IFS(E2630&lt;28, "17-27",
AND(E2630&gt;27, E2630&lt;38), "28-37",
AND(E2630&gt;37, E2630 &lt;48), "38-47",
AND(E2630&gt;47, E2630 &lt;58), "48-57",
AND(E2630&gt;57, E2630&lt;68), "58-67",
AND(E2630&gt;67, E2630&lt;78), "68-77",
E2630&gt;77,"Above than 77")</f>
        <v>68-77</v>
      </c>
      <c r="E2630">
        <v>75</v>
      </c>
      <c r="F2630" s="1">
        <v>17026</v>
      </c>
      <c r="G2630" s="1" t="str">
        <f>VLOOKUP(H2630,Table7[#All], 2, FALSE)</f>
        <v>Massachusetts</v>
      </c>
      <c r="H2630" s="2" t="s">
        <v>14</v>
      </c>
      <c r="I2630" s="2" t="s">
        <v>15</v>
      </c>
      <c r="J2630" s="2" t="s">
        <v>31</v>
      </c>
      <c r="K2630" s="2" t="s">
        <v>91</v>
      </c>
      <c r="L2630" s="2" t="s">
        <v>9</v>
      </c>
      <c r="M2630" s="2" t="s">
        <v>20</v>
      </c>
      <c r="N2630" s="2" t="s">
        <v>11</v>
      </c>
      <c r="O2630" s="2" t="s">
        <v>12</v>
      </c>
      <c r="P2630" s="2" t="s">
        <v>69</v>
      </c>
      <c r="Q2630" s="2" t="s">
        <v>46</v>
      </c>
      <c r="R2630" s="2" t="s">
        <v>18</v>
      </c>
      <c r="S2630">
        <v>1</v>
      </c>
    </row>
    <row r="2631" spans="1:19" x14ac:dyDescent="0.3">
      <c r="A2631">
        <v>2326</v>
      </c>
      <c r="B2631">
        <f>YEAR(Cleaned_HR_Data_Analysis__2[[#This Row],[Joining_Date]])</f>
        <v>2022</v>
      </c>
      <c r="C2631" s="1">
        <v>44781</v>
      </c>
      <c r="D2631" s="1" t="str" cm="1">
        <f t="array" ref="D2631">_xlfn.IFS(E2631&lt;28, "17-27",
AND(E2631&gt;27, E2631&lt;38), "28-37",
AND(E2631&gt;37, E2631 &lt;48), "38-47",
AND(E2631&gt;47, E2631 &lt;58), "48-57",
AND(E2631&gt;57, E2631&lt;68), "58-67",
AND(E2631&gt;67, E2631&lt;78), "68-77",
E2631&gt;77,"Above than 77")</f>
        <v>68-77</v>
      </c>
      <c r="E2631">
        <v>75</v>
      </c>
      <c r="F2631" s="1">
        <v>17490</v>
      </c>
      <c r="G2631" s="1" t="str">
        <f>VLOOKUP(H2631,Table7[#All], 2, FALSE)</f>
        <v>Massachusetts</v>
      </c>
      <c r="H2631" s="2" t="s">
        <v>14</v>
      </c>
      <c r="I2631" s="2" t="s">
        <v>15</v>
      </c>
      <c r="J2631" s="2" t="s">
        <v>31</v>
      </c>
      <c r="K2631" s="2" t="s">
        <v>94</v>
      </c>
      <c r="L2631" s="2" t="s">
        <v>9</v>
      </c>
      <c r="M2631" s="2" t="s">
        <v>10</v>
      </c>
      <c r="N2631" s="2" t="s">
        <v>19</v>
      </c>
      <c r="O2631" s="2" t="s">
        <v>12</v>
      </c>
      <c r="P2631" s="2" t="s">
        <v>54</v>
      </c>
      <c r="Q2631" s="2" t="s">
        <v>37</v>
      </c>
      <c r="R2631" s="2" t="s">
        <v>18</v>
      </c>
      <c r="S2631">
        <v>1</v>
      </c>
    </row>
    <row r="2632" spans="1:19" x14ac:dyDescent="0.3">
      <c r="A2632">
        <v>3836</v>
      </c>
      <c r="B2632">
        <f>YEAR(Cleaned_HR_Data_Analysis__2[[#This Row],[Joining_Date]])</f>
        <v>2021</v>
      </c>
      <c r="C2632" s="1">
        <v>44421</v>
      </c>
      <c r="D2632" s="1" t="str" cm="1">
        <f t="array" ref="D2632">_xlfn.IFS(E2632&lt;28, "17-27",
AND(E2632&gt;27, E2632&lt;38), "28-37",
AND(E2632&gt;37, E2632 &lt;48), "38-47",
AND(E2632&gt;47, E2632 &lt;58), "48-57",
AND(E2632&gt;57, E2632&lt;68), "58-67",
AND(E2632&gt;67, E2632&lt;78), "68-77",
E2632&gt;77,"Above than 77")</f>
        <v>68-77</v>
      </c>
      <c r="E2632">
        <v>75</v>
      </c>
      <c r="F2632" s="1">
        <v>16814</v>
      </c>
      <c r="G2632" s="1" t="str">
        <f>VLOOKUP(H2632,Table7[#All], 2, FALSE)</f>
        <v>Massachusetts</v>
      </c>
      <c r="H2632" s="2" t="s">
        <v>14</v>
      </c>
      <c r="I2632" s="2" t="s">
        <v>22</v>
      </c>
      <c r="J2632" s="2" t="s">
        <v>31</v>
      </c>
      <c r="K2632" s="2" t="s">
        <v>70</v>
      </c>
      <c r="L2632" s="2" t="s">
        <v>9</v>
      </c>
      <c r="M2632" s="2" t="s">
        <v>10</v>
      </c>
      <c r="N2632" s="2" t="s">
        <v>19</v>
      </c>
      <c r="O2632" s="2" t="s">
        <v>53</v>
      </c>
      <c r="P2632" s="2" t="s">
        <v>32</v>
      </c>
      <c r="Q2632" s="2" t="s">
        <v>37</v>
      </c>
      <c r="R2632" s="2" t="s">
        <v>18</v>
      </c>
      <c r="S2632">
        <v>3</v>
      </c>
    </row>
    <row r="2633" spans="1:19" x14ac:dyDescent="0.3">
      <c r="A2633">
        <v>2265</v>
      </c>
      <c r="B2633">
        <f>YEAR(Cleaned_HR_Data_Analysis__2[[#This Row],[Joining_Date]])</f>
        <v>2019</v>
      </c>
      <c r="C2633" s="1">
        <v>43829</v>
      </c>
      <c r="D2633" s="1" t="str" cm="1">
        <f t="array" ref="D2633">_xlfn.IFS(E2633&lt;28, "17-27",
AND(E2633&gt;27, E2633&lt;38), "28-37",
AND(E2633&gt;37, E2633 &lt;48), "38-47",
AND(E2633&gt;47, E2633 &lt;58), "48-57",
AND(E2633&gt;57, E2633&lt;68), "58-67",
AND(E2633&gt;67, E2633&lt;78), "68-77",
E2633&gt;77,"Above than 77")</f>
        <v>68-77</v>
      </c>
      <c r="E2633">
        <v>75</v>
      </c>
      <c r="F2633" s="1">
        <v>16436</v>
      </c>
      <c r="G2633" s="1" t="str">
        <f>VLOOKUP(H2633,Table7[#All], 2, FALSE)</f>
        <v>Massachusetts</v>
      </c>
      <c r="H2633" s="2" t="s">
        <v>14</v>
      </c>
      <c r="I2633" s="2" t="s">
        <v>15</v>
      </c>
      <c r="J2633" s="2" t="s">
        <v>31</v>
      </c>
      <c r="K2633" s="2" t="s">
        <v>70</v>
      </c>
      <c r="L2633" s="2" t="s">
        <v>9</v>
      </c>
      <c r="M2633" s="2" t="s">
        <v>10</v>
      </c>
      <c r="N2633" s="2" t="s">
        <v>11</v>
      </c>
      <c r="O2633" s="2" t="s">
        <v>53</v>
      </c>
      <c r="P2633" s="2" t="s">
        <v>35</v>
      </c>
      <c r="Q2633" s="2" t="s">
        <v>23</v>
      </c>
      <c r="R2633" s="2" t="s">
        <v>18</v>
      </c>
      <c r="S2633">
        <v>4</v>
      </c>
    </row>
    <row r="2634" spans="1:19" x14ac:dyDescent="0.3">
      <c r="A2634">
        <v>2483</v>
      </c>
      <c r="B2634">
        <f>YEAR(Cleaned_HR_Data_Analysis__2[[#This Row],[Joining_Date]])</f>
        <v>2019</v>
      </c>
      <c r="C2634" s="1">
        <v>43793</v>
      </c>
      <c r="D2634" s="1" t="str" cm="1">
        <f t="array" ref="D2634">_xlfn.IFS(E2634&lt;28, "17-27",
AND(E2634&gt;27, E2634&lt;38), "28-37",
AND(E2634&gt;37, E2634 &lt;48), "38-47",
AND(E2634&gt;47, E2634 &lt;58), "48-57",
AND(E2634&gt;57, E2634&lt;68), "58-67",
AND(E2634&gt;67, E2634&lt;78), "68-77",
E2634&gt;77,"Above than 77")</f>
        <v>68-77</v>
      </c>
      <c r="E2634">
        <v>75</v>
      </c>
      <c r="F2634" s="1">
        <v>16214</v>
      </c>
      <c r="G2634" s="1" t="str">
        <f>VLOOKUP(H2634,Table7[#All], 2, FALSE)</f>
        <v>Massachusetts</v>
      </c>
      <c r="H2634" s="2" t="s">
        <v>14</v>
      </c>
      <c r="I2634" s="2" t="s">
        <v>22</v>
      </c>
      <c r="J2634" s="2" t="s">
        <v>40</v>
      </c>
      <c r="K2634" s="2" t="s">
        <v>102</v>
      </c>
      <c r="L2634" s="2" t="s">
        <v>9</v>
      </c>
      <c r="M2634" s="2" t="s">
        <v>20</v>
      </c>
      <c r="N2634" s="2" t="s">
        <v>19</v>
      </c>
      <c r="O2634" s="2" t="s">
        <v>53</v>
      </c>
      <c r="P2634" s="2" t="s">
        <v>55</v>
      </c>
      <c r="Q2634" s="2" t="s">
        <v>37</v>
      </c>
      <c r="R2634" s="2" t="s">
        <v>18</v>
      </c>
      <c r="S2634">
        <v>1</v>
      </c>
    </row>
    <row r="2635" spans="1:19" x14ac:dyDescent="0.3">
      <c r="A2635">
        <v>2245</v>
      </c>
      <c r="B2635">
        <f>YEAR(Cleaned_HR_Data_Analysis__2[[#This Row],[Joining_Date]])</f>
        <v>2021</v>
      </c>
      <c r="C2635" s="1">
        <v>44255</v>
      </c>
      <c r="D2635" s="1" t="str" cm="1">
        <f t="array" ref="D2635">_xlfn.IFS(E2635&lt;28, "17-27",
AND(E2635&gt;27, E2635&lt;38), "28-37",
AND(E2635&gt;37, E2635 &lt;48), "38-47",
AND(E2635&gt;47, E2635 &lt;58), "48-57",
AND(E2635&gt;57, E2635&lt;68), "58-67",
AND(E2635&gt;67, E2635&lt;78), "68-77",
E2635&gt;77,"Above than 77")</f>
        <v>68-77</v>
      </c>
      <c r="E2635">
        <v>75</v>
      </c>
      <c r="F2635" s="1">
        <v>17060</v>
      </c>
      <c r="G2635" s="1" t="str">
        <f>VLOOKUP(H2635,Table7[#All], 2, FALSE)</f>
        <v>Massachusetts</v>
      </c>
      <c r="H2635" s="2" t="s">
        <v>14</v>
      </c>
      <c r="I2635" s="2" t="s">
        <v>22</v>
      </c>
      <c r="J2635" s="2" t="s">
        <v>40</v>
      </c>
      <c r="K2635" s="2" t="s">
        <v>102</v>
      </c>
      <c r="L2635" s="2" t="s">
        <v>9</v>
      </c>
      <c r="M2635" s="2" t="s">
        <v>20</v>
      </c>
      <c r="N2635" s="2" t="s">
        <v>11</v>
      </c>
      <c r="O2635" s="2" t="s">
        <v>53</v>
      </c>
      <c r="P2635" s="2" t="s">
        <v>42</v>
      </c>
      <c r="Q2635" s="2" t="s">
        <v>37</v>
      </c>
      <c r="R2635" s="2" t="s">
        <v>18</v>
      </c>
      <c r="S2635">
        <v>4</v>
      </c>
    </row>
    <row r="2636" spans="1:19" x14ac:dyDescent="0.3">
      <c r="A2636">
        <v>2506</v>
      </c>
      <c r="B2636">
        <f>YEAR(Cleaned_HR_Data_Analysis__2[[#This Row],[Joining_Date]])</f>
        <v>2022</v>
      </c>
      <c r="C2636" s="1">
        <v>44742</v>
      </c>
      <c r="D2636" s="1" t="str" cm="1">
        <f t="array" ref="D2636">_xlfn.IFS(E2636&lt;28, "17-27",
AND(E2636&gt;27, E2636&lt;38), "28-37",
AND(E2636&gt;37, E2636 &lt;48), "38-47",
AND(E2636&gt;47, E2636 &lt;58), "48-57",
AND(E2636&gt;57, E2636&lt;68), "58-67",
AND(E2636&gt;67, E2636&lt;78), "68-77",
E2636&gt;77,"Above than 77")</f>
        <v>68-77</v>
      </c>
      <c r="E2636">
        <v>75</v>
      </c>
      <c r="F2636" s="1">
        <v>17360</v>
      </c>
      <c r="G2636" s="1" t="str">
        <f>VLOOKUP(H2636,Table7[#All], 2, FALSE)</f>
        <v>Massachusetts</v>
      </c>
      <c r="H2636" s="2" t="s">
        <v>14</v>
      </c>
      <c r="I2636" s="2" t="s">
        <v>22</v>
      </c>
      <c r="J2636" s="2" t="s">
        <v>31</v>
      </c>
      <c r="K2636" s="2" t="s">
        <v>106</v>
      </c>
      <c r="L2636" s="2" t="s">
        <v>9</v>
      </c>
      <c r="M2636" s="2" t="s">
        <v>25</v>
      </c>
      <c r="N2636" s="2" t="s">
        <v>11</v>
      </c>
      <c r="O2636" s="2" t="s">
        <v>53</v>
      </c>
      <c r="P2636" s="2" t="s">
        <v>35</v>
      </c>
      <c r="Q2636" s="2" t="s">
        <v>16</v>
      </c>
      <c r="R2636" s="2" t="s">
        <v>18</v>
      </c>
      <c r="S2636">
        <v>3</v>
      </c>
    </row>
    <row r="2637" spans="1:19" x14ac:dyDescent="0.3">
      <c r="A2637">
        <v>3954</v>
      </c>
      <c r="B2637">
        <f>YEAR(Cleaned_HR_Data_Analysis__2[[#This Row],[Joining_Date]])</f>
        <v>2021</v>
      </c>
      <c r="C2637" s="1">
        <v>44487</v>
      </c>
      <c r="D2637" s="1" t="str" cm="1">
        <f t="array" ref="D2637">_xlfn.IFS(E2637&lt;28, "17-27",
AND(E2637&gt;27, E2637&lt;38), "28-37",
AND(E2637&gt;37, E2637 &lt;48), "38-47",
AND(E2637&gt;47, E2637 &lt;58), "48-57",
AND(E2637&gt;57, E2637&lt;68), "58-67",
AND(E2637&gt;67, E2637&lt;78), "68-77",
E2637&gt;77,"Above than 77")</f>
        <v>68-77</v>
      </c>
      <c r="E2637">
        <v>75</v>
      </c>
      <c r="F2637" s="1">
        <v>17117</v>
      </c>
      <c r="G2637" s="1" t="str">
        <f>VLOOKUP(H2637,Table7[#All], 2, FALSE)</f>
        <v>Massachusetts</v>
      </c>
      <c r="H2637" s="2" t="s">
        <v>14</v>
      </c>
      <c r="I2637" s="2" t="s">
        <v>15</v>
      </c>
      <c r="J2637" s="2" t="s">
        <v>34</v>
      </c>
      <c r="K2637" s="2" t="s">
        <v>77</v>
      </c>
      <c r="L2637" s="2" t="s">
        <v>9</v>
      </c>
      <c r="M2637" s="2" t="s">
        <v>25</v>
      </c>
      <c r="N2637" s="2" t="s">
        <v>26</v>
      </c>
      <c r="O2637" s="2" t="s">
        <v>53</v>
      </c>
      <c r="P2637" s="2" t="s">
        <v>32</v>
      </c>
      <c r="Q2637" s="2" t="s">
        <v>23</v>
      </c>
      <c r="R2637" s="2" t="s">
        <v>18</v>
      </c>
      <c r="S2637">
        <v>1</v>
      </c>
    </row>
    <row r="2638" spans="1:19" x14ac:dyDescent="0.3">
      <c r="A2638">
        <v>2392</v>
      </c>
      <c r="B2638">
        <f>YEAR(Cleaned_HR_Data_Analysis__2[[#This Row],[Joining_Date]])</f>
        <v>2019</v>
      </c>
      <c r="C2638" s="1">
        <v>43682</v>
      </c>
      <c r="D2638" s="1" t="str" cm="1">
        <f t="array" ref="D2638">_xlfn.IFS(E2638&lt;28, "17-27",
AND(E2638&gt;27, E2638&lt;38), "28-37",
AND(E2638&gt;37, E2638 &lt;48), "38-47",
AND(E2638&gt;47, E2638 &lt;58), "48-57",
AND(E2638&gt;57, E2638&lt;68), "58-67",
AND(E2638&gt;67, E2638&lt;78), "68-77",
E2638&gt;77,"Above than 77")</f>
        <v>68-77</v>
      </c>
      <c r="E2638">
        <v>75</v>
      </c>
      <c r="F2638" s="1">
        <v>16342</v>
      </c>
      <c r="G2638" s="1" t="str">
        <f>VLOOKUP(H2638,Table7[#All], 2, FALSE)</f>
        <v>Massachusetts</v>
      </c>
      <c r="H2638" s="2" t="s">
        <v>14</v>
      </c>
      <c r="I2638" s="2" t="s">
        <v>22</v>
      </c>
      <c r="J2638" s="2" t="s">
        <v>31</v>
      </c>
      <c r="K2638" s="2" t="s">
        <v>78</v>
      </c>
      <c r="L2638" s="2" t="s">
        <v>9</v>
      </c>
      <c r="M2638" s="2" t="s">
        <v>25</v>
      </c>
      <c r="N2638" s="2" t="s">
        <v>19</v>
      </c>
      <c r="O2638" s="2" t="s">
        <v>53</v>
      </c>
      <c r="P2638" s="2" t="s">
        <v>62</v>
      </c>
      <c r="Q2638" s="2" t="s">
        <v>37</v>
      </c>
      <c r="R2638" s="2" t="s">
        <v>18</v>
      </c>
      <c r="S2638">
        <v>3</v>
      </c>
    </row>
    <row r="2639" spans="1:19" x14ac:dyDescent="0.3">
      <c r="A2639">
        <v>2610</v>
      </c>
      <c r="B2639">
        <f>YEAR(Cleaned_HR_Data_Analysis__2[[#This Row],[Joining_Date]])</f>
        <v>2022</v>
      </c>
      <c r="C2639" s="1">
        <v>44827</v>
      </c>
      <c r="D2639" s="1" t="str" cm="1">
        <f t="array" ref="D2639">_xlfn.IFS(E2639&lt;28, "17-27",
AND(E2639&gt;27, E2639&lt;38), "28-37",
AND(E2639&gt;37, E2639 &lt;48), "38-47",
AND(E2639&gt;47, E2639 &lt;58), "48-57",
AND(E2639&gt;57, E2639&lt;68), "58-67",
AND(E2639&gt;67, E2639&lt;78), "68-77",
E2639&gt;77,"Above than 77")</f>
        <v>68-77</v>
      </c>
      <c r="E2639">
        <v>75</v>
      </c>
      <c r="F2639" s="1">
        <v>17531</v>
      </c>
      <c r="G2639" s="1" t="str">
        <f>VLOOKUP(H2639,Table7[#All], 2, FALSE)</f>
        <v>Tennessee</v>
      </c>
      <c r="H2639" s="2" t="s">
        <v>120</v>
      </c>
      <c r="I2639" s="2" t="s">
        <v>22</v>
      </c>
      <c r="J2639" s="2" t="s">
        <v>17</v>
      </c>
      <c r="K2639" s="2" t="s">
        <v>24</v>
      </c>
      <c r="L2639" s="2" t="s">
        <v>9</v>
      </c>
      <c r="M2639" s="2" t="s">
        <v>25</v>
      </c>
      <c r="N2639" s="2" t="s">
        <v>26</v>
      </c>
      <c r="O2639" s="2" t="s">
        <v>27</v>
      </c>
      <c r="P2639" s="2" t="s">
        <v>32</v>
      </c>
      <c r="Q2639" s="2" t="s">
        <v>16</v>
      </c>
      <c r="R2639" s="2" t="s">
        <v>18</v>
      </c>
      <c r="S2639">
        <v>1</v>
      </c>
    </row>
    <row r="2640" spans="1:19" x14ac:dyDescent="0.3">
      <c r="A2640">
        <v>3547</v>
      </c>
      <c r="B2640">
        <f>YEAR(Cleaned_HR_Data_Analysis__2[[#This Row],[Joining_Date]])</f>
        <v>2022</v>
      </c>
      <c r="C2640" s="1">
        <v>44581</v>
      </c>
      <c r="D2640" s="1" t="str" cm="1">
        <f t="array" ref="D2640">_xlfn.IFS(E2640&lt;28, "17-27",
AND(E2640&gt;27, E2640&lt;38), "28-37",
AND(E2640&gt;37, E2640 &lt;48), "38-47",
AND(E2640&gt;47, E2640 &lt;58), "48-57",
AND(E2640&gt;57, E2640&lt;68), "58-67",
AND(E2640&gt;67, E2640&lt;78), "68-77",
E2640&gt;77,"Above than 77")</f>
        <v>68-77</v>
      </c>
      <c r="E2640">
        <v>75</v>
      </c>
      <c r="F2640" s="1">
        <v>17251</v>
      </c>
      <c r="G2640" s="1" t="str">
        <f>VLOOKUP(H2640,Table7[#All], 2, FALSE)</f>
        <v>Kentucky</v>
      </c>
      <c r="H2640" s="2" t="s">
        <v>51</v>
      </c>
      <c r="I2640" s="2" t="s">
        <v>15</v>
      </c>
      <c r="J2640" s="2" t="s">
        <v>34</v>
      </c>
      <c r="K2640" s="2" t="s">
        <v>24</v>
      </c>
      <c r="L2640" s="2" t="s">
        <v>9</v>
      </c>
      <c r="M2640" s="2" t="s">
        <v>10</v>
      </c>
      <c r="N2640" s="2" t="s">
        <v>26</v>
      </c>
      <c r="O2640" s="2" t="s">
        <v>27</v>
      </c>
      <c r="P2640" s="2" t="s">
        <v>57</v>
      </c>
      <c r="Q2640" s="2" t="s">
        <v>30</v>
      </c>
      <c r="R2640" s="2" t="s">
        <v>56</v>
      </c>
      <c r="S2640">
        <v>4</v>
      </c>
    </row>
    <row r="2641" spans="1:19" x14ac:dyDescent="0.3">
      <c r="A2641">
        <v>3542</v>
      </c>
      <c r="B2641">
        <f>YEAR(Cleaned_HR_Data_Analysis__2[[#This Row],[Joining_Date]])</f>
        <v>2023</v>
      </c>
      <c r="C2641" s="1">
        <v>45031</v>
      </c>
      <c r="D2641" s="1" t="str" cm="1">
        <f t="array" ref="D2641">_xlfn.IFS(E2641&lt;28, "17-27",
AND(E2641&gt;27, E2641&lt;38), "28-37",
AND(E2641&gt;37, E2641 &lt;48), "38-47",
AND(E2641&gt;47, E2641 &lt;58), "48-57",
AND(E2641&gt;57, E2641&lt;68), "58-67",
AND(E2641&gt;67, E2641&lt;78), "68-77",
E2641&gt;77,"Above than 77")</f>
        <v>68-77</v>
      </c>
      <c r="E2641">
        <v>75</v>
      </c>
      <c r="F2641" s="1">
        <v>17593</v>
      </c>
      <c r="G2641" s="1" t="str">
        <f>VLOOKUP(H2641,Table7[#All], 2, FALSE)</f>
        <v>Indiana</v>
      </c>
      <c r="H2641" s="2" t="s">
        <v>47</v>
      </c>
      <c r="I2641" s="2" t="s">
        <v>22</v>
      </c>
      <c r="J2641" s="2" t="s">
        <v>34</v>
      </c>
      <c r="K2641" s="2" t="s">
        <v>24</v>
      </c>
      <c r="L2641" s="2" t="s">
        <v>9</v>
      </c>
      <c r="M2641" s="2" t="s">
        <v>10</v>
      </c>
      <c r="N2641" s="2" t="s">
        <v>19</v>
      </c>
      <c r="O2641" s="2" t="s">
        <v>27</v>
      </c>
      <c r="P2641" s="2" t="s">
        <v>35</v>
      </c>
      <c r="Q2641" s="2" t="s">
        <v>16</v>
      </c>
      <c r="R2641" s="2" t="s">
        <v>56</v>
      </c>
      <c r="S2641">
        <v>3</v>
      </c>
    </row>
    <row r="2642" spans="1:19" x14ac:dyDescent="0.3">
      <c r="A2642">
        <v>3452</v>
      </c>
      <c r="B2642">
        <f>YEAR(Cleaned_HR_Data_Analysis__2[[#This Row],[Joining_Date]])</f>
        <v>2022</v>
      </c>
      <c r="C2642" s="1">
        <v>44873</v>
      </c>
      <c r="D2642" s="1" t="str" cm="1">
        <f t="array" ref="D2642">_xlfn.IFS(E2642&lt;28, "17-27",
AND(E2642&gt;27, E2642&lt;38), "28-37",
AND(E2642&gt;37, E2642 &lt;48), "38-47",
AND(E2642&gt;47, E2642 &lt;58), "48-57",
AND(E2642&gt;57, E2642&lt;68), "58-67",
AND(E2642&gt;67, E2642&lt;78), "68-77",
E2642&gt;77,"Above than 77")</f>
        <v>68-77</v>
      </c>
      <c r="E2642">
        <v>75</v>
      </c>
      <c r="F2642" s="1">
        <v>17174</v>
      </c>
      <c r="G2642" s="1" t="str">
        <f>VLOOKUP(H2642,Table7[#All], 2, FALSE)</f>
        <v>Indiana</v>
      </c>
      <c r="H2642" s="2" t="s">
        <v>47</v>
      </c>
      <c r="I2642" s="2" t="s">
        <v>22</v>
      </c>
      <c r="J2642" s="2" t="s">
        <v>40</v>
      </c>
      <c r="K2642" s="2" t="s">
        <v>24</v>
      </c>
      <c r="L2642" s="2" t="s">
        <v>9</v>
      </c>
      <c r="M2642" s="2" t="s">
        <v>20</v>
      </c>
      <c r="N2642" s="2" t="s">
        <v>19</v>
      </c>
      <c r="O2642" s="2" t="s">
        <v>27</v>
      </c>
      <c r="P2642" s="2" t="s">
        <v>32</v>
      </c>
      <c r="Q2642" s="2" t="s">
        <v>37</v>
      </c>
      <c r="R2642" s="2" t="s">
        <v>18</v>
      </c>
      <c r="S2642">
        <v>5</v>
      </c>
    </row>
    <row r="2643" spans="1:19" x14ac:dyDescent="0.3">
      <c r="A2643">
        <v>1331</v>
      </c>
      <c r="B2643">
        <f>YEAR(Cleaned_HR_Data_Analysis__2[[#This Row],[Joining_Date]])</f>
        <v>2021</v>
      </c>
      <c r="C2643" s="1">
        <v>44419</v>
      </c>
      <c r="D2643" s="1" t="str" cm="1">
        <f t="array" ref="D2643">_xlfn.IFS(E2643&lt;28, "17-27",
AND(E2643&gt;27, E2643&lt;38), "28-37",
AND(E2643&gt;37, E2643 &lt;48), "38-47",
AND(E2643&gt;47, E2643 &lt;58), "48-57",
AND(E2643&gt;57, E2643&lt;68), "58-67",
AND(E2643&gt;67, E2643&lt;78), "68-77",
E2643&gt;77,"Above than 77")</f>
        <v>68-77</v>
      </c>
      <c r="E2643">
        <v>75</v>
      </c>
      <c r="F2643" s="1">
        <v>17095</v>
      </c>
      <c r="G2643" s="1" t="str">
        <f>VLOOKUP(H2643,Table7[#All], 2, FALSE)</f>
        <v>Massachusetts</v>
      </c>
      <c r="H2643" s="2" t="s">
        <v>14</v>
      </c>
      <c r="I2643" s="2" t="s">
        <v>15</v>
      </c>
      <c r="J2643" s="2" t="s">
        <v>17</v>
      </c>
      <c r="K2643" s="2" t="s">
        <v>96</v>
      </c>
      <c r="L2643" s="2" t="s">
        <v>9</v>
      </c>
      <c r="M2643" s="2" t="s">
        <v>25</v>
      </c>
      <c r="N2643" s="2" t="s">
        <v>11</v>
      </c>
      <c r="O2643" s="2" t="s">
        <v>90</v>
      </c>
      <c r="P2643" s="2" t="s">
        <v>62</v>
      </c>
      <c r="Q2643" s="2" t="s">
        <v>37</v>
      </c>
      <c r="R2643" s="2" t="s">
        <v>18</v>
      </c>
      <c r="S2643">
        <v>2</v>
      </c>
    </row>
    <row r="2644" spans="1:19" x14ac:dyDescent="0.3">
      <c r="A2644">
        <v>1340</v>
      </c>
      <c r="B2644">
        <f>YEAR(Cleaned_HR_Data_Analysis__2[[#This Row],[Joining_Date]])</f>
        <v>2021</v>
      </c>
      <c r="C2644" s="1">
        <v>44276</v>
      </c>
      <c r="D2644" s="1" t="str" cm="1">
        <f t="array" ref="D2644">_xlfn.IFS(E2644&lt;28, "17-27",
AND(E2644&gt;27, E2644&lt;38), "28-37",
AND(E2644&gt;37, E2644 &lt;48), "38-47",
AND(E2644&gt;47, E2644 &lt;58), "48-57",
AND(E2644&gt;57, E2644&lt;68), "58-67",
AND(E2644&gt;67, E2644&lt;78), "68-77",
E2644&gt;77,"Above than 77")</f>
        <v>68-77</v>
      </c>
      <c r="E2644">
        <v>76</v>
      </c>
      <c r="F2644" s="1">
        <v>16518</v>
      </c>
      <c r="G2644" s="1" t="str">
        <f>VLOOKUP(H2644,Table7[#All], 2, FALSE)</f>
        <v>Massachusetts</v>
      </c>
      <c r="H2644" s="2" t="s">
        <v>14</v>
      </c>
      <c r="I2644" s="2" t="s">
        <v>22</v>
      </c>
      <c r="J2644" s="2" t="s">
        <v>40</v>
      </c>
      <c r="K2644" s="2" t="s">
        <v>72</v>
      </c>
      <c r="L2644" s="2" t="s">
        <v>9</v>
      </c>
      <c r="M2644" s="2" t="s">
        <v>25</v>
      </c>
      <c r="N2644" s="2" t="s">
        <v>26</v>
      </c>
      <c r="O2644" s="2" t="s">
        <v>53</v>
      </c>
      <c r="P2644" s="2" t="s">
        <v>38</v>
      </c>
      <c r="Q2644" s="2" t="s">
        <v>16</v>
      </c>
      <c r="R2644" s="2" t="s">
        <v>18</v>
      </c>
      <c r="S2644">
        <v>4</v>
      </c>
    </row>
    <row r="2645" spans="1:19" x14ac:dyDescent="0.3">
      <c r="A2645">
        <v>1063</v>
      </c>
      <c r="B2645">
        <f>YEAR(Cleaned_HR_Data_Analysis__2[[#This Row],[Joining_Date]])</f>
        <v>2021</v>
      </c>
      <c r="C2645" s="1">
        <v>44369</v>
      </c>
      <c r="D2645" s="1" t="str" cm="1">
        <f t="array" ref="D2645">_xlfn.IFS(E2645&lt;28, "17-27",
AND(E2645&gt;27, E2645&lt;38), "28-37",
AND(E2645&gt;37, E2645 &lt;48), "38-47",
AND(E2645&gt;47, E2645 &lt;58), "48-57",
AND(E2645&gt;57, E2645&lt;68), "58-67",
AND(E2645&gt;67, E2645&lt;78), "68-77",
E2645&gt;77,"Above than 77")</f>
        <v>68-77</v>
      </c>
      <c r="E2645">
        <v>76</v>
      </c>
      <c r="F2645" s="1">
        <v>16546</v>
      </c>
      <c r="G2645" s="1" t="str">
        <f>VLOOKUP(H2645,Table7[#All], 2, FALSE)</f>
        <v>Massachusetts</v>
      </c>
      <c r="H2645" s="2" t="s">
        <v>14</v>
      </c>
      <c r="I2645" s="2" t="s">
        <v>15</v>
      </c>
      <c r="J2645" s="2" t="s">
        <v>31</v>
      </c>
      <c r="K2645" s="2" t="s">
        <v>86</v>
      </c>
      <c r="L2645" s="2" t="s">
        <v>9</v>
      </c>
      <c r="M2645" s="2" t="s">
        <v>25</v>
      </c>
      <c r="N2645" s="2" t="s">
        <v>26</v>
      </c>
      <c r="O2645" s="2" t="s">
        <v>87</v>
      </c>
      <c r="P2645" s="2" t="s">
        <v>21</v>
      </c>
      <c r="Q2645" s="2" t="s">
        <v>37</v>
      </c>
      <c r="R2645" s="2" t="s">
        <v>18</v>
      </c>
      <c r="S2645">
        <v>2</v>
      </c>
    </row>
    <row r="2646" spans="1:19" x14ac:dyDescent="0.3">
      <c r="A2646">
        <v>1668</v>
      </c>
      <c r="B2646">
        <f>YEAR(Cleaned_HR_Data_Analysis__2[[#This Row],[Joining_Date]])</f>
        <v>2023</v>
      </c>
      <c r="C2646" s="1">
        <v>45117</v>
      </c>
      <c r="D2646" s="1" t="str" cm="1">
        <f t="array" ref="D2646">_xlfn.IFS(E2646&lt;28, "17-27",
AND(E2646&gt;27, E2646&lt;38), "28-37",
AND(E2646&gt;37, E2646 &lt;48), "38-47",
AND(E2646&gt;47, E2646 &lt;58), "48-57",
AND(E2646&gt;57, E2646&lt;68), "58-67",
AND(E2646&gt;67, E2646&lt;78), "68-77",
E2646&gt;77,"Above than 77")</f>
        <v>68-77</v>
      </c>
      <c r="E2646">
        <v>76</v>
      </c>
      <c r="F2646" s="1">
        <v>17417</v>
      </c>
      <c r="G2646" s="1" t="str">
        <f>VLOOKUP(H2646,Table7[#All], 2, FALSE)</f>
        <v>Massachusetts</v>
      </c>
      <c r="H2646" s="2" t="s">
        <v>14</v>
      </c>
      <c r="I2646" s="2" t="s">
        <v>22</v>
      </c>
      <c r="J2646" s="2" t="s">
        <v>31</v>
      </c>
      <c r="K2646" s="2" t="s">
        <v>89</v>
      </c>
      <c r="L2646" s="2" t="s">
        <v>9</v>
      </c>
      <c r="M2646" s="2" t="s">
        <v>20</v>
      </c>
      <c r="N2646" s="2" t="s">
        <v>11</v>
      </c>
      <c r="O2646" s="2" t="s">
        <v>90</v>
      </c>
      <c r="P2646" s="2" t="s">
        <v>21</v>
      </c>
      <c r="Q2646" s="2" t="s">
        <v>37</v>
      </c>
      <c r="R2646" s="2" t="s">
        <v>18</v>
      </c>
      <c r="S2646">
        <v>1</v>
      </c>
    </row>
    <row r="2647" spans="1:19" x14ac:dyDescent="0.3">
      <c r="A2647">
        <v>3766</v>
      </c>
      <c r="B2647">
        <f>YEAR(Cleaned_HR_Data_Analysis__2[[#This Row],[Joining_Date]])</f>
        <v>2019</v>
      </c>
      <c r="C2647" s="1">
        <v>43498</v>
      </c>
      <c r="D2647" s="1" t="str" cm="1">
        <f t="array" ref="D2647">_xlfn.IFS(E2647&lt;28, "17-27",
AND(E2647&gt;27, E2647&lt;38), "28-37",
AND(E2647&gt;37, E2647 &lt;48), "38-47",
AND(E2647&gt;47, E2647 &lt;58), "48-57",
AND(E2647&gt;57, E2647&lt;68), "58-67",
AND(E2647&gt;67, E2647&lt;78), "68-77",
E2647&gt;77,"Above than 77")</f>
        <v>68-77</v>
      </c>
      <c r="E2647">
        <v>76</v>
      </c>
      <c r="F2647" s="1">
        <v>15775</v>
      </c>
      <c r="G2647" s="1" t="str">
        <f>VLOOKUP(H2647,Table7[#All], 2, FALSE)</f>
        <v>Massachusetts</v>
      </c>
      <c r="H2647" s="2" t="s">
        <v>14</v>
      </c>
      <c r="I2647" s="2" t="s">
        <v>15</v>
      </c>
      <c r="J2647" s="2" t="s">
        <v>17</v>
      </c>
      <c r="K2647" s="2" t="s">
        <v>64</v>
      </c>
      <c r="L2647" s="2" t="s">
        <v>9</v>
      </c>
      <c r="M2647" s="2" t="s">
        <v>20</v>
      </c>
      <c r="N2647" s="2" t="s">
        <v>19</v>
      </c>
      <c r="O2647" s="2" t="s">
        <v>12</v>
      </c>
      <c r="P2647" s="2" t="s">
        <v>63</v>
      </c>
      <c r="Q2647" s="2" t="s">
        <v>37</v>
      </c>
      <c r="R2647" s="2" t="s">
        <v>18</v>
      </c>
      <c r="S2647">
        <v>4</v>
      </c>
    </row>
    <row r="2648" spans="1:19" x14ac:dyDescent="0.3">
      <c r="A2648">
        <v>3278</v>
      </c>
      <c r="B2648">
        <f>YEAR(Cleaned_HR_Data_Analysis__2[[#This Row],[Joining_Date]])</f>
        <v>2020</v>
      </c>
      <c r="C2648" s="1">
        <v>44082</v>
      </c>
      <c r="D2648" s="1" t="str" cm="1">
        <f t="array" ref="D2648">_xlfn.IFS(E2648&lt;28, "17-27",
AND(E2648&gt;27, E2648&lt;38), "28-37",
AND(E2648&gt;37, E2648 &lt;48), "38-47",
AND(E2648&gt;47, E2648 &lt;58), "48-57",
AND(E2648&gt;57, E2648&lt;68), "58-67",
AND(E2648&gt;67, E2648&lt;78), "68-77",
E2648&gt;77,"Above than 77")</f>
        <v>68-77</v>
      </c>
      <c r="E2648">
        <v>76</v>
      </c>
      <c r="F2648" s="1">
        <v>16391</v>
      </c>
      <c r="G2648" s="1" t="str">
        <f>VLOOKUP(H2648,Table7[#All], 2, FALSE)</f>
        <v>Massachusetts</v>
      </c>
      <c r="H2648" s="2" t="s">
        <v>14</v>
      </c>
      <c r="I2648" s="2" t="s">
        <v>15</v>
      </c>
      <c r="J2648" s="2" t="s">
        <v>34</v>
      </c>
      <c r="K2648" s="2" t="s">
        <v>64</v>
      </c>
      <c r="L2648" s="2" t="s">
        <v>9</v>
      </c>
      <c r="M2648" s="2" t="s">
        <v>10</v>
      </c>
      <c r="N2648" s="2" t="s">
        <v>19</v>
      </c>
      <c r="O2648" s="2" t="s">
        <v>12</v>
      </c>
      <c r="P2648" s="2" t="s">
        <v>35</v>
      </c>
      <c r="Q2648" s="2" t="s">
        <v>37</v>
      </c>
      <c r="R2648" s="2" t="s">
        <v>18</v>
      </c>
      <c r="S2648">
        <v>4</v>
      </c>
    </row>
    <row r="2649" spans="1:19" x14ac:dyDescent="0.3">
      <c r="A2649">
        <v>3259</v>
      </c>
      <c r="B2649">
        <f>YEAR(Cleaned_HR_Data_Analysis__2[[#This Row],[Joining_Date]])</f>
        <v>2022</v>
      </c>
      <c r="C2649" s="1">
        <v>44690</v>
      </c>
      <c r="D2649" s="1" t="str" cm="1">
        <f t="array" ref="D2649">_xlfn.IFS(E2649&lt;28, "17-27",
AND(E2649&gt;27, E2649&lt;38), "28-37",
AND(E2649&gt;37, E2649 &lt;48), "38-47",
AND(E2649&gt;47, E2649 &lt;58), "48-57",
AND(E2649&gt;57, E2649&lt;68), "58-67",
AND(E2649&gt;67, E2649&lt;78), "68-77",
E2649&gt;77,"Above than 77")</f>
        <v>68-77</v>
      </c>
      <c r="E2649">
        <v>76</v>
      </c>
      <c r="F2649" s="1">
        <v>17131</v>
      </c>
      <c r="G2649" s="1" t="str">
        <f>VLOOKUP(H2649,Table7[#All], 2, FALSE)</f>
        <v>Massachusetts</v>
      </c>
      <c r="H2649" s="2" t="s">
        <v>14</v>
      </c>
      <c r="I2649" s="2" t="s">
        <v>22</v>
      </c>
      <c r="J2649" s="2" t="s">
        <v>31</v>
      </c>
      <c r="K2649" s="2" t="s">
        <v>64</v>
      </c>
      <c r="L2649" s="2" t="s">
        <v>66</v>
      </c>
      <c r="M2649" s="2" t="s">
        <v>25</v>
      </c>
      <c r="N2649" s="2" t="s">
        <v>26</v>
      </c>
      <c r="O2649" s="2" t="s">
        <v>12</v>
      </c>
      <c r="P2649" s="2" t="s">
        <v>35</v>
      </c>
      <c r="Q2649" s="2" t="s">
        <v>23</v>
      </c>
      <c r="R2649" s="2" t="s">
        <v>18</v>
      </c>
      <c r="S2649">
        <v>2</v>
      </c>
    </row>
    <row r="2650" spans="1:19" x14ac:dyDescent="0.3">
      <c r="A2650">
        <v>2951</v>
      </c>
      <c r="B2650">
        <f>YEAR(Cleaned_HR_Data_Analysis__2[[#This Row],[Joining_Date]])</f>
        <v>2019</v>
      </c>
      <c r="C2650" s="1">
        <v>43611</v>
      </c>
      <c r="D2650" s="1" t="str" cm="1">
        <f t="array" ref="D2650">_xlfn.IFS(E2650&lt;28, "17-27",
AND(E2650&gt;27, E2650&lt;38), "28-37",
AND(E2650&gt;37, E2650 &lt;48), "38-47",
AND(E2650&gt;47, E2650 &lt;58), "48-57",
AND(E2650&gt;57, E2650&lt;68), "58-67",
AND(E2650&gt;67, E2650&lt;78), "68-77",
E2650&gt;77,"Above than 77")</f>
        <v>68-77</v>
      </c>
      <c r="E2650">
        <v>76</v>
      </c>
      <c r="F2650" s="1">
        <v>15984</v>
      </c>
      <c r="G2650" s="1" t="str">
        <f>VLOOKUP(H2650,Table7[#All], 2, FALSE)</f>
        <v>Massachusetts</v>
      </c>
      <c r="H2650" s="2" t="s">
        <v>14</v>
      </c>
      <c r="I2650" s="2" t="s">
        <v>15</v>
      </c>
      <c r="J2650" s="2" t="s">
        <v>17</v>
      </c>
      <c r="K2650" s="2" t="s">
        <v>64</v>
      </c>
      <c r="L2650" s="2" t="s">
        <v>9</v>
      </c>
      <c r="M2650" s="2" t="s">
        <v>25</v>
      </c>
      <c r="N2650" s="2" t="s">
        <v>11</v>
      </c>
      <c r="O2650" s="2" t="s">
        <v>12</v>
      </c>
      <c r="P2650" s="2" t="s">
        <v>32</v>
      </c>
      <c r="Q2650" s="2" t="s">
        <v>37</v>
      </c>
      <c r="R2650" s="2" t="s">
        <v>18</v>
      </c>
      <c r="S2650">
        <v>1</v>
      </c>
    </row>
    <row r="2651" spans="1:19" x14ac:dyDescent="0.3">
      <c r="A2651">
        <v>2910</v>
      </c>
      <c r="B2651">
        <f>YEAR(Cleaned_HR_Data_Analysis__2[[#This Row],[Joining_Date]])</f>
        <v>2022</v>
      </c>
      <c r="C2651" s="1">
        <v>44682</v>
      </c>
      <c r="D2651" s="1" t="str" cm="1">
        <f t="array" ref="D2651">_xlfn.IFS(E2651&lt;28, "17-27",
AND(E2651&gt;27, E2651&lt;38), "28-37",
AND(E2651&gt;37, E2651 &lt;48), "38-47",
AND(E2651&gt;47, E2651 &lt;58), "48-57",
AND(E2651&gt;57, E2651&lt;68), "58-67",
AND(E2651&gt;67, E2651&lt;78), "68-77",
E2651&gt;77,"Above than 77")</f>
        <v>68-77</v>
      </c>
      <c r="E2651">
        <v>76</v>
      </c>
      <c r="F2651" s="1">
        <v>16812</v>
      </c>
      <c r="G2651" s="1" t="str">
        <f>VLOOKUP(H2651,Table7[#All], 2, FALSE)</f>
        <v>Massachusetts</v>
      </c>
      <c r="H2651" s="2" t="s">
        <v>14</v>
      </c>
      <c r="I2651" s="2" t="s">
        <v>15</v>
      </c>
      <c r="J2651" s="2" t="s">
        <v>40</v>
      </c>
      <c r="K2651" s="2" t="s">
        <v>64</v>
      </c>
      <c r="L2651" s="2" t="s">
        <v>9</v>
      </c>
      <c r="M2651" s="2" t="s">
        <v>20</v>
      </c>
      <c r="N2651" s="2" t="s">
        <v>19</v>
      </c>
      <c r="O2651" s="2" t="s">
        <v>12</v>
      </c>
      <c r="P2651" s="2" t="s">
        <v>35</v>
      </c>
      <c r="Q2651" s="2" t="s">
        <v>16</v>
      </c>
      <c r="R2651" s="2" t="s">
        <v>41</v>
      </c>
      <c r="S2651">
        <v>1</v>
      </c>
    </row>
    <row r="2652" spans="1:19" x14ac:dyDescent="0.3">
      <c r="A2652">
        <v>1148</v>
      </c>
      <c r="B2652">
        <f>YEAR(Cleaned_HR_Data_Analysis__2[[#This Row],[Joining_Date]])</f>
        <v>2019</v>
      </c>
      <c r="C2652" s="1">
        <v>43510</v>
      </c>
      <c r="D2652" s="1" t="str" cm="1">
        <f t="array" ref="D2652">_xlfn.IFS(E2652&lt;28, "17-27",
AND(E2652&gt;27, E2652&lt;38), "28-37",
AND(E2652&gt;37, E2652 &lt;48), "38-47",
AND(E2652&gt;47, E2652 &lt;58), "48-57",
AND(E2652&gt;57, E2652&lt;68), "58-67",
AND(E2652&gt;67, E2652&lt;78), "68-77",
E2652&gt;77,"Above than 77")</f>
        <v>68-77</v>
      </c>
      <c r="E2652">
        <v>76</v>
      </c>
      <c r="F2652" s="1">
        <v>15879</v>
      </c>
      <c r="G2652" s="1" t="str">
        <f>VLOOKUP(H2652,Table7[#All], 2, FALSE)</f>
        <v>Massachusetts</v>
      </c>
      <c r="H2652" s="2" t="s">
        <v>14</v>
      </c>
      <c r="I2652" s="2" t="s">
        <v>15</v>
      </c>
      <c r="J2652" s="2" t="s">
        <v>34</v>
      </c>
      <c r="K2652" s="2" t="s">
        <v>64</v>
      </c>
      <c r="L2652" s="2" t="s">
        <v>9</v>
      </c>
      <c r="M2652" s="2" t="s">
        <v>20</v>
      </c>
      <c r="N2652" s="2" t="s">
        <v>19</v>
      </c>
      <c r="O2652" s="2" t="s">
        <v>12</v>
      </c>
      <c r="P2652" s="2" t="s">
        <v>59</v>
      </c>
      <c r="Q2652" s="2" t="s">
        <v>37</v>
      </c>
      <c r="R2652" s="2" t="s">
        <v>18</v>
      </c>
      <c r="S2652">
        <v>1</v>
      </c>
    </row>
    <row r="2653" spans="1:19" x14ac:dyDescent="0.3">
      <c r="A2653">
        <v>1147</v>
      </c>
      <c r="B2653">
        <f>YEAR(Cleaned_HR_Data_Analysis__2[[#This Row],[Joining_Date]])</f>
        <v>2019</v>
      </c>
      <c r="C2653" s="1">
        <v>43627</v>
      </c>
      <c r="D2653" s="1" t="str" cm="1">
        <f t="array" ref="D2653">_xlfn.IFS(E2653&lt;28, "17-27",
AND(E2653&gt;27, E2653&lt;38), "28-37",
AND(E2653&gt;37, E2653 &lt;48), "38-47",
AND(E2653&gt;47, E2653 &lt;58), "48-57",
AND(E2653&gt;57, E2653&lt;68), "58-67",
AND(E2653&gt;67, E2653&lt;78), "68-77",
E2653&gt;77,"Above than 77")</f>
        <v>68-77</v>
      </c>
      <c r="E2653">
        <v>76</v>
      </c>
      <c r="F2653" s="1">
        <v>15979</v>
      </c>
      <c r="G2653" s="1" t="str">
        <f>VLOOKUP(H2653,Table7[#All], 2, FALSE)</f>
        <v>Massachusetts</v>
      </c>
      <c r="H2653" s="2" t="s">
        <v>14</v>
      </c>
      <c r="I2653" s="2" t="s">
        <v>15</v>
      </c>
      <c r="J2653" s="2" t="s">
        <v>31</v>
      </c>
      <c r="K2653" s="2" t="s">
        <v>64</v>
      </c>
      <c r="L2653" s="2" t="s">
        <v>66</v>
      </c>
      <c r="M2653" s="2" t="s">
        <v>25</v>
      </c>
      <c r="N2653" s="2" t="s">
        <v>26</v>
      </c>
      <c r="O2653" s="2" t="s">
        <v>12</v>
      </c>
      <c r="P2653" s="2" t="s">
        <v>32</v>
      </c>
      <c r="Q2653" s="2" t="s">
        <v>37</v>
      </c>
      <c r="R2653" s="2" t="s">
        <v>18</v>
      </c>
      <c r="S2653">
        <v>3</v>
      </c>
    </row>
    <row r="2654" spans="1:19" x14ac:dyDescent="0.3">
      <c r="A2654">
        <v>3758</v>
      </c>
      <c r="B2654">
        <f>YEAR(Cleaned_HR_Data_Analysis__2[[#This Row],[Joining_Date]])</f>
        <v>2022</v>
      </c>
      <c r="C2654" s="1">
        <v>44881</v>
      </c>
      <c r="D2654" s="1" t="str" cm="1">
        <f t="array" ref="D2654">_xlfn.IFS(E2654&lt;28, "17-27",
AND(E2654&gt;27, E2654&lt;38), "28-37",
AND(E2654&gt;37, E2654 &lt;48), "38-47",
AND(E2654&gt;47, E2654 &lt;58), "48-57",
AND(E2654&gt;57, E2654&lt;68), "58-67",
AND(E2654&gt;67, E2654&lt;78), "68-77",
E2654&gt;77,"Above than 77")</f>
        <v>68-77</v>
      </c>
      <c r="E2654">
        <v>76</v>
      </c>
      <c r="F2654" s="1">
        <v>17156</v>
      </c>
      <c r="G2654" s="1" t="str">
        <f>VLOOKUP(H2654,Table7[#All], 2, FALSE)</f>
        <v>Massachusetts</v>
      </c>
      <c r="H2654" s="2" t="s">
        <v>14</v>
      </c>
      <c r="I2654" s="2" t="s">
        <v>22</v>
      </c>
      <c r="J2654" s="2" t="s">
        <v>40</v>
      </c>
      <c r="K2654" s="2" t="s">
        <v>8</v>
      </c>
      <c r="L2654" s="2" t="s">
        <v>66</v>
      </c>
      <c r="M2654" s="2" t="s">
        <v>10</v>
      </c>
      <c r="N2654" s="2" t="s">
        <v>19</v>
      </c>
      <c r="O2654" s="2" t="s">
        <v>12</v>
      </c>
      <c r="P2654" s="2" t="s">
        <v>42</v>
      </c>
      <c r="Q2654" s="2" t="s">
        <v>30</v>
      </c>
      <c r="R2654" s="2" t="s">
        <v>18</v>
      </c>
      <c r="S2654">
        <v>1</v>
      </c>
    </row>
    <row r="2655" spans="1:19" x14ac:dyDescent="0.3">
      <c r="A2655">
        <v>3727</v>
      </c>
      <c r="B2655">
        <f>YEAR(Cleaned_HR_Data_Analysis__2[[#This Row],[Joining_Date]])</f>
        <v>2021</v>
      </c>
      <c r="C2655" s="1">
        <v>44434</v>
      </c>
      <c r="D2655" s="1" t="str" cm="1">
        <f t="array" ref="D2655">_xlfn.IFS(E2655&lt;28, "17-27",
AND(E2655&gt;27, E2655&lt;38), "28-37",
AND(E2655&gt;37, E2655 &lt;48), "38-47",
AND(E2655&gt;47, E2655 &lt;58), "48-57",
AND(E2655&gt;57, E2655&lt;68), "58-67",
AND(E2655&gt;67, E2655&lt;78), "68-77",
E2655&gt;77,"Above than 77")</f>
        <v>68-77</v>
      </c>
      <c r="E2655">
        <v>76</v>
      </c>
      <c r="F2655" s="1">
        <v>16452</v>
      </c>
      <c r="G2655" s="1" t="str">
        <f>VLOOKUP(H2655,Table7[#All], 2, FALSE)</f>
        <v>Massachusetts</v>
      </c>
      <c r="H2655" s="2" t="s">
        <v>14</v>
      </c>
      <c r="I2655" s="2" t="s">
        <v>15</v>
      </c>
      <c r="J2655" s="2" t="s">
        <v>40</v>
      </c>
      <c r="K2655" s="2" t="s">
        <v>8</v>
      </c>
      <c r="L2655" s="2" t="s">
        <v>9</v>
      </c>
      <c r="M2655" s="2" t="s">
        <v>20</v>
      </c>
      <c r="N2655" s="2" t="s">
        <v>11</v>
      </c>
      <c r="O2655" s="2" t="s">
        <v>12</v>
      </c>
      <c r="P2655" s="2" t="s">
        <v>35</v>
      </c>
      <c r="Q2655" s="2" t="s">
        <v>30</v>
      </c>
      <c r="R2655" s="2" t="s">
        <v>18</v>
      </c>
      <c r="S2655">
        <v>2</v>
      </c>
    </row>
    <row r="2656" spans="1:19" x14ac:dyDescent="0.3">
      <c r="A2656">
        <v>3605</v>
      </c>
      <c r="B2656">
        <f>YEAR(Cleaned_HR_Data_Analysis__2[[#This Row],[Joining_Date]])</f>
        <v>2019</v>
      </c>
      <c r="C2656" s="1">
        <v>43726</v>
      </c>
      <c r="D2656" s="1" t="str" cm="1">
        <f t="array" ref="D2656">_xlfn.IFS(E2656&lt;28, "17-27",
AND(E2656&gt;27, E2656&lt;38), "28-37",
AND(E2656&gt;37, E2656 &lt;48), "38-47",
AND(E2656&gt;47, E2656 &lt;58), "48-57",
AND(E2656&gt;57, E2656&lt;68), "58-67",
AND(E2656&gt;67, E2656&lt;78), "68-77",
E2656&gt;77,"Above than 77")</f>
        <v>68-77</v>
      </c>
      <c r="E2656">
        <v>76</v>
      </c>
      <c r="F2656" s="1">
        <v>15943</v>
      </c>
      <c r="G2656" s="1" t="str">
        <f>VLOOKUP(H2656,Table7[#All], 2, FALSE)</f>
        <v>Massachusetts</v>
      </c>
      <c r="H2656" s="2" t="s">
        <v>14</v>
      </c>
      <c r="I2656" s="2" t="s">
        <v>22</v>
      </c>
      <c r="J2656" s="2" t="s">
        <v>40</v>
      </c>
      <c r="K2656" s="2" t="s">
        <v>8</v>
      </c>
      <c r="L2656" s="2" t="s">
        <v>9</v>
      </c>
      <c r="M2656" s="2" t="s">
        <v>10</v>
      </c>
      <c r="N2656" s="2" t="s">
        <v>11</v>
      </c>
      <c r="O2656" s="2" t="s">
        <v>12</v>
      </c>
      <c r="P2656" s="2" t="s">
        <v>42</v>
      </c>
      <c r="Q2656" s="2" t="s">
        <v>30</v>
      </c>
      <c r="R2656" s="2" t="s">
        <v>18</v>
      </c>
      <c r="S2656">
        <v>1</v>
      </c>
    </row>
    <row r="2657" spans="1:19" x14ac:dyDescent="0.3">
      <c r="A2657">
        <v>3420</v>
      </c>
      <c r="B2657">
        <f>YEAR(Cleaned_HR_Data_Analysis__2[[#This Row],[Joining_Date]])</f>
        <v>2020</v>
      </c>
      <c r="C2657" s="1">
        <v>44114</v>
      </c>
      <c r="D2657" s="1" t="str" cm="1">
        <f t="array" ref="D2657">_xlfn.IFS(E2657&lt;28, "17-27",
AND(E2657&gt;27, E2657&lt;38), "28-37",
AND(E2657&gt;37, E2657 &lt;48), "38-47",
AND(E2657&gt;47, E2657 &lt;58), "48-57",
AND(E2657&gt;57, E2657&lt;68), "58-67",
AND(E2657&gt;67, E2657&lt;78), "68-77",
E2657&gt;77,"Above than 77")</f>
        <v>68-77</v>
      </c>
      <c r="E2657">
        <v>76</v>
      </c>
      <c r="F2657" s="1">
        <v>16294</v>
      </c>
      <c r="G2657" s="1" t="str">
        <f>VLOOKUP(H2657,Table7[#All], 2, FALSE)</f>
        <v>Massachusetts</v>
      </c>
      <c r="H2657" s="2" t="s">
        <v>14</v>
      </c>
      <c r="I2657" s="2" t="s">
        <v>15</v>
      </c>
      <c r="J2657" s="2" t="s">
        <v>34</v>
      </c>
      <c r="K2657" s="2" t="s">
        <v>8</v>
      </c>
      <c r="L2657" s="2" t="s">
        <v>9</v>
      </c>
      <c r="M2657" s="2" t="s">
        <v>10</v>
      </c>
      <c r="N2657" s="2" t="s">
        <v>19</v>
      </c>
      <c r="O2657" s="2" t="s">
        <v>12</v>
      </c>
      <c r="P2657" s="2" t="s">
        <v>35</v>
      </c>
      <c r="Q2657" s="2" t="s">
        <v>30</v>
      </c>
      <c r="R2657" s="2" t="s">
        <v>18</v>
      </c>
      <c r="S2657">
        <v>3</v>
      </c>
    </row>
    <row r="2658" spans="1:19" x14ac:dyDescent="0.3">
      <c r="A2658">
        <v>3393</v>
      </c>
      <c r="B2658">
        <f>YEAR(Cleaned_HR_Data_Analysis__2[[#This Row],[Joining_Date]])</f>
        <v>2018</v>
      </c>
      <c r="C2658" s="1">
        <v>43337</v>
      </c>
      <c r="D2658" s="1" t="str" cm="1">
        <f t="array" ref="D2658">_xlfn.IFS(E2658&lt;28, "17-27",
AND(E2658&gt;27, E2658&lt;38), "28-37",
AND(E2658&gt;37, E2658 &lt;48), "38-47",
AND(E2658&gt;47, E2658 &lt;58), "48-57",
AND(E2658&gt;57, E2658&lt;68), "58-67",
AND(E2658&gt;67, E2658&lt;78), "68-77",
E2658&gt;77,"Above than 77")</f>
        <v>68-77</v>
      </c>
      <c r="E2658">
        <v>76</v>
      </c>
      <c r="F2658" s="1">
        <v>15496</v>
      </c>
      <c r="G2658" s="1" t="str">
        <f>VLOOKUP(H2658,Table7[#All], 2, FALSE)</f>
        <v>Massachusetts</v>
      </c>
      <c r="H2658" s="2" t="s">
        <v>14</v>
      </c>
      <c r="I2658" s="2" t="s">
        <v>15</v>
      </c>
      <c r="J2658" s="2" t="s">
        <v>34</v>
      </c>
      <c r="K2658" s="2" t="s">
        <v>8</v>
      </c>
      <c r="L2658" s="2" t="s">
        <v>9</v>
      </c>
      <c r="M2658" s="2" t="s">
        <v>10</v>
      </c>
      <c r="N2658" s="2" t="s">
        <v>26</v>
      </c>
      <c r="O2658" s="2" t="s">
        <v>12</v>
      </c>
      <c r="P2658" s="2" t="s">
        <v>32</v>
      </c>
      <c r="Q2658" s="2" t="s">
        <v>23</v>
      </c>
      <c r="R2658" s="2" t="s">
        <v>56</v>
      </c>
      <c r="S2658">
        <v>4</v>
      </c>
    </row>
    <row r="2659" spans="1:19" x14ac:dyDescent="0.3">
      <c r="A2659">
        <v>3175</v>
      </c>
      <c r="B2659">
        <f>YEAR(Cleaned_HR_Data_Analysis__2[[#This Row],[Joining_Date]])</f>
        <v>2023</v>
      </c>
      <c r="C2659" s="1">
        <v>45130</v>
      </c>
      <c r="D2659" s="1" t="str" cm="1">
        <f t="array" ref="D2659">_xlfn.IFS(E2659&lt;28, "17-27",
AND(E2659&gt;27, E2659&lt;38), "28-37",
AND(E2659&gt;37, E2659 &lt;48), "38-47",
AND(E2659&gt;47, E2659 &lt;58), "48-57",
AND(E2659&gt;57, E2659&lt;68), "58-67",
AND(E2659&gt;67, E2659&lt;78), "68-77",
E2659&gt;77,"Above than 77")</f>
        <v>68-77</v>
      </c>
      <c r="E2659">
        <v>76</v>
      </c>
      <c r="F2659" s="1">
        <v>17359</v>
      </c>
      <c r="G2659" s="1" t="str">
        <f>VLOOKUP(H2659,Table7[#All], 2, FALSE)</f>
        <v>Massachusetts</v>
      </c>
      <c r="H2659" s="2" t="s">
        <v>14</v>
      </c>
      <c r="I2659" s="2" t="s">
        <v>15</v>
      </c>
      <c r="J2659" s="2" t="s">
        <v>31</v>
      </c>
      <c r="K2659" s="2" t="s">
        <v>8</v>
      </c>
      <c r="L2659" s="2" t="s">
        <v>9</v>
      </c>
      <c r="M2659" s="2" t="s">
        <v>25</v>
      </c>
      <c r="N2659" s="2" t="s">
        <v>26</v>
      </c>
      <c r="O2659" s="2" t="s">
        <v>12</v>
      </c>
      <c r="P2659" s="2" t="s">
        <v>55</v>
      </c>
      <c r="Q2659" s="2" t="s">
        <v>46</v>
      </c>
      <c r="R2659" s="2" t="s">
        <v>18</v>
      </c>
      <c r="S2659">
        <v>4</v>
      </c>
    </row>
    <row r="2660" spans="1:19" x14ac:dyDescent="0.3">
      <c r="A2660">
        <v>3167</v>
      </c>
      <c r="B2660">
        <f>YEAR(Cleaned_HR_Data_Analysis__2[[#This Row],[Joining_Date]])</f>
        <v>2019</v>
      </c>
      <c r="C2660" s="1">
        <v>43635</v>
      </c>
      <c r="D2660" s="1" t="str" cm="1">
        <f t="array" ref="D2660">_xlfn.IFS(E2660&lt;28, "17-27",
AND(E2660&gt;27, E2660&lt;38), "28-37",
AND(E2660&gt;37, E2660 &lt;48), "38-47",
AND(E2660&gt;47, E2660 &lt;58), "48-57",
AND(E2660&gt;57, E2660&lt;68), "58-67",
AND(E2660&gt;67, E2660&lt;78), "68-77",
E2660&gt;77,"Above than 77")</f>
        <v>68-77</v>
      </c>
      <c r="E2660">
        <v>76</v>
      </c>
      <c r="F2660" s="1">
        <v>15968</v>
      </c>
      <c r="G2660" s="1" t="str">
        <f>VLOOKUP(H2660,Table7[#All], 2, FALSE)</f>
        <v>Massachusetts</v>
      </c>
      <c r="H2660" s="2" t="s">
        <v>14</v>
      </c>
      <c r="I2660" s="2" t="s">
        <v>22</v>
      </c>
      <c r="J2660" s="2" t="s">
        <v>40</v>
      </c>
      <c r="K2660" s="2" t="s">
        <v>8</v>
      </c>
      <c r="L2660" s="2" t="s">
        <v>9</v>
      </c>
      <c r="M2660" s="2" t="s">
        <v>25</v>
      </c>
      <c r="N2660" s="2" t="s">
        <v>26</v>
      </c>
      <c r="O2660" s="2" t="s">
        <v>12</v>
      </c>
      <c r="P2660" s="2" t="s">
        <v>49</v>
      </c>
      <c r="Q2660" s="2" t="s">
        <v>30</v>
      </c>
      <c r="R2660" s="2" t="s">
        <v>41</v>
      </c>
      <c r="S2660">
        <v>2</v>
      </c>
    </row>
    <row r="2661" spans="1:19" x14ac:dyDescent="0.3">
      <c r="A2661">
        <v>3108</v>
      </c>
      <c r="B2661">
        <f>YEAR(Cleaned_HR_Data_Analysis__2[[#This Row],[Joining_Date]])</f>
        <v>2021</v>
      </c>
      <c r="C2661" s="1">
        <v>44491</v>
      </c>
      <c r="D2661" s="1" t="str" cm="1">
        <f t="array" ref="D2661">_xlfn.IFS(E2661&lt;28, "17-27",
AND(E2661&gt;27, E2661&lt;38), "28-37",
AND(E2661&gt;37, E2661 &lt;48), "38-47",
AND(E2661&gt;47, E2661 &lt;58), "48-57",
AND(E2661&gt;57, E2661&lt;68), "58-67",
AND(E2661&gt;67, E2661&lt;78), "68-77",
E2661&gt;77,"Above than 77")</f>
        <v>68-77</v>
      </c>
      <c r="E2661">
        <v>76</v>
      </c>
      <c r="F2661" s="1">
        <v>16623</v>
      </c>
      <c r="G2661" s="1" t="str">
        <f>VLOOKUP(H2661,Table7[#All], 2, FALSE)</f>
        <v>Massachusetts</v>
      </c>
      <c r="H2661" s="2" t="s">
        <v>14</v>
      </c>
      <c r="I2661" s="2" t="s">
        <v>15</v>
      </c>
      <c r="J2661" s="2" t="s">
        <v>34</v>
      </c>
      <c r="K2661" s="2" t="s">
        <v>8</v>
      </c>
      <c r="L2661" s="2" t="s">
        <v>9</v>
      </c>
      <c r="M2661" s="2" t="s">
        <v>25</v>
      </c>
      <c r="N2661" s="2" t="s">
        <v>26</v>
      </c>
      <c r="O2661" s="2" t="s">
        <v>12</v>
      </c>
      <c r="P2661" s="2" t="s">
        <v>32</v>
      </c>
      <c r="Q2661" s="2" t="s">
        <v>23</v>
      </c>
      <c r="R2661" s="2" t="s">
        <v>18</v>
      </c>
      <c r="S2661">
        <v>4</v>
      </c>
    </row>
    <row r="2662" spans="1:19" x14ac:dyDescent="0.3">
      <c r="A2662">
        <v>3001</v>
      </c>
      <c r="B2662">
        <f>YEAR(Cleaned_HR_Data_Analysis__2[[#This Row],[Joining_Date]])</f>
        <v>2018</v>
      </c>
      <c r="C2662" s="1">
        <v>43370</v>
      </c>
      <c r="D2662" s="1" t="str" cm="1">
        <f t="array" ref="D2662">_xlfn.IFS(E2662&lt;28, "17-27",
AND(E2662&gt;27, E2662&lt;38), "28-37",
AND(E2662&gt;37, E2662 &lt;48), "38-47",
AND(E2662&gt;47, E2662 &lt;58), "48-57",
AND(E2662&gt;57, E2662&lt;68), "58-67",
AND(E2662&gt;67, E2662&lt;78), "68-77",
E2662&gt;77,"Above than 77")</f>
        <v>68-77</v>
      </c>
      <c r="E2662">
        <v>76</v>
      </c>
      <c r="F2662" s="1">
        <v>15629</v>
      </c>
      <c r="G2662" s="1" t="str">
        <f>VLOOKUP(H2662,Table7[#All], 2, FALSE)</f>
        <v>Massachusetts</v>
      </c>
      <c r="H2662" s="2" t="s">
        <v>14</v>
      </c>
      <c r="I2662" s="2" t="s">
        <v>22</v>
      </c>
      <c r="J2662" s="2" t="s">
        <v>17</v>
      </c>
      <c r="K2662" s="2" t="s">
        <v>8</v>
      </c>
      <c r="L2662" s="2" t="s">
        <v>9</v>
      </c>
      <c r="M2662" s="2" t="s">
        <v>25</v>
      </c>
      <c r="N2662" s="2" t="s">
        <v>11</v>
      </c>
      <c r="O2662" s="2" t="s">
        <v>12</v>
      </c>
      <c r="P2662" s="2" t="s">
        <v>32</v>
      </c>
      <c r="Q2662" s="2" t="s">
        <v>46</v>
      </c>
      <c r="R2662" s="2" t="s">
        <v>18</v>
      </c>
      <c r="S2662">
        <v>4</v>
      </c>
    </row>
    <row r="2663" spans="1:19" x14ac:dyDescent="0.3">
      <c r="A2663">
        <v>2868</v>
      </c>
      <c r="B2663">
        <f>YEAR(Cleaned_HR_Data_Analysis__2[[#This Row],[Joining_Date]])</f>
        <v>2022</v>
      </c>
      <c r="C2663" s="1">
        <v>44743</v>
      </c>
      <c r="D2663" s="1" t="str" cm="1">
        <f t="array" ref="D2663">_xlfn.IFS(E2663&lt;28, "17-27",
AND(E2663&gt;27, E2663&lt;38), "28-37",
AND(E2663&gt;37, E2663 &lt;48), "38-47",
AND(E2663&gt;47, E2663 &lt;58), "48-57",
AND(E2663&gt;57, E2663&lt;68), "58-67",
AND(E2663&gt;67, E2663&lt;78), "68-77",
E2663&gt;77,"Above than 77")</f>
        <v>68-77</v>
      </c>
      <c r="E2663">
        <v>76</v>
      </c>
      <c r="F2663" s="1">
        <v>16947</v>
      </c>
      <c r="G2663" s="1" t="str">
        <f>VLOOKUP(H2663,Table7[#All], 2, FALSE)</f>
        <v>Massachusetts</v>
      </c>
      <c r="H2663" s="2" t="s">
        <v>14</v>
      </c>
      <c r="I2663" s="2" t="s">
        <v>22</v>
      </c>
      <c r="J2663" s="2" t="s">
        <v>34</v>
      </c>
      <c r="K2663" s="2" t="s">
        <v>8</v>
      </c>
      <c r="L2663" s="2" t="s">
        <v>9</v>
      </c>
      <c r="M2663" s="2" t="s">
        <v>25</v>
      </c>
      <c r="N2663" s="2" t="s">
        <v>19</v>
      </c>
      <c r="O2663" s="2" t="s">
        <v>12</v>
      </c>
      <c r="P2663" s="2" t="s">
        <v>44</v>
      </c>
      <c r="Q2663" s="2" t="s">
        <v>37</v>
      </c>
      <c r="R2663" s="2" t="s">
        <v>18</v>
      </c>
      <c r="S2663">
        <v>4</v>
      </c>
    </row>
    <row r="2664" spans="1:19" x14ac:dyDescent="0.3">
      <c r="A2664">
        <v>2848</v>
      </c>
      <c r="B2664">
        <f>YEAR(Cleaned_HR_Data_Analysis__2[[#This Row],[Joining_Date]])</f>
        <v>2022</v>
      </c>
      <c r="C2664" s="1">
        <v>44633</v>
      </c>
      <c r="D2664" s="1" t="str" cm="1">
        <f t="array" ref="D2664">_xlfn.IFS(E2664&lt;28, "17-27",
AND(E2664&gt;27, E2664&lt;38), "28-37",
AND(E2664&gt;37, E2664 &lt;48), "38-47",
AND(E2664&gt;47, E2664 &lt;58), "48-57",
AND(E2664&gt;57, E2664&lt;68), "58-67",
AND(E2664&gt;67, E2664&lt;78), "68-77",
E2664&gt;77,"Above than 77")</f>
        <v>68-77</v>
      </c>
      <c r="E2664">
        <v>76</v>
      </c>
      <c r="F2664" s="1">
        <v>16830</v>
      </c>
      <c r="G2664" s="1" t="str">
        <f>VLOOKUP(H2664,Table7[#All], 2, FALSE)</f>
        <v>Massachusetts</v>
      </c>
      <c r="H2664" s="2" t="s">
        <v>14</v>
      </c>
      <c r="I2664" s="2" t="s">
        <v>22</v>
      </c>
      <c r="J2664" s="2" t="s">
        <v>31</v>
      </c>
      <c r="K2664" s="2" t="s">
        <v>8</v>
      </c>
      <c r="L2664" s="2" t="s">
        <v>66</v>
      </c>
      <c r="M2664" s="2" t="s">
        <v>25</v>
      </c>
      <c r="N2664" s="2" t="s">
        <v>19</v>
      </c>
      <c r="O2664" s="2" t="s">
        <v>12</v>
      </c>
      <c r="P2664" s="2" t="s">
        <v>54</v>
      </c>
      <c r="Q2664" s="2" t="s">
        <v>16</v>
      </c>
      <c r="R2664" s="2" t="s">
        <v>41</v>
      </c>
      <c r="S2664">
        <v>1</v>
      </c>
    </row>
    <row r="2665" spans="1:19" x14ac:dyDescent="0.3">
      <c r="A2665">
        <v>2838</v>
      </c>
      <c r="B2665">
        <f>YEAR(Cleaned_HR_Data_Analysis__2[[#This Row],[Joining_Date]])</f>
        <v>2021</v>
      </c>
      <c r="C2665" s="1">
        <v>44448</v>
      </c>
      <c r="D2665" s="1" t="str" cm="1">
        <f t="array" ref="D2665">_xlfn.IFS(E2665&lt;28, "17-27",
AND(E2665&gt;27, E2665&lt;38), "28-37",
AND(E2665&gt;37, E2665 &lt;48), "38-47",
AND(E2665&gt;47, E2665 &lt;58), "48-57",
AND(E2665&gt;57, E2665&lt;68), "58-67",
AND(E2665&gt;67, E2665&lt;78), "68-77",
E2665&gt;77,"Above than 77")</f>
        <v>68-77</v>
      </c>
      <c r="E2665">
        <v>76</v>
      </c>
      <c r="F2665" s="1">
        <v>16570</v>
      </c>
      <c r="G2665" s="1" t="str">
        <f>VLOOKUP(H2665,Table7[#All], 2, FALSE)</f>
        <v>Massachusetts</v>
      </c>
      <c r="H2665" s="2" t="s">
        <v>14</v>
      </c>
      <c r="I2665" s="2" t="s">
        <v>22</v>
      </c>
      <c r="J2665" s="2" t="s">
        <v>31</v>
      </c>
      <c r="K2665" s="2" t="s">
        <v>8</v>
      </c>
      <c r="L2665" s="2" t="s">
        <v>9</v>
      </c>
      <c r="M2665" s="2" t="s">
        <v>20</v>
      </c>
      <c r="N2665" s="2" t="s">
        <v>19</v>
      </c>
      <c r="O2665" s="2" t="s">
        <v>12</v>
      </c>
      <c r="P2665" s="2" t="s">
        <v>28</v>
      </c>
      <c r="Q2665" s="2" t="s">
        <v>37</v>
      </c>
      <c r="R2665" s="2" t="s">
        <v>18</v>
      </c>
      <c r="S2665">
        <v>4</v>
      </c>
    </row>
    <row r="2666" spans="1:19" x14ac:dyDescent="0.3">
      <c r="A2666">
        <v>2777</v>
      </c>
      <c r="B2666">
        <f>YEAR(Cleaned_HR_Data_Analysis__2[[#This Row],[Joining_Date]])</f>
        <v>2020</v>
      </c>
      <c r="C2666" s="1">
        <v>43950</v>
      </c>
      <c r="D2666" s="1" t="str" cm="1">
        <f t="array" ref="D2666">_xlfn.IFS(E2666&lt;28, "17-27",
AND(E2666&gt;27, E2666&lt;38), "28-37",
AND(E2666&gt;37, E2666 &lt;48), "38-47",
AND(E2666&gt;47, E2666 &lt;58), "48-57",
AND(E2666&gt;57, E2666&lt;68), "58-67",
AND(E2666&gt;67, E2666&lt;78), "68-77",
E2666&gt;77,"Above than 77")</f>
        <v>68-77</v>
      </c>
      <c r="E2666">
        <v>76</v>
      </c>
      <c r="F2666" s="1">
        <v>16284</v>
      </c>
      <c r="G2666" s="1" t="str">
        <f>VLOOKUP(H2666,Table7[#All], 2, FALSE)</f>
        <v>Massachusetts</v>
      </c>
      <c r="H2666" s="2" t="s">
        <v>14</v>
      </c>
      <c r="I2666" s="2" t="s">
        <v>22</v>
      </c>
      <c r="J2666" s="2" t="s">
        <v>31</v>
      </c>
      <c r="K2666" s="2" t="s">
        <v>8</v>
      </c>
      <c r="L2666" s="2" t="s">
        <v>9</v>
      </c>
      <c r="M2666" s="2" t="s">
        <v>20</v>
      </c>
      <c r="N2666" s="2" t="s">
        <v>26</v>
      </c>
      <c r="O2666" s="2" t="s">
        <v>12</v>
      </c>
      <c r="P2666" s="2" t="s">
        <v>32</v>
      </c>
      <c r="Q2666" s="2" t="s">
        <v>23</v>
      </c>
      <c r="R2666" s="2" t="s">
        <v>18</v>
      </c>
      <c r="S2666">
        <v>1</v>
      </c>
    </row>
    <row r="2667" spans="1:19" x14ac:dyDescent="0.3">
      <c r="A2667">
        <v>2770</v>
      </c>
      <c r="B2667">
        <f>YEAR(Cleaned_HR_Data_Analysis__2[[#This Row],[Joining_Date]])</f>
        <v>2021</v>
      </c>
      <c r="C2667" s="1">
        <v>44382</v>
      </c>
      <c r="D2667" s="1" t="str" cm="1">
        <f t="array" ref="D2667">_xlfn.IFS(E2667&lt;28, "17-27",
AND(E2667&gt;27, E2667&lt;38), "28-37",
AND(E2667&gt;37, E2667 &lt;48), "38-47",
AND(E2667&gt;47, E2667 &lt;58), "48-57",
AND(E2667&gt;57, E2667&lt;68), "58-67",
AND(E2667&gt;67, E2667&lt;78), "68-77",
E2667&gt;77,"Above than 77")</f>
        <v>68-77</v>
      </c>
      <c r="E2667">
        <v>76</v>
      </c>
      <c r="F2667" s="1">
        <v>16760</v>
      </c>
      <c r="G2667" s="1" t="str">
        <f>VLOOKUP(H2667,Table7[#All], 2, FALSE)</f>
        <v>Massachusetts</v>
      </c>
      <c r="H2667" s="2" t="s">
        <v>14</v>
      </c>
      <c r="I2667" s="2" t="s">
        <v>22</v>
      </c>
      <c r="J2667" s="2" t="s">
        <v>40</v>
      </c>
      <c r="K2667" s="2" t="s">
        <v>8</v>
      </c>
      <c r="L2667" s="2" t="s">
        <v>9</v>
      </c>
      <c r="M2667" s="2" t="s">
        <v>20</v>
      </c>
      <c r="N2667" s="2" t="s">
        <v>19</v>
      </c>
      <c r="O2667" s="2" t="s">
        <v>12</v>
      </c>
      <c r="P2667" s="2" t="s">
        <v>35</v>
      </c>
      <c r="Q2667" s="2" t="s">
        <v>37</v>
      </c>
      <c r="R2667" s="2" t="s">
        <v>18</v>
      </c>
      <c r="S2667">
        <v>2</v>
      </c>
    </row>
    <row r="2668" spans="1:19" x14ac:dyDescent="0.3">
      <c r="A2668">
        <v>2146</v>
      </c>
      <c r="B2668">
        <f>YEAR(Cleaned_HR_Data_Analysis__2[[#This Row],[Joining_Date]])</f>
        <v>2019</v>
      </c>
      <c r="C2668" s="1">
        <v>43824</v>
      </c>
      <c r="D2668" s="1" t="str" cm="1">
        <f t="array" ref="D2668">_xlfn.IFS(E2668&lt;28, "17-27",
AND(E2668&gt;27, E2668&lt;38), "28-37",
AND(E2668&gt;37, E2668 &lt;48), "38-47",
AND(E2668&gt;47, E2668 &lt;58), "48-57",
AND(E2668&gt;57, E2668&lt;68), "58-67",
AND(E2668&gt;67, E2668&lt;78), "68-77",
E2668&gt;77,"Above than 77")</f>
        <v>68-77</v>
      </c>
      <c r="E2668">
        <v>76</v>
      </c>
      <c r="F2668" s="1">
        <v>16013</v>
      </c>
      <c r="G2668" s="1" t="str">
        <f>VLOOKUP(H2668,Table7[#All], 2, FALSE)</f>
        <v>Massachusetts</v>
      </c>
      <c r="H2668" s="2" t="s">
        <v>14</v>
      </c>
      <c r="I2668" s="2" t="s">
        <v>15</v>
      </c>
      <c r="J2668" s="2" t="s">
        <v>40</v>
      </c>
      <c r="K2668" s="2" t="s">
        <v>8</v>
      </c>
      <c r="L2668" s="2" t="s">
        <v>66</v>
      </c>
      <c r="M2668" s="2" t="s">
        <v>25</v>
      </c>
      <c r="N2668" s="2" t="s">
        <v>19</v>
      </c>
      <c r="O2668" s="2" t="s">
        <v>12</v>
      </c>
      <c r="P2668" s="2" t="s">
        <v>49</v>
      </c>
      <c r="Q2668" s="2" t="s">
        <v>30</v>
      </c>
      <c r="R2668" s="2" t="s">
        <v>41</v>
      </c>
      <c r="S2668">
        <v>1</v>
      </c>
    </row>
    <row r="2669" spans="1:19" x14ac:dyDescent="0.3">
      <c r="A2669">
        <v>2113</v>
      </c>
      <c r="B2669">
        <f>YEAR(Cleaned_HR_Data_Analysis__2[[#This Row],[Joining_Date]])</f>
        <v>2020</v>
      </c>
      <c r="C2669" s="1">
        <v>44021</v>
      </c>
      <c r="D2669" s="1" t="str" cm="1">
        <f t="array" ref="D2669">_xlfn.IFS(E2669&lt;28, "17-27",
AND(E2669&gt;27, E2669&lt;38), "28-37",
AND(E2669&gt;37, E2669 &lt;48), "38-47",
AND(E2669&gt;47, E2669 &lt;58), "48-57",
AND(E2669&gt;57, E2669&lt;68), "58-67",
AND(E2669&gt;67, E2669&lt;78), "68-77",
E2669&gt;77,"Above than 77")</f>
        <v>68-77</v>
      </c>
      <c r="E2669">
        <v>76</v>
      </c>
      <c r="F2669" s="1">
        <v>16365</v>
      </c>
      <c r="G2669" s="1" t="str">
        <f>VLOOKUP(H2669,Table7[#All], 2, FALSE)</f>
        <v>Massachusetts</v>
      </c>
      <c r="H2669" s="2" t="s">
        <v>14</v>
      </c>
      <c r="I2669" s="2" t="s">
        <v>15</v>
      </c>
      <c r="J2669" s="2" t="s">
        <v>17</v>
      </c>
      <c r="K2669" s="2" t="s">
        <v>8</v>
      </c>
      <c r="L2669" s="2" t="s">
        <v>9</v>
      </c>
      <c r="M2669" s="2" t="s">
        <v>20</v>
      </c>
      <c r="N2669" s="2" t="s">
        <v>26</v>
      </c>
      <c r="O2669" s="2" t="s">
        <v>12</v>
      </c>
      <c r="P2669" s="2" t="s">
        <v>32</v>
      </c>
      <c r="Q2669" s="2" t="s">
        <v>16</v>
      </c>
      <c r="R2669" s="2" t="s">
        <v>41</v>
      </c>
      <c r="S2669">
        <v>1</v>
      </c>
    </row>
    <row r="2670" spans="1:19" x14ac:dyDescent="0.3">
      <c r="A2670">
        <v>2112</v>
      </c>
      <c r="B2670">
        <f>YEAR(Cleaned_HR_Data_Analysis__2[[#This Row],[Joining_Date]])</f>
        <v>2019</v>
      </c>
      <c r="C2670" s="1">
        <v>43676</v>
      </c>
      <c r="D2670" s="1" t="str" cm="1">
        <f t="array" ref="D2670">_xlfn.IFS(E2670&lt;28, "17-27",
AND(E2670&gt;27, E2670&lt;38), "28-37",
AND(E2670&gt;37, E2670 &lt;48), "38-47",
AND(E2670&gt;47, E2670 &lt;58), "48-57",
AND(E2670&gt;57, E2670&lt;68), "58-67",
AND(E2670&gt;67, E2670&lt;78), "68-77",
E2670&gt;77,"Above than 77")</f>
        <v>68-77</v>
      </c>
      <c r="E2670">
        <v>76</v>
      </c>
      <c r="F2670" s="1">
        <v>15973</v>
      </c>
      <c r="G2670" s="1" t="str">
        <f>VLOOKUP(H2670,Table7[#All], 2, FALSE)</f>
        <v>Massachusetts</v>
      </c>
      <c r="H2670" s="2" t="s">
        <v>14</v>
      </c>
      <c r="I2670" s="2" t="s">
        <v>15</v>
      </c>
      <c r="J2670" s="2" t="s">
        <v>17</v>
      </c>
      <c r="K2670" s="2" t="s">
        <v>8</v>
      </c>
      <c r="L2670" s="2" t="s">
        <v>9</v>
      </c>
      <c r="M2670" s="2" t="s">
        <v>20</v>
      </c>
      <c r="N2670" s="2" t="s">
        <v>26</v>
      </c>
      <c r="O2670" s="2" t="s">
        <v>12</v>
      </c>
      <c r="P2670" s="2" t="s">
        <v>42</v>
      </c>
      <c r="Q2670" s="2" t="s">
        <v>30</v>
      </c>
      <c r="R2670" s="2" t="s">
        <v>41</v>
      </c>
      <c r="S2670">
        <v>3</v>
      </c>
    </row>
    <row r="2671" spans="1:19" x14ac:dyDescent="0.3">
      <c r="A2671">
        <v>2037</v>
      </c>
      <c r="B2671">
        <f>YEAR(Cleaned_HR_Data_Analysis__2[[#This Row],[Joining_Date]])</f>
        <v>2021</v>
      </c>
      <c r="C2671" s="1">
        <v>44205</v>
      </c>
      <c r="D2671" s="1" t="str" cm="1">
        <f t="array" ref="D2671">_xlfn.IFS(E2671&lt;28, "17-27",
AND(E2671&gt;27, E2671&lt;38), "28-37",
AND(E2671&gt;37, E2671 &lt;48), "38-47",
AND(E2671&gt;47, E2671 &lt;58), "48-57",
AND(E2671&gt;57, E2671&lt;68), "58-67",
AND(E2671&gt;67, E2671&lt;78), "68-77",
E2671&gt;77,"Above than 77")</f>
        <v>68-77</v>
      </c>
      <c r="E2671">
        <v>76</v>
      </c>
      <c r="F2671" s="1">
        <v>16676</v>
      </c>
      <c r="G2671" s="1" t="str">
        <f>VLOOKUP(H2671,Table7[#All], 2, FALSE)</f>
        <v>Massachusetts</v>
      </c>
      <c r="H2671" s="2" t="s">
        <v>14</v>
      </c>
      <c r="I2671" s="2" t="s">
        <v>15</v>
      </c>
      <c r="J2671" s="2" t="s">
        <v>34</v>
      </c>
      <c r="K2671" s="2" t="s">
        <v>8</v>
      </c>
      <c r="L2671" s="2" t="s">
        <v>9</v>
      </c>
      <c r="M2671" s="2" t="s">
        <v>10</v>
      </c>
      <c r="N2671" s="2" t="s">
        <v>11</v>
      </c>
      <c r="O2671" s="2" t="s">
        <v>12</v>
      </c>
      <c r="P2671" s="2" t="s">
        <v>32</v>
      </c>
      <c r="Q2671" s="2" t="s">
        <v>16</v>
      </c>
      <c r="R2671" s="2" t="s">
        <v>18</v>
      </c>
      <c r="S2671">
        <v>5</v>
      </c>
    </row>
    <row r="2672" spans="1:19" x14ac:dyDescent="0.3">
      <c r="A2672">
        <v>2029</v>
      </c>
      <c r="B2672">
        <f>YEAR(Cleaned_HR_Data_Analysis__2[[#This Row],[Joining_Date]])</f>
        <v>2019</v>
      </c>
      <c r="C2672" s="1">
        <v>43717</v>
      </c>
      <c r="D2672" s="1" t="str" cm="1">
        <f t="array" ref="D2672">_xlfn.IFS(E2672&lt;28, "17-27",
AND(E2672&gt;27, E2672&lt;38), "28-37",
AND(E2672&gt;37, E2672 &lt;48), "38-47",
AND(E2672&gt;47, E2672 &lt;58), "48-57",
AND(E2672&gt;57, E2672&lt;68), "58-67",
AND(E2672&gt;67, E2672&lt;78), "68-77",
E2672&gt;77,"Above than 77")</f>
        <v>68-77</v>
      </c>
      <c r="E2672">
        <v>76</v>
      </c>
      <c r="F2672" s="1">
        <v>16002</v>
      </c>
      <c r="G2672" s="1" t="str">
        <f>VLOOKUP(H2672,Table7[#All], 2, FALSE)</f>
        <v>Massachusetts</v>
      </c>
      <c r="H2672" s="2" t="s">
        <v>14</v>
      </c>
      <c r="I2672" s="2" t="s">
        <v>15</v>
      </c>
      <c r="J2672" s="2" t="s">
        <v>31</v>
      </c>
      <c r="K2672" s="2" t="s">
        <v>8</v>
      </c>
      <c r="L2672" s="2" t="s">
        <v>9</v>
      </c>
      <c r="M2672" s="2" t="s">
        <v>10</v>
      </c>
      <c r="N2672" s="2" t="s">
        <v>11</v>
      </c>
      <c r="O2672" s="2" t="s">
        <v>12</v>
      </c>
      <c r="P2672" s="2" t="s">
        <v>38</v>
      </c>
      <c r="Q2672" s="2" t="s">
        <v>37</v>
      </c>
      <c r="R2672" s="2" t="s">
        <v>18</v>
      </c>
      <c r="S2672">
        <v>5</v>
      </c>
    </row>
    <row r="2673" spans="1:19" x14ac:dyDescent="0.3">
      <c r="A2673">
        <v>1976</v>
      </c>
      <c r="B2673">
        <f>YEAR(Cleaned_HR_Data_Analysis__2[[#This Row],[Joining_Date]])</f>
        <v>2021</v>
      </c>
      <c r="C2673" s="1">
        <v>44205</v>
      </c>
      <c r="D2673" s="1" t="str" cm="1">
        <f t="array" ref="D2673">_xlfn.IFS(E2673&lt;28, "17-27",
AND(E2673&gt;27, E2673&lt;38), "28-37",
AND(E2673&gt;37, E2673 &lt;48), "38-47",
AND(E2673&gt;47, E2673 &lt;58), "48-57",
AND(E2673&gt;57, E2673&lt;68), "58-67",
AND(E2673&gt;67, E2673&lt;78), "68-77",
E2673&gt;77,"Above than 77")</f>
        <v>68-77</v>
      </c>
      <c r="E2673">
        <v>76</v>
      </c>
      <c r="F2673" s="1">
        <v>16484</v>
      </c>
      <c r="G2673" s="1" t="str">
        <f>VLOOKUP(H2673,Table7[#All], 2, FALSE)</f>
        <v>Massachusetts</v>
      </c>
      <c r="H2673" s="2" t="s">
        <v>14</v>
      </c>
      <c r="I2673" s="2" t="s">
        <v>15</v>
      </c>
      <c r="J2673" s="2" t="s">
        <v>31</v>
      </c>
      <c r="K2673" s="2" t="s">
        <v>8</v>
      </c>
      <c r="L2673" s="2" t="s">
        <v>9</v>
      </c>
      <c r="M2673" s="2" t="s">
        <v>25</v>
      </c>
      <c r="N2673" s="2" t="s">
        <v>11</v>
      </c>
      <c r="O2673" s="2" t="s">
        <v>12</v>
      </c>
      <c r="P2673" s="2" t="s">
        <v>13</v>
      </c>
      <c r="Q2673" s="2" t="s">
        <v>16</v>
      </c>
      <c r="R2673" s="2" t="s">
        <v>18</v>
      </c>
      <c r="S2673">
        <v>5</v>
      </c>
    </row>
    <row r="2674" spans="1:19" x14ac:dyDescent="0.3">
      <c r="A2674">
        <v>1882</v>
      </c>
      <c r="B2674">
        <f>YEAR(Cleaned_HR_Data_Analysis__2[[#This Row],[Joining_Date]])</f>
        <v>2021</v>
      </c>
      <c r="C2674" s="1">
        <v>44509</v>
      </c>
      <c r="D2674" s="1" t="str" cm="1">
        <f t="array" ref="D2674">_xlfn.IFS(E2674&lt;28, "17-27",
AND(E2674&gt;27, E2674&lt;38), "28-37",
AND(E2674&gt;37, E2674 &lt;48), "38-47",
AND(E2674&gt;47, E2674 &lt;58), "48-57",
AND(E2674&gt;57, E2674&lt;68), "58-67",
AND(E2674&gt;67, E2674&lt;78), "68-77",
E2674&gt;77,"Above than 77")</f>
        <v>68-77</v>
      </c>
      <c r="E2674">
        <v>76</v>
      </c>
      <c r="F2674" s="1">
        <v>16474</v>
      </c>
      <c r="G2674" s="1" t="str">
        <f>VLOOKUP(H2674,Table7[#All], 2, FALSE)</f>
        <v>Massachusetts</v>
      </c>
      <c r="H2674" s="2" t="s">
        <v>14</v>
      </c>
      <c r="I2674" s="2" t="s">
        <v>15</v>
      </c>
      <c r="J2674" s="2" t="s">
        <v>40</v>
      </c>
      <c r="K2674" s="2" t="s">
        <v>8</v>
      </c>
      <c r="L2674" s="2" t="s">
        <v>9</v>
      </c>
      <c r="M2674" s="2" t="s">
        <v>25</v>
      </c>
      <c r="N2674" s="2" t="s">
        <v>19</v>
      </c>
      <c r="O2674" s="2" t="s">
        <v>12</v>
      </c>
      <c r="P2674" s="2" t="s">
        <v>55</v>
      </c>
      <c r="Q2674" s="2" t="s">
        <v>46</v>
      </c>
      <c r="R2674" s="2" t="s">
        <v>18</v>
      </c>
      <c r="S2674">
        <v>4</v>
      </c>
    </row>
    <row r="2675" spans="1:19" x14ac:dyDescent="0.3">
      <c r="A2675">
        <v>1753</v>
      </c>
      <c r="B2675">
        <f>YEAR(Cleaned_HR_Data_Analysis__2[[#This Row],[Joining_Date]])</f>
        <v>2019</v>
      </c>
      <c r="C2675" s="1">
        <v>43636</v>
      </c>
      <c r="D2675" s="1" t="str" cm="1">
        <f t="array" ref="D2675">_xlfn.IFS(E2675&lt;28, "17-27",
AND(E2675&gt;27, E2675&lt;38), "28-37",
AND(E2675&gt;37, E2675 &lt;48), "38-47",
AND(E2675&gt;47, E2675 &lt;58), "48-57",
AND(E2675&gt;57, E2675&lt;68), "58-67",
AND(E2675&gt;67, E2675&lt;78), "68-77",
E2675&gt;77,"Above than 77")</f>
        <v>68-77</v>
      </c>
      <c r="E2675">
        <v>76</v>
      </c>
      <c r="F2675" s="1">
        <v>15772</v>
      </c>
      <c r="G2675" s="1" t="str">
        <f>VLOOKUP(H2675,Table7[#All], 2, FALSE)</f>
        <v>Massachusetts</v>
      </c>
      <c r="H2675" s="2" t="s">
        <v>14</v>
      </c>
      <c r="I2675" s="2" t="s">
        <v>22</v>
      </c>
      <c r="J2675" s="2" t="s">
        <v>40</v>
      </c>
      <c r="K2675" s="2" t="s">
        <v>8</v>
      </c>
      <c r="L2675" s="2" t="s">
        <v>9</v>
      </c>
      <c r="M2675" s="2" t="s">
        <v>10</v>
      </c>
      <c r="N2675" s="2" t="s">
        <v>11</v>
      </c>
      <c r="O2675" s="2" t="s">
        <v>12</v>
      </c>
      <c r="P2675" s="2" t="s">
        <v>35</v>
      </c>
      <c r="Q2675" s="2" t="s">
        <v>37</v>
      </c>
      <c r="R2675" s="2" t="s">
        <v>18</v>
      </c>
      <c r="S2675">
        <v>3</v>
      </c>
    </row>
    <row r="2676" spans="1:19" x14ac:dyDescent="0.3">
      <c r="A2676">
        <v>1562</v>
      </c>
      <c r="B2676">
        <f>YEAR(Cleaned_HR_Data_Analysis__2[[#This Row],[Joining_Date]])</f>
        <v>2020</v>
      </c>
      <c r="C2676" s="1">
        <v>44103</v>
      </c>
      <c r="D2676" s="1" t="str" cm="1">
        <f t="array" ref="D2676">_xlfn.IFS(E2676&lt;28, "17-27",
AND(E2676&gt;27, E2676&lt;38), "28-37",
AND(E2676&gt;37, E2676 &lt;48), "38-47",
AND(E2676&gt;47, E2676 &lt;58), "48-57",
AND(E2676&gt;57, E2676&lt;68), "58-67",
AND(E2676&gt;67, E2676&lt;78), "68-77",
E2676&gt;77,"Above than 77")</f>
        <v>68-77</v>
      </c>
      <c r="E2676">
        <v>76</v>
      </c>
      <c r="F2676" s="1">
        <v>16140</v>
      </c>
      <c r="G2676" s="1" t="str">
        <f>VLOOKUP(H2676,Table7[#All], 2, FALSE)</f>
        <v>Massachusetts</v>
      </c>
      <c r="H2676" s="2" t="s">
        <v>14</v>
      </c>
      <c r="I2676" s="2" t="s">
        <v>15</v>
      </c>
      <c r="J2676" s="2" t="s">
        <v>31</v>
      </c>
      <c r="K2676" s="2" t="s">
        <v>8</v>
      </c>
      <c r="L2676" s="2" t="s">
        <v>9</v>
      </c>
      <c r="M2676" s="2" t="s">
        <v>25</v>
      </c>
      <c r="N2676" s="2" t="s">
        <v>26</v>
      </c>
      <c r="O2676" s="2" t="s">
        <v>12</v>
      </c>
      <c r="P2676" s="2" t="s">
        <v>28</v>
      </c>
      <c r="Q2676" s="2" t="s">
        <v>37</v>
      </c>
      <c r="R2676" s="2" t="s">
        <v>18</v>
      </c>
      <c r="S2676">
        <v>2</v>
      </c>
    </row>
    <row r="2677" spans="1:19" x14ac:dyDescent="0.3">
      <c r="A2677">
        <v>1489</v>
      </c>
      <c r="B2677">
        <f>YEAR(Cleaned_HR_Data_Analysis__2[[#This Row],[Joining_Date]])</f>
        <v>2020</v>
      </c>
      <c r="C2677" s="1">
        <v>44166</v>
      </c>
      <c r="D2677" s="1" t="str" cm="1">
        <f t="array" ref="D2677">_xlfn.IFS(E2677&lt;28, "17-27",
AND(E2677&gt;27, E2677&lt;38), "28-37",
AND(E2677&gt;37, E2677 &lt;48), "38-47",
AND(E2677&gt;47, E2677 &lt;58), "48-57",
AND(E2677&gt;57, E2677&lt;68), "58-67",
AND(E2677&gt;67, E2677&lt;78), "68-77",
E2677&gt;77,"Above than 77")</f>
        <v>68-77</v>
      </c>
      <c r="E2677">
        <v>76</v>
      </c>
      <c r="F2677" s="1">
        <v>16303</v>
      </c>
      <c r="G2677" s="1" t="str">
        <f>VLOOKUP(H2677,Table7[#All], 2, FALSE)</f>
        <v>Massachusetts</v>
      </c>
      <c r="H2677" s="2" t="s">
        <v>14</v>
      </c>
      <c r="I2677" s="2" t="s">
        <v>15</v>
      </c>
      <c r="J2677" s="2" t="s">
        <v>17</v>
      </c>
      <c r="K2677" s="2" t="s">
        <v>8</v>
      </c>
      <c r="L2677" s="2" t="s">
        <v>9</v>
      </c>
      <c r="M2677" s="2" t="s">
        <v>10</v>
      </c>
      <c r="N2677" s="2" t="s">
        <v>19</v>
      </c>
      <c r="O2677" s="2" t="s">
        <v>12</v>
      </c>
      <c r="P2677" s="2" t="s">
        <v>55</v>
      </c>
      <c r="Q2677" s="2" t="s">
        <v>16</v>
      </c>
      <c r="R2677" s="2" t="s">
        <v>18</v>
      </c>
      <c r="S2677">
        <v>5</v>
      </c>
    </row>
    <row r="2678" spans="1:19" x14ac:dyDescent="0.3">
      <c r="A2678">
        <v>1413</v>
      </c>
      <c r="B2678">
        <f>YEAR(Cleaned_HR_Data_Analysis__2[[#This Row],[Joining_Date]])</f>
        <v>2019</v>
      </c>
      <c r="C2678" s="1">
        <v>43735</v>
      </c>
      <c r="D2678" s="1" t="str" cm="1">
        <f t="array" ref="D2678">_xlfn.IFS(E2678&lt;28, "17-27",
AND(E2678&gt;27, E2678&lt;38), "28-37",
AND(E2678&gt;37, E2678 &lt;48), "38-47",
AND(E2678&gt;47, E2678 &lt;58), "48-57",
AND(E2678&gt;57, E2678&lt;68), "58-67",
AND(E2678&gt;67, E2678&lt;78), "68-77",
E2678&gt;77,"Above than 77")</f>
        <v>68-77</v>
      </c>
      <c r="E2678">
        <v>76</v>
      </c>
      <c r="F2678" s="1">
        <v>15777</v>
      </c>
      <c r="G2678" s="1" t="str">
        <f>VLOOKUP(H2678,Table7[#All], 2, FALSE)</f>
        <v>Massachusetts</v>
      </c>
      <c r="H2678" s="2" t="s">
        <v>14</v>
      </c>
      <c r="I2678" s="2" t="s">
        <v>22</v>
      </c>
      <c r="J2678" s="2" t="s">
        <v>17</v>
      </c>
      <c r="K2678" s="2" t="s">
        <v>8</v>
      </c>
      <c r="L2678" s="2" t="s">
        <v>9</v>
      </c>
      <c r="M2678" s="2" t="s">
        <v>20</v>
      </c>
      <c r="N2678" s="2" t="s">
        <v>19</v>
      </c>
      <c r="O2678" s="2" t="s">
        <v>12</v>
      </c>
      <c r="P2678" s="2" t="s">
        <v>13</v>
      </c>
      <c r="Q2678" s="2" t="s">
        <v>37</v>
      </c>
      <c r="R2678" s="2" t="s">
        <v>56</v>
      </c>
      <c r="S2678">
        <v>3</v>
      </c>
    </row>
    <row r="2679" spans="1:19" x14ac:dyDescent="0.3">
      <c r="A2679">
        <v>1394</v>
      </c>
      <c r="B2679">
        <f>YEAR(Cleaned_HR_Data_Analysis__2[[#This Row],[Joining_Date]])</f>
        <v>2019</v>
      </c>
      <c r="C2679" s="1">
        <v>43484</v>
      </c>
      <c r="D2679" s="1" t="str" cm="1">
        <f t="array" ref="D2679">_xlfn.IFS(E2679&lt;28, "17-27",
AND(E2679&gt;27, E2679&lt;38), "28-37",
AND(E2679&gt;37, E2679 &lt;48), "38-47",
AND(E2679&gt;47, E2679 &lt;58), "48-57",
AND(E2679&gt;57, E2679&lt;68), "58-67",
AND(E2679&gt;67, E2679&lt;78), "68-77",
E2679&gt;77,"Above than 77")</f>
        <v>68-77</v>
      </c>
      <c r="E2679">
        <v>76</v>
      </c>
      <c r="F2679" s="1">
        <v>15839</v>
      </c>
      <c r="G2679" s="1" t="str">
        <f>VLOOKUP(H2679,Table7[#All], 2, FALSE)</f>
        <v>Massachusetts</v>
      </c>
      <c r="H2679" s="2" t="s">
        <v>14</v>
      </c>
      <c r="I2679" s="2" t="s">
        <v>22</v>
      </c>
      <c r="J2679" s="2" t="s">
        <v>34</v>
      </c>
      <c r="K2679" s="2" t="s">
        <v>8</v>
      </c>
      <c r="L2679" s="2" t="s">
        <v>9</v>
      </c>
      <c r="M2679" s="2" t="s">
        <v>25</v>
      </c>
      <c r="N2679" s="2" t="s">
        <v>19</v>
      </c>
      <c r="O2679" s="2" t="s">
        <v>12</v>
      </c>
      <c r="P2679" s="2" t="s">
        <v>35</v>
      </c>
      <c r="Q2679" s="2" t="s">
        <v>37</v>
      </c>
      <c r="R2679" s="2" t="s">
        <v>41</v>
      </c>
      <c r="S2679">
        <v>2</v>
      </c>
    </row>
    <row r="2680" spans="1:19" x14ac:dyDescent="0.3">
      <c r="A2680">
        <v>1183</v>
      </c>
      <c r="B2680">
        <f>YEAR(Cleaned_HR_Data_Analysis__2[[#This Row],[Joining_Date]])</f>
        <v>2022</v>
      </c>
      <c r="C2680" s="1">
        <v>44595</v>
      </c>
      <c r="D2680" s="1" t="str" cm="1">
        <f t="array" ref="D2680">_xlfn.IFS(E2680&lt;28, "17-27",
AND(E2680&gt;27, E2680&lt;38), "28-37",
AND(E2680&gt;37, E2680 &lt;48), "38-47",
AND(E2680&gt;47, E2680 &lt;58), "48-57",
AND(E2680&gt;57, E2680&lt;68), "58-67",
AND(E2680&gt;67, E2680&lt;78), "68-77",
E2680&gt;77,"Above than 77")</f>
        <v>68-77</v>
      </c>
      <c r="E2680">
        <v>76</v>
      </c>
      <c r="F2680" s="1">
        <v>17154</v>
      </c>
      <c r="G2680" s="1" t="str">
        <f>VLOOKUP(H2680,Table7[#All], 2, FALSE)</f>
        <v>Massachusetts</v>
      </c>
      <c r="H2680" s="2" t="s">
        <v>14</v>
      </c>
      <c r="I2680" s="2" t="s">
        <v>15</v>
      </c>
      <c r="J2680" s="2" t="s">
        <v>34</v>
      </c>
      <c r="K2680" s="2" t="s">
        <v>8</v>
      </c>
      <c r="L2680" s="2" t="s">
        <v>9</v>
      </c>
      <c r="M2680" s="2" t="s">
        <v>20</v>
      </c>
      <c r="N2680" s="2" t="s">
        <v>19</v>
      </c>
      <c r="O2680" s="2" t="s">
        <v>12</v>
      </c>
      <c r="P2680" s="2" t="s">
        <v>60</v>
      </c>
      <c r="Q2680" s="2" t="s">
        <v>37</v>
      </c>
      <c r="R2680" s="2" t="s">
        <v>18</v>
      </c>
      <c r="S2680">
        <v>5</v>
      </c>
    </row>
    <row r="2681" spans="1:19" x14ac:dyDescent="0.3">
      <c r="A2681">
        <v>1180</v>
      </c>
      <c r="B2681">
        <f>YEAR(Cleaned_HR_Data_Analysis__2[[#This Row],[Joining_Date]])</f>
        <v>2020</v>
      </c>
      <c r="C2681" s="1">
        <v>44012</v>
      </c>
      <c r="D2681" s="1" t="str" cm="1">
        <f t="array" ref="D2681">_xlfn.IFS(E2681&lt;28, "17-27",
AND(E2681&gt;27, E2681&lt;38), "28-37",
AND(E2681&gt;37, E2681 &lt;48), "38-47",
AND(E2681&gt;47, E2681 &lt;58), "48-57",
AND(E2681&gt;57, E2681&lt;68), "58-67",
AND(E2681&gt;67, E2681&lt;78), "68-77",
E2681&gt;77,"Above than 77")</f>
        <v>68-77</v>
      </c>
      <c r="E2681">
        <v>76</v>
      </c>
      <c r="F2681" s="1">
        <v>16406</v>
      </c>
      <c r="G2681" s="1" t="str">
        <f>VLOOKUP(H2681,Table7[#All], 2, FALSE)</f>
        <v>Massachusetts</v>
      </c>
      <c r="H2681" s="2" t="s">
        <v>14</v>
      </c>
      <c r="I2681" s="2" t="s">
        <v>22</v>
      </c>
      <c r="J2681" s="2" t="s">
        <v>31</v>
      </c>
      <c r="K2681" s="2" t="s">
        <v>8</v>
      </c>
      <c r="L2681" s="2" t="s">
        <v>9</v>
      </c>
      <c r="M2681" s="2" t="s">
        <v>25</v>
      </c>
      <c r="N2681" s="2" t="s">
        <v>26</v>
      </c>
      <c r="O2681" s="2" t="s">
        <v>12</v>
      </c>
      <c r="P2681" s="2" t="s">
        <v>69</v>
      </c>
      <c r="Q2681" s="2" t="s">
        <v>23</v>
      </c>
      <c r="R2681" s="2" t="s">
        <v>18</v>
      </c>
      <c r="S2681">
        <v>3</v>
      </c>
    </row>
    <row r="2682" spans="1:19" x14ac:dyDescent="0.3">
      <c r="A2682">
        <v>2378</v>
      </c>
      <c r="B2682">
        <f>YEAR(Cleaned_HR_Data_Analysis__2[[#This Row],[Joining_Date]])</f>
        <v>2020</v>
      </c>
      <c r="C2682" s="1">
        <v>43913</v>
      </c>
      <c r="D2682" s="1" t="str" cm="1">
        <f t="array" ref="D2682">_xlfn.IFS(E2682&lt;28, "17-27",
AND(E2682&gt;27, E2682&lt;38), "28-37",
AND(E2682&gt;37, E2682 &lt;48), "38-47",
AND(E2682&gt;47, E2682 &lt;58), "48-57",
AND(E2682&gt;57, E2682&lt;68), "58-67",
AND(E2682&gt;67, E2682&lt;78), "68-77",
E2682&gt;77,"Above than 77")</f>
        <v>68-77</v>
      </c>
      <c r="E2682">
        <v>76</v>
      </c>
      <c r="F2682" s="1">
        <v>16399</v>
      </c>
      <c r="G2682" s="1" t="str">
        <f>VLOOKUP(H2682,Table7[#All], 2, FALSE)</f>
        <v>Massachusetts</v>
      </c>
      <c r="H2682" s="2" t="s">
        <v>14</v>
      </c>
      <c r="I2682" s="2" t="s">
        <v>15</v>
      </c>
      <c r="J2682" s="2" t="s">
        <v>34</v>
      </c>
      <c r="K2682" s="2" t="s">
        <v>91</v>
      </c>
      <c r="L2682" s="2" t="s">
        <v>9</v>
      </c>
      <c r="M2682" s="2" t="s">
        <v>20</v>
      </c>
      <c r="N2682" s="2" t="s">
        <v>19</v>
      </c>
      <c r="O2682" s="2" t="s">
        <v>12</v>
      </c>
      <c r="P2682" s="2" t="s">
        <v>57</v>
      </c>
      <c r="Q2682" s="2" t="s">
        <v>30</v>
      </c>
      <c r="R2682" s="2" t="s">
        <v>18</v>
      </c>
      <c r="S2682">
        <v>5</v>
      </c>
    </row>
    <row r="2683" spans="1:19" x14ac:dyDescent="0.3">
      <c r="A2683">
        <v>2317</v>
      </c>
      <c r="B2683">
        <f>YEAR(Cleaned_HR_Data_Analysis__2[[#This Row],[Joining_Date]])</f>
        <v>2020</v>
      </c>
      <c r="C2683" s="1">
        <v>44148</v>
      </c>
      <c r="D2683" s="1" t="str" cm="1">
        <f t="array" ref="D2683">_xlfn.IFS(E2683&lt;28, "17-27",
AND(E2683&gt;27, E2683&lt;38), "28-37",
AND(E2683&gt;37, E2683 &lt;48), "38-47",
AND(E2683&gt;47, E2683 &lt;58), "48-57",
AND(E2683&gt;57, E2683&lt;68), "58-67",
AND(E2683&gt;67, E2683&lt;78), "68-77",
E2683&gt;77,"Above than 77")</f>
        <v>68-77</v>
      </c>
      <c r="E2683">
        <v>76</v>
      </c>
      <c r="F2683" s="1">
        <v>16239</v>
      </c>
      <c r="G2683" s="1" t="str">
        <f>VLOOKUP(H2683,Table7[#All], 2, FALSE)</f>
        <v>Massachusetts</v>
      </c>
      <c r="H2683" s="2" t="s">
        <v>14</v>
      </c>
      <c r="I2683" s="2" t="s">
        <v>15</v>
      </c>
      <c r="J2683" s="2" t="s">
        <v>31</v>
      </c>
      <c r="K2683" s="2" t="s">
        <v>91</v>
      </c>
      <c r="L2683" s="2" t="s">
        <v>9</v>
      </c>
      <c r="M2683" s="2" t="s">
        <v>25</v>
      </c>
      <c r="N2683" s="2" t="s">
        <v>19</v>
      </c>
      <c r="O2683" s="2" t="s">
        <v>12</v>
      </c>
      <c r="P2683" s="2" t="s">
        <v>63</v>
      </c>
      <c r="Q2683" s="2" t="s">
        <v>37</v>
      </c>
      <c r="R2683" s="2" t="s">
        <v>18</v>
      </c>
      <c r="S2683">
        <v>2</v>
      </c>
    </row>
    <row r="2684" spans="1:19" x14ac:dyDescent="0.3">
      <c r="A2684">
        <v>1143</v>
      </c>
      <c r="B2684">
        <f>YEAR(Cleaned_HR_Data_Analysis__2[[#This Row],[Joining_Date]])</f>
        <v>2018</v>
      </c>
      <c r="C2684" s="1">
        <v>43345</v>
      </c>
      <c r="D2684" s="1" t="str" cm="1">
        <f t="array" ref="D2684">_xlfn.IFS(E2684&lt;28, "17-27",
AND(E2684&gt;27, E2684&lt;38), "28-37",
AND(E2684&gt;37, E2684 &lt;48), "38-47",
AND(E2684&gt;47, E2684 &lt;58), "48-57",
AND(E2684&gt;57, E2684&lt;68), "58-67",
AND(E2684&gt;67, E2684&lt;78), "68-77",
E2684&gt;77,"Above than 77")</f>
        <v>68-77</v>
      </c>
      <c r="E2684">
        <v>76</v>
      </c>
      <c r="F2684" s="1">
        <v>15512</v>
      </c>
      <c r="G2684" s="1" t="str">
        <f>VLOOKUP(H2684,Table7[#All], 2, FALSE)</f>
        <v>Massachusetts</v>
      </c>
      <c r="H2684" s="2" t="s">
        <v>14</v>
      </c>
      <c r="I2684" s="2" t="s">
        <v>15</v>
      </c>
      <c r="J2684" s="2" t="s">
        <v>17</v>
      </c>
      <c r="K2684" s="2" t="s">
        <v>91</v>
      </c>
      <c r="L2684" s="2" t="s">
        <v>9</v>
      </c>
      <c r="M2684" s="2" t="s">
        <v>10</v>
      </c>
      <c r="N2684" s="2" t="s">
        <v>19</v>
      </c>
      <c r="O2684" s="2" t="s">
        <v>12</v>
      </c>
      <c r="P2684" s="2" t="s">
        <v>35</v>
      </c>
      <c r="Q2684" s="2" t="s">
        <v>23</v>
      </c>
      <c r="R2684" s="2" t="s">
        <v>18</v>
      </c>
      <c r="S2684">
        <v>4</v>
      </c>
    </row>
    <row r="2685" spans="1:19" x14ac:dyDescent="0.3">
      <c r="A2685">
        <v>2228</v>
      </c>
      <c r="B2685">
        <f>YEAR(Cleaned_HR_Data_Analysis__2[[#This Row],[Joining_Date]])</f>
        <v>2018</v>
      </c>
      <c r="C2685" s="1">
        <v>43324</v>
      </c>
      <c r="D2685" s="1" t="str" cm="1">
        <f t="array" ref="D2685">_xlfn.IFS(E2685&lt;28, "17-27",
AND(E2685&gt;27, E2685&lt;38), "28-37",
AND(E2685&gt;37, E2685 &lt;48), "38-47",
AND(E2685&gt;47, E2685 &lt;58), "48-57",
AND(E2685&gt;57, E2685&lt;68), "58-67",
AND(E2685&gt;67, E2685&lt;78), "68-77",
E2685&gt;77,"Above than 77")</f>
        <v>68-77</v>
      </c>
      <c r="E2685">
        <v>76</v>
      </c>
      <c r="F2685" s="1">
        <v>15600</v>
      </c>
      <c r="G2685" s="1" t="str">
        <f>VLOOKUP(H2685,Table7[#All], 2, FALSE)</f>
        <v>Massachusetts</v>
      </c>
      <c r="H2685" s="2" t="s">
        <v>14</v>
      </c>
      <c r="I2685" s="2" t="s">
        <v>15</v>
      </c>
      <c r="J2685" s="2" t="s">
        <v>40</v>
      </c>
      <c r="K2685" s="2" t="s">
        <v>70</v>
      </c>
      <c r="L2685" s="2" t="s">
        <v>9</v>
      </c>
      <c r="M2685" s="2" t="s">
        <v>20</v>
      </c>
      <c r="N2685" s="2" t="s">
        <v>26</v>
      </c>
      <c r="O2685" s="2" t="s">
        <v>53</v>
      </c>
      <c r="P2685" s="2" t="s">
        <v>61</v>
      </c>
      <c r="Q2685" s="2" t="s">
        <v>16</v>
      </c>
      <c r="R2685" s="2" t="s">
        <v>65</v>
      </c>
      <c r="S2685">
        <v>2</v>
      </c>
    </row>
    <row r="2686" spans="1:19" x14ac:dyDescent="0.3">
      <c r="A2686">
        <v>3999</v>
      </c>
      <c r="B2686">
        <f>YEAR(Cleaned_HR_Data_Analysis__2[[#This Row],[Joining_Date]])</f>
        <v>2019</v>
      </c>
      <c r="C2686" s="1">
        <v>43572</v>
      </c>
      <c r="D2686" s="1" t="str" cm="1">
        <f t="array" ref="D2686">_xlfn.IFS(E2686&lt;28, "17-27",
AND(E2686&gt;27, E2686&lt;38), "28-37",
AND(E2686&gt;37, E2686 &lt;48), "38-47",
AND(E2686&gt;47, E2686 &lt;58), "48-57",
AND(E2686&gt;57, E2686&lt;68), "58-67",
AND(E2686&gt;67, E2686&lt;78), "68-77",
E2686&gt;77,"Above than 77")</f>
        <v>68-77</v>
      </c>
      <c r="E2686">
        <v>76</v>
      </c>
      <c r="F2686" s="1">
        <v>15738</v>
      </c>
      <c r="G2686" s="1" t="str">
        <f>VLOOKUP(H2686,Table7[#All], 2, FALSE)</f>
        <v>Texas</v>
      </c>
      <c r="H2686" s="2" t="s">
        <v>45</v>
      </c>
      <c r="I2686" s="2" t="s">
        <v>22</v>
      </c>
      <c r="J2686" s="2" t="s">
        <v>31</v>
      </c>
      <c r="K2686" s="2" t="s">
        <v>77</v>
      </c>
      <c r="L2686" s="2" t="s">
        <v>66</v>
      </c>
      <c r="M2686" s="2" t="s">
        <v>25</v>
      </c>
      <c r="N2686" s="2" t="s">
        <v>26</v>
      </c>
      <c r="O2686" s="2" t="s">
        <v>53</v>
      </c>
      <c r="P2686" s="2" t="s">
        <v>42</v>
      </c>
      <c r="Q2686" s="2" t="s">
        <v>46</v>
      </c>
      <c r="R2686" s="2" t="s">
        <v>41</v>
      </c>
      <c r="S2686">
        <v>4</v>
      </c>
    </row>
    <row r="2687" spans="1:19" x14ac:dyDescent="0.3">
      <c r="A2687">
        <v>2355</v>
      </c>
      <c r="B2687">
        <f>YEAR(Cleaned_HR_Data_Analysis__2[[#This Row],[Joining_Date]])</f>
        <v>2019</v>
      </c>
      <c r="C2687" s="1">
        <v>43549</v>
      </c>
      <c r="D2687" s="1" t="str" cm="1">
        <f t="array" ref="D2687">_xlfn.IFS(E2687&lt;28, "17-27",
AND(E2687&gt;27, E2687&lt;38), "28-37",
AND(E2687&gt;37, E2687 &lt;48), "38-47",
AND(E2687&gt;47, E2687 &lt;58), "48-57",
AND(E2687&gt;57, E2687&lt;68), "58-67",
AND(E2687&gt;67, E2687&lt;78), "68-77",
E2687&gt;77,"Above than 77")</f>
        <v>68-77</v>
      </c>
      <c r="E2687">
        <v>76</v>
      </c>
      <c r="F2687" s="1">
        <v>15723</v>
      </c>
      <c r="G2687" s="1" t="str">
        <f>VLOOKUP(H2687,Table7[#All], 2, FALSE)</f>
        <v>Massachusetts</v>
      </c>
      <c r="H2687" s="2" t="s">
        <v>14</v>
      </c>
      <c r="I2687" s="2" t="s">
        <v>22</v>
      </c>
      <c r="J2687" s="2" t="s">
        <v>31</v>
      </c>
      <c r="K2687" s="2" t="s">
        <v>78</v>
      </c>
      <c r="L2687" s="2" t="s">
        <v>9</v>
      </c>
      <c r="M2687" s="2" t="s">
        <v>10</v>
      </c>
      <c r="N2687" s="2" t="s">
        <v>11</v>
      </c>
      <c r="O2687" s="2" t="s">
        <v>53</v>
      </c>
      <c r="P2687" s="2" t="s">
        <v>35</v>
      </c>
      <c r="Q2687" s="2" t="s">
        <v>46</v>
      </c>
      <c r="R2687" s="2" t="s">
        <v>18</v>
      </c>
      <c r="S2687">
        <v>1</v>
      </c>
    </row>
    <row r="2688" spans="1:19" x14ac:dyDescent="0.3">
      <c r="A2688">
        <v>2351</v>
      </c>
      <c r="B2688">
        <f>YEAR(Cleaned_HR_Data_Analysis__2[[#This Row],[Joining_Date]])</f>
        <v>2019</v>
      </c>
      <c r="C2688" s="1">
        <v>43823</v>
      </c>
      <c r="D2688" s="1" t="str" cm="1">
        <f t="array" ref="D2688">_xlfn.IFS(E2688&lt;28, "17-27",
AND(E2688&gt;27, E2688&lt;38), "28-37",
AND(E2688&gt;37, E2688 &lt;48), "38-47",
AND(E2688&gt;47, E2688 &lt;58), "48-57",
AND(E2688&gt;57, E2688&lt;68), "58-67",
AND(E2688&gt;67, E2688&lt;78), "68-77",
E2688&gt;77,"Above than 77")</f>
        <v>68-77</v>
      </c>
      <c r="E2688">
        <v>76</v>
      </c>
      <c r="F2688" s="1">
        <v>15764</v>
      </c>
      <c r="G2688" s="1" t="str">
        <f>VLOOKUP(H2688,Table7[#All], 2, FALSE)</f>
        <v>Massachusetts</v>
      </c>
      <c r="H2688" s="2" t="s">
        <v>14</v>
      </c>
      <c r="I2688" s="2" t="s">
        <v>22</v>
      </c>
      <c r="J2688" s="2" t="s">
        <v>17</v>
      </c>
      <c r="K2688" s="2" t="s">
        <v>78</v>
      </c>
      <c r="L2688" s="2" t="s">
        <v>9</v>
      </c>
      <c r="M2688" s="2" t="s">
        <v>10</v>
      </c>
      <c r="N2688" s="2" t="s">
        <v>26</v>
      </c>
      <c r="O2688" s="2" t="s">
        <v>12</v>
      </c>
      <c r="P2688" s="2" t="s">
        <v>42</v>
      </c>
      <c r="Q2688" s="2" t="s">
        <v>23</v>
      </c>
      <c r="R2688" s="2" t="s">
        <v>18</v>
      </c>
      <c r="S2688">
        <v>3</v>
      </c>
    </row>
    <row r="2689" spans="1:19" x14ac:dyDescent="0.3">
      <c r="A2689">
        <v>1674</v>
      </c>
      <c r="B2689">
        <f>YEAR(Cleaned_HR_Data_Analysis__2[[#This Row],[Joining_Date]])</f>
        <v>2022</v>
      </c>
      <c r="C2689" s="1">
        <v>44681</v>
      </c>
      <c r="D2689" s="1" t="str" cm="1">
        <f t="array" ref="D2689">_xlfn.IFS(E2689&lt;28, "17-27",
AND(E2689&gt;27, E2689&lt;38), "28-37",
AND(E2689&gt;37, E2689 &lt;48), "38-47",
AND(E2689&gt;47, E2689 &lt;58), "48-57",
AND(E2689&gt;57, E2689&lt;68), "58-67",
AND(E2689&gt;67, E2689&lt;78), "68-77",
E2689&gt;77,"Above than 77")</f>
        <v>68-77</v>
      </c>
      <c r="E2689">
        <v>76</v>
      </c>
      <c r="F2689" s="1">
        <v>16970</v>
      </c>
      <c r="G2689" s="1" t="str">
        <f>VLOOKUP(H2689,Table7[#All], 2, FALSE)</f>
        <v>Massachusetts</v>
      </c>
      <c r="H2689" s="2" t="s">
        <v>14</v>
      </c>
      <c r="I2689" s="2" t="s">
        <v>15</v>
      </c>
      <c r="J2689" s="2" t="s">
        <v>34</v>
      </c>
      <c r="K2689" s="2" t="s">
        <v>97</v>
      </c>
      <c r="L2689" s="2" t="s">
        <v>66</v>
      </c>
      <c r="M2689" s="2" t="s">
        <v>20</v>
      </c>
      <c r="N2689" s="2" t="s">
        <v>26</v>
      </c>
      <c r="O2689" s="2" t="s">
        <v>53</v>
      </c>
      <c r="P2689" s="2" t="s">
        <v>59</v>
      </c>
      <c r="Q2689" s="2" t="s">
        <v>30</v>
      </c>
      <c r="R2689" s="2" t="s">
        <v>18</v>
      </c>
      <c r="S2689">
        <v>5</v>
      </c>
    </row>
    <row r="2690" spans="1:19" x14ac:dyDescent="0.3">
      <c r="A2690">
        <v>3460</v>
      </c>
      <c r="B2690">
        <f>YEAR(Cleaned_HR_Data_Analysis__2[[#This Row],[Joining_Date]])</f>
        <v>2020</v>
      </c>
      <c r="C2690" s="1">
        <v>43880</v>
      </c>
      <c r="D2690" s="1" t="str" cm="1">
        <f t="array" ref="D2690">_xlfn.IFS(E2690&lt;28, "17-27",
AND(E2690&gt;27, E2690&lt;38), "28-37",
AND(E2690&gt;37, E2690 &lt;48), "38-47",
AND(E2690&gt;47, E2690 &lt;58), "48-57",
AND(E2690&gt;57, E2690&lt;68), "58-67",
AND(E2690&gt;67, E2690&lt;78), "68-77",
E2690&gt;77,"Above than 77")</f>
        <v>68-77</v>
      </c>
      <c r="E2690">
        <v>76</v>
      </c>
      <c r="F2690" s="1">
        <v>16112</v>
      </c>
      <c r="G2690" s="1" t="str">
        <f>VLOOKUP(H2690,Table7[#All], 2, FALSE)</f>
        <v>Texas</v>
      </c>
      <c r="H2690" s="2" t="s">
        <v>45</v>
      </c>
      <c r="I2690" s="2" t="s">
        <v>22</v>
      </c>
      <c r="J2690" s="2" t="s">
        <v>34</v>
      </c>
      <c r="K2690" s="2" t="s">
        <v>24</v>
      </c>
      <c r="L2690" s="2" t="s">
        <v>9</v>
      </c>
      <c r="M2690" s="2" t="s">
        <v>25</v>
      </c>
      <c r="N2690" s="2" t="s">
        <v>19</v>
      </c>
      <c r="O2690" s="2" t="s">
        <v>27</v>
      </c>
      <c r="P2690" s="2" t="s">
        <v>21</v>
      </c>
      <c r="Q2690" s="2" t="s">
        <v>46</v>
      </c>
      <c r="R2690" s="2" t="s">
        <v>18</v>
      </c>
      <c r="S2690">
        <v>3</v>
      </c>
    </row>
    <row r="2691" spans="1:19" x14ac:dyDescent="0.3">
      <c r="A2691">
        <v>2662</v>
      </c>
      <c r="B2691">
        <f>YEAR(Cleaned_HR_Data_Analysis__2[[#This Row],[Joining_Date]])</f>
        <v>2021</v>
      </c>
      <c r="C2691" s="1">
        <v>44229</v>
      </c>
      <c r="D2691" s="1" t="str" cm="1">
        <f t="array" ref="D2691">_xlfn.IFS(E2691&lt;28, "17-27",
AND(E2691&gt;27, E2691&lt;38), "28-37",
AND(E2691&gt;37, E2691 &lt;48), "38-47",
AND(E2691&gt;47, E2691 &lt;58), "48-57",
AND(E2691&gt;57, E2691&lt;68), "58-67",
AND(E2691&gt;67, E2691&lt;78), "68-77",
E2691&gt;77,"Above than 77")</f>
        <v>68-77</v>
      </c>
      <c r="E2691">
        <v>76</v>
      </c>
      <c r="F2691" s="1">
        <v>16692</v>
      </c>
      <c r="G2691" s="1" t="str">
        <f>VLOOKUP(H2691,Table7[#All], 2, FALSE)</f>
        <v>Idaho</v>
      </c>
      <c r="H2691" s="2" t="s">
        <v>111</v>
      </c>
      <c r="I2691" s="2" t="s">
        <v>22</v>
      </c>
      <c r="J2691" s="2" t="s">
        <v>31</v>
      </c>
      <c r="K2691" s="2" t="s">
        <v>24</v>
      </c>
      <c r="L2691" s="2" t="s">
        <v>9</v>
      </c>
      <c r="M2691" s="2" t="s">
        <v>10</v>
      </c>
      <c r="N2691" s="2" t="s">
        <v>19</v>
      </c>
      <c r="O2691" s="2" t="s">
        <v>27</v>
      </c>
      <c r="P2691" s="2" t="s">
        <v>32</v>
      </c>
      <c r="Q2691" s="2" t="s">
        <v>46</v>
      </c>
      <c r="R2691" s="2" t="s">
        <v>18</v>
      </c>
      <c r="S2691">
        <v>1</v>
      </c>
    </row>
    <row r="2692" spans="1:19" x14ac:dyDescent="0.3">
      <c r="A2692">
        <v>2597</v>
      </c>
      <c r="B2692">
        <f>YEAR(Cleaned_HR_Data_Analysis__2[[#This Row],[Joining_Date]])</f>
        <v>2020</v>
      </c>
      <c r="C2692" s="1">
        <v>43924</v>
      </c>
      <c r="D2692" s="1" t="str" cm="1">
        <f t="array" ref="D2692">_xlfn.IFS(E2692&lt;28, "17-27",
AND(E2692&gt;27, E2692&lt;38), "28-37",
AND(E2692&gt;37, E2692 &lt;48), "38-47",
AND(E2692&gt;47, E2692 &lt;58), "48-57",
AND(E2692&gt;57, E2692&lt;68), "58-67",
AND(E2692&gt;67, E2692&lt;78), "68-77",
E2692&gt;77,"Above than 77")</f>
        <v>68-77</v>
      </c>
      <c r="E2692">
        <v>76</v>
      </c>
      <c r="F2692" s="1">
        <v>16340</v>
      </c>
      <c r="G2692" s="1" t="str">
        <f>VLOOKUP(H2692,Table7[#All], 2, FALSE)</f>
        <v>Idaho</v>
      </c>
      <c r="H2692" s="2" t="s">
        <v>111</v>
      </c>
      <c r="I2692" s="2" t="s">
        <v>22</v>
      </c>
      <c r="J2692" s="2" t="s">
        <v>40</v>
      </c>
      <c r="K2692" s="2" t="s">
        <v>24</v>
      </c>
      <c r="L2692" s="2" t="s">
        <v>9</v>
      </c>
      <c r="M2692" s="2" t="s">
        <v>10</v>
      </c>
      <c r="N2692" s="2" t="s">
        <v>19</v>
      </c>
      <c r="O2692" s="2" t="s">
        <v>27</v>
      </c>
      <c r="P2692" s="2" t="s">
        <v>35</v>
      </c>
      <c r="Q2692" s="2" t="s">
        <v>46</v>
      </c>
      <c r="R2692" s="2" t="s">
        <v>18</v>
      </c>
      <c r="S2692">
        <v>5</v>
      </c>
    </row>
    <row r="2693" spans="1:19" x14ac:dyDescent="0.3">
      <c r="A2693">
        <v>3462</v>
      </c>
      <c r="B2693">
        <f>YEAR(Cleaned_HR_Data_Analysis__2[[#This Row],[Joining_Date]])</f>
        <v>2018</v>
      </c>
      <c r="C2693" s="1">
        <v>43356</v>
      </c>
      <c r="D2693" s="1" t="str" cm="1">
        <f t="array" ref="D2693">_xlfn.IFS(E2693&lt;28, "17-27",
AND(E2693&gt;27, E2693&lt;38), "28-37",
AND(E2693&gt;37, E2693 &lt;48), "38-47",
AND(E2693&gt;47, E2693 &lt;58), "48-57",
AND(E2693&gt;57, E2693&lt;68), "58-67",
AND(E2693&gt;67, E2693&lt;78), "68-77",
E2693&gt;77,"Above than 77")</f>
        <v>68-77</v>
      </c>
      <c r="E2693">
        <v>76</v>
      </c>
      <c r="F2693" s="1">
        <v>15562</v>
      </c>
      <c r="G2693" s="1" t="str">
        <f>VLOOKUP(H2693,Table7[#All], 2, FALSE)</f>
        <v>Colorado</v>
      </c>
      <c r="H2693" s="2" t="s">
        <v>50</v>
      </c>
      <c r="I2693" s="2" t="s">
        <v>22</v>
      </c>
      <c r="J2693" s="2" t="s">
        <v>40</v>
      </c>
      <c r="K2693" s="2" t="s">
        <v>24</v>
      </c>
      <c r="L2693" s="2" t="s">
        <v>9</v>
      </c>
      <c r="M2693" s="2" t="s">
        <v>10</v>
      </c>
      <c r="N2693" s="2" t="s">
        <v>19</v>
      </c>
      <c r="O2693" s="2" t="s">
        <v>27</v>
      </c>
      <c r="P2693" s="2" t="s">
        <v>35</v>
      </c>
      <c r="Q2693" s="2" t="s">
        <v>23</v>
      </c>
      <c r="R2693" s="2" t="s">
        <v>56</v>
      </c>
      <c r="S2693">
        <v>3</v>
      </c>
    </row>
    <row r="2694" spans="1:19" x14ac:dyDescent="0.3">
      <c r="A2694">
        <v>2687</v>
      </c>
      <c r="B2694">
        <f>YEAR(Cleaned_HR_Data_Analysis__2[[#This Row],[Joining_Date]])</f>
        <v>2021</v>
      </c>
      <c r="C2694" s="1">
        <v>44368</v>
      </c>
      <c r="D2694" s="1" t="str" cm="1">
        <f t="array" ref="D2694">_xlfn.IFS(E2694&lt;28, "17-27",
AND(E2694&gt;27, E2694&lt;38), "28-37",
AND(E2694&gt;37, E2694 &lt;48), "38-47",
AND(E2694&gt;47, E2694 &lt;58), "48-57",
AND(E2694&gt;57, E2694&lt;68), "58-67",
AND(E2694&gt;67, E2694&lt;78), "68-77",
E2694&gt;77,"Above than 77")</f>
        <v>68-77</v>
      </c>
      <c r="E2694">
        <v>76</v>
      </c>
      <c r="F2694" s="1">
        <v>16512</v>
      </c>
      <c r="G2694" s="1" t="str">
        <f>VLOOKUP(H2694,Table7[#All], 2, FALSE)</f>
        <v>Arizona</v>
      </c>
      <c r="H2694" s="2" t="s">
        <v>114</v>
      </c>
      <c r="I2694" s="2" t="s">
        <v>22</v>
      </c>
      <c r="J2694" s="2" t="s">
        <v>31</v>
      </c>
      <c r="K2694" s="2" t="s">
        <v>24</v>
      </c>
      <c r="L2694" s="2" t="s">
        <v>9</v>
      </c>
      <c r="M2694" s="2" t="s">
        <v>20</v>
      </c>
      <c r="N2694" s="2" t="s">
        <v>19</v>
      </c>
      <c r="O2694" s="2" t="s">
        <v>27</v>
      </c>
      <c r="P2694" s="2" t="s">
        <v>42</v>
      </c>
      <c r="Q2694" s="2" t="s">
        <v>16</v>
      </c>
      <c r="R2694" s="2" t="s">
        <v>18</v>
      </c>
      <c r="S2694">
        <v>5</v>
      </c>
    </row>
    <row r="2695" spans="1:19" x14ac:dyDescent="0.3">
      <c r="A2695">
        <v>2621</v>
      </c>
      <c r="B2695">
        <f>YEAR(Cleaned_HR_Data_Analysis__2[[#This Row],[Joining_Date]])</f>
        <v>2018</v>
      </c>
      <c r="C2695" s="1">
        <v>43357</v>
      </c>
      <c r="D2695" s="1" t="str" cm="1">
        <f t="array" ref="D2695">_xlfn.IFS(E2695&lt;28, "17-27",
AND(E2695&gt;27, E2695&lt;38), "28-37",
AND(E2695&gt;37, E2695 &lt;48), "38-47",
AND(E2695&gt;47, E2695 &lt;58), "48-57",
AND(E2695&gt;57, E2695&lt;68), "58-67",
AND(E2695&gt;67, E2695&lt;78), "68-77",
E2695&gt;77,"Above than 77")</f>
        <v>68-77</v>
      </c>
      <c r="E2695">
        <v>76</v>
      </c>
      <c r="F2695" s="1">
        <v>15559</v>
      </c>
      <c r="G2695" s="1" t="str">
        <f>VLOOKUP(H2695,Table7[#All], 2, FALSE)</f>
        <v>Arizona</v>
      </c>
      <c r="H2695" s="2" t="s">
        <v>114</v>
      </c>
      <c r="I2695" s="2" t="s">
        <v>22</v>
      </c>
      <c r="J2695" s="2" t="s">
        <v>31</v>
      </c>
      <c r="K2695" s="2" t="s">
        <v>24</v>
      </c>
      <c r="L2695" s="2" t="s">
        <v>9</v>
      </c>
      <c r="M2695" s="2" t="s">
        <v>20</v>
      </c>
      <c r="N2695" s="2" t="s">
        <v>26</v>
      </c>
      <c r="O2695" s="2" t="s">
        <v>27</v>
      </c>
      <c r="P2695" s="2" t="s">
        <v>68</v>
      </c>
      <c r="Q2695" s="2" t="s">
        <v>16</v>
      </c>
      <c r="R2695" s="2" t="s">
        <v>18</v>
      </c>
      <c r="S2695">
        <v>5</v>
      </c>
    </row>
    <row r="2696" spans="1:19" x14ac:dyDescent="0.3">
      <c r="A2696">
        <v>1355</v>
      </c>
      <c r="B2696">
        <f>YEAR(Cleaned_HR_Data_Analysis__2[[#This Row],[Joining_Date]])</f>
        <v>2021</v>
      </c>
      <c r="C2696" s="1">
        <v>44363</v>
      </c>
      <c r="D2696" s="1" t="str" cm="1">
        <f t="array" ref="D2696">_xlfn.IFS(E2696&lt;28, "17-27",
AND(E2696&gt;27, E2696&lt;38), "28-37",
AND(E2696&gt;37, E2696 &lt;48), "38-47",
AND(E2696&gt;47, E2696 &lt;58), "48-57",
AND(E2696&gt;57, E2696&lt;68), "58-67",
AND(E2696&gt;67, E2696&lt;78), "68-77",
E2696&gt;77,"Above than 77")</f>
        <v>68-77</v>
      </c>
      <c r="E2696">
        <v>76</v>
      </c>
      <c r="F2696" s="1">
        <v>16577</v>
      </c>
      <c r="G2696" s="1" t="str">
        <f>VLOOKUP(H2696,Table7[#All], 2, FALSE)</f>
        <v>Massachusetts</v>
      </c>
      <c r="H2696" s="2" t="s">
        <v>14</v>
      </c>
      <c r="I2696" s="2" t="s">
        <v>15</v>
      </c>
      <c r="J2696" s="2" t="s">
        <v>31</v>
      </c>
      <c r="K2696" s="2" t="s">
        <v>95</v>
      </c>
      <c r="L2696" s="2" t="s">
        <v>9</v>
      </c>
      <c r="M2696" s="2" t="s">
        <v>25</v>
      </c>
      <c r="N2696" s="2" t="s">
        <v>26</v>
      </c>
      <c r="O2696" s="2" t="s">
        <v>90</v>
      </c>
      <c r="P2696" s="2" t="s">
        <v>32</v>
      </c>
      <c r="Q2696" s="2" t="s">
        <v>23</v>
      </c>
      <c r="R2696" s="2" t="s">
        <v>18</v>
      </c>
      <c r="S2696">
        <v>2</v>
      </c>
    </row>
    <row r="2697" spans="1:19" x14ac:dyDescent="0.3">
      <c r="A2697">
        <v>1374</v>
      </c>
      <c r="B2697">
        <f>YEAR(Cleaned_HR_Data_Analysis__2[[#This Row],[Joining_Date]])</f>
        <v>2019</v>
      </c>
      <c r="C2697" s="1">
        <v>43653</v>
      </c>
      <c r="D2697" s="1" t="str" cm="1">
        <f t="array" ref="D2697">_xlfn.IFS(E2697&lt;28, "17-27",
AND(E2697&gt;27, E2697&lt;38), "28-37",
AND(E2697&gt;37, E2697 &lt;48), "38-47",
AND(E2697&gt;47, E2697 &lt;58), "48-57",
AND(E2697&gt;57, E2697&lt;68), "58-67",
AND(E2697&gt;67, E2697&lt;78), "68-77",
E2697&gt;77,"Above than 77")</f>
        <v>68-77</v>
      </c>
      <c r="E2697">
        <v>77</v>
      </c>
      <c r="F2697" s="1">
        <v>15596</v>
      </c>
      <c r="G2697" s="1" t="str">
        <f>VLOOKUP(H2697,Table7[#All], 2, FALSE)</f>
        <v>Massachusetts</v>
      </c>
      <c r="H2697" s="2" t="s">
        <v>14</v>
      </c>
      <c r="I2697" s="2" t="s">
        <v>15</v>
      </c>
      <c r="J2697" s="2" t="s">
        <v>34</v>
      </c>
      <c r="K2697" s="2" t="s">
        <v>72</v>
      </c>
      <c r="L2697" s="2" t="s">
        <v>9</v>
      </c>
      <c r="M2697" s="2" t="s">
        <v>20</v>
      </c>
      <c r="N2697" s="2" t="s">
        <v>26</v>
      </c>
      <c r="O2697" s="2" t="s">
        <v>53</v>
      </c>
      <c r="P2697" s="2" t="s">
        <v>21</v>
      </c>
      <c r="Q2697" s="2" t="s">
        <v>16</v>
      </c>
      <c r="R2697" s="2" t="s">
        <v>41</v>
      </c>
      <c r="S2697">
        <v>5</v>
      </c>
    </row>
    <row r="2698" spans="1:19" x14ac:dyDescent="0.3">
      <c r="A2698">
        <v>1332</v>
      </c>
      <c r="B2698">
        <f>YEAR(Cleaned_HR_Data_Analysis__2[[#This Row],[Joining_Date]])</f>
        <v>2023</v>
      </c>
      <c r="C2698" s="1">
        <v>45141</v>
      </c>
      <c r="D2698" s="1" t="str" cm="1">
        <f t="array" ref="D2698">_xlfn.IFS(E2698&lt;28, "17-27",
AND(E2698&gt;27, E2698&lt;38), "28-37",
AND(E2698&gt;37, E2698 &lt;48), "38-47",
AND(E2698&gt;47, E2698 &lt;58), "48-57",
AND(E2698&gt;57, E2698&lt;68), "58-67",
AND(E2698&gt;67, E2698&lt;78), "68-77",
E2698&gt;77,"Above than 77")</f>
        <v>68-77</v>
      </c>
      <c r="E2698">
        <v>77</v>
      </c>
      <c r="F2698" s="1">
        <v>17097</v>
      </c>
      <c r="G2698" s="1" t="str">
        <f>VLOOKUP(H2698,Table7[#All], 2, FALSE)</f>
        <v>Massachusetts</v>
      </c>
      <c r="H2698" s="2" t="s">
        <v>14</v>
      </c>
      <c r="I2698" s="2" t="s">
        <v>22</v>
      </c>
      <c r="J2698" s="2" t="s">
        <v>40</v>
      </c>
      <c r="K2698" s="2" t="s">
        <v>72</v>
      </c>
      <c r="L2698" s="2" t="s">
        <v>9</v>
      </c>
      <c r="M2698" s="2" t="s">
        <v>10</v>
      </c>
      <c r="N2698" s="2" t="s">
        <v>26</v>
      </c>
      <c r="O2698" s="2" t="s">
        <v>90</v>
      </c>
      <c r="P2698" s="2" t="s">
        <v>59</v>
      </c>
      <c r="Q2698" s="2" t="s">
        <v>23</v>
      </c>
      <c r="R2698" s="2" t="s">
        <v>18</v>
      </c>
      <c r="S2698">
        <v>2</v>
      </c>
    </row>
    <row r="2699" spans="1:19" x14ac:dyDescent="0.3">
      <c r="A2699">
        <v>1076</v>
      </c>
      <c r="B2699">
        <f>YEAR(Cleaned_HR_Data_Analysis__2[[#This Row],[Joining_Date]])</f>
        <v>2020</v>
      </c>
      <c r="C2699" s="1">
        <v>43912</v>
      </c>
      <c r="D2699" s="1" t="str" cm="1">
        <f t="array" ref="D2699">_xlfn.IFS(E2699&lt;28, "17-27",
AND(E2699&gt;27, E2699&lt;38), "28-37",
AND(E2699&gt;37, E2699 &lt;48), "38-47",
AND(E2699&gt;47, E2699 &lt;58), "48-57",
AND(E2699&gt;57, E2699&lt;68), "58-67",
AND(E2699&gt;67, E2699&lt;78), "68-77",
E2699&gt;77,"Above than 77")</f>
        <v>68-77</v>
      </c>
      <c r="E2699">
        <v>77</v>
      </c>
      <c r="F2699" s="1">
        <v>15734</v>
      </c>
      <c r="G2699" s="1" t="str">
        <f>VLOOKUP(H2699,Table7[#All], 2, FALSE)</f>
        <v>Massachusetts</v>
      </c>
      <c r="H2699" s="2" t="s">
        <v>14</v>
      </c>
      <c r="I2699" s="2" t="s">
        <v>15</v>
      </c>
      <c r="J2699" s="2" t="s">
        <v>17</v>
      </c>
      <c r="K2699" s="2" t="s">
        <v>86</v>
      </c>
      <c r="L2699" s="2" t="s">
        <v>9</v>
      </c>
      <c r="M2699" s="2" t="s">
        <v>10</v>
      </c>
      <c r="N2699" s="2" t="s">
        <v>11</v>
      </c>
      <c r="O2699" s="2" t="s">
        <v>87</v>
      </c>
      <c r="P2699" s="2" t="s">
        <v>38</v>
      </c>
      <c r="Q2699" s="2" t="s">
        <v>16</v>
      </c>
      <c r="R2699" s="2" t="s">
        <v>18</v>
      </c>
      <c r="S2699">
        <v>3</v>
      </c>
    </row>
    <row r="2700" spans="1:19" x14ac:dyDescent="0.3">
      <c r="A2700">
        <v>1690</v>
      </c>
      <c r="B2700">
        <f>YEAR(Cleaned_HR_Data_Analysis__2[[#This Row],[Joining_Date]])</f>
        <v>2019</v>
      </c>
      <c r="C2700" s="1">
        <v>43522</v>
      </c>
      <c r="D2700" s="1" t="str" cm="1">
        <f t="array" ref="D2700">_xlfn.IFS(E2700&lt;28, "17-27",
AND(E2700&gt;27, E2700&lt;38), "28-37",
AND(E2700&gt;37, E2700 &lt;48), "38-47",
AND(E2700&gt;47, E2700 &lt;58), "48-57",
AND(E2700&gt;57, E2700&lt;68), "58-67",
AND(E2700&gt;67, E2700&lt;78), "68-77",
E2700&gt;77,"Above than 77")</f>
        <v>68-77</v>
      </c>
      <c r="E2700">
        <v>77</v>
      </c>
      <c r="F2700" s="1">
        <v>15361</v>
      </c>
      <c r="G2700" s="1" t="str">
        <f>VLOOKUP(H2700,Table7[#All], 2, FALSE)</f>
        <v>Massachusetts</v>
      </c>
      <c r="H2700" s="2" t="s">
        <v>14</v>
      </c>
      <c r="I2700" s="2" t="s">
        <v>22</v>
      </c>
      <c r="J2700" s="2" t="s">
        <v>17</v>
      </c>
      <c r="K2700" s="2" t="s">
        <v>89</v>
      </c>
      <c r="L2700" s="2" t="s">
        <v>9</v>
      </c>
      <c r="M2700" s="2" t="s">
        <v>10</v>
      </c>
      <c r="N2700" s="2" t="s">
        <v>19</v>
      </c>
      <c r="O2700" s="2" t="s">
        <v>90</v>
      </c>
      <c r="P2700" s="2" t="s">
        <v>63</v>
      </c>
      <c r="Q2700" s="2" t="s">
        <v>37</v>
      </c>
      <c r="R2700" s="2" t="s">
        <v>18</v>
      </c>
      <c r="S2700">
        <v>1</v>
      </c>
    </row>
    <row r="2701" spans="1:19" x14ac:dyDescent="0.3">
      <c r="A2701">
        <v>1679</v>
      </c>
      <c r="B2701">
        <f>YEAR(Cleaned_HR_Data_Analysis__2[[#This Row],[Joining_Date]])</f>
        <v>2021</v>
      </c>
      <c r="C2701" s="1">
        <v>44332</v>
      </c>
      <c r="D2701" s="1" t="str" cm="1">
        <f t="array" ref="D2701">_xlfn.IFS(E2701&lt;28, "17-27",
AND(E2701&gt;27, E2701&lt;38), "28-37",
AND(E2701&gt;37, E2701 &lt;48), "38-47",
AND(E2701&gt;47, E2701 &lt;58), "48-57",
AND(E2701&gt;57, E2701&lt;68), "58-67",
AND(E2701&gt;67, E2701&lt;78), "68-77",
E2701&gt;77,"Above than 77")</f>
        <v>68-77</v>
      </c>
      <c r="E2701">
        <v>77</v>
      </c>
      <c r="F2701" s="1">
        <v>16420</v>
      </c>
      <c r="G2701" s="1" t="str">
        <f>VLOOKUP(H2701,Table7[#All], 2, FALSE)</f>
        <v>Massachusetts</v>
      </c>
      <c r="H2701" s="2" t="s">
        <v>14</v>
      </c>
      <c r="I2701" s="2" t="s">
        <v>22</v>
      </c>
      <c r="J2701" s="2" t="s">
        <v>17</v>
      </c>
      <c r="K2701" s="2" t="s">
        <v>89</v>
      </c>
      <c r="L2701" s="2" t="s">
        <v>9</v>
      </c>
      <c r="M2701" s="2" t="s">
        <v>20</v>
      </c>
      <c r="N2701" s="2" t="s">
        <v>11</v>
      </c>
      <c r="O2701" s="2" t="s">
        <v>90</v>
      </c>
      <c r="P2701" s="2" t="s">
        <v>42</v>
      </c>
      <c r="Q2701" s="2" t="s">
        <v>37</v>
      </c>
      <c r="R2701" s="2" t="s">
        <v>18</v>
      </c>
      <c r="S2701">
        <v>4</v>
      </c>
    </row>
    <row r="2702" spans="1:19" x14ac:dyDescent="0.3">
      <c r="A2702">
        <v>1692</v>
      </c>
      <c r="B2702">
        <f>YEAR(Cleaned_HR_Data_Analysis__2[[#This Row],[Joining_Date]])</f>
        <v>2020</v>
      </c>
      <c r="C2702" s="1">
        <v>43940</v>
      </c>
      <c r="D2702" s="1" t="str" cm="1">
        <f t="array" ref="D2702">_xlfn.IFS(E2702&lt;28, "17-27",
AND(E2702&gt;27, E2702&lt;38), "28-37",
AND(E2702&gt;37, E2702 &lt;48), "38-47",
AND(E2702&gt;47, E2702 &lt;58), "48-57",
AND(E2702&gt;57, E2702&lt;68), "58-67",
AND(E2702&gt;67, E2702&lt;78), "68-77",
E2702&gt;77,"Above than 77")</f>
        <v>68-77</v>
      </c>
      <c r="E2702">
        <v>77</v>
      </c>
      <c r="F2702" s="1">
        <v>15972</v>
      </c>
      <c r="G2702" s="1" t="str">
        <f>VLOOKUP(H2702,Table7[#All], 2, FALSE)</f>
        <v>Massachusetts</v>
      </c>
      <c r="H2702" s="2" t="s">
        <v>14</v>
      </c>
      <c r="I2702" s="2" t="s">
        <v>15</v>
      </c>
      <c r="J2702" s="2" t="s">
        <v>17</v>
      </c>
      <c r="K2702" s="2" t="s">
        <v>98</v>
      </c>
      <c r="L2702" s="2" t="s">
        <v>9</v>
      </c>
      <c r="M2702" s="2" t="s">
        <v>20</v>
      </c>
      <c r="N2702" s="2" t="s">
        <v>11</v>
      </c>
      <c r="O2702" s="2" t="s">
        <v>53</v>
      </c>
      <c r="P2702" s="2" t="s">
        <v>42</v>
      </c>
      <c r="Q2702" s="2" t="s">
        <v>30</v>
      </c>
      <c r="R2702" s="2" t="s">
        <v>18</v>
      </c>
      <c r="S2702">
        <v>2</v>
      </c>
    </row>
    <row r="2703" spans="1:19" x14ac:dyDescent="0.3">
      <c r="A2703">
        <v>1939</v>
      </c>
      <c r="B2703">
        <f>YEAR(Cleaned_HR_Data_Analysis__2[[#This Row],[Joining_Date]])</f>
        <v>2019</v>
      </c>
      <c r="C2703" s="1">
        <v>43622</v>
      </c>
      <c r="D2703" s="1" t="str" cm="1">
        <f t="array" ref="D2703">_xlfn.IFS(E2703&lt;28, "17-27",
AND(E2703&gt;27, E2703&lt;38), "28-37",
AND(E2703&gt;37, E2703 &lt;48), "38-47",
AND(E2703&gt;47, E2703 &lt;58), "48-57",
AND(E2703&gt;57, E2703&lt;68), "58-67",
AND(E2703&gt;67, E2703&lt;78), "68-77",
E2703&gt;77,"Above than 77")</f>
        <v>68-77</v>
      </c>
      <c r="E2703">
        <v>77</v>
      </c>
      <c r="F2703" s="1">
        <v>15405</v>
      </c>
      <c r="G2703" s="1" t="str">
        <f>VLOOKUP(H2703,Table7[#All], 2, FALSE)</f>
        <v>Pennsylvania</v>
      </c>
      <c r="H2703" s="2" t="s">
        <v>100</v>
      </c>
      <c r="I2703" s="2" t="s">
        <v>15</v>
      </c>
      <c r="J2703" s="2" t="s">
        <v>34</v>
      </c>
      <c r="K2703" s="2" t="s">
        <v>64</v>
      </c>
      <c r="L2703" s="2" t="s">
        <v>9</v>
      </c>
      <c r="M2703" s="2" t="s">
        <v>10</v>
      </c>
      <c r="N2703" s="2" t="s">
        <v>11</v>
      </c>
      <c r="O2703" s="2" t="s">
        <v>27</v>
      </c>
      <c r="P2703" s="2" t="s">
        <v>35</v>
      </c>
      <c r="Q2703" s="2" t="s">
        <v>46</v>
      </c>
      <c r="R2703" s="2" t="s">
        <v>18</v>
      </c>
      <c r="S2703">
        <v>5</v>
      </c>
    </row>
    <row r="2704" spans="1:19" x14ac:dyDescent="0.3">
      <c r="A2704">
        <v>3389</v>
      </c>
      <c r="B2704">
        <f>YEAR(Cleaned_HR_Data_Analysis__2[[#This Row],[Joining_Date]])</f>
        <v>2020</v>
      </c>
      <c r="C2704" s="1">
        <v>44055</v>
      </c>
      <c r="D2704" s="1" t="str" cm="1">
        <f t="array" ref="D2704">_xlfn.IFS(E2704&lt;28, "17-27",
AND(E2704&gt;27, E2704&lt;38), "28-37",
AND(E2704&gt;37, E2704 &lt;48), "38-47",
AND(E2704&gt;47, E2704 &lt;58), "48-57",
AND(E2704&gt;57, E2704&lt;68), "58-67",
AND(E2704&gt;67, E2704&lt;78), "68-77",
E2704&gt;77,"Above than 77")</f>
        <v>68-77</v>
      </c>
      <c r="E2704">
        <v>77</v>
      </c>
      <c r="F2704" s="1">
        <v>15882</v>
      </c>
      <c r="G2704" s="1" t="str">
        <f>VLOOKUP(H2704,Table7[#All], 2, FALSE)</f>
        <v>Massachusetts</v>
      </c>
      <c r="H2704" s="2" t="s">
        <v>14</v>
      </c>
      <c r="I2704" s="2" t="s">
        <v>22</v>
      </c>
      <c r="J2704" s="2" t="s">
        <v>34</v>
      </c>
      <c r="K2704" s="2" t="s">
        <v>64</v>
      </c>
      <c r="L2704" s="2" t="s">
        <v>9</v>
      </c>
      <c r="M2704" s="2" t="s">
        <v>25</v>
      </c>
      <c r="N2704" s="2" t="s">
        <v>11</v>
      </c>
      <c r="O2704" s="2" t="s">
        <v>12</v>
      </c>
      <c r="P2704" s="2" t="s">
        <v>35</v>
      </c>
      <c r="Q2704" s="2" t="s">
        <v>46</v>
      </c>
      <c r="R2704" s="2" t="s">
        <v>18</v>
      </c>
      <c r="S2704">
        <v>3</v>
      </c>
    </row>
    <row r="2705" spans="1:19" x14ac:dyDescent="0.3">
      <c r="A2705">
        <v>3322</v>
      </c>
      <c r="B2705">
        <f>YEAR(Cleaned_HR_Data_Analysis__2[[#This Row],[Joining_Date]])</f>
        <v>2020</v>
      </c>
      <c r="C2705" s="1">
        <v>44043</v>
      </c>
      <c r="D2705" s="1" t="str" cm="1">
        <f t="array" ref="D2705">_xlfn.IFS(E2705&lt;28, "17-27",
AND(E2705&gt;27, E2705&lt;38), "28-37",
AND(E2705&gt;37, E2705 &lt;48), "38-47",
AND(E2705&gt;47, E2705 &lt;58), "48-57",
AND(E2705&gt;57, E2705&lt;68), "58-67",
AND(E2705&gt;67, E2705&lt;78), "68-77",
E2705&gt;77,"Above than 77")</f>
        <v>68-77</v>
      </c>
      <c r="E2705">
        <v>77</v>
      </c>
      <c r="F2705" s="1">
        <v>15988</v>
      </c>
      <c r="G2705" s="1" t="str">
        <f>VLOOKUP(H2705,Table7[#All], 2, FALSE)</f>
        <v>Massachusetts</v>
      </c>
      <c r="H2705" s="2" t="s">
        <v>14</v>
      </c>
      <c r="I2705" s="2" t="s">
        <v>22</v>
      </c>
      <c r="J2705" s="2" t="s">
        <v>31</v>
      </c>
      <c r="K2705" s="2" t="s">
        <v>64</v>
      </c>
      <c r="L2705" s="2" t="s">
        <v>66</v>
      </c>
      <c r="M2705" s="2" t="s">
        <v>20</v>
      </c>
      <c r="N2705" s="2" t="s">
        <v>26</v>
      </c>
      <c r="O2705" s="2" t="s">
        <v>12</v>
      </c>
      <c r="P2705" s="2" t="s">
        <v>21</v>
      </c>
      <c r="Q2705" s="2" t="s">
        <v>16</v>
      </c>
      <c r="R2705" s="2" t="s">
        <v>18</v>
      </c>
      <c r="S2705">
        <v>5</v>
      </c>
    </row>
    <row r="2706" spans="1:19" x14ac:dyDescent="0.3">
      <c r="A2706">
        <v>3098</v>
      </c>
      <c r="B2706">
        <f>YEAR(Cleaned_HR_Data_Analysis__2[[#This Row],[Joining_Date]])</f>
        <v>2021</v>
      </c>
      <c r="C2706" s="1">
        <v>44426</v>
      </c>
      <c r="D2706" s="1" t="str" cm="1">
        <f t="array" ref="D2706">_xlfn.IFS(E2706&lt;28, "17-27",
AND(E2706&gt;27, E2706&lt;38), "28-37",
AND(E2706&gt;37, E2706 &lt;48), "38-47",
AND(E2706&gt;47, E2706 &lt;58), "48-57",
AND(E2706&gt;57, E2706&lt;68), "58-67",
AND(E2706&gt;67, E2706&lt;78), "68-77",
E2706&gt;77,"Above than 77")</f>
        <v>68-77</v>
      </c>
      <c r="E2706">
        <v>77</v>
      </c>
      <c r="F2706" s="1">
        <v>16232</v>
      </c>
      <c r="G2706" s="1" t="str">
        <f>VLOOKUP(H2706,Table7[#All], 2, FALSE)</f>
        <v>Massachusetts</v>
      </c>
      <c r="H2706" s="2" t="s">
        <v>14</v>
      </c>
      <c r="I2706" s="2" t="s">
        <v>22</v>
      </c>
      <c r="J2706" s="2" t="s">
        <v>17</v>
      </c>
      <c r="K2706" s="2" t="s">
        <v>64</v>
      </c>
      <c r="L2706" s="2" t="s">
        <v>9</v>
      </c>
      <c r="M2706" s="2" t="s">
        <v>25</v>
      </c>
      <c r="N2706" s="2" t="s">
        <v>19</v>
      </c>
      <c r="O2706" s="2" t="s">
        <v>12</v>
      </c>
      <c r="P2706" s="2" t="s">
        <v>55</v>
      </c>
      <c r="Q2706" s="2" t="s">
        <v>37</v>
      </c>
      <c r="R2706" s="2" t="s">
        <v>18</v>
      </c>
      <c r="S2706">
        <v>5</v>
      </c>
    </row>
    <row r="2707" spans="1:19" x14ac:dyDescent="0.3">
      <c r="A2707">
        <v>3005</v>
      </c>
      <c r="B2707">
        <f>YEAR(Cleaned_HR_Data_Analysis__2[[#This Row],[Joining_Date]])</f>
        <v>2020</v>
      </c>
      <c r="C2707" s="1">
        <v>44194</v>
      </c>
      <c r="D2707" s="1" t="str" cm="1">
        <f t="array" ref="D2707">_xlfn.IFS(E2707&lt;28, "17-27",
AND(E2707&gt;27, E2707&lt;38), "28-37",
AND(E2707&gt;37, E2707 &lt;48), "38-47",
AND(E2707&gt;47, E2707 &lt;58), "48-57",
AND(E2707&gt;57, E2707&lt;68), "58-67",
AND(E2707&gt;67, E2707&lt;78), "68-77",
E2707&gt;77,"Above than 77")</f>
        <v>68-77</v>
      </c>
      <c r="E2707">
        <v>77</v>
      </c>
      <c r="F2707" s="1">
        <v>15726</v>
      </c>
      <c r="G2707" s="1" t="str">
        <f>VLOOKUP(H2707,Table7[#All], 2, FALSE)</f>
        <v>Massachusetts</v>
      </c>
      <c r="H2707" s="2" t="s">
        <v>14</v>
      </c>
      <c r="I2707" s="2" t="s">
        <v>15</v>
      </c>
      <c r="J2707" s="2" t="s">
        <v>17</v>
      </c>
      <c r="K2707" s="2" t="s">
        <v>64</v>
      </c>
      <c r="L2707" s="2" t="s">
        <v>9</v>
      </c>
      <c r="M2707" s="2" t="s">
        <v>10</v>
      </c>
      <c r="N2707" s="2" t="s">
        <v>11</v>
      </c>
      <c r="O2707" s="2" t="s">
        <v>12</v>
      </c>
      <c r="P2707" s="2" t="s">
        <v>32</v>
      </c>
      <c r="Q2707" s="2" t="s">
        <v>23</v>
      </c>
      <c r="R2707" s="2" t="s">
        <v>18</v>
      </c>
      <c r="S2707">
        <v>5</v>
      </c>
    </row>
    <row r="2708" spans="1:19" x14ac:dyDescent="0.3">
      <c r="A2708">
        <v>2862</v>
      </c>
      <c r="B2708">
        <f>YEAR(Cleaned_HR_Data_Analysis__2[[#This Row],[Joining_Date]])</f>
        <v>2020</v>
      </c>
      <c r="C2708" s="1">
        <v>43914</v>
      </c>
      <c r="D2708" s="1" t="str" cm="1">
        <f t="array" ref="D2708">_xlfn.IFS(E2708&lt;28, "17-27",
AND(E2708&gt;27, E2708&lt;38), "28-37",
AND(E2708&gt;37, E2708 &lt;48), "38-47",
AND(E2708&gt;47, E2708 &lt;58), "48-57",
AND(E2708&gt;57, E2708&lt;68), "58-67",
AND(E2708&gt;67, E2708&lt;78), "68-77",
E2708&gt;77,"Above than 77")</f>
        <v>68-77</v>
      </c>
      <c r="E2708">
        <v>77</v>
      </c>
      <c r="F2708" s="1">
        <v>15901</v>
      </c>
      <c r="G2708" s="1" t="str">
        <f>VLOOKUP(H2708,Table7[#All], 2, FALSE)</f>
        <v>Massachusetts</v>
      </c>
      <c r="H2708" s="2" t="s">
        <v>14</v>
      </c>
      <c r="I2708" s="2" t="s">
        <v>22</v>
      </c>
      <c r="J2708" s="2" t="s">
        <v>31</v>
      </c>
      <c r="K2708" s="2" t="s">
        <v>64</v>
      </c>
      <c r="L2708" s="2" t="s">
        <v>9</v>
      </c>
      <c r="M2708" s="2" t="s">
        <v>20</v>
      </c>
      <c r="N2708" s="2" t="s">
        <v>26</v>
      </c>
      <c r="O2708" s="2" t="s">
        <v>12</v>
      </c>
      <c r="P2708" s="2" t="s">
        <v>42</v>
      </c>
      <c r="Q2708" s="2" t="s">
        <v>30</v>
      </c>
      <c r="R2708" s="2" t="s">
        <v>18</v>
      </c>
      <c r="S2708">
        <v>2</v>
      </c>
    </row>
    <row r="2709" spans="1:19" x14ac:dyDescent="0.3">
      <c r="A2709">
        <v>2828</v>
      </c>
      <c r="B2709">
        <f>YEAR(Cleaned_HR_Data_Analysis__2[[#This Row],[Joining_Date]])</f>
        <v>2021</v>
      </c>
      <c r="C2709" s="1">
        <v>44484</v>
      </c>
      <c r="D2709" s="1" t="str" cm="1">
        <f t="array" ref="D2709">_xlfn.IFS(E2709&lt;28, "17-27",
AND(E2709&gt;27, E2709&lt;38), "28-37",
AND(E2709&gt;37, E2709 &lt;48), "38-47",
AND(E2709&gt;47, E2709 &lt;58), "48-57",
AND(E2709&gt;57, E2709&lt;68), "58-67",
AND(E2709&gt;67, E2709&lt;78), "68-77",
E2709&gt;77,"Above than 77")</f>
        <v>68-77</v>
      </c>
      <c r="E2709">
        <v>77</v>
      </c>
      <c r="F2709" s="1">
        <v>16203</v>
      </c>
      <c r="G2709" s="1" t="str">
        <f>VLOOKUP(H2709,Table7[#All], 2, FALSE)</f>
        <v>Massachusetts</v>
      </c>
      <c r="H2709" s="2" t="s">
        <v>14</v>
      </c>
      <c r="I2709" s="2" t="s">
        <v>15</v>
      </c>
      <c r="J2709" s="2" t="s">
        <v>31</v>
      </c>
      <c r="K2709" s="2" t="s">
        <v>64</v>
      </c>
      <c r="L2709" s="2" t="s">
        <v>66</v>
      </c>
      <c r="M2709" s="2" t="s">
        <v>25</v>
      </c>
      <c r="N2709" s="2" t="s">
        <v>19</v>
      </c>
      <c r="O2709" s="2" t="s">
        <v>12</v>
      </c>
      <c r="P2709" s="2" t="s">
        <v>35</v>
      </c>
      <c r="Q2709" s="2" t="s">
        <v>37</v>
      </c>
      <c r="R2709" s="2" t="s">
        <v>18</v>
      </c>
      <c r="S2709">
        <v>5</v>
      </c>
    </row>
    <row r="2710" spans="1:19" x14ac:dyDescent="0.3">
      <c r="A2710">
        <v>2762</v>
      </c>
      <c r="B2710">
        <f>YEAR(Cleaned_HR_Data_Analysis__2[[#This Row],[Joining_Date]])</f>
        <v>2021</v>
      </c>
      <c r="C2710" s="1">
        <v>44374</v>
      </c>
      <c r="D2710" s="1" t="str" cm="1">
        <f t="array" ref="D2710">_xlfn.IFS(E2710&lt;28, "17-27",
AND(E2710&gt;27, E2710&lt;38), "28-37",
AND(E2710&gt;37, E2710 &lt;48), "38-47",
AND(E2710&gt;47, E2710 &lt;58), "48-57",
AND(E2710&gt;57, E2710&lt;68), "58-67",
AND(E2710&gt;67, E2710&lt;78), "68-77",
E2710&gt;77,"Above than 77")</f>
        <v>68-77</v>
      </c>
      <c r="E2710">
        <v>77</v>
      </c>
      <c r="F2710" s="1">
        <v>16415</v>
      </c>
      <c r="G2710" s="1" t="str">
        <f>VLOOKUP(H2710,Table7[#All], 2, FALSE)</f>
        <v>Massachusetts</v>
      </c>
      <c r="H2710" s="2" t="s">
        <v>14</v>
      </c>
      <c r="I2710" s="2" t="s">
        <v>15</v>
      </c>
      <c r="J2710" s="2" t="s">
        <v>31</v>
      </c>
      <c r="K2710" s="2" t="s">
        <v>64</v>
      </c>
      <c r="L2710" s="2" t="s">
        <v>66</v>
      </c>
      <c r="M2710" s="2" t="s">
        <v>20</v>
      </c>
      <c r="N2710" s="2" t="s">
        <v>19</v>
      </c>
      <c r="O2710" s="2" t="s">
        <v>12</v>
      </c>
      <c r="P2710" s="2" t="s">
        <v>35</v>
      </c>
      <c r="Q2710" s="2" t="s">
        <v>46</v>
      </c>
      <c r="R2710" s="2" t="s">
        <v>18</v>
      </c>
      <c r="S2710">
        <v>1</v>
      </c>
    </row>
    <row r="2711" spans="1:19" x14ac:dyDescent="0.3">
      <c r="A2711">
        <v>3756</v>
      </c>
      <c r="B2711">
        <f>YEAR(Cleaned_HR_Data_Analysis__2[[#This Row],[Joining_Date]])</f>
        <v>2021</v>
      </c>
      <c r="C2711" s="1">
        <v>44340</v>
      </c>
      <c r="D2711" s="1" t="str" cm="1">
        <f t="array" ref="D2711">_xlfn.IFS(E2711&lt;28, "17-27",
AND(E2711&gt;27, E2711&lt;38), "28-37",
AND(E2711&gt;37, E2711 &lt;48), "38-47",
AND(E2711&gt;47, E2711 &lt;58), "48-57",
AND(E2711&gt;57, E2711&lt;68), "58-67",
AND(E2711&gt;67, E2711&lt;78), "68-77",
E2711&gt;77,"Above than 77")</f>
        <v>68-77</v>
      </c>
      <c r="E2711">
        <v>77</v>
      </c>
      <c r="F2711" s="1">
        <v>16224</v>
      </c>
      <c r="G2711" s="1" t="str">
        <f>VLOOKUP(H2711,Table7[#All], 2, FALSE)</f>
        <v>Massachusetts</v>
      </c>
      <c r="H2711" s="2" t="s">
        <v>14</v>
      </c>
      <c r="I2711" s="2" t="s">
        <v>15</v>
      </c>
      <c r="J2711" s="2" t="s">
        <v>34</v>
      </c>
      <c r="K2711" s="2" t="s">
        <v>8</v>
      </c>
      <c r="L2711" s="2" t="s">
        <v>9</v>
      </c>
      <c r="M2711" s="2" t="s">
        <v>25</v>
      </c>
      <c r="N2711" s="2" t="s">
        <v>19</v>
      </c>
      <c r="O2711" s="2" t="s">
        <v>12</v>
      </c>
      <c r="P2711" s="2" t="s">
        <v>35</v>
      </c>
      <c r="Q2711" s="2" t="s">
        <v>23</v>
      </c>
      <c r="R2711" s="2" t="s">
        <v>18</v>
      </c>
      <c r="S2711">
        <v>5</v>
      </c>
    </row>
    <row r="2712" spans="1:19" x14ac:dyDescent="0.3">
      <c r="A2712">
        <v>3747</v>
      </c>
      <c r="B2712">
        <f>YEAR(Cleaned_HR_Data_Analysis__2[[#This Row],[Joining_Date]])</f>
        <v>2021</v>
      </c>
      <c r="C2712" s="1">
        <v>44448</v>
      </c>
      <c r="D2712" s="1" t="str" cm="1">
        <f t="array" ref="D2712">_xlfn.IFS(E2712&lt;28, "17-27",
AND(E2712&gt;27, E2712&lt;38), "28-37",
AND(E2712&gt;37, E2712 &lt;48), "38-47",
AND(E2712&gt;47, E2712 &lt;58), "48-57",
AND(E2712&gt;57, E2712&lt;68), "58-67",
AND(E2712&gt;67, E2712&lt;78), "68-77",
E2712&gt;77,"Above than 77")</f>
        <v>68-77</v>
      </c>
      <c r="E2712">
        <v>77</v>
      </c>
      <c r="F2712" s="1">
        <v>16119</v>
      </c>
      <c r="G2712" s="1" t="str">
        <f>VLOOKUP(H2712,Table7[#All], 2, FALSE)</f>
        <v>Massachusetts</v>
      </c>
      <c r="H2712" s="2" t="s">
        <v>14</v>
      </c>
      <c r="I2712" s="2" t="s">
        <v>22</v>
      </c>
      <c r="J2712" s="2" t="s">
        <v>17</v>
      </c>
      <c r="K2712" s="2" t="s">
        <v>8</v>
      </c>
      <c r="L2712" s="2" t="s">
        <v>66</v>
      </c>
      <c r="M2712" s="2" t="s">
        <v>20</v>
      </c>
      <c r="N2712" s="2" t="s">
        <v>11</v>
      </c>
      <c r="O2712" s="2" t="s">
        <v>12</v>
      </c>
      <c r="P2712" s="2" t="s">
        <v>68</v>
      </c>
      <c r="Q2712" s="2" t="s">
        <v>37</v>
      </c>
      <c r="R2712" s="2" t="s">
        <v>18</v>
      </c>
      <c r="S2712">
        <v>5</v>
      </c>
    </row>
    <row r="2713" spans="1:19" x14ac:dyDescent="0.3">
      <c r="A2713">
        <v>3632</v>
      </c>
      <c r="B2713">
        <f>YEAR(Cleaned_HR_Data_Analysis__2[[#This Row],[Joining_Date]])</f>
        <v>2022</v>
      </c>
      <c r="C2713" s="1">
        <v>44828</v>
      </c>
      <c r="D2713" s="1" t="str" cm="1">
        <f t="array" ref="D2713">_xlfn.IFS(E2713&lt;28, "17-27",
AND(E2713&gt;27, E2713&lt;38), "28-37",
AND(E2713&gt;37, E2713 &lt;48), "38-47",
AND(E2713&gt;47, E2713 &lt;58), "48-57",
AND(E2713&gt;57, E2713&lt;68), "58-67",
AND(E2713&gt;67, E2713&lt;78), "68-77",
E2713&gt;77,"Above than 77")</f>
        <v>68-77</v>
      </c>
      <c r="E2713">
        <v>77</v>
      </c>
      <c r="F2713" s="1">
        <v>16713</v>
      </c>
      <c r="G2713" s="1" t="str">
        <f>VLOOKUP(H2713,Table7[#All], 2, FALSE)</f>
        <v>Massachusetts</v>
      </c>
      <c r="H2713" s="2" t="s">
        <v>14</v>
      </c>
      <c r="I2713" s="2" t="s">
        <v>22</v>
      </c>
      <c r="J2713" s="2" t="s">
        <v>34</v>
      </c>
      <c r="K2713" s="2" t="s">
        <v>8</v>
      </c>
      <c r="L2713" s="2" t="s">
        <v>9</v>
      </c>
      <c r="M2713" s="2" t="s">
        <v>10</v>
      </c>
      <c r="N2713" s="2" t="s">
        <v>11</v>
      </c>
      <c r="O2713" s="2" t="s">
        <v>12</v>
      </c>
      <c r="P2713" s="2" t="s">
        <v>35</v>
      </c>
      <c r="Q2713" s="2" t="s">
        <v>46</v>
      </c>
      <c r="R2713" s="2" t="s">
        <v>18</v>
      </c>
      <c r="S2713">
        <v>4</v>
      </c>
    </row>
    <row r="2714" spans="1:19" x14ac:dyDescent="0.3">
      <c r="A2714">
        <v>3581</v>
      </c>
      <c r="B2714">
        <f>YEAR(Cleaned_HR_Data_Analysis__2[[#This Row],[Joining_Date]])</f>
        <v>2020</v>
      </c>
      <c r="C2714" s="1">
        <v>44155</v>
      </c>
      <c r="D2714" s="1" t="str" cm="1">
        <f t="array" ref="D2714">_xlfn.IFS(E2714&lt;28, "17-27",
AND(E2714&gt;27, E2714&lt;38), "28-37",
AND(E2714&gt;37, E2714 &lt;48), "38-47",
AND(E2714&gt;47, E2714 &lt;58), "48-57",
AND(E2714&gt;57, E2714&lt;68), "58-67",
AND(E2714&gt;67, E2714&lt;78), "68-77",
E2714&gt;77,"Above than 77")</f>
        <v>68-77</v>
      </c>
      <c r="E2714">
        <v>77</v>
      </c>
      <c r="F2714" s="1">
        <v>15773</v>
      </c>
      <c r="G2714" s="1" t="str">
        <f>VLOOKUP(H2714,Table7[#All], 2, FALSE)</f>
        <v>Massachusetts</v>
      </c>
      <c r="H2714" s="2" t="s">
        <v>14</v>
      </c>
      <c r="I2714" s="2" t="s">
        <v>22</v>
      </c>
      <c r="J2714" s="2" t="s">
        <v>40</v>
      </c>
      <c r="K2714" s="2" t="s">
        <v>8</v>
      </c>
      <c r="L2714" s="2" t="s">
        <v>9</v>
      </c>
      <c r="M2714" s="2" t="s">
        <v>25</v>
      </c>
      <c r="N2714" s="2" t="s">
        <v>19</v>
      </c>
      <c r="O2714" s="2" t="s">
        <v>12</v>
      </c>
      <c r="P2714" s="2" t="s">
        <v>59</v>
      </c>
      <c r="Q2714" s="2" t="s">
        <v>30</v>
      </c>
      <c r="R2714" s="2" t="s">
        <v>18</v>
      </c>
      <c r="S2714">
        <v>4</v>
      </c>
    </row>
    <row r="2715" spans="1:19" x14ac:dyDescent="0.3">
      <c r="A2715">
        <v>3580</v>
      </c>
      <c r="B2715">
        <f>YEAR(Cleaned_HR_Data_Analysis__2[[#This Row],[Joining_Date]])</f>
        <v>2019</v>
      </c>
      <c r="C2715" s="1">
        <v>43815</v>
      </c>
      <c r="D2715" s="1" t="str" cm="1">
        <f t="array" ref="D2715">_xlfn.IFS(E2715&lt;28, "17-27",
AND(E2715&gt;27, E2715&lt;38), "28-37",
AND(E2715&gt;37, E2715 &lt;48), "38-47",
AND(E2715&gt;47, E2715 &lt;58), "48-57",
AND(E2715&gt;57, E2715&lt;68), "58-67",
AND(E2715&gt;67, E2715&lt;78), "68-77",
E2715&gt;77,"Above than 77")</f>
        <v>68-77</v>
      </c>
      <c r="E2715">
        <v>77</v>
      </c>
      <c r="F2715" s="1">
        <v>15452</v>
      </c>
      <c r="G2715" s="1" t="str">
        <f>VLOOKUP(H2715,Table7[#All], 2, FALSE)</f>
        <v>Massachusetts</v>
      </c>
      <c r="H2715" s="2" t="s">
        <v>14</v>
      </c>
      <c r="I2715" s="2" t="s">
        <v>22</v>
      </c>
      <c r="J2715" s="2" t="s">
        <v>34</v>
      </c>
      <c r="K2715" s="2" t="s">
        <v>8</v>
      </c>
      <c r="L2715" s="2" t="s">
        <v>9</v>
      </c>
      <c r="M2715" s="2" t="s">
        <v>25</v>
      </c>
      <c r="N2715" s="2" t="s">
        <v>11</v>
      </c>
      <c r="O2715" s="2" t="s">
        <v>12</v>
      </c>
      <c r="P2715" s="2" t="s">
        <v>35</v>
      </c>
      <c r="Q2715" s="2" t="s">
        <v>30</v>
      </c>
      <c r="R2715" s="2" t="s">
        <v>18</v>
      </c>
      <c r="S2715">
        <v>4</v>
      </c>
    </row>
    <row r="2716" spans="1:19" x14ac:dyDescent="0.3">
      <c r="A2716">
        <v>3361</v>
      </c>
      <c r="B2716">
        <f>YEAR(Cleaned_HR_Data_Analysis__2[[#This Row],[Joining_Date]])</f>
        <v>2020</v>
      </c>
      <c r="C2716" s="1">
        <v>44194</v>
      </c>
      <c r="D2716" s="1" t="str" cm="1">
        <f t="array" ref="D2716">_xlfn.IFS(E2716&lt;28, "17-27",
AND(E2716&gt;27, E2716&lt;38), "28-37",
AND(E2716&gt;37, E2716 &lt;48), "38-47",
AND(E2716&gt;47, E2716 &lt;58), "48-57",
AND(E2716&gt;57, E2716&lt;68), "58-67",
AND(E2716&gt;67, E2716&lt;78), "68-77",
E2716&gt;77,"Above than 77")</f>
        <v>68-77</v>
      </c>
      <c r="E2716">
        <v>77</v>
      </c>
      <c r="F2716" s="1">
        <v>15983</v>
      </c>
      <c r="G2716" s="1" t="str">
        <f>VLOOKUP(H2716,Table7[#All], 2, FALSE)</f>
        <v>Massachusetts</v>
      </c>
      <c r="H2716" s="2" t="s">
        <v>14</v>
      </c>
      <c r="I2716" s="2" t="s">
        <v>15</v>
      </c>
      <c r="J2716" s="2" t="s">
        <v>31</v>
      </c>
      <c r="K2716" s="2" t="s">
        <v>8</v>
      </c>
      <c r="L2716" s="2" t="s">
        <v>66</v>
      </c>
      <c r="M2716" s="2" t="s">
        <v>20</v>
      </c>
      <c r="N2716" s="2" t="s">
        <v>26</v>
      </c>
      <c r="O2716" s="2" t="s">
        <v>12</v>
      </c>
      <c r="P2716" s="2" t="s">
        <v>32</v>
      </c>
      <c r="Q2716" s="2" t="s">
        <v>30</v>
      </c>
      <c r="R2716" s="2" t="s">
        <v>41</v>
      </c>
      <c r="S2716">
        <v>3</v>
      </c>
    </row>
    <row r="2717" spans="1:19" x14ac:dyDescent="0.3">
      <c r="A2717">
        <v>3229</v>
      </c>
      <c r="B2717">
        <f>YEAR(Cleaned_HR_Data_Analysis__2[[#This Row],[Joining_Date]])</f>
        <v>2022</v>
      </c>
      <c r="C2717" s="1">
        <v>44913</v>
      </c>
      <c r="D2717" s="1" t="str" cm="1">
        <f t="array" ref="D2717">_xlfn.IFS(E2717&lt;28, "17-27",
AND(E2717&gt;27, E2717&lt;38), "28-37",
AND(E2717&gt;37, E2717 &lt;48), "38-47",
AND(E2717&gt;47, E2717 &lt;58), "48-57",
AND(E2717&gt;57, E2717&lt;68), "58-67",
AND(E2717&gt;67, E2717&lt;78), "68-77",
E2717&gt;77,"Above than 77")</f>
        <v>68-77</v>
      </c>
      <c r="E2717">
        <v>77</v>
      </c>
      <c r="F2717" s="1">
        <v>16789</v>
      </c>
      <c r="G2717" s="1" t="str">
        <f>VLOOKUP(H2717,Table7[#All], 2, FALSE)</f>
        <v>Massachusetts</v>
      </c>
      <c r="H2717" s="2" t="s">
        <v>14</v>
      </c>
      <c r="I2717" s="2" t="s">
        <v>22</v>
      </c>
      <c r="J2717" s="2" t="s">
        <v>17</v>
      </c>
      <c r="K2717" s="2" t="s">
        <v>8</v>
      </c>
      <c r="L2717" s="2" t="s">
        <v>9</v>
      </c>
      <c r="M2717" s="2" t="s">
        <v>10</v>
      </c>
      <c r="N2717" s="2" t="s">
        <v>11</v>
      </c>
      <c r="O2717" s="2" t="s">
        <v>12</v>
      </c>
      <c r="P2717" s="2" t="s">
        <v>42</v>
      </c>
      <c r="Q2717" s="2" t="s">
        <v>30</v>
      </c>
      <c r="R2717" s="2" t="s">
        <v>18</v>
      </c>
      <c r="S2717">
        <v>3</v>
      </c>
    </row>
    <row r="2718" spans="1:19" x14ac:dyDescent="0.3">
      <c r="A2718">
        <v>3191</v>
      </c>
      <c r="B2718">
        <f>YEAR(Cleaned_HR_Data_Analysis__2[[#This Row],[Joining_Date]])</f>
        <v>2022</v>
      </c>
      <c r="C2718" s="1">
        <v>44748</v>
      </c>
      <c r="D2718" s="1" t="str" cm="1">
        <f t="array" ref="D2718">_xlfn.IFS(E2718&lt;28, "17-27",
AND(E2718&gt;27, E2718&lt;38), "28-37",
AND(E2718&gt;37, E2718 &lt;48), "38-47",
AND(E2718&gt;47, E2718 &lt;58), "48-57",
AND(E2718&gt;57, E2718&lt;68), "58-67",
AND(E2718&gt;67, E2718&lt;78), "68-77",
E2718&gt;77,"Above than 77")</f>
        <v>68-77</v>
      </c>
      <c r="E2718">
        <v>77</v>
      </c>
      <c r="F2718" s="1">
        <v>16465</v>
      </c>
      <c r="G2718" s="1" t="str">
        <f>VLOOKUP(H2718,Table7[#All], 2, FALSE)</f>
        <v>Massachusetts</v>
      </c>
      <c r="H2718" s="2" t="s">
        <v>14</v>
      </c>
      <c r="I2718" s="2" t="s">
        <v>22</v>
      </c>
      <c r="J2718" s="2" t="s">
        <v>34</v>
      </c>
      <c r="K2718" s="2" t="s">
        <v>8</v>
      </c>
      <c r="L2718" s="2" t="s">
        <v>9</v>
      </c>
      <c r="M2718" s="2" t="s">
        <v>20</v>
      </c>
      <c r="N2718" s="2" t="s">
        <v>19</v>
      </c>
      <c r="O2718" s="2" t="s">
        <v>12</v>
      </c>
      <c r="P2718" s="2" t="s">
        <v>68</v>
      </c>
      <c r="Q2718" s="2" t="s">
        <v>37</v>
      </c>
      <c r="R2718" s="2" t="s">
        <v>18</v>
      </c>
      <c r="S2718">
        <v>2</v>
      </c>
    </row>
    <row r="2719" spans="1:19" x14ac:dyDescent="0.3">
      <c r="A2719">
        <v>3105</v>
      </c>
      <c r="B2719">
        <f>YEAR(Cleaned_HR_Data_Analysis__2[[#This Row],[Joining_Date]])</f>
        <v>2020</v>
      </c>
      <c r="C2719" s="1">
        <v>43989</v>
      </c>
      <c r="D2719" s="1" t="str" cm="1">
        <f t="array" ref="D2719">_xlfn.IFS(E2719&lt;28, "17-27",
AND(E2719&gt;27, E2719&lt;38), "28-37",
AND(E2719&gt;37, E2719 &lt;48), "38-47",
AND(E2719&gt;47, E2719 &lt;58), "48-57",
AND(E2719&gt;57, E2719&lt;68), "58-67",
AND(E2719&gt;67, E2719&lt;78), "68-77",
E2719&gt;77,"Above than 77")</f>
        <v>68-77</v>
      </c>
      <c r="E2719">
        <v>77</v>
      </c>
      <c r="F2719" s="1">
        <v>15838</v>
      </c>
      <c r="G2719" s="1" t="str">
        <f>VLOOKUP(H2719,Table7[#All], 2, FALSE)</f>
        <v>Massachusetts</v>
      </c>
      <c r="H2719" s="2" t="s">
        <v>14</v>
      </c>
      <c r="I2719" s="2" t="s">
        <v>22</v>
      </c>
      <c r="J2719" s="2" t="s">
        <v>34</v>
      </c>
      <c r="K2719" s="2" t="s">
        <v>8</v>
      </c>
      <c r="L2719" s="2" t="s">
        <v>9</v>
      </c>
      <c r="M2719" s="2" t="s">
        <v>25</v>
      </c>
      <c r="N2719" s="2" t="s">
        <v>26</v>
      </c>
      <c r="O2719" s="2" t="s">
        <v>12</v>
      </c>
      <c r="P2719" s="2" t="s">
        <v>55</v>
      </c>
      <c r="Q2719" s="2" t="s">
        <v>37</v>
      </c>
      <c r="R2719" s="2" t="s">
        <v>18</v>
      </c>
      <c r="S2719">
        <v>1</v>
      </c>
    </row>
    <row r="2720" spans="1:19" x14ac:dyDescent="0.3">
      <c r="A2720">
        <v>2974</v>
      </c>
      <c r="B2720">
        <f>YEAR(Cleaned_HR_Data_Analysis__2[[#This Row],[Joining_Date]])</f>
        <v>2022</v>
      </c>
      <c r="C2720" s="1">
        <v>44869</v>
      </c>
      <c r="D2720" s="1" t="str" cm="1">
        <f t="array" ref="D2720">_xlfn.IFS(E2720&lt;28, "17-27",
AND(E2720&gt;27, E2720&lt;38), "28-37",
AND(E2720&gt;37, E2720 &lt;48), "38-47",
AND(E2720&gt;47, E2720 &lt;58), "48-57",
AND(E2720&gt;57, E2720&lt;68), "58-67",
AND(E2720&gt;67, E2720&lt;78), "68-77",
E2720&gt;77,"Above than 77")</f>
        <v>68-77</v>
      </c>
      <c r="E2720">
        <v>77</v>
      </c>
      <c r="F2720" s="1">
        <v>16474</v>
      </c>
      <c r="G2720" s="1" t="str">
        <f>VLOOKUP(H2720,Table7[#All], 2, FALSE)</f>
        <v>Massachusetts</v>
      </c>
      <c r="H2720" s="2" t="s">
        <v>14</v>
      </c>
      <c r="I2720" s="2" t="s">
        <v>15</v>
      </c>
      <c r="J2720" s="2" t="s">
        <v>31</v>
      </c>
      <c r="K2720" s="2" t="s">
        <v>8</v>
      </c>
      <c r="L2720" s="2" t="s">
        <v>9</v>
      </c>
      <c r="M2720" s="2" t="s">
        <v>25</v>
      </c>
      <c r="N2720" s="2" t="s">
        <v>11</v>
      </c>
      <c r="O2720" s="2" t="s">
        <v>12</v>
      </c>
      <c r="P2720" s="2" t="s">
        <v>35</v>
      </c>
      <c r="Q2720" s="2" t="s">
        <v>37</v>
      </c>
      <c r="R2720" s="2" t="s">
        <v>18</v>
      </c>
      <c r="S2720">
        <v>5</v>
      </c>
    </row>
    <row r="2721" spans="1:19" x14ac:dyDescent="0.3">
      <c r="A2721">
        <v>2893</v>
      </c>
      <c r="B2721">
        <f>YEAR(Cleaned_HR_Data_Analysis__2[[#This Row],[Joining_Date]])</f>
        <v>2022</v>
      </c>
      <c r="C2721" s="1">
        <v>44616</v>
      </c>
      <c r="D2721" s="1" t="str" cm="1">
        <f t="array" ref="D2721">_xlfn.IFS(E2721&lt;28, "17-27",
AND(E2721&gt;27, E2721&lt;38), "28-37",
AND(E2721&gt;37, E2721 &lt;48), "38-47",
AND(E2721&gt;47, E2721 &lt;58), "48-57",
AND(E2721&gt;57, E2721&lt;68), "58-67",
AND(E2721&gt;67, E2721&lt;78), "68-77",
E2721&gt;77,"Above than 77")</f>
        <v>68-77</v>
      </c>
      <c r="E2721">
        <v>77</v>
      </c>
      <c r="F2721" s="1">
        <v>16462</v>
      </c>
      <c r="G2721" s="1" t="str">
        <f>VLOOKUP(H2721,Table7[#All], 2, FALSE)</f>
        <v>Massachusetts</v>
      </c>
      <c r="H2721" s="2" t="s">
        <v>14</v>
      </c>
      <c r="I2721" s="2" t="s">
        <v>22</v>
      </c>
      <c r="J2721" s="2" t="s">
        <v>40</v>
      </c>
      <c r="K2721" s="2" t="s">
        <v>8</v>
      </c>
      <c r="L2721" s="2" t="s">
        <v>9</v>
      </c>
      <c r="M2721" s="2" t="s">
        <v>25</v>
      </c>
      <c r="N2721" s="2" t="s">
        <v>19</v>
      </c>
      <c r="O2721" s="2" t="s">
        <v>12</v>
      </c>
      <c r="P2721" s="2" t="s">
        <v>35</v>
      </c>
      <c r="Q2721" s="2" t="s">
        <v>16</v>
      </c>
      <c r="R2721" s="2" t="s">
        <v>18</v>
      </c>
      <c r="S2721">
        <v>1</v>
      </c>
    </row>
    <row r="2722" spans="1:19" x14ac:dyDescent="0.3">
      <c r="A2722">
        <v>2854</v>
      </c>
      <c r="B2722">
        <f>YEAR(Cleaned_HR_Data_Analysis__2[[#This Row],[Joining_Date]])</f>
        <v>2022</v>
      </c>
      <c r="C2722" s="1">
        <v>44775</v>
      </c>
      <c r="D2722" s="1" t="str" cm="1">
        <f t="array" ref="D2722">_xlfn.IFS(E2722&lt;28, "17-27",
AND(E2722&gt;27, E2722&lt;38), "28-37",
AND(E2722&gt;37, E2722 &lt;48), "38-47",
AND(E2722&gt;47, E2722 &lt;58), "48-57",
AND(E2722&gt;57, E2722&lt;68), "58-67",
AND(E2722&gt;67, E2722&lt;78), "68-77",
E2722&gt;77,"Above than 77")</f>
        <v>68-77</v>
      </c>
      <c r="E2722">
        <v>77</v>
      </c>
      <c r="F2722" s="1">
        <v>16789</v>
      </c>
      <c r="G2722" s="1" t="str">
        <f>VLOOKUP(H2722,Table7[#All], 2, FALSE)</f>
        <v>Massachusetts</v>
      </c>
      <c r="H2722" s="2" t="s">
        <v>14</v>
      </c>
      <c r="I2722" s="2" t="s">
        <v>15</v>
      </c>
      <c r="J2722" s="2" t="s">
        <v>34</v>
      </c>
      <c r="K2722" s="2" t="s">
        <v>8</v>
      </c>
      <c r="L2722" s="2" t="s">
        <v>9</v>
      </c>
      <c r="M2722" s="2" t="s">
        <v>20</v>
      </c>
      <c r="N2722" s="2" t="s">
        <v>19</v>
      </c>
      <c r="O2722" s="2" t="s">
        <v>12</v>
      </c>
      <c r="P2722" s="2" t="s">
        <v>44</v>
      </c>
      <c r="Q2722" s="2" t="s">
        <v>23</v>
      </c>
      <c r="R2722" s="2" t="s">
        <v>56</v>
      </c>
      <c r="S2722">
        <v>3</v>
      </c>
    </row>
    <row r="2723" spans="1:19" x14ac:dyDescent="0.3">
      <c r="A2723">
        <v>2837</v>
      </c>
      <c r="B2723">
        <f>YEAR(Cleaned_HR_Data_Analysis__2[[#This Row],[Joining_Date]])</f>
        <v>2021</v>
      </c>
      <c r="C2723" s="1">
        <v>44275</v>
      </c>
      <c r="D2723" s="1" t="str" cm="1">
        <f t="array" ref="D2723">_xlfn.IFS(E2723&lt;28, "17-27",
AND(E2723&gt;27, E2723&lt;38), "28-37",
AND(E2723&gt;37, E2723 &lt;48), "38-47",
AND(E2723&gt;47, E2723 &lt;58), "48-57",
AND(E2723&gt;57, E2723&lt;68), "58-67",
AND(E2723&gt;67, E2723&lt;78), "68-77",
E2723&gt;77,"Above than 77")</f>
        <v>68-77</v>
      </c>
      <c r="E2723">
        <v>77</v>
      </c>
      <c r="F2723" s="1">
        <v>16263</v>
      </c>
      <c r="G2723" s="1" t="str">
        <f>VLOOKUP(H2723,Table7[#All], 2, FALSE)</f>
        <v>Massachusetts</v>
      </c>
      <c r="H2723" s="2" t="s">
        <v>14</v>
      </c>
      <c r="I2723" s="2" t="s">
        <v>22</v>
      </c>
      <c r="J2723" s="2" t="s">
        <v>31</v>
      </c>
      <c r="K2723" s="2" t="s">
        <v>8</v>
      </c>
      <c r="L2723" s="2" t="s">
        <v>9</v>
      </c>
      <c r="M2723" s="2" t="s">
        <v>20</v>
      </c>
      <c r="N2723" s="2" t="s">
        <v>11</v>
      </c>
      <c r="O2723" s="2" t="s">
        <v>12</v>
      </c>
      <c r="P2723" s="2" t="s">
        <v>49</v>
      </c>
      <c r="Q2723" s="2" t="s">
        <v>46</v>
      </c>
      <c r="R2723" s="2" t="s">
        <v>18</v>
      </c>
      <c r="S2723">
        <v>1</v>
      </c>
    </row>
    <row r="2724" spans="1:19" x14ac:dyDescent="0.3">
      <c r="A2724">
        <v>2155</v>
      </c>
      <c r="B2724">
        <f>YEAR(Cleaned_HR_Data_Analysis__2[[#This Row],[Joining_Date]])</f>
        <v>2019</v>
      </c>
      <c r="C2724" s="1">
        <v>43645</v>
      </c>
      <c r="D2724" s="1" t="str" cm="1">
        <f t="array" ref="D2724">_xlfn.IFS(E2724&lt;28, "17-27",
AND(E2724&gt;27, E2724&lt;38), "28-37",
AND(E2724&gt;37, E2724 &lt;48), "38-47",
AND(E2724&gt;47, E2724 &lt;58), "48-57",
AND(E2724&gt;57, E2724&lt;68), "58-67",
AND(E2724&gt;67, E2724&lt;78), "68-77",
E2724&gt;77,"Above than 77")</f>
        <v>68-77</v>
      </c>
      <c r="E2724">
        <v>77</v>
      </c>
      <c r="F2724" s="1">
        <v>15396</v>
      </c>
      <c r="G2724" s="1" t="str">
        <f>VLOOKUP(H2724,Table7[#All], 2, FALSE)</f>
        <v>Massachusetts</v>
      </c>
      <c r="H2724" s="2" t="s">
        <v>14</v>
      </c>
      <c r="I2724" s="2" t="s">
        <v>15</v>
      </c>
      <c r="J2724" s="2" t="s">
        <v>31</v>
      </c>
      <c r="K2724" s="2" t="s">
        <v>8</v>
      </c>
      <c r="L2724" s="2" t="s">
        <v>66</v>
      </c>
      <c r="M2724" s="2" t="s">
        <v>20</v>
      </c>
      <c r="N2724" s="2" t="s">
        <v>26</v>
      </c>
      <c r="O2724" s="2" t="s">
        <v>12</v>
      </c>
      <c r="P2724" s="2" t="s">
        <v>13</v>
      </c>
      <c r="Q2724" s="2" t="s">
        <v>30</v>
      </c>
      <c r="R2724" s="2" t="s">
        <v>41</v>
      </c>
      <c r="S2724">
        <v>2</v>
      </c>
    </row>
    <row r="2725" spans="1:19" x14ac:dyDescent="0.3">
      <c r="A2725">
        <v>2077</v>
      </c>
      <c r="B2725">
        <f>YEAR(Cleaned_HR_Data_Analysis__2[[#This Row],[Joining_Date]])</f>
        <v>2020</v>
      </c>
      <c r="C2725" s="1">
        <v>44153</v>
      </c>
      <c r="D2725" s="1" t="str" cm="1">
        <f t="array" ref="D2725">_xlfn.IFS(E2725&lt;28, "17-27",
AND(E2725&gt;27, E2725&lt;38), "28-37",
AND(E2725&gt;37, E2725 &lt;48), "38-47",
AND(E2725&gt;47, E2725 &lt;58), "48-57",
AND(E2725&gt;57, E2725&lt;68), "58-67",
AND(E2725&gt;67, E2725&lt;78), "68-77",
E2725&gt;77,"Above than 77")</f>
        <v>68-77</v>
      </c>
      <c r="E2725">
        <v>77</v>
      </c>
      <c r="F2725" s="1">
        <v>16065</v>
      </c>
      <c r="G2725" s="1" t="str">
        <f>VLOOKUP(H2725,Table7[#All], 2, FALSE)</f>
        <v>Massachusetts</v>
      </c>
      <c r="H2725" s="2" t="s">
        <v>14</v>
      </c>
      <c r="I2725" s="2" t="s">
        <v>15</v>
      </c>
      <c r="J2725" s="2" t="s">
        <v>34</v>
      </c>
      <c r="K2725" s="2" t="s">
        <v>8</v>
      </c>
      <c r="L2725" s="2" t="s">
        <v>9</v>
      </c>
      <c r="M2725" s="2" t="s">
        <v>25</v>
      </c>
      <c r="N2725" s="2" t="s">
        <v>19</v>
      </c>
      <c r="O2725" s="2" t="s">
        <v>12</v>
      </c>
      <c r="P2725" s="2" t="s">
        <v>32</v>
      </c>
      <c r="Q2725" s="2" t="s">
        <v>46</v>
      </c>
      <c r="R2725" s="2" t="s">
        <v>18</v>
      </c>
      <c r="S2725">
        <v>1</v>
      </c>
    </row>
    <row r="2726" spans="1:19" x14ac:dyDescent="0.3">
      <c r="A2726">
        <v>2063</v>
      </c>
      <c r="B2726">
        <f>YEAR(Cleaned_HR_Data_Analysis__2[[#This Row],[Joining_Date]])</f>
        <v>2021</v>
      </c>
      <c r="C2726" s="1">
        <v>44336</v>
      </c>
      <c r="D2726" s="1" t="str" cm="1">
        <f t="array" ref="D2726">_xlfn.IFS(E2726&lt;28, "17-27",
AND(E2726&gt;27, E2726&lt;38), "28-37",
AND(E2726&gt;37, E2726 &lt;48), "38-47",
AND(E2726&gt;47, E2726 &lt;58), "48-57",
AND(E2726&gt;57, E2726&lt;68), "58-67",
AND(E2726&gt;67, E2726&lt;78), "68-77",
E2726&gt;77,"Above than 77")</f>
        <v>68-77</v>
      </c>
      <c r="E2726">
        <v>77</v>
      </c>
      <c r="F2726" s="1">
        <v>16157</v>
      </c>
      <c r="G2726" s="1" t="str">
        <f>VLOOKUP(H2726,Table7[#All], 2, FALSE)</f>
        <v>Massachusetts</v>
      </c>
      <c r="H2726" s="2" t="s">
        <v>14</v>
      </c>
      <c r="I2726" s="2" t="s">
        <v>15</v>
      </c>
      <c r="J2726" s="2" t="s">
        <v>34</v>
      </c>
      <c r="K2726" s="2" t="s">
        <v>8</v>
      </c>
      <c r="L2726" s="2" t="s">
        <v>9</v>
      </c>
      <c r="M2726" s="2" t="s">
        <v>10</v>
      </c>
      <c r="N2726" s="2" t="s">
        <v>26</v>
      </c>
      <c r="O2726" s="2" t="s">
        <v>12</v>
      </c>
      <c r="P2726" s="2" t="s">
        <v>21</v>
      </c>
      <c r="Q2726" s="2" t="s">
        <v>23</v>
      </c>
      <c r="R2726" s="2" t="s">
        <v>18</v>
      </c>
      <c r="S2726">
        <v>5</v>
      </c>
    </row>
    <row r="2727" spans="1:19" x14ac:dyDescent="0.3">
      <c r="A2727">
        <v>1910</v>
      </c>
      <c r="B2727">
        <f>YEAR(Cleaned_HR_Data_Analysis__2[[#This Row],[Joining_Date]])</f>
        <v>2019</v>
      </c>
      <c r="C2727" s="1">
        <v>43470</v>
      </c>
      <c r="D2727" s="1" t="str" cm="1">
        <f t="array" ref="D2727">_xlfn.IFS(E2727&lt;28, "17-27",
AND(E2727&gt;27, E2727&lt;38), "28-37",
AND(E2727&gt;37, E2727 &lt;48), "38-47",
AND(E2727&gt;47, E2727 &lt;58), "48-57",
AND(E2727&gt;57, E2727&lt;68), "58-67",
AND(E2727&gt;67, E2727&lt;78), "68-77",
E2727&gt;77,"Above than 77")</f>
        <v>68-77</v>
      </c>
      <c r="E2727">
        <v>77</v>
      </c>
      <c r="F2727" s="1">
        <v>15652</v>
      </c>
      <c r="G2727" s="1" t="str">
        <f>VLOOKUP(H2727,Table7[#All], 2, FALSE)</f>
        <v>Massachusetts</v>
      </c>
      <c r="H2727" s="2" t="s">
        <v>14</v>
      </c>
      <c r="I2727" s="2" t="s">
        <v>15</v>
      </c>
      <c r="J2727" s="2" t="s">
        <v>40</v>
      </c>
      <c r="K2727" s="2" t="s">
        <v>8</v>
      </c>
      <c r="L2727" s="2" t="s">
        <v>9</v>
      </c>
      <c r="M2727" s="2" t="s">
        <v>25</v>
      </c>
      <c r="N2727" s="2" t="s">
        <v>11</v>
      </c>
      <c r="O2727" s="2" t="s">
        <v>12</v>
      </c>
      <c r="P2727" s="2" t="s">
        <v>38</v>
      </c>
      <c r="Q2727" s="2" t="s">
        <v>23</v>
      </c>
      <c r="R2727" s="2" t="s">
        <v>18</v>
      </c>
      <c r="S2727">
        <v>4</v>
      </c>
    </row>
    <row r="2728" spans="1:19" x14ac:dyDescent="0.3">
      <c r="A2728">
        <v>1734</v>
      </c>
      <c r="B2728">
        <f>YEAR(Cleaned_HR_Data_Analysis__2[[#This Row],[Joining_Date]])</f>
        <v>2019</v>
      </c>
      <c r="C2728" s="1">
        <v>43484</v>
      </c>
      <c r="D2728" s="1" t="str" cm="1">
        <f t="array" ref="D2728">_xlfn.IFS(E2728&lt;28, "17-27",
AND(E2728&gt;27, E2728&lt;38), "28-37",
AND(E2728&gt;37, E2728 &lt;48), "38-47",
AND(E2728&gt;47, E2728 &lt;58), "48-57",
AND(E2728&gt;57, E2728&lt;68), "58-67",
AND(E2728&gt;67, E2728&lt;78), "68-77",
E2728&gt;77,"Above than 77")</f>
        <v>68-77</v>
      </c>
      <c r="E2728">
        <v>77</v>
      </c>
      <c r="F2728" s="1">
        <v>15514</v>
      </c>
      <c r="G2728" s="1" t="str">
        <f>VLOOKUP(H2728,Table7[#All], 2, FALSE)</f>
        <v>Massachusetts</v>
      </c>
      <c r="H2728" s="2" t="s">
        <v>14</v>
      </c>
      <c r="I2728" s="2" t="s">
        <v>22</v>
      </c>
      <c r="J2728" s="2" t="s">
        <v>17</v>
      </c>
      <c r="K2728" s="2" t="s">
        <v>8</v>
      </c>
      <c r="L2728" s="2" t="s">
        <v>9</v>
      </c>
      <c r="M2728" s="2" t="s">
        <v>10</v>
      </c>
      <c r="N2728" s="2" t="s">
        <v>11</v>
      </c>
      <c r="O2728" s="2" t="s">
        <v>12</v>
      </c>
      <c r="P2728" s="2" t="s">
        <v>35</v>
      </c>
      <c r="Q2728" s="2" t="s">
        <v>16</v>
      </c>
      <c r="R2728" s="2" t="s">
        <v>18</v>
      </c>
      <c r="S2728">
        <v>1</v>
      </c>
    </row>
    <row r="2729" spans="1:19" x14ac:dyDescent="0.3">
      <c r="A2729">
        <v>1584</v>
      </c>
      <c r="B2729">
        <f>YEAR(Cleaned_HR_Data_Analysis__2[[#This Row],[Joining_Date]])</f>
        <v>2020</v>
      </c>
      <c r="C2729" s="1">
        <v>43930</v>
      </c>
      <c r="D2729" s="1" t="str" cm="1">
        <f t="array" ref="D2729">_xlfn.IFS(E2729&lt;28, "17-27",
AND(E2729&gt;27, E2729&lt;38), "28-37",
AND(E2729&gt;37, E2729 &lt;48), "38-47",
AND(E2729&gt;47, E2729 &lt;58), "48-57",
AND(E2729&gt;57, E2729&lt;68), "58-67",
AND(E2729&gt;67, E2729&lt;78), "68-77",
E2729&gt;77,"Above than 77")</f>
        <v>68-77</v>
      </c>
      <c r="E2729">
        <v>77</v>
      </c>
      <c r="F2729" s="1">
        <v>15997</v>
      </c>
      <c r="G2729" s="1" t="str">
        <f>VLOOKUP(H2729,Table7[#All], 2, FALSE)</f>
        <v>Massachusetts</v>
      </c>
      <c r="H2729" s="2" t="s">
        <v>14</v>
      </c>
      <c r="I2729" s="2" t="s">
        <v>15</v>
      </c>
      <c r="J2729" s="2" t="s">
        <v>34</v>
      </c>
      <c r="K2729" s="2" t="s">
        <v>8</v>
      </c>
      <c r="L2729" s="2" t="s">
        <v>9</v>
      </c>
      <c r="M2729" s="2" t="s">
        <v>10</v>
      </c>
      <c r="N2729" s="2" t="s">
        <v>26</v>
      </c>
      <c r="O2729" s="2" t="s">
        <v>12</v>
      </c>
      <c r="P2729" s="2" t="s">
        <v>55</v>
      </c>
      <c r="Q2729" s="2" t="s">
        <v>16</v>
      </c>
      <c r="R2729" s="2" t="s">
        <v>18</v>
      </c>
      <c r="S2729">
        <v>1</v>
      </c>
    </row>
    <row r="2730" spans="1:19" x14ac:dyDescent="0.3">
      <c r="A2730">
        <v>1425</v>
      </c>
      <c r="B2730">
        <f>YEAR(Cleaned_HR_Data_Analysis__2[[#This Row],[Joining_Date]])</f>
        <v>2019</v>
      </c>
      <c r="C2730" s="1">
        <v>43681</v>
      </c>
      <c r="D2730" s="1" t="str" cm="1">
        <f t="array" ref="D2730">_xlfn.IFS(E2730&lt;28, "17-27",
AND(E2730&gt;27, E2730&lt;38), "28-37",
AND(E2730&gt;37, E2730 &lt;48), "38-47",
AND(E2730&gt;47, E2730 &lt;58), "48-57",
AND(E2730&gt;57, E2730&lt;68), "58-67",
AND(E2730&gt;67, E2730&lt;78), "68-77",
E2730&gt;77,"Above than 77")</f>
        <v>68-77</v>
      </c>
      <c r="E2730">
        <v>77</v>
      </c>
      <c r="F2730" s="1">
        <v>15513</v>
      </c>
      <c r="G2730" s="1" t="str">
        <f>VLOOKUP(H2730,Table7[#All], 2, FALSE)</f>
        <v>Massachusetts</v>
      </c>
      <c r="H2730" s="2" t="s">
        <v>14</v>
      </c>
      <c r="I2730" s="2" t="s">
        <v>15</v>
      </c>
      <c r="J2730" s="2" t="s">
        <v>31</v>
      </c>
      <c r="K2730" s="2" t="s">
        <v>8</v>
      </c>
      <c r="L2730" s="2" t="s">
        <v>9</v>
      </c>
      <c r="M2730" s="2" t="s">
        <v>20</v>
      </c>
      <c r="N2730" s="2" t="s">
        <v>26</v>
      </c>
      <c r="O2730" s="2" t="s">
        <v>12</v>
      </c>
      <c r="P2730" s="2" t="s">
        <v>35</v>
      </c>
      <c r="Q2730" s="2" t="s">
        <v>37</v>
      </c>
      <c r="R2730" s="2" t="s">
        <v>56</v>
      </c>
      <c r="S2730">
        <v>3</v>
      </c>
    </row>
    <row r="2731" spans="1:19" x14ac:dyDescent="0.3">
      <c r="A2731">
        <v>1410</v>
      </c>
      <c r="B2731">
        <f>YEAR(Cleaned_HR_Data_Analysis__2[[#This Row],[Joining_Date]])</f>
        <v>2022</v>
      </c>
      <c r="C2731" s="1">
        <v>44617</v>
      </c>
      <c r="D2731" s="1" t="str" cm="1">
        <f t="array" ref="D2731">_xlfn.IFS(E2731&lt;28, "17-27",
AND(E2731&gt;27, E2731&lt;38), "28-37",
AND(E2731&gt;37, E2731 &lt;48), "38-47",
AND(E2731&gt;47, E2731 &lt;58), "48-57",
AND(E2731&gt;57, E2731&lt;68), "58-67",
AND(E2731&gt;67, E2731&lt;78), "68-77",
E2731&gt;77,"Above than 77")</f>
        <v>68-77</v>
      </c>
      <c r="E2731">
        <v>77</v>
      </c>
      <c r="F2731" s="1">
        <v>16657</v>
      </c>
      <c r="G2731" s="1" t="str">
        <f>VLOOKUP(H2731,Table7[#All], 2, FALSE)</f>
        <v>Massachusetts</v>
      </c>
      <c r="H2731" s="2" t="s">
        <v>14</v>
      </c>
      <c r="I2731" s="2" t="s">
        <v>15</v>
      </c>
      <c r="J2731" s="2" t="s">
        <v>17</v>
      </c>
      <c r="K2731" s="2" t="s">
        <v>8</v>
      </c>
      <c r="L2731" s="2" t="s">
        <v>9</v>
      </c>
      <c r="M2731" s="2" t="s">
        <v>10</v>
      </c>
      <c r="N2731" s="2" t="s">
        <v>11</v>
      </c>
      <c r="O2731" s="2" t="s">
        <v>12</v>
      </c>
      <c r="P2731" s="2" t="s">
        <v>59</v>
      </c>
      <c r="Q2731" s="2" t="s">
        <v>16</v>
      </c>
      <c r="R2731" s="2" t="s">
        <v>41</v>
      </c>
      <c r="S2731">
        <v>2</v>
      </c>
    </row>
    <row r="2732" spans="1:19" x14ac:dyDescent="0.3">
      <c r="A2732">
        <v>1403</v>
      </c>
      <c r="B2732">
        <f>YEAR(Cleaned_HR_Data_Analysis__2[[#This Row],[Joining_Date]])</f>
        <v>2021</v>
      </c>
      <c r="C2732" s="1">
        <v>44385</v>
      </c>
      <c r="D2732" s="1" t="str" cm="1">
        <f t="array" ref="D2732">_xlfn.IFS(E2732&lt;28, "17-27",
AND(E2732&gt;27, E2732&lt;38), "28-37",
AND(E2732&gt;37, E2732 &lt;48), "38-47",
AND(E2732&gt;47, E2732 &lt;58), "48-57",
AND(E2732&gt;57, E2732&lt;68), "58-67",
AND(E2732&gt;67, E2732&lt;78), "68-77",
E2732&gt;77,"Above than 77")</f>
        <v>68-77</v>
      </c>
      <c r="E2732">
        <v>77</v>
      </c>
      <c r="F2732" s="1">
        <v>16415</v>
      </c>
      <c r="G2732" s="1" t="str">
        <f>VLOOKUP(H2732,Table7[#All], 2, FALSE)</f>
        <v>Massachusetts</v>
      </c>
      <c r="H2732" s="2" t="s">
        <v>14</v>
      </c>
      <c r="I2732" s="2" t="s">
        <v>15</v>
      </c>
      <c r="J2732" s="2" t="s">
        <v>17</v>
      </c>
      <c r="K2732" s="2" t="s">
        <v>8</v>
      </c>
      <c r="L2732" s="2" t="s">
        <v>9</v>
      </c>
      <c r="M2732" s="2" t="s">
        <v>25</v>
      </c>
      <c r="N2732" s="2" t="s">
        <v>26</v>
      </c>
      <c r="O2732" s="2" t="s">
        <v>12</v>
      </c>
      <c r="P2732" s="2" t="s">
        <v>35</v>
      </c>
      <c r="Q2732" s="2" t="s">
        <v>16</v>
      </c>
      <c r="R2732" s="2" t="s">
        <v>41</v>
      </c>
      <c r="S2732">
        <v>3</v>
      </c>
    </row>
    <row r="2733" spans="1:19" x14ac:dyDescent="0.3">
      <c r="A2733">
        <v>1289</v>
      </c>
      <c r="B2733">
        <f>YEAR(Cleaned_HR_Data_Analysis__2[[#This Row],[Joining_Date]])</f>
        <v>2019</v>
      </c>
      <c r="C2733" s="1">
        <v>43664</v>
      </c>
      <c r="D2733" s="1" t="str" cm="1">
        <f t="array" ref="D2733">_xlfn.IFS(E2733&lt;28, "17-27",
AND(E2733&gt;27, E2733&lt;38), "28-37",
AND(E2733&gt;37, E2733 &lt;48), "38-47",
AND(E2733&gt;47, E2733 &lt;58), "48-57",
AND(E2733&gt;57, E2733&lt;68), "58-67",
AND(E2733&gt;67, E2733&lt;78), "68-77",
E2733&gt;77,"Above than 77")</f>
        <v>68-77</v>
      </c>
      <c r="E2733">
        <v>77</v>
      </c>
      <c r="F2733" s="1">
        <v>15523</v>
      </c>
      <c r="G2733" s="1" t="str">
        <f>VLOOKUP(H2733,Table7[#All], 2, FALSE)</f>
        <v>Massachusetts</v>
      </c>
      <c r="H2733" s="2" t="s">
        <v>14</v>
      </c>
      <c r="I2733" s="2" t="s">
        <v>15</v>
      </c>
      <c r="J2733" s="2" t="s">
        <v>31</v>
      </c>
      <c r="K2733" s="2" t="s">
        <v>8</v>
      </c>
      <c r="L2733" s="2" t="s">
        <v>9</v>
      </c>
      <c r="M2733" s="2" t="s">
        <v>25</v>
      </c>
      <c r="N2733" s="2" t="s">
        <v>11</v>
      </c>
      <c r="O2733" s="2" t="s">
        <v>12</v>
      </c>
      <c r="P2733" s="2" t="s">
        <v>32</v>
      </c>
      <c r="Q2733" s="2" t="s">
        <v>30</v>
      </c>
      <c r="R2733" s="2" t="s">
        <v>18</v>
      </c>
      <c r="S2733">
        <v>3</v>
      </c>
    </row>
    <row r="2734" spans="1:19" x14ac:dyDescent="0.3">
      <c r="A2734">
        <v>1287</v>
      </c>
      <c r="B2734">
        <f>YEAR(Cleaned_HR_Data_Analysis__2[[#This Row],[Joining_Date]])</f>
        <v>2020</v>
      </c>
      <c r="C2734" s="1">
        <v>44093</v>
      </c>
      <c r="D2734" s="1" t="str" cm="1">
        <f t="array" ref="D2734">_xlfn.IFS(E2734&lt;28, "17-27",
AND(E2734&gt;27, E2734&lt;38), "28-37",
AND(E2734&gt;37, E2734 &lt;48), "38-47",
AND(E2734&gt;47, E2734 &lt;58), "48-57",
AND(E2734&gt;57, E2734&lt;68), "58-67",
AND(E2734&gt;67, E2734&lt;78), "68-77",
E2734&gt;77,"Above than 77")</f>
        <v>68-77</v>
      </c>
      <c r="E2734">
        <v>77</v>
      </c>
      <c r="F2734" s="1">
        <v>15967</v>
      </c>
      <c r="G2734" s="1" t="str">
        <f>VLOOKUP(H2734,Table7[#All], 2, FALSE)</f>
        <v>Massachusetts</v>
      </c>
      <c r="H2734" s="2" t="s">
        <v>14</v>
      </c>
      <c r="I2734" s="2" t="s">
        <v>15</v>
      </c>
      <c r="J2734" s="2" t="s">
        <v>17</v>
      </c>
      <c r="K2734" s="2" t="s">
        <v>8</v>
      </c>
      <c r="L2734" s="2" t="s">
        <v>66</v>
      </c>
      <c r="M2734" s="2" t="s">
        <v>25</v>
      </c>
      <c r="N2734" s="2" t="s">
        <v>19</v>
      </c>
      <c r="O2734" s="2" t="s">
        <v>12</v>
      </c>
      <c r="P2734" s="2" t="s">
        <v>32</v>
      </c>
      <c r="Q2734" s="2" t="s">
        <v>37</v>
      </c>
      <c r="R2734" s="2" t="s">
        <v>18</v>
      </c>
      <c r="S2734">
        <v>5</v>
      </c>
    </row>
    <row r="2735" spans="1:19" x14ac:dyDescent="0.3">
      <c r="A2735">
        <v>1136</v>
      </c>
      <c r="B2735">
        <f>YEAR(Cleaned_HR_Data_Analysis__2[[#This Row],[Joining_Date]])</f>
        <v>2023</v>
      </c>
      <c r="C2735" s="1">
        <v>45017</v>
      </c>
      <c r="D2735" s="1" t="str" cm="1">
        <f t="array" ref="D2735">_xlfn.IFS(E2735&lt;28, "17-27",
AND(E2735&gt;27, E2735&lt;38), "28-37",
AND(E2735&gt;37, E2735 &lt;48), "38-47",
AND(E2735&gt;47, E2735 &lt;58), "48-57",
AND(E2735&gt;57, E2735&lt;68), "58-67",
AND(E2735&gt;67, E2735&lt;78), "68-77",
E2735&gt;77,"Above than 77")</f>
        <v>68-77</v>
      </c>
      <c r="E2735">
        <v>77</v>
      </c>
      <c r="F2735" s="1">
        <v>16888</v>
      </c>
      <c r="G2735" s="1" t="str">
        <f>VLOOKUP(H2735,Table7[#All], 2, FALSE)</f>
        <v>Massachusetts</v>
      </c>
      <c r="H2735" s="2" t="s">
        <v>14</v>
      </c>
      <c r="I2735" s="2" t="s">
        <v>22</v>
      </c>
      <c r="J2735" s="2" t="s">
        <v>40</v>
      </c>
      <c r="K2735" s="2" t="s">
        <v>8</v>
      </c>
      <c r="L2735" s="2" t="s">
        <v>9</v>
      </c>
      <c r="M2735" s="2" t="s">
        <v>25</v>
      </c>
      <c r="N2735" s="2" t="s">
        <v>19</v>
      </c>
      <c r="O2735" s="2" t="s">
        <v>12</v>
      </c>
      <c r="P2735" s="2" t="s">
        <v>35</v>
      </c>
      <c r="Q2735" s="2" t="s">
        <v>30</v>
      </c>
      <c r="R2735" s="2" t="s">
        <v>18</v>
      </c>
      <c r="S2735">
        <v>5</v>
      </c>
    </row>
    <row r="2736" spans="1:19" x14ac:dyDescent="0.3">
      <c r="A2736">
        <v>1101</v>
      </c>
      <c r="B2736">
        <f>YEAR(Cleaned_HR_Data_Analysis__2[[#This Row],[Joining_Date]])</f>
        <v>2021</v>
      </c>
      <c r="C2736" s="1">
        <v>44265</v>
      </c>
      <c r="D2736" s="1" t="str" cm="1">
        <f t="array" ref="D2736">_xlfn.IFS(E2736&lt;28, "17-27",
AND(E2736&gt;27, E2736&lt;38), "28-37",
AND(E2736&gt;37, E2736 &lt;48), "38-47",
AND(E2736&gt;47, E2736 &lt;58), "48-57",
AND(E2736&gt;57, E2736&lt;68), "58-67",
AND(E2736&gt;67, E2736&lt;78), "68-77",
E2736&gt;77,"Above than 77")</f>
        <v>68-77</v>
      </c>
      <c r="E2736">
        <v>77</v>
      </c>
      <c r="F2736" s="1">
        <v>16150</v>
      </c>
      <c r="G2736" s="1" t="str">
        <f>VLOOKUP(H2736,Table7[#All], 2, FALSE)</f>
        <v>Massachusetts</v>
      </c>
      <c r="H2736" s="2" t="s">
        <v>14</v>
      </c>
      <c r="I2736" s="2" t="s">
        <v>15</v>
      </c>
      <c r="J2736" s="2" t="s">
        <v>17</v>
      </c>
      <c r="K2736" s="2" t="s">
        <v>8</v>
      </c>
      <c r="L2736" s="2" t="s">
        <v>9</v>
      </c>
      <c r="M2736" s="2" t="s">
        <v>25</v>
      </c>
      <c r="N2736" s="2" t="s">
        <v>19</v>
      </c>
      <c r="O2736" s="2" t="s">
        <v>12</v>
      </c>
      <c r="P2736" s="2" t="s">
        <v>42</v>
      </c>
      <c r="Q2736" s="2" t="s">
        <v>16</v>
      </c>
      <c r="R2736" s="2" t="s">
        <v>18</v>
      </c>
      <c r="S2736">
        <v>1</v>
      </c>
    </row>
    <row r="2737" spans="1:19" x14ac:dyDescent="0.3">
      <c r="A2737">
        <v>2451</v>
      </c>
      <c r="B2737">
        <f>YEAR(Cleaned_HR_Data_Analysis__2[[#This Row],[Joining_Date]])</f>
        <v>2020</v>
      </c>
      <c r="C2737" s="1">
        <v>44082</v>
      </c>
      <c r="D2737" s="1" t="str" cm="1">
        <f t="array" ref="D2737">_xlfn.IFS(E2737&lt;28, "17-27",
AND(E2737&gt;27, E2737&lt;38), "28-37",
AND(E2737&gt;37, E2737 &lt;48), "38-47",
AND(E2737&gt;47, E2737 &lt;58), "48-57",
AND(E2737&gt;57, E2737&lt;68), "58-67",
AND(E2737&gt;67, E2737&lt;78), "68-77",
E2737&gt;77,"Above than 77")</f>
        <v>68-77</v>
      </c>
      <c r="E2737">
        <v>77</v>
      </c>
      <c r="F2737" s="1">
        <v>16024</v>
      </c>
      <c r="G2737" s="1" t="str">
        <f>VLOOKUP(H2737,Table7[#All], 2, FALSE)</f>
        <v>Massachusetts</v>
      </c>
      <c r="H2737" s="2" t="s">
        <v>14</v>
      </c>
      <c r="I2737" s="2" t="s">
        <v>22</v>
      </c>
      <c r="J2737" s="2" t="s">
        <v>34</v>
      </c>
      <c r="K2737" s="2" t="s">
        <v>91</v>
      </c>
      <c r="L2737" s="2" t="s">
        <v>9</v>
      </c>
      <c r="M2737" s="2" t="s">
        <v>10</v>
      </c>
      <c r="N2737" s="2" t="s">
        <v>19</v>
      </c>
      <c r="O2737" s="2" t="s">
        <v>12</v>
      </c>
      <c r="P2737" s="2" t="s">
        <v>49</v>
      </c>
      <c r="Q2737" s="2" t="s">
        <v>37</v>
      </c>
      <c r="R2737" s="2" t="s">
        <v>18</v>
      </c>
      <c r="S2737">
        <v>3</v>
      </c>
    </row>
    <row r="2738" spans="1:19" x14ac:dyDescent="0.3">
      <c r="A2738">
        <v>2439</v>
      </c>
      <c r="B2738">
        <f>YEAR(Cleaned_HR_Data_Analysis__2[[#This Row],[Joining_Date]])</f>
        <v>2021</v>
      </c>
      <c r="C2738" s="1">
        <v>44429</v>
      </c>
      <c r="D2738" s="1" t="str" cm="1">
        <f t="array" ref="D2738">_xlfn.IFS(E2738&lt;28, "17-27",
AND(E2738&gt;27, E2738&lt;38), "28-37",
AND(E2738&gt;37, E2738 &lt;48), "38-47",
AND(E2738&gt;47, E2738 &lt;58), "48-57",
AND(E2738&gt;57, E2738&lt;68), "58-67",
AND(E2738&gt;67, E2738&lt;78), "68-77",
E2738&gt;77,"Above than 77")</f>
        <v>68-77</v>
      </c>
      <c r="E2738">
        <v>77</v>
      </c>
      <c r="F2738" s="1">
        <v>16202</v>
      </c>
      <c r="G2738" s="1" t="str">
        <f>VLOOKUP(H2738,Table7[#All], 2, FALSE)</f>
        <v>Massachusetts</v>
      </c>
      <c r="H2738" s="2" t="s">
        <v>14</v>
      </c>
      <c r="I2738" s="2" t="s">
        <v>15</v>
      </c>
      <c r="J2738" s="2" t="s">
        <v>31</v>
      </c>
      <c r="K2738" s="2" t="s">
        <v>91</v>
      </c>
      <c r="L2738" s="2" t="s">
        <v>9</v>
      </c>
      <c r="M2738" s="2" t="s">
        <v>10</v>
      </c>
      <c r="N2738" s="2" t="s">
        <v>26</v>
      </c>
      <c r="O2738" s="2" t="s">
        <v>12</v>
      </c>
      <c r="P2738" s="2" t="s">
        <v>42</v>
      </c>
      <c r="Q2738" s="2" t="s">
        <v>16</v>
      </c>
      <c r="R2738" s="2" t="s">
        <v>18</v>
      </c>
      <c r="S2738">
        <v>3</v>
      </c>
    </row>
    <row r="2739" spans="1:19" x14ac:dyDescent="0.3">
      <c r="A2739">
        <v>2401</v>
      </c>
      <c r="B2739">
        <f>YEAR(Cleaned_HR_Data_Analysis__2[[#This Row],[Joining_Date]])</f>
        <v>2022</v>
      </c>
      <c r="C2739" s="1">
        <v>44874</v>
      </c>
      <c r="D2739" s="1" t="str" cm="1">
        <f t="array" ref="D2739">_xlfn.IFS(E2739&lt;28, "17-27",
AND(E2739&gt;27, E2739&lt;38), "28-37",
AND(E2739&gt;37, E2739 &lt;48), "38-47",
AND(E2739&gt;47, E2739 &lt;58), "48-57",
AND(E2739&gt;57, E2739&lt;68), "58-67",
AND(E2739&gt;67, E2739&lt;78), "68-77",
E2739&gt;77,"Above than 77")</f>
        <v>68-77</v>
      </c>
      <c r="E2739">
        <v>77</v>
      </c>
      <c r="F2739" s="1">
        <v>16703</v>
      </c>
      <c r="G2739" s="1" t="str">
        <f>VLOOKUP(H2739,Table7[#All], 2, FALSE)</f>
        <v>Massachusetts</v>
      </c>
      <c r="H2739" s="2" t="s">
        <v>14</v>
      </c>
      <c r="I2739" s="2" t="s">
        <v>15</v>
      </c>
      <c r="J2739" s="2" t="s">
        <v>40</v>
      </c>
      <c r="K2739" s="2" t="s">
        <v>91</v>
      </c>
      <c r="L2739" s="2" t="s">
        <v>66</v>
      </c>
      <c r="M2739" s="2" t="s">
        <v>25</v>
      </c>
      <c r="N2739" s="2" t="s">
        <v>11</v>
      </c>
      <c r="O2739" s="2" t="s">
        <v>12</v>
      </c>
      <c r="P2739" s="2" t="s">
        <v>35</v>
      </c>
      <c r="Q2739" s="2" t="s">
        <v>46</v>
      </c>
      <c r="R2739" s="2" t="s">
        <v>18</v>
      </c>
      <c r="S2739">
        <v>1</v>
      </c>
    </row>
    <row r="2740" spans="1:19" x14ac:dyDescent="0.3">
      <c r="A2740">
        <v>3854</v>
      </c>
      <c r="B2740">
        <f>YEAR(Cleaned_HR_Data_Analysis__2[[#This Row],[Joining_Date]])</f>
        <v>2019</v>
      </c>
      <c r="C2740" s="1">
        <v>43622</v>
      </c>
      <c r="D2740" s="1" t="str" cm="1">
        <f t="array" ref="D2740">_xlfn.IFS(E2740&lt;28, "17-27",
AND(E2740&gt;27, E2740&lt;38), "28-37",
AND(E2740&gt;37, E2740 &lt;48), "38-47",
AND(E2740&gt;47, E2740 &lt;58), "48-57",
AND(E2740&gt;57, E2740&lt;68), "58-67",
AND(E2740&gt;67, E2740&lt;78), "68-77",
E2740&gt;77,"Above than 77")</f>
        <v>68-77</v>
      </c>
      <c r="E2740">
        <v>77</v>
      </c>
      <c r="F2740" s="1">
        <v>15365</v>
      </c>
      <c r="G2740" s="1" t="str">
        <f>VLOOKUP(H2740,Table7[#All], 2, FALSE)</f>
        <v>Massachusetts</v>
      </c>
      <c r="H2740" s="2" t="s">
        <v>14</v>
      </c>
      <c r="I2740" s="2" t="s">
        <v>22</v>
      </c>
      <c r="J2740" s="2" t="s">
        <v>31</v>
      </c>
      <c r="K2740" s="2" t="s">
        <v>71</v>
      </c>
      <c r="L2740" s="2" t="s">
        <v>9</v>
      </c>
      <c r="M2740" s="2" t="s">
        <v>20</v>
      </c>
      <c r="N2740" s="2" t="s">
        <v>26</v>
      </c>
      <c r="O2740" s="2" t="s">
        <v>73</v>
      </c>
      <c r="P2740" s="2" t="s">
        <v>68</v>
      </c>
      <c r="Q2740" s="2" t="s">
        <v>37</v>
      </c>
      <c r="R2740" s="2" t="s">
        <v>18</v>
      </c>
      <c r="S2740">
        <v>2</v>
      </c>
    </row>
    <row r="2741" spans="1:19" x14ac:dyDescent="0.3">
      <c r="A2741">
        <v>3921</v>
      </c>
      <c r="B2741">
        <f>YEAR(Cleaned_HR_Data_Analysis__2[[#This Row],[Joining_Date]])</f>
        <v>2020</v>
      </c>
      <c r="C2741" s="1">
        <v>43873</v>
      </c>
      <c r="D2741" s="1" t="str" cm="1">
        <f t="array" ref="D2741">_xlfn.IFS(E2741&lt;28, "17-27",
AND(E2741&gt;27, E2741&lt;38), "28-37",
AND(E2741&gt;37, E2741 &lt;48), "38-47",
AND(E2741&gt;47, E2741 &lt;58), "48-57",
AND(E2741&gt;57, E2741&lt;68), "58-67",
AND(E2741&gt;67, E2741&lt;78), "68-77",
E2741&gt;77,"Above than 77")</f>
        <v>68-77</v>
      </c>
      <c r="E2741">
        <v>77</v>
      </c>
      <c r="F2741" s="1">
        <v>16040</v>
      </c>
      <c r="G2741" s="1" t="str">
        <f>VLOOKUP(H2741,Table7[#All], 2, FALSE)</f>
        <v>Massachusetts</v>
      </c>
      <c r="H2741" s="2" t="s">
        <v>14</v>
      </c>
      <c r="I2741" s="2" t="s">
        <v>15</v>
      </c>
      <c r="J2741" s="2" t="s">
        <v>34</v>
      </c>
      <c r="K2741" s="2" t="s">
        <v>70</v>
      </c>
      <c r="L2741" s="2" t="s">
        <v>9</v>
      </c>
      <c r="M2741" s="2" t="s">
        <v>10</v>
      </c>
      <c r="N2741" s="2" t="s">
        <v>19</v>
      </c>
      <c r="O2741" s="2" t="s">
        <v>53</v>
      </c>
      <c r="P2741" s="2" t="s">
        <v>49</v>
      </c>
      <c r="Q2741" s="2" t="s">
        <v>30</v>
      </c>
      <c r="R2741" s="2" t="s">
        <v>18</v>
      </c>
      <c r="S2741">
        <v>3</v>
      </c>
    </row>
    <row r="2742" spans="1:19" x14ac:dyDescent="0.3">
      <c r="A2742">
        <v>3909</v>
      </c>
      <c r="B2742">
        <f>YEAR(Cleaned_HR_Data_Analysis__2[[#This Row],[Joining_Date]])</f>
        <v>2021</v>
      </c>
      <c r="C2742" s="1">
        <v>44409</v>
      </c>
      <c r="D2742" s="1" t="str" cm="1">
        <f t="array" ref="D2742">_xlfn.IFS(E2742&lt;28, "17-27",
AND(E2742&gt;27, E2742&lt;38), "28-37",
AND(E2742&gt;37, E2742 &lt;48), "38-47",
AND(E2742&gt;47, E2742 &lt;58), "48-57",
AND(E2742&gt;57, E2742&lt;68), "58-67",
AND(E2742&gt;67, E2742&lt;78), "68-77",
E2742&gt;77,"Above than 77")</f>
        <v>68-77</v>
      </c>
      <c r="E2742">
        <v>77</v>
      </c>
      <c r="F2742" s="1">
        <v>16218</v>
      </c>
      <c r="G2742" s="1" t="str">
        <f>VLOOKUP(H2742,Table7[#All], 2, FALSE)</f>
        <v>Massachusetts</v>
      </c>
      <c r="H2742" s="2" t="s">
        <v>14</v>
      </c>
      <c r="I2742" s="2" t="s">
        <v>15</v>
      </c>
      <c r="J2742" s="2" t="s">
        <v>34</v>
      </c>
      <c r="K2742" s="2" t="s">
        <v>70</v>
      </c>
      <c r="L2742" s="2" t="s">
        <v>9</v>
      </c>
      <c r="M2742" s="2" t="s">
        <v>20</v>
      </c>
      <c r="N2742" s="2" t="s">
        <v>11</v>
      </c>
      <c r="O2742" s="2" t="s">
        <v>53</v>
      </c>
      <c r="P2742" s="2" t="s">
        <v>38</v>
      </c>
      <c r="Q2742" s="2" t="s">
        <v>30</v>
      </c>
      <c r="R2742" s="2" t="s">
        <v>56</v>
      </c>
      <c r="S2742">
        <v>1</v>
      </c>
    </row>
    <row r="2743" spans="1:19" x14ac:dyDescent="0.3">
      <c r="A2743">
        <v>3895</v>
      </c>
      <c r="B2743">
        <f>YEAR(Cleaned_HR_Data_Analysis__2[[#This Row],[Joining_Date]])</f>
        <v>2020</v>
      </c>
      <c r="C2743" s="1">
        <v>43884</v>
      </c>
      <c r="D2743" s="1" t="str" cm="1">
        <f t="array" ref="D2743">_xlfn.IFS(E2743&lt;28, "17-27",
AND(E2743&gt;27, E2743&lt;38), "28-37",
AND(E2743&gt;37, E2743 &lt;48), "38-47",
AND(E2743&gt;47, E2743 &lt;58), "48-57",
AND(E2743&gt;57, E2743&lt;68), "58-67",
AND(E2743&gt;67, E2743&lt;78), "68-77",
E2743&gt;77,"Above than 77")</f>
        <v>68-77</v>
      </c>
      <c r="E2743">
        <v>77</v>
      </c>
      <c r="F2743" s="1">
        <v>15842</v>
      </c>
      <c r="G2743" s="1" t="str">
        <f>VLOOKUP(H2743,Table7[#All], 2, FALSE)</f>
        <v>Massachusetts</v>
      </c>
      <c r="H2743" s="2" t="s">
        <v>14</v>
      </c>
      <c r="I2743" s="2" t="s">
        <v>15</v>
      </c>
      <c r="J2743" s="2" t="s">
        <v>31</v>
      </c>
      <c r="K2743" s="2" t="s">
        <v>70</v>
      </c>
      <c r="L2743" s="2" t="s">
        <v>9</v>
      </c>
      <c r="M2743" s="2" t="s">
        <v>25</v>
      </c>
      <c r="N2743" s="2" t="s">
        <v>11</v>
      </c>
      <c r="O2743" s="2" t="s">
        <v>53</v>
      </c>
      <c r="P2743" s="2" t="s">
        <v>49</v>
      </c>
      <c r="Q2743" s="2" t="s">
        <v>30</v>
      </c>
      <c r="R2743" s="2" t="s">
        <v>18</v>
      </c>
      <c r="S2743">
        <v>1</v>
      </c>
    </row>
    <row r="2744" spans="1:19" x14ac:dyDescent="0.3">
      <c r="A2744">
        <v>2544</v>
      </c>
      <c r="B2744">
        <f>YEAR(Cleaned_HR_Data_Analysis__2[[#This Row],[Joining_Date]])</f>
        <v>2023</v>
      </c>
      <c r="C2744" s="1">
        <v>45068</v>
      </c>
      <c r="D2744" s="1" t="str" cm="1">
        <f t="array" ref="D2744">_xlfn.IFS(E2744&lt;28, "17-27",
AND(E2744&gt;27, E2744&lt;38), "28-37",
AND(E2744&gt;37, E2744 &lt;48), "38-47",
AND(E2744&gt;47, E2744 &lt;58), "48-57",
AND(E2744&gt;57, E2744&lt;68), "58-67",
AND(E2744&gt;67, E2744&lt;78), "68-77",
E2744&gt;77,"Above than 77")</f>
        <v>68-77</v>
      </c>
      <c r="E2744">
        <v>77</v>
      </c>
      <c r="F2744" s="1">
        <v>16906</v>
      </c>
      <c r="G2744" s="1" t="str">
        <f>VLOOKUP(H2744,Table7[#All], 2, FALSE)</f>
        <v>Massachusetts</v>
      </c>
      <c r="H2744" s="2" t="s">
        <v>14</v>
      </c>
      <c r="I2744" s="2" t="s">
        <v>22</v>
      </c>
      <c r="J2744" s="2" t="s">
        <v>34</v>
      </c>
      <c r="K2744" s="2" t="s">
        <v>103</v>
      </c>
      <c r="L2744" s="2" t="s">
        <v>9</v>
      </c>
      <c r="M2744" s="2" t="s">
        <v>25</v>
      </c>
      <c r="N2744" s="2" t="s">
        <v>11</v>
      </c>
      <c r="O2744" s="2" t="s">
        <v>53</v>
      </c>
      <c r="P2744" s="2" t="s">
        <v>49</v>
      </c>
      <c r="Q2744" s="2" t="s">
        <v>16</v>
      </c>
      <c r="R2744" s="2" t="s">
        <v>18</v>
      </c>
      <c r="S2744">
        <v>3</v>
      </c>
    </row>
    <row r="2745" spans="1:19" x14ac:dyDescent="0.3">
      <c r="A2745">
        <v>2479</v>
      </c>
      <c r="B2745">
        <f>YEAR(Cleaned_HR_Data_Analysis__2[[#This Row],[Joining_Date]])</f>
        <v>2023</v>
      </c>
      <c r="C2745" s="1">
        <v>45034</v>
      </c>
      <c r="D2745" s="1" t="str" cm="1">
        <f t="array" ref="D2745">_xlfn.IFS(E2745&lt;28, "17-27",
AND(E2745&gt;27, E2745&lt;38), "28-37",
AND(E2745&gt;37, E2745 &lt;48), "38-47",
AND(E2745&gt;47, E2745 &lt;58), "48-57",
AND(E2745&gt;57, E2745&lt;68), "58-67",
AND(E2745&gt;67, E2745&lt;78), "68-77",
E2745&gt;77,"Above than 77")</f>
        <v>68-77</v>
      </c>
      <c r="E2745">
        <v>77</v>
      </c>
      <c r="F2745" s="1">
        <v>17153</v>
      </c>
      <c r="G2745" s="1" t="str">
        <f>VLOOKUP(H2745,Table7[#All], 2, FALSE)</f>
        <v>Massachusetts</v>
      </c>
      <c r="H2745" s="2" t="s">
        <v>14</v>
      </c>
      <c r="I2745" s="2" t="s">
        <v>15</v>
      </c>
      <c r="J2745" s="2" t="s">
        <v>40</v>
      </c>
      <c r="K2745" s="2" t="s">
        <v>78</v>
      </c>
      <c r="L2745" s="2" t="s">
        <v>9</v>
      </c>
      <c r="M2745" s="2" t="s">
        <v>10</v>
      </c>
      <c r="N2745" s="2" t="s">
        <v>11</v>
      </c>
      <c r="O2745" s="2" t="s">
        <v>53</v>
      </c>
      <c r="P2745" s="2" t="s">
        <v>32</v>
      </c>
      <c r="Q2745" s="2" t="s">
        <v>23</v>
      </c>
      <c r="R2745" s="2" t="s">
        <v>18</v>
      </c>
      <c r="S2745">
        <v>1</v>
      </c>
    </row>
    <row r="2746" spans="1:19" x14ac:dyDescent="0.3">
      <c r="A2746">
        <v>2390</v>
      </c>
      <c r="B2746">
        <f>YEAR(Cleaned_HR_Data_Analysis__2[[#This Row],[Joining_Date]])</f>
        <v>2020</v>
      </c>
      <c r="C2746" s="1">
        <v>43966</v>
      </c>
      <c r="D2746" s="1" t="str" cm="1">
        <f t="array" ref="D2746">_xlfn.IFS(E2746&lt;28, "17-27",
AND(E2746&gt;27, E2746&lt;38), "28-37",
AND(E2746&gt;37, E2746 &lt;48), "38-47",
AND(E2746&gt;47, E2746 &lt;58), "48-57",
AND(E2746&gt;57, E2746&lt;68), "58-67",
AND(E2746&gt;67, E2746&lt;78), "68-77",
E2746&gt;77,"Above than 77")</f>
        <v>68-77</v>
      </c>
      <c r="E2746">
        <v>77</v>
      </c>
      <c r="F2746" s="1">
        <v>15750</v>
      </c>
      <c r="G2746" s="1" t="str">
        <f>VLOOKUP(H2746,Table7[#All], 2, FALSE)</f>
        <v>Massachusetts</v>
      </c>
      <c r="H2746" s="2" t="s">
        <v>14</v>
      </c>
      <c r="I2746" s="2" t="s">
        <v>15</v>
      </c>
      <c r="J2746" s="2" t="s">
        <v>40</v>
      </c>
      <c r="K2746" s="2" t="s">
        <v>78</v>
      </c>
      <c r="L2746" s="2" t="s">
        <v>9</v>
      </c>
      <c r="M2746" s="2" t="s">
        <v>20</v>
      </c>
      <c r="N2746" s="2" t="s">
        <v>11</v>
      </c>
      <c r="O2746" s="2" t="s">
        <v>12</v>
      </c>
      <c r="P2746" s="2" t="s">
        <v>42</v>
      </c>
      <c r="Q2746" s="2" t="s">
        <v>46</v>
      </c>
      <c r="R2746" s="2" t="s">
        <v>18</v>
      </c>
      <c r="S2746">
        <v>5</v>
      </c>
    </row>
    <row r="2747" spans="1:19" x14ac:dyDescent="0.3">
      <c r="A2747">
        <v>1630</v>
      </c>
      <c r="B2747">
        <f>YEAR(Cleaned_HR_Data_Analysis__2[[#This Row],[Joining_Date]])</f>
        <v>2021</v>
      </c>
      <c r="C2747" s="1">
        <v>44311</v>
      </c>
      <c r="D2747" s="1" t="str" cm="1">
        <f t="array" ref="D2747">_xlfn.IFS(E2747&lt;28, "17-27",
AND(E2747&gt;27, E2747&lt;38), "28-37",
AND(E2747&gt;37, E2747 &lt;48), "38-47",
AND(E2747&gt;47, E2747 &lt;58), "48-57",
AND(E2747&gt;57, E2747&lt;68), "58-67",
AND(E2747&gt;67, E2747&lt;78), "68-77",
E2747&gt;77,"Above than 77")</f>
        <v>68-77</v>
      </c>
      <c r="E2747">
        <v>77</v>
      </c>
      <c r="F2747" s="1">
        <v>16107</v>
      </c>
      <c r="G2747" s="1" t="str">
        <f>VLOOKUP(H2747,Table7[#All], 2, FALSE)</f>
        <v>Massachusetts</v>
      </c>
      <c r="H2747" s="2" t="s">
        <v>14</v>
      </c>
      <c r="I2747" s="2" t="s">
        <v>15</v>
      </c>
      <c r="J2747" s="2" t="s">
        <v>31</v>
      </c>
      <c r="K2747" s="2" t="s">
        <v>97</v>
      </c>
      <c r="L2747" s="2" t="s">
        <v>66</v>
      </c>
      <c r="M2747" s="2" t="s">
        <v>10</v>
      </c>
      <c r="N2747" s="2" t="s">
        <v>11</v>
      </c>
      <c r="O2747" s="2" t="s">
        <v>53</v>
      </c>
      <c r="P2747" s="2" t="s">
        <v>32</v>
      </c>
      <c r="Q2747" s="2" t="s">
        <v>30</v>
      </c>
      <c r="R2747" s="2" t="s">
        <v>18</v>
      </c>
      <c r="S2747">
        <v>3</v>
      </c>
    </row>
    <row r="2748" spans="1:19" x14ac:dyDescent="0.3">
      <c r="A2748">
        <v>3456</v>
      </c>
      <c r="B2748">
        <f>YEAR(Cleaned_HR_Data_Analysis__2[[#This Row],[Joining_Date]])</f>
        <v>2023</v>
      </c>
      <c r="C2748" s="1">
        <v>44991</v>
      </c>
      <c r="D2748" s="1" t="str" cm="1">
        <f t="array" ref="D2748">_xlfn.IFS(E2748&lt;28, "17-27",
AND(E2748&gt;27, E2748&lt;38), "28-37",
AND(E2748&gt;37, E2748 &lt;48), "38-47",
AND(E2748&gt;47, E2748 &lt;58), "48-57",
AND(E2748&gt;57, E2748&lt;68), "58-67",
AND(E2748&gt;67, E2748&lt;78), "68-77",
E2748&gt;77,"Above than 77")</f>
        <v>68-77</v>
      </c>
      <c r="E2748">
        <v>77</v>
      </c>
      <c r="F2748" s="1">
        <v>17070</v>
      </c>
      <c r="G2748" s="1" t="str">
        <f>VLOOKUP(H2748,Table7[#All], 2, FALSE)</f>
        <v>Kentucky</v>
      </c>
      <c r="H2748" s="2" t="s">
        <v>51</v>
      </c>
      <c r="I2748" s="2" t="s">
        <v>15</v>
      </c>
      <c r="J2748" s="2" t="s">
        <v>40</v>
      </c>
      <c r="K2748" s="2" t="s">
        <v>24</v>
      </c>
      <c r="L2748" s="2" t="s">
        <v>9</v>
      </c>
      <c r="M2748" s="2" t="s">
        <v>25</v>
      </c>
      <c r="N2748" s="2" t="s">
        <v>19</v>
      </c>
      <c r="O2748" s="2" t="s">
        <v>27</v>
      </c>
      <c r="P2748" s="2" t="s">
        <v>35</v>
      </c>
      <c r="Q2748" s="2" t="s">
        <v>37</v>
      </c>
      <c r="R2748" s="2" t="s">
        <v>18</v>
      </c>
      <c r="S2748">
        <v>3</v>
      </c>
    </row>
    <row r="2749" spans="1:19" x14ac:dyDescent="0.3">
      <c r="A2749">
        <v>3505</v>
      </c>
      <c r="B2749">
        <f>YEAR(Cleaned_HR_Data_Analysis__2[[#This Row],[Joining_Date]])</f>
        <v>2020</v>
      </c>
      <c r="C2749" s="1">
        <v>44072</v>
      </c>
      <c r="D2749" s="1" t="str" cm="1">
        <f t="array" ref="D2749">_xlfn.IFS(E2749&lt;28, "17-27",
AND(E2749&gt;27, E2749&lt;38), "28-37",
AND(E2749&gt;37, E2749 &lt;48), "38-47",
AND(E2749&gt;47, E2749 &lt;58), "48-57",
AND(E2749&gt;57, E2749&lt;68), "58-67",
AND(E2749&gt;67, E2749&lt;78), "68-77",
E2749&gt;77,"Above than 77")</f>
        <v>68-77</v>
      </c>
      <c r="E2749">
        <v>77</v>
      </c>
      <c r="F2749" s="1">
        <v>15911</v>
      </c>
      <c r="G2749" s="1" t="str">
        <f>VLOOKUP(H2749,Table7[#All], 2, FALSE)</f>
        <v>Indiana</v>
      </c>
      <c r="H2749" s="2" t="s">
        <v>47</v>
      </c>
      <c r="I2749" s="2" t="s">
        <v>22</v>
      </c>
      <c r="J2749" s="2" t="s">
        <v>17</v>
      </c>
      <c r="K2749" s="2" t="s">
        <v>24</v>
      </c>
      <c r="L2749" s="2" t="s">
        <v>9</v>
      </c>
      <c r="M2749" s="2" t="s">
        <v>10</v>
      </c>
      <c r="N2749" s="2" t="s">
        <v>26</v>
      </c>
      <c r="O2749" s="2" t="s">
        <v>27</v>
      </c>
      <c r="P2749" s="2" t="s">
        <v>35</v>
      </c>
      <c r="Q2749" s="2" t="s">
        <v>23</v>
      </c>
      <c r="R2749" s="2" t="s">
        <v>18</v>
      </c>
      <c r="S2749">
        <v>3</v>
      </c>
    </row>
    <row r="2750" spans="1:19" x14ac:dyDescent="0.3">
      <c r="A2750">
        <v>2739</v>
      </c>
      <c r="B2750">
        <f>YEAR(Cleaned_HR_Data_Analysis__2[[#This Row],[Joining_Date]])</f>
        <v>2021</v>
      </c>
      <c r="C2750" s="1">
        <v>44245</v>
      </c>
      <c r="D2750" s="1" t="str" cm="1">
        <f t="array" ref="D2750">_xlfn.IFS(E2750&lt;28, "17-27",
AND(E2750&gt;27, E2750&lt;38), "28-37",
AND(E2750&gt;37, E2750 &lt;48), "38-47",
AND(E2750&gt;47, E2750 &lt;58), "48-57",
AND(E2750&gt;57, E2750&lt;68), "58-67",
AND(E2750&gt;67, E2750&lt;78), "68-77",
E2750&gt;77,"Above than 77")</f>
        <v>68-77</v>
      </c>
      <c r="E2750">
        <v>77</v>
      </c>
      <c r="F2750" s="1">
        <v>16336</v>
      </c>
      <c r="G2750" s="1" t="str">
        <f>VLOOKUP(H2750,Table7[#All], 2, FALSE)</f>
        <v>Idaho</v>
      </c>
      <c r="H2750" s="2" t="s">
        <v>111</v>
      </c>
      <c r="I2750" s="2" t="s">
        <v>22</v>
      </c>
      <c r="J2750" s="2" t="s">
        <v>31</v>
      </c>
      <c r="K2750" s="2" t="s">
        <v>24</v>
      </c>
      <c r="L2750" s="2" t="s">
        <v>9</v>
      </c>
      <c r="M2750" s="2" t="s">
        <v>10</v>
      </c>
      <c r="N2750" s="2" t="s">
        <v>19</v>
      </c>
      <c r="O2750" s="2" t="s">
        <v>27</v>
      </c>
      <c r="P2750" s="2" t="s">
        <v>32</v>
      </c>
      <c r="Q2750" s="2" t="s">
        <v>37</v>
      </c>
      <c r="R2750" s="2" t="s">
        <v>18</v>
      </c>
      <c r="S2750">
        <v>2</v>
      </c>
    </row>
    <row r="2751" spans="1:19" x14ac:dyDescent="0.3">
      <c r="A2751">
        <v>3926</v>
      </c>
      <c r="B2751">
        <f>YEAR(Cleaned_HR_Data_Analysis__2[[#This Row],[Joining_Date]])</f>
        <v>2019</v>
      </c>
      <c r="C2751" s="1">
        <v>43523</v>
      </c>
      <c r="D2751" s="1" t="str" cm="1">
        <f t="array" ref="D2751">_xlfn.IFS(E2751&lt;28, "17-27",
AND(E2751&gt;27, E2751&lt;38), "28-37",
AND(E2751&gt;37, E2751 &lt;48), "38-47",
AND(E2751&gt;47, E2751 &lt;58), "48-57",
AND(E2751&gt;57, E2751&lt;68), "58-67",
AND(E2751&gt;67, E2751&lt;78), "68-77",
E2751&gt;77,"Above than 77")</f>
        <v>Above than 77</v>
      </c>
      <c r="E2751">
        <v>78</v>
      </c>
      <c r="F2751" s="1">
        <v>15326</v>
      </c>
      <c r="G2751" s="1" t="str">
        <f>VLOOKUP(H2751,Table7[#All], 2, FALSE)</f>
        <v>Massachusetts</v>
      </c>
      <c r="H2751" s="2" t="s">
        <v>14</v>
      </c>
      <c r="I2751" s="2" t="s">
        <v>15</v>
      </c>
      <c r="J2751" s="2" t="s">
        <v>31</v>
      </c>
      <c r="K2751" s="2" t="s">
        <v>72</v>
      </c>
      <c r="L2751" s="2" t="s">
        <v>9</v>
      </c>
      <c r="M2751" s="2" t="s">
        <v>25</v>
      </c>
      <c r="N2751" s="2" t="s">
        <v>11</v>
      </c>
      <c r="O2751" s="2" t="s">
        <v>53</v>
      </c>
      <c r="P2751" s="2" t="s">
        <v>61</v>
      </c>
      <c r="Q2751" s="2" t="s">
        <v>23</v>
      </c>
      <c r="R2751" s="2" t="s">
        <v>56</v>
      </c>
      <c r="S2751">
        <v>1</v>
      </c>
    </row>
    <row r="2752" spans="1:19" x14ac:dyDescent="0.3">
      <c r="A2752">
        <v>1056</v>
      </c>
      <c r="B2752">
        <f>YEAR(Cleaned_HR_Data_Analysis__2[[#This Row],[Joining_Date]])</f>
        <v>2021</v>
      </c>
      <c r="C2752" s="1">
        <v>44518</v>
      </c>
      <c r="D2752" s="1" t="str" cm="1">
        <f t="array" ref="D2752">_xlfn.IFS(E2752&lt;28, "17-27",
AND(E2752&gt;27, E2752&lt;38), "28-37",
AND(E2752&gt;37, E2752 &lt;48), "38-47",
AND(E2752&gt;47, E2752 &lt;58), "48-57",
AND(E2752&gt;57, E2752&lt;68), "58-67",
AND(E2752&gt;67, E2752&lt;78), "68-77",
E2752&gt;77,"Above than 77")</f>
        <v>Above than 77</v>
      </c>
      <c r="E2752">
        <v>78</v>
      </c>
      <c r="F2752" s="1">
        <v>15950</v>
      </c>
      <c r="G2752" s="1" t="str">
        <f>VLOOKUP(H2752,Table7[#All], 2, FALSE)</f>
        <v>Massachusetts</v>
      </c>
      <c r="H2752" s="2" t="s">
        <v>14</v>
      </c>
      <c r="I2752" s="2" t="s">
        <v>22</v>
      </c>
      <c r="J2752" s="2" t="s">
        <v>17</v>
      </c>
      <c r="K2752" s="2" t="s">
        <v>86</v>
      </c>
      <c r="L2752" s="2" t="s">
        <v>9</v>
      </c>
      <c r="M2752" s="2" t="s">
        <v>10</v>
      </c>
      <c r="N2752" s="2" t="s">
        <v>11</v>
      </c>
      <c r="O2752" s="2" t="s">
        <v>87</v>
      </c>
      <c r="P2752" s="2" t="s">
        <v>59</v>
      </c>
      <c r="Q2752" s="2" t="s">
        <v>23</v>
      </c>
      <c r="R2752" s="2" t="s">
        <v>18</v>
      </c>
      <c r="S2752">
        <v>2</v>
      </c>
    </row>
    <row r="2753" spans="1:19" x14ac:dyDescent="0.3">
      <c r="A2753">
        <v>1018</v>
      </c>
      <c r="B2753">
        <f>YEAR(Cleaned_HR_Data_Analysis__2[[#This Row],[Joining_Date]])</f>
        <v>2020</v>
      </c>
      <c r="C2753" s="1">
        <v>44001</v>
      </c>
      <c r="D2753" s="1" t="str" cm="1">
        <f t="array" ref="D2753">_xlfn.IFS(E2753&lt;28, "17-27",
AND(E2753&gt;27, E2753&lt;38), "28-37",
AND(E2753&gt;37, E2753 &lt;48), "38-47",
AND(E2753&gt;47, E2753 &lt;58), "48-57",
AND(E2753&gt;57, E2753&lt;68), "58-67",
AND(E2753&gt;67, E2753&lt;78), "68-77",
E2753&gt;77,"Above than 77")</f>
        <v>Above than 77</v>
      </c>
      <c r="E2753">
        <v>78</v>
      </c>
      <c r="F2753" s="1">
        <v>15396</v>
      </c>
      <c r="G2753" s="1" t="str">
        <f>VLOOKUP(H2753,Table7[#All], 2, FALSE)</f>
        <v>Massachusetts</v>
      </c>
      <c r="H2753" s="2" t="s">
        <v>14</v>
      </c>
      <c r="I2753" s="2" t="s">
        <v>15</v>
      </c>
      <c r="J2753" s="2" t="s">
        <v>34</v>
      </c>
      <c r="K2753" s="2" t="s">
        <v>89</v>
      </c>
      <c r="L2753" s="2" t="s">
        <v>9</v>
      </c>
      <c r="M2753" s="2" t="s">
        <v>20</v>
      </c>
      <c r="N2753" s="2" t="s">
        <v>19</v>
      </c>
      <c r="O2753" s="2" t="s">
        <v>90</v>
      </c>
      <c r="P2753" s="2" t="s">
        <v>32</v>
      </c>
      <c r="Q2753" s="2" t="s">
        <v>16</v>
      </c>
      <c r="R2753" s="2" t="s">
        <v>18</v>
      </c>
      <c r="S2753">
        <v>1</v>
      </c>
    </row>
    <row r="2754" spans="1:19" x14ac:dyDescent="0.3">
      <c r="A2754">
        <v>3117</v>
      </c>
      <c r="B2754">
        <f>YEAR(Cleaned_HR_Data_Analysis__2[[#This Row],[Joining_Date]])</f>
        <v>2019</v>
      </c>
      <c r="C2754" s="1">
        <v>43765</v>
      </c>
      <c r="D2754" s="1" t="str" cm="1">
        <f t="array" ref="D2754">_xlfn.IFS(E2754&lt;28, "17-27",
AND(E2754&gt;27, E2754&lt;38), "28-37",
AND(E2754&gt;37, E2754 &lt;48), "38-47",
AND(E2754&gt;47, E2754 &lt;58), "48-57",
AND(E2754&gt;57, E2754&lt;68), "58-67",
AND(E2754&gt;67, E2754&lt;78), "68-77",
E2754&gt;77,"Above than 77")</f>
        <v>Above than 77</v>
      </c>
      <c r="E2754">
        <v>78</v>
      </c>
      <c r="F2754" s="1">
        <v>15324</v>
      </c>
      <c r="G2754" s="1" t="str">
        <f>VLOOKUP(H2754,Table7[#All], 2, FALSE)</f>
        <v>Massachusetts</v>
      </c>
      <c r="H2754" s="2" t="s">
        <v>14</v>
      </c>
      <c r="I2754" s="2" t="s">
        <v>15</v>
      </c>
      <c r="J2754" s="2" t="s">
        <v>34</v>
      </c>
      <c r="K2754" s="2" t="s">
        <v>64</v>
      </c>
      <c r="L2754" s="2" t="s">
        <v>9</v>
      </c>
      <c r="M2754" s="2" t="s">
        <v>20</v>
      </c>
      <c r="N2754" s="2" t="s">
        <v>11</v>
      </c>
      <c r="O2754" s="2" t="s">
        <v>12</v>
      </c>
      <c r="P2754" s="2" t="s">
        <v>28</v>
      </c>
      <c r="Q2754" s="2" t="s">
        <v>16</v>
      </c>
      <c r="R2754" s="2" t="s">
        <v>18</v>
      </c>
      <c r="S2754">
        <v>3</v>
      </c>
    </row>
    <row r="2755" spans="1:19" x14ac:dyDescent="0.3">
      <c r="A2755">
        <v>2909</v>
      </c>
      <c r="B2755">
        <f>YEAR(Cleaned_HR_Data_Analysis__2[[#This Row],[Joining_Date]])</f>
        <v>2019</v>
      </c>
      <c r="C2755" s="1">
        <v>43552</v>
      </c>
      <c r="D2755" s="1" t="str" cm="1">
        <f t="array" ref="D2755">_xlfn.IFS(E2755&lt;28, "17-27",
AND(E2755&gt;27, E2755&lt;38), "28-37",
AND(E2755&gt;37, E2755 &lt;48), "38-47",
AND(E2755&gt;47, E2755 &lt;58), "48-57",
AND(E2755&gt;57, E2755&lt;68), "58-67",
AND(E2755&gt;67, E2755&lt;78), "68-77",
E2755&gt;77,"Above than 77")</f>
        <v>Above than 77</v>
      </c>
      <c r="E2755">
        <v>78</v>
      </c>
      <c r="F2755" s="1">
        <v>15251</v>
      </c>
      <c r="G2755" s="1" t="str">
        <f>VLOOKUP(H2755,Table7[#All], 2, FALSE)</f>
        <v>Massachusetts</v>
      </c>
      <c r="H2755" s="2" t="s">
        <v>14</v>
      </c>
      <c r="I2755" s="2" t="s">
        <v>15</v>
      </c>
      <c r="J2755" s="2" t="s">
        <v>31</v>
      </c>
      <c r="K2755" s="2" t="s">
        <v>64</v>
      </c>
      <c r="L2755" s="2" t="s">
        <v>9</v>
      </c>
      <c r="M2755" s="2" t="s">
        <v>25</v>
      </c>
      <c r="N2755" s="2" t="s">
        <v>11</v>
      </c>
      <c r="O2755" s="2" t="s">
        <v>12</v>
      </c>
      <c r="P2755" s="2" t="s">
        <v>35</v>
      </c>
      <c r="Q2755" s="2" t="s">
        <v>23</v>
      </c>
      <c r="R2755" s="2" t="s">
        <v>56</v>
      </c>
      <c r="S2755">
        <v>4</v>
      </c>
    </row>
    <row r="2756" spans="1:19" x14ac:dyDescent="0.3">
      <c r="A2756">
        <v>2863</v>
      </c>
      <c r="B2756">
        <f>YEAR(Cleaned_HR_Data_Analysis__2[[#This Row],[Joining_Date]])</f>
        <v>2021</v>
      </c>
      <c r="C2756" s="1">
        <v>44477</v>
      </c>
      <c r="D2756" s="1" t="str" cm="1">
        <f t="array" ref="D2756">_xlfn.IFS(E2756&lt;28, "17-27",
AND(E2756&gt;27, E2756&lt;38), "28-37",
AND(E2756&gt;37, E2756 &lt;48), "38-47",
AND(E2756&gt;47, E2756 &lt;58), "48-57",
AND(E2756&gt;57, E2756&lt;68), "58-67",
AND(E2756&gt;67, E2756&lt;78), "68-77",
E2756&gt;77,"Above than 77")</f>
        <v>Above than 77</v>
      </c>
      <c r="E2756">
        <v>78</v>
      </c>
      <c r="F2756" s="1">
        <v>16049</v>
      </c>
      <c r="G2756" s="1" t="str">
        <f>VLOOKUP(H2756,Table7[#All], 2, FALSE)</f>
        <v>Massachusetts</v>
      </c>
      <c r="H2756" s="2" t="s">
        <v>14</v>
      </c>
      <c r="I2756" s="2" t="s">
        <v>22</v>
      </c>
      <c r="J2756" s="2" t="s">
        <v>17</v>
      </c>
      <c r="K2756" s="2" t="s">
        <v>64</v>
      </c>
      <c r="L2756" s="2" t="s">
        <v>9</v>
      </c>
      <c r="M2756" s="2" t="s">
        <v>25</v>
      </c>
      <c r="N2756" s="2" t="s">
        <v>26</v>
      </c>
      <c r="O2756" s="2" t="s">
        <v>12</v>
      </c>
      <c r="P2756" s="2" t="s">
        <v>63</v>
      </c>
      <c r="Q2756" s="2" t="s">
        <v>30</v>
      </c>
      <c r="R2756" s="2" t="s">
        <v>56</v>
      </c>
      <c r="S2756">
        <v>2</v>
      </c>
    </row>
    <row r="2757" spans="1:19" x14ac:dyDescent="0.3">
      <c r="A2757">
        <v>2119</v>
      </c>
      <c r="B2757">
        <f>YEAR(Cleaned_HR_Data_Analysis__2[[#This Row],[Joining_Date]])</f>
        <v>2019</v>
      </c>
      <c r="C2757" s="1">
        <v>43553</v>
      </c>
      <c r="D2757" s="1" t="str" cm="1">
        <f t="array" ref="D2757">_xlfn.IFS(E2757&lt;28, "17-27",
AND(E2757&gt;27, E2757&lt;38), "28-37",
AND(E2757&gt;37, E2757 &lt;48), "38-47",
AND(E2757&gt;47, E2757 &lt;58), "48-57",
AND(E2757&gt;57, E2757&lt;68), "58-67",
AND(E2757&gt;67, E2757&lt;78), "68-77",
E2757&gt;77,"Above than 77")</f>
        <v>Above than 77</v>
      </c>
      <c r="E2757">
        <v>78</v>
      </c>
      <c r="F2757" s="1">
        <v>15229</v>
      </c>
      <c r="G2757" s="1" t="str">
        <f>VLOOKUP(H2757,Table7[#All], 2, FALSE)</f>
        <v>Massachusetts</v>
      </c>
      <c r="H2757" s="2" t="s">
        <v>14</v>
      </c>
      <c r="I2757" s="2" t="s">
        <v>15</v>
      </c>
      <c r="J2757" s="2" t="s">
        <v>34</v>
      </c>
      <c r="K2757" s="2" t="s">
        <v>64</v>
      </c>
      <c r="L2757" s="2" t="s">
        <v>9</v>
      </c>
      <c r="M2757" s="2" t="s">
        <v>20</v>
      </c>
      <c r="N2757" s="2" t="s">
        <v>19</v>
      </c>
      <c r="O2757" s="2" t="s">
        <v>12</v>
      </c>
      <c r="P2757" s="2" t="s">
        <v>32</v>
      </c>
      <c r="Q2757" s="2" t="s">
        <v>16</v>
      </c>
      <c r="R2757" s="2" t="s">
        <v>41</v>
      </c>
      <c r="S2757">
        <v>2</v>
      </c>
    </row>
    <row r="2758" spans="1:19" x14ac:dyDescent="0.3">
      <c r="A2758">
        <v>2049</v>
      </c>
      <c r="B2758">
        <f>YEAR(Cleaned_HR_Data_Analysis__2[[#This Row],[Joining_Date]])</f>
        <v>2020</v>
      </c>
      <c r="C2758" s="1">
        <v>44110</v>
      </c>
      <c r="D2758" s="1" t="str" cm="1">
        <f t="array" ref="D2758">_xlfn.IFS(E2758&lt;28, "17-27",
AND(E2758&gt;27, E2758&lt;38), "28-37",
AND(E2758&gt;37, E2758 &lt;48), "38-47",
AND(E2758&gt;47, E2758 &lt;58), "48-57",
AND(E2758&gt;57, E2758&lt;68), "58-67",
AND(E2758&gt;67, E2758&lt;78), "68-77",
E2758&gt;77,"Above than 77")</f>
        <v>Above than 77</v>
      </c>
      <c r="E2758">
        <v>78</v>
      </c>
      <c r="F2758" s="1">
        <v>15468</v>
      </c>
      <c r="G2758" s="1" t="str">
        <f>VLOOKUP(H2758,Table7[#All], 2, FALSE)</f>
        <v>Massachusetts</v>
      </c>
      <c r="H2758" s="2" t="s">
        <v>14</v>
      </c>
      <c r="I2758" s="2" t="s">
        <v>15</v>
      </c>
      <c r="J2758" s="2" t="s">
        <v>17</v>
      </c>
      <c r="K2758" s="2" t="s">
        <v>64</v>
      </c>
      <c r="L2758" s="2" t="s">
        <v>9</v>
      </c>
      <c r="M2758" s="2" t="s">
        <v>10</v>
      </c>
      <c r="N2758" s="2" t="s">
        <v>19</v>
      </c>
      <c r="O2758" s="2" t="s">
        <v>12</v>
      </c>
      <c r="P2758" s="2" t="s">
        <v>35</v>
      </c>
      <c r="Q2758" s="2" t="s">
        <v>46</v>
      </c>
      <c r="R2758" s="2" t="s">
        <v>18</v>
      </c>
      <c r="S2758">
        <v>1</v>
      </c>
    </row>
    <row r="2759" spans="1:19" x14ac:dyDescent="0.3">
      <c r="A2759">
        <v>2022</v>
      </c>
      <c r="B2759">
        <f>YEAR(Cleaned_HR_Data_Analysis__2[[#This Row],[Joining_Date]])</f>
        <v>2019</v>
      </c>
      <c r="C2759" s="1">
        <v>43609</v>
      </c>
      <c r="D2759" s="1" t="str" cm="1">
        <f t="array" ref="D2759">_xlfn.IFS(E2759&lt;28, "17-27",
AND(E2759&gt;27, E2759&lt;38), "28-37",
AND(E2759&gt;37, E2759 &lt;48), "38-47",
AND(E2759&gt;47, E2759 &lt;58), "48-57",
AND(E2759&gt;57, E2759&lt;68), "58-67",
AND(E2759&gt;67, E2759&lt;78), "68-77",
E2759&gt;77,"Above than 77")</f>
        <v>Above than 77</v>
      </c>
      <c r="E2759">
        <v>78</v>
      </c>
      <c r="F2759" s="1">
        <v>15218</v>
      </c>
      <c r="G2759" s="1" t="str">
        <f>VLOOKUP(H2759,Table7[#All], 2, FALSE)</f>
        <v>Massachusetts</v>
      </c>
      <c r="H2759" s="2" t="s">
        <v>14</v>
      </c>
      <c r="I2759" s="2" t="s">
        <v>15</v>
      </c>
      <c r="J2759" s="2" t="s">
        <v>40</v>
      </c>
      <c r="K2759" s="2" t="s">
        <v>64</v>
      </c>
      <c r="L2759" s="2" t="s">
        <v>9</v>
      </c>
      <c r="M2759" s="2" t="s">
        <v>10</v>
      </c>
      <c r="N2759" s="2" t="s">
        <v>26</v>
      </c>
      <c r="O2759" s="2" t="s">
        <v>12</v>
      </c>
      <c r="P2759" s="2" t="s">
        <v>61</v>
      </c>
      <c r="Q2759" s="2" t="s">
        <v>16</v>
      </c>
      <c r="R2759" s="2" t="s">
        <v>18</v>
      </c>
      <c r="S2759">
        <v>3</v>
      </c>
    </row>
    <row r="2760" spans="1:19" x14ac:dyDescent="0.3">
      <c r="A2760">
        <v>1999</v>
      </c>
      <c r="B2760">
        <f>YEAR(Cleaned_HR_Data_Analysis__2[[#This Row],[Joining_Date]])</f>
        <v>2021</v>
      </c>
      <c r="C2760" s="1">
        <v>44486</v>
      </c>
      <c r="D2760" s="1" t="str" cm="1">
        <f t="array" ref="D2760">_xlfn.IFS(E2760&lt;28, "17-27",
AND(E2760&gt;27, E2760&lt;38), "28-37",
AND(E2760&gt;37, E2760 &lt;48), "38-47",
AND(E2760&gt;47, E2760 &lt;58), "48-57",
AND(E2760&gt;57, E2760&lt;68), "58-67",
AND(E2760&gt;67, E2760&lt;78), "68-77",
E2760&gt;77,"Above than 77")</f>
        <v>Above than 77</v>
      </c>
      <c r="E2760">
        <v>78</v>
      </c>
      <c r="F2760" s="1">
        <v>15879</v>
      </c>
      <c r="G2760" s="1" t="str">
        <f>VLOOKUP(H2760,Table7[#All], 2, FALSE)</f>
        <v>Massachusetts</v>
      </c>
      <c r="H2760" s="2" t="s">
        <v>14</v>
      </c>
      <c r="I2760" s="2" t="s">
        <v>15</v>
      </c>
      <c r="J2760" s="2" t="s">
        <v>17</v>
      </c>
      <c r="K2760" s="2" t="s">
        <v>64</v>
      </c>
      <c r="L2760" s="2" t="s">
        <v>9</v>
      </c>
      <c r="M2760" s="2" t="s">
        <v>10</v>
      </c>
      <c r="N2760" s="2" t="s">
        <v>19</v>
      </c>
      <c r="O2760" s="2" t="s">
        <v>12</v>
      </c>
      <c r="P2760" s="2" t="s">
        <v>35</v>
      </c>
      <c r="Q2760" s="2" t="s">
        <v>30</v>
      </c>
      <c r="R2760" s="2" t="s">
        <v>18</v>
      </c>
      <c r="S2760">
        <v>2</v>
      </c>
    </row>
    <row r="2761" spans="1:19" x14ac:dyDescent="0.3">
      <c r="A2761">
        <v>1473</v>
      </c>
      <c r="B2761">
        <f>YEAR(Cleaned_HR_Data_Analysis__2[[#This Row],[Joining_Date]])</f>
        <v>2020</v>
      </c>
      <c r="C2761" s="1">
        <v>44099</v>
      </c>
      <c r="D2761" s="1" t="str" cm="1">
        <f t="array" ref="D2761">_xlfn.IFS(E2761&lt;28, "17-27",
AND(E2761&gt;27, E2761&lt;38), "28-37",
AND(E2761&gt;37, E2761 &lt;48), "38-47",
AND(E2761&gt;47, E2761 &lt;58), "48-57",
AND(E2761&gt;57, E2761&lt;68), "58-67",
AND(E2761&gt;67, E2761&lt;78), "68-77",
E2761&gt;77,"Above than 77")</f>
        <v>Above than 77</v>
      </c>
      <c r="E2761">
        <v>78</v>
      </c>
      <c r="F2761" s="1">
        <v>15620</v>
      </c>
      <c r="G2761" s="1" t="str">
        <f>VLOOKUP(H2761,Table7[#All], 2, FALSE)</f>
        <v>Massachusetts</v>
      </c>
      <c r="H2761" s="2" t="s">
        <v>14</v>
      </c>
      <c r="I2761" s="2" t="s">
        <v>15</v>
      </c>
      <c r="J2761" s="2" t="s">
        <v>40</v>
      </c>
      <c r="K2761" s="2" t="s">
        <v>64</v>
      </c>
      <c r="L2761" s="2" t="s">
        <v>9</v>
      </c>
      <c r="M2761" s="2" t="s">
        <v>10</v>
      </c>
      <c r="N2761" s="2" t="s">
        <v>26</v>
      </c>
      <c r="O2761" s="2" t="s">
        <v>12</v>
      </c>
      <c r="P2761" s="2" t="s">
        <v>35</v>
      </c>
      <c r="Q2761" s="2" t="s">
        <v>37</v>
      </c>
      <c r="R2761" s="2" t="s">
        <v>41</v>
      </c>
      <c r="S2761">
        <v>2</v>
      </c>
    </row>
    <row r="2762" spans="1:19" x14ac:dyDescent="0.3">
      <c r="A2762">
        <v>1451</v>
      </c>
      <c r="B2762">
        <f>YEAR(Cleaned_HR_Data_Analysis__2[[#This Row],[Joining_Date]])</f>
        <v>2022</v>
      </c>
      <c r="C2762" s="1">
        <v>44926</v>
      </c>
      <c r="D2762" s="1" t="str" cm="1">
        <f t="array" ref="D2762">_xlfn.IFS(E2762&lt;28, "17-27",
AND(E2762&gt;27, E2762&lt;38), "28-37",
AND(E2762&gt;37, E2762 &lt;48), "38-47",
AND(E2762&gt;47, E2762 &lt;58), "48-57",
AND(E2762&gt;57, E2762&lt;68), "58-67",
AND(E2762&gt;67, E2762&lt;78), "68-77",
E2762&gt;77,"Above than 77")</f>
        <v>Above than 77</v>
      </c>
      <c r="E2762">
        <v>78</v>
      </c>
      <c r="F2762" s="1">
        <v>16426</v>
      </c>
      <c r="G2762" s="1" t="str">
        <f>VLOOKUP(H2762,Table7[#All], 2, FALSE)</f>
        <v>Massachusetts</v>
      </c>
      <c r="H2762" s="2" t="s">
        <v>14</v>
      </c>
      <c r="I2762" s="2" t="s">
        <v>15</v>
      </c>
      <c r="J2762" s="2" t="s">
        <v>17</v>
      </c>
      <c r="K2762" s="2" t="s">
        <v>64</v>
      </c>
      <c r="L2762" s="2" t="s">
        <v>9</v>
      </c>
      <c r="M2762" s="2" t="s">
        <v>20</v>
      </c>
      <c r="N2762" s="2" t="s">
        <v>19</v>
      </c>
      <c r="O2762" s="2" t="s">
        <v>12</v>
      </c>
      <c r="P2762" s="2" t="s">
        <v>49</v>
      </c>
      <c r="Q2762" s="2" t="s">
        <v>23</v>
      </c>
      <c r="R2762" s="2" t="s">
        <v>56</v>
      </c>
      <c r="S2762">
        <v>3</v>
      </c>
    </row>
    <row r="2763" spans="1:19" x14ac:dyDescent="0.3">
      <c r="A2763">
        <v>3221</v>
      </c>
      <c r="B2763">
        <f>YEAR(Cleaned_HR_Data_Analysis__2[[#This Row],[Joining_Date]])</f>
        <v>2023</v>
      </c>
      <c r="C2763" s="1">
        <v>45112</v>
      </c>
      <c r="D2763" s="1" t="str" cm="1">
        <f t="array" ref="D2763">_xlfn.IFS(E2763&lt;28, "17-27",
AND(E2763&gt;27, E2763&lt;38), "28-37",
AND(E2763&gt;37, E2763 &lt;48), "38-47",
AND(E2763&gt;47, E2763 &lt;58), "48-57",
AND(E2763&gt;57, E2763&lt;68), "58-67",
AND(E2763&gt;67, E2763&lt;78), "68-77",
E2763&gt;77,"Above than 77")</f>
        <v>Above than 77</v>
      </c>
      <c r="E2763">
        <v>78</v>
      </c>
      <c r="F2763" s="1">
        <v>16802</v>
      </c>
      <c r="G2763" s="1" t="str">
        <f>VLOOKUP(H2763,Table7[#All], 2, FALSE)</f>
        <v>Massachusetts</v>
      </c>
      <c r="H2763" s="2" t="s">
        <v>14</v>
      </c>
      <c r="I2763" s="2" t="s">
        <v>22</v>
      </c>
      <c r="J2763" s="2" t="s">
        <v>31</v>
      </c>
      <c r="K2763" s="2" t="s">
        <v>8</v>
      </c>
      <c r="L2763" s="2" t="s">
        <v>9</v>
      </c>
      <c r="M2763" s="2" t="s">
        <v>25</v>
      </c>
      <c r="N2763" s="2" t="s">
        <v>26</v>
      </c>
      <c r="O2763" s="2" t="s">
        <v>12</v>
      </c>
      <c r="P2763" s="2" t="s">
        <v>59</v>
      </c>
      <c r="Q2763" s="2" t="s">
        <v>30</v>
      </c>
      <c r="R2763" s="2" t="s">
        <v>18</v>
      </c>
      <c r="S2763">
        <v>3</v>
      </c>
    </row>
    <row r="2764" spans="1:19" x14ac:dyDescent="0.3">
      <c r="A2764">
        <v>3104</v>
      </c>
      <c r="B2764">
        <f>YEAR(Cleaned_HR_Data_Analysis__2[[#This Row],[Joining_Date]])</f>
        <v>2022</v>
      </c>
      <c r="C2764" s="1">
        <v>44710</v>
      </c>
      <c r="D2764" s="1" t="str" cm="1">
        <f t="array" ref="D2764">_xlfn.IFS(E2764&lt;28, "17-27",
AND(E2764&gt;27, E2764&lt;38), "28-37",
AND(E2764&gt;37, E2764 &lt;48), "38-47",
AND(E2764&gt;47, E2764 &lt;58), "48-57",
AND(E2764&gt;57, E2764&lt;68), "58-67",
AND(E2764&gt;67, E2764&lt;78), "68-77",
E2764&gt;77,"Above than 77")</f>
        <v>Above than 77</v>
      </c>
      <c r="E2764">
        <v>78</v>
      </c>
      <c r="F2764" s="1">
        <v>16085</v>
      </c>
      <c r="G2764" s="1" t="str">
        <f>VLOOKUP(H2764,Table7[#All], 2, FALSE)</f>
        <v>Massachusetts</v>
      </c>
      <c r="H2764" s="2" t="s">
        <v>14</v>
      </c>
      <c r="I2764" s="2" t="s">
        <v>15</v>
      </c>
      <c r="J2764" s="2" t="s">
        <v>34</v>
      </c>
      <c r="K2764" s="2" t="s">
        <v>8</v>
      </c>
      <c r="L2764" s="2" t="s">
        <v>9</v>
      </c>
      <c r="M2764" s="2" t="s">
        <v>10</v>
      </c>
      <c r="N2764" s="2" t="s">
        <v>11</v>
      </c>
      <c r="O2764" s="2" t="s">
        <v>12</v>
      </c>
      <c r="P2764" s="2" t="s">
        <v>32</v>
      </c>
      <c r="Q2764" s="2" t="s">
        <v>37</v>
      </c>
      <c r="R2764" s="2" t="s">
        <v>18</v>
      </c>
      <c r="S2764">
        <v>2</v>
      </c>
    </row>
    <row r="2765" spans="1:19" x14ac:dyDescent="0.3">
      <c r="A2765">
        <v>3088</v>
      </c>
      <c r="B2765">
        <f>YEAR(Cleaned_HR_Data_Analysis__2[[#This Row],[Joining_Date]])</f>
        <v>2022</v>
      </c>
      <c r="C2765" s="1">
        <v>44830</v>
      </c>
      <c r="D2765" s="1" t="str" cm="1">
        <f t="array" ref="D2765">_xlfn.IFS(E2765&lt;28, "17-27",
AND(E2765&gt;27, E2765&lt;38), "28-37",
AND(E2765&gt;37, E2765 &lt;48), "38-47",
AND(E2765&gt;47, E2765 &lt;58), "48-57",
AND(E2765&gt;57, E2765&lt;68), "58-67",
AND(E2765&gt;67, E2765&lt;78), "68-77",
E2765&gt;77,"Above than 77")</f>
        <v>Above than 77</v>
      </c>
      <c r="E2765">
        <v>78</v>
      </c>
      <c r="F2765" s="1">
        <v>16151</v>
      </c>
      <c r="G2765" s="1" t="str">
        <f>VLOOKUP(H2765,Table7[#All], 2, FALSE)</f>
        <v>Massachusetts</v>
      </c>
      <c r="H2765" s="2" t="s">
        <v>14</v>
      </c>
      <c r="I2765" s="2" t="s">
        <v>15</v>
      </c>
      <c r="J2765" s="2" t="s">
        <v>34</v>
      </c>
      <c r="K2765" s="2" t="s">
        <v>8</v>
      </c>
      <c r="L2765" s="2" t="s">
        <v>9</v>
      </c>
      <c r="M2765" s="2" t="s">
        <v>20</v>
      </c>
      <c r="N2765" s="2" t="s">
        <v>26</v>
      </c>
      <c r="O2765" s="2" t="s">
        <v>12</v>
      </c>
      <c r="P2765" s="2" t="s">
        <v>35</v>
      </c>
      <c r="Q2765" s="2" t="s">
        <v>30</v>
      </c>
      <c r="R2765" s="2" t="s">
        <v>18</v>
      </c>
      <c r="S2765">
        <v>3</v>
      </c>
    </row>
    <row r="2766" spans="1:19" x14ac:dyDescent="0.3">
      <c r="A2766">
        <v>2877</v>
      </c>
      <c r="B2766">
        <f>YEAR(Cleaned_HR_Data_Analysis__2[[#This Row],[Joining_Date]])</f>
        <v>2022</v>
      </c>
      <c r="C2766" s="1">
        <v>44876</v>
      </c>
      <c r="D2766" s="1" t="str" cm="1">
        <f t="array" ref="D2766">_xlfn.IFS(E2766&lt;28, "17-27",
AND(E2766&gt;27, E2766&lt;38), "28-37",
AND(E2766&gt;37, E2766 &lt;48), "38-47",
AND(E2766&gt;47, E2766 &lt;58), "48-57",
AND(E2766&gt;57, E2766&lt;68), "58-67",
AND(E2766&gt;67, E2766&lt;78), "68-77",
E2766&gt;77,"Above than 77")</f>
        <v>Above than 77</v>
      </c>
      <c r="E2766">
        <v>78</v>
      </c>
      <c r="F2766" s="1">
        <v>16434</v>
      </c>
      <c r="G2766" s="1" t="str">
        <f>VLOOKUP(H2766,Table7[#All], 2, FALSE)</f>
        <v>Massachusetts</v>
      </c>
      <c r="H2766" s="2" t="s">
        <v>14</v>
      </c>
      <c r="I2766" s="2" t="s">
        <v>15</v>
      </c>
      <c r="J2766" s="2" t="s">
        <v>17</v>
      </c>
      <c r="K2766" s="2" t="s">
        <v>8</v>
      </c>
      <c r="L2766" s="2" t="s">
        <v>9</v>
      </c>
      <c r="M2766" s="2" t="s">
        <v>10</v>
      </c>
      <c r="N2766" s="2" t="s">
        <v>26</v>
      </c>
      <c r="O2766" s="2" t="s">
        <v>12</v>
      </c>
      <c r="P2766" s="2" t="s">
        <v>54</v>
      </c>
      <c r="Q2766" s="2" t="s">
        <v>46</v>
      </c>
      <c r="R2766" s="2" t="s">
        <v>18</v>
      </c>
      <c r="S2766">
        <v>4</v>
      </c>
    </row>
    <row r="2767" spans="1:19" x14ac:dyDescent="0.3">
      <c r="A2767">
        <v>2205</v>
      </c>
      <c r="B2767">
        <f>YEAR(Cleaned_HR_Data_Analysis__2[[#This Row],[Joining_Date]])</f>
        <v>2022</v>
      </c>
      <c r="C2767" s="1">
        <v>44664</v>
      </c>
      <c r="D2767" s="1" t="str" cm="1">
        <f t="array" ref="D2767">_xlfn.IFS(E2767&lt;28, "17-27",
AND(E2767&gt;27, E2767&lt;38), "28-37",
AND(E2767&gt;37, E2767 &lt;48), "38-47",
AND(E2767&gt;47, E2767 &lt;58), "48-57",
AND(E2767&gt;57, E2767&lt;68), "58-67",
AND(E2767&gt;67, E2767&lt;78), "68-77",
E2767&gt;77,"Above than 77")</f>
        <v>Above than 77</v>
      </c>
      <c r="E2767">
        <v>78</v>
      </c>
      <c r="F2767" s="1">
        <v>16084</v>
      </c>
      <c r="G2767" s="1" t="str">
        <f>VLOOKUP(H2767,Table7[#All], 2, FALSE)</f>
        <v>Massachusetts</v>
      </c>
      <c r="H2767" s="2" t="s">
        <v>14</v>
      </c>
      <c r="I2767" s="2" t="s">
        <v>15</v>
      </c>
      <c r="J2767" s="2" t="s">
        <v>40</v>
      </c>
      <c r="K2767" s="2" t="s">
        <v>8</v>
      </c>
      <c r="L2767" s="2" t="s">
        <v>9</v>
      </c>
      <c r="M2767" s="2" t="s">
        <v>25</v>
      </c>
      <c r="N2767" s="2" t="s">
        <v>26</v>
      </c>
      <c r="O2767" s="2" t="s">
        <v>12</v>
      </c>
      <c r="P2767" s="2" t="s">
        <v>28</v>
      </c>
      <c r="Q2767" s="2" t="s">
        <v>37</v>
      </c>
      <c r="R2767" s="2" t="s">
        <v>56</v>
      </c>
      <c r="S2767">
        <v>3</v>
      </c>
    </row>
    <row r="2768" spans="1:19" x14ac:dyDescent="0.3">
      <c r="A2768">
        <v>2100</v>
      </c>
      <c r="B2768">
        <f>YEAR(Cleaned_HR_Data_Analysis__2[[#This Row],[Joining_Date]])</f>
        <v>2022</v>
      </c>
      <c r="C2768" s="1">
        <v>44817</v>
      </c>
      <c r="D2768" s="1" t="str" cm="1">
        <f t="array" ref="D2768">_xlfn.IFS(E2768&lt;28, "17-27",
AND(E2768&gt;27, E2768&lt;38), "28-37",
AND(E2768&gt;37, E2768 &lt;48), "38-47",
AND(E2768&gt;47, E2768 &lt;58), "48-57",
AND(E2768&gt;57, E2768&lt;68), "58-67",
AND(E2768&gt;67, E2768&lt;78), "68-77",
E2768&gt;77,"Above than 77")</f>
        <v>Above than 77</v>
      </c>
      <c r="E2768">
        <v>78</v>
      </c>
      <c r="F2768" s="1">
        <v>16400</v>
      </c>
      <c r="G2768" s="1" t="str">
        <f>VLOOKUP(H2768,Table7[#All], 2, FALSE)</f>
        <v>Massachusetts</v>
      </c>
      <c r="H2768" s="2" t="s">
        <v>14</v>
      </c>
      <c r="I2768" s="2" t="s">
        <v>15</v>
      </c>
      <c r="J2768" s="2" t="s">
        <v>40</v>
      </c>
      <c r="K2768" s="2" t="s">
        <v>8</v>
      </c>
      <c r="L2768" s="2" t="s">
        <v>9</v>
      </c>
      <c r="M2768" s="2" t="s">
        <v>10</v>
      </c>
      <c r="N2768" s="2" t="s">
        <v>19</v>
      </c>
      <c r="O2768" s="2" t="s">
        <v>12</v>
      </c>
      <c r="P2768" s="2" t="s">
        <v>21</v>
      </c>
      <c r="Q2768" s="2" t="s">
        <v>30</v>
      </c>
      <c r="R2768" s="2" t="s">
        <v>41</v>
      </c>
      <c r="S2768">
        <v>1</v>
      </c>
    </row>
    <row r="2769" spans="1:19" x14ac:dyDescent="0.3">
      <c r="A2769">
        <v>2076</v>
      </c>
      <c r="B2769">
        <f>YEAR(Cleaned_HR_Data_Analysis__2[[#This Row],[Joining_Date]])</f>
        <v>2021</v>
      </c>
      <c r="C2769" s="1">
        <v>44537</v>
      </c>
      <c r="D2769" s="1" t="str" cm="1">
        <f t="array" ref="D2769">_xlfn.IFS(E2769&lt;28, "17-27",
AND(E2769&gt;27, E2769&lt;38), "28-37",
AND(E2769&gt;37, E2769 &lt;48), "38-47",
AND(E2769&gt;47, E2769 &lt;58), "48-57",
AND(E2769&gt;57, E2769&lt;68), "58-67",
AND(E2769&gt;67, E2769&lt;78), "68-77",
E2769&gt;77,"Above than 77")</f>
        <v>Above than 77</v>
      </c>
      <c r="E2769">
        <v>78</v>
      </c>
      <c r="F2769" s="1">
        <v>15914</v>
      </c>
      <c r="G2769" s="1" t="str">
        <f>VLOOKUP(H2769,Table7[#All], 2, FALSE)</f>
        <v>Massachusetts</v>
      </c>
      <c r="H2769" s="2" t="s">
        <v>14</v>
      </c>
      <c r="I2769" s="2" t="s">
        <v>15</v>
      </c>
      <c r="J2769" s="2" t="s">
        <v>40</v>
      </c>
      <c r="K2769" s="2" t="s">
        <v>8</v>
      </c>
      <c r="L2769" s="2" t="s">
        <v>9</v>
      </c>
      <c r="M2769" s="2" t="s">
        <v>25</v>
      </c>
      <c r="N2769" s="2" t="s">
        <v>19</v>
      </c>
      <c r="O2769" s="2" t="s">
        <v>12</v>
      </c>
      <c r="P2769" s="2" t="s">
        <v>35</v>
      </c>
      <c r="Q2769" s="2" t="s">
        <v>37</v>
      </c>
      <c r="R2769" s="2" t="s">
        <v>18</v>
      </c>
      <c r="S2769">
        <v>5</v>
      </c>
    </row>
    <row r="2770" spans="1:19" x14ac:dyDescent="0.3">
      <c r="A2770">
        <v>2008</v>
      </c>
      <c r="B2770">
        <f>YEAR(Cleaned_HR_Data_Analysis__2[[#This Row],[Joining_Date]])</f>
        <v>2019</v>
      </c>
      <c r="C2770" s="1">
        <v>43661</v>
      </c>
      <c r="D2770" s="1" t="str" cm="1">
        <f t="array" ref="D2770">_xlfn.IFS(E2770&lt;28, "17-27",
AND(E2770&gt;27, E2770&lt;38), "28-37",
AND(E2770&gt;37, E2770 &lt;48), "38-47",
AND(E2770&gt;47, E2770 &lt;58), "48-57",
AND(E2770&gt;57, E2770&lt;68), "58-67",
AND(E2770&gt;67, E2770&lt;78), "68-77",
E2770&gt;77,"Above than 77")</f>
        <v>Above than 77</v>
      </c>
      <c r="E2770">
        <v>78</v>
      </c>
      <c r="F2770" s="1">
        <v>15222</v>
      </c>
      <c r="G2770" s="1" t="str">
        <f>VLOOKUP(H2770,Table7[#All], 2, FALSE)</f>
        <v>Massachusetts</v>
      </c>
      <c r="H2770" s="2" t="s">
        <v>14</v>
      </c>
      <c r="I2770" s="2" t="s">
        <v>15</v>
      </c>
      <c r="J2770" s="2" t="s">
        <v>17</v>
      </c>
      <c r="K2770" s="2" t="s">
        <v>8</v>
      </c>
      <c r="L2770" s="2" t="s">
        <v>9</v>
      </c>
      <c r="M2770" s="2" t="s">
        <v>20</v>
      </c>
      <c r="N2770" s="2" t="s">
        <v>19</v>
      </c>
      <c r="O2770" s="2" t="s">
        <v>12</v>
      </c>
      <c r="P2770" s="2" t="s">
        <v>35</v>
      </c>
      <c r="Q2770" s="2" t="s">
        <v>46</v>
      </c>
      <c r="R2770" s="2" t="s">
        <v>18</v>
      </c>
      <c r="S2770">
        <v>2</v>
      </c>
    </row>
    <row r="2771" spans="1:19" x14ac:dyDescent="0.3">
      <c r="A2771">
        <v>1975</v>
      </c>
      <c r="B2771">
        <f>YEAR(Cleaned_HR_Data_Analysis__2[[#This Row],[Joining_Date]])</f>
        <v>2019</v>
      </c>
      <c r="C2771" s="1">
        <v>43569</v>
      </c>
      <c r="D2771" s="1" t="str" cm="1">
        <f t="array" ref="D2771">_xlfn.IFS(E2771&lt;28, "17-27",
AND(E2771&gt;27, E2771&lt;38), "28-37",
AND(E2771&gt;37, E2771 &lt;48), "38-47",
AND(E2771&gt;47, E2771 &lt;58), "48-57",
AND(E2771&gt;57, E2771&lt;68), "58-67",
AND(E2771&gt;67, E2771&lt;78), "68-77",
E2771&gt;77,"Above than 77")</f>
        <v>Above than 77</v>
      </c>
      <c r="E2771">
        <v>78</v>
      </c>
      <c r="F2771" s="1">
        <v>15280</v>
      </c>
      <c r="G2771" s="1" t="str">
        <f>VLOOKUP(H2771,Table7[#All], 2, FALSE)</f>
        <v>Massachusetts</v>
      </c>
      <c r="H2771" s="2" t="s">
        <v>14</v>
      </c>
      <c r="I2771" s="2" t="s">
        <v>15</v>
      </c>
      <c r="J2771" s="2" t="s">
        <v>40</v>
      </c>
      <c r="K2771" s="2" t="s">
        <v>8</v>
      </c>
      <c r="L2771" s="2" t="s">
        <v>9</v>
      </c>
      <c r="M2771" s="2" t="s">
        <v>10</v>
      </c>
      <c r="N2771" s="2" t="s">
        <v>19</v>
      </c>
      <c r="O2771" s="2" t="s">
        <v>12</v>
      </c>
      <c r="P2771" s="2" t="s">
        <v>54</v>
      </c>
      <c r="Q2771" s="2" t="s">
        <v>30</v>
      </c>
      <c r="R2771" s="2" t="s">
        <v>18</v>
      </c>
      <c r="S2771">
        <v>4</v>
      </c>
    </row>
    <row r="2772" spans="1:19" x14ac:dyDescent="0.3">
      <c r="A2772">
        <v>1908</v>
      </c>
      <c r="B2772">
        <f>YEAR(Cleaned_HR_Data_Analysis__2[[#This Row],[Joining_Date]])</f>
        <v>2020</v>
      </c>
      <c r="C2772" s="1">
        <v>43848</v>
      </c>
      <c r="D2772" s="1" t="str" cm="1">
        <f t="array" ref="D2772">_xlfn.IFS(E2772&lt;28, "17-27",
AND(E2772&gt;27, E2772&lt;38), "28-37",
AND(E2772&gt;37, E2772 &lt;48), "38-47",
AND(E2772&gt;47, E2772 &lt;58), "48-57",
AND(E2772&gt;57, E2772&lt;68), "58-67",
AND(E2772&gt;67, E2772&lt;78), "68-77",
E2772&gt;77,"Above than 77")</f>
        <v>Above than 77</v>
      </c>
      <c r="E2772">
        <v>78</v>
      </c>
      <c r="F2772" s="1">
        <v>15480</v>
      </c>
      <c r="G2772" s="1" t="str">
        <f>VLOOKUP(H2772,Table7[#All], 2, FALSE)</f>
        <v>Massachusetts</v>
      </c>
      <c r="H2772" s="2" t="s">
        <v>14</v>
      </c>
      <c r="I2772" s="2" t="s">
        <v>15</v>
      </c>
      <c r="J2772" s="2" t="s">
        <v>17</v>
      </c>
      <c r="K2772" s="2" t="s">
        <v>8</v>
      </c>
      <c r="L2772" s="2" t="s">
        <v>9</v>
      </c>
      <c r="M2772" s="2" t="s">
        <v>10</v>
      </c>
      <c r="N2772" s="2" t="s">
        <v>26</v>
      </c>
      <c r="O2772" s="2" t="s">
        <v>12</v>
      </c>
      <c r="P2772" s="2" t="s">
        <v>35</v>
      </c>
      <c r="Q2772" s="2" t="s">
        <v>16</v>
      </c>
      <c r="R2772" s="2" t="s">
        <v>18</v>
      </c>
      <c r="S2772">
        <v>2</v>
      </c>
    </row>
    <row r="2773" spans="1:19" x14ac:dyDescent="0.3">
      <c r="A2773">
        <v>1522</v>
      </c>
      <c r="B2773">
        <f>YEAR(Cleaned_HR_Data_Analysis__2[[#This Row],[Joining_Date]])</f>
        <v>2021</v>
      </c>
      <c r="C2773" s="1">
        <v>44242</v>
      </c>
      <c r="D2773" s="1" t="str" cm="1">
        <f t="array" ref="D2773">_xlfn.IFS(E2773&lt;28, "17-27",
AND(E2773&gt;27, E2773&lt;38), "28-37",
AND(E2773&gt;37, E2773 &lt;48), "38-47",
AND(E2773&gt;47, E2773 &lt;58), "48-57",
AND(E2773&gt;57, E2773&lt;68), "58-67",
AND(E2773&gt;67, E2773&lt;78), "68-77",
E2773&gt;77,"Above than 77")</f>
        <v>Above than 77</v>
      </c>
      <c r="E2773">
        <v>78</v>
      </c>
      <c r="F2773" s="1">
        <v>15942</v>
      </c>
      <c r="G2773" s="1" t="str">
        <f>VLOOKUP(H2773,Table7[#All], 2, FALSE)</f>
        <v>Massachusetts</v>
      </c>
      <c r="H2773" s="2" t="s">
        <v>14</v>
      </c>
      <c r="I2773" s="2" t="s">
        <v>22</v>
      </c>
      <c r="J2773" s="2" t="s">
        <v>34</v>
      </c>
      <c r="K2773" s="2" t="s">
        <v>8</v>
      </c>
      <c r="L2773" s="2" t="s">
        <v>9</v>
      </c>
      <c r="M2773" s="2" t="s">
        <v>25</v>
      </c>
      <c r="N2773" s="2" t="s">
        <v>26</v>
      </c>
      <c r="O2773" s="2" t="s">
        <v>12</v>
      </c>
      <c r="P2773" s="2" t="s">
        <v>35</v>
      </c>
      <c r="Q2773" s="2" t="s">
        <v>23</v>
      </c>
      <c r="R2773" s="2" t="s">
        <v>18</v>
      </c>
      <c r="S2773">
        <v>4</v>
      </c>
    </row>
    <row r="2774" spans="1:19" x14ac:dyDescent="0.3">
      <c r="A2774">
        <v>1505</v>
      </c>
      <c r="B2774">
        <f>YEAR(Cleaned_HR_Data_Analysis__2[[#This Row],[Joining_Date]])</f>
        <v>2020</v>
      </c>
      <c r="C2774" s="1">
        <v>43859</v>
      </c>
      <c r="D2774" s="1" t="str" cm="1">
        <f t="array" ref="D2774">_xlfn.IFS(E2774&lt;28, "17-27",
AND(E2774&gt;27, E2774&lt;38), "28-37",
AND(E2774&gt;37, E2774 &lt;48), "38-47",
AND(E2774&gt;47, E2774 &lt;58), "48-57",
AND(E2774&gt;57, E2774&lt;68), "58-67",
AND(E2774&gt;67, E2774&lt;78), "68-77",
E2774&gt;77,"Above than 77")</f>
        <v>Above than 77</v>
      </c>
      <c r="E2774">
        <v>78</v>
      </c>
      <c r="F2774" s="1">
        <v>15570</v>
      </c>
      <c r="G2774" s="1" t="str">
        <f>VLOOKUP(H2774,Table7[#All], 2, FALSE)</f>
        <v>Massachusetts</v>
      </c>
      <c r="H2774" s="2" t="s">
        <v>14</v>
      </c>
      <c r="I2774" s="2" t="s">
        <v>15</v>
      </c>
      <c r="J2774" s="2" t="s">
        <v>17</v>
      </c>
      <c r="K2774" s="2" t="s">
        <v>8</v>
      </c>
      <c r="L2774" s="2" t="s">
        <v>9</v>
      </c>
      <c r="M2774" s="2" t="s">
        <v>25</v>
      </c>
      <c r="N2774" s="2" t="s">
        <v>19</v>
      </c>
      <c r="O2774" s="2" t="s">
        <v>12</v>
      </c>
      <c r="P2774" s="2" t="s">
        <v>59</v>
      </c>
      <c r="Q2774" s="2" t="s">
        <v>30</v>
      </c>
      <c r="R2774" s="2" t="s">
        <v>41</v>
      </c>
      <c r="S2774">
        <v>5</v>
      </c>
    </row>
    <row r="2775" spans="1:19" x14ac:dyDescent="0.3">
      <c r="A2775">
        <v>1498</v>
      </c>
      <c r="B2775">
        <f>YEAR(Cleaned_HR_Data_Analysis__2[[#This Row],[Joining_Date]])</f>
        <v>2022</v>
      </c>
      <c r="C2775" s="1">
        <v>44788</v>
      </c>
      <c r="D2775" s="1" t="str" cm="1">
        <f t="array" ref="D2775">_xlfn.IFS(E2775&lt;28, "17-27",
AND(E2775&gt;27, E2775&lt;38), "28-37",
AND(E2775&gt;37, E2775 &lt;48), "38-47",
AND(E2775&gt;47, E2775 &lt;58), "48-57",
AND(E2775&gt;57, E2775&lt;68), "58-67",
AND(E2775&gt;67, E2775&lt;78), "68-77",
E2775&gt;77,"Above than 77")</f>
        <v>Above than 77</v>
      </c>
      <c r="E2775">
        <v>78</v>
      </c>
      <c r="F2775" s="1">
        <v>16155</v>
      </c>
      <c r="G2775" s="1" t="str">
        <f>VLOOKUP(H2775,Table7[#All], 2, FALSE)</f>
        <v>Massachusetts</v>
      </c>
      <c r="H2775" s="2" t="s">
        <v>14</v>
      </c>
      <c r="I2775" s="2" t="s">
        <v>15</v>
      </c>
      <c r="J2775" s="2" t="s">
        <v>34</v>
      </c>
      <c r="K2775" s="2" t="s">
        <v>8</v>
      </c>
      <c r="L2775" s="2" t="s">
        <v>9</v>
      </c>
      <c r="M2775" s="2" t="s">
        <v>25</v>
      </c>
      <c r="N2775" s="2" t="s">
        <v>26</v>
      </c>
      <c r="O2775" s="2" t="s">
        <v>12</v>
      </c>
      <c r="P2775" s="2" t="s">
        <v>42</v>
      </c>
      <c r="Q2775" s="2" t="s">
        <v>37</v>
      </c>
      <c r="R2775" s="2" t="s">
        <v>41</v>
      </c>
      <c r="S2775">
        <v>5</v>
      </c>
    </row>
    <row r="2776" spans="1:19" x14ac:dyDescent="0.3">
      <c r="A2776">
        <v>1280</v>
      </c>
      <c r="B2776">
        <f>YEAR(Cleaned_HR_Data_Analysis__2[[#This Row],[Joining_Date]])</f>
        <v>2022</v>
      </c>
      <c r="C2776" s="1">
        <v>44573</v>
      </c>
      <c r="D2776" s="1" t="str" cm="1">
        <f t="array" ref="D2776">_xlfn.IFS(E2776&lt;28, "17-27",
AND(E2776&gt;27, E2776&lt;38), "28-37",
AND(E2776&gt;37, E2776 &lt;48), "38-47",
AND(E2776&gt;47, E2776 &lt;58), "48-57",
AND(E2776&gt;57, E2776&lt;68), "58-67",
AND(E2776&gt;67, E2776&lt;78), "68-77",
E2776&gt;77,"Above than 77")</f>
        <v>Above than 77</v>
      </c>
      <c r="E2776">
        <v>78</v>
      </c>
      <c r="F2776" s="1">
        <v>16181</v>
      </c>
      <c r="G2776" s="1" t="str">
        <f>VLOOKUP(H2776,Table7[#All], 2, FALSE)</f>
        <v>Massachusetts</v>
      </c>
      <c r="H2776" s="2" t="s">
        <v>14</v>
      </c>
      <c r="I2776" s="2" t="s">
        <v>22</v>
      </c>
      <c r="J2776" s="2" t="s">
        <v>31</v>
      </c>
      <c r="K2776" s="2" t="s">
        <v>8</v>
      </c>
      <c r="L2776" s="2" t="s">
        <v>9</v>
      </c>
      <c r="M2776" s="2" t="s">
        <v>25</v>
      </c>
      <c r="N2776" s="2" t="s">
        <v>11</v>
      </c>
      <c r="O2776" s="2" t="s">
        <v>12</v>
      </c>
      <c r="P2776" s="2" t="s">
        <v>28</v>
      </c>
      <c r="Q2776" s="2" t="s">
        <v>37</v>
      </c>
      <c r="R2776" s="2" t="s">
        <v>18</v>
      </c>
      <c r="S2776">
        <v>2</v>
      </c>
    </row>
    <row r="2777" spans="1:19" x14ac:dyDescent="0.3">
      <c r="A2777">
        <v>2223</v>
      </c>
      <c r="B2777">
        <f>YEAR(Cleaned_HR_Data_Analysis__2[[#This Row],[Joining_Date]])</f>
        <v>2020</v>
      </c>
      <c r="C2777" s="1">
        <v>44016</v>
      </c>
      <c r="D2777" s="1" t="str" cm="1">
        <f t="array" ref="D2777">_xlfn.IFS(E2777&lt;28, "17-27",
AND(E2777&gt;27, E2777&lt;38), "28-37",
AND(E2777&gt;37, E2777 &lt;48), "38-47",
AND(E2777&gt;47, E2777 &lt;58), "48-57",
AND(E2777&gt;57, E2777&lt;68), "58-67",
AND(E2777&gt;67, E2777&lt;78), "68-77",
E2777&gt;77,"Above than 77")</f>
        <v>Above than 77</v>
      </c>
      <c r="E2777">
        <v>78</v>
      </c>
      <c r="F2777" s="1">
        <v>15390</v>
      </c>
      <c r="G2777" s="1" t="str">
        <f>VLOOKUP(H2777,Table7[#All], 2, FALSE)</f>
        <v>Massachusetts</v>
      </c>
      <c r="H2777" s="2" t="s">
        <v>14</v>
      </c>
      <c r="I2777" s="2" t="s">
        <v>15</v>
      </c>
      <c r="J2777" s="2" t="s">
        <v>17</v>
      </c>
      <c r="K2777" s="2" t="s">
        <v>101</v>
      </c>
      <c r="L2777" s="2" t="s">
        <v>9</v>
      </c>
      <c r="M2777" s="2" t="s">
        <v>25</v>
      </c>
      <c r="N2777" s="2" t="s">
        <v>11</v>
      </c>
      <c r="O2777" s="2" t="s">
        <v>53</v>
      </c>
      <c r="P2777" s="2" t="s">
        <v>44</v>
      </c>
      <c r="Q2777" s="2" t="s">
        <v>46</v>
      </c>
      <c r="R2777" s="2" t="s">
        <v>41</v>
      </c>
      <c r="S2777">
        <v>1</v>
      </c>
    </row>
    <row r="2778" spans="1:19" x14ac:dyDescent="0.3">
      <c r="A2778">
        <v>2290</v>
      </c>
      <c r="B2778">
        <f>YEAR(Cleaned_HR_Data_Analysis__2[[#This Row],[Joining_Date]])</f>
        <v>2020</v>
      </c>
      <c r="C2778" s="1">
        <v>44162</v>
      </c>
      <c r="D2778" s="1" t="str" cm="1">
        <f t="array" ref="D2778">_xlfn.IFS(E2778&lt;28, "17-27",
AND(E2778&gt;27, E2778&lt;38), "28-37",
AND(E2778&gt;37, E2778 &lt;48), "38-47",
AND(E2778&gt;47, E2778 &lt;58), "48-57",
AND(E2778&gt;57, E2778&lt;68), "58-67",
AND(E2778&gt;67, E2778&lt;78), "68-77",
E2778&gt;77,"Above than 77")</f>
        <v>Above than 77</v>
      </c>
      <c r="E2778">
        <v>78</v>
      </c>
      <c r="F2778" s="1">
        <v>15447</v>
      </c>
      <c r="G2778" s="1" t="str">
        <f>VLOOKUP(H2778,Table7[#All], 2, FALSE)</f>
        <v>Rhode Island</v>
      </c>
      <c r="H2778" s="2" t="s">
        <v>105</v>
      </c>
      <c r="I2778" s="2" t="s">
        <v>15</v>
      </c>
      <c r="J2778" s="2" t="s">
        <v>17</v>
      </c>
      <c r="K2778" s="2" t="s">
        <v>104</v>
      </c>
      <c r="L2778" s="2" t="s">
        <v>9</v>
      </c>
      <c r="M2778" s="2" t="s">
        <v>25</v>
      </c>
      <c r="N2778" s="2" t="s">
        <v>26</v>
      </c>
      <c r="O2778" s="2" t="s">
        <v>27</v>
      </c>
      <c r="P2778" s="2" t="s">
        <v>59</v>
      </c>
      <c r="Q2778" s="2" t="s">
        <v>23</v>
      </c>
      <c r="R2778" s="2" t="s">
        <v>18</v>
      </c>
      <c r="S2778">
        <v>1</v>
      </c>
    </row>
    <row r="2779" spans="1:19" x14ac:dyDescent="0.3">
      <c r="A2779">
        <v>3937</v>
      </c>
      <c r="B2779">
        <f>YEAR(Cleaned_HR_Data_Analysis__2[[#This Row],[Joining_Date]])</f>
        <v>2022</v>
      </c>
      <c r="C2779" s="1">
        <v>44869</v>
      </c>
      <c r="D2779" s="1" t="str" cm="1">
        <f t="array" ref="D2779">_xlfn.IFS(E2779&lt;28, "17-27",
AND(E2779&gt;27, E2779&lt;38), "28-37",
AND(E2779&gt;37, E2779 &lt;48), "38-47",
AND(E2779&gt;47, E2779 &lt;58), "48-57",
AND(E2779&gt;57, E2779&lt;68), "58-67",
AND(E2779&gt;67, E2779&lt;78), "68-77",
E2779&gt;77,"Above than 77")</f>
        <v>Above than 77</v>
      </c>
      <c r="E2779">
        <v>78</v>
      </c>
      <c r="F2779" s="1">
        <v>16328</v>
      </c>
      <c r="G2779" s="1" t="str">
        <f>VLOOKUP(H2779,Table7[#All], 2, FALSE)</f>
        <v>Massachusetts</v>
      </c>
      <c r="H2779" s="2" t="s">
        <v>14</v>
      </c>
      <c r="I2779" s="2" t="s">
        <v>22</v>
      </c>
      <c r="J2779" s="2" t="s">
        <v>17</v>
      </c>
      <c r="K2779" s="2" t="s">
        <v>77</v>
      </c>
      <c r="L2779" s="2" t="s">
        <v>9</v>
      </c>
      <c r="M2779" s="2" t="s">
        <v>10</v>
      </c>
      <c r="N2779" s="2" t="s">
        <v>11</v>
      </c>
      <c r="O2779" s="2" t="s">
        <v>53</v>
      </c>
      <c r="P2779" s="2" t="s">
        <v>35</v>
      </c>
      <c r="Q2779" s="2" t="s">
        <v>16</v>
      </c>
      <c r="R2779" s="2" t="s">
        <v>18</v>
      </c>
      <c r="S2779">
        <v>3</v>
      </c>
    </row>
    <row r="2780" spans="1:19" x14ac:dyDescent="0.3">
      <c r="A2780">
        <v>2335</v>
      </c>
      <c r="B2780">
        <f>YEAR(Cleaned_HR_Data_Analysis__2[[#This Row],[Joining_Date]])</f>
        <v>2022</v>
      </c>
      <c r="C2780" s="1">
        <v>44769</v>
      </c>
      <c r="D2780" s="1" t="str" cm="1">
        <f t="array" ref="D2780">_xlfn.IFS(E2780&lt;28, "17-27",
AND(E2780&gt;27, E2780&lt;38), "28-37",
AND(E2780&gt;37, E2780 &lt;48), "38-47",
AND(E2780&gt;47, E2780 &lt;58), "48-57",
AND(E2780&gt;57, E2780&lt;68), "58-67",
AND(E2780&gt;67, E2780&lt;78), "68-77",
E2780&gt;77,"Above than 77")</f>
        <v>Above than 77</v>
      </c>
      <c r="E2780">
        <v>78</v>
      </c>
      <c r="F2780" s="1">
        <v>16395</v>
      </c>
      <c r="G2780" s="1" t="str">
        <f>VLOOKUP(H2780,Table7[#All], 2, FALSE)</f>
        <v>Massachusetts</v>
      </c>
      <c r="H2780" s="2" t="s">
        <v>14</v>
      </c>
      <c r="I2780" s="2" t="s">
        <v>22</v>
      </c>
      <c r="J2780" s="2" t="s">
        <v>40</v>
      </c>
      <c r="K2780" s="2" t="s">
        <v>78</v>
      </c>
      <c r="L2780" s="2" t="s">
        <v>9</v>
      </c>
      <c r="M2780" s="2" t="s">
        <v>25</v>
      </c>
      <c r="N2780" s="2" t="s">
        <v>11</v>
      </c>
      <c r="O2780" s="2" t="s">
        <v>53</v>
      </c>
      <c r="P2780" s="2" t="s">
        <v>32</v>
      </c>
      <c r="Q2780" s="2" t="s">
        <v>16</v>
      </c>
      <c r="R2780" s="2" t="s">
        <v>18</v>
      </c>
      <c r="S2780">
        <v>5</v>
      </c>
    </row>
    <row r="2781" spans="1:19" x14ac:dyDescent="0.3">
      <c r="A2781">
        <v>3476</v>
      </c>
      <c r="B2781">
        <f>YEAR(Cleaned_HR_Data_Analysis__2[[#This Row],[Joining_Date]])</f>
        <v>2023</v>
      </c>
      <c r="C2781" s="1">
        <v>45089</v>
      </c>
      <c r="D2781" s="1" t="str" cm="1">
        <f t="array" ref="D2781">_xlfn.IFS(E2781&lt;28, "17-27",
AND(E2781&gt;27, E2781&lt;38), "28-37",
AND(E2781&gt;37, E2781 &lt;48), "38-47",
AND(E2781&gt;47, E2781 &lt;58), "48-57",
AND(E2781&gt;57, E2781&lt;68), "58-67",
AND(E2781&gt;67, E2781&lt;78), "68-77",
E2781&gt;77,"Above than 77")</f>
        <v>Above than 77</v>
      </c>
      <c r="E2781">
        <v>78</v>
      </c>
      <c r="F2781" s="1">
        <v>16608</v>
      </c>
      <c r="G2781" s="1" t="str">
        <f>VLOOKUP(H2781,Table7[#All], 2, FALSE)</f>
        <v>Massachusetts</v>
      </c>
      <c r="H2781" s="2" t="s">
        <v>14</v>
      </c>
      <c r="I2781" s="2" t="s">
        <v>22</v>
      </c>
      <c r="J2781" s="2" t="s">
        <v>40</v>
      </c>
      <c r="K2781" s="2" t="s">
        <v>24</v>
      </c>
      <c r="L2781" s="2" t="s">
        <v>9</v>
      </c>
      <c r="M2781" s="2" t="s">
        <v>20</v>
      </c>
      <c r="N2781" s="2" t="s">
        <v>19</v>
      </c>
      <c r="O2781" s="2" t="s">
        <v>27</v>
      </c>
      <c r="P2781" s="2" t="s">
        <v>55</v>
      </c>
      <c r="Q2781" s="2" t="s">
        <v>46</v>
      </c>
      <c r="R2781" s="2" t="s">
        <v>56</v>
      </c>
      <c r="S2781">
        <v>5</v>
      </c>
    </row>
    <row r="2782" spans="1:19" x14ac:dyDescent="0.3">
      <c r="A2782">
        <v>2671</v>
      </c>
      <c r="B2782">
        <f>YEAR(Cleaned_HR_Data_Analysis__2[[#This Row],[Joining_Date]])</f>
        <v>2022</v>
      </c>
      <c r="C2782" s="1">
        <v>44760</v>
      </c>
      <c r="D2782" s="1" t="str" cm="1">
        <f t="array" ref="D2782">_xlfn.IFS(E2782&lt;28, "17-27",
AND(E2782&gt;27, E2782&lt;38), "28-37",
AND(E2782&gt;37, E2782 &lt;48), "38-47",
AND(E2782&gt;47, E2782 &lt;58), "48-57",
AND(E2782&gt;57, E2782&lt;68), "58-67",
AND(E2782&gt;67, E2782&lt;78), "68-77",
E2782&gt;77,"Above than 77")</f>
        <v>Above than 77</v>
      </c>
      <c r="E2782">
        <v>78</v>
      </c>
      <c r="F2782" s="1">
        <v>16246</v>
      </c>
      <c r="G2782" s="1" t="str">
        <f>VLOOKUP(H2782,Table7[#All], 2, FALSE)</f>
        <v>Massachusetts</v>
      </c>
      <c r="H2782" s="2" t="s">
        <v>14</v>
      </c>
      <c r="I2782" s="2" t="s">
        <v>22</v>
      </c>
      <c r="J2782" s="2" t="s">
        <v>17</v>
      </c>
      <c r="K2782" s="2" t="s">
        <v>24</v>
      </c>
      <c r="L2782" s="2" t="s">
        <v>9</v>
      </c>
      <c r="M2782" s="2" t="s">
        <v>20</v>
      </c>
      <c r="N2782" s="2" t="s">
        <v>11</v>
      </c>
      <c r="O2782" s="2" t="s">
        <v>27</v>
      </c>
      <c r="P2782" s="2" t="s">
        <v>35</v>
      </c>
      <c r="Q2782" s="2" t="s">
        <v>46</v>
      </c>
      <c r="R2782" s="2" t="s">
        <v>18</v>
      </c>
      <c r="S2782">
        <v>2</v>
      </c>
    </row>
    <row r="2783" spans="1:19" x14ac:dyDescent="0.3">
      <c r="A2783">
        <v>3517</v>
      </c>
      <c r="B2783">
        <f>YEAR(Cleaned_HR_Data_Analysis__2[[#This Row],[Joining_Date]])</f>
        <v>2020</v>
      </c>
      <c r="C2783" s="1">
        <v>43880</v>
      </c>
      <c r="D2783" s="1" t="str" cm="1">
        <f t="array" ref="D2783">_xlfn.IFS(E2783&lt;28, "17-27",
AND(E2783&gt;27, E2783&lt;38), "28-37",
AND(E2783&gt;37, E2783 &lt;48), "38-47",
AND(E2783&gt;47, E2783 &lt;58), "48-57",
AND(E2783&gt;57, E2783&lt;68), "58-67",
AND(E2783&gt;67, E2783&lt;78), "68-77",
E2783&gt;77,"Above than 77")</f>
        <v>Above than 77</v>
      </c>
      <c r="E2783">
        <v>78</v>
      </c>
      <c r="F2783" s="1">
        <v>15345</v>
      </c>
      <c r="G2783" s="1" t="str">
        <f>VLOOKUP(H2783,Table7[#All], 2, FALSE)</f>
        <v>Indiana</v>
      </c>
      <c r="H2783" s="2" t="s">
        <v>47</v>
      </c>
      <c r="I2783" s="2" t="s">
        <v>22</v>
      </c>
      <c r="J2783" s="2" t="s">
        <v>17</v>
      </c>
      <c r="K2783" s="2" t="s">
        <v>24</v>
      </c>
      <c r="L2783" s="2" t="s">
        <v>9</v>
      </c>
      <c r="M2783" s="2" t="s">
        <v>20</v>
      </c>
      <c r="N2783" s="2" t="s">
        <v>19</v>
      </c>
      <c r="O2783" s="2" t="s">
        <v>27</v>
      </c>
      <c r="P2783" s="2" t="s">
        <v>49</v>
      </c>
      <c r="Q2783" s="2" t="s">
        <v>23</v>
      </c>
      <c r="R2783" s="2" t="s">
        <v>18</v>
      </c>
      <c r="S2783">
        <v>1</v>
      </c>
    </row>
    <row r="2784" spans="1:19" x14ac:dyDescent="0.3">
      <c r="A2784">
        <v>2613</v>
      </c>
      <c r="B2784">
        <f>YEAR(Cleaned_HR_Data_Analysis__2[[#This Row],[Joining_Date]])</f>
        <v>2022</v>
      </c>
      <c r="C2784" s="1">
        <v>44907</v>
      </c>
      <c r="D2784" s="1" t="str" cm="1">
        <f t="array" ref="D2784">_xlfn.IFS(E2784&lt;28, "17-27",
AND(E2784&gt;27, E2784&lt;38), "28-37",
AND(E2784&gt;37, E2784 &lt;48), "38-47",
AND(E2784&gt;47, E2784 &lt;58), "48-57",
AND(E2784&gt;57, E2784&lt;68), "58-67",
AND(E2784&gt;67, E2784&lt;78), "68-77",
E2784&gt;77,"Above than 77")</f>
        <v>Above than 77</v>
      </c>
      <c r="E2784">
        <v>78</v>
      </c>
      <c r="F2784" s="1">
        <v>16269</v>
      </c>
      <c r="G2784" s="1" t="str">
        <f>VLOOKUP(H2784,Table7[#All], 2, FALSE)</f>
        <v>Idaho</v>
      </c>
      <c r="H2784" s="2" t="s">
        <v>111</v>
      </c>
      <c r="I2784" s="2" t="s">
        <v>22</v>
      </c>
      <c r="J2784" s="2" t="s">
        <v>31</v>
      </c>
      <c r="K2784" s="2" t="s">
        <v>24</v>
      </c>
      <c r="L2784" s="2" t="s">
        <v>9</v>
      </c>
      <c r="M2784" s="2" t="s">
        <v>20</v>
      </c>
      <c r="N2784" s="2" t="s">
        <v>26</v>
      </c>
      <c r="O2784" s="2" t="s">
        <v>27</v>
      </c>
      <c r="P2784" s="2" t="s">
        <v>57</v>
      </c>
      <c r="Q2784" s="2" t="s">
        <v>37</v>
      </c>
      <c r="R2784" s="2" t="s">
        <v>18</v>
      </c>
      <c r="S2784">
        <v>1</v>
      </c>
    </row>
    <row r="2785" spans="1:19" x14ac:dyDescent="0.3">
      <c r="A2785">
        <v>3552</v>
      </c>
      <c r="B2785">
        <f>YEAR(Cleaned_HR_Data_Analysis__2[[#This Row],[Joining_Date]])</f>
        <v>2020</v>
      </c>
      <c r="C2785" s="1">
        <v>43877</v>
      </c>
      <c r="D2785" s="1" t="str" cm="1">
        <f t="array" ref="D2785">_xlfn.IFS(E2785&lt;28, "17-27",
AND(E2785&gt;27, E2785&lt;38), "28-37",
AND(E2785&gt;37, E2785 &lt;48), "38-47",
AND(E2785&gt;47, E2785 &lt;58), "48-57",
AND(E2785&gt;57, E2785&lt;68), "58-67",
AND(E2785&gt;67, E2785&lt;78), "68-77",
E2785&gt;77,"Above than 77")</f>
        <v>Above than 77</v>
      </c>
      <c r="E2785">
        <v>78</v>
      </c>
      <c r="F2785" s="1">
        <v>15564</v>
      </c>
      <c r="G2785" s="1" t="str">
        <f>VLOOKUP(H2785,Table7[#All], 2, FALSE)</f>
        <v>Colorado</v>
      </c>
      <c r="H2785" s="2" t="s">
        <v>50</v>
      </c>
      <c r="I2785" s="2" t="s">
        <v>22</v>
      </c>
      <c r="J2785" s="2" t="s">
        <v>31</v>
      </c>
      <c r="K2785" s="2" t="s">
        <v>24</v>
      </c>
      <c r="L2785" s="2" t="s">
        <v>9</v>
      </c>
      <c r="M2785" s="2" t="s">
        <v>25</v>
      </c>
      <c r="N2785" s="2" t="s">
        <v>26</v>
      </c>
      <c r="O2785" s="2" t="s">
        <v>27</v>
      </c>
      <c r="P2785" s="2" t="s">
        <v>35</v>
      </c>
      <c r="Q2785" s="2" t="s">
        <v>16</v>
      </c>
      <c r="R2785" s="2" t="s">
        <v>56</v>
      </c>
      <c r="S2785">
        <v>4</v>
      </c>
    </row>
    <row r="2786" spans="1:19" x14ac:dyDescent="0.3">
      <c r="A2786">
        <v>3409</v>
      </c>
      <c r="B2786">
        <f>YEAR(Cleaned_HR_Data_Analysis__2[[#This Row],[Joining_Date]])</f>
        <v>2022</v>
      </c>
      <c r="C2786" s="1">
        <v>44842</v>
      </c>
      <c r="D2786" s="1" t="str" cm="1">
        <f t="array" ref="D2786">_xlfn.IFS(E2786&lt;28, "17-27",
AND(E2786&gt;27, E2786&lt;38), "28-37",
AND(E2786&gt;37, E2786 &lt;48), "38-47",
AND(E2786&gt;47, E2786 &lt;58), "48-57",
AND(E2786&gt;57, E2786&lt;68), "58-67",
AND(E2786&gt;67, E2786&lt;78), "68-77",
E2786&gt;77,"Above than 77")</f>
        <v>Above than 77</v>
      </c>
      <c r="E2786">
        <v>79</v>
      </c>
      <c r="F2786" s="1">
        <v>15780</v>
      </c>
      <c r="G2786" s="1" t="str">
        <f>VLOOKUP(H2786,Table7[#All], 2, FALSE)</f>
        <v>Massachusetts</v>
      </c>
      <c r="H2786" s="2" t="s">
        <v>14</v>
      </c>
      <c r="I2786" s="2" t="s">
        <v>22</v>
      </c>
      <c r="J2786" s="2" t="s">
        <v>40</v>
      </c>
      <c r="K2786" s="2" t="s">
        <v>64</v>
      </c>
      <c r="L2786" s="2" t="s">
        <v>9</v>
      </c>
      <c r="M2786" s="2" t="s">
        <v>10</v>
      </c>
      <c r="N2786" s="2" t="s">
        <v>26</v>
      </c>
      <c r="O2786" s="2" t="s">
        <v>12</v>
      </c>
      <c r="P2786" s="2" t="s">
        <v>63</v>
      </c>
      <c r="Q2786" s="2" t="s">
        <v>46</v>
      </c>
      <c r="R2786" s="2" t="s">
        <v>18</v>
      </c>
      <c r="S2786">
        <v>5</v>
      </c>
    </row>
    <row r="2787" spans="1:19" x14ac:dyDescent="0.3">
      <c r="A2787">
        <v>3179</v>
      </c>
      <c r="B2787">
        <f>YEAR(Cleaned_HR_Data_Analysis__2[[#This Row],[Joining_Date]])</f>
        <v>2020</v>
      </c>
      <c r="C2787" s="1">
        <v>44188</v>
      </c>
      <c r="D2787" s="1" t="str" cm="1">
        <f t="array" ref="D2787">_xlfn.IFS(E2787&lt;28, "17-27",
AND(E2787&gt;27, E2787&lt;38), "28-37",
AND(E2787&gt;37, E2787 &lt;48), "38-47",
AND(E2787&gt;47, E2787 &lt;58), "48-57",
AND(E2787&gt;57, E2787&lt;68), "58-67",
AND(E2787&gt;67, E2787&lt;78), "68-77",
E2787&gt;77,"Above than 77")</f>
        <v>Above than 77</v>
      </c>
      <c r="E2787">
        <v>79</v>
      </c>
      <c r="F2787" s="1">
        <v>15332</v>
      </c>
      <c r="G2787" s="1" t="str">
        <f>VLOOKUP(H2787,Table7[#All], 2, FALSE)</f>
        <v>Massachusetts</v>
      </c>
      <c r="H2787" s="2" t="s">
        <v>14</v>
      </c>
      <c r="I2787" s="2" t="s">
        <v>22</v>
      </c>
      <c r="J2787" s="2" t="s">
        <v>40</v>
      </c>
      <c r="K2787" s="2" t="s">
        <v>64</v>
      </c>
      <c r="L2787" s="2" t="s">
        <v>9</v>
      </c>
      <c r="M2787" s="2" t="s">
        <v>25</v>
      </c>
      <c r="N2787" s="2" t="s">
        <v>11</v>
      </c>
      <c r="O2787" s="2" t="s">
        <v>12</v>
      </c>
      <c r="P2787" s="2" t="s">
        <v>35</v>
      </c>
      <c r="Q2787" s="2" t="s">
        <v>37</v>
      </c>
      <c r="R2787" s="2" t="s">
        <v>18</v>
      </c>
      <c r="S2787">
        <v>2</v>
      </c>
    </row>
    <row r="2788" spans="1:19" x14ac:dyDescent="0.3">
      <c r="A2788">
        <v>3095</v>
      </c>
      <c r="B2788">
        <f>YEAR(Cleaned_HR_Data_Analysis__2[[#This Row],[Joining_Date]])</f>
        <v>2022</v>
      </c>
      <c r="C2788" s="1">
        <v>44792</v>
      </c>
      <c r="D2788" s="1" t="str" cm="1">
        <f t="array" ref="D2788">_xlfn.IFS(E2788&lt;28, "17-27",
AND(E2788&gt;27, E2788&lt;38), "28-37",
AND(E2788&gt;37, E2788 &lt;48), "38-47",
AND(E2788&gt;47, E2788 &lt;58), "48-57",
AND(E2788&gt;57, E2788&lt;68), "58-67",
AND(E2788&gt;67, E2788&lt;78), "68-77",
E2788&gt;77,"Above than 77")</f>
        <v>Above than 77</v>
      </c>
      <c r="E2788">
        <v>79</v>
      </c>
      <c r="F2788" s="1">
        <v>15776</v>
      </c>
      <c r="G2788" s="1" t="str">
        <f>VLOOKUP(H2788,Table7[#All], 2, FALSE)</f>
        <v>Massachusetts</v>
      </c>
      <c r="H2788" s="2" t="s">
        <v>14</v>
      </c>
      <c r="I2788" s="2" t="s">
        <v>15</v>
      </c>
      <c r="J2788" s="2" t="s">
        <v>40</v>
      </c>
      <c r="K2788" s="2" t="s">
        <v>64</v>
      </c>
      <c r="L2788" s="2" t="s">
        <v>9</v>
      </c>
      <c r="M2788" s="2" t="s">
        <v>10</v>
      </c>
      <c r="N2788" s="2" t="s">
        <v>19</v>
      </c>
      <c r="O2788" s="2" t="s">
        <v>12</v>
      </c>
      <c r="P2788" s="2" t="s">
        <v>35</v>
      </c>
      <c r="Q2788" s="2" t="s">
        <v>30</v>
      </c>
      <c r="R2788" s="2" t="s">
        <v>18</v>
      </c>
      <c r="S2788">
        <v>2</v>
      </c>
    </row>
    <row r="2789" spans="1:19" x14ac:dyDescent="0.3">
      <c r="A2789">
        <v>3026</v>
      </c>
      <c r="B2789">
        <f>YEAR(Cleaned_HR_Data_Analysis__2[[#This Row],[Joining_Date]])</f>
        <v>2022</v>
      </c>
      <c r="C2789" s="1">
        <v>44796</v>
      </c>
      <c r="D2789" s="1" t="str" cm="1">
        <f t="array" ref="D2789">_xlfn.IFS(E2789&lt;28, "17-27",
AND(E2789&gt;27, E2789&lt;38), "28-37",
AND(E2789&gt;37, E2789 &lt;48), "38-47",
AND(E2789&gt;47, E2789 &lt;58), "48-57",
AND(E2789&gt;57, E2789&lt;68), "58-67",
AND(E2789&gt;67, E2789&lt;78), "68-77",
E2789&gt;77,"Above than 77")</f>
        <v>Above than 77</v>
      </c>
      <c r="E2789">
        <v>79</v>
      </c>
      <c r="F2789" s="1">
        <v>15923</v>
      </c>
      <c r="G2789" s="1" t="str">
        <f>VLOOKUP(H2789,Table7[#All], 2, FALSE)</f>
        <v>Massachusetts</v>
      </c>
      <c r="H2789" s="2" t="s">
        <v>14</v>
      </c>
      <c r="I2789" s="2" t="s">
        <v>15</v>
      </c>
      <c r="J2789" s="2" t="s">
        <v>40</v>
      </c>
      <c r="K2789" s="2" t="s">
        <v>64</v>
      </c>
      <c r="L2789" s="2" t="s">
        <v>9</v>
      </c>
      <c r="M2789" s="2" t="s">
        <v>10</v>
      </c>
      <c r="N2789" s="2" t="s">
        <v>11</v>
      </c>
      <c r="O2789" s="2" t="s">
        <v>12</v>
      </c>
      <c r="P2789" s="2" t="s">
        <v>54</v>
      </c>
      <c r="Q2789" s="2" t="s">
        <v>46</v>
      </c>
      <c r="R2789" s="2" t="s">
        <v>18</v>
      </c>
      <c r="S2789">
        <v>2</v>
      </c>
    </row>
    <row r="2790" spans="1:19" x14ac:dyDescent="0.3">
      <c r="A2790">
        <v>2843</v>
      </c>
      <c r="B2790">
        <f>YEAR(Cleaned_HR_Data_Analysis__2[[#This Row],[Joining_Date]])</f>
        <v>2021</v>
      </c>
      <c r="C2790" s="1">
        <v>44522</v>
      </c>
      <c r="D2790" s="1" t="str" cm="1">
        <f t="array" ref="D2790">_xlfn.IFS(E2790&lt;28, "17-27",
AND(E2790&gt;27, E2790&lt;38), "28-37",
AND(E2790&gt;37, E2790 &lt;48), "38-47",
AND(E2790&gt;47, E2790 &lt;58), "48-57",
AND(E2790&gt;57, E2790&lt;68), "58-67",
AND(E2790&gt;67, E2790&lt;78), "68-77",
E2790&gt;77,"Above than 77")</f>
        <v>Above than 77</v>
      </c>
      <c r="E2790">
        <v>79</v>
      </c>
      <c r="F2790" s="1">
        <v>15677</v>
      </c>
      <c r="G2790" s="1" t="str">
        <f>VLOOKUP(H2790,Table7[#All], 2, FALSE)</f>
        <v>Massachusetts</v>
      </c>
      <c r="H2790" s="2" t="s">
        <v>14</v>
      </c>
      <c r="I2790" s="2" t="s">
        <v>22</v>
      </c>
      <c r="J2790" s="2" t="s">
        <v>34</v>
      </c>
      <c r="K2790" s="2" t="s">
        <v>64</v>
      </c>
      <c r="L2790" s="2" t="s">
        <v>9</v>
      </c>
      <c r="M2790" s="2" t="s">
        <v>25</v>
      </c>
      <c r="N2790" s="2" t="s">
        <v>11</v>
      </c>
      <c r="O2790" s="2" t="s">
        <v>12</v>
      </c>
      <c r="P2790" s="2" t="s">
        <v>32</v>
      </c>
      <c r="Q2790" s="2" t="s">
        <v>37</v>
      </c>
      <c r="R2790" s="2" t="s">
        <v>18</v>
      </c>
      <c r="S2790">
        <v>1</v>
      </c>
    </row>
    <row r="2791" spans="1:19" x14ac:dyDescent="0.3">
      <c r="A2791">
        <v>1516</v>
      </c>
      <c r="B2791">
        <f>YEAR(Cleaned_HR_Data_Analysis__2[[#This Row],[Joining_Date]])</f>
        <v>2022</v>
      </c>
      <c r="C2791" s="1">
        <v>44850</v>
      </c>
      <c r="D2791" s="1" t="str" cm="1">
        <f t="array" ref="D2791">_xlfn.IFS(E2791&lt;28, "17-27",
AND(E2791&gt;27, E2791&lt;38), "28-37",
AND(E2791&gt;37, E2791 &lt;48), "38-47",
AND(E2791&gt;47, E2791 &lt;58), "48-57",
AND(E2791&gt;57, E2791&lt;68), "58-67",
AND(E2791&gt;67, E2791&lt;78), "68-77",
E2791&gt;77,"Above than 77")</f>
        <v>Above than 77</v>
      </c>
      <c r="E2791">
        <v>79</v>
      </c>
      <c r="F2791" s="1">
        <v>15862</v>
      </c>
      <c r="G2791" s="1" t="str">
        <f>VLOOKUP(H2791,Table7[#All], 2, FALSE)</f>
        <v>Massachusetts</v>
      </c>
      <c r="H2791" s="2" t="s">
        <v>14</v>
      </c>
      <c r="I2791" s="2" t="s">
        <v>22</v>
      </c>
      <c r="J2791" s="2" t="s">
        <v>17</v>
      </c>
      <c r="K2791" s="2" t="s">
        <v>64</v>
      </c>
      <c r="L2791" s="2" t="s">
        <v>9</v>
      </c>
      <c r="M2791" s="2" t="s">
        <v>10</v>
      </c>
      <c r="N2791" s="2" t="s">
        <v>26</v>
      </c>
      <c r="O2791" s="2" t="s">
        <v>12</v>
      </c>
      <c r="P2791" s="2" t="s">
        <v>38</v>
      </c>
      <c r="Q2791" s="2" t="s">
        <v>23</v>
      </c>
      <c r="R2791" s="2" t="s">
        <v>18</v>
      </c>
      <c r="S2791">
        <v>5</v>
      </c>
    </row>
    <row r="2792" spans="1:19" x14ac:dyDescent="0.3">
      <c r="A2792">
        <v>3729</v>
      </c>
      <c r="B2792">
        <f>YEAR(Cleaned_HR_Data_Analysis__2[[#This Row],[Joining_Date]])</f>
        <v>2022</v>
      </c>
      <c r="C2792" s="1">
        <v>44903</v>
      </c>
      <c r="D2792" s="1" t="str" cm="1">
        <f t="array" ref="D2792">_xlfn.IFS(E2792&lt;28, "17-27",
AND(E2792&gt;27, E2792&lt;38), "28-37",
AND(E2792&gt;37, E2792 &lt;48), "38-47",
AND(E2792&gt;47, E2792 &lt;58), "48-57",
AND(E2792&gt;57, E2792&lt;68), "58-67",
AND(E2792&gt;67, E2792&lt;78), "68-77",
E2792&gt;77,"Above than 77")</f>
        <v>Above than 77</v>
      </c>
      <c r="E2792">
        <v>79</v>
      </c>
      <c r="F2792" s="1">
        <v>15707</v>
      </c>
      <c r="G2792" s="1" t="str">
        <f>VLOOKUP(H2792,Table7[#All], 2, FALSE)</f>
        <v>Massachusetts</v>
      </c>
      <c r="H2792" s="2" t="s">
        <v>14</v>
      </c>
      <c r="I2792" s="2" t="s">
        <v>22</v>
      </c>
      <c r="J2792" s="2" t="s">
        <v>40</v>
      </c>
      <c r="K2792" s="2" t="s">
        <v>8</v>
      </c>
      <c r="L2792" s="2" t="s">
        <v>9</v>
      </c>
      <c r="M2792" s="2" t="s">
        <v>10</v>
      </c>
      <c r="N2792" s="2" t="s">
        <v>26</v>
      </c>
      <c r="O2792" s="2" t="s">
        <v>12</v>
      </c>
      <c r="P2792" s="2" t="s">
        <v>59</v>
      </c>
      <c r="Q2792" s="2" t="s">
        <v>30</v>
      </c>
      <c r="R2792" s="2" t="s">
        <v>18</v>
      </c>
      <c r="S2792">
        <v>5</v>
      </c>
    </row>
    <row r="2793" spans="1:19" x14ac:dyDescent="0.3">
      <c r="A2793">
        <v>3618</v>
      </c>
      <c r="B2793">
        <f>YEAR(Cleaned_HR_Data_Analysis__2[[#This Row],[Joining_Date]])</f>
        <v>2023</v>
      </c>
      <c r="C2793" s="1">
        <v>44961</v>
      </c>
      <c r="D2793" s="1" t="str" cm="1">
        <f t="array" ref="D2793">_xlfn.IFS(E2793&lt;28, "17-27",
AND(E2793&gt;27, E2793&lt;38), "28-37",
AND(E2793&gt;37, E2793 &lt;48), "38-47",
AND(E2793&gt;47, E2793 &lt;58), "48-57",
AND(E2793&gt;57, E2793&lt;68), "58-67",
AND(E2793&gt;67, E2793&lt;78), "68-77",
E2793&gt;77,"Above than 77")</f>
        <v>Above than 77</v>
      </c>
      <c r="E2793">
        <v>79</v>
      </c>
      <c r="F2793" s="1">
        <v>16197</v>
      </c>
      <c r="G2793" s="1" t="str">
        <f>VLOOKUP(H2793,Table7[#All], 2, FALSE)</f>
        <v>Massachusetts</v>
      </c>
      <c r="H2793" s="2" t="s">
        <v>14</v>
      </c>
      <c r="I2793" s="2" t="s">
        <v>22</v>
      </c>
      <c r="J2793" s="2" t="s">
        <v>34</v>
      </c>
      <c r="K2793" s="2" t="s">
        <v>8</v>
      </c>
      <c r="L2793" s="2" t="s">
        <v>9</v>
      </c>
      <c r="M2793" s="2" t="s">
        <v>20</v>
      </c>
      <c r="N2793" s="2" t="s">
        <v>26</v>
      </c>
      <c r="O2793" s="2" t="s">
        <v>12</v>
      </c>
      <c r="P2793" s="2" t="s">
        <v>49</v>
      </c>
      <c r="Q2793" s="2" t="s">
        <v>37</v>
      </c>
      <c r="R2793" s="2" t="s">
        <v>18</v>
      </c>
      <c r="S2793">
        <v>4</v>
      </c>
    </row>
    <row r="2794" spans="1:19" x14ac:dyDescent="0.3">
      <c r="A2794">
        <v>3056</v>
      </c>
      <c r="B2794">
        <f>YEAR(Cleaned_HR_Data_Analysis__2[[#This Row],[Joining_Date]])</f>
        <v>2022</v>
      </c>
      <c r="C2794" s="1">
        <v>44733</v>
      </c>
      <c r="D2794" s="1" t="str" cm="1">
        <f t="array" ref="D2794">_xlfn.IFS(E2794&lt;28, "17-27",
AND(E2794&gt;27, E2794&lt;38), "28-37",
AND(E2794&gt;37, E2794 &lt;48), "38-47",
AND(E2794&gt;47, E2794 &lt;58), "48-57",
AND(E2794&gt;57, E2794&lt;68), "58-67",
AND(E2794&gt;67, E2794&lt;78), "68-77",
E2794&gt;77,"Above than 77")</f>
        <v>Above than 77</v>
      </c>
      <c r="E2794">
        <v>79</v>
      </c>
      <c r="F2794" s="1">
        <v>16008</v>
      </c>
      <c r="G2794" s="1" t="str">
        <f>VLOOKUP(H2794,Table7[#All], 2, FALSE)</f>
        <v>Massachusetts</v>
      </c>
      <c r="H2794" s="2" t="s">
        <v>14</v>
      </c>
      <c r="I2794" s="2" t="s">
        <v>15</v>
      </c>
      <c r="J2794" s="2" t="s">
        <v>40</v>
      </c>
      <c r="K2794" s="2" t="s">
        <v>8</v>
      </c>
      <c r="L2794" s="2" t="s">
        <v>9</v>
      </c>
      <c r="M2794" s="2" t="s">
        <v>20</v>
      </c>
      <c r="N2794" s="2" t="s">
        <v>19</v>
      </c>
      <c r="O2794" s="2" t="s">
        <v>12</v>
      </c>
      <c r="P2794" s="2" t="s">
        <v>61</v>
      </c>
      <c r="Q2794" s="2" t="s">
        <v>30</v>
      </c>
      <c r="R2794" s="2" t="s">
        <v>18</v>
      </c>
      <c r="S2794">
        <v>5</v>
      </c>
    </row>
    <row r="2795" spans="1:19" x14ac:dyDescent="0.3">
      <c r="A2795">
        <v>3020</v>
      </c>
      <c r="B2795">
        <f>YEAR(Cleaned_HR_Data_Analysis__2[[#This Row],[Joining_Date]])</f>
        <v>2023</v>
      </c>
      <c r="C2795" s="1">
        <v>45132</v>
      </c>
      <c r="D2795" s="1" t="str" cm="1">
        <f t="array" ref="D2795">_xlfn.IFS(E2795&lt;28, "17-27",
AND(E2795&gt;27, E2795&lt;38), "28-37",
AND(E2795&gt;37, E2795 &lt;48), "38-47",
AND(E2795&gt;47, E2795 &lt;58), "48-57",
AND(E2795&gt;57, E2795&lt;68), "58-67",
AND(E2795&gt;67, E2795&lt;78), "68-77",
E2795&gt;77,"Above than 77")</f>
        <v>Above than 77</v>
      </c>
      <c r="E2795">
        <v>79</v>
      </c>
      <c r="F2795" s="1">
        <v>16078</v>
      </c>
      <c r="G2795" s="1" t="str">
        <f>VLOOKUP(H2795,Table7[#All], 2, FALSE)</f>
        <v>Massachusetts</v>
      </c>
      <c r="H2795" s="2" t="s">
        <v>14</v>
      </c>
      <c r="I2795" s="2" t="s">
        <v>22</v>
      </c>
      <c r="J2795" s="2" t="s">
        <v>17</v>
      </c>
      <c r="K2795" s="2" t="s">
        <v>8</v>
      </c>
      <c r="L2795" s="2" t="s">
        <v>9</v>
      </c>
      <c r="M2795" s="2" t="s">
        <v>20</v>
      </c>
      <c r="N2795" s="2" t="s">
        <v>11</v>
      </c>
      <c r="O2795" s="2" t="s">
        <v>12</v>
      </c>
      <c r="P2795" s="2" t="s">
        <v>32</v>
      </c>
      <c r="Q2795" s="2" t="s">
        <v>37</v>
      </c>
      <c r="R2795" s="2" t="s">
        <v>65</v>
      </c>
      <c r="S2795">
        <v>5</v>
      </c>
    </row>
    <row r="2796" spans="1:19" x14ac:dyDescent="0.3">
      <c r="A2796">
        <v>2989</v>
      </c>
      <c r="B2796">
        <f>YEAR(Cleaned_HR_Data_Analysis__2[[#This Row],[Joining_Date]])</f>
        <v>2021</v>
      </c>
      <c r="C2796" s="1">
        <v>44455</v>
      </c>
      <c r="D2796" s="1" t="str" cm="1">
        <f t="array" ref="D2796">_xlfn.IFS(E2796&lt;28, "17-27",
AND(E2796&gt;27, E2796&lt;38), "28-37",
AND(E2796&gt;37, E2796 &lt;48), "38-47",
AND(E2796&gt;47, E2796 &lt;58), "48-57",
AND(E2796&gt;57, E2796&lt;68), "58-67",
AND(E2796&gt;67, E2796&lt;78), "68-77",
E2796&gt;77,"Above than 77")</f>
        <v>Above than 77</v>
      </c>
      <c r="E2796">
        <v>79</v>
      </c>
      <c r="F2796" s="1">
        <v>15487</v>
      </c>
      <c r="G2796" s="1" t="str">
        <f>VLOOKUP(H2796,Table7[#All], 2, FALSE)</f>
        <v>Massachusetts</v>
      </c>
      <c r="H2796" s="2" t="s">
        <v>14</v>
      </c>
      <c r="I2796" s="2" t="s">
        <v>15</v>
      </c>
      <c r="J2796" s="2" t="s">
        <v>17</v>
      </c>
      <c r="K2796" s="2" t="s">
        <v>8</v>
      </c>
      <c r="L2796" s="2" t="s">
        <v>9</v>
      </c>
      <c r="M2796" s="2" t="s">
        <v>10</v>
      </c>
      <c r="N2796" s="2" t="s">
        <v>26</v>
      </c>
      <c r="O2796" s="2" t="s">
        <v>12</v>
      </c>
      <c r="P2796" s="2" t="s">
        <v>42</v>
      </c>
      <c r="Q2796" s="2" t="s">
        <v>23</v>
      </c>
      <c r="R2796" s="2" t="s">
        <v>18</v>
      </c>
      <c r="S2796">
        <v>3</v>
      </c>
    </row>
    <row r="2797" spans="1:19" x14ac:dyDescent="0.3">
      <c r="A2797">
        <v>2869</v>
      </c>
      <c r="B2797">
        <f>YEAR(Cleaned_HR_Data_Analysis__2[[#This Row],[Joining_Date]])</f>
        <v>2022</v>
      </c>
      <c r="C2797" s="1">
        <v>44912</v>
      </c>
      <c r="D2797" s="1" t="str" cm="1">
        <f t="array" ref="D2797">_xlfn.IFS(E2797&lt;28, "17-27",
AND(E2797&gt;27, E2797&lt;38), "28-37",
AND(E2797&gt;37, E2797 &lt;48), "38-47",
AND(E2797&gt;47, E2797 &lt;58), "48-57",
AND(E2797&gt;57, E2797&lt;68), "58-67",
AND(E2797&gt;67, E2797&lt;78), "68-77",
E2797&gt;77,"Above than 77")</f>
        <v>Above than 77</v>
      </c>
      <c r="E2797">
        <v>79</v>
      </c>
      <c r="F2797" s="1">
        <v>15787</v>
      </c>
      <c r="G2797" s="1" t="str">
        <f>VLOOKUP(H2797,Table7[#All], 2, FALSE)</f>
        <v>Massachusetts</v>
      </c>
      <c r="H2797" s="2" t="s">
        <v>14</v>
      </c>
      <c r="I2797" s="2" t="s">
        <v>22</v>
      </c>
      <c r="J2797" s="2" t="s">
        <v>17</v>
      </c>
      <c r="K2797" s="2" t="s">
        <v>8</v>
      </c>
      <c r="L2797" s="2" t="s">
        <v>9</v>
      </c>
      <c r="M2797" s="2" t="s">
        <v>10</v>
      </c>
      <c r="N2797" s="2" t="s">
        <v>19</v>
      </c>
      <c r="O2797" s="2" t="s">
        <v>12</v>
      </c>
      <c r="P2797" s="2" t="s">
        <v>21</v>
      </c>
      <c r="Q2797" s="2" t="s">
        <v>37</v>
      </c>
      <c r="R2797" s="2" t="s">
        <v>18</v>
      </c>
      <c r="S2797">
        <v>5</v>
      </c>
    </row>
    <row r="2798" spans="1:19" x14ac:dyDescent="0.3">
      <c r="A2798">
        <v>2789</v>
      </c>
      <c r="B2798">
        <f>YEAR(Cleaned_HR_Data_Analysis__2[[#This Row],[Joining_Date]])</f>
        <v>2021</v>
      </c>
      <c r="C2798" s="1">
        <v>44312</v>
      </c>
      <c r="D2798" s="1" t="str" cm="1">
        <f t="array" ref="D2798">_xlfn.IFS(E2798&lt;28, "17-27",
AND(E2798&gt;27, E2798&lt;38), "28-37",
AND(E2798&gt;37, E2798 &lt;48), "38-47",
AND(E2798&gt;47, E2798 &lt;58), "48-57",
AND(E2798&gt;57, E2798&lt;68), "58-67",
AND(E2798&gt;67, E2798&lt;78), "68-77",
E2798&gt;77,"Above than 77")</f>
        <v>Above than 77</v>
      </c>
      <c r="E2798">
        <v>79</v>
      </c>
      <c r="F2798" s="1">
        <v>15496</v>
      </c>
      <c r="G2798" s="1" t="str">
        <f>VLOOKUP(H2798,Table7[#All], 2, FALSE)</f>
        <v>Massachusetts</v>
      </c>
      <c r="H2798" s="2" t="s">
        <v>14</v>
      </c>
      <c r="I2798" s="2" t="s">
        <v>22</v>
      </c>
      <c r="J2798" s="2" t="s">
        <v>40</v>
      </c>
      <c r="K2798" s="2" t="s">
        <v>8</v>
      </c>
      <c r="L2798" s="2" t="s">
        <v>9</v>
      </c>
      <c r="M2798" s="2" t="s">
        <v>10</v>
      </c>
      <c r="N2798" s="2" t="s">
        <v>26</v>
      </c>
      <c r="O2798" s="2" t="s">
        <v>12</v>
      </c>
      <c r="P2798" s="2" t="s">
        <v>61</v>
      </c>
      <c r="Q2798" s="2" t="s">
        <v>46</v>
      </c>
      <c r="R2798" s="2" t="s">
        <v>18</v>
      </c>
      <c r="S2798">
        <v>2</v>
      </c>
    </row>
    <row r="2799" spans="1:19" x14ac:dyDescent="0.3">
      <c r="A2799">
        <v>1867</v>
      </c>
      <c r="B2799">
        <f>YEAR(Cleaned_HR_Data_Analysis__2[[#This Row],[Joining_Date]])</f>
        <v>2021</v>
      </c>
      <c r="C2799" s="1">
        <v>44205</v>
      </c>
      <c r="D2799" s="1" t="str" cm="1">
        <f t="array" ref="D2799">_xlfn.IFS(E2799&lt;28, "17-27",
AND(E2799&gt;27, E2799&lt;38), "28-37",
AND(E2799&gt;37, E2799 &lt;48), "38-47",
AND(E2799&gt;47, E2799 &lt;58), "48-57",
AND(E2799&gt;57, E2799&lt;68), "58-67",
AND(E2799&gt;67, E2799&lt;78), "68-77",
E2799&gt;77,"Above than 77")</f>
        <v>Above than 77</v>
      </c>
      <c r="E2799">
        <v>79</v>
      </c>
      <c r="F2799" s="1">
        <v>15646</v>
      </c>
      <c r="G2799" s="1" t="str">
        <f>VLOOKUP(H2799,Table7[#All], 2, FALSE)</f>
        <v>Massachusetts</v>
      </c>
      <c r="H2799" s="2" t="s">
        <v>14</v>
      </c>
      <c r="I2799" s="2" t="s">
        <v>22</v>
      </c>
      <c r="J2799" s="2" t="s">
        <v>40</v>
      </c>
      <c r="K2799" s="2" t="s">
        <v>8</v>
      </c>
      <c r="L2799" s="2" t="s">
        <v>9</v>
      </c>
      <c r="M2799" s="2" t="s">
        <v>25</v>
      </c>
      <c r="N2799" s="2" t="s">
        <v>26</v>
      </c>
      <c r="O2799" s="2" t="s">
        <v>12</v>
      </c>
      <c r="P2799" s="2" t="s">
        <v>42</v>
      </c>
      <c r="Q2799" s="2" t="s">
        <v>46</v>
      </c>
      <c r="R2799" s="2" t="s">
        <v>56</v>
      </c>
      <c r="S2799">
        <v>5</v>
      </c>
    </row>
    <row r="2800" spans="1:19" x14ac:dyDescent="0.3">
      <c r="A2800">
        <v>1845</v>
      </c>
      <c r="B2800">
        <f>YEAR(Cleaned_HR_Data_Analysis__2[[#This Row],[Joining_Date]])</f>
        <v>2020</v>
      </c>
      <c r="C2800" s="1">
        <v>43895</v>
      </c>
      <c r="D2800" s="1" t="str" cm="1">
        <f t="array" ref="D2800">_xlfn.IFS(E2800&lt;28, "17-27",
AND(E2800&gt;27, E2800&lt;38), "28-37",
AND(E2800&gt;37, E2800 &lt;48), "38-47",
AND(E2800&gt;47, E2800 &lt;58), "48-57",
AND(E2800&gt;57, E2800&lt;68), "58-67",
AND(E2800&gt;67, E2800&lt;78), "68-77",
E2800&gt;77,"Above than 77")</f>
        <v>Above than 77</v>
      </c>
      <c r="E2800">
        <v>79</v>
      </c>
      <c r="F2800" s="1">
        <v>15333</v>
      </c>
      <c r="G2800" s="1" t="str">
        <f>VLOOKUP(H2800,Table7[#All], 2, FALSE)</f>
        <v>Massachusetts</v>
      </c>
      <c r="H2800" s="2" t="s">
        <v>14</v>
      </c>
      <c r="I2800" s="2" t="s">
        <v>15</v>
      </c>
      <c r="J2800" s="2" t="s">
        <v>31</v>
      </c>
      <c r="K2800" s="2" t="s">
        <v>8</v>
      </c>
      <c r="L2800" s="2" t="s">
        <v>9</v>
      </c>
      <c r="M2800" s="2" t="s">
        <v>20</v>
      </c>
      <c r="N2800" s="2" t="s">
        <v>19</v>
      </c>
      <c r="O2800" s="2" t="s">
        <v>12</v>
      </c>
      <c r="P2800" s="2" t="s">
        <v>21</v>
      </c>
      <c r="Q2800" s="2" t="s">
        <v>37</v>
      </c>
      <c r="R2800" s="2" t="s">
        <v>56</v>
      </c>
      <c r="S2800">
        <v>2</v>
      </c>
    </row>
    <row r="2801" spans="1:19" x14ac:dyDescent="0.3">
      <c r="A2801">
        <v>1773</v>
      </c>
      <c r="B2801">
        <f>YEAR(Cleaned_HR_Data_Analysis__2[[#This Row],[Joining_Date]])</f>
        <v>2021</v>
      </c>
      <c r="C2801" s="1">
        <v>44216</v>
      </c>
      <c r="D2801" s="1" t="str" cm="1">
        <f t="array" ref="D2801">_xlfn.IFS(E2801&lt;28, "17-27",
AND(E2801&gt;27, E2801&lt;38), "28-37",
AND(E2801&gt;37, E2801 &lt;48), "38-47",
AND(E2801&gt;47, E2801 &lt;58), "48-57",
AND(E2801&gt;57, E2801&lt;68), "58-67",
AND(E2801&gt;67, E2801&lt;78), "68-77",
E2801&gt;77,"Above than 77")</f>
        <v>Above than 77</v>
      </c>
      <c r="E2801">
        <v>79</v>
      </c>
      <c r="F2801" s="1">
        <v>15422</v>
      </c>
      <c r="G2801" s="1" t="str">
        <f>VLOOKUP(H2801,Table7[#All], 2, FALSE)</f>
        <v>Massachusetts</v>
      </c>
      <c r="H2801" s="2" t="s">
        <v>14</v>
      </c>
      <c r="I2801" s="2" t="s">
        <v>22</v>
      </c>
      <c r="J2801" s="2" t="s">
        <v>34</v>
      </c>
      <c r="K2801" s="2" t="s">
        <v>8</v>
      </c>
      <c r="L2801" s="2" t="s">
        <v>9</v>
      </c>
      <c r="M2801" s="2" t="s">
        <v>20</v>
      </c>
      <c r="N2801" s="2" t="s">
        <v>26</v>
      </c>
      <c r="O2801" s="2" t="s">
        <v>12</v>
      </c>
      <c r="P2801" s="2" t="s">
        <v>38</v>
      </c>
      <c r="Q2801" s="2" t="s">
        <v>37</v>
      </c>
      <c r="R2801" s="2" t="s">
        <v>18</v>
      </c>
      <c r="S2801">
        <v>5</v>
      </c>
    </row>
    <row r="2802" spans="1:19" x14ac:dyDescent="0.3">
      <c r="A2802">
        <v>1735</v>
      </c>
      <c r="B2802">
        <f>YEAR(Cleaned_HR_Data_Analysis__2[[#This Row],[Joining_Date]])</f>
        <v>2021</v>
      </c>
      <c r="C2802" s="1">
        <v>44204</v>
      </c>
      <c r="D2802" s="1" t="str" cm="1">
        <f t="array" ref="D2802">_xlfn.IFS(E2802&lt;28, "17-27",
AND(E2802&gt;27, E2802&lt;38), "28-37",
AND(E2802&gt;37, E2802 &lt;48), "38-47",
AND(E2802&gt;47, E2802 &lt;58), "48-57",
AND(E2802&gt;57, E2802&lt;68), "58-67",
AND(E2802&gt;67, E2802&lt;78), "68-77",
E2802&gt;77,"Above than 77")</f>
        <v>Above than 77</v>
      </c>
      <c r="E2802">
        <v>79</v>
      </c>
      <c r="F2802" s="1">
        <v>15439</v>
      </c>
      <c r="G2802" s="1" t="str">
        <f>VLOOKUP(H2802,Table7[#All], 2, FALSE)</f>
        <v>Massachusetts</v>
      </c>
      <c r="H2802" s="2" t="s">
        <v>14</v>
      </c>
      <c r="I2802" s="2" t="s">
        <v>15</v>
      </c>
      <c r="J2802" s="2" t="s">
        <v>40</v>
      </c>
      <c r="K2802" s="2" t="s">
        <v>8</v>
      </c>
      <c r="L2802" s="2" t="s">
        <v>66</v>
      </c>
      <c r="M2802" s="2" t="s">
        <v>25</v>
      </c>
      <c r="N2802" s="2" t="s">
        <v>19</v>
      </c>
      <c r="O2802" s="2" t="s">
        <v>12</v>
      </c>
      <c r="P2802" s="2" t="s">
        <v>58</v>
      </c>
      <c r="Q2802" s="2" t="s">
        <v>16</v>
      </c>
      <c r="R2802" s="2" t="s">
        <v>18</v>
      </c>
      <c r="S2802">
        <v>4</v>
      </c>
    </row>
    <row r="2803" spans="1:19" x14ac:dyDescent="0.3">
      <c r="A2803">
        <v>1391</v>
      </c>
      <c r="B2803">
        <f>YEAR(Cleaned_HR_Data_Analysis__2[[#This Row],[Joining_Date]])</f>
        <v>2020</v>
      </c>
      <c r="C2803" s="1">
        <v>43923</v>
      </c>
      <c r="D2803" s="1" t="str" cm="1">
        <f t="array" ref="D2803">_xlfn.IFS(E2803&lt;28, "17-27",
AND(E2803&gt;27, E2803&lt;38), "28-37",
AND(E2803&gt;37, E2803 &lt;48), "38-47",
AND(E2803&gt;47, E2803 &lt;58), "48-57",
AND(E2803&gt;57, E2803&lt;68), "58-67",
AND(E2803&gt;67, E2803&lt;78), "68-77",
E2803&gt;77,"Above than 77")</f>
        <v>Above than 77</v>
      </c>
      <c r="E2803">
        <v>79</v>
      </c>
      <c r="F2803" s="1">
        <v>15298</v>
      </c>
      <c r="G2803" s="1" t="str">
        <f>VLOOKUP(H2803,Table7[#All], 2, FALSE)</f>
        <v>Massachusetts</v>
      </c>
      <c r="H2803" s="2" t="s">
        <v>14</v>
      </c>
      <c r="I2803" s="2" t="s">
        <v>15</v>
      </c>
      <c r="J2803" s="2" t="s">
        <v>31</v>
      </c>
      <c r="K2803" s="2" t="s">
        <v>8</v>
      </c>
      <c r="L2803" s="2" t="s">
        <v>9</v>
      </c>
      <c r="M2803" s="2" t="s">
        <v>10</v>
      </c>
      <c r="N2803" s="2" t="s">
        <v>19</v>
      </c>
      <c r="O2803" s="2" t="s">
        <v>12</v>
      </c>
      <c r="P2803" s="2" t="s">
        <v>61</v>
      </c>
      <c r="Q2803" s="2" t="s">
        <v>30</v>
      </c>
      <c r="R2803" s="2" t="s">
        <v>56</v>
      </c>
      <c r="S2803">
        <v>1</v>
      </c>
    </row>
    <row r="2804" spans="1:19" x14ac:dyDescent="0.3">
      <c r="A2804">
        <v>1153</v>
      </c>
      <c r="B2804">
        <f>YEAR(Cleaned_HR_Data_Analysis__2[[#This Row],[Joining_Date]])</f>
        <v>2020</v>
      </c>
      <c r="C2804" s="1">
        <v>43935</v>
      </c>
      <c r="D2804" s="1" t="str" cm="1">
        <f t="array" ref="D2804">_xlfn.IFS(E2804&lt;28, "17-27",
AND(E2804&gt;27, E2804&lt;38), "28-37",
AND(E2804&gt;37, E2804 &lt;48), "38-47",
AND(E2804&gt;47, E2804 &lt;58), "48-57",
AND(E2804&gt;57, E2804&lt;68), "58-67",
AND(E2804&gt;67, E2804&lt;78), "68-77",
E2804&gt;77,"Above than 77")</f>
        <v>Above than 77</v>
      </c>
      <c r="E2804">
        <v>79</v>
      </c>
      <c r="F2804" s="1">
        <v>15269</v>
      </c>
      <c r="G2804" s="1" t="str">
        <f>VLOOKUP(H2804,Table7[#All], 2, FALSE)</f>
        <v>Massachusetts</v>
      </c>
      <c r="H2804" s="2" t="s">
        <v>14</v>
      </c>
      <c r="I2804" s="2" t="s">
        <v>15</v>
      </c>
      <c r="J2804" s="2" t="s">
        <v>40</v>
      </c>
      <c r="K2804" s="2" t="s">
        <v>8</v>
      </c>
      <c r="L2804" s="2" t="s">
        <v>66</v>
      </c>
      <c r="M2804" s="2" t="s">
        <v>20</v>
      </c>
      <c r="N2804" s="2" t="s">
        <v>19</v>
      </c>
      <c r="O2804" s="2" t="s">
        <v>12</v>
      </c>
      <c r="P2804" s="2" t="s">
        <v>35</v>
      </c>
      <c r="Q2804" s="2" t="s">
        <v>46</v>
      </c>
      <c r="R2804" s="2" t="s">
        <v>18</v>
      </c>
      <c r="S2804">
        <v>4</v>
      </c>
    </row>
    <row r="2805" spans="1:19" x14ac:dyDescent="0.3">
      <c r="A2805">
        <v>2357</v>
      </c>
      <c r="B2805">
        <f>YEAR(Cleaned_HR_Data_Analysis__2[[#This Row],[Joining_Date]])</f>
        <v>2022</v>
      </c>
      <c r="C2805" s="1">
        <v>44926</v>
      </c>
      <c r="D2805" s="1" t="str" cm="1">
        <f t="array" ref="D2805">_xlfn.IFS(E2805&lt;28, "17-27",
AND(E2805&gt;27, E2805&lt;38), "28-37",
AND(E2805&gt;37, E2805 &lt;48), "38-47",
AND(E2805&gt;47, E2805 &lt;58), "48-57",
AND(E2805&gt;57, E2805&lt;68), "58-67",
AND(E2805&gt;67, E2805&lt;78), "68-77",
E2805&gt;77,"Above than 77")</f>
        <v>Above than 77</v>
      </c>
      <c r="E2805">
        <v>79</v>
      </c>
      <c r="F2805" s="1">
        <v>15964</v>
      </c>
      <c r="G2805" s="1" t="str">
        <f>VLOOKUP(H2805,Table7[#All], 2, FALSE)</f>
        <v>Massachusetts</v>
      </c>
      <c r="H2805" s="2" t="s">
        <v>14</v>
      </c>
      <c r="I2805" s="2" t="s">
        <v>15</v>
      </c>
      <c r="J2805" s="2" t="s">
        <v>34</v>
      </c>
      <c r="K2805" s="2" t="s">
        <v>91</v>
      </c>
      <c r="L2805" s="2" t="s">
        <v>9</v>
      </c>
      <c r="M2805" s="2" t="s">
        <v>10</v>
      </c>
      <c r="N2805" s="2" t="s">
        <v>26</v>
      </c>
      <c r="O2805" s="2" t="s">
        <v>12</v>
      </c>
      <c r="P2805" s="2" t="s">
        <v>32</v>
      </c>
      <c r="Q2805" s="2" t="s">
        <v>37</v>
      </c>
      <c r="R2805" s="2" t="s">
        <v>18</v>
      </c>
      <c r="S2805">
        <v>2</v>
      </c>
    </row>
    <row r="2806" spans="1:19" x14ac:dyDescent="0.3">
      <c r="A2806">
        <v>3919</v>
      </c>
      <c r="B2806">
        <f>YEAR(Cleaned_HR_Data_Analysis__2[[#This Row],[Joining_Date]])</f>
        <v>2023</v>
      </c>
      <c r="C2806" s="1">
        <v>45113</v>
      </c>
      <c r="D2806" s="1" t="str" cm="1">
        <f t="array" ref="D2806">_xlfn.IFS(E2806&lt;28, "17-27",
AND(E2806&gt;27, E2806&lt;38), "28-37",
AND(E2806&gt;37, E2806 &lt;48), "38-47",
AND(E2806&gt;47, E2806 &lt;58), "48-57",
AND(E2806&gt;57, E2806&lt;68), "58-67",
AND(E2806&gt;67, E2806&lt;78), "68-77",
E2806&gt;77,"Above than 77")</f>
        <v>Above than 77</v>
      </c>
      <c r="E2806">
        <v>79</v>
      </c>
      <c r="F2806" s="1">
        <v>16352</v>
      </c>
      <c r="G2806" s="1" t="str">
        <f>VLOOKUP(H2806,Table7[#All], 2, FALSE)</f>
        <v>Massachusetts</v>
      </c>
      <c r="H2806" s="2" t="s">
        <v>14</v>
      </c>
      <c r="I2806" s="2" t="s">
        <v>15</v>
      </c>
      <c r="J2806" s="2" t="s">
        <v>40</v>
      </c>
      <c r="K2806" s="2" t="s">
        <v>70</v>
      </c>
      <c r="L2806" s="2" t="s">
        <v>9</v>
      </c>
      <c r="M2806" s="2" t="s">
        <v>10</v>
      </c>
      <c r="N2806" s="2" t="s">
        <v>11</v>
      </c>
      <c r="O2806" s="2" t="s">
        <v>53</v>
      </c>
      <c r="P2806" s="2" t="s">
        <v>35</v>
      </c>
      <c r="Q2806" s="2" t="s">
        <v>46</v>
      </c>
      <c r="R2806" s="2" t="s">
        <v>18</v>
      </c>
      <c r="S2806">
        <v>3</v>
      </c>
    </row>
    <row r="2807" spans="1:19" x14ac:dyDescent="0.3">
      <c r="A2807">
        <v>1622</v>
      </c>
      <c r="B2807">
        <f>YEAR(Cleaned_HR_Data_Analysis__2[[#This Row],[Joining_Date]])</f>
        <v>2021</v>
      </c>
      <c r="C2807" s="1">
        <v>44438</v>
      </c>
      <c r="D2807" s="1" t="str" cm="1">
        <f t="array" ref="D2807">_xlfn.IFS(E2807&lt;28, "17-27",
AND(E2807&gt;27, E2807&lt;38), "28-37",
AND(E2807&gt;37, E2807 &lt;48), "38-47",
AND(E2807&gt;47, E2807 &lt;58), "48-57",
AND(E2807&gt;57, E2807&lt;68), "58-67",
AND(E2807&gt;67, E2807&lt;78), "68-77",
E2807&gt;77,"Above than 77")</f>
        <v>Above than 77</v>
      </c>
      <c r="E2807">
        <v>79</v>
      </c>
      <c r="F2807" s="1">
        <v>15362</v>
      </c>
      <c r="G2807" s="1" t="str">
        <f>VLOOKUP(H2807,Table7[#All], 2, FALSE)</f>
        <v>Massachusetts</v>
      </c>
      <c r="H2807" s="2" t="s">
        <v>14</v>
      </c>
      <c r="I2807" s="2" t="s">
        <v>22</v>
      </c>
      <c r="J2807" s="2" t="s">
        <v>31</v>
      </c>
      <c r="K2807" s="2" t="s">
        <v>97</v>
      </c>
      <c r="L2807" s="2" t="s">
        <v>9</v>
      </c>
      <c r="M2807" s="2" t="s">
        <v>10</v>
      </c>
      <c r="N2807" s="2" t="s">
        <v>19</v>
      </c>
      <c r="O2807" s="2" t="s">
        <v>53</v>
      </c>
      <c r="P2807" s="2" t="s">
        <v>21</v>
      </c>
      <c r="Q2807" s="2" t="s">
        <v>46</v>
      </c>
      <c r="R2807" s="2" t="s">
        <v>56</v>
      </c>
      <c r="S2807">
        <v>5</v>
      </c>
    </row>
    <row r="2808" spans="1:19" x14ac:dyDescent="0.3">
      <c r="A2808">
        <v>2625</v>
      </c>
      <c r="B2808">
        <f>YEAR(Cleaned_HR_Data_Analysis__2[[#This Row],[Joining_Date]])</f>
        <v>2022</v>
      </c>
      <c r="C2808" s="1">
        <v>44892</v>
      </c>
      <c r="D2808" s="1" t="str" cm="1">
        <f t="array" ref="D2808">_xlfn.IFS(E2808&lt;28, "17-27",
AND(E2808&gt;27, E2808&lt;38), "28-37",
AND(E2808&gt;37, E2808 &lt;48), "38-47",
AND(E2808&gt;47, E2808 &lt;58), "48-57",
AND(E2808&gt;57, E2808&lt;68), "58-67",
AND(E2808&gt;67, E2808&lt;78), "68-77",
E2808&gt;77,"Above than 77")</f>
        <v>Above than 77</v>
      </c>
      <c r="E2808">
        <v>79</v>
      </c>
      <c r="F2808" s="1">
        <v>16019</v>
      </c>
      <c r="G2808" s="1" t="str">
        <f>VLOOKUP(H2808,Table7[#All], 2, FALSE)</f>
        <v>Tennessee</v>
      </c>
      <c r="H2808" s="2" t="s">
        <v>120</v>
      </c>
      <c r="I2808" s="2" t="s">
        <v>22</v>
      </c>
      <c r="J2808" s="2" t="s">
        <v>40</v>
      </c>
      <c r="K2808" s="2" t="s">
        <v>24</v>
      </c>
      <c r="L2808" s="2" t="s">
        <v>9</v>
      </c>
      <c r="M2808" s="2" t="s">
        <v>25</v>
      </c>
      <c r="N2808" s="2" t="s">
        <v>26</v>
      </c>
      <c r="O2808" s="2" t="s">
        <v>27</v>
      </c>
      <c r="P2808" s="2" t="s">
        <v>49</v>
      </c>
      <c r="Q2808" s="2" t="s">
        <v>46</v>
      </c>
      <c r="R2808" s="2" t="s">
        <v>18</v>
      </c>
      <c r="S2808">
        <v>5</v>
      </c>
    </row>
    <row r="2809" spans="1:19" x14ac:dyDescent="0.3">
      <c r="A2809">
        <v>3545</v>
      </c>
      <c r="B2809">
        <f>YEAR(Cleaned_HR_Data_Analysis__2[[#This Row],[Joining_Date]])</f>
        <v>2022</v>
      </c>
      <c r="C2809" s="1">
        <v>44627</v>
      </c>
      <c r="D2809" s="1" t="str" cm="1">
        <f t="array" ref="D2809">_xlfn.IFS(E2809&lt;28, "17-27",
AND(E2809&gt;27, E2809&lt;38), "28-37",
AND(E2809&gt;37, E2809 &lt;48), "38-47",
AND(E2809&gt;47, E2809 &lt;58), "48-57",
AND(E2809&gt;57, E2809&lt;68), "58-67",
AND(E2809&gt;67, E2809&lt;78), "68-77",
E2809&gt;77,"Above than 77")</f>
        <v>Above than 77</v>
      </c>
      <c r="E2809">
        <v>79</v>
      </c>
      <c r="F2809" s="1">
        <v>15734</v>
      </c>
      <c r="G2809" s="1" t="str">
        <f>VLOOKUP(H2809,Table7[#All], 2, FALSE)</f>
        <v>Oregon</v>
      </c>
      <c r="H2809" s="2" t="s">
        <v>43</v>
      </c>
      <c r="I2809" s="2" t="s">
        <v>15</v>
      </c>
      <c r="J2809" s="2" t="s">
        <v>17</v>
      </c>
      <c r="K2809" s="2" t="s">
        <v>24</v>
      </c>
      <c r="L2809" s="2" t="s">
        <v>9</v>
      </c>
      <c r="M2809" s="2" t="s">
        <v>25</v>
      </c>
      <c r="N2809" s="2" t="s">
        <v>11</v>
      </c>
      <c r="O2809" s="2" t="s">
        <v>53</v>
      </c>
      <c r="P2809" s="2" t="s">
        <v>35</v>
      </c>
      <c r="Q2809" s="2" t="s">
        <v>37</v>
      </c>
      <c r="R2809" s="2" t="s">
        <v>18</v>
      </c>
      <c r="S2809">
        <v>5</v>
      </c>
    </row>
    <row r="2810" spans="1:19" x14ac:dyDescent="0.3">
      <c r="A2810">
        <v>3508</v>
      </c>
      <c r="B2810">
        <f>YEAR(Cleaned_HR_Data_Analysis__2[[#This Row],[Joining_Date]])</f>
        <v>2021</v>
      </c>
      <c r="C2810" s="1">
        <v>44390</v>
      </c>
      <c r="D2810" s="1" t="str" cm="1">
        <f t="array" ref="D2810">_xlfn.IFS(E2810&lt;28, "17-27",
AND(E2810&gt;27, E2810&lt;38), "28-37",
AND(E2810&gt;37, E2810 &lt;48), "38-47",
AND(E2810&gt;47, E2810 &lt;58), "48-57",
AND(E2810&gt;57, E2810&lt;68), "58-67",
AND(E2810&gt;67, E2810&lt;78), "68-77",
E2810&gt;77,"Above than 77")</f>
        <v>Above than 77</v>
      </c>
      <c r="E2810">
        <v>79</v>
      </c>
      <c r="F2810" s="1">
        <v>15487</v>
      </c>
      <c r="G2810" s="1" t="str">
        <f>VLOOKUP(H2810,Table7[#All], 2, FALSE)</f>
        <v>Oregon</v>
      </c>
      <c r="H2810" s="2" t="s">
        <v>43</v>
      </c>
      <c r="I2810" s="2" t="s">
        <v>22</v>
      </c>
      <c r="J2810" s="2" t="s">
        <v>31</v>
      </c>
      <c r="K2810" s="2" t="s">
        <v>24</v>
      </c>
      <c r="L2810" s="2" t="s">
        <v>9</v>
      </c>
      <c r="M2810" s="2" t="s">
        <v>25</v>
      </c>
      <c r="N2810" s="2" t="s">
        <v>26</v>
      </c>
      <c r="O2810" s="2" t="s">
        <v>27</v>
      </c>
      <c r="P2810" s="2" t="s">
        <v>21</v>
      </c>
      <c r="Q2810" s="2" t="s">
        <v>46</v>
      </c>
      <c r="R2810" s="2" t="s">
        <v>18</v>
      </c>
      <c r="S2810">
        <v>5</v>
      </c>
    </row>
    <row r="2811" spans="1:19" x14ac:dyDescent="0.3">
      <c r="A2811">
        <v>2653</v>
      </c>
      <c r="B2811">
        <f>YEAR(Cleaned_HR_Data_Analysis__2[[#This Row],[Joining_Date]])</f>
        <v>2023</v>
      </c>
      <c r="C2811" s="1">
        <v>45036</v>
      </c>
      <c r="D2811" s="1" t="str" cm="1">
        <f t="array" ref="D2811">_xlfn.IFS(E2811&lt;28, "17-27",
AND(E2811&gt;27, E2811&lt;38), "28-37",
AND(E2811&gt;37, E2811 &lt;48), "38-47",
AND(E2811&gt;47, E2811 &lt;58), "48-57",
AND(E2811&gt;57, E2811&lt;68), "58-67",
AND(E2811&gt;67, E2811&lt;78), "68-77",
E2811&gt;77,"Above than 77")</f>
        <v>Above than 77</v>
      </c>
      <c r="E2811">
        <v>79</v>
      </c>
      <c r="F2811" s="1">
        <v>16183</v>
      </c>
      <c r="G2811" s="1" t="str">
        <f>VLOOKUP(H2811,Table7[#All], 2, FALSE)</f>
        <v>Massachusetts</v>
      </c>
      <c r="H2811" s="2" t="s">
        <v>14</v>
      </c>
      <c r="I2811" s="2" t="s">
        <v>22</v>
      </c>
      <c r="J2811" s="2" t="s">
        <v>17</v>
      </c>
      <c r="K2811" s="2" t="s">
        <v>24</v>
      </c>
      <c r="L2811" s="2" t="s">
        <v>9</v>
      </c>
      <c r="M2811" s="2" t="s">
        <v>25</v>
      </c>
      <c r="N2811" s="2" t="s">
        <v>11</v>
      </c>
      <c r="O2811" s="2" t="s">
        <v>27</v>
      </c>
      <c r="P2811" s="2" t="s">
        <v>59</v>
      </c>
      <c r="Q2811" s="2" t="s">
        <v>16</v>
      </c>
      <c r="R2811" s="2" t="s">
        <v>18</v>
      </c>
      <c r="S2811">
        <v>5</v>
      </c>
    </row>
    <row r="2812" spans="1:19" x14ac:dyDescent="0.3">
      <c r="A2812">
        <v>1058</v>
      </c>
      <c r="B2812">
        <f>YEAR(Cleaned_HR_Data_Analysis__2[[#This Row],[Joining_Date]])</f>
        <v>2022</v>
      </c>
      <c r="C2812" s="1">
        <v>44669</v>
      </c>
      <c r="D2812" s="1" t="str" cm="1">
        <f t="array" ref="D2812">_xlfn.IFS(E2812&lt;28, "17-27",
AND(E2812&gt;27, E2812&lt;38), "28-37",
AND(E2812&gt;37, E2812 &lt;48), "38-47",
AND(E2812&gt;47, E2812 &lt;58), "48-57",
AND(E2812&gt;57, E2812&lt;68), "58-67",
AND(E2812&gt;67, E2812&lt;78), "68-77",
E2812&gt;77,"Above than 77")</f>
        <v>Above than 77</v>
      </c>
      <c r="E2812">
        <v>80</v>
      </c>
      <c r="F2812" s="1">
        <v>15413</v>
      </c>
      <c r="G2812" s="1" t="str">
        <f>VLOOKUP(H2812,Table7[#All], 2, FALSE)</f>
        <v>Massachusetts</v>
      </c>
      <c r="H2812" s="2" t="s">
        <v>14</v>
      </c>
      <c r="I2812" s="2" t="s">
        <v>22</v>
      </c>
      <c r="J2812" s="2" t="s">
        <v>34</v>
      </c>
      <c r="K2812" s="2" t="s">
        <v>86</v>
      </c>
      <c r="L2812" s="2" t="s">
        <v>9</v>
      </c>
      <c r="M2812" s="2" t="s">
        <v>10</v>
      </c>
      <c r="N2812" s="2" t="s">
        <v>11</v>
      </c>
      <c r="O2812" s="2" t="s">
        <v>87</v>
      </c>
      <c r="P2812" s="2" t="s">
        <v>67</v>
      </c>
      <c r="Q2812" s="2" t="s">
        <v>23</v>
      </c>
      <c r="R2812" s="2" t="s">
        <v>18</v>
      </c>
      <c r="S2812">
        <v>2</v>
      </c>
    </row>
    <row r="2813" spans="1:19" x14ac:dyDescent="0.3">
      <c r="A2813">
        <v>1042</v>
      </c>
      <c r="B2813">
        <f>YEAR(Cleaned_HR_Data_Analysis__2[[#This Row],[Joining_Date]])</f>
        <v>2022</v>
      </c>
      <c r="C2813" s="1">
        <v>44758</v>
      </c>
      <c r="D2813" s="1" t="str" cm="1">
        <f t="array" ref="D2813">_xlfn.IFS(E2813&lt;28, "17-27",
AND(E2813&gt;27, E2813&lt;38), "28-37",
AND(E2813&gt;37, E2813 &lt;48), "38-47",
AND(E2813&gt;47, E2813 &lt;58), "48-57",
AND(E2813&gt;57, E2813&lt;68), "58-67",
AND(E2813&gt;67, E2813&lt;78), "68-77",
E2813&gt;77,"Above than 77")</f>
        <v>Above than 77</v>
      </c>
      <c r="E2813">
        <v>80</v>
      </c>
      <c r="F2813" s="1">
        <v>15571</v>
      </c>
      <c r="G2813" s="1" t="str">
        <f>VLOOKUP(H2813,Table7[#All], 2, FALSE)</f>
        <v>Massachusetts</v>
      </c>
      <c r="H2813" s="2" t="s">
        <v>14</v>
      </c>
      <c r="I2813" s="2" t="s">
        <v>22</v>
      </c>
      <c r="J2813" s="2" t="s">
        <v>17</v>
      </c>
      <c r="K2813" s="2" t="s">
        <v>86</v>
      </c>
      <c r="L2813" s="2" t="s">
        <v>9</v>
      </c>
      <c r="M2813" s="2" t="s">
        <v>10</v>
      </c>
      <c r="N2813" s="2" t="s">
        <v>26</v>
      </c>
      <c r="O2813" s="2" t="s">
        <v>87</v>
      </c>
      <c r="P2813" s="2" t="s">
        <v>35</v>
      </c>
      <c r="Q2813" s="2" t="s">
        <v>37</v>
      </c>
      <c r="R2813" s="2" t="s">
        <v>18</v>
      </c>
      <c r="S2813">
        <v>3</v>
      </c>
    </row>
    <row r="2814" spans="1:19" x14ac:dyDescent="0.3">
      <c r="A2814">
        <v>1941</v>
      </c>
      <c r="B2814">
        <f>YEAR(Cleaned_HR_Data_Analysis__2[[#This Row],[Joining_Date]])</f>
        <v>2021</v>
      </c>
      <c r="C2814" s="1">
        <v>44230</v>
      </c>
      <c r="D2814" s="1" t="str" cm="1">
        <f t="array" ref="D2814">_xlfn.IFS(E2814&lt;28, "17-27",
AND(E2814&gt;27, E2814&lt;38), "28-37",
AND(E2814&gt;37, E2814 &lt;48), "38-47",
AND(E2814&gt;47, E2814 &lt;58), "48-57",
AND(E2814&gt;57, E2814&lt;68), "58-67",
AND(E2814&gt;67, E2814&lt;78), "68-77",
E2814&gt;77,"Above than 77")</f>
        <v>Above than 77</v>
      </c>
      <c r="E2814">
        <v>80</v>
      </c>
      <c r="F2814" s="1">
        <v>15255</v>
      </c>
      <c r="G2814" s="1" t="str">
        <f>VLOOKUP(H2814,Table7[#All], 2, FALSE)</f>
        <v>Pennsylvania</v>
      </c>
      <c r="H2814" s="2" t="s">
        <v>100</v>
      </c>
      <c r="I2814" s="2" t="s">
        <v>15</v>
      </c>
      <c r="J2814" s="2" t="s">
        <v>17</v>
      </c>
      <c r="K2814" s="2" t="s">
        <v>64</v>
      </c>
      <c r="L2814" s="2" t="s">
        <v>9</v>
      </c>
      <c r="M2814" s="2" t="s">
        <v>10</v>
      </c>
      <c r="N2814" s="2" t="s">
        <v>19</v>
      </c>
      <c r="O2814" s="2" t="s">
        <v>27</v>
      </c>
      <c r="P2814" s="2" t="s">
        <v>42</v>
      </c>
      <c r="Q2814" s="2" t="s">
        <v>23</v>
      </c>
      <c r="R2814" s="2" t="s">
        <v>18</v>
      </c>
      <c r="S2814">
        <v>5</v>
      </c>
    </row>
    <row r="2815" spans="1:19" x14ac:dyDescent="0.3">
      <c r="A2815">
        <v>3027</v>
      </c>
      <c r="B2815">
        <f>YEAR(Cleaned_HR_Data_Analysis__2[[#This Row],[Joining_Date]])</f>
        <v>2023</v>
      </c>
      <c r="C2815" s="1">
        <v>45073</v>
      </c>
      <c r="D2815" s="1" t="str" cm="1">
        <f t="array" ref="D2815">_xlfn.IFS(E2815&lt;28, "17-27",
AND(E2815&gt;27, E2815&lt;38), "28-37",
AND(E2815&gt;37, E2815 &lt;48), "38-47",
AND(E2815&gt;47, E2815 &lt;58), "48-57",
AND(E2815&gt;57, E2815&lt;68), "58-67",
AND(E2815&gt;67, E2815&lt;78), "68-77",
E2815&gt;77,"Above than 77")</f>
        <v>Above than 77</v>
      </c>
      <c r="E2815">
        <v>80</v>
      </c>
      <c r="F2815" s="1">
        <v>15834</v>
      </c>
      <c r="G2815" s="1" t="str">
        <f>VLOOKUP(H2815,Table7[#All], 2, FALSE)</f>
        <v>Massachusetts</v>
      </c>
      <c r="H2815" s="2" t="s">
        <v>14</v>
      </c>
      <c r="I2815" s="2" t="s">
        <v>15</v>
      </c>
      <c r="J2815" s="2" t="s">
        <v>31</v>
      </c>
      <c r="K2815" s="2" t="s">
        <v>64</v>
      </c>
      <c r="L2815" s="2" t="s">
        <v>9</v>
      </c>
      <c r="M2815" s="2" t="s">
        <v>20</v>
      </c>
      <c r="N2815" s="2" t="s">
        <v>19</v>
      </c>
      <c r="O2815" s="2" t="s">
        <v>12</v>
      </c>
      <c r="P2815" s="2" t="s">
        <v>38</v>
      </c>
      <c r="Q2815" s="2" t="s">
        <v>16</v>
      </c>
      <c r="R2815" s="2" t="s">
        <v>18</v>
      </c>
      <c r="S2815">
        <v>2</v>
      </c>
    </row>
    <row r="2816" spans="1:19" x14ac:dyDescent="0.3">
      <c r="A2816">
        <v>3682</v>
      </c>
      <c r="B2816">
        <f>YEAR(Cleaned_HR_Data_Analysis__2[[#This Row],[Joining_Date]])</f>
        <v>2023</v>
      </c>
      <c r="C2816" s="1">
        <v>45115</v>
      </c>
      <c r="D2816" s="1" t="str" cm="1">
        <f t="array" ref="D2816">_xlfn.IFS(E2816&lt;28, "17-27",
AND(E2816&gt;27, E2816&lt;38), "28-37",
AND(E2816&gt;37, E2816 &lt;48), "38-47",
AND(E2816&gt;47, E2816 &lt;58), "48-57",
AND(E2816&gt;57, E2816&lt;68), "58-67",
AND(E2816&gt;67, E2816&lt;78), "68-77",
E2816&gt;77,"Above than 77")</f>
        <v>Above than 77</v>
      </c>
      <c r="E2816">
        <v>80</v>
      </c>
      <c r="F2816" s="1">
        <v>15824</v>
      </c>
      <c r="G2816" s="1" t="str">
        <f>VLOOKUP(H2816,Table7[#All], 2, FALSE)</f>
        <v>Massachusetts</v>
      </c>
      <c r="H2816" s="2" t="s">
        <v>14</v>
      </c>
      <c r="I2816" s="2" t="s">
        <v>15</v>
      </c>
      <c r="J2816" s="2" t="s">
        <v>31</v>
      </c>
      <c r="K2816" s="2" t="s">
        <v>8</v>
      </c>
      <c r="L2816" s="2" t="s">
        <v>9</v>
      </c>
      <c r="M2816" s="2" t="s">
        <v>25</v>
      </c>
      <c r="N2816" s="2" t="s">
        <v>11</v>
      </c>
      <c r="O2816" s="2" t="s">
        <v>12</v>
      </c>
      <c r="P2816" s="2" t="s">
        <v>35</v>
      </c>
      <c r="Q2816" s="2" t="s">
        <v>37</v>
      </c>
      <c r="R2816" s="2" t="s">
        <v>18</v>
      </c>
      <c r="S2816">
        <v>3</v>
      </c>
    </row>
    <row r="2817" spans="1:19" x14ac:dyDescent="0.3">
      <c r="A2817">
        <v>3357</v>
      </c>
      <c r="B2817">
        <f>YEAR(Cleaned_HR_Data_Analysis__2[[#This Row],[Joining_Date]])</f>
        <v>2022</v>
      </c>
      <c r="C2817" s="1">
        <v>44803</v>
      </c>
      <c r="D2817" s="1" t="str" cm="1">
        <f t="array" ref="D2817">_xlfn.IFS(E2817&lt;28, "17-27",
AND(E2817&gt;27, E2817&lt;38), "28-37",
AND(E2817&gt;37, E2817 &lt;48), "38-47",
AND(E2817&gt;47, E2817 &lt;58), "48-57",
AND(E2817&gt;57, E2817&lt;68), "58-67",
AND(E2817&gt;67, E2817&lt;78), "68-77",
E2817&gt;77,"Above than 77")</f>
        <v>Above than 77</v>
      </c>
      <c r="E2817">
        <v>80</v>
      </c>
      <c r="F2817" s="1">
        <v>15562</v>
      </c>
      <c r="G2817" s="1" t="str">
        <f>VLOOKUP(H2817,Table7[#All], 2, FALSE)</f>
        <v>Massachusetts</v>
      </c>
      <c r="H2817" s="2" t="s">
        <v>14</v>
      </c>
      <c r="I2817" s="2" t="s">
        <v>22</v>
      </c>
      <c r="J2817" s="2" t="s">
        <v>34</v>
      </c>
      <c r="K2817" s="2" t="s">
        <v>8</v>
      </c>
      <c r="L2817" s="2" t="s">
        <v>9</v>
      </c>
      <c r="M2817" s="2" t="s">
        <v>25</v>
      </c>
      <c r="N2817" s="2" t="s">
        <v>26</v>
      </c>
      <c r="O2817" s="2" t="s">
        <v>12</v>
      </c>
      <c r="P2817" s="2" t="s">
        <v>42</v>
      </c>
      <c r="Q2817" s="2" t="s">
        <v>46</v>
      </c>
      <c r="R2817" s="2" t="s">
        <v>41</v>
      </c>
      <c r="S2817">
        <v>3</v>
      </c>
    </row>
    <row r="2818" spans="1:19" x14ac:dyDescent="0.3">
      <c r="A2818">
        <v>3247</v>
      </c>
      <c r="B2818">
        <f>YEAR(Cleaned_HR_Data_Analysis__2[[#This Row],[Joining_Date]])</f>
        <v>2023</v>
      </c>
      <c r="C2818" s="1">
        <v>45036</v>
      </c>
      <c r="D2818" s="1" t="str" cm="1">
        <f t="array" ref="D2818">_xlfn.IFS(E2818&lt;28, "17-27",
AND(E2818&gt;27, E2818&lt;38), "28-37",
AND(E2818&gt;37, E2818 &lt;48), "38-47",
AND(E2818&gt;47, E2818 &lt;58), "48-57",
AND(E2818&gt;57, E2818&lt;68), "58-67",
AND(E2818&gt;67, E2818&lt;78), "68-77",
E2818&gt;77,"Above than 77")</f>
        <v>Above than 77</v>
      </c>
      <c r="E2818">
        <v>80</v>
      </c>
      <c r="F2818" s="1">
        <v>15905</v>
      </c>
      <c r="G2818" s="1" t="str">
        <f>VLOOKUP(H2818,Table7[#All], 2, FALSE)</f>
        <v>Massachusetts</v>
      </c>
      <c r="H2818" s="2" t="s">
        <v>14</v>
      </c>
      <c r="I2818" s="2" t="s">
        <v>15</v>
      </c>
      <c r="J2818" s="2" t="s">
        <v>31</v>
      </c>
      <c r="K2818" s="2" t="s">
        <v>8</v>
      </c>
      <c r="L2818" s="2" t="s">
        <v>9</v>
      </c>
      <c r="M2818" s="2" t="s">
        <v>25</v>
      </c>
      <c r="N2818" s="2" t="s">
        <v>11</v>
      </c>
      <c r="O2818" s="2" t="s">
        <v>12</v>
      </c>
      <c r="P2818" s="2" t="s">
        <v>32</v>
      </c>
      <c r="Q2818" s="2" t="s">
        <v>37</v>
      </c>
      <c r="R2818" s="2" t="s">
        <v>18</v>
      </c>
      <c r="S2818">
        <v>5</v>
      </c>
    </row>
    <row r="2819" spans="1:19" x14ac:dyDescent="0.3">
      <c r="A2819">
        <v>2959</v>
      </c>
      <c r="B2819">
        <f>YEAR(Cleaned_HR_Data_Analysis__2[[#This Row],[Joining_Date]])</f>
        <v>2022</v>
      </c>
      <c r="C2819" s="1">
        <v>44860</v>
      </c>
      <c r="D2819" s="1" t="str" cm="1">
        <f t="array" ref="D2819">_xlfn.IFS(E2819&lt;28, "17-27",
AND(E2819&gt;27, E2819&lt;38), "28-37",
AND(E2819&gt;37, E2819 &lt;48), "38-47",
AND(E2819&gt;47, E2819 &lt;58), "48-57",
AND(E2819&gt;57, E2819&lt;68), "58-67",
AND(E2819&gt;67, E2819&lt;78), "68-77",
E2819&gt;77,"Above than 77")</f>
        <v>Above than 77</v>
      </c>
      <c r="E2819">
        <v>80</v>
      </c>
      <c r="F2819" s="1">
        <v>15583</v>
      </c>
      <c r="G2819" s="1" t="str">
        <f>VLOOKUP(H2819,Table7[#All], 2, FALSE)</f>
        <v>Massachusetts</v>
      </c>
      <c r="H2819" s="2" t="s">
        <v>14</v>
      </c>
      <c r="I2819" s="2" t="s">
        <v>22</v>
      </c>
      <c r="J2819" s="2" t="s">
        <v>17</v>
      </c>
      <c r="K2819" s="2" t="s">
        <v>8</v>
      </c>
      <c r="L2819" s="2" t="s">
        <v>66</v>
      </c>
      <c r="M2819" s="2" t="s">
        <v>20</v>
      </c>
      <c r="N2819" s="2" t="s">
        <v>19</v>
      </c>
      <c r="O2819" s="2" t="s">
        <v>12</v>
      </c>
      <c r="P2819" s="2" t="s">
        <v>21</v>
      </c>
      <c r="Q2819" s="2" t="s">
        <v>23</v>
      </c>
      <c r="R2819" s="2" t="s">
        <v>18</v>
      </c>
      <c r="S2819">
        <v>5</v>
      </c>
    </row>
    <row r="2820" spans="1:19" x14ac:dyDescent="0.3">
      <c r="A2820">
        <v>2206</v>
      </c>
      <c r="B2820">
        <f>YEAR(Cleaned_HR_Data_Analysis__2[[#This Row],[Joining_Date]])</f>
        <v>2022</v>
      </c>
      <c r="C2820" s="1">
        <v>44859</v>
      </c>
      <c r="D2820" s="1" t="str" cm="1">
        <f t="array" ref="D2820">_xlfn.IFS(E2820&lt;28, "17-27",
AND(E2820&gt;27, E2820&lt;38), "28-37",
AND(E2820&gt;37, E2820 &lt;48), "38-47",
AND(E2820&gt;47, E2820 &lt;58), "48-57",
AND(E2820&gt;57, E2820&lt;68), "58-67",
AND(E2820&gt;67, E2820&lt;78), "68-77",
E2820&gt;77,"Above than 77")</f>
        <v>Above than 77</v>
      </c>
      <c r="E2820">
        <v>80</v>
      </c>
      <c r="F2820" s="1">
        <v>15350</v>
      </c>
      <c r="G2820" s="1" t="str">
        <f>VLOOKUP(H2820,Table7[#All], 2, FALSE)</f>
        <v>Massachusetts</v>
      </c>
      <c r="H2820" s="2" t="s">
        <v>14</v>
      </c>
      <c r="I2820" s="2" t="s">
        <v>15</v>
      </c>
      <c r="J2820" s="2" t="s">
        <v>17</v>
      </c>
      <c r="K2820" s="2" t="s">
        <v>8</v>
      </c>
      <c r="L2820" s="2" t="s">
        <v>9</v>
      </c>
      <c r="M2820" s="2" t="s">
        <v>10</v>
      </c>
      <c r="N2820" s="2" t="s">
        <v>19</v>
      </c>
      <c r="O2820" s="2" t="s">
        <v>12</v>
      </c>
      <c r="P2820" s="2" t="s">
        <v>35</v>
      </c>
      <c r="Q2820" s="2" t="s">
        <v>30</v>
      </c>
      <c r="R2820" s="2" t="s">
        <v>56</v>
      </c>
      <c r="S2820">
        <v>4</v>
      </c>
    </row>
    <row r="2821" spans="1:19" x14ac:dyDescent="0.3">
      <c r="A2821">
        <v>2107</v>
      </c>
      <c r="B2821">
        <f>YEAR(Cleaned_HR_Data_Analysis__2[[#This Row],[Joining_Date]])</f>
        <v>2023</v>
      </c>
      <c r="C2821" s="1">
        <v>45079</v>
      </c>
      <c r="D2821" s="1" t="str" cm="1">
        <f t="array" ref="D2821">_xlfn.IFS(E2821&lt;28, "17-27",
AND(E2821&gt;27, E2821&lt;38), "28-37",
AND(E2821&gt;37, E2821 &lt;48), "38-47",
AND(E2821&gt;47, E2821 &lt;58), "48-57",
AND(E2821&gt;57, E2821&lt;68), "58-67",
AND(E2821&gt;67, E2821&lt;78), "68-77",
E2821&gt;77,"Above than 77")</f>
        <v>Above than 77</v>
      </c>
      <c r="E2821">
        <v>80</v>
      </c>
      <c r="F2821" s="1">
        <v>16067</v>
      </c>
      <c r="G2821" s="1" t="str">
        <f>VLOOKUP(H2821,Table7[#All], 2, FALSE)</f>
        <v>Massachusetts</v>
      </c>
      <c r="H2821" s="2" t="s">
        <v>14</v>
      </c>
      <c r="I2821" s="2" t="s">
        <v>15</v>
      </c>
      <c r="J2821" s="2" t="s">
        <v>17</v>
      </c>
      <c r="K2821" s="2" t="s">
        <v>8</v>
      </c>
      <c r="L2821" s="2" t="s">
        <v>9</v>
      </c>
      <c r="M2821" s="2" t="s">
        <v>10</v>
      </c>
      <c r="N2821" s="2" t="s">
        <v>26</v>
      </c>
      <c r="O2821" s="2" t="s">
        <v>12</v>
      </c>
      <c r="P2821" s="2" t="s">
        <v>35</v>
      </c>
      <c r="Q2821" s="2" t="s">
        <v>23</v>
      </c>
      <c r="R2821" s="2" t="s">
        <v>41</v>
      </c>
      <c r="S2821">
        <v>1</v>
      </c>
    </row>
    <row r="2822" spans="1:19" x14ac:dyDescent="0.3">
      <c r="A2822">
        <v>2036</v>
      </c>
      <c r="B2822">
        <f>YEAR(Cleaned_HR_Data_Analysis__2[[#This Row],[Joining_Date]])</f>
        <v>2022</v>
      </c>
      <c r="C2822" s="1">
        <v>44738</v>
      </c>
      <c r="D2822" s="1" t="str" cm="1">
        <f t="array" ref="D2822">_xlfn.IFS(E2822&lt;28, "17-27",
AND(E2822&gt;27, E2822&lt;38), "28-37",
AND(E2822&gt;37, E2822 &lt;48), "38-47",
AND(E2822&gt;47, E2822 &lt;58), "48-57",
AND(E2822&gt;57, E2822&lt;68), "58-67",
AND(E2822&gt;67, E2822&lt;78), "68-77",
E2822&gt;77,"Above than 77")</f>
        <v>Above than 77</v>
      </c>
      <c r="E2822">
        <v>80</v>
      </c>
      <c r="F2822" s="1">
        <v>15390</v>
      </c>
      <c r="G2822" s="1" t="str">
        <f>VLOOKUP(H2822,Table7[#All], 2, FALSE)</f>
        <v>Massachusetts</v>
      </c>
      <c r="H2822" s="2" t="s">
        <v>14</v>
      </c>
      <c r="I2822" s="2" t="s">
        <v>15</v>
      </c>
      <c r="J2822" s="2" t="s">
        <v>31</v>
      </c>
      <c r="K2822" s="2" t="s">
        <v>8</v>
      </c>
      <c r="L2822" s="2" t="s">
        <v>9</v>
      </c>
      <c r="M2822" s="2" t="s">
        <v>10</v>
      </c>
      <c r="N2822" s="2" t="s">
        <v>19</v>
      </c>
      <c r="O2822" s="2" t="s">
        <v>12</v>
      </c>
      <c r="P2822" s="2" t="s">
        <v>21</v>
      </c>
      <c r="Q2822" s="2" t="s">
        <v>46</v>
      </c>
      <c r="R2822" s="2" t="s">
        <v>18</v>
      </c>
      <c r="S2822">
        <v>3</v>
      </c>
    </row>
    <row r="2823" spans="1:19" x14ac:dyDescent="0.3">
      <c r="A2823">
        <v>1826</v>
      </c>
      <c r="B2823">
        <f>YEAR(Cleaned_HR_Data_Analysis__2[[#This Row],[Joining_Date]])</f>
        <v>2021</v>
      </c>
      <c r="C2823" s="1">
        <v>44227</v>
      </c>
      <c r="D2823" s="1" t="str" cm="1">
        <f t="array" ref="D2823">_xlfn.IFS(E2823&lt;28, "17-27",
AND(E2823&gt;27, E2823&lt;38), "28-37",
AND(E2823&gt;37, E2823 &lt;48), "38-47",
AND(E2823&gt;47, E2823 &lt;58), "48-57",
AND(E2823&gt;57, E2823&lt;68), "58-67",
AND(E2823&gt;67, E2823&lt;78), "68-77",
E2823&gt;77,"Above than 77")</f>
        <v>Above than 77</v>
      </c>
      <c r="E2823">
        <v>80</v>
      </c>
      <c r="F2823" s="1">
        <v>15297</v>
      </c>
      <c r="G2823" s="1" t="str">
        <f>VLOOKUP(H2823,Table7[#All], 2, FALSE)</f>
        <v>Massachusetts</v>
      </c>
      <c r="H2823" s="2" t="s">
        <v>14</v>
      </c>
      <c r="I2823" s="2" t="s">
        <v>15</v>
      </c>
      <c r="J2823" s="2" t="s">
        <v>17</v>
      </c>
      <c r="K2823" s="2" t="s">
        <v>8</v>
      </c>
      <c r="L2823" s="2" t="s">
        <v>9</v>
      </c>
      <c r="M2823" s="2" t="s">
        <v>20</v>
      </c>
      <c r="N2823" s="2" t="s">
        <v>26</v>
      </c>
      <c r="O2823" s="2" t="s">
        <v>12</v>
      </c>
      <c r="P2823" s="2" t="s">
        <v>21</v>
      </c>
      <c r="Q2823" s="2" t="s">
        <v>30</v>
      </c>
      <c r="R2823" s="2" t="s">
        <v>41</v>
      </c>
      <c r="S2823">
        <v>2</v>
      </c>
    </row>
    <row r="2824" spans="1:19" x14ac:dyDescent="0.3">
      <c r="A2824">
        <v>1141</v>
      </c>
      <c r="B2824">
        <f>YEAR(Cleaned_HR_Data_Analysis__2[[#This Row],[Joining_Date]])</f>
        <v>2021</v>
      </c>
      <c r="C2824" s="1">
        <v>44413</v>
      </c>
      <c r="D2824" s="1" t="str" cm="1">
        <f t="array" ref="D2824">_xlfn.IFS(E2824&lt;28, "17-27",
AND(E2824&gt;27, E2824&lt;38), "28-37",
AND(E2824&gt;37, E2824 &lt;48), "38-47",
AND(E2824&gt;47, E2824 &lt;58), "48-57",
AND(E2824&gt;57, E2824&lt;68), "58-67",
AND(E2824&gt;67, E2824&lt;78), "68-77",
E2824&gt;77,"Above than 77")</f>
        <v>Above than 77</v>
      </c>
      <c r="E2824">
        <v>80</v>
      </c>
      <c r="F2824" s="1">
        <v>15202</v>
      </c>
      <c r="G2824" s="1" t="str">
        <f>VLOOKUP(H2824,Table7[#All], 2, FALSE)</f>
        <v>Massachusetts</v>
      </c>
      <c r="H2824" s="2" t="s">
        <v>14</v>
      </c>
      <c r="I2824" s="2" t="s">
        <v>15</v>
      </c>
      <c r="J2824" s="2" t="s">
        <v>40</v>
      </c>
      <c r="K2824" s="2" t="s">
        <v>8</v>
      </c>
      <c r="L2824" s="2" t="s">
        <v>9</v>
      </c>
      <c r="M2824" s="2" t="s">
        <v>10</v>
      </c>
      <c r="N2824" s="2" t="s">
        <v>19</v>
      </c>
      <c r="O2824" s="2" t="s">
        <v>12</v>
      </c>
      <c r="P2824" s="2" t="s">
        <v>35</v>
      </c>
      <c r="Q2824" s="2" t="s">
        <v>37</v>
      </c>
      <c r="R2824" s="2" t="s">
        <v>18</v>
      </c>
      <c r="S2824">
        <v>5</v>
      </c>
    </row>
    <row r="2825" spans="1:19" x14ac:dyDescent="0.3">
      <c r="A2825">
        <v>2475</v>
      </c>
      <c r="B2825">
        <f>YEAR(Cleaned_HR_Data_Analysis__2[[#This Row],[Joining_Date]])</f>
        <v>2022</v>
      </c>
      <c r="C2825" s="1">
        <v>44839</v>
      </c>
      <c r="D2825" s="1" t="str" cm="1">
        <f t="array" ref="D2825">_xlfn.IFS(E2825&lt;28, "17-27",
AND(E2825&gt;27, E2825&lt;38), "28-37",
AND(E2825&gt;37, E2825 &lt;48), "38-47",
AND(E2825&gt;47, E2825 &lt;58), "48-57",
AND(E2825&gt;57, E2825&lt;68), "58-67",
AND(E2825&gt;67, E2825&lt;78), "68-77",
E2825&gt;77,"Above than 77")</f>
        <v>Above than 77</v>
      </c>
      <c r="E2825">
        <v>80</v>
      </c>
      <c r="F2825" s="1">
        <v>15398</v>
      </c>
      <c r="G2825" s="1" t="str">
        <f>VLOOKUP(H2825,Table7[#All], 2, FALSE)</f>
        <v>Massachusetts</v>
      </c>
      <c r="H2825" s="2" t="s">
        <v>14</v>
      </c>
      <c r="I2825" s="2" t="s">
        <v>22</v>
      </c>
      <c r="J2825" s="2" t="s">
        <v>31</v>
      </c>
      <c r="K2825" s="2" t="s">
        <v>91</v>
      </c>
      <c r="L2825" s="2" t="s">
        <v>66</v>
      </c>
      <c r="M2825" s="2" t="s">
        <v>20</v>
      </c>
      <c r="N2825" s="2" t="s">
        <v>11</v>
      </c>
      <c r="O2825" s="2" t="s">
        <v>12</v>
      </c>
      <c r="P2825" s="2" t="s">
        <v>32</v>
      </c>
      <c r="Q2825" s="2" t="s">
        <v>16</v>
      </c>
      <c r="R2825" s="2" t="s">
        <v>18</v>
      </c>
      <c r="S2825">
        <v>4</v>
      </c>
    </row>
    <row r="2826" spans="1:19" x14ac:dyDescent="0.3">
      <c r="A2826">
        <v>2431</v>
      </c>
      <c r="B2826">
        <f>YEAR(Cleaned_HR_Data_Analysis__2[[#This Row],[Joining_Date]])</f>
        <v>2022</v>
      </c>
      <c r="C2826" s="1">
        <v>44791</v>
      </c>
      <c r="D2826" s="1" t="str" cm="1">
        <f t="array" ref="D2826">_xlfn.IFS(E2826&lt;28, "17-27",
AND(E2826&gt;27, E2826&lt;38), "28-37",
AND(E2826&gt;37, E2826 &lt;48), "38-47",
AND(E2826&gt;47, E2826 &lt;58), "48-57",
AND(E2826&gt;57, E2826&lt;68), "58-67",
AND(E2826&gt;67, E2826&lt;78), "68-77",
E2826&gt;77,"Above than 77")</f>
        <v>Above than 77</v>
      </c>
      <c r="E2826">
        <v>80</v>
      </c>
      <c r="F2826" s="1">
        <v>15412</v>
      </c>
      <c r="G2826" s="1" t="str">
        <f>VLOOKUP(H2826,Table7[#All], 2, FALSE)</f>
        <v>Massachusetts</v>
      </c>
      <c r="H2826" s="2" t="s">
        <v>14</v>
      </c>
      <c r="I2826" s="2" t="s">
        <v>15</v>
      </c>
      <c r="J2826" s="2" t="s">
        <v>17</v>
      </c>
      <c r="K2826" s="2" t="s">
        <v>91</v>
      </c>
      <c r="L2826" s="2" t="s">
        <v>9</v>
      </c>
      <c r="M2826" s="2" t="s">
        <v>10</v>
      </c>
      <c r="N2826" s="2" t="s">
        <v>19</v>
      </c>
      <c r="O2826" s="2" t="s">
        <v>12</v>
      </c>
      <c r="P2826" s="2" t="s">
        <v>32</v>
      </c>
      <c r="Q2826" s="2" t="s">
        <v>46</v>
      </c>
      <c r="R2826" s="2" t="s">
        <v>18</v>
      </c>
      <c r="S2826">
        <v>2</v>
      </c>
    </row>
    <row r="2827" spans="1:19" x14ac:dyDescent="0.3">
      <c r="A2827">
        <v>2418</v>
      </c>
      <c r="B2827">
        <f>YEAR(Cleaned_HR_Data_Analysis__2[[#This Row],[Joining_Date]])</f>
        <v>2022</v>
      </c>
      <c r="C2827" s="1">
        <v>44587</v>
      </c>
      <c r="D2827" s="1" t="str" cm="1">
        <f t="array" ref="D2827">_xlfn.IFS(E2827&lt;28, "17-27",
AND(E2827&gt;27, E2827&lt;38), "28-37",
AND(E2827&gt;37, E2827 &lt;48), "38-47",
AND(E2827&gt;47, E2827 &lt;58), "48-57",
AND(E2827&gt;57, E2827&lt;68), "58-67",
AND(E2827&gt;67, E2827&lt;78), "68-77",
E2827&gt;77,"Above than 77")</f>
        <v>Above than 77</v>
      </c>
      <c r="E2827">
        <v>80</v>
      </c>
      <c r="F2827" s="1">
        <v>15512</v>
      </c>
      <c r="G2827" s="1" t="str">
        <f>VLOOKUP(H2827,Table7[#All], 2, FALSE)</f>
        <v>Massachusetts</v>
      </c>
      <c r="H2827" s="2" t="s">
        <v>14</v>
      </c>
      <c r="I2827" s="2" t="s">
        <v>22</v>
      </c>
      <c r="J2827" s="2" t="s">
        <v>34</v>
      </c>
      <c r="K2827" s="2" t="s">
        <v>91</v>
      </c>
      <c r="L2827" s="2" t="s">
        <v>66</v>
      </c>
      <c r="M2827" s="2" t="s">
        <v>10</v>
      </c>
      <c r="N2827" s="2" t="s">
        <v>26</v>
      </c>
      <c r="O2827" s="2" t="s">
        <v>12</v>
      </c>
      <c r="P2827" s="2" t="s">
        <v>54</v>
      </c>
      <c r="Q2827" s="2" t="s">
        <v>37</v>
      </c>
      <c r="R2827" s="2" t="s">
        <v>18</v>
      </c>
      <c r="S2827">
        <v>2</v>
      </c>
    </row>
    <row r="2828" spans="1:19" x14ac:dyDescent="0.3">
      <c r="A2828">
        <v>2413</v>
      </c>
      <c r="B2828">
        <f>YEAR(Cleaned_HR_Data_Analysis__2[[#This Row],[Joining_Date]])</f>
        <v>2022</v>
      </c>
      <c r="C2828" s="1">
        <v>44769</v>
      </c>
      <c r="D2828" s="1" t="str" cm="1">
        <f t="array" ref="D2828">_xlfn.IFS(E2828&lt;28, "17-27",
AND(E2828&gt;27, E2828&lt;38), "28-37",
AND(E2828&gt;37, E2828 &lt;48), "38-47",
AND(E2828&gt;47, E2828 &lt;58), "48-57",
AND(E2828&gt;57, E2828&lt;68), "58-67",
AND(E2828&gt;67, E2828&lt;78), "68-77",
E2828&gt;77,"Above than 77")</f>
        <v>Above than 77</v>
      </c>
      <c r="E2828">
        <v>80</v>
      </c>
      <c r="F2828" s="1">
        <v>15441</v>
      </c>
      <c r="G2828" s="1" t="str">
        <f>VLOOKUP(H2828,Table7[#All], 2, FALSE)</f>
        <v>Massachusetts</v>
      </c>
      <c r="H2828" s="2" t="s">
        <v>14</v>
      </c>
      <c r="I2828" s="2" t="s">
        <v>15</v>
      </c>
      <c r="J2828" s="2" t="s">
        <v>31</v>
      </c>
      <c r="K2828" s="2" t="s">
        <v>91</v>
      </c>
      <c r="L2828" s="2" t="s">
        <v>9</v>
      </c>
      <c r="M2828" s="2" t="s">
        <v>25</v>
      </c>
      <c r="N2828" s="2" t="s">
        <v>26</v>
      </c>
      <c r="O2828" s="2" t="s">
        <v>12</v>
      </c>
      <c r="P2828" s="2" t="s">
        <v>32</v>
      </c>
      <c r="Q2828" s="2" t="s">
        <v>16</v>
      </c>
      <c r="R2828" s="2" t="s">
        <v>18</v>
      </c>
      <c r="S2828">
        <v>2</v>
      </c>
    </row>
    <row r="2829" spans="1:19" x14ac:dyDescent="0.3">
      <c r="A2829">
        <v>2382</v>
      </c>
      <c r="B2829">
        <f>YEAR(Cleaned_HR_Data_Analysis__2[[#This Row],[Joining_Date]])</f>
        <v>2023</v>
      </c>
      <c r="C2829" s="1">
        <v>45124</v>
      </c>
      <c r="D2829" s="1" t="str" cm="1">
        <f t="array" ref="D2829">_xlfn.IFS(E2829&lt;28, "17-27",
AND(E2829&gt;27, E2829&lt;38), "28-37",
AND(E2829&gt;37, E2829 &lt;48), "38-47",
AND(E2829&gt;47, E2829 &lt;58), "48-57",
AND(E2829&gt;57, E2829&lt;68), "58-67",
AND(E2829&gt;67, E2829&lt;78), "68-77",
E2829&gt;77,"Above than 77")</f>
        <v>Above than 77</v>
      </c>
      <c r="E2829">
        <v>80</v>
      </c>
      <c r="F2829" s="1">
        <v>16050</v>
      </c>
      <c r="G2829" s="1" t="str">
        <f>VLOOKUP(H2829,Table7[#All], 2, FALSE)</f>
        <v>Massachusetts</v>
      </c>
      <c r="H2829" s="2" t="s">
        <v>14</v>
      </c>
      <c r="I2829" s="2" t="s">
        <v>22</v>
      </c>
      <c r="J2829" s="2" t="s">
        <v>31</v>
      </c>
      <c r="K2829" s="2" t="s">
        <v>91</v>
      </c>
      <c r="L2829" s="2" t="s">
        <v>9</v>
      </c>
      <c r="M2829" s="2" t="s">
        <v>20</v>
      </c>
      <c r="N2829" s="2" t="s">
        <v>11</v>
      </c>
      <c r="O2829" s="2" t="s">
        <v>12</v>
      </c>
      <c r="P2829" s="2" t="s">
        <v>60</v>
      </c>
      <c r="Q2829" s="2" t="s">
        <v>46</v>
      </c>
      <c r="R2829" s="2" t="s">
        <v>18</v>
      </c>
      <c r="S2829">
        <v>3</v>
      </c>
    </row>
    <row r="2830" spans="1:19" x14ac:dyDescent="0.3">
      <c r="A2830">
        <v>2299</v>
      </c>
      <c r="B2830">
        <f>YEAR(Cleaned_HR_Data_Analysis__2[[#This Row],[Joining_Date]])</f>
        <v>2022</v>
      </c>
      <c r="C2830" s="1">
        <v>44664</v>
      </c>
      <c r="D2830" s="1" t="str" cm="1">
        <f t="array" ref="D2830">_xlfn.IFS(E2830&lt;28, "17-27",
AND(E2830&gt;27, E2830&lt;38), "28-37",
AND(E2830&gt;37, E2830 &lt;48), "38-47",
AND(E2830&gt;47, E2830 &lt;58), "48-57",
AND(E2830&gt;57, E2830&lt;68), "58-67",
AND(E2830&gt;67, E2830&lt;78), "68-77",
E2830&gt;77,"Above than 77")</f>
        <v>Above than 77</v>
      </c>
      <c r="E2830">
        <v>80</v>
      </c>
      <c r="F2830" s="1">
        <v>15396</v>
      </c>
      <c r="G2830" s="1" t="str">
        <f>VLOOKUP(H2830,Table7[#All], 2, FALSE)</f>
        <v>Massachusetts</v>
      </c>
      <c r="H2830" s="2" t="s">
        <v>14</v>
      </c>
      <c r="I2830" s="2" t="s">
        <v>15</v>
      </c>
      <c r="J2830" s="2" t="s">
        <v>34</v>
      </c>
      <c r="K2830" s="2" t="s">
        <v>91</v>
      </c>
      <c r="L2830" s="2" t="s">
        <v>9</v>
      </c>
      <c r="M2830" s="2" t="s">
        <v>20</v>
      </c>
      <c r="N2830" s="2" t="s">
        <v>19</v>
      </c>
      <c r="O2830" s="2" t="s">
        <v>12</v>
      </c>
      <c r="P2830" s="2" t="s">
        <v>35</v>
      </c>
      <c r="Q2830" s="2" t="s">
        <v>46</v>
      </c>
      <c r="R2830" s="2" t="s">
        <v>18</v>
      </c>
      <c r="S2830">
        <v>1</v>
      </c>
    </row>
    <row r="2831" spans="1:19" x14ac:dyDescent="0.3">
      <c r="A2831">
        <v>2513</v>
      </c>
      <c r="B2831">
        <f>YEAR(Cleaned_HR_Data_Analysis__2[[#This Row],[Joining_Date]])</f>
        <v>2021</v>
      </c>
      <c r="C2831" s="1">
        <v>44427</v>
      </c>
      <c r="D2831" s="1" t="str" cm="1">
        <f t="array" ref="D2831">_xlfn.IFS(E2831&lt;28, "17-27",
AND(E2831&gt;27, E2831&lt;38), "28-37",
AND(E2831&gt;37, E2831 &lt;48), "38-47",
AND(E2831&gt;47, E2831 &lt;58), "48-57",
AND(E2831&gt;57, E2831&lt;68), "58-67",
AND(E2831&gt;67, E2831&lt;78), "68-77",
E2831&gt;77,"Above than 77")</f>
        <v>Above than 77</v>
      </c>
      <c r="E2831">
        <v>80</v>
      </c>
      <c r="F2831" s="1">
        <v>15267</v>
      </c>
      <c r="G2831" s="1" t="str">
        <f>VLOOKUP(H2831,Table7[#All], 2, FALSE)</f>
        <v>Massachusetts</v>
      </c>
      <c r="H2831" s="2" t="s">
        <v>14</v>
      </c>
      <c r="I2831" s="2" t="s">
        <v>22</v>
      </c>
      <c r="J2831" s="2" t="s">
        <v>40</v>
      </c>
      <c r="K2831" s="2" t="s">
        <v>103</v>
      </c>
      <c r="L2831" s="2" t="s">
        <v>9</v>
      </c>
      <c r="M2831" s="2" t="s">
        <v>25</v>
      </c>
      <c r="N2831" s="2" t="s">
        <v>19</v>
      </c>
      <c r="O2831" s="2" t="s">
        <v>53</v>
      </c>
      <c r="P2831" s="2" t="s">
        <v>38</v>
      </c>
      <c r="Q2831" s="2" t="s">
        <v>46</v>
      </c>
      <c r="R2831" s="2" t="s">
        <v>18</v>
      </c>
      <c r="S2831">
        <v>2</v>
      </c>
    </row>
    <row r="2832" spans="1:19" x14ac:dyDescent="0.3">
      <c r="A2832">
        <v>2232</v>
      </c>
      <c r="B2832">
        <f>YEAR(Cleaned_HR_Data_Analysis__2[[#This Row],[Joining_Date]])</f>
        <v>2022</v>
      </c>
      <c r="C2832" s="1">
        <v>44911</v>
      </c>
      <c r="D2832" s="1" t="str" cm="1">
        <f t="array" ref="D2832">_xlfn.IFS(E2832&lt;28, "17-27",
AND(E2832&gt;27, E2832&lt;38), "28-37",
AND(E2832&gt;37, E2832 &lt;48), "38-47",
AND(E2832&gt;47, E2832 &lt;58), "48-57",
AND(E2832&gt;57, E2832&lt;68), "58-67",
AND(E2832&gt;67, E2832&lt;78), "68-77",
E2832&gt;77,"Above than 77")</f>
        <v>Above than 77</v>
      </c>
      <c r="E2832">
        <v>80</v>
      </c>
      <c r="F2832" s="1">
        <v>15619</v>
      </c>
      <c r="G2832" s="1" t="str">
        <f>VLOOKUP(H2832,Table7[#All], 2, FALSE)</f>
        <v>Massachusetts</v>
      </c>
      <c r="H2832" s="2" t="s">
        <v>14</v>
      </c>
      <c r="I2832" s="2" t="s">
        <v>22</v>
      </c>
      <c r="J2832" s="2" t="s">
        <v>31</v>
      </c>
      <c r="K2832" s="2" t="s">
        <v>103</v>
      </c>
      <c r="L2832" s="2" t="s">
        <v>9</v>
      </c>
      <c r="M2832" s="2" t="s">
        <v>20</v>
      </c>
      <c r="N2832" s="2" t="s">
        <v>19</v>
      </c>
      <c r="O2832" s="2" t="s">
        <v>53</v>
      </c>
      <c r="P2832" s="2" t="s">
        <v>35</v>
      </c>
      <c r="Q2832" s="2" t="s">
        <v>23</v>
      </c>
      <c r="R2832" s="2" t="s">
        <v>18</v>
      </c>
      <c r="S2832">
        <v>5</v>
      </c>
    </row>
    <row r="2833" spans="1:19" x14ac:dyDescent="0.3">
      <c r="A2833">
        <v>3948</v>
      </c>
      <c r="B2833">
        <f>YEAR(Cleaned_HR_Data_Analysis__2[[#This Row],[Joining_Date]])</f>
        <v>2023</v>
      </c>
      <c r="C2833" s="1">
        <v>44960</v>
      </c>
      <c r="D2833" s="1" t="str" cm="1">
        <f t="array" ref="D2833">_xlfn.IFS(E2833&lt;28, "17-27",
AND(E2833&gt;27, E2833&lt;38), "28-37",
AND(E2833&gt;37, E2833 &lt;48), "38-47",
AND(E2833&gt;47, E2833 &lt;58), "48-57",
AND(E2833&gt;57, E2833&lt;68), "58-67",
AND(E2833&gt;67, E2833&lt;78), "68-77",
E2833&gt;77,"Above than 77")</f>
        <v>Above than 77</v>
      </c>
      <c r="E2833">
        <v>80</v>
      </c>
      <c r="F2833" s="1">
        <v>16008</v>
      </c>
      <c r="G2833" s="1" t="str">
        <f>VLOOKUP(H2833,Table7[#All], 2, FALSE)</f>
        <v>Massachusetts</v>
      </c>
      <c r="H2833" s="2" t="s">
        <v>14</v>
      </c>
      <c r="I2833" s="2" t="s">
        <v>22</v>
      </c>
      <c r="J2833" s="2" t="s">
        <v>34</v>
      </c>
      <c r="K2833" s="2" t="s">
        <v>78</v>
      </c>
      <c r="L2833" s="2" t="s">
        <v>66</v>
      </c>
      <c r="M2833" s="2" t="s">
        <v>10</v>
      </c>
      <c r="N2833" s="2" t="s">
        <v>11</v>
      </c>
      <c r="O2833" s="2" t="s">
        <v>53</v>
      </c>
      <c r="P2833" s="2" t="s">
        <v>21</v>
      </c>
      <c r="Q2833" s="2" t="s">
        <v>23</v>
      </c>
      <c r="R2833" s="2" t="s">
        <v>18</v>
      </c>
      <c r="S2833">
        <v>4</v>
      </c>
    </row>
    <row r="2834" spans="1:19" x14ac:dyDescent="0.3">
      <c r="A2834">
        <v>2724</v>
      </c>
      <c r="B2834">
        <f>YEAR(Cleaned_HR_Data_Analysis__2[[#This Row],[Joining_Date]])</f>
        <v>2023</v>
      </c>
      <c r="C2834" s="1">
        <v>44927</v>
      </c>
      <c r="D2834" s="1" t="str" cm="1">
        <f t="array" ref="D2834">_xlfn.IFS(E2834&lt;28, "17-27",
AND(E2834&gt;27, E2834&lt;38), "28-37",
AND(E2834&gt;37, E2834 &lt;48), "38-47",
AND(E2834&gt;47, E2834 &lt;58), "48-57",
AND(E2834&gt;57, E2834&lt;68), "58-67",
AND(E2834&gt;67, E2834&lt;78), "68-77",
E2834&gt;77,"Above than 77")</f>
        <v>Above than 77</v>
      </c>
      <c r="E2834">
        <v>80</v>
      </c>
      <c r="F2834" s="1">
        <v>15721</v>
      </c>
      <c r="G2834" s="1" t="str">
        <f>VLOOKUP(H2834,Table7[#All], 2, FALSE)</f>
        <v>Idaho</v>
      </c>
      <c r="H2834" s="2" t="s">
        <v>111</v>
      </c>
      <c r="I2834" s="2" t="s">
        <v>22</v>
      </c>
      <c r="J2834" s="2" t="s">
        <v>40</v>
      </c>
      <c r="K2834" s="2" t="s">
        <v>24</v>
      </c>
      <c r="L2834" s="2" t="s">
        <v>9</v>
      </c>
      <c r="M2834" s="2" t="s">
        <v>20</v>
      </c>
      <c r="N2834" s="2" t="s">
        <v>26</v>
      </c>
      <c r="O2834" s="2" t="s">
        <v>27</v>
      </c>
      <c r="P2834" s="2" t="s">
        <v>60</v>
      </c>
      <c r="Q2834" s="2" t="s">
        <v>30</v>
      </c>
      <c r="R2834" s="2" t="s">
        <v>18</v>
      </c>
      <c r="S2834">
        <v>3</v>
      </c>
    </row>
    <row r="2835" spans="1:19" x14ac:dyDescent="0.3">
      <c r="A2835">
        <v>3531</v>
      </c>
      <c r="B2835">
        <f>YEAR(Cleaned_HR_Data_Analysis__2[[#This Row],[Joining_Date]])</f>
        <v>2023</v>
      </c>
      <c r="C2835" s="1">
        <v>45094</v>
      </c>
      <c r="D2835" s="1" t="str" cm="1">
        <f t="array" ref="D2835">_xlfn.IFS(E2835&lt;28, "17-27",
AND(E2835&gt;27, E2835&lt;38), "28-37",
AND(E2835&gt;37, E2835 &lt;48), "38-47",
AND(E2835&gt;47, E2835 &lt;58), "48-57",
AND(E2835&gt;57, E2835&lt;68), "58-67",
AND(E2835&gt;67, E2835&lt;78), "68-77",
E2835&gt;77,"Above than 77")</f>
        <v>Above than 77</v>
      </c>
      <c r="E2835">
        <v>80</v>
      </c>
      <c r="F2835" s="1">
        <v>15844</v>
      </c>
      <c r="G2835" s="1" t="str">
        <f>VLOOKUP(H2835,Table7[#All], 2, FALSE)</f>
        <v>California</v>
      </c>
      <c r="H2835" s="2" t="s">
        <v>39</v>
      </c>
      <c r="I2835" s="2" t="s">
        <v>22</v>
      </c>
      <c r="J2835" s="2" t="s">
        <v>40</v>
      </c>
      <c r="K2835" s="2" t="s">
        <v>24</v>
      </c>
      <c r="L2835" s="2" t="s">
        <v>9</v>
      </c>
      <c r="M2835" s="2" t="s">
        <v>25</v>
      </c>
      <c r="N2835" s="2" t="s">
        <v>11</v>
      </c>
      <c r="O2835" s="2" t="s">
        <v>27</v>
      </c>
      <c r="P2835" s="2" t="s">
        <v>54</v>
      </c>
      <c r="Q2835" s="2" t="s">
        <v>37</v>
      </c>
      <c r="R2835" s="2" t="s">
        <v>18</v>
      </c>
      <c r="S2835">
        <v>4</v>
      </c>
    </row>
    <row r="2836" spans="1:19" x14ac:dyDescent="0.3">
      <c r="A2836">
        <v>3433</v>
      </c>
      <c r="B2836">
        <f>YEAR(Cleaned_HR_Data_Analysis__2[[#This Row],[Joining_Date]])</f>
        <v>2022</v>
      </c>
      <c r="C2836" s="1">
        <v>44657</v>
      </c>
      <c r="D2836" s="1" t="str" cm="1">
        <f t="array" ref="D2836">_xlfn.IFS(E2836&lt;28, "17-27",
AND(E2836&gt;27, E2836&lt;38), "28-37",
AND(E2836&gt;37, E2836 &lt;48), "38-47",
AND(E2836&gt;47, E2836 &lt;58), "48-57",
AND(E2836&gt;57, E2836&lt;68), "58-67",
AND(E2836&gt;67, E2836&lt;78), "68-77",
E2836&gt;77,"Above than 77")</f>
        <v>Above than 77</v>
      </c>
      <c r="E2836">
        <v>80</v>
      </c>
      <c r="F2836" s="1">
        <v>15523</v>
      </c>
      <c r="G2836" s="1" t="str">
        <f>VLOOKUP(H2836,Table7[#All], 2, FALSE)</f>
        <v>California</v>
      </c>
      <c r="H2836" s="2" t="s">
        <v>39</v>
      </c>
      <c r="I2836" s="2" t="s">
        <v>15</v>
      </c>
      <c r="J2836" s="2" t="s">
        <v>40</v>
      </c>
      <c r="K2836" s="2" t="s">
        <v>24</v>
      </c>
      <c r="L2836" s="2" t="s">
        <v>9</v>
      </c>
      <c r="M2836" s="2" t="s">
        <v>25</v>
      </c>
      <c r="N2836" s="2" t="s">
        <v>26</v>
      </c>
      <c r="O2836" s="2" t="s">
        <v>27</v>
      </c>
      <c r="P2836" s="2" t="s">
        <v>38</v>
      </c>
      <c r="Q2836" s="2" t="s">
        <v>23</v>
      </c>
      <c r="R2836" s="2" t="s">
        <v>41</v>
      </c>
      <c r="S2836">
        <v>5</v>
      </c>
    </row>
    <row r="2837" spans="1:19" x14ac:dyDescent="0.3">
      <c r="A2837">
        <v>2634</v>
      </c>
      <c r="B2837">
        <f>YEAR(Cleaned_HR_Data_Analysis__2[[#This Row],[Joining_Date]])</f>
        <v>2023</v>
      </c>
      <c r="C2837" s="1">
        <v>44997</v>
      </c>
      <c r="D2837" s="1" t="str" cm="1">
        <f t="array" ref="D2837">_xlfn.IFS(E2837&lt;28, "17-27",
AND(E2837&gt;27, E2837&lt;38), "28-37",
AND(E2837&gt;37, E2837 &lt;48), "38-47",
AND(E2837&gt;47, E2837 &lt;58), "48-57",
AND(E2837&gt;57, E2837&lt;68), "58-67",
AND(E2837&gt;67, E2837&lt;78), "68-77",
E2837&gt;77,"Above than 77")</f>
        <v>Above than 77</v>
      </c>
      <c r="E2837">
        <v>80</v>
      </c>
      <c r="F2837" s="1">
        <v>15753</v>
      </c>
      <c r="G2837" s="1" t="str">
        <f>VLOOKUP(H2837,Table7[#All], 2, FALSE)</f>
        <v>Washington</v>
      </c>
      <c r="H2837" s="2" t="s">
        <v>113</v>
      </c>
      <c r="I2837" s="2" t="s">
        <v>15</v>
      </c>
      <c r="J2837" s="2" t="s">
        <v>31</v>
      </c>
      <c r="K2837" s="2" t="s">
        <v>95</v>
      </c>
      <c r="L2837" s="2" t="s">
        <v>9</v>
      </c>
      <c r="M2837" s="2" t="s">
        <v>20</v>
      </c>
      <c r="N2837" s="2" t="s">
        <v>26</v>
      </c>
      <c r="O2837" s="2" t="s">
        <v>27</v>
      </c>
      <c r="P2837" s="2" t="s">
        <v>35</v>
      </c>
      <c r="Q2837" s="2" t="s">
        <v>46</v>
      </c>
      <c r="R2837" s="2" t="s">
        <v>18</v>
      </c>
      <c r="S2837">
        <v>5</v>
      </c>
    </row>
    <row r="2838" spans="1:19" x14ac:dyDescent="0.3">
      <c r="A2838">
        <v>2599</v>
      </c>
      <c r="B2838">
        <f>YEAR(Cleaned_HR_Data_Analysis__2[[#This Row],[Joining_Date]])</f>
        <v>2022</v>
      </c>
      <c r="C2838" s="1">
        <v>44647</v>
      </c>
      <c r="D2838" s="1" t="str" cm="1">
        <f t="array" ref="D2838">_xlfn.IFS(E2838&lt;28, "17-27",
AND(E2838&gt;27, E2838&lt;38), "28-37",
AND(E2838&gt;37, E2838 &lt;48), "38-47",
AND(E2838&gt;47, E2838 &lt;58), "48-57",
AND(E2838&gt;57, E2838&lt;68), "58-67",
AND(E2838&gt;67, E2838&lt;78), "68-77",
E2838&gt;77,"Above than 77")</f>
        <v>Above than 77</v>
      </c>
      <c r="E2838">
        <v>80</v>
      </c>
      <c r="F2838" s="1">
        <v>15533</v>
      </c>
      <c r="G2838" s="1" t="str">
        <f>VLOOKUP(H2838,Table7[#All], 2, FALSE)</f>
        <v>Idaho</v>
      </c>
      <c r="H2838" s="2" t="s">
        <v>111</v>
      </c>
      <c r="I2838" s="2" t="s">
        <v>15</v>
      </c>
      <c r="J2838" s="2" t="s">
        <v>17</v>
      </c>
      <c r="K2838" s="2" t="s">
        <v>95</v>
      </c>
      <c r="L2838" s="2" t="s">
        <v>9</v>
      </c>
      <c r="M2838" s="2" t="s">
        <v>10</v>
      </c>
      <c r="N2838" s="2" t="s">
        <v>19</v>
      </c>
      <c r="O2838" s="2" t="s">
        <v>27</v>
      </c>
      <c r="P2838" s="2" t="s">
        <v>63</v>
      </c>
      <c r="Q2838" s="2" t="s">
        <v>37</v>
      </c>
      <c r="R2838" s="2" t="s">
        <v>18</v>
      </c>
      <c r="S2838">
        <v>4</v>
      </c>
    </row>
    <row r="2839" spans="1:19" x14ac:dyDescent="0.3">
      <c r="A2839">
        <v>2090</v>
      </c>
      <c r="B2839">
        <f>YEAR(Cleaned_HR_Data_Analysis__2[[#This Row],[Joining_Date]])</f>
        <v>2023</v>
      </c>
      <c r="C2839" s="1">
        <v>44938</v>
      </c>
      <c r="D2839" s="1" t="str" cm="1">
        <f t="array" ref="D2839">_xlfn.IFS(E2839&lt;28, "17-27",
AND(E2839&gt;27, E2839&lt;38), "28-37",
AND(E2839&gt;37, E2839 &lt;48), "38-47",
AND(E2839&gt;47, E2839 &lt;58), "48-57",
AND(E2839&gt;57, E2839&lt;68), "58-67",
AND(E2839&gt;67, E2839&lt;78), "68-77",
E2839&gt;77,"Above than 77")</f>
        <v>Above than 77</v>
      </c>
      <c r="E2839">
        <v>81</v>
      </c>
      <c r="F2839" s="1">
        <v>15644</v>
      </c>
      <c r="G2839" s="1" t="str">
        <f>VLOOKUP(H2839,Table7[#All], 2, FALSE)</f>
        <v>Massachusetts</v>
      </c>
      <c r="H2839" s="2" t="s">
        <v>14</v>
      </c>
      <c r="I2839" s="2" t="s">
        <v>15</v>
      </c>
      <c r="J2839" s="2" t="s">
        <v>40</v>
      </c>
      <c r="K2839" s="2" t="s">
        <v>64</v>
      </c>
      <c r="L2839" s="2" t="s">
        <v>9</v>
      </c>
      <c r="M2839" s="2" t="s">
        <v>20</v>
      </c>
      <c r="N2839" s="2" t="s">
        <v>26</v>
      </c>
      <c r="O2839" s="2" t="s">
        <v>12</v>
      </c>
      <c r="P2839" s="2" t="s">
        <v>28</v>
      </c>
      <c r="Q2839" s="2" t="s">
        <v>46</v>
      </c>
      <c r="R2839" s="2" t="s">
        <v>18</v>
      </c>
      <c r="S2839">
        <v>4</v>
      </c>
    </row>
    <row r="2840" spans="1:19" x14ac:dyDescent="0.3">
      <c r="A2840">
        <v>1940</v>
      </c>
      <c r="B2840">
        <f>YEAR(Cleaned_HR_Data_Analysis__2[[#This Row],[Joining_Date]])</f>
        <v>2023</v>
      </c>
      <c r="C2840" s="1">
        <v>45074</v>
      </c>
      <c r="D2840" s="1" t="str" cm="1">
        <f t="array" ref="D2840">_xlfn.IFS(E2840&lt;28, "17-27",
AND(E2840&gt;27, E2840&lt;38), "28-37",
AND(E2840&gt;37, E2840 &lt;48), "38-47",
AND(E2840&gt;47, E2840 &lt;58), "48-57",
AND(E2840&gt;57, E2840&lt;68), "58-67",
AND(E2840&gt;67, E2840&lt;78), "68-77",
E2840&gt;77,"Above than 77")</f>
        <v>Above than 77</v>
      </c>
      <c r="E2840">
        <v>81</v>
      </c>
      <c r="F2840" s="1">
        <v>15560</v>
      </c>
      <c r="G2840" s="1" t="str">
        <f>VLOOKUP(H2840,Table7[#All], 2, FALSE)</f>
        <v>Massachusetts</v>
      </c>
      <c r="H2840" s="2" t="s">
        <v>14</v>
      </c>
      <c r="I2840" s="2" t="s">
        <v>15</v>
      </c>
      <c r="J2840" s="2" t="s">
        <v>17</v>
      </c>
      <c r="K2840" s="2" t="s">
        <v>64</v>
      </c>
      <c r="L2840" s="2" t="s">
        <v>9</v>
      </c>
      <c r="M2840" s="2" t="s">
        <v>10</v>
      </c>
      <c r="N2840" s="2" t="s">
        <v>19</v>
      </c>
      <c r="O2840" s="2" t="s">
        <v>27</v>
      </c>
      <c r="P2840" s="2" t="s">
        <v>42</v>
      </c>
      <c r="Q2840" s="2" t="s">
        <v>46</v>
      </c>
      <c r="R2840" s="2" t="s">
        <v>18</v>
      </c>
      <c r="S2840">
        <v>4</v>
      </c>
    </row>
    <row r="2841" spans="1:19" x14ac:dyDescent="0.3">
      <c r="A2841">
        <v>1474</v>
      </c>
      <c r="B2841">
        <f>YEAR(Cleaned_HR_Data_Analysis__2[[#This Row],[Joining_Date]])</f>
        <v>2023</v>
      </c>
      <c r="C2841" s="1">
        <v>44958</v>
      </c>
      <c r="D2841" s="1" t="str" cm="1">
        <f t="array" ref="D2841">_xlfn.IFS(E2841&lt;28, "17-27",
AND(E2841&gt;27, E2841&lt;38), "28-37",
AND(E2841&gt;37, E2841 &lt;48), "38-47",
AND(E2841&gt;47, E2841 &lt;58), "48-57",
AND(E2841&gt;57, E2841&lt;68), "58-67",
AND(E2841&gt;67, E2841&lt;78), "68-77",
E2841&gt;77,"Above than 77")</f>
        <v>Above than 77</v>
      </c>
      <c r="E2841">
        <v>81</v>
      </c>
      <c r="F2841" s="1">
        <v>15535</v>
      </c>
      <c r="G2841" s="1" t="str">
        <f>VLOOKUP(H2841,Table7[#All], 2, FALSE)</f>
        <v>Massachusetts</v>
      </c>
      <c r="H2841" s="2" t="s">
        <v>14</v>
      </c>
      <c r="I2841" s="2" t="s">
        <v>15</v>
      </c>
      <c r="J2841" s="2" t="s">
        <v>34</v>
      </c>
      <c r="K2841" s="2" t="s">
        <v>64</v>
      </c>
      <c r="L2841" s="2" t="s">
        <v>66</v>
      </c>
      <c r="M2841" s="2" t="s">
        <v>25</v>
      </c>
      <c r="N2841" s="2" t="s">
        <v>11</v>
      </c>
      <c r="O2841" s="2" t="s">
        <v>12</v>
      </c>
      <c r="P2841" s="2" t="s">
        <v>42</v>
      </c>
      <c r="Q2841" s="2" t="s">
        <v>23</v>
      </c>
      <c r="R2841" s="2" t="s">
        <v>41</v>
      </c>
      <c r="S2841">
        <v>1</v>
      </c>
    </row>
    <row r="2842" spans="1:19" x14ac:dyDescent="0.3">
      <c r="A2842">
        <v>1149</v>
      </c>
      <c r="B2842">
        <f>YEAR(Cleaned_HR_Data_Analysis__2[[#This Row],[Joining_Date]])</f>
        <v>2022</v>
      </c>
      <c r="C2842" s="1">
        <v>44637</v>
      </c>
      <c r="D2842" s="1" t="str" cm="1">
        <f t="array" ref="D2842">_xlfn.IFS(E2842&lt;28, "17-27",
AND(E2842&gt;27, E2842&lt;38), "28-37",
AND(E2842&gt;37, E2842 &lt;48), "38-47",
AND(E2842&gt;47, E2842 &lt;58), "48-57",
AND(E2842&gt;57, E2842&lt;68), "58-67",
AND(E2842&gt;67, E2842&lt;78), "68-77",
E2842&gt;77,"Above than 77")</f>
        <v>Above than 77</v>
      </c>
      <c r="E2842">
        <v>81</v>
      </c>
      <c r="F2842" s="1">
        <v>15236</v>
      </c>
      <c r="G2842" s="1" t="str">
        <f>VLOOKUP(H2842,Table7[#All], 2, FALSE)</f>
        <v>Massachusetts</v>
      </c>
      <c r="H2842" s="2" t="s">
        <v>14</v>
      </c>
      <c r="I2842" s="2" t="s">
        <v>15</v>
      </c>
      <c r="J2842" s="2" t="s">
        <v>34</v>
      </c>
      <c r="K2842" s="2" t="s">
        <v>64</v>
      </c>
      <c r="L2842" s="2" t="s">
        <v>9</v>
      </c>
      <c r="M2842" s="2" t="s">
        <v>20</v>
      </c>
      <c r="N2842" s="2" t="s">
        <v>11</v>
      </c>
      <c r="O2842" s="2" t="s">
        <v>12</v>
      </c>
      <c r="P2842" s="2" t="s">
        <v>35</v>
      </c>
      <c r="Q2842" s="2" t="s">
        <v>46</v>
      </c>
      <c r="R2842" s="2" t="s">
        <v>18</v>
      </c>
      <c r="S2842">
        <v>2</v>
      </c>
    </row>
    <row r="2843" spans="1:19" x14ac:dyDescent="0.3">
      <c r="A2843">
        <v>3326</v>
      </c>
      <c r="B2843">
        <f>YEAR(Cleaned_HR_Data_Analysis__2[[#This Row],[Joining_Date]])</f>
        <v>2022</v>
      </c>
      <c r="C2843" s="1">
        <v>44575</v>
      </c>
      <c r="D2843" s="1" t="str" cm="1">
        <f t="array" ref="D2843">_xlfn.IFS(E2843&lt;28, "17-27",
AND(E2843&gt;27, E2843&lt;38), "28-37",
AND(E2843&gt;37, E2843 &lt;48), "38-47",
AND(E2843&gt;47, E2843 &lt;58), "48-57",
AND(E2843&gt;57, E2843&lt;68), "58-67",
AND(E2843&gt;67, E2843&lt;78), "68-77",
E2843&gt;77,"Above than 77")</f>
        <v>Above than 77</v>
      </c>
      <c r="E2843">
        <v>81</v>
      </c>
      <c r="F2843" s="1">
        <v>15222</v>
      </c>
      <c r="G2843" s="1" t="str">
        <f>VLOOKUP(H2843,Table7[#All], 2, FALSE)</f>
        <v>Massachusetts</v>
      </c>
      <c r="H2843" s="2" t="s">
        <v>14</v>
      </c>
      <c r="I2843" s="2" t="s">
        <v>22</v>
      </c>
      <c r="J2843" s="2" t="s">
        <v>40</v>
      </c>
      <c r="K2843" s="2" t="s">
        <v>8</v>
      </c>
      <c r="L2843" s="2" t="s">
        <v>9</v>
      </c>
      <c r="M2843" s="2" t="s">
        <v>10</v>
      </c>
      <c r="N2843" s="2" t="s">
        <v>19</v>
      </c>
      <c r="O2843" s="2" t="s">
        <v>12</v>
      </c>
      <c r="P2843" s="2" t="s">
        <v>32</v>
      </c>
      <c r="Q2843" s="2" t="s">
        <v>23</v>
      </c>
      <c r="R2843" s="2" t="s">
        <v>18</v>
      </c>
      <c r="S2843">
        <v>1</v>
      </c>
    </row>
    <row r="2844" spans="1:19" x14ac:dyDescent="0.3">
      <c r="A2844">
        <v>2060</v>
      </c>
      <c r="B2844">
        <f>YEAR(Cleaned_HR_Data_Analysis__2[[#This Row],[Joining_Date]])</f>
        <v>2023</v>
      </c>
      <c r="C2844" s="1">
        <v>44952</v>
      </c>
      <c r="D2844" s="1" t="str" cm="1">
        <f t="array" ref="D2844">_xlfn.IFS(E2844&lt;28, "17-27",
AND(E2844&gt;27, E2844&lt;38), "28-37",
AND(E2844&gt;37, E2844 &lt;48), "38-47",
AND(E2844&gt;47, E2844 &lt;58), "48-57",
AND(E2844&gt;57, E2844&lt;68), "58-67",
AND(E2844&gt;67, E2844&lt;78), "68-77",
E2844&gt;77,"Above than 77")</f>
        <v>Above than 77</v>
      </c>
      <c r="E2844">
        <v>81</v>
      </c>
      <c r="F2844" s="1">
        <v>15602</v>
      </c>
      <c r="G2844" s="1" t="str">
        <f>VLOOKUP(H2844,Table7[#All], 2, FALSE)</f>
        <v>Massachusetts</v>
      </c>
      <c r="H2844" s="2" t="s">
        <v>14</v>
      </c>
      <c r="I2844" s="2" t="s">
        <v>15</v>
      </c>
      <c r="J2844" s="2" t="s">
        <v>40</v>
      </c>
      <c r="K2844" s="2" t="s">
        <v>8</v>
      </c>
      <c r="L2844" s="2" t="s">
        <v>9</v>
      </c>
      <c r="M2844" s="2" t="s">
        <v>20</v>
      </c>
      <c r="N2844" s="2" t="s">
        <v>11</v>
      </c>
      <c r="O2844" s="2" t="s">
        <v>12</v>
      </c>
      <c r="P2844" s="2" t="s">
        <v>35</v>
      </c>
      <c r="Q2844" s="2" t="s">
        <v>46</v>
      </c>
      <c r="R2844" s="2" t="s">
        <v>18</v>
      </c>
      <c r="S2844">
        <v>5</v>
      </c>
    </row>
    <row r="2845" spans="1:19" x14ac:dyDescent="0.3">
      <c r="A2845">
        <v>1655</v>
      </c>
      <c r="B2845">
        <f>YEAR(Cleaned_HR_Data_Analysis__2[[#This Row],[Joining_Date]])</f>
        <v>2023</v>
      </c>
      <c r="C2845" s="1">
        <v>45125</v>
      </c>
      <c r="D2845" s="1" t="str" cm="1">
        <f t="array" ref="D2845">_xlfn.IFS(E2845&lt;28, "17-27",
AND(E2845&gt;27, E2845&lt;38), "28-37",
AND(E2845&gt;37, E2845 &lt;48), "38-47",
AND(E2845&gt;47, E2845 &lt;58), "48-57",
AND(E2845&gt;57, E2845&lt;68), "58-67",
AND(E2845&gt;67, E2845&lt;78), "68-77",
E2845&gt;77,"Above than 77")</f>
        <v>Above than 77</v>
      </c>
      <c r="E2845">
        <v>81</v>
      </c>
      <c r="F2845" s="1">
        <v>15585</v>
      </c>
      <c r="G2845" s="1" t="str">
        <f>VLOOKUP(H2845,Table7[#All], 2, FALSE)</f>
        <v>Massachusetts</v>
      </c>
      <c r="H2845" s="2" t="s">
        <v>14</v>
      </c>
      <c r="I2845" s="2" t="s">
        <v>22</v>
      </c>
      <c r="J2845" s="2" t="s">
        <v>34</v>
      </c>
      <c r="K2845" s="2" t="s">
        <v>24</v>
      </c>
      <c r="L2845" s="2" t="s">
        <v>9</v>
      </c>
      <c r="M2845" s="2" t="s">
        <v>20</v>
      </c>
      <c r="N2845" s="2" t="s">
        <v>19</v>
      </c>
      <c r="O2845" s="2" t="s">
        <v>53</v>
      </c>
      <c r="P2845" s="2" t="s">
        <v>59</v>
      </c>
      <c r="Q2845" s="2" t="s">
        <v>37</v>
      </c>
      <c r="R2845" s="2" t="s">
        <v>18</v>
      </c>
      <c r="S2845">
        <v>1</v>
      </c>
    </row>
    <row r="2846" spans="1:19" x14ac:dyDescent="0.3">
      <c r="A2846">
        <v>1095</v>
      </c>
      <c r="B2846">
        <f>YEAR(Cleaned_HR_Data_Analysis__2[[#This Row],[Joining_Date]])</f>
        <v>2023</v>
      </c>
      <c r="C2846" s="1">
        <v>45023</v>
      </c>
      <c r="D2846" s="1" t="str" cm="1">
        <f t="array" ref="D2846">_xlfn.IFS(E2846&lt;28, "17-27",
AND(E2846&gt;27, E2846&lt;38), "28-37",
AND(E2846&gt;37, E2846 &lt;48), "38-47",
AND(E2846&gt;47, E2846 &lt;58), "48-57",
AND(E2846&gt;57, E2846&lt;68), "58-67",
AND(E2846&gt;67, E2846&lt;78), "68-77",
E2846&gt;77,"Above than 77")</f>
        <v>Above than 77</v>
      </c>
      <c r="E2846">
        <v>82</v>
      </c>
      <c r="F2846" s="1">
        <v>15308</v>
      </c>
      <c r="G2846" s="1" t="str">
        <f>VLOOKUP(H2846,Table7[#All], 2, FALSE)</f>
        <v>Massachusetts</v>
      </c>
      <c r="H2846" s="2" t="s">
        <v>14</v>
      </c>
      <c r="I2846" s="2" t="s">
        <v>15</v>
      </c>
      <c r="J2846" s="2" t="s">
        <v>40</v>
      </c>
      <c r="K2846" s="2" t="s">
        <v>64</v>
      </c>
      <c r="L2846" s="2" t="s">
        <v>9</v>
      </c>
      <c r="M2846" s="2" t="s">
        <v>25</v>
      </c>
      <c r="N2846" s="2" t="s">
        <v>19</v>
      </c>
      <c r="O2846" s="2" t="s">
        <v>12</v>
      </c>
      <c r="P2846" s="2" t="s">
        <v>42</v>
      </c>
      <c r="Q2846" s="2" t="s">
        <v>23</v>
      </c>
      <c r="R2846" s="2" t="s">
        <v>18</v>
      </c>
      <c r="S2846">
        <v>2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B7F1-7873-4EB9-AE68-133DF5FDCA3A}">
  <dimension ref="B2:N23"/>
  <sheetViews>
    <sheetView showGridLines="0" workbookViewId="0">
      <selection activeCell="J17" sqref="J17"/>
    </sheetView>
  </sheetViews>
  <sheetFormatPr defaultRowHeight="14.4" x14ac:dyDescent="0.3"/>
  <cols>
    <col min="2" max="2" width="34.44140625" bestFit="1" customWidth="1"/>
    <col min="6" max="6" width="14.6640625" customWidth="1"/>
    <col min="7" max="7" width="26.33203125" bestFit="1" customWidth="1"/>
    <col min="9" max="9" width="25.6640625" bestFit="1" customWidth="1"/>
    <col min="10" max="10" width="16.21875" customWidth="1"/>
    <col min="12" max="12" width="6.88671875" bestFit="1" customWidth="1"/>
    <col min="13" max="13" width="22" bestFit="1" customWidth="1"/>
    <col min="14" max="14" width="7.77734375" bestFit="1" customWidth="1"/>
    <col min="15" max="15" width="15.88671875" bestFit="1" customWidth="1"/>
    <col min="16" max="16" width="12.5546875" bestFit="1" customWidth="1"/>
    <col min="17" max="17" width="20.109375" bestFit="1" customWidth="1"/>
    <col min="18" max="2861" width="5" bestFit="1" customWidth="1"/>
    <col min="2862" max="2862" width="10.77734375" bestFit="1" customWidth="1"/>
  </cols>
  <sheetData>
    <row r="2" spans="2:14" x14ac:dyDescent="0.3">
      <c r="L2" t="s">
        <v>234</v>
      </c>
    </row>
    <row r="3" spans="2:14" x14ac:dyDescent="0.3">
      <c r="B3" s="10" t="s">
        <v>217</v>
      </c>
      <c r="C3" s="10" t="s">
        <v>232</v>
      </c>
      <c r="F3" s="10" t="s">
        <v>207</v>
      </c>
      <c r="G3" s="10" t="s">
        <v>208</v>
      </c>
      <c r="I3" s="10" t="s">
        <v>209</v>
      </c>
      <c r="J3" s="10" t="s">
        <v>208</v>
      </c>
      <c r="L3" s="11" t="s">
        <v>210</v>
      </c>
      <c r="M3" t="s">
        <v>235</v>
      </c>
    </row>
    <row r="4" spans="2:14" x14ac:dyDescent="0.3">
      <c r="B4" t="s">
        <v>218</v>
      </c>
      <c r="C4">
        <f>COUNT(Cleaned_HR_Data_Analysis__2[Employee_ID])</f>
        <v>2845</v>
      </c>
      <c r="F4" t="str" cm="1">
        <f t="array" ref="F4:F10">_xlfn.UNIQUE(Cleaned_HR_Data_Analysis__2[Age Range])</f>
        <v>17-27</v>
      </c>
      <c r="G4">
        <f>COUNTIF(Cleaned_HR_Data_Analysis__2[Age Range],'3. Insights'!F4)</f>
        <v>407</v>
      </c>
      <c r="I4" t="str" cm="1">
        <f t="array" ref="I4:I6">_xlfn.UNIQUE(Cleaned_HR_Data_Analysis__2[PayZone])</f>
        <v>Zone A</v>
      </c>
      <c r="J4">
        <f>COUNTIF(Cleaned_HR_Data_Analysis__2[PayZone],'3. Insights'!I4)</f>
        <v>1013</v>
      </c>
      <c r="L4" s="9" t="s">
        <v>226</v>
      </c>
      <c r="M4" s="2">
        <v>248</v>
      </c>
    </row>
    <row r="5" spans="2:14" x14ac:dyDescent="0.3">
      <c r="B5" t="s">
        <v>220</v>
      </c>
      <c r="C5">
        <f>COUNTIF(Cleaned_HR_Data_Analysis__2[Employee_Status], "Terminated")</f>
        <v>387</v>
      </c>
      <c r="F5" t="str">
        <v>28-37</v>
      </c>
      <c r="G5">
        <f>COUNTIF(Cleaned_HR_Data_Analysis__2[Age Range],'3. Insights'!F5)</f>
        <v>453</v>
      </c>
      <c r="I5" t="str">
        <v>Zone C</v>
      </c>
      <c r="J5">
        <f>COUNTIF(Cleaned_HR_Data_Analysis__2[PayZone],'3. Insights'!I5)</f>
        <v>898</v>
      </c>
      <c r="L5" s="9" t="s">
        <v>227</v>
      </c>
      <c r="M5" s="2">
        <v>560</v>
      </c>
    </row>
    <row r="6" spans="2:14" x14ac:dyDescent="0.3">
      <c r="B6" t="s">
        <v>219</v>
      </c>
      <c r="C6">
        <f>COUNTIF(Cleaned_HR_Data_Analysis__2[Employee_Status], "Active")</f>
        <v>2458</v>
      </c>
      <c r="F6" t="str">
        <v>38-47</v>
      </c>
      <c r="G6">
        <f>COUNTIF(Cleaned_HR_Data_Analysis__2[Age Range],'3. Insights'!F6)</f>
        <v>490</v>
      </c>
      <c r="I6" t="str">
        <v>Zone B</v>
      </c>
      <c r="J6">
        <f>COUNTIF(Cleaned_HR_Data_Analysis__2[PayZone],'3. Insights'!I6)</f>
        <v>934</v>
      </c>
      <c r="L6" s="9" t="s">
        <v>228</v>
      </c>
      <c r="M6" s="2">
        <v>560</v>
      </c>
    </row>
    <row r="7" spans="2:14" x14ac:dyDescent="0.3">
      <c r="B7" t="s">
        <v>221</v>
      </c>
      <c r="C7">
        <f>COUNTIF(Cleaned_HR_Data_Analysis__2[GenderCode], "Male")</f>
        <v>1257</v>
      </c>
      <c r="F7" t="str">
        <v>48-57</v>
      </c>
      <c r="G7">
        <f>COUNTIF(Cleaned_HR_Data_Analysis__2[Age Range],'3. Insights'!F7)</f>
        <v>410</v>
      </c>
      <c r="L7" s="9" t="s">
        <v>229</v>
      </c>
      <c r="M7" s="2">
        <v>564</v>
      </c>
    </row>
    <row r="8" spans="2:14" x14ac:dyDescent="0.3">
      <c r="B8" t="s">
        <v>222</v>
      </c>
      <c r="C8">
        <f>COUNTIF(Cleaned_HR_Data_Analysis__2[GenderCode], "Female")</f>
        <v>1588</v>
      </c>
      <c r="F8" t="str">
        <v>58-67</v>
      </c>
      <c r="G8">
        <f>COUNTIF(Cleaned_HR_Data_Analysis__2[Age Range],'3. Insights'!F8)</f>
        <v>503</v>
      </c>
      <c r="L8" s="9" t="s">
        <v>230</v>
      </c>
      <c r="M8" s="2">
        <v>594</v>
      </c>
    </row>
    <row r="9" spans="2:14" x14ac:dyDescent="0.3">
      <c r="B9" t="s">
        <v>223</v>
      </c>
      <c r="C9">
        <f>COUNTIF(Cleaned_HR_Data_Analysis__2[Joining Year],"2023")</f>
        <v>319</v>
      </c>
      <c r="F9" t="str">
        <v>68-77</v>
      </c>
      <c r="G9">
        <f>COUNTIF(Cleaned_HR_Data_Analysis__2[Age Range],'3. Insights'!F9)</f>
        <v>486</v>
      </c>
      <c r="L9" s="9" t="s">
        <v>231</v>
      </c>
      <c r="M9" s="2">
        <v>319</v>
      </c>
    </row>
    <row r="10" spans="2:14" x14ac:dyDescent="0.3">
      <c r="F10" t="str">
        <v>Above than 77</v>
      </c>
      <c r="G10">
        <f>COUNTIF(Cleaned_HR_Data_Analysis__2[Age Range],'3. Insights'!F10)</f>
        <v>96</v>
      </c>
    </row>
    <row r="15" spans="2:14" x14ac:dyDescent="0.3">
      <c r="I15" t="s">
        <v>211</v>
      </c>
      <c r="J15" s="10" t="s">
        <v>213</v>
      </c>
    </row>
    <row r="16" spans="2:14" x14ac:dyDescent="0.3">
      <c r="B16" t="s">
        <v>211</v>
      </c>
      <c r="C16" s="10" t="s">
        <v>224</v>
      </c>
      <c r="F16" s="10" t="s">
        <v>207</v>
      </c>
      <c r="G16" s="10" t="s">
        <v>211</v>
      </c>
      <c r="I16" s="10" t="s">
        <v>212</v>
      </c>
      <c r="J16" s="10" t="str" cm="1">
        <f t="array" ref="J16:N16">TRANSPOSE(_xlfn.UNIQUE(Cleaned_HR_Data_Analysis__2[Race]))</f>
        <v>Black</v>
      </c>
      <c r="K16" s="10" t="str">
        <v>Other</v>
      </c>
      <c r="L16" s="10" t="str">
        <v>Asian</v>
      </c>
      <c r="M16" s="10" t="str">
        <v>White</v>
      </c>
      <c r="N16" s="10" t="str">
        <v>Hispanic</v>
      </c>
    </row>
    <row r="17" spans="2:14" x14ac:dyDescent="0.3">
      <c r="B17" s="10" t="s">
        <v>225</v>
      </c>
      <c r="C17" s="10" t="str" cm="1">
        <f t="array" ref="C17:D17">TRANSPOSE(_xlfn.UNIQUE(Cleaned_HR_Data_Analysis__2[GenderCode]))</f>
        <v>Female</v>
      </c>
      <c r="D17" s="10" t="str">
        <v>Male</v>
      </c>
      <c r="F17" t="str" cm="1">
        <f t="array" ref="F17:F23">_xlfn.UNIQUE(Cleaned_HR_Data_Analysis__2[Age Range])</f>
        <v>17-27</v>
      </c>
      <c r="G17">
        <f>COUNTIFS(Cleaned_HR_Data_Analysis__2[Age Range], F17,Cleaned_HR_Data_Analysis__2[Employee_Status], "Terminated")</f>
        <v>53</v>
      </c>
      <c r="I17" t="str" cm="1">
        <f t="array" ref="I17:I19">_xlfn.UNIQUE(Cleaned_HR_Data_Analysis__2[Job_Type])</f>
        <v>Part-Time</v>
      </c>
      <c r="J17" cm="1">
        <f t="array" ref="J17">COUNTIFS(Cleaned_HR_Data_Analysis__2[Job_Type], $I17,
Cleaned_HR_Data_Analysis__2[Race], TRANSPOSE(J$16),
Cleaned_HR_Data_Analysis__2[Employee_Status],"Terminated")</f>
        <v>21</v>
      </c>
      <c r="K17" cm="1">
        <f t="array" ref="K17">COUNTIFS(Cleaned_HR_Data_Analysis__2[PayZone], $I17,
Cleaned_HR_Data_Analysis__2[Performance_Score], TRANSPOSE(K$16),
Cleaned_HR_Data_Analysis__2[Job_Type],"Terminated")</f>
        <v>0</v>
      </c>
      <c r="L17" cm="1">
        <f t="array" ref="L17">COUNTIFS(Cleaned_HR_Data_Analysis__2[DepartmentType], $I17,
Cleaned_HR_Data_Analysis__2[Satisfaction_Score], TRANSPOSE(L$16),
Cleaned_HR_Data_Analysis__2[PayZone],"Terminated")</f>
        <v>0</v>
      </c>
      <c r="M17" cm="1">
        <f t="array" ref="M17">COUNTIFS(Cleaned_HR_Data_Analysis__2[Division], $I17,
Cleaned_HR_Data_Analysis__2[Employee_ID], TRANSPOSE(M$16),
Cleaned_HR_Data_Analysis__2[DepartmentType],"Terminated")</f>
        <v>0</v>
      </c>
      <c r="N17" cm="1">
        <f t="array" ref="N17">COUNTIFS(Cleaned_HR_Data_Analysis__2[Race], $I17,
Cleaned_HR_Data_Analysis__2[Joining Year], TRANSPOSE(N$16),
Cleaned_HR_Data_Analysis__2[Division],"Terminated")</f>
        <v>0</v>
      </c>
    </row>
    <row r="18" spans="2:14" x14ac:dyDescent="0.3">
      <c r="B18" t="str" cm="1">
        <f t="array" ref="B18:B23">_xlfn.UNIQUE(Cleaned_HR_Data_Analysis__2[DepartmentType])</f>
        <v xml:space="preserve">Production       </v>
      </c>
      <c r="C18" cm="1">
        <f t="array" ref="C18:D18">COUNTIFS(Cleaned_HR_Data_Analysis__2[DepartmentType], B18, Cleaned_HR_Data_Analysis__2[GenderCode],_xlfn.ANCHORARRAY( '3. Insights'!C$17))</f>
        <v>1190</v>
      </c>
      <c r="D18">
        <v>720</v>
      </c>
      <c r="F18" t="str">
        <v>28-37</v>
      </c>
      <c r="G18">
        <f>COUNTIFS(Cleaned_HR_Data_Analysis__2[Age Range], F18,Cleaned_HR_Data_Analysis__2[Employee_Status], "Terminated")</f>
        <v>66</v>
      </c>
      <c r="I18" t="str">
        <v>Full-Time</v>
      </c>
      <c r="J18" cm="1">
        <f t="array" ref="J18">COUNTIFS(Cleaned_HR_Data_Analysis__2[Job_Type], $I18,
Cleaned_HR_Data_Analysis__2[Race], TRANSPOSE(J$16),
Cleaned_HR_Data_Analysis__2[Employee_Status],"Terminated")</f>
        <v>23</v>
      </c>
      <c r="K18" cm="1">
        <f t="array" ref="K18">COUNTIFS(Cleaned_HR_Data_Analysis__2[PayZone], $I18,
Cleaned_HR_Data_Analysis__2[Performance_Score], TRANSPOSE(K$16),
Cleaned_HR_Data_Analysis__2[Job_Type],"Terminated")</f>
        <v>0</v>
      </c>
      <c r="L18" cm="1">
        <f t="array" ref="L18">COUNTIFS(Cleaned_HR_Data_Analysis__2[DepartmentType], $I18,
Cleaned_HR_Data_Analysis__2[Satisfaction_Score], TRANSPOSE(L$16),
Cleaned_HR_Data_Analysis__2[PayZone],"Terminated")</f>
        <v>0</v>
      </c>
      <c r="M18" cm="1">
        <f t="array" ref="M18">COUNTIFS(Cleaned_HR_Data_Analysis__2[Division], $I18,
Cleaned_HR_Data_Analysis__2[Employee_ID], TRANSPOSE(M$16),
Cleaned_HR_Data_Analysis__2[DepartmentType],"Terminated")</f>
        <v>0</v>
      </c>
      <c r="N18" cm="1">
        <f t="array" ref="N18">COUNTIFS(Cleaned_HR_Data_Analysis__2[Race], $I18,
Cleaned_HR_Data_Analysis__2[Joining Year], TRANSPOSE(N$16),
Cleaned_HR_Data_Analysis__2[Division],"Terminated")</f>
        <v>0</v>
      </c>
    </row>
    <row r="19" spans="2:14" x14ac:dyDescent="0.3">
      <c r="B19" t="str">
        <v>IT/IS</v>
      </c>
      <c r="C19" cm="1">
        <f t="array" ref="C19:D19">COUNTIFS(Cleaned_HR_Data_Analysis__2[DepartmentType], B19, Cleaned_HR_Data_Analysis__2[GenderCode],_xlfn.ANCHORARRAY( '3. Insights'!C$17))</f>
        <v>199</v>
      </c>
      <c r="D19">
        <v>210</v>
      </c>
      <c r="F19" t="str">
        <v>38-47</v>
      </c>
      <c r="G19">
        <f>COUNTIFS(Cleaned_HR_Data_Analysis__2[Age Range], F19,Cleaned_HR_Data_Analysis__2[Employee_Status], "Terminated")</f>
        <v>67</v>
      </c>
      <c r="I19" t="str">
        <v>Contract</v>
      </c>
      <c r="J19" cm="1">
        <f t="array" ref="J19">COUNTIFS(Cleaned_HR_Data_Analysis__2[Job_Type], $I19,
Cleaned_HR_Data_Analysis__2[Race], TRANSPOSE(J$16),
Cleaned_HR_Data_Analysis__2[Employee_Status],"Terminated")</f>
        <v>25</v>
      </c>
      <c r="K19" cm="1">
        <f t="array" ref="K19">COUNTIFS(Cleaned_HR_Data_Analysis__2[PayZone], $I19,
Cleaned_HR_Data_Analysis__2[Performance_Score], TRANSPOSE(K$16),
Cleaned_HR_Data_Analysis__2[Job_Type],"Terminated")</f>
        <v>0</v>
      </c>
      <c r="L19" cm="1">
        <f t="array" ref="L19">COUNTIFS(Cleaned_HR_Data_Analysis__2[DepartmentType], $I19,
Cleaned_HR_Data_Analysis__2[Satisfaction_Score], TRANSPOSE(L$16),
Cleaned_HR_Data_Analysis__2[PayZone],"Terminated")</f>
        <v>0</v>
      </c>
      <c r="M19" cm="1">
        <f t="array" ref="M19">COUNTIFS(Cleaned_HR_Data_Analysis__2[Division], $I19,
Cleaned_HR_Data_Analysis__2[Employee_ID], TRANSPOSE(M$16),
Cleaned_HR_Data_Analysis__2[DepartmentType],"Terminated")</f>
        <v>0</v>
      </c>
      <c r="N19" cm="1">
        <f t="array" ref="N19">COUNTIFS(Cleaned_HR_Data_Analysis__2[Race], $I19,
Cleaned_HR_Data_Analysis__2[Joining Year], TRANSPOSE(N$16),
Cleaned_HR_Data_Analysis__2[Division],"Terminated")</f>
        <v>0</v>
      </c>
    </row>
    <row r="20" spans="2:14" x14ac:dyDescent="0.3">
      <c r="B20" t="str">
        <v>Sales</v>
      </c>
      <c r="C20" cm="1">
        <f t="array" ref="C20:D20">COUNTIFS(Cleaned_HR_Data_Analysis__2[DepartmentType], B20, Cleaned_HR_Data_Analysis__2[GenderCode],_xlfn.ANCHORARRAY( '3. Insights'!C$17))</f>
        <v>109</v>
      </c>
      <c r="D20">
        <v>202</v>
      </c>
      <c r="F20" t="str">
        <v>48-57</v>
      </c>
      <c r="G20">
        <f>COUNTIFS(Cleaned_HR_Data_Analysis__2[Age Range], F20,Cleaned_HR_Data_Analysis__2[Employee_Status], "Terminated")</f>
        <v>56</v>
      </c>
    </row>
    <row r="21" spans="2:14" x14ac:dyDescent="0.3">
      <c r="B21" t="str">
        <v>Software Engineering</v>
      </c>
      <c r="C21" cm="1">
        <f t="array" ref="C21:D21">COUNTIFS(Cleaned_HR_Data_Analysis__2[DepartmentType], B21, Cleaned_HR_Data_Analysis__2[GenderCode],_xlfn.ANCHORARRAY( '3. Insights'!C$17))</f>
        <v>46</v>
      </c>
      <c r="D21">
        <v>66</v>
      </c>
      <c r="F21" t="str">
        <v>58-67</v>
      </c>
      <c r="G21">
        <f>COUNTIFS(Cleaned_HR_Data_Analysis__2[Age Range], F21,Cleaned_HR_Data_Analysis__2[Employee_Status], "Terminated")</f>
        <v>65</v>
      </c>
    </row>
    <row r="22" spans="2:14" x14ac:dyDescent="0.3">
      <c r="B22" t="str">
        <v>Admin Offices</v>
      </c>
      <c r="C22" cm="1">
        <f t="array" ref="C22:D22">COUNTIFS(Cleaned_HR_Data_Analysis__2[DepartmentType], B22, Cleaned_HR_Data_Analysis__2[GenderCode],_xlfn.ANCHORARRAY( '3. Insights'!C$17))</f>
        <v>43</v>
      </c>
      <c r="D22">
        <v>36</v>
      </c>
      <c r="F22" t="str">
        <v>68-77</v>
      </c>
      <c r="G22">
        <f>COUNTIFS(Cleaned_HR_Data_Analysis__2[Age Range], F22,Cleaned_HR_Data_Analysis__2[Employee_Status], "Terminated")</f>
        <v>73</v>
      </c>
    </row>
    <row r="23" spans="2:14" x14ac:dyDescent="0.3">
      <c r="B23" t="str">
        <v>Executive Office</v>
      </c>
      <c r="C23" cm="1">
        <f t="array" ref="C23:D23">COUNTIFS(Cleaned_HR_Data_Analysis__2[DepartmentType], B23, Cleaned_HR_Data_Analysis__2[GenderCode],_xlfn.ANCHORARRAY( '3. Insights'!C$17))</f>
        <v>1</v>
      </c>
      <c r="D23">
        <v>23</v>
      </c>
      <c r="F23" t="str">
        <v>Above than 77</v>
      </c>
      <c r="G23">
        <f>COUNTIFS(Cleaned_HR_Data_Analysis__2[Age Range], F23,Cleaned_HR_Data_Analysis__2[Employee_Status], "Terminated")</f>
        <v>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9012-7688-4D36-BF74-700D506E80BB}">
  <dimension ref="A1"/>
  <sheetViews>
    <sheetView showGridLines="0" showRowColHeaders="0" zoomScaleNormal="100" workbookViewId="0">
      <selection activeCell="X3" sqref="X3"/>
    </sheetView>
  </sheetViews>
  <sheetFormatPr defaultRowHeight="14.4" x14ac:dyDescent="0.3"/>
  <sheetData>
    <row r="1" spans="1:1" x14ac:dyDescent="0.3">
      <c r="A1" t="s">
        <v>0</v>
      </c>
    </row>
  </sheetData>
  <pageMargins left="0.51181102362204722" right="0" top="0.55118110236220474" bottom="2.9527559055118111" header="0.31496062992125984" footer="1.4960629921259843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C0B6-C78B-4328-9ECA-E406BEC95935}">
  <dimension ref="A1:B51"/>
  <sheetViews>
    <sheetView tabSelected="1" workbookViewId="0">
      <selection activeCell="A2" sqref="A2"/>
    </sheetView>
  </sheetViews>
  <sheetFormatPr defaultRowHeight="14.4" x14ac:dyDescent="0.3"/>
  <cols>
    <col min="1" max="1" width="17.44140625" bestFit="1" customWidth="1"/>
    <col min="2" max="2" width="30.6640625" customWidth="1"/>
    <col min="4" max="4" width="17" customWidth="1"/>
  </cols>
  <sheetData>
    <row r="1" spans="1:2" x14ac:dyDescent="0.3">
      <c r="A1" s="7" t="s">
        <v>134</v>
      </c>
      <c r="B1" s="8" t="s">
        <v>215</v>
      </c>
    </row>
    <row r="2" spans="1:2" x14ac:dyDescent="0.3">
      <c r="A2" s="4" t="s">
        <v>116</v>
      </c>
      <c r="B2" s="3" t="s">
        <v>135</v>
      </c>
    </row>
    <row r="3" spans="1:2" x14ac:dyDescent="0.3">
      <c r="A3" s="6" t="s">
        <v>185</v>
      </c>
      <c r="B3" s="5" t="s">
        <v>136</v>
      </c>
    </row>
    <row r="4" spans="1:2" x14ac:dyDescent="0.3">
      <c r="A4" s="4" t="s">
        <v>114</v>
      </c>
      <c r="B4" s="3" t="s">
        <v>137</v>
      </c>
    </row>
    <row r="5" spans="1:2" x14ac:dyDescent="0.3">
      <c r="A5" s="6" t="s">
        <v>186</v>
      </c>
      <c r="B5" s="5" t="s">
        <v>138</v>
      </c>
    </row>
    <row r="6" spans="1:2" x14ac:dyDescent="0.3">
      <c r="A6" s="4" t="s">
        <v>39</v>
      </c>
      <c r="B6" s="3" t="s">
        <v>139</v>
      </c>
    </row>
    <row r="7" spans="1:2" x14ac:dyDescent="0.3">
      <c r="A7" s="6" t="s">
        <v>50</v>
      </c>
      <c r="B7" s="5" t="s">
        <v>140</v>
      </c>
    </row>
    <row r="8" spans="1:2" x14ac:dyDescent="0.3">
      <c r="A8" s="4" t="s">
        <v>36</v>
      </c>
      <c r="B8" s="3" t="s">
        <v>141</v>
      </c>
    </row>
    <row r="9" spans="1:2" x14ac:dyDescent="0.3">
      <c r="A9" s="6" t="s">
        <v>187</v>
      </c>
      <c r="B9" s="5" t="s">
        <v>142</v>
      </c>
    </row>
    <row r="10" spans="1:2" x14ac:dyDescent="0.3">
      <c r="A10" s="4" t="s">
        <v>33</v>
      </c>
      <c r="B10" s="3" t="s">
        <v>143</v>
      </c>
    </row>
    <row r="11" spans="1:2" x14ac:dyDescent="0.3">
      <c r="A11" s="6" t="s">
        <v>48</v>
      </c>
      <c r="B11" s="5" t="s">
        <v>144</v>
      </c>
    </row>
    <row r="12" spans="1:2" x14ac:dyDescent="0.3">
      <c r="A12" s="4" t="s">
        <v>188</v>
      </c>
      <c r="B12" s="3" t="s">
        <v>145</v>
      </c>
    </row>
    <row r="13" spans="1:2" x14ac:dyDescent="0.3">
      <c r="A13" s="6" t="s">
        <v>111</v>
      </c>
      <c r="B13" s="5" t="s">
        <v>146</v>
      </c>
    </row>
    <row r="14" spans="1:2" x14ac:dyDescent="0.3">
      <c r="A14" s="4" t="s">
        <v>189</v>
      </c>
      <c r="B14" s="3" t="s">
        <v>147</v>
      </c>
    </row>
    <row r="15" spans="1:2" x14ac:dyDescent="0.3">
      <c r="A15" s="6" t="s">
        <v>47</v>
      </c>
      <c r="B15" s="5" t="s">
        <v>148</v>
      </c>
    </row>
    <row r="16" spans="1:2" x14ac:dyDescent="0.3">
      <c r="A16" s="4" t="s">
        <v>190</v>
      </c>
      <c r="B16" s="3" t="s">
        <v>149</v>
      </c>
    </row>
    <row r="17" spans="1:2" x14ac:dyDescent="0.3">
      <c r="A17" s="6" t="s">
        <v>191</v>
      </c>
      <c r="B17" s="5" t="s">
        <v>150</v>
      </c>
    </row>
    <row r="18" spans="1:2" x14ac:dyDescent="0.3">
      <c r="A18" s="4" t="s">
        <v>51</v>
      </c>
      <c r="B18" s="3" t="s">
        <v>151</v>
      </c>
    </row>
    <row r="19" spans="1:2" x14ac:dyDescent="0.3">
      <c r="A19" s="6" t="s">
        <v>192</v>
      </c>
      <c r="B19" s="5" t="s">
        <v>152</v>
      </c>
    </row>
    <row r="20" spans="1:2" x14ac:dyDescent="0.3">
      <c r="A20" s="4" t="s">
        <v>119</v>
      </c>
      <c r="B20" s="3" t="s">
        <v>153</v>
      </c>
    </row>
    <row r="21" spans="1:2" x14ac:dyDescent="0.3">
      <c r="A21" s="6" t="s">
        <v>193</v>
      </c>
      <c r="B21" s="5" t="s">
        <v>154</v>
      </c>
    </row>
    <row r="22" spans="1:2" x14ac:dyDescent="0.3">
      <c r="A22" s="4" t="s">
        <v>14</v>
      </c>
      <c r="B22" s="3" t="s">
        <v>155</v>
      </c>
    </row>
    <row r="23" spans="1:2" x14ac:dyDescent="0.3">
      <c r="A23" s="6" t="s">
        <v>194</v>
      </c>
      <c r="B23" s="5" t="s">
        <v>156</v>
      </c>
    </row>
    <row r="24" spans="1:2" x14ac:dyDescent="0.3">
      <c r="A24" s="4" t="s">
        <v>195</v>
      </c>
      <c r="B24" s="3" t="s">
        <v>157</v>
      </c>
    </row>
    <row r="25" spans="1:2" x14ac:dyDescent="0.3">
      <c r="A25" s="6" t="s">
        <v>196</v>
      </c>
      <c r="B25" s="5" t="s">
        <v>158</v>
      </c>
    </row>
    <row r="26" spans="1:2" x14ac:dyDescent="0.3">
      <c r="A26" s="4" t="s">
        <v>197</v>
      </c>
      <c r="B26" s="3" t="s">
        <v>159</v>
      </c>
    </row>
    <row r="27" spans="1:2" x14ac:dyDescent="0.3">
      <c r="A27" s="6" t="s">
        <v>112</v>
      </c>
      <c r="B27" s="5" t="s">
        <v>160</v>
      </c>
    </row>
    <row r="28" spans="1:2" x14ac:dyDescent="0.3">
      <c r="A28" s="4" t="s">
        <v>198</v>
      </c>
      <c r="B28" s="3" t="s">
        <v>161</v>
      </c>
    </row>
    <row r="29" spans="1:2" x14ac:dyDescent="0.3">
      <c r="A29" s="6" t="s">
        <v>52</v>
      </c>
      <c r="B29" s="5" t="s">
        <v>162</v>
      </c>
    </row>
    <row r="30" spans="1:2" x14ac:dyDescent="0.3">
      <c r="A30" s="4" t="s">
        <v>115</v>
      </c>
      <c r="B30" s="3" t="s">
        <v>163</v>
      </c>
    </row>
    <row r="31" spans="1:2" x14ac:dyDescent="0.3">
      <c r="A31" s="6" t="s">
        <v>199</v>
      </c>
      <c r="B31" s="5" t="s">
        <v>164</v>
      </c>
    </row>
    <row r="32" spans="1:2" x14ac:dyDescent="0.3">
      <c r="A32" s="4" t="s">
        <v>200</v>
      </c>
      <c r="B32" s="3" t="s">
        <v>165</v>
      </c>
    </row>
    <row r="33" spans="1:2" x14ac:dyDescent="0.3">
      <c r="A33" s="6" t="s">
        <v>118</v>
      </c>
      <c r="B33" s="5" t="s">
        <v>166</v>
      </c>
    </row>
    <row r="34" spans="1:2" x14ac:dyDescent="0.3">
      <c r="A34" s="4" t="s">
        <v>121</v>
      </c>
      <c r="B34" s="3" t="s">
        <v>167</v>
      </c>
    </row>
    <row r="35" spans="1:2" x14ac:dyDescent="0.3">
      <c r="A35" s="6" t="s">
        <v>29</v>
      </c>
      <c r="B35" s="5" t="s">
        <v>168</v>
      </c>
    </row>
    <row r="36" spans="1:2" x14ac:dyDescent="0.3">
      <c r="A36" s="4" t="s">
        <v>117</v>
      </c>
      <c r="B36" s="3" t="s">
        <v>169</v>
      </c>
    </row>
    <row r="37" spans="1:2" x14ac:dyDescent="0.3">
      <c r="A37" s="6" t="s">
        <v>201</v>
      </c>
      <c r="B37" s="5" t="s">
        <v>170</v>
      </c>
    </row>
    <row r="38" spans="1:2" x14ac:dyDescent="0.3">
      <c r="A38" s="4" t="s">
        <v>43</v>
      </c>
      <c r="B38" s="3" t="s">
        <v>171</v>
      </c>
    </row>
    <row r="39" spans="1:2" x14ac:dyDescent="0.3">
      <c r="A39" s="6" t="s">
        <v>100</v>
      </c>
      <c r="B39" s="5" t="s">
        <v>172</v>
      </c>
    </row>
    <row r="40" spans="1:2" x14ac:dyDescent="0.3">
      <c r="A40" s="4" t="s">
        <v>105</v>
      </c>
      <c r="B40" s="3" t="s">
        <v>173</v>
      </c>
    </row>
    <row r="41" spans="1:2" x14ac:dyDescent="0.3">
      <c r="A41" s="6" t="s">
        <v>202</v>
      </c>
      <c r="B41" s="5" t="s">
        <v>174</v>
      </c>
    </row>
    <row r="42" spans="1:2" x14ac:dyDescent="0.3">
      <c r="A42" s="4" t="s">
        <v>203</v>
      </c>
      <c r="B42" s="3" t="s">
        <v>175</v>
      </c>
    </row>
    <row r="43" spans="1:2" x14ac:dyDescent="0.3">
      <c r="A43" s="6" t="s">
        <v>120</v>
      </c>
      <c r="B43" s="5" t="s">
        <v>176</v>
      </c>
    </row>
    <row r="44" spans="1:2" x14ac:dyDescent="0.3">
      <c r="A44" s="4" t="s">
        <v>45</v>
      </c>
      <c r="B44" s="3" t="s">
        <v>177</v>
      </c>
    </row>
    <row r="45" spans="1:2" x14ac:dyDescent="0.3">
      <c r="A45" s="6" t="s">
        <v>110</v>
      </c>
      <c r="B45" s="5" t="s">
        <v>178</v>
      </c>
    </row>
    <row r="46" spans="1:2" x14ac:dyDescent="0.3">
      <c r="A46" s="4" t="s">
        <v>99</v>
      </c>
      <c r="B46" s="3" t="s">
        <v>179</v>
      </c>
    </row>
    <row r="47" spans="1:2" x14ac:dyDescent="0.3">
      <c r="A47" s="6" t="s">
        <v>109</v>
      </c>
      <c r="B47" s="5" t="s">
        <v>180</v>
      </c>
    </row>
    <row r="48" spans="1:2" x14ac:dyDescent="0.3">
      <c r="A48" s="4" t="s">
        <v>113</v>
      </c>
      <c r="B48" s="3" t="s">
        <v>181</v>
      </c>
    </row>
    <row r="49" spans="1:2" x14ac:dyDescent="0.3">
      <c r="A49" s="6" t="s">
        <v>204</v>
      </c>
      <c r="B49" s="5" t="s">
        <v>182</v>
      </c>
    </row>
    <row r="50" spans="1:2" x14ac:dyDescent="0.3">
      <c r="A50" s="4" t="s">
        <v>205</v>
      </c>
      <c r="B50" s="3" t="s">
        <v>183</v>
      </c>
    </row>
    <row r="51" spans="1:2" x14ac:dyDescent="0.3">
      <c r="A51" s="6" t="s">
        <v>206</v>
      </c>
      <c r="B51" s="5" t="s">
        <v>184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0D82B-5305-4D1C-9016-3743AED1BC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1. Raw-Dataset</vt:lpstr>
      <vt:lpstr>2. Cleaned-Dataset</vt:lpstr>
      <vt:lpstr>3. Insights</vt:lpstr>
      <vt:lpstr>4. Dashboard</vt:lpstr>
      <vt:lpstr>States-LookupTable</vt:lpstr>
      <vt:lpstr>'1. Raw-Dataset'!Print_Area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Batool</dc:creator>
  <cp:lastModifiedBy>Ayesha Batool</cp:lastModifiedBy>
  <cp:lastPrinted>2026-03-08T11:07:36Z</cp:lastPrinted>
  <dcterms:created xsi:type="dcterms:W3CDTF">2026-03-04T14:18:07Z</dcterms:created>
  <dcterms:modified xsi:type="dcterms:W3CDTF">2026-03-20T16:26:56Z</dcterms:modified>
</cp:coreProperties>
</file>